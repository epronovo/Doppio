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ource Columns" sheetId="2" state="visible" r:id="rId2"/>
    <sheet xmlns:r="http://schemas.openxmlformats.org/officeDocument/2006/relationships" name="Derived Fields" sheetId="3" state="visible" r:id="rId3"/>
    <sheet xmlns:r="http://schemas.openxmlformats.org/officeDocument/2006/relationships" name="Record 100" sheetId="4" state="visible" r:id="rId4"/>
    <sheet xmlns:r="http://schemas.openxmlformats.org/officeDocument/2006/relationships" name="Record 305" sheetId="5" state="visible" r:id="rId5"/>
    <sheet xmlns:r="http://schemas.openxmlformats.org/officeDocument/2006/relationships" name="Record 350" sheetId="6" state="visible" r:id="rId6"/>
    <sheet xmlns:r="http://schemas.openxmlformats.org/officeDocument/2006/relationships" name="Record 360" sheetId="7" state="visible" r:id="rId7"/>
    <sheet xmlns:r="http://schemas.openxmlformats.org/officeDocument/2006/relationships" name="Record 700" sheetId="8" state="visible" r:id="rId8"/>
    <sheet xmlns:r="http://schemas.openxmlformats.org/officeDocument/2006/relationships" name="Map Tables" sheetId="9" state="visible" r:id="rId9"/>
    <sheet xmlns:r="http://schemas.openxmlformats.org/officeDocument/2006/relationships" name="Config" sheetId="10" state="visible" r:id="rId10"/>
    <sheet xmlns:r="http://schemas.openxmlformats.org/officeDocument/2006/relationships" name="Validation" sheetId="11" state="visible" r:id="rId11"/>
    <sheet xmlns:r="http://schemas.openxmlformats.org/officeDocument/2006/relationships" name="Map - Status" sheetId="12" state="visible" r:id="rId12"/>
    <sheet xmlns:r="http://schemas.openxmlformats.org/officeDocument/2006/relationships" name="Map - Country" sheetId="13" state="visible" r:id="rId13"/>
    <sheet xmlns:r="http://schemas.openxmlformats.org/officeDocument/2006/relationships" name="Map - Org" sheetId="14" state="visible" r:id="rId14"/>
    <sheet xmlns:r="http://schemas.openxmlformats.org/officeDocument/2006/relationships" name="Map - Language" sheetId="15" state="visible" r:id="rId15"/>
    <sheet xmlns:r="http://schemas.openxmlformats.org/officeDocument/2006/relationships" name="Map - Locale" sheetId="16" state="visible" r:id="rId16"/>
    <sheet xmlns:r="http://schemas.openxmlformats.org/officeDocument/2006/relationships" name="Map - Salary" sheetId="17" state="visible" r:id="rId17"/>
    <sheet xmlns:r="http://schemas.openxmlformats.org/officeDocument/2006/relationships" name="Map - Supervisor" sheetId="18" state="visible" r:id="rId18"/>
    <sheet xmlns:r="http://schemas.openxmlformats.org/officeDocument/2006/relationships" name="Map - Invoice" sheetId="19" state="visible" r:id="rId19"/>
    <sheet xmlns:r="http://schemas.openxmlformats.org/officeDocument/2006/relationships" name="Map - Company" sheetId="20" state="visible" r:id="rId20"/>
    <sheet xmlns:r="http://schemas.openxmlformats.org/officeDocument/2006/relationships" name="Map - CountryRef" sheetId="21" state="visible" r:id="rId21"/>
    <sheet xmlns:r="http://schemas.openxmlformats.org/officeDocument/2006/relationships" name="Map - Role" sheetId="22" state="visible" r:id="rId22"/>
  </sheets>
  <definedNames>
    <definedName name="_xlnm._FilterDatabase" localSheetId="1" hidden="1">'Source Columns'!$A$4:$E$49</definedName>
    <definedName name="_xlnm._FilterDatabase" localSheetId="2" hidden="1">'Derived Fields'!$A$4:$I$21</definedName>
    <definedName name="_xlnm._FilterDatabase" localSheetId="3" hidden="1">'Record 100'!$A$4:$E$11</definedName>
    <definedName name="_xlnm._FilterDatabase" localSheetId="4" hidden="1">'Record 305'!$A$4:$G$141</definedName>
    <definedName name="_xlnm._FilterDatabase" localSheetId="5" hidden="1">'Record 350'!$A$4:$G$71</definedName>
    <definedName name="_xlnm._FilterDatabase" localSheetId="6" hidden="1">'Record 360'!$A$4:$G$39</definedName>
    <definedName name="_xlnm._FilterDatabase" localSheetId="7" hidden="1">'Record 700'!$A$4:$G$20</definedName>
    <definedName name="_xlnm._FilterDatabase" localSheetId="8" hidden="1">'Map Tables'!$A$4:$G$15</definedName>
    <definedName name="_xlnm._FilterDatabase" localSheetId="9" hidden="1">'Config'!$A$4:$E$42</definedName>
    <definedName name="_xlnm._FilterDatabase" localSheetId="10" hidden="1">'Validation'!$A$4:$D$18</definedName>
    <definedName name="_xlnm._FilterDatabase" localSheetId="11" hidden="1">'Map - Status'!$A$4:$B$9</definedName>
    <definedName name="_xlnm._FilterDatabase" localSheetId="12" hidden="1">'Map - Country'!$A$4:$E$16</definedName>
    <definedName name="_xlnm._FilterDatabase" localSheetId="13" hidden="1">'Map - Org'!$A$4:$G$40</definedName>
    <definedName name="_xlnm._FilterDatabase" localSheetId="14" hidden="1">'Map - Language'!$A$4:$C$35</definedName>
    <definedName name="_xlnm._FilterDatabase" localSheetId="15" hidden="1">'Map - Locale'!$A$4:$C$66</definedName>
    <definedName name="_xlnm._FilterDatabase" localSheetId="16" hidden="1">'Map - Salary'!$A$4:$E$40</definedName>
    <definedName name="_xlnm._FilterDatabase" localSheetId="17" hidden="1">'Map - Supervisor'!$A$4:$E$11</definedName>
    <definedName name="_xlnm._FilterDatabase" localSheetId="18" hidden="1">'Map - Invoice'!$A$4:$C$27</definedName>
    <definedName name="_xlnm._FilterDatabase" localSheetId="19" hidden="1">'Map - Company'!$A$4:$G$20</definedName>
    <definedName name="_xlnm._FilterDatabase" localSheetId="20" hidden="1">'Map - CountryRef'!$A$4:$D$16</definedName>
    <definedName name="_xlnm._FilterDatabase" localSheetId="21" hidden="1">'Map - Role'!$A$4:$C$25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10"/>
    </font>
    <font>
      <name val="Arial"/>
      <b val="1"/>
      <sz val="10"/>
    </font>
    <font>
      <name val="Arial"/>
      <sz val="10"/>
    </font>
    <font>
      <name val="Arial"/>
      <b val="1"/>
      <color rgb="00FFFFFF"/>
      <sz val="10"/>
    </font>
  </fonts>
  <fills count="6">
    <fill>
      <patternFill/>
    </fill>
    <fill>
      <patternFill patternType="gray125"/>
    </fill>
    <fill>
      <patternFill patternType="solid">
        <fgColor rgb="00FFF2CC"/>
      </patternFill>
    </fill>
    <fill>
      <patternFill patternType="solid">
        <fgColor rgb="00E2EFDA"/>
      </patternFill>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xf>
    <xf numFmtId="0" fontId="3" fillId="0" borderId="0" applyAlignment="1" pivotButton="0" quotePrefix="0" xfId="0">
      <alignment vertical="top"/>
    </xf>
    <xf numFmtId="0" fontId="4" fillId="0" borderId="0" applyAlignment="1" pivotButton="0" quotePrefix="0" xfId="0">
      <alignment vertical="top" wrapText="1"/>
    </xf>
    <xf numFmtId="0" fontId="3" fillId="2" borderId="0" applyAlignment="1" pivotButton="0" quotePrefix="0" xfId="0">
      <alignment vertical="top"/>
    </xf>
    <xf numFmtId="0" fontId="3" fillId="3" borderId="0" applyAlignment="1" pivotButton="0" quotePrefix="0" xfId="0">
      <alignment vertical="top"/>
    </xf>
    <xf numFmtId="0" fontId="3" fillId="4" borderId="0" applyAlignment="1" pivotButton="0" quotePrefix="0" xfId="0">
      <alignment vertical="top"/>
    </xf>
    <xf numFmtId="0" fontId="1" fillId="0" borderId="0" pivotButton="0" quotePrefix="0" xfId="0"/>
    <xf numFmtId="0" fontId="2" fillId="0" borderId="0" pivotButton="0" quotePrefix="0" xfId="0"/>
    <xf numFmtId="0" fontId="5" fillId="5" borderId="1" applyAlignment="1" pivotButton="0" quotePrefix="0" xfId="0">
      <alignment vertical="center" wrapText="1"/>
    </xf>
    <xf numFmtId="0" fontId="4" fillId="2" borderId="1" applyAlignment="1" pivotButton="0" quotePrefix="0" xfId="0">
      <alignment vertical="top" wrapText="1"/>
    </xf>
    <xf numFmtId="0" fontId="4" fillId="0" borderId="1" applyAlignment="1" pivotButton="0" quotePrefix="0" xfId="0">
      <alignment vertical="top" wrapText="1"/>
    </xf>
    <xf numFmtId="0" fontId="3" fillId="0" borderId="0" pivotButton="0" quotePrefix="0" xfId="0"/>
    <xf numFmtId="0" fontId="4" fillId="0" borderId="0" pivotButton="0" quotePrefix="0" xfId="0"/>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26" customWidth="1" min="1" max="1"/>
    <col width="110" customWidth="1" min="2" max="2"/>
  </cols>
  <sheetData>
    <row r="1">
      <c r="A1" s="1" t="inlineStr">
        <is>
          <t>ADP / UKG -&gt; SAP Concur Employee Import: Mapping Guide</t>
        </is>
      </c>
      <c r="B1" s="2" t="n"/>
    </row>
    <row r="2">
      <c r="A2" s="3" t="inlineStr">
        <is>
          <t>Generated 2026-09-29 from ADP_Concur_Map.py, ADP_Concur_Db.py and ADP_Concur_Config.json. Map-table tabs are a snapshot of the live database (~/sqlite/doppio.db).</t>
        </is>
      </c>
      <c r="B2" s="2" t="n"/>
    </row>
    <row r="3"/>
    <row r="4">
      <c r="A4" s="4" t="inlineStr">
        <is>
          <t>How the data flows</t>
        </is>
      </c>
      <c r="B4" s="2" t="n"/>
    </row>
    <row r="5">
      <c r="A5" s="4" t="inlineStr">
        <is>
          <t>1. Import</t>
        </is>
      </c>
      <c r="B5" s="5" t="inlineStr">
        <is>
          <t>The workbook is loaded (ADP_Concur_Import.py). The ADP export (sheet '1' / 'ADP') and the UKG export are merged on File Number / Employee Number into ADP_Concur_Employees; 'source' says which system sent each row. The map tabs load into their own ADP_Concur_*Map tables, and the 305/350/360/700 template tabs load into ADP_Concur_Layouts.</t>
        </is>
      </c>
    </row>
    <row r="6">
      <c r="A6" s="4" t="inlineStr">
        <is>
          <t>2. Derive</t>
        </is>
      </c>
      <c r="B6" s="5" t="inlineStr">
        <is>
          <t>ADP_Concur_derive() recomputes the derived columns (the workbook's AC..AO for ADP, AZ..BL for UKG) from the map tables. It runs after every import or map edit, and it rebuilds the exception list.</t>
        </is>
      </c>
    </row>
    <row r="7">
      <c r="A7" s="4" t="inlineStr">
        <is>
          <t>3. Build records</t>
        </is>
      </c>
      <c r="B7" s="5" t="inlineStr">
        <is>
          <t>build_record() fills each Concur record position from FIELD_MAP, then applies the per-source overrides, the conditional copies and the config blank_fields. A position with no mapping is written empty.</t>
        </is>
      </c>
    </row>
    <row r="8">
      <c r="A8" s="4" t="inlineStr">
        <is>
          <t>4. Extract</t>
        </is>
      </c>
      <c r="B8" s="5" t="inlineStr">
        <is>
          <t>One comma-delimited file: a 100 (Import Settings) line first, then the 305s, 350s, 360s and 700s ('by_type' order). The 305s are sorted so an approver comes before the people who report to them, and the other record types follow that order. Employees with any 'error' exception are left out.</t>
        </is>
      </c>
    </row>
    <row r="9"/>
    <row r="10">
      <c r="A10" s="4" t="inlineStr">
        <is>
          <t>Sources</t>
        </is>
      </c>
      <c r="B10" s="2" t="n"/>
    </row>
    <row r="11">
      <c r="A11" s="4" t="inlineStr">
        <is>
          <t>ADP</t>
        </is>
      </c>
      <c r="B11" s="5" t="inlineStr">
        <is>
          <t>Uses the ADP rules. Record types: 305, 350, 360, 700</t>
        </is>
      </c>
    </row>
    <row r="12">
      <c r="A12" s="4" t="inlineStr">
        <is>
          <t>UKG</t>
        </is>
      </c>
      <c r="B12" s="5" t="inlineStr">
        <is>
          <t>Uses the UKG rules (derive_ukg). Record types: 305, 360, 700 (UKG has no 350).</t>
        </is>
      </c>
    </row>
    <row r="13">
      <c r="A13" s="4" t="inlineStr">
        <is>
          <t>Added by hand</t>
        </is>
      </c>
      <c r="B13" s="5" t="inlineStr">
        <is>
          <t>Keyed into the app. Uses the ADP rules and can carry its own password.</t>
        </is>
      </c>
    </row>
    <row r="14"/>
    <row r="15">
      <c r="A15" s="4" t="inlineStr">
        <is>
          <t>Current scope (config)</t>
        </is>
      </c>
      <c r="B15" s="2" t="n"/>
    </row>
    <row r="16">
      <c r="A16" s="4" t="inlineStr">
        <is>
          <t>Record 305</t>
        </is>
      </c>
      <c r="B16" s="5" t="inlineStr">
        <is>
          <t>Everyone included (active and terminated)</t>
        </is>
      </c>
    </row>
    <row r="17">
      <c r="A17" s="4" t="inlineStr">
        <is>
          <t>Record 350</t>
        </is>
      </c>
      <c r="B17" s="5" t="inlineStr">
        <is>
          <t>Not written - left out of the extract</t>
        </is>
      </c>
    </row>
    <row r="18">
      <c r="A18" s="4" t="inlineStr">
        <is>
          <t>Record 360</t>
        </is>
      </c>
      <c r="B18" s="5" t="inlineStr">
        <is>
          <t>Only employees with Invoice Access = Y</t>
        </is>
      </c>
    </row>
    <row r="19">
      <c r="A19" s="4" t="inlineStr">
        <is>
          <t>Record 700</t>
        </is>
      </c>
      <c r="B19" s="5" t="inlineStr">
        <is>
          <t>Only employees with Invoice Access = Y</t>
        </is>
      </c>
    </row>
    <row r="20"/>
    <row r="21">
      <c r="A21" s="4" t="inlineStr">
        <is>
          <t>Tabs in this guide</t>
        </is>
      </c>
      <c r="B21" s="2" t="n"/>
    </row>
    <row r="22">
      <c r="A22" s="4" t="inlineStr">
        <is>
          <t>Source Columns</t>
        </is>
      </c>
      <c r="B22" s="5" t="inlineStr">
        <is>
          <t>Every ADP and UKG export column and the database field it loads into.</t>
        </is>
      </c>
    </row>
    <row r="23">
      <c r="A23" s="4" t="inlineStr">
        <is>
          <t>Derived Fields</t>
        </is>
      </c>
      <c r="B23" s="5" t="inlineStr">
        <is>
          <t>Each calculated value: the rule for ADP and for UKG, the map table it uses, and what it returns when the lookup finds nothing.</t>
        </is>
      </c>
    </row>
    <row r="24">
      <c r="A24" s="4" t="inlineStr">
        <is>
          <t>Record 100</t>
        </is>
      </c>
      <c r="B24" s="5" t="inlineStr">
        <is>
          <t>The Import Settings line.</t>
        </is>
      </c>
    </row>
    <row r="25">
      <c r="A25" s="4" t="inlineStr">
        <is>
          <t>Record 305/350/360/700</t>
        </is>
      </c>
      <c r="B25" s="5" t="inlineStr">
        <is>
          <t>Every position of each Concur record and what fills it, for ADP and for UKG.</t>
        </is>
      </c>
    </row>
    <row r="26">
      <c r="A26" s="4" t="inlineStr">
        <is>
          <t>Map Tables</t>
        </is>
      </c>
      <c r="B26" s="5" t="inlineStr">
        <is>
          <t>What each lookup table is keyed on and what it returns.</t>
        </is>
      </c>
    </row>
    <row r="27">
      <c r="A27" s="4" t="inlineStr">
        <is>
          <t>Map - *</t>
        </is>
      </c>
      <c r="B27" s="5" t="inlineStr">
        <is>
          <t>The current contents of each lookup table.</t>
        </is>
      </c>
    </row>
    <row r="28">
      <c r="A28" s="4" t="inlineStr">
        <is>
          <t>Config</t>
        </is>
      </c>
      <c r="B28" s="5" t="inlineStr">
        <is>
          <t>The settings that change the output, with the current value and the code default.</t>
        </is>
      </c>
    </row>
    <row r="29">
      <c r="A29" s="4" t="inlineStr">
        <is>
          <t>Validation</t>
        </is>
      </c>
      <c r="B29" s="5" t="inlineStr">
        <is>
          <t>The checks that raise exceptions, and whether each one keeps the employee out of the file.</t>
        </is>
      </c>
    </row>
    <row r="30"/>
    <row r="31">
      <c r="A31" s="4" t="inlineStr">
        <is>
          <t>Colour legend</t>
        </is>
      </c>
      <c r="B31" s="2" t="n"/>
    </row>
    <row r="32">
      <c r="A32" s="6" t="inlineStr">
        <is>
          <t>Yellow row</t>
        </is>
      </c>
      <c r="B32" s="5" t="inlineStr">
        <is>
          <t>ADP and UKG fill this position differently.</t>
        </is>
      </c>
    </row>
    <row r="33">
      <c r="A33" s="7" t="inlineStr">
        <is>
          <t>Green row</t>
        </is>
      </c>
      <c r="B33" s="5" t="inlineStr">
        <is>
          <t>A constant, the same for every employee.</t>
        </is>
      </c>
    </row>
    <row r="34">
      <c r="A34" s="8" t="inlineStr">
        <is>
          <t>Grey row</t>
        </is>
      </c>
      <c r="B34" s="5" t="inlineStr">
        <is>
          <t>Not mapped: the position is written empty.</t>
        </is>
      </c>
    </row>
    <row r="35">
      <c r="A35" s="4" t="inlineStr">
        <is>
          <t>[name]</t>
        </is>
      </c>
      <c r="B35" s="5" t="inlineStr">
        <is>
          <t>The database column (ADP_Concur_Employees) the value is read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
  <sheetViews>
    <sheetView showGridLines="0" workbookViewId="0">
      <pane ySplit="4" topLeftCell="A5" activePane="bottomLeft" state="frozen"/>
      <selection pane="bottomLeft" activeCell="A1" sqref="A1"/>
    </sheetView>
  </sheetViews>
  <sheetFormatPr baseColWidth="8" defaultRowHeight="15"/>
  <cols>
    <col width="26" customWidth="1" min="1" max="1"/>
    <col width="9" customWidth="1" min="2" max="2"/>
    <col width="40" customWidth="1" min="3" max="3"/>
    <col width="9" customWidth="1" min="4" max="4"/>
    <col width="44" customWidth="1" min="5" max="5"/>
  </cols>
  <sheetData>
    <row r="1">
      <c r="A1" s="9" t="inlineStr">
        <is>
          <t>Source Columns -&gt; Database</t>
        </is>
      </c>
    </row>
    <row r="2">
      <c r="A2" s="10" t="inlineStr">
        <is>
          <t>Where each export column lands in ADP_Concur_Employees. Columns with the same meaning share one database field. Yellow = the same field under a different name in each system.</t>
        </is>
      </c>
    </row>
    <row r="4">
      <c r="A4" s="11" t="inlineStr">
        <is>
          <t>Database Field</t>
        </is>
      </c>
      <c r="B4" s="11" t="inlineStr">
        <is>
          <t>ADP Col</t>
        </is>
      </c>
      <c r="C4" s="11" t="inlineStr">
        <is>
          <t>ADP Export Heading</t>
        </is>
      </c>
      <c r="D4" s="11" t="inlineStr">
        <is>
          <t>UKG Col</t>
        </is>
      </c>
      <c r="E4" s="11" t="inlineStr">
        <is>
          <t>UKG Export Heading</t>
        </is>
      </c>
    </row>
    <row r="5">
      <c r="A5" s="12" t="inlineStr">
        <is>
          <t>payroll_company_code</t>
        </is>
      </c>
      <c r="B5" s="12" t="inlineStr">
        <is>
          <t>A</t>
        </is>
      </c>
      <c r="C5" s="12" t="inlineStr">
        <is>
          <t>Payroll Company Code</t>
        </is>
      </c>
      <c r="D5" s="12" t="inlineStr">
        <is>
          <t>A</t>
        </is>
      </c>
      <c r="E5" s="12" t="inlineStr">
        <is>
          <t>Company Code</t>
        </is>
      </c>
    </row>
    <row r="6">
      <c r="A6" s="13" t="inlineStr">
        <is>
          <t>legal_first_name</t>
        </is>
      </c>
      <c r="B6" s="13" t="inlineStr">
        <is>
          <t>B</t>
        </is>
      </c>
      <c r="C6" s="13" t="inlineStr">
        <is>
          <t>Legal First Name</t>
        </is>
      </c>
      <c r="D6" s="13" t="inlineStr"/>
      <c r="E6" s="13" t="inlineStr"/>
    </row>
    <row r="7">
      <c r="A7" s="13" t="inlineStr">
        <is>
          <t>middle_initial</t>
        </is>
      </c>
      <c r="B7" s="13" t="inlineStr">
        <is>
          <t>C</t>
        </is>
      </c>
      <c r="C7" s="13" t="inlineStr">
        <is>
          <t>Middle Initial</t>
        </is>
      </c>
      <c r="D7" s="13" t="inlineStr"/>
      <c r="E7" s="13" t="inlineStr"/>
    </row>
    <row r="8">
      <c r="A8" s="13" t="inlineStr">
        <is>
          <t>legal_last_name</t>
        </is>
      </c>
      <c r="B8" s="13" t="inlineStr">
        <is>
          <t>D</t>
        </is>
      </c>
      <c r="C8" s="13" t="inlineStr">
        <is>
          <t>Legal Last Name</t>
        </is>
      </c>
      <c r="D8" s="13" t="inlineStr"/>
      <c r="E8" s="13" t="inlineStr"/>
    </row>
    <row r="9">
      <c r="A9" s="13" t="inlineStr">
        <is>
          <t>preferred_first_name</t>
        </is>
      </c>
      <c r="B9" s="13" t="inlineStr">
        <is>
          <t>E</t>
        </is>
      </c>
      <c r="C9" s="13" t="inlineStr">
        <is>
          <t>Preferred or Chosen First Name</t>
        </is>
      </c>
      <c r="D9" s="13" t="inlineStr"/>
      <c r="E9" s="13" t="inlineStr"/>
    </row>
    <row r="10">
      <c r="A10" s="13" t="inlineStr">
        <is>
          <t>preferred_last_name</t>
        </is>
      </c>
      <c r="B10" s="13" t="inlineStr">
        <is>
          <t>F</t>
        </is>
      </c>
      <c r="C10" s="13" t="inlineStr">
        <is>
          <t>Preferred or Chosen Last Name</t>
        </is>
      </c>
      <c r="D10" s="13" t="inlineStr"/>
      <c r="E10" s="13" t="inlineStr"/>
    </row>
    <row r="11">
      <c r="A11" s="12" t="inlineStr">
        <is>
          <t>reports_to_legal_name</t>
        </is>
      </c>
      <c r="B11" s="12" t="inlineStr">
        <is>
          <t>G</t>
        </is>
      </c>
      <c r="C11" s="12" t="inlineStr">
        <is>
          <t>Reports To Legal Name</t>
        </is>
      </c>
      <c r="D11" s="12" t="inlineStr">
        <is>
          <t>S</t>
        </is>
      </c>
      <c r="E11" s="12" t="inlineStr">
        <is>
          <t>Supervisor Name (Last Suffix, First MI)</t>
        </is>
      </c>
    </row>
    <row r="12">
      <c r="A12" s="12" t="inlineStr">
        <is>
          <t>supervisor_id_raw</t>
        </is>
      </c>
      <c r="B12" s="12" t="inlineStr">
        <is>
          <t>H</t>
        </is>
      </c>
      <c r="C12" s="12" t="inlineStr">
        <is>
          <t>Supervisor ID</t>
        </is>
      </c>
      <c r="D12" s="12" t="inlineStr">
        <is>
          <t>R</t>
        </is>
      </c>
      <c r="E12" s="12" t="inlineStr">
        <is>
          <t>Supervisor Employee Number</t>
        </is>
      </c>
    </row>
    <row r="13">
      <c r="A13" s="12" t="inlineStr">
        <is>
          <t>work_email</t>
        </is>
      </c>
      <c r="B13" s="12" t="inlineStr">
        <is>
          <t>I</t>
        </is>
      </c>
      <c r="C13" s="12" t="inlineStr">
        <is>
          <t>Work Contact: Work Email</t>
        </is>
      </c>
      <c r="D13" s="12" t="inlineStr">
        <is>
          <t>AQ</t>
        </is>
      </c>
      <c r="E13" s="12" t="inlineStr">
        <is>
          <t>E-mail Address</t>
        </is>
      </c>
    </row>
    <row r="14">
      <c r="A14" s="13" t="inlineStr">
        <is>
          <t>personal_email</t>
        </is>
      </c>
      <c r="B14" s="13" t="inlineStr">
        <is>
          <t>J</t>
        </is>
      </c>
      <c r="C14" s="13" t="inlineStr">
        <is>
          <t>Personal Contact: Personal Email</t>
        </is>
      </c>
      <c r="D14" s="13" t="inlineStr"/>
      <c r="E14" s="13" t="inlineStr"/>
    </row>
    <row r="15">
      <c r="A15" s="12" t="inlineStr">
        <is>
          <t>job_title</t>
        </is>
      </c>
      <c r="B15" s="12" t="inlineStr">
        <is>
          <t>K</t>
        </is>
      </c>
      <c r="C15" s="12" t="inlineStr">
        <is>
          <t>Job Title Description</t>
        </is>
      </c>
      <c r="D15" s="12" t="inlineStr">
        <is>
          <t>K</t>
        </is>
      </c>
      <c r="E15" s="12" t="inlineStr">
        <is>
          <t>Job</t>
        </is>
      </c>
    </row>
    <row r="16">
      <c r="A16" s="12" t="inlineStr">
        <is>
          <t>hire_date</t>
        </is>
      </c>
      <c r="B16" s="12" t="inlineStr">
        <is>
          <t>L</t>
        </is>
      </c>
      <c r="C16" s="12" t="inlineStr">
        <is>
          <t>Hire Date</t>
        </is>
      </c>
      <c r="D16" s="12" t="inlineStr">
        <is>
          <t>V</t>
        </is>
      </c>
      <c r="E16" s="12" t="inlineStr">
        <is>
          <t>Last Hire Date</t>
        </is>
      </c>
    </row>
    <row r="17">
      <c r="A17" s="13" t="inlineStr">
        <is>
          <t>termination_date</t>
        </is>
      </c>
      <c r="B17" s="13" t="inlineStr">
        <is>
          <t>M</t>
        </is>
      </c>
      <c r="C17" s="13" t="inlineStr">
        <is>
          <t>Termination Date</t>
        </is>
      </c>
      <c r="D17" s="13" t="inlineStr"/>
      <c r="E17" s="13" t="inlineStr"/>
    </row>
    <row r="18">
      <c r="A18" s="13" t="inlineStr">
        <is>
          <t>rehire_date</t>
        </is>
      </c>
      <c r="B18" s="13" t="inlineStr">
        <is>
          <t>N</t>
        </is>
      </c>
      <c r="C18" s="13" t="inlineStr">
        <is>
          <t>Rehire Date</t>
        </is>
      </c>
      <c r="D18" s="13" t="inlineStr"/>
      <c r="E18" s="13" t="inlineStr"/>
    </row>
    <row r="19">
      <c r="A19" s="12" t="inlineStr">
        <is>
          <t>position_status</t>
        </is>
      </c>
      <c r="B19" s="12" t="inlineStr">
        <is>
          <t>O</t>
        </is>
      </c>
      <c r="C19" s="12" t="inlineStr">
        <is>
          <t>Position Status</t>
        </is>
      </c>
      <c r="D19" s="12" t="inlineStr">
        <is>
          <t>X</t>
        </is>
      </c>
      <c r="E19" s="12" t="inlineStr">
        <is>
          <t>Employment Status</t>
        </is>
      </c>
    </row>
    <row r="20">
      <c r="A20" s="12" t="inlineStr">
        <is>
          <t>file_number</t>
        </is>
      </c>
      <c r="B20" s="12" t="inlineStr">
        <is>
          <t>P</t>
        </is>
      </c>
      <c r="C20" s="12" t="inlineStr">
        <is>
          <t>File Number</t>
        </is>
      </c>
      <c r="D20" s="12" t="inlineStr">
        <is>
          <t>D</t>
        </is>
      </c>
      <c r="E20" s="12" t="inlineStr">
        <is>
          <t>Employee Number</t>
        </is>
      </c>
    </row>
    <row r="21">
      <c r="A21" s="13" t="inlineStr">
        <is>
          <t>pay_frequency</t>
        </is>
      </c>
      <c r="B21" s="13" t="inlineStr">
        <is>
          <t>Q</t>
        </is>
      </c>
      <c r="C21" s="13" t="inlineStr">
        <is>
          <t>Pay Frequency</t>
        </is>
      </c>
      <c r="D21" s="13" t="inlineStr"/>
      <c r="E21" s="13" t="inlineStr"/>
    </row>
    <row r="22">
      <c r="A22" s="12" t="inlineStr">
        <is>
          <t>employee_type</t>
        </is>
      </c>
      <c r="B22" s="12" t="inlineStr">
        <is>
          <t>R</t>
        </is>
      </c>
      <c r="C22" s="12" t="inlineStr">
        <is>
          <t>Employee Type</t>
        </is>
      </c>
      <c r="D22" s="12" t="inlineStr">
        <is>
          <t>E</t>
        </is>
      </c>
      <c r="E22" s="12" t="inlineStr">
        <is>
          <t>Employment Type</t>
        </is>
      </c>
    </row>
    <row r="23">
      <c r="A23" s="13" t="inlineStr">
        <is>
          <t>business_unit_code</t>
        </is>
      </c>
      <c r="B23" s="13" t="inlineStr">
        <is>
          <t>S</t>
        </is>
      </c>
      <c r="C23" s="13" t="inlineStr">
        <is>
          <t>Business Unit Code</t>
        </is>
      </c>
      <c r="D23" s="13" t="inlineStr"/>
      <c r="E23" s="13" t="inlineStr"/>
    </row>
    <row r="24">
      <c r="A24" s="13" t="inlineStr">
        <is>
          <t>business_unit_desc</t>
        </is>
      </c>
      <c r="B24" s="13" t="inlineStr">
        <is>
          <t>T</t>
        </is>
      </c>
      <c r="C24" s="13" t="inlineStr">
        <is>
          <t>Business Unit Description</t>
        </is>
      </c>
      <c r="D24" s="13" t="inlineStr"/>
      <c r="E24" s="13" t="inlineStr"/>
    </row>
    <row r="25">
      <c r="A25" s="13" t="inlineStr">
        <is>
          <t>home_department_desc</t>
        </is>
      </c>
      <c r="B25" s="13" t="inlineStr">
        <is>
          <t>U</t>
        </is>
      </c>
      <c r="C25" s="13" t="inlineStr">
        <is>
          <t>Home Department Description</t>
        </is>
      </c>
      <c r="D25" s="13" t="inlineStr"/>
      <c r="E25" s="13" t="inlineStr"/>
    </row>
    <row r="26">
      <c r="A26" s="13" t="inlineStr">
        <is>
          <t>home_department_code</t>
        </is>
      </c>
      <c r="B26" s="13" t="inlineStr">
        <is>
          <t>V</t>
        </is>
      </c>
      <c r="C26" s="13" t="inlineStr">
        <is>
          <t>Home Department Code</t>
        </is>
      </c>
      <c r="D26" s="13" t="inlineStr"/>
      <c r="E26" s="13" t="inlineStr"/>
    </row>
    <row r="27">
      <c r="A27" s="13" t="inlineStr">
        <is>
          <t>location_desc</t>
        </is>
      </c>
      <c r="B27" s="13" t="inlineStr">
        <is>
          <t>W</t>
        </is>
      </c>
      <c r="C27" s="13" t="inlineStr">
        <is>
          <t>Location Description</t>
        </is>
      </c>
      <c r="D27" s="13" t="inlineStr"/>
      <c r="E27" s="13" t="inlineStr"/>
    </row>
    <row r="28">
      <c r="A28" s="13" t="inlineStr">
        <is>
          <t>language_desc</t>
        </is>
      </c>
      <c r="B28" s="13" t="inlineStr">
        <is>
          <t>X</t>
        </is>
      </c>
      <c r="C28" s="13" t="inlineStr">
        <is>
          <t>Language Description</t>
        </is>
      </c>
      <c r="D28" s="13" t="inlineStr"/>
      <c r="E28" s="13" t="inlineStr"/>
    </row>
    <row r="29">
      <c r="A29" s="13" t="inlineStr">
        <is>
          <t>language_code</t>
        </is>
      </c>
      <c r="B29" s="13" t="inlineStr">
        <is>
          <t>Y</t>
        </is>
      </c>
      <c r="C29" s="13" t="inlineStr">
        <is>
          <t>Language Code</t>
        </is>
      </c>
      <c r="D29" s="13" t="inlineStr"/>
      <c r="E29" s="13" t="inlineStr"/>
    </row>
    <row r="30">
      <c r="A30" s="12" t="inlineStr">
        <is>
          <t>legal_country_code</t>
        </is>
      </c>
      <c r="B30" s="12" t="inlineStr">
        <is>
          <t>Z</t>
        </is>
      </c>
      <c r="C30" s="12" t="inlineStr">
        <is>
          <t>Legal / Preferred Address: Country Code</t>
        </is>
      </c>
      <c r="D30" s="12" t="inlineStr">
        <is>
          <t>AM</t>
        </is>
      </c>
      <c r="E30" s="12" t="inlineStr">
        <is>
          <t>Country Code</t>
        </is>
      </c>
    </row>
    <row r="31">
      <c r="A31" s="12" t="inlineStr">
        <is>
          <t>pay_grade_code</t>
        </is>
      </c>
      <c r="B31" s="12" t="inlineStr">
        <is>
          <t>AA</t>
        </is>
      </c>
      <c r="C31" s="12" t="inlineStr">
        <is>
          <t>Pay Grade Code</t>
        </is>
      </c>
      <c r="D31" s="12" t="inlineStr">
        <is>
          <t>Q</t>
        </is>
      </c>
      <c r="E31" s="12" t="inlineStr">
        <is>
          <t>Salary Grade</t>
        </is>
      </c>
    </row>
    <row r="32">
      <c r="A32" s="13" t="inlineStr">
        <is>
          <t>pay_grade_desc</t>
        </is>
      </c>
      <c r="B32" s="13" t="inlineStr">
        <is>
          <t>AB</t>
        </is>
      </c>
      <c r="C32" s="13" t="inlineStr">
        <is>
          <t>Pay Grade Description</t>
        </is>
      </c>
      <c r="D32" s="13" t="inlineStr"/>
      <c r="E32" s="13" t="inlineStr"/>
    </row>
    <row r="33">
      <c r="A33" s="13" t="inlineStr">
        <is>
          <t>pay_group_code</t>
        </is>
      </c>
      <c r="B33" s="13" t="inlineStr"/>
      <c r="C33" s="13" t="inlineStr"/>
      <c r="D33" s="13" t="inlineStr">
        <is>
          <t>B</t>
        </is>
      </c>
      <c r="E33" s="13" t="inlineStr">
        <is>
          <t>Pay Group Code</t>
        </is>
      </c>
    </row>
    <row r="34">
      <c r="A34" s="13" t="inlineStr">
        <is>
          <t>pay_group</t>
        </is>
      </c>
      <c r="B34" s="13" t="inlineStr"/>
      <c r="C34" s="13" t="inlineStr"/>
      <c r="D34" s="13" t="inlineStr">
        <is>
          <t>C</t>
        </is>
      </c>
      <c r="E34" s="13" t="inlineStr">
        <is>
          <t>Pay Group</t>
        </is>
      </c>
    </row>
    <row r="35">
      <c r="A35" s="13" t="inlineStr">
        <is>
          <t>employee_name_raw</t>
        </is>
      </c>
      <c r="B35" s="13" t="inlineStr"/>
      <c r="C35" s="13" t="inlineStr"/>
      <c r="D35" s="13" t="inlineStr">
        <is>
          <t>F</t>
        </is>
      </c>
      <c r="E35" s="13" t="inlineStr">
        <is>
          <t>Employee Name (Last Suffix, First MI)</t>
        </is>
      </c>
    </row>
    <row r="36">
      <c r="A36" s="13" t="inlineStr">
        <is>
          <t>job_code</t>
        </is>
      </c>
      <c r="B36" s="13" t="inlineStr"/>
      <c r="C36" s="13" t="inlineStr"/>
      <c r="D36" s="13" t="inlineStr">
        <is>
          <t>G</t>
        </is>
      </c>
      <c r="E36" s="13" t="inlineStr">
        <is>
          <t>Job Code</t>
        </is>
      </c>
    </row>
    <row r="37">
      <c r="A37" s="13" t="inlineStr">
        <is>
          <t>job_family</t>
        </is>
      </c>
      <c r="B37" s="13" t="inlineStr"/>
      <c r="C37" s="13" t="inlineStr"/>
      <c r="D37" s="13" t="inlineStr">
        <is>
          <t>J</t>
        </is>
      </c>
      <c r="E37" s="13" t="inlineStr">
        <is>
          <t>Job Family</t>
        </is>
      </c>
    </row>
    <row r="38">
      <c r="A38" s="13" t="inlineStr">
        <is>
          <t>alternate_title</t>
        </is>
      </c>
      <c r="B38" s="13" t="inlineStr"/>
      <c r="C38" s="13" t="inlineStr"/>
      <c r="D38" s="13" t="inlineStr">
        <is>
          <t>L</t>
        </is>
      </c>
      <c r="E38" s="13" t="inlineStr">
        <is>
          <t>Alternate Title</t>
        </is>
      </c>
    </row>
    <row r="39">
      <c r="A39" s="13" t="inlineStr">
        <is>
          <t>seniority_date</t>
        </is>
      </c>
      <c r="B39" s="13" t="inlineStr"/>
      <c r="C39" s="13" t="inlineStr"/>
      <c r="D39" s="13" t="inlineStr">
        <is>
          <t>O</t>
        </is>
      </c>
      <c r="E39" s="13" t="inlineStr">
        <is>
          <t>Seniority Date</t>
        </is>
      </c>
    </row>
    <row r="40">
      <c r="A40" s="13" t="inlineStr">
        <is>
          <t>site_location</t>
        </is>
      </c>
      <c r="B40" s="13" t="inlineStr"/>
      <c r="C40" s="13" t="inlineStr"/>
      <c r="D40" s="13" t="inlineStr">
        <is>
          <t>T</t>
        </is>
      </c>
      <c r="E40" s="13" t="inlineStr">
        <is>
          <t>Site Location</t>
        </is>
      </c>
    </row>
    <row r="41">
      <c r="A41" s="13" t="inlineStr">
        <is>
          <t>site_location_code</t>
        </is>
      </c>
      <c r="B41" s="13" t="inlineStr"/>
      <c r="C41" s="13" t="inlineStr"/>
      <c r="D41" s="13" t="inlineStr">
        <is>
          <t>U</t>
        </is>
      </c>
      <c r="E41" s="13" t="inlineStr">
        <is>
          <t>Site Location Code</t>
        </is>
      </c>
    </row>
    <row r="42">
      <c r="A42" s="13" t="inlineStr">
        <is>
          <t>original_hire_date</t>
        </is>
      </c>
      <c r="B42" s="13" t="inlineStr"/>
      <c r="C42" s="13" t="inlineStr"/>
      <c r="D42" s="13" t="inlineStr">
        <is>
          <t>W</t>
        </is>
      </c>
      <c r="E42" s="13" t="inlineStr">
        <is>
          <t>Original Hire Date</t>
        </is>
      </c>
    </row>
    <row r="43">
      <c r="A43" s="13" t="inlineStr">
        <is>
          <t>employment_status_code</t>
        </is>
      </c>
      <c r="B43" s="13" t="inlineStr"/>
      <c r="C43" s="13" t="inlineStr"/>
      <c r="D43" s="13" t="inlineStr">
        <is>
          <t>Y</t>
        </is>
      </c>
      <c r="E43" s="13" t="inlineStr">
        <is>
          <t>Employment Status Code</t>
        </is>
      </c>
    </row>
    <row r="44">
      <c r="A44" s="13" t="inlineStr">
        <is>
          <t>local_currency_code</t>
        </is>
      </c>
      <c r="B44" s="13" t="inlineStr"/>
      <c r="C44" s="13" t="inlineStr"/>
      <c r="D44" s="13" t="inlineStr">
        <is>
          <t>AE</t>
        </is>
      </c>
      <c r="E44" s="13" t="inlineStr">
        <is>
          <t>Local Currency Code</t>
        </is>
      </c>
    </row>
    <row r="45">
      <c r="A45" s="13" t="inlineStr">
        <is>
          <t>org_level_3_code</t>
        </is>
      </c>
      <c r="B45" s="13" t="inlineStr"/>
      <c r="C45" s="13" t="inlineStr"/>
      <c r="D45" s="13" t="inlineStr">
        <is>
          <t>AI</t>
        </is>
      </c>
      <c r="E45" s="13" t="inlineStr">
        <is>
          <t>Org Level 3 Code</t>
        </is>
      </c>
    </row>
    <row r="46">
      <c r="A46" s="13" t="inlineStr">
        <is>
          <t>country_name</t>
        </is>
      </c>
      <c r="B46" s="13" t="inlineStr"/>
      <c r="C46" s="13" t="inlineStr"/>
      <c r="D46" s="13" t="inlineStr">
        <is>
          <t>AL</t>
        </is>
      </c>
      <c r="E46" s="13" t="inlineStr">
        <is>
          <t>Country</t>
        </is>
      </c>
    </row>
    <row r="47">
      <c r="A47" s="13" t="inlineStr">
        <is>
          <t>org_level_1</t>
        </is>
      </c>
      <c r="B47" s="13" t="inlineStr"/>
      <c r="C47" s="13" t="inlineStr"/>
      <c r="D47" s="13" t="inlineStr">
        <is>
          <t>AN</t>
        </is>
      </c>
      <c r="E47" s="13" t="inlineStr">
        <is>
          <t>Org Level 1</t>
        </is>
      </c>
    </row>
    <row r="48">
      <c r="A48" s="13" t="inlineStr">
        <is>
          <t>org_level_4_code</t>
        </is>
      </c>
      <c r="B48" s="13" t="inlineStr"/>
      <c r="C48" s="13" t="inlineStr"/>
      <c r="D48" s="13" t="inlineStr">
        <is>
          <t>AO</t>
        </is>
      </c>
      <c r="E48" s="13" t="inlineStr">
        <is>
          <t>Org Level 4 Code</t>
        </is>
      </c>
    </row>
    <row r="49">
      <c r="A49" s="13" t="inlineStr">
        <is>
          <t>password</t>
        </is>
      </c>
      <c r="B49" s="13" t="inlineStr"/>
      <c r="C49" s="13" t="inlineStr"/>
      <c r="D49" s="13" t="inlineStr"/>
      <c r="E49" s="13" t="inlineStr">
        <is>
          <t>(Hand-keyed employees only - typed into the app)</t>
        </is>
      </c>
    </row>
    <row r="50">
      <c r="A50" s="14" t="inlineStr">
        <is>
          <t>Notes</t>
        </is>
      </c>
    </row>
    <row r="51">
      <c r="A51" s="15" t="inlineStr">
        <is>
          <t>UKG 'Employee Name (Last Suffix, First MI)' is split at the first comma into legal_last_name / legal_first_name (workbook: FIND/LEFT/MID).</t>
        </is>
      </c>
    </row>
    <row r="52">
      <c r="A52" s="15" t="inlineStr">
        <is>
          <t>Legal / Preferred Address: Country Code (ADP) and Country Code (UKG) are both 3-character codes (USA, CHN); the Country Map turns them into Concur's 2-character code.</t>
        </is>
      </c>
    </row>
    <row r="53">
      <c r="A53" s="15" t="inlineStr">
        <is>
          <t>Both exports merge on File Number. A person on both sheets ends up as one row, the last one loaded wins, and a warning is raised.</t>
        </is>
      </c>
    </row>
  </sheetData>
  <autoFilter ref="A4:E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22" customWidth="1" min="1" max="1"/>
    <col width="20" customWidth="1" min="2" max="2"/>
    <col width="8" customWidth="1" min="3" max="3"/>
    <col width="48" customWidth="1" min="4" max="4"/>
    <col width="44" customWidth="1" min="5" max="5"/>
    <col width="10" customWidth="1" min="6" max="6"/>
    <col width="46" customWidth="1" min="7" max="7"/>
    <col width="22" customWidth="1" min="8" max="8"/>
    <col width="32" customWidth="1" min="9" max="9"/>
  </cols>
  <sheetData>
    <row r="1">
      <c r="A1" s="9" t="inlineStr">
        <is>
          <t>Derived Fields</t>
        </is>
      </c>
    </row>
    <row r="2">
      <c r="A2" s="10" t="inlineStr">
        <is>
          <t>Calculated by ADP_Concur_derive() and stored on ADP_Concur_Employees. ADP Col / UKG Col are the derived-block columns on each export sheet.</t>
        </is>
      </c>
    </row>
    <row r="4">
      <c r="A4" s="11" t="inlineStr">
        <is>
          <t>Database Field</t>
        </is>
      </c>
      <c r="B4" s="11" t="inlineStr">
        <is>
          <t>Label</t>
        </is>
      </c>
      <c r="C4" s="11" t="inlineStr">
        <is>
          <t>ADP Col</t>
        </is>
      </c>
      <c r="D4" s="11" t="inlineStr">
        <is>
          <t>ADP Rule</t>
        </is>
      </c>
      <c r="E4" s="11" t="inlineStr">
        <is>
          <t>Workbook Formula (ADP)</t>
        </is>
      </c>
      <c r="F4" s="11" t="inlineStr">
        <is>
          <t>UKG Col</t>
        </is>
      </c>
      <c r="G4" s="11" t="inlineStr">
        <is>
          <t>UKG Rule</t>
        </is>
      </c>
      <c r="H4" s="11" t="inlineStr">
        <is>
          <t>Map Table(s)</t>
        </is>
      </c>
      <c r="I4" s="11" t="inlineStr">
        <is>
          <t>Value When Not Found</t>
        </is>
      </c>
    </row>
    <row r="5">
      <c r="A5" s="12" t="inlineStr">
        <is>
          <t>supervisor_id</t>
        </is>
      </c>
      <c r="B5" s="12" t="inlineStr">
        <is>
          <t>SupervisorID Formatted</t>
        </is>
      </c>
      <c r="C5" s="12" t="inlineStr">
        <is>
          <t>AC</t>
        </is>
      </c>
      <c r="D5" s="12" t="inlineStr">
        <is>
          <t>The Supervisor Map (keyed on the employee's File Number) wins. Otherwise characters 4-9 of the ADP Supervisor ID: 'KSY211756' -&gt; '211756'.</t>
        </is>
      </c>
      <c r="E5" s="12">
        <f>IF(ISBLANK(H5),VLOOKUP(P5,'Supervisor Map'!A:D,4,FALSE),MID(H5,4,6))  (the app lets the map win over ADP as well)</f>
        <v/>
      </c>
      <c r="F5" s="12" t="inlineStr">
        <is>
          <t>AZ</t>
        </is>
      </c>
      <c r="G5" s="12" t="inlineStr">
        <is>
          <t>The Supervisor Map wins. Otherwise the Supervisor Employee Number exactly as UKG sends it (=R2).</t>
        </is>
      </c>
      <c r="H5" s="12" t="inlineStr">
        <is>
          <t>Supervisor Map</t>
        </is>
      </c>
      <c r="I5" s="12" t="inlineStr">
        <is>
          <t>Blank. A warning if the person is active; blank on purpose means top of the hierarchy.</t>
        </is>
      </c>
    </row>
    <row r="6">
      <c r="A6" s="12" t="inlineStr">
        <is>
          <t>org_unit_1</t>
        </is>
      </c>
      <c r="B6" s="12" t="inlineStr">
        <is>
          <t>Org Unit 1</t>
        </is>
      </c>
      <c r="C6" s="12" t="inlineStr">
        <is>
          <t>AD</t>
        </is>
      </c>
      <c r="D6" s="12" t="inlineStr">
        <is>
          <t>Org Map, looked up by Business Unit Description, returns Org Unit 1 (the first matching row wins).</t>
        </is>
      </c>
      <c r="E6" s="12">
        <f>IFERROR(VLOOKUP(T5,'Org Map'!A:E,4),"BU Description Not Mapped")</f>
        <v/>
      </c>
      <c r="F6" s="12" t="inlineStr">
        <is>
          <t>BA / 305 P</t>
        </is>
      </c>
      <c r="G6" s="12" t="inlineStr">
        <is>
          <t>UKG Company Map, looked up by Site Location Code, returns Concur Company Code.</t>
        </is>
      </c>
      <c r="H6" s="12" t="inlineStr">
        <is>
          <t>Org Map (ADP); UKG Company Map (UKG)</t>
        </is>
      </c>
      <c r="I6" s="12" t="inlineStr">
        <is>
          <t>ADP: "BU Description Not Mapped"; UKG: "Site Location Not Mapped"</t>
        </is>
      </c>
    </row>
    <row r="7">
      <c r="A7" s="12" t="inlineStr">
        <is>
          <t>concur_expense_group</t>
        </is>
      </c>
      <c r="B7" s="12" t="inlineStr">
        <is>
          <t>Concur Expense Group</t>
        </is>
      </c>
      <c r="C7" s="12" t="inlineStr">
        <is>
          <t>-</t>
        </is>
      </c>
      <c r="D7" s="12" t="inlineStr">
        <is>
          <t>The same value as Org Unit 1.</t>
        </is>
      </c>
      <c r="E7" s="12" t="inlineStr">
        <is>
          <t>305 AP = ADP!AD</t>
        </is>
      </c>
      <c r="F7" s="12" t="inlineStr">
        <is>
          <t>305 AP</t>
        </is>
      </c>
      <c r="G7" s="12" t="inlineStr">
        <is>
          <t>UKG Company Map, looked up by Site Location Code, returns Expense Group Code.</t>
        </is>
      </c>
      <c r="H7" s="12" t="inlineStr">
        <is>
          <t>UKG Company Map</t>
        </is>
      </c>
      <c r="I7" s="12" t="inlineStr">
        <is>
          <t>UKG: "Site Location Not Mapped"</t>
        </is>
      </c>
    </row>
    <row r="8">
      <c r="A8" s="12" t="inlineStr">
        <is>
          <t>concur_ledger_code</t>
        </is>
      </c>
      <c r="B8" s="12" t="inlineStr">
        <is>
          <t>Ledger Code</t>
        </is>
      </c>
      <c r="C8" s="12" t="inlineStr">
        <is>
          <t>-</t>
        </is>
      </c>
      <c r="D8" s="12" t="inlineStr">
        <is>
          <t>The same value as Org Unit 1.</t>
        </is>
      </c>
      <c r="E8" s="12" t="inlineStr">
        <is>
          <t>305 L = ADP!AD</t>
        </is>
      </c>
      <c r="F8" s="12" t="inlineStr">
        <is>
          <t>305 L</t>
        </is>
      </c>
      <c r="G8" s="12" t="inlineStr">
        <is>
          <t>UKG Company Map, looked up by Site Location Code, returns Ledger Code. (The workbook formula uses column index 7, which is past the end of the table. The app uses the Ledger Code column, as the heading intends.)</t>
        </is>
      </c>
      <c r="H8" s="12" t="inlineStr">
        <is>
          <t>UKG Company Map</t>
        </is>
      </c>
      <c r="I8" s="12" t="inlineStr">
        <is>
          <t>UKG: "Ledger Code Not Matched"</t>
        </is>
      </c>
    </row>
    <row r="9">
      <c r="A9" s="12" t="inlineStr">
        <is>
          <t>concur_custom_5</t>
        </is>
      </c>
      <c r="B9" s="12" t="inlineStr">
        <is>
          <t>Custom 5 Code</t>
        </is>
      </c>
      <c r="C9" s="12" t="inlineStr">
        <is>
          <t>-</t>
        </is>
      </c>
      <c r="D9" s="12" t="inlineStr">
        <is>
          <t>The same value as Org Unit 1.</t>
        </is>
      </c>
      <c r="E9" s="12" t="inlineStr">
        <is>
          <t>305 Z = ADP!AD</t>
        </is>
      </c>
      <c r="F9" s="12" t="inlineStr">
        <is>
          <t>305 Z</t>
        </is>
      </c>
      <c r="G9" s="12" t="inlineStr">
        <is>
          <t>UKG Company Map, looked up by Site Location Code, returns Custom 5 Code. (The workbook uses index 8; the app uses the Custom 5 Code column.)</t>
        </is>
      </c>
      <c r="H9" s="12" t="inlineStr">
        <is>
          <t>UKG Company Map</t>
        </is>
      </c>
      <c r="I9" s="12" t="inlineStr">
        <is>
          <t>UKG: "Custom 5 Not Matched"</t>
        </is>
      </c>
    </row>
    <row r="10">
      <c r="A10" s="12" t="inlineStr">
        <is>
          <t>org_unit_2</t>
        </is>
      </c>
      <c r="B10" s="12" t="inlineStr">
        <is>
          <t>Org Unit 2</t>
        </is>
      </c>
      <c r="C10" s="12" t="inlineStr">
        <is>
          <t>AE</t>
        </is>
      </c>
      <c r="D10" s="12" t="inlineStr">
        <is>
          <t>Org Map, looked up by Home Department Code, returns Org Unit 2. The app uses an exact match; the workbook formula does an approximate match.</t>
        </is>
      </c>
      <c r="E10" s="12">
        <f>IFERROR(VLOOKUP(V5,'Org Map'!C:E,3),"Home Department Code Not Mapped")</f>
        <v/>
      </c>
      <c r="F10" s="12" t="inlineStr">
        <is>
          <t>BB</t>
        </is>
      </c>
      <c r="G10" s="12" t="inlineStr">
        <is>
          <t>Site Location Code 0077 or 177 (NGP Sweden) gives "0000". Otherwise Org Level 3 Code, and a blank becomes "000".</t>
        </is>
      </c>
      <c r="H10" s="12" t="inlineStr">
        <is>
          <t>Org Map (ADP only)</t>
        </is>
      </c>
      <c r="I10" s="12" t="inlineStr">
        <is>
          <t>ADP: "Home Department Code Not Mapped"; UKG: never unmapped</t>
        </is>
      </c>
    </row>
    <row r="11">
      <c r="A11" s="12" t="inlineStr">
        <is>
          <t>concur_profile</t>
        </is>
      </c>
      <c r="B11" s="12" t="inlineStr">
        <is>
          <t>Concur Profile</t>
        </is>
      </c>
      <c r="C11" s="12" t="inlineStr">
        <is>
          <t>AF</t>
        </is>
      </c>
      <c r="D11" s="12" t="inlineStr">
        <is>
          <t>Salary Map, looked up by Pay Grade Code, returns the Expense Map value.</t>
        </is>
      </c>
      <c r="E11" s="12">
        <f>IFERROR(VLOOKUP(AA5,'Salary Map'!A:D,3,FALSE),"Salary Code Not Mapped")</f>
        <v/>
      </c>
      <c r="F11" s="12" t="inlineStr">
        <is>
          <t>BC</t>
        </is>
      </c>
      <c r="G11" s="12" t="inlineStr">
        <is>
          <t>Salary Map, looked up by the trimmed Salary Grade, returns the Expense Map value.</t>
        </is>
      </c>
      <c r="H11" s="12" t="inlineStr">
        <is>
          <t>Salary Map</t>
        </is>
      </c>
      <c r="I11" s="12" t="inlineStr">
        <is>
          <t>"Salary Code Not Mapped"</t>
        </is>
      </c>
    </row>
    <row r="12">
      <c r="A12" s="13" t="inlineStr">
        <is>
          <t>travel_profile</t>
        </is>
      </c>
      <c r="B12" s="13" t="inlineStr">
        <is>
          <t>Travel Profile</t>
        </is>
      </c>
      <c r="C12" s="13" t="inlineStr">
        <is>
          <t>AG</t>
        </is>
      </c>
      <c r="D12" s="13" t="inlineStr">
        <is>
          <t>Salary Map, looked up by Pay Grade Code, returns the Travel Map value, used as it appears in the map (e.g. 'General US').</t>
        </is>
      </c>
      <c r="E12" s="13">
        <f>IFERROR(VLOOKUP(AA5,'Salary Map'!A:D,4,FALSE),"Salary Code Not Mapped")</f>
        <v/>
      </c>
      <c r="F12" s="13" t="inlineStr">
        <is>
          <t>BD</t>
        </is>
      </c>
      <c r="G12" s="13" t="inlineStr">
        <is>
          <t>Same as ADP, using the trimmed Salary Grade.</t>
        </is>
      </c>
      <c r="H12" s="13" t="inlineStr">
        <is>
          <t>Salary Map</t>
        </is>
      </c>
      <c r="I12" s="13" t="inlineStr">
        <is>
          <t>"Salary Code Not Mapped"</t>
        </is>
      </c>
    </row>
    <row r="13">
      <c r="A13" s="12" t="inlineStr">
        <is>
          <t>invoice_limit</t>
        </is>
      </c>
      <c r="B13" s="12" t="inlineStr">
        <is>
          <t>Invoice Approval Limit</t>
        </is>
      </c>
      <c r="C13" s="12" t="inlineStr">
        <is>
          <t>AH</t>
        </is>
      </c>
      <c r="D13" s="12" t="inlineStr">
        <is>
          <t>Salary Map, looked up by Pay Grade Code, returns the Invoice Approval amount.</t>
        </is>
      </c>
      <c r="E13" s="12">
        <f>IFERROR(VLOOKUP(AA5,'Salary Map'!A:E,5,FALSE),"Invoice Approval Not Mapped")</f>
        <v/>
      </c>
      <c r="F13" s="12" t="inlineStr">
        <is>
          <t>BE</t>
        </is>
      </c>
      <c r="G13" s="12" t="inlineStr">
        <is>
          <t>"0" if Invoice Access = N. Otherwise the Salary Map Invoice Approval amount for the trimmed Salary Grade.</t>
        </is>
      </c>
      <c r="H13" s="12" t="inlineStr">
        <is>
          <t>Salary Map</t>
        </is>
      </c>
      <c r="I13" s="12" t="inlineStr">
        <is>
          <t>"Invoice Approval Not Mapped"</t>
        </is>
      </c>
    </row>
    <row r="14">
      <c r="A14" s="12" t="inlineStr">
        <is>
          <t>legal_country</t>
        </is>
      </c>
      <c r="B14" s="12" t="inlineStr">
        <is>
          <t>Legal Country</t>
        </is>
      </c>
      <c r="C14" s="12" t="inlineStr">
        <is>
          <t>AI</t>
        </is>
      </c>
      <c r="D14" s="12" t="inlineStr">
        <is>
          <t>Country Map, looked up by the 3-character address country code, returns the 2-character Concur code.</t>
        </is>
      </c>
      <c r="E14" s="12">
        <f>IFERROR(VLOOKUP(Z5,'Country Map'!A:B,2,FALSE),"Legal Country Not Mapped")</f>
        <v/>
      </c>
      <c r="F14" s="12" t="inlineStr">
        <is>
          <t>BF</t>
        </is>
      </c>
      <c r="G14" s="12" t="inlineStr">
        <is>
          <t>Country Map, looked up by Country Code, returns the 2-character code.</t>
        </is>
      </c>
      <c r="H14" s="12" t="inlineStr">
        <is>
          <t>Country Map</t>
        </is>
      </c>
      <c r="I14" s="12" t="inlineStr">
        <is>
          <t>ADP: "Legal Country Not Mapped"; UKG: "Country Not Mapped"</t>
        </is>
      </c>
    </row>
    <row r="15">
      <c r="A15" s="12" t="inlineStr">
        <is>
          <t>locale_code</t>
        </is>
      </c>
      <c r="B15" s="12" t="inlineStr">
        <is>
          <t>Locale Code</t>
        </is>
      </c>
      <c r="C15" s="12" t="inlineStr">
        <is>
          <t>AJ</t>
        </is>
      </c>
      <c r="D15" s="12" t="inlineStr">
        <is>
          <t>Language Map, looked up by Language Description, returns a stem such as 'en_'. If that finds nothing, the Org Map default language for the Business Unit is used. Legal Country is then added to the end: 'en_' + 'US' = 'en_US'.</t>
        </is>
      </c>
      <c r="E15" s="12">
        <f>IFERROR(VLOOKUP(X5,'Language Map'!A:C,3,FALSE),IFERROR(VLOOKUP(T5,'Org Map'!A:F,6,FALSE),"ADP and BU Language Code Not Mapped"))&amp;AH5</f>
        <v/>
      </c>
      <c r="F15" s="12" t="inlineStr">
        <is>
          <t>BG / 305 I</t>
        </is>
      </c>
      <c r="G15" s="12" t="inlineStr">
        <is>
          <t>Locale Map (Language Map columns M:O), looked up by the derived 2-character country. 'en_US' if the country is not in the map.</t>
        </is>
      </c>
      <c r="H15" s="12" t="inlineStr">
        <is>
          <t>Language Map, Org Map (ADP); Locale Map (UKG)</t>
        </is>
      </c>
      <c r="I15" s="12" t="inlineStr">
        <is>
          <t>ADP: "ADP and BU Language Code Not Mapped" + country; UKG: "en_US"</t>
        </is>
      </c>
    </row>
    <row r="16">
      <c r="A16" s="12" t="inlineStr">
        <is>
          <t>reimbursement_currency</t>
        </is>
      </c>
      <c r="B16" s="12" t="inlineStr">
        <is>
          <t>Reimbursement Currency</t>
        </is>
      </c>
      <c r="C16" s="12" t="inlineStr">
        <is>
          <t>AK</t>
        </is>
      </c>
      <c r="D16" s="12" t="inlineStr">
        <is>
          <t>Org Map, looked up by Business Unit Description, returns Reimbursement Currency.</t>
        </is>
      </c>
      <c r="E16" s="12">
        <f>IFERROR(VLOOKUP(T5,'Org Map'!A:G,7),"BU Currency Not Mapped")</f>
        <v/>
      </c>
      <c r="F16" s="12" t="inlineStr">
        <is>
          <t>BH</t>
        </is>
      </c>
      <c r="G16" s="12" t="inlineStr">
        <is>
          <t>Country Map, looked up by Country Code, returns Currency Code.</t>
        </is>
      </c>
      <c r="H16" s="12" t="inlineStr">
        <is>
          <t>Org Map (ADP); Country Map (UKG)</t>
        </is>
      </c>
      <c r="I16" s="12" t="inlineStr">
        <is>
          <t>ADP: "BU Currency Not Mapped"; UKG: "Country Not Mapped"</t>
        </is>
      </c>
    </row>
    <row r="17">
      <c r="A17" s="12" t="inlineStr">
        <is>
          <t>preferred_name</t>
        </is>
      </c>
      <c r="B17" s="12" t="inlineStr">
        <is>
          <t>Preferred Name</t>
        </is>
      </c>
      <c r="C17" s="12" t="inlineStr">
        <is>
          <t>AL</t>
        </is>
      </c>
      <c r="D17" s="12" t="inlineStr">
        <is>
          <t>Preferred First Name + ' ' + Preferred Last Name. Blank if there is no preferred first name.</t>
        </is>
      </c>
      <c r="E17" s="12">
        <f>IF(ISBLANK(E5),"",TRIM(E5&amp;" "&amp;F5))</f>
        <v/>
      </c>
      <c r="F17" s="12" t="inlineStr">
        <is>
          <t>BI</t>
        </is>
      </c>
      <c r="G17" s="12" t="inlineStr">
        <is>
          <t>Always blank (the UKG sheet has no formula here).</t>
        </is>
      </c>
      <c r="H17" s="12" t="inlineStr">
        <is>
          <t>-</t>
        </is>
      </c>
      <c r="I17" s="12" t="inlineStr">
        <is>
          <t>-</t>
        </is>
      </c>
    </row>
    <row r="18">
      <c r="A18" s="12" t="inlineStr">
        <is>
          <t>concur_status</t>
        </is>
      </c>
      <c r="B18" s="12" t="inlineStr">
        <is>
          <t>Status</t>
        </is>
      </c>
      <c r="C18" s="12" t="inlineStr">
        <is>
          <t>AM</t>
        </is>
      </c>
      <c r="D18" s="12" t="inlineStr">
        <is>
          <t>Status Map, looked up by Position Status, returns Y (active) or N (inactive).</t>
        </is>
      </c>
      <c r="E18" s="12">
        <f>IFERROR(VLOOKUP(O5,'Status Map'!A:B,2,FALSE),"Position Status Not Mapped")</f>
        <v/>
      </c>
      <c r="F18" s="12" t="inlineStr">
        <is>
          <t>BJ</t>
        </is>
      </c>
      <c r="G18" s="12" t="inlineStr">
        <is>
          <t>Status Map, looked up by Employment Status (UKG 'A' maps to Y).</t>
        </is>
      </c>
      <c r="H18" s="12" t="inlineStr">
        <is>
          <t>Status Map</t>
        </is>
      </c>
      <c r="I18" s="12" t="inlineStr">
        <is>
          <t>"Position Status Not Mapped"</t>
        </is>
      </c>
    </row>
    <row r="19">
      <c r="A19" s="12" t="inlineStr">
        <is>
          <t>term_date</t>
        </is>
      </c>
      <c r="B19" s="12" t="inlineStr">
        <is>
          <t>Term Date</t>
        </is>
      </c>
      <c r="C19" s="12" t="inlineStr">
        <is>
          <t>AN</t>
        </is>
      </c>
      <c r="D19" s="12" t="inlineStr">
        <is>
          <t>If Status = N: Termination Date formatted yyyymmdd. Otherwise blank.</t>
        </is>
      </c>
      <c r="E19" s="12">
        <f>IF(AL5="N",TEXT(M5,"yyyymmdd"),"")</f>
        <v/>
      </c>
      <c r="F19" s="12" t="inlineStr">
        <is>
          <t>BK</t>
        </is>
      </c>
      <c r="G19" s="12" t="inlineStr">
        <is>
          <t>Always blank (the UKG sheet has no formula here).</t>
        </is>
      </c>
      <c r="H19" s="12" t="inlineStr">
        <is>
          <t>-</t>
        </is>
      </c>
      <c r="I19" s="12" t="inlineStr">
        <is>
          <t>Blank. A warning if the person is inactive with no date.</t>
        </is>
      </c>
    </row>
    <row r="20">
      <c r="A20" s="12" t="inlineStr">
        <is>
          <t>invoice_access</t>
        </is>
      </c>
      <c r="B20" s="12" t="inlineStr">
        <is>
          <t>Invoice Access</t>
        </is>
      </c>
      <c r="C20" s="12" t="inlineStr">
        <is>
          <t>AO</t>
        </is>
      </c>
      <c r="D20" s="12" t="inlineStr">
        <is>
          <t>Invoice Exception Map (by File Number) returns Y or N and wins. Otherwise Y if the invoice limit is &gt; 0, else N.</t>
        </is>
      </c>
      <c r="E20" s="12">
        <f>IFERROR(VLOOKUP(P5,'Invoice Exception Map'!A:C,3,FALSE),IF(AH5&gt;0,"Y","N"))</f>
        <v/>
      </c>
      <c r="F20" s="12" t="inlineStr">
        <is>
          <t>BL</t>
        </is>
      </c>
      <c r="G20" s="12" t="inlineStr">
        <is>
          <t>Invoice Exception Map (by Employee Number). Otherwise N. UKG never gets access from the pay grade.</t>
        </is>
      </c>
      <c r="H20" s="12" t="inlineStr">
        <is>
          <t>Invoice Exception Map, Salary Map</t>
        </is>
      </c>
      <c r="I20" s="12" t="inlineStr">
        <is>
          <t>N</t>
        </is>
      </c>
    </row>
    <row r="21">
      <c r="A21" s="13" t="inlineStr">
        <is>
          <t>login_id</t>
        </is>
      </c>
      <c r="B21" s="13" t="inlineStr">
        <is>
          <t>Login ID</t>
        </is>
      </c>
      <c r="C21" s="13" t="inlineStr">
        <is>
          <t>-</t>
        </is>
      </c>
      <c r="D21" s="13" t="inlineStr">
        <is>
          <t>Config login_id rule: the first non-blank of ['work_email'], then prefix '', suffix '', replace_domain '', lowercase=False. With the current config this is the work email, unchanged.</t>
        </is>
      </c>
      <c r="E21" s="13" t="inlineStr">
        <is>
          <t>Not a workbook column (the workbook 305 builds it from the email)</t>
        </is>
      </c>
      <c r="F21" s="13" t="inlineStr">
        <is>
          <t>-</t>
        </is>
      </c>
      <c r="G21" s="13" t="inlineStr">
        <is>
          <t>Same rule as ADP.</t>
        </is>
      </c>
      <c r="H21" s="13" t="inlineStr">
        <is>
          <t>Config</t>
        </is>
      </c>
      <c r="I21" s="13" t="inlineStr">
        <is>
          <t>Blank, which is an error (no Login ID).</t>
        </is>
      </c>
    </row>
  </sheetData>
  <autoFilter ref="A4:I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28" customWidth="1" min="3" max="3"/>
    <col width="16" customWidth="1" min="4" max="4"/>
    <col width="90" customWidth="1" min="5" max="5"/>
  </cols>
  <sheetData>
    <row r="1">
      <c r="A1" s="9" t="inlineStr">
        <is>
          <t>Record 100 - Import Settings</t>
        </is>
      </c>
    </row>
    <row r="2">
      <c r="A2" s="10" t="inlineStr">
        <is>
          <t>The first line of every file. Built from config import_settings, not from the workbook. Current line: 100,0,SSO,UPDATE,EN,N,N</t>
        </is>
      </c>
    </row>
    <row r="4">
      <c r="A4" s="11" t="inlineStr">
        <is>
          <t>Pos</t>
        </is>
      </c>
      <c r="B4" s="11" t="inlineStr">
        <is>
          <t>Col</t>
        </is>
      </c>
      <c r="C4" s="11" t="inlineStr">
        <is>
          <t>Field</t>
        </is>
      </c>
      <c r="D4" s="11" t="inlineStr">
        <is>
          <t>Current Value</t>
        </is>
      </c>
      <c r="E4" s="11" t="inlineStr">
        <is>
          <t>Allowed Values / Meaning</t>
        </is>
      </c>
    </row>
    <row r="5">
      <c r="A5" s="13" t="n">
        <v>1</v>
      </c>
      <c r="B5" s="13" t="inlineStr">
        <is>
          <t>A</t>
        </is>
      </c>
      <c r="C5" s="13" t="inlineStr">
        <is>
          <t>Record Type</t>
        </is>
      </c>
      <c r="D5" s="13" t="inlineStr">
        <is>
          <t>100</t>
        </is>
      </c>
      <c r="E5" s="13" t="inlineStr">
        <is>
          <t>Constant</t>
        </is>
      </c>
    </row>
    <row r="6">
      <c r="A6" s="13" t="n">
        <v>2</v>
      </c>
      <c r="B6" s="13" t="inlineStr">
        <is>
          <t>B</t>
        </is>
      </c>
      <c r="C6" s="13" t="inlineStr">
        <is>
          <t>Error Threshold</t>
        </is>
      </c>
      <c r="D6" s="13" t="inlineStr">
        <is>
          <t>0</t>
        </is>
      </c>
      <c r="E6" s="13" t="inlineStr">
        <is>
          <t>Errors allowed before the import stops. SAP says 0.</t>
        </is>
      </c>
    </row>
    <row r="7">
      <c r="A7" s="13" t="n">
        <v>3</v>
      </c>
      <c r="B7" s="13" t="inlineStr">
        <is>
          <t>C</t>
        </is>
      </c>
      <c r="C7" s="13" t="inlineStr">
        <is>
          <t>Password Generation</t>
        </is>
      </c>
      <c r="D7" s="13" t="inlineStr">
        <is>
          <t>SSO</t>
        </is>
      </c>
      <c r="E7" s="13" t="inlineStr">
        <is>
          <t>EMPID | LOGINID | TEXT | SSO. SSO means the 305 password is ignored.</t>
        </is>
      </c>
    </row>
    <row r="8">
      <c r="A8" s="13" t="n">
        <v>4</v>
      </c>
      <c r="B8" s="13" t="inlineStr">
        <is>
          <t>D</t>
        </is>
      </c>
      <c r="C8" s="13" t="inlineStr">
        <is>
          <t>Existing Record Handling</t>
        </is>
      </c>
      <c r="D8" s="13" t="inlineStr">
        <is>
          <t>UPDATE</t>
        </is>
      </c>
      <c r="E8" s="13" t="inlineStr">
        <is>
          <t>REPLACE | UPDATE | WARN | IGNORE. UPDATE writes only non-blank fields and never overwrites a password.</t>
        </is>
      </c>
    </row>
    <row r="9">
      <c r="A9" s="13" t="n">
        <v>5</v>
      </c>
      <c r="B9" s="13" t="inlineStr">
        <is>
          <t>E</t>
        </is>
      </c>
      <c r="C9" s="13" t="inlineStr">
        <is>
          <t>Language Code</t>
        </is>
      </c>
      <c r="D9" s="13" t="inlineStr">
        <is>
          <t>EN</t>
        </is>
      </c>
      <c r="E9" s="13" t="inlineStr">
        <is>
          <t>Language of any localised text in the file.</t>
        </is>
      </c>
    </row>
    <row r="10">
      <c r="A10" s="13" t="n">
        <v>6</v>
      </c>
      <c r="B10" s="13" t="inlineStr">
        <is>
          <t>F</t>
        </is>
      </c>
      <c r="C10" s="13" t="inlineStr">
        <is>
          <t>Validate Expense Group</t>
        </is>
      </c>
      <c r="D10" s="13" t="inlineStr">
        <is>
          <t>N</t>
        </is>
      </c>
      <c r="E10" s="13" t="inlineStr">
        <is>
          <t>Y | N (SAP default Y).</t>
        </is>
      </c>
    </row>
    <row r="11">
      <c r="A11" s="13" t="n">
        <v>7</v>
      </c>
      <c r="B11" s="13" t="inlineStr">
        <is>
          <t>G</t>
        </is>
      </c>
      <c r="C11" s="13" t="inlineStr">
        <is>
          <t>Validate Payment Group</t>
        </is>
      </c>
      <c r="D11" s="13" t="inlineStr">
        <is>
          <t>N</t>
        </is>
      </c>
      <c r="E11" s="13" t="inlineStr">
        <is>
          <t>Y | N (SAP default Y).</t>
        </is>
      </c>
    </row>
  </sheetData>
  <autoFilter ref="A4: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1"/>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34" customWidth="1" min="3" max="3"/>
    <col width="52" customWidth="1" min="4" max="4"/>
    <col width="52" customWidth="1" min="5" max="5"/>
    <col width="8" customWidth="1" min="6" max="6"/>
    <col width="60" customWidth="1" min="7" max="7"/>
  </cols>
  <sheetData>
    <row r="1">
      <c r="A1" s="9" t="inlineStr">
        <is>
          <t>Record 305 - Field Mapping</t>
        </is>
      </c>
    </row>
    <row r="2">
      <c r="A2" s="10" t="inlineStr">
        <is>
          <t>Employee profile. Every employee, active and terminated. Password (G) is ignored because Password Generation = SSO. 137 positions, 29 filled. Every position is written, even when empty.</t>
        </is>
      </c>
    </row>
    <row r="4">
      <c r="A4" s="11" t="inlineStr">
        <is>
          <t>Pos</t>
        </is>
      </c>
      <c r="B4" s="11" t="inlineStr">
        <is>
          <t>Col</t>
        </is>
      </c>
      <c r="C4" s="11" t="inlineStr">
        <is>
          <t>Concur Field</t>
        </is>
      </c>
      <c r="D4" s="11" t="inlineStr">
        <is>
          <t>ADP Value</t>
        </is>
      </c>
      <c r="E4" s="11" t="inlineStr">
        <is>
          <t>UKG Value</t>
        </is>
      </c>
      <c r="F4" s="11" t="inlineStr">
        <is>
          <t>Max Len</t>
        </is>
      </c>
      <c r="G4" s="11" t="inlineStr">
        <is>
          <t>Full Template Heading</t>
        </is>
      </c>
    </row>
    <row r="5">
      <c r="A5" s="16" t="n">
        <v>1</v>
      </c>
      <c r="B5" s="16" t="inlineStr">
        <is>
          <t>A</t>
        </is>
      </c>
      <c r="C5" s="16" t="inlineStr">
        <is>
          <t>Trx Type</t>
        </is>
      </c>
      <c r="D5" s="16" t="inlineStr">
        <is>
          <t>Constant "305"</t>
        </is>
      </c>
      <c r="E5" s="16" t="inlineStr">
        <is>
          <t>Constant "305"</t>
        </is>
      </c>
      <c r="F5" s="16" t="inlineStr">
        <is>
          <t>3</t>
        </is>
      </c>
      <c r="G5" s="16" t="inlineStr">
        <is>
          <t>Trx Type (305)</t>
        </is>
      </c>
    </row>
    <row r="6">
      <c r="A6" s="12" t="n">
        <v>2</v>
      </c>
      <c r="B6" s="12" t="inlineStr">
        <is>
          <t>B</t>
        </is>
      </c>
      <c r="C6" s="12" t="inlineStr">
        <is>
          <t>First Name</t>
        </is>
      </c>
      <c r="D6" s="12" t="inlineStr">
        <is>
          <t>ADP: Legal First Name (col B)  [legal_first_name]</t>
        </is>
      </c>
      <c r="E6" s="12" t="inlineStr">
        <is>
          <t>UKG: Employee Name (Last Suffix, First MI) (col F), text after the comma  [legal_first_name]</t>
        </is>
      </c>
      <c r="F6" s="12" t="inlineStr">
        <is>
          <t>32</t>
        </is>
      </c>
      <c r="G6" s="12" t="inlineStr"/>
    </row>
    <row r="7">
      <c r="A7" s="12" t="n">
        <v>3</v>
      </c>
      <c r="B7" s="12" t="inlineStr">
        <is>
          <t>C</t>
        </is>
      </c>
      <c r="C7" s="12" t="inlineStr">
        <is>
          <t>Middle Name</t>
        </is>
      </c>
      <c r="D7" s="12" t="inlineStr">
        <is>
          <t>ADP: Middle Initial (col C)  [middle_initial]</t>
        </is>
      </c>
      <c r="E7" s="12" t="inlineStr">
        <is>
          <t>(blank - no source)</t>
        </is>
      </c>
      <c r="F7" s="12" t="inlineStr">
        <is>
          <t>32</t>
        </is>
      </c>
      <c r="G7" s="12" t="inlineStr">
        <is>
          <t>Middle Name (required for travel ONLY if on traveler's ID)</t>
        </is>
      </c>
    </row>
    <row r="8">
      <c r="A8" s="12" t="n">
        <v>4</v>
      </c>
      <c r="B8" s="12" t="inlineStr">
        <is>
          <t>D</t>
        </is>
      </c>
      <c r="C8" s="12" t="inlineStr">
        <is>
          <t>Last Name</t>
        </is>
      </c>
      <c r="D8" s="12" t="inlineStr">
        <is>
          <t>ADP: Legal Last Name (col D)  [legal_last_name]</t>
        </is>
      </c>
      <c r="E8" s="12" t="inlineStr">
        <is>
          <t>UKG: Employee Name (Last Suffix, First MI) (col F), text before the comma  [legal_last_name]</t>
        </is>
      </c>
      <c r="F8" s="12" t="inlineStr">
        <is>
          <t>32</t>
        </is>
      </c>
      <c r="G8" s="12" t="inlineStr"/>
    </row>
    <row r="9">
      <c r="A9" s="12" t="n">
        <v>5</v>
      </c>
      <c r="B9" s="12" t="inlineStr">
        <is>
          <t>E</t>
        </is>
      </c>
      <c r="C9" s="12" t="inlineStr">
        <is>
          <t>Employee ID</t>
        </is>
      </c>
      <c r="D9" s="12" t="inlineStr">
        <is>
          <t>ADP: File Number (col P)  [file_number]</t>
        </is>
      </c>
      <c r="E9" s="12" t="inlineStr">
        <is>
          <t>UKG: Employee Number (col D)  [file_number]</t>
        </is>
      </c>
      <c r="F9" s="12" t="inlineStr">
        <is>
          <t>48</t>
        </is>
      </c>
      <c r="G9" s="12" t="inlineStr">
        <is>
          <t>Employee ID (Cannot be changed using this record - reference 320)</t>
        </is>
      </c>
    </row>
    <row r="10">
      <c r="A10" s="13" t="n">
        <v>6</v>
      </c>
      <c r="B10" s="13" t="inlineStr">
        <is>
          <t>F</t>
        </is>
      </c>
      <c r="C10" s="13" t="inlineStr">
        <is>
          <t>Login ID</t>
        </is>
      </c>
      <c r="D10" s="13" t="inlineStr">
        <is>
          <t>Derived: Login ID  [login_id]</t>
        </is>
      </c>
      <c r="E10" s="13" t="inlineStr">
        <is>
          <t>Derived: Login ID  [login_id]</t>
        </is>
      </c>
      <c r="F10" s="13" t="inlineStr">
        <is>
          <t>64</t>
        </is>
      </c>
      <c r="G10" s="13" t="inlineStr">
        <is>
          <t>Login ID (Cannot be changed using this record - reference 320)</t>
        </is>
      </c>
    </row>
    <row r="11">
      <c r="A11" s="13" t="n">
        <v>7</v>
      </c>
      <c r="B11" s="13" t="inlineStr">
        <is>
          <t>G</t>
        </is>
      </c>
      <c r="C11" s="13" t="inlineStr">
        <is>
          <t>Password</t>
        </is>
      </c>
      <c r="D11" s="13" t="inlineStr">
        <is>
          <t>Config "password" (currently "Welcome01"); a hand-keyed employee's own password wins</t>
        </is>
      </c>
      <c r="E11" s="13" t="inlineStr">
        <is>
          <t>Config "password" (currently "Welcome01"); a hand-keyed employee's own password wins</t>
        </is>
      </c>
      <c r="F11" s="13" t="inlineStr">
        <is>
          <t>30</t>
        </is>
      </c>
      <c r="G11" s="13" t="inlineStr">
        <is>
          <t>Password (only required if Password Gen in 100 = TEXT)</t>
        </is>
      </c>
    </row>
    <row r="12">
      <c r="A12" s="12" t="n">
        <v>8</v>
      </c>
      <c r="B12" s="12" t="inlineStr">
        <is>
          <t>H</t>
        </is>
      </c>
      <c r="C12" s="12" t="inlineStr">
        <is>
          <t>Email Address</t>
        </is>
      </c>
      <c r="D12" s="12" t="inlineStr">
        <is>
          <t>ADP: Work Contact: Work Email (col I)  [work_email]</t>
        </is>
      </c>
      <c r="E12" s="12" t="inlineStr">
        <is>
          <t>UKG: E-mail Address (col AQ)  [work_email]</t>
        </is>
      </c>
      <c r="F12" s="12" t="inlineStr">
        <is>
          <t>255</t>
        </is>
      </c>
      <c r="G12" s="12" t="inlineStr">
        <is>
          <t>Email Address (required for Concur Travel &amp; Expense)</t>
        </is>
      </c>
    </row>
    <row r="13">
      <c r="A13" s="13" t="n">
        <v>9</v>
      </c>
      <c r="B13" s="13" t="inlineStr">
        <is>
          <t>I</t>
        </is>
      </c>
      <c r="C13" s="13" t="inlineStr">
        <is>
          <t>Locale Code</t>
        </is>
      </c>
      <c r="D13" s="13" t="inlineStr">
        <is>
          <t>Derived: Locale Code  [locale_code]</t>
        </is>
      </c>
      <c r="E13" s="13" t="inlineStr">
        <is>
          <t>Derived: Locale Code  [locale_code]</t>
        </is>
      </c>
      <c r="F13" s="13" t="inlineStr">
        <is>
          <t>5</t>
        </is>
      </c>
      <c r="G13" s="13" t="inlineStr"/>
    </row>
    <row r="14">
      <c r="A14" s="13" t="n">
        <v>10</v>
      </c>
      <c r="B14" s="13" t="inlineStr">
        <is>
          <t>J</t>
        </is>
      </c>
      <c r="C14" s="13" t="inlineStr">
        <is>
          <t>Ctry Code</t>
        </is>
      </c>
      <c r="D14" s="13" t="inlineStr">
        <is>
          <t>Derived: Legal Country  [legal_country]</t>
        </is>
      </c>
      <c r="E14" s="13" t="inlineStr">
        <is>
          <t>Derived: Legal Country  [legal_country]</t>
        </is>
      </c>
      <c r="F14" s="13" t="inlineStr">
        <is>
          <t>3</t>
        </is>
      </c>
      <c r="G14" s="13" t="inlineStr"/>
    </row>
    <row r="15">
      <c r="A15" s="17" t="n">
        <v>11</v>
      </c>
      <c r="B15" s="17" t="inlineStr">
        <is>
          <t>K</t>
        </is>
      </c>
      <c r="C15" s="17" t="inlineStr">
        <is>
          <t>Ctry Sub Code</t>
        </is>
      </c>
      <c r="D15" s="17" t="inlineStr"/>
      <c r="E15" s="17" t="inlineStr"/>
      <c r="F15" s="17" t="inlineStr">
        <is>
          <t>6</t>
        </is>
      </c>
      <c r="G15" s="17" t="inlineStr"/>
    </row>
    <row r="16">
      <c r="A16" s="12" t="n">
        <v>12</v>
      </c>
      <c r="B16" s="12" t="inlineStr">
        <is>
          <t>L</t>
        </is>
      </c>
      <c r="C16" s="12" t="inlineStr">
        <is>
          <t>Ledger Code</t>
        </is>
      </c>
      <c r="D16" s="12" t="inlineStr">
        <is>
          <t>Derived: Org Unit 1  [org_unit_1]</t>
        </is>
      </c>
      <c r="E16" s="12" t="inlineStr">
        <is>
          <t>Derived: Ledger Code  [concur_ledger_code]</t>
        </is>
      </c>
      <c r="F16" s="12" t="inlineStr">
        <is>
          <t>20</t>
        </is>
      </c>
      <c r="G16" s="12" t="inlineStr"/>
    </row>
    <row r="17">
      <c r="A17" s="13" t="n">
        <v>13</v>
      </c>
      <c r="B17" s="13" t="inlineStr">
        <is>
          <t>M</t>
        </is>
      </c>
      <c r="C17" s="13" t="inlineStr">
        <is>
          <t>Reimbursement CRN Code</t>
        </is>
      </c>
      <c r="D17" s="13" t="inlineStr">
        <is>
          <t>Derived: Reimbursement Currency  [reimbursement_currency]</t>
        </is>
      </c>
      <c r="E17" s="13" t="inlineStr">
        <is>
          <t>Derived: Reimbursement Currency  [reimbursement_currency]</t>
        </is>
      </c>
      <c r="F17" s="13" t="inlineStr">
        <is>
          <t>6</t>
        </is>
      </c>
      <c r="G17" s="13" t="inlineStr"/>
    </row>
    <row r="18">
      <c r="A18" s="17" t="n">
        <v>14</v>
      </c>
      <c r="B18" s="17" t="inlineStr">
        <is>
          <t>N</t>
        </is>
      </c>
      <c r="C18" s="17" t="inlineStr">
        <is>
          <t>Cash Advance Account Code</t>
        </is>
      </c>
      <c r="D18" s="17" t="inlineStr"/>
      <c r="E18" s="17" t="inlineStr"/>
      <c r="F18" s="17" t="inlineStr">
        <is>
          <t>20</t>
        </is>
      </c>
      <c r="G18" s="17" t="inlineStr"/>
    </row>
    <row r="19">
      <c r="A19" s="13" t="n">
        <v>15</v>
      </c>
      <c r="B19" s="13" t="inlineStr">
        <is>
          <t>O</t>
        </is>
      </c>
      <c r="C19" s="13" t="inlineStr">
        <is>
          <t>Active</t>
        </is>
      </c>
      <c r="D19" s="13" t="inlineStr">
        <is>
          <t>Derived: Status  [concur_status]</t>
        </is>
      </c>
      <c r="E19" s="13" t="inlineStr">
        <is>
          <t>Derived: Status  [concur_status]</t>
        </is>
      </c>
      <c r="F19" s="13" t="inlineStr">
        <is>
          <t>1</t>
        </is>
      </c>
      <c r="G19" s="13" t="inlineStr">
        <is>
          <t>Active (Y/N)</t>
        </is>
      </c>
    </row>
    <row r="20">
      <c r="A20" s="13" t="n">
        <v>16</v>
      </c>
      <c r="B20" s="13" t="inlineStr">
        <is>
          <t>P</t>
        </is>
      </c>
      <c r="C20" s="13" t="inlineStr">
        <is>
          <t>Org Unit 1</t>
        </is>
      </c>
      <c r="D20" s="13" t="inlineStr">
        <is>
          <t>Derived: Org Unit 1  [org_unit_1]</t>
        </is>
      </c>
      <c r="E20" s="13" t="inlineStr">
        <is>
          <t>Derived: Org Unit 1  [org_unit_1]</t>
        </is>
      </c>
      <c r="F20" s="13" t="inlineStr">
        <is>
          <t>48</t>
        </is>
      </c>
      <c r="G20" s="13" t="inlineStr"/>
    </row>
    <row r="21">
      <c r="A21" s="13" t="n">
        <v>17</v>
      </c>
      <c r="B21" s="13" t="inlineStr">
        <is>
          <t>Q</t>
        </is>
      </c>
      <c r="C21" s="13" t="inlineStr">
        <is>
          <t>Org Unit 2</t>
        </is>
      </c>
      <c r="D21" s="13" t="inlineStr">
        <is>
          <t>Derived: Org Unit 2  [org_unit_2]</t>
        </is>
      </c>
      <c r="E21" s="13" t="inlineStr">
        <is>
          <t>Derived: Org Unit 2  [org_unit_2]</t>
        </is>
      </c>
      <c r="F21" s="13" t="inlineStr">
        <is>
          <t>48</t>
        </is>
      </c>
      <c r="G21" s="13" t="inlineStr"/>
    </row>
    <row r="22">
      <c r="A22" s="17" t="n">
        <v>18</v>
      </c>
      <c r="B22" s="17" t="inlineStr">
        <is>
          <t>R</t>
        </is>
      </c>
      <c r="C22" s="17" t="inlineStr">
        <is>
          <t>Org Unit 3</t>
        </is>
      </c>
      <c r="D22" s="17" t="inlineStr"/>
      <c r="E22" s="17" t="inlineStr"/>
      <c r="F22" s="17" t="inlineStr">
        <is>
          <t>48</t>
        </is>
      </c>
      <c r="G22" s="17" t="inlineStr"/>
    </row>
    <row r="23">
      <c r="A23" s="17" t="n">
        <v>19</v>
      </c>
      <c r="B23" s="17" t="inlineStr">
        <is>
          <t>S</t>
        </is>
      </c>
      <c r="C23" s="17" t="inlineStr">
        <is>
          <t>Org Unit 4</t>
        </is>
      </c>
      <c r="D23" s="17" t="inlineStr"/>
      <c r="E23" s="17" t="inlineStr"/>
      <c r="F23" s="17" t="inlineStr">
        <is>
          <t>48</t>
        </is>
      </c>
      <c r="G23" s="17" t="inlineStr"/>
    </row>
    <row r="24">
      <c r="A24" s="17" t="n">
        <v>20</v>
      </c>
      <c r="B24" s="17" t="inlineStr">
        <is>
          <t>T</t>
        </is>
      </c>
      <c r="C24" s="17" t="inlineStr">
        <is>
          <t>Org Unit 5</t>
        </is>
      </c>
      <c r="D24" s="17" t="inlineStr"/>
      <c r="E24" s="17" t="inlineStr"/>
      <c r="F24" s="17" t="inlineStr">
        <is>
          <t>48</t>
        </is>
      </c>
      <c r="G24" s="17" t="inlineStr"/>
    </row>
    <row r="25">
      <c r="A25" s="17" t="n">
        <v>21</v>
      </c>
      <c r="B25" s="17" t="inlineStr">
        <is>
          <t>U</t>
        </is>
      </c>
      <c r="C25" s="17" t="inlineStr">
        <is>
          <t>Org Unit 6</t>
        </is>
      </c>
      <c r="D25" s="17" t="inlineStr"/>
      <c r="E25" s="17" t="inlineStr"/>
      <c r="F25" s="17" t="inlineStr">
        <is>
          <t>48</t>
        </is>
      </c>
      <c r="G25" s="17" t="inlineStr"/>
    </row>
    <row r="26">
      <c r="A26" s="17" t="n">
        <v>22</v>
      </c>
      <c r="B26" s="17" t="inlineStr">
        <is>
          <t>V</t>
        </is>
      </c>
      <c r="C26" s="17" t="inlineStr">
        <is>
          <t>Custom 1</t>
        </is>
      </c>
      <c r="D26" s="17" t="inlineStr"/>
      <c r="E26" s="17" t="inlineStr"/>
      <c r="F26" s="17" t="inlineStr">
        <is>
          <t>48</t>
        </is>
      </c>
      <c r="G26" s="17" t="inlineStr"/>
    </row>
    <row r="27">
      <c r="A27" s="12" t="n">
        <v>23</v>
      </c>
      <c r="B27" s="12" t="inlineStr">
        <is>
          <t>W</t>
        </is>
      </c>
      <c r="C27" s="12" t="inlineStr">
        <is>
          <t>Custom 2</t>
        </is>
      </c>
      <c r="D27" s="12" t="inlineStr">
        <is>
          <t>ADP: Pay Grade Code (col AA)  [pay_grade_code]</t>
        </is>
      </c>
      <c r="E27" s="12" t="inlineStr">
        <is>
          <t>UKG: Salary Grade (col Q)  [pay_grade_code]</t>
        </is>
      </c>
      <c r="F27" s="12" t="inlineStr">
        <is>
          <t>48</t>
        </is>
      </c>
      <c r="G27" s="12" t="inlineStr"/>
    </row>
    <row r="28">
      <c r="A28" s="13" t="n">
        <v>24</v>
      </c>
      <c r="B28" s="13" t="inlineStr">
        <is>
          <t>X</t>
        </is>
      </c>
      <c r="C28" s="13" t="inlineStr">
        <is>
          <t>Custom 3</t>
        </is>
      </c>
      <c r="D28" s="13" t="inlineStr">
        <is>
          <t>Derived: Concur Profile  [concur_profile]</t>
        </is>
      </c>
      <c r="E28" s="13" t="inlineStr">
        <is>
          <t>Derived: Concur Profile  [concur_profile]</t>
        </is>
      </c>
      <c r="F28" s="13" t="inlineStr">
        <is>
          <t>48</t>
        </is>
      </c>
      <c r="G28" s="13" t="inlineStr"/>
    </row>
    <row r="29">
      <c r="A29" s="17" t="n">
        <v>25</v>
      </c>
      <c r="B29" s="17" t="inlineStr">
        <is>
          <t>Y</t>
        </is>
      </c>
      <c r="C29" s="17" t="inlineStr">
        <is>
          <t>Custom 4</t>
        </is>
      </c>
      <c r="D29" s="17" t="inlineStr"/>
      <c r="E29" s="17" t="inlineStr"/>
      <c r="F29" s="17" t="inlineStr">
        <is>
          <t>48</t>
        </is>
      </c>
      <c r="G29" s="17" t="inlineStr"/>
    </row>
    <row r="30">
      <c r="A30" s="12" t="n">
        <v>26</v>
      </c>
      <c r="B30" s="12" t="inlineStr">
        <is>
          <t>Z</t>
        </is>
      </c>
      <c r="C30" s="12" t="inlineStr">
        <is>
          <t>Custom 5: UKG Site Location</t>
        </is>
      </c>
      <c r="D30" s="12" t="inlineStr">
        <is>
          <t>Derived: Org Unit 1  [org_unit_1]</t>
        </is>
      </c>
      <c r="E30" s="12" t="inlineStr">
        <is>
          <t>Derived: Custom 5 Code  [concur_custom_5]</t>
        </is>
      </c>
      <c r="F30" s="12" t="inlineStr">
        <is>
          <t>48</t>
        </is>
      </c>
      <c r="G30" s="12" t="inlineStr"/>
    </row>
    <row r="31">
      <c r="A31" s="17" t="n">
        <v>27</v>
      </c>
      <c r="B31" s="17" t="inlineStr">
        <is>
          <t>AA</t>
        </is>
      </c>
      <c r="C31" s="17" t="inlineStr">
        <is>
          <t>Custom 6</t>
        </is>
      </c>
      <c r="D31" s="17" t="inlineStr"/>
      <c r="E31" s="17" t="inlineStr"/>
      <c r="F31" s="17" t="inlineStr">
        <is>
          <t>48</t>
        </is>
      </c>
      <c r="G31" s="17" t="inlineStr"/>
    </row>
    <row r="32">
      <c r="A32" s="12" t="n">
        <v>28</v>
      </c>
      <c r="B32" s="12" t="inlineStr">
        <is>
          <t>AB</t>
        </is>
      </c>
      <c r="C32" s="12" t="inlineStr">
        <is>
          <t>Custom 7</t>
        </is>
      </c>
      <c r="D32" s="12" t="inlineStr">
        <is>
          <t>Derived: Term Date  [term_date]</t>
        </is>
      </c>
      <c r="E32" s="12" t="inlineStr">
        <is>
          <t>(blank - no source)</t>
        </is>
      </c>
      <c r="F32" s="12" t="inlineStr">
        <is>
          <t>48</t>
        </is>
      </c>
      <c r="G32" s="12" t="inlineStr"/>
    </row>
    <row r="33">
      <c r="A33" s="12" t="n">
        <v>29</v>
      </c>
      <c r="B33" s="12" t="inlineStr">
        <is>
          <t>AC</t>
        </is>
      </c>
      <c r="C33" s="12" t="inlineStr">
        <is>
          <t>Custom 8</t>
        </is>
      </c>
      <c r="D33" s="12" t="inlineStr">
        <is>
          <t>Derived: Preferred Name  [preferred_name]</t>
        </is>
      </c>
      <c r="E33" s="12" t="inlineStr">
        <is>
          <t>(blank - no source)</t>
        </is>
      </c>
      <c r="F33" s="12" t="inlineStr">
        <is>
          <t>48</t>
        </is>
      </c>
      <c r="G33" s="12" t="inlineStr"/>
    </row>
    <row r="34">
      <c r="A34" s="17" t="n">
        <v>30</v>
      </c>
      <c r="B34" s="17" t="inlineStr">
        <is>
          <t>AD</t>
        </is>
      </c>
      <c r="C34" s="17" t="inlineStr">
        <is>
          <t>Custom 9</t>
        </is>
      </c>
      <c r="D34" s="17" t="inlineStr"/>
      <c r="E34" s="17" t="inlineStr"/>
      <c r="F34" s="17" t="inlineStr">
        <is>
          <t>48</t>
        </is>
      </c>
      <c r="G34" s="17" t="inlineStr"/>
    </row>
    <row r="35">
      <c r="A35" s="12" t="n">
        <v>31</v>
      </c>
      <c r="B35" s="12" t="inlineStr">
        <is>
          <t>AE</t>
        </is>
      </c>
      <c r="C35" s="12" t="inlineStr">
        <is>
          <t>Custom 10</t>
        </is>
      </c>
      <c r="D35" s="12" t="inlineStr">
        <is>
          <t>If column BU = Y then column AP, else blank</t>
        </is>
      </c>
      <c r="E35" s="12" t="inlineStr">
        <is>
          <t>If column BU = Y then constant "0088", else blank</t>
        </is>
      </c>
      <c r="F35" s="12" t="inlineStr">
        <is>
          <t>48</t>
        </is>
      </c>
      <c r="G35" s="12" t="inlineStr">
        <is>
          <t>Custom 10 - FMG Config uses this for Invoice Group</t>
        </is>
      </c>
    </row>
    <row r="36">
      <c r="A36" s="17" t="n">
        <v>32</v>
      </c>
      <c r="B36" s="17" t="inlineStr">
        <is>
          <t>AF</t>
        </is>
      </c>
      <c r="C36" s="17" t="inlineStr">
        <is>
          <t>Custom 11</t>
        </is>
      </c>
      <c r="D36" s="17" t="inlineStr"/>
      <c r="E36" s="17" t="inlineStr"/>
      <c r="F36" s="17" t="inlineStr">
        <is>
          <t>48</t>
        </is>
      </c>
      <c r="G36" s="17" t="inlineStr"/>
    </row>
    <row r="37">
      <c r="A37" s="17" t="n">
        <v>33</v>
      </c>
      <c r="B37" s="17" t="inlineStr">
        <is>
          <t>AG</t>
        </is>
      </c>
      <c r="C37" s="17" t="inlineStr">
        <is>
          <t>Custom 12</t>
        </is>
      </c>
      <c r="D37" s="17" t="inlineStr"/>
      <c r="E37" s="17" t="inlineStr"/>
      <c r="F37" s="17" t="inlineStr">
        <is>
          <t>48</t>
        </is>
      </c>
      <c r="G37" s="17" t="inlineStr"/>
    </row>
    <row r="38">
      <c r="A38" s="17" t="n">
        <v>34</v>
      </c>
      <c r="B38" s="17" t="inlineStr">
        <is>
          <t>AH</t>
        </is>
      </c>
      <c r="C38" s="17" t="inlineStr">
        <is>
          <t>Custom 13</t>
        </is>
      </c>
      <c r="D38" s="17" t="inlineStr"/>
      <c r="E38" s="17" t="inlineStr"/>
      <c r="F38" s="17" t="inlineStr">
        <is>
          <t>48</t>
        </is>
      </c>
      <c r="G38" s="17" t="inlineStr"/>
    </row>
    <row r="39">
      <c r="A39" s="17" t="n">
        <v>35</v>
      </c>
      <c r="B39" s="17" t="inlineStr">
        <is>
          <t>AI</t>
        </is>
      </c>
      <c r="C39" s="17" t="inlineStr">
        <is>
          <t>Custom 14</t>
        </is>
      </c>
      <c r="D39" s="17" t="inlineStr"/>
      <c r="E39" s="17" t="inlineStr"/>
      <c r="F39" s="17" t="inlineStr">
        <is>
          <t>48</t>
        </is>
      </c>
      <c r="G39" s="17" t="inlineStr"/>
    </row>
    <row r="40">
      <c r="A40" s="17" t="n">
        <v>36</v>
      </c>
      <c r="B40" s="17" t="inlineStr">
        <is>
          <t>AJ</t>
        </is>
      </c>
      <c r="C40" s="17" t="inlineStr">
        <is>
          <t>Custom 15</t>
        </is>
      </c>
      <c r="D40" s="17" t="inlineStr"/>
      <c r="E40" s="17" t="inlineStr"/>
      <c r="F40" s="17" t="inlineStr">
        <is>
          <t>48</t>
        </is>
      </c>
      <c r="G40" s="17" t="inlineStr"/>
    </row>
    <row r="41">
      <c r="A41" s="17" t="n">
        <v>37</v>
      </c>
      <c r="B41" s="17" t="inlineStr">
        <is>
          <t>AK</t>
        </is>
      </c>
      <c r="C41" s="17" t="inlineStr">
        <is>
          <t>Custom 16</t>
        </is>
      </c>
      <c r="D41" s="17" t="inlineStr"/>
      <c r="E41" s="17" t="inlineStr"/>
      <c r="F41" s="17" t="inlineStr">
        <is>
          <t>48</t>
        </is>
      </c>
      <c r="G41" s="17" t="inlineStr"/>
    </row>
    <row r="42">
      <c r="A42" s="17" t="n">
        <v>38</v>
      </c>
      <c r="B42" s="17" t="inlineStr">
        <is>
          <t>AL</t>
        </is>
      </c>
      <c r="C42" s="17" t="inlineStr">
        <is>
          <t>Custom 17</t>
        </is>
      </c>
      <c r="D42" s="17" t="inlineStr"/>
      <c r="E42" s="17" t="inlineStr"/>
      <c r="F42" s="17" t="inlineStr">
        <is>
          <t>48</t>
        </is>
      </c>
      <c r="G42" s="17" t="inlineStr">
        <is>
          <t>Custom 17 (AP Vendor ID)</t>
        </is>
      </c>
    </row>
    <row r="43">
      <c r="A43" s="17" t="n">
        <v>39</v>
      </c>
      <c r="B43" s="17" t="inlineStr">
        <is>
          <t>AM</t>
        </is>
      </c>
      <c r="C43" s="17" t="inlineStr">
        <is>
          <t>Custom 18</t>
        </is>
      </c>
      <c r="D43" s="17" t="inlineStr"/>
      <c r="E43" s="17" t="inlineStr"/>
      <c r="F43" s="17" t="inlineStr">
        <is>
          <t>48</t>
        </is>
      </c>
      <c r="G43" s="17" t="inlineStr"/>
    </row>
    <row r="44">
      <c r="A44" s="17" t="n">
        <v>40</v>
      </c>
      <c r="B44" s="17" t="inlineStr">
        <is>
          <t>AN</t>
        </is>
      </c>
      <c r="C44" s="17" t="inlineStr">
        <is>
          <t>Custom 19</t>
        </is>
      </c>
      <c r="D44" s="17" t="inlineStr"/>
      <c r="E44" s="17" t="inlineStr"/>
      <c r="F44" s="17" t="inlineStr">
        <is>
          <t>48</t>
        </is>
      </c>
      <c r="G44" s="17" t="inlineStr"/>
    </row>
    <row r="45">
      <c r="A45" s="17" t="n">
        <v>41</v>
      </c>
      <c r="B45" s="17" t="inlineStr">
        <is>
          <t>AO</t>
        </is>
      </c>
      <c r="C45" s="17" t="inlineStr">
        <is>
          <t>Custom 20</t>
        </is>
      </c>
      <c r="D45" s="17" t="inlineStr"/>
      <c r="E45" s="17" t="inlineStr"/>
      <c r="F45" s="17" t="inlineStr">
        <is>
          <t>48</t>
        </is>
      </c>
      <c r="G45" s="17" t="inlineStr"/>
    </row>
    <row r="46">
      <c r="A46" s="12" t="n">
        <v>42</v>
      </c>
      <c r="B46" s="12" t="inlineStr">
        <is>
          <t>AP</t>
        </is>
      </c>
      <c r="C46" s="12" t="inlineStr">
        <is>
          <t>Custom 21 Concur Expense Group Hierarchy</t>
        </is>
      </c>
      <c r="D46" s="12" t="inlineStr">
        <is>
          <t>Derived: Org Unit 1  [org_unit_1]</t>
        </is>
      </c>
      <c r="E46" s="12" t="inlineStr">
        <is>
          <t>Derived: Concur Expense Group  [concur_expense_group]</t>
        </is>
      </c>
      <c r="F46" s="12" t="inlineStr">
        <is>
          <t>48</t>
        </is>
      </c>
      <c r="G46" s="12" t="inlineStr"/>
    </row>
    <row r="47">
      <c r="A47" s="17" t="n">
        <v>43</v>
      </c>
      <c r="B47" s="17" t="inlineStr">
        <is>
          <t>AQ</t>
        </is>
      </c>
      <c r="C47" s="17" t="inlineStr">
        <is>
          <t>Send email when the cash advance status changes</t>
        </is>
      </c>
      <c r="D47" s="17" t="inlineStr"/>
      <c r="E47" s="17" t="inlineStr"/>
      <c r="F47" s="17" t="inlineStr">
        <is>
          <t>1</t>
        </is>
      </c>
      <c r="G47" s="17" t="inlineStr"/>
    </row>
    <row r="48">
      <c r="A48" s="17" t="n">
        <v>44</v>
      </c>
      <c r="B48" s="17" t="inlineStr">
        <is>
          <t>AR</t>
        </is>
      </c>
      <c r="C48" s="17" t="inlineStr">
        <is>
          <t>Send email when a cash advance is awaiting approval</t>
        </is>
      </c>
      <c r="D48" s="17" t="inlineStr"/>
      <c r="E48" s="17" t="inlineStr"/>
      <c r="F48" s="17" t="inlineStr">
        <is>
          <t>1</t>
        </is>
      </c>
      <c r="G48" s="17" t="inlineStr"/>
    </row>
    <row r="49">
      <c r="A49" s="17" t="n">
        <v>45</v>
      </c>
      <c r="B49" s="17" t="inlineStr">
        <is>
          <t>AS</t>
        </is>
      </c>
      <c r="C49" s="17" t="inlineStr">
        <is>
          <t>Send email when the report status changes</t>
        </is>
      </c>
      <c r="D49" s="17" t="inlineStr"/>
      <c r="E49" s="17" t="inlineStr"/>
      <c r="F49" s="17" t="inlineStr">
        <is>
          <t>1</t>
        </is>
      </c>
      <c r="G49" s="17" t="inlineStr"/>
    </row>
    <row r="50">
      <c r="A50" s="17" t="n">
        <v>46</v>
      </c>
      <c r="B50" s="17" t="inlineStr">
        <is>
          <t>AT</t>
        </is>
      </c>
      <c r="C50" s="17" t="inlineStr">
        <is>
          <t>Send email when a report is awaiting approval</t>
        </is>
      </c>
      <c r="D50" s="17" t="inlineStr"/>
      <c r="E50" s="17" t="inlineStr"/>
      <c r="F50" s="17" t="inlineStr">
        <is>
          <t>1</t>
        </is>
      </c>
      <c r="G50" s="17" t="inlineStr"/>
    </row>
    <row r="51">
      <c r="A51" s="17" t="n">
        <v>47</v>
      </c>
      <c r="B51" s="17" t="inlineStr">
        <is>
          <t>AU</t>
        </is>
      </c>
      <c r="C51" s="17" t="inlineStr">
        <is>
          <t>Prompt for approver when submitting a report</t>
        </is>
      </c>
      <c r="D51" s="17" t="inlineStr"/>
      <c r="E51" s="17" t="inlineStr"/>
      <c r="F51" s="17" t="inlineStr">
        <is>
          <t>1</t>
        </is>
      </c>
      <c r="G51" s="17" t="inlineStr"/>
    </row>
    <row r="52">
      <c r="A52" s="17" t="n">
        <v>48</v>
      </c>
      <c r="B52" s="17" t="inlineStr">
        <is>
          <t>AV</t>
        </is>
      </c>
      <c r="C52" s="17" t="inlineStr">
        <is>
          <t>Send email when the travel request status changes</t>
        </is>
      </c>
      <c r="D52" s="17" t="inlineStr"/>
      <c r="E52" s="17" t="inlineStr"/>
      <c r="F52" s="17" t="inlineStr">
        <is>
          <t>1</t>
        </is>
      </c>
      <c r="G52" s="17" t="inlineStr"/>
    </row>
    <row r="53">
      <c r="A53" s="17" t="n">
        <v>49</v>
      </c>
      <c r="B53" s="17" t="inlineStr">
        <is>
          <t>AW</t>
        </is>
      </c>
      <c r="C53" s="17" t="inlineStr">
        <is>
          <t>Send email when a travel request is awaiting approval</t>
        </is>
      </c>
      <c r="D53" s="17" t="inlineStr"/>
      <c r="E53" s="17" t="inlineStr"/>
      <c r="F53" s="17" t="inlineStr">
        <is>
          <t>1</t>
        </is>
      </c>
      <c r="G53" s="17" t="inlineStr"/>
    </row>
    <row r="54">
      <c r="A54" s="17" t="n">
        <v>50</v>
      </c>
      <c r="B54" s="17" t="inlineStr">
        <is>
          <t>AX</t>
        </is>
      </c>
      <c r="C54" s="17" t="inlineStr">
        <is>
          <t>Prompt for approver when submitting a travel request</t>
        </is>
      </c>
      <c r="D54" s="17" t="inlineStr"/>
      <c r="E54" s="17" t="inlineStr"/>
      <c r="F54" s="17" t="inlineStr">
        <is>
          <t>1</t>
        </is>
      </c>
      <c r="G54" s="17" t="inlineStr"/>
    </row>
    <row r="55">
      <c r="A55" s="17" t="n">
        <v>51</v>
      </c>
      <c r="B55" s="17" t="inlineStr">
        <is>
          <t>AY</t>
        </is>
      </c>
      <c r="C55" s="17" t="inlineStr">
        <is>
          <t>Send email when the payment status changes</t>
        </is>
      </c>
      <c r="D55" s="17" t="inlineStr"/>
      <c r="E55" s="17" t="inlineStr"/>
      <c r="F55" s="17" t="inlineStr">
        <is>
          <t>1</t>
        </is>
      </c>
      <c r="G55" s="17" t="inlineStr"/>
    </row>
    <row r="56">
      <c r="A56" s="17" t="n">
        <v>52</v>
      </c>
      <c r="B56" s="17" t="inlineStr">
        <is>
          <t>AZ</t>
        </is>
      </c>
      <c r="C56" s="17" t="inlineStr">
        <is>
          <t>Send email when a payment is awaiting approval</t>
        </is>
      </c>
      <c r="D56" s="17" t="inlineStr"/>
      <c r="E56" s="17" t="inlineStr"/>
      <c r="F56" s="17" t="inlineStr">
        <is>
          <t>1</t>
        </is>
      </c>
      <c r="G56" s="17" t="inlineStr"/>
    </row>
    <row r="57">
      <c r="A57" s="17" t="n">
        <v>53</v>
      </c>
      <c r="B57" s="17" t="inlineStr">
        <is>
          <t>BA</t>
        </is>
      </c>
      <c r="C57" s="17" t="inlineStr">
        <is>
          <t>Prompt for approver when submitting a payment</t>
        </is>
      </c>
      <c r="D57" s="17" t="inlineStr"/>
      <c r="E57" s="17" t="inlineStr"/>
      <c r="F57" s="17" t="inlineStr">
        <is>
          <t>1</t>
        </is>
      </c>
      <c r="G57" s="17" t="inlineStr"/>
    </row>
    <row r="58">
      <c r="A58" s="17" t="n">
        <v>54</v>
      </c>
      <c r="B58" s="17" t="inlineStr">
        <is>
          <t>BB</t>
        </is>
      </c>
      <c r="C58" s="17" t="inlineStr">
        <is>
          <t>Prompt to add company card transactions to report</t>
        </is>
      </c>
      <c r="D58" s="17" t="inlineStr"/>
      <c r="E58" s="17" t="inlineStr"/>
      <c r="F58" s="17" t="inlineStr">
        <is>
          <t>1</t>
        </is>
      </c>
      <c r="G58" s="17" t="inlineStr"/>
    </row>
    <row r="59">
      <c r="A59" s="17" t="n">
        <v>55</v>
      </c>
      <c r="B59" s="17" t="inlineStr">
        <is>
          <t>BC</t>
        </is>
      </c>
      <c r="C59" s="17" t="inlineStr">
        <is>
          <t>Send email when new company card transactions arrive</t>
        </is>
      </c>
      <c r="D59" s="17" t="inlineStr"/>
      <c r="E59" s="17" t="inlineStr"/>
      <c r="F59" s="17" t="inlineStr">
        <is>
          <t>1</t>
        </is>
      </c>
      <c r="G59" s="17" t="inlineStr"/>
    </row>
    <row r="60">
      <c r="A60" s="17" t="n">
        <v>56</v>
      </c>
      <c r="B60" s="17" t="inlineStr">
        <is>
          <t>BD</t>
        </is>
      </c>
      <c r="C60" s="17" t="inlineStr">
        <is>
          <t>Send email when faxed receipts received</t>
        </is>
      </c>
      <c r="D60" s="17" t="inlineStr"/>
      <c r="E60" s="17" t="inlineStr"/>
      <c r="F60" s="17" t="inlineStr">
        <is>
          <t>1</t>
        </is>
      </c>
      <c r="G60" s="17" t="inlineStr"/>
    </row>
    <row r="61">
      <c r="A61" s="17" t="n">
        <v>57</v>
      </c>
      <c r="B61" s="17" t="inlineStr">
        <is>
          <t>BE</t>
        </is>
      </c>
      <c r="C61" s="17" t="inlineStr">
        <is>
          <t>Display instructional help on the application pages</t>
        </is>
      </c>
      <c r="D61" s="17" t="inlineStr"/>
      <c r="E61" s="17" t="inlineStr"/>
      <c r="F61" s="17" t="inlineStr">
        <is>
          <t>1</t>
        </is>
      </c>
      <c r="G61" s="17" t="inlineStr"/>
    </row>
    <row r="62">
      <c r="A62" s="17" t="n">
        <v>58</v>
      </c>
      <c r="B62" s="17" t="inlineStr">
        <is>
          <t>BF</t>
        </is>
      </c>
      <c r="C62" s="17" t="inlineStr">
        <is>
          <t>Display imaging introduction page</t>
        </is>
      </c>
      <c r="D62" s="17" t="inlineStr"/>
      <c r="E62" s="17" t="inlineStr"/>
      <c r="F62" s="17" t="inlineStr">
        <is>
          <t>1</t>
        </is>
      </c>
      <c r="G62" s="17" t="inlineStr"/>
    </row>
    <row r="63">
      <c r="A63" s="13" t="n">
        <v>59</v>
      </c>
      <c r="B63" s="13" t="inlineStr">
        <is>
          <t>BG</t>
        </is>
      </c>
      <c r="C63" s="13" t="inlineStr">
        <is>
          <t>Employee ID of the Expense Report Approver</t>
        </is>
      </c>
      <c r="D63" s="13" t="inlineStr">
        <is>
          <t>Derived: SupervisorID Formatted  [supervisor_id]</t>
        </is>
      </c>
      <c r="E63" s="13" t="inlineStr">
        <is>
          <t>Derived: SupervisorID Formatted  [supervisor_id]</t>
        </is>
      </c>
      <c r="F63" s="13" t="inlineStr">
        <is>
          <t>48</t>
        </is>
      </c>
      <c r="G63" s="13" t="inlineStr"/>
    </row>
    <row r="64">
      <c r="A64" s="17" t="n">
        <v>60</v>
      </c>
      <c r="B64" s="17" t="inlineStr">
        <is>
          <t>BH</t>
        </is>
      </c>
      <c r="C64" s="17" t="inlineStr">
        <is>
          <t>Employee ID of the Cash Advance Approver</t>
        </is>
      </c>
      <c r="D64" s="17" t="inlineStr"/>
      <c r="E64" s="17" t="inlineStr"/>
      <c r="F64" s="17" t="inlineStr">
        <is>
          <t>48</t>
        </is>
      </c>
      <c r="G64" s="17" t="inlineStr"/>
    </row>
    <row r="65">
      <c r="A65" s="17" t="n">
        <v>61</v>
      </c>
      <c r="B65" s="17" t="inlineStr">
        <is>
          <t>BI</t>
        </is>
      </c>
      <c r="C65" s="17" t="inlineStr">
        <is>
          <t>Employee ID of the Request Approver</t>
        </is>
      </c>
      <c r="D65" s="17" t="inlineStr"/>
      <c r="E65" s="17" t="inlineStr"/>
      <c r="F65" s="17" t="inlineStr">
        <is>
          <t>48</t>
        </is>
      </c>
      <c r="G65" s="17" t="inlineStr"/>
    </row>
    <row r="66">
      <c r="A66" s="17" t="n">
        <v>62</v>
      </c>
      <c r="B66" s="17" t="inlineStr">
        <is>
          <t>BJ</t>
        </is>
      </c>
      <c r="C66" s="17" t="inlineStr">
        <is>
          <t>Employee ID of the Invoice Approver</t>
        </is>
      </c>
      <c r="D66" s="17" t="inlineStr"/>
      <c r="E66" s="17" t="inlineStr"/>
      <c r="F66" s="17" t="inlineStr">
        <is>
          <t>48</t>
        </is>
      </c>
      <c r="G66" s="17" t="inlineStr"/>
    </row>
    <row r="67">
      <c r="A67" s="16" t="n">
        <v>63</v>
      </c>
      <c r="B67" s="16" t="inlineStr">
        <is>
          <t>BK</t>
        </is>
      </c>
      <c r="C67" s="16" t="inlineStr">
        <is>
          <t>Expense User</t>
        </is>
      </c>
      <c r="D67" s="16" t="inlineStr">
        <is>
          <t>Constant "Y"</t>
        </is>
      </c>
      <c r="E67" s="16" t="inlineStr">
        <is>
          <t>Constant "Y"</t>
        </is>
      </c>
      <c r="F67" s="16" t="inlineStr">
        <is>
          <t>1</t>
        </is>
      </c>
      <c r="G67" s="16" t="inlineStr">
        <is>
          <t>Expense User (Y/N)</t>
        </is>
      </c>
    </row>
    <row r="68">
      <c r="A68" s="16" t="n">
        <v>64</v>
      </c>
      <c r="B68" s="16" t="inlineStr">
        <is>
          <t>BL</t>
        </is>
      </c>
      <c r="C68" s="16" t="inlineStr">
        <is>
          <t>Expense and/or Cash Advance Approver</t>
        </is>
      </c>
      <c r="D68" s="16" t="inlineStr">
        <is>
          <t>Constant "Y"</t>
        </is>
      </c>
      <c r="E68" s="16" t="inlineStr">
        <is>
          <t>Constant "Y"</t>
        </is>
      </c>
      <c r="F68" s="16" t="inlineStr">
        <is>
          <t>1</t>
        </is>
      </c>
      <c r="G68" s="16" t="inlineStr">
        <is>
          <t>Expense and/or Cash Advance Approver (Y/N)</t>
        </is>
      </c>
    </row>
    <row r="69">
      <c r="A69" s="17" t="n">
        <v>65</v>
      </c>
      <c r="B69" s="17" t="inlineStr">
        <is>
          <t>BM</t>
        </is>
      </c>
      <c r="C69" s="17" t="inlineStr">
        <is>
          <t>Company Card Admin</t>
        </is>
      </c>
      <c r="D69" s="17" t="inlineStr"/>
      <c r="E69" s="17" t="inlineStr"/>
      <c r="F69" s="17" t="inlineStr">
        <is>
          <t>1</t>
        </is>
      </c>
      <c r="G69" s="17" t="inlineStr"/>
    </row>
    <row r="70">
      <c r="A70" s="17" t="n">
        <v>66</v>
      </c>
      <c r="B70" s="17" t="inlineStr">
        <is>
          <t>BN</t>
        </is>
      </c>
      <c r="C70" s="17" t="inlineStr">
        <is>
          <t>Future Use</t>
        </is>
      </c>
      <c r="D70" s="17" t="inlineStr"/>
      <c r="E70" s="17" t="inlineStr"/>
      <c r="F70" s="17" t="inlineStr">
        <is>
          <t>1</t>
        </is>
      </c>
      <c r="G70" s="17" t="inlineStr"/>
    </row>
    <row r="71">
      <c r="A71" s="17" t="n">
        <v>67</v>
      </c>
      <c r="B71" s="17" t="inlineStr">
        <is>
          <t>BO</t>
        </is>
      </c>
      <c r="C71" s="17" t="inlineStr">
        <is>
          <t>Receipt Processor</t>
        </is>
      </c>
      <c r="D71" s="17" t="inlineStr"/>
      <c r="E71" s="17" t="inlineStr"/>
      <c r="F71" s="17" t="inlineStr">
        <is>
          <t>1</t>
        </is>
      </c>
      <c r="G71" s="17" t="inlineStr"/>
    </row>
    <row r="72">
      <c r="A72" s="17" t="n">
        <v>68</v>
      </c>
      <c r="B72" s="17" t="inlineStr">
        <is>
          <t>BP</t>
        </is>
      </c>
      <c r="C72" s="17" t="inlineStr">
        <is>
          <t>Future Use</t>
        </is>
      </c>
      <c r="D72" s="17" t="inlineStr"/>
      <c r="E72" s="17" t="inlineStr"/>
      <c r="F72" s="17" t="inlineStr">
        <is>
          <t>1</t>
        </is>
      </c>
      <c r="G72" s="17" t="inlineStr"/>
    </row>
    <row r="73">
      <c r="A73" s="17" t="n">
        <v>69</v>
      </c>
      <c r="B73" s="17" t="inlineStr">
        <is>
          <t>BQ</t>
        </is>
      </c>
      <c r="C73" s="17" t="inlineStr">
        <is>
          <t>Import/Extract Monitor</t>
        </is>
      </c>
      <c r="D73" s="17" t="inlineStr"/>
      <c r="E73" s="17" t="inlineStr"/>
      <c r="F73" s="17" t="inlineStr">
        <is>
          <t>1</t>
        </is>
      </c>
      <c r="G73" s="17" t="inlineStr"/>
    </row>
    <row r="74">
      <c r="A74" s="17" t="n">
        <v>70</v>
      </c>
      <c r="B74" s="17" t="inlineStr">
        <is>
          <t>BR</t>
        </is>
      </c>
      <c r="C74" s="17" t="inlineStr">
        <is>
          <t>Company Info Admin</t>
        </is>
      </c>
      <c r="D74" s="17" t="inlineStr"/>
      <c r="E74" s="17" t="inlineStr"/>
      <c r="F74" s="17" t="inlineStr">
        <is>
          <t>1</t>
        </is>
      </c>
      <c r="G74" s="17" t="inlineStr"/>
    </row>
    <row r="75">
      <c r="A75" s="17" t="n">
        <v>71</v>
      </c>
      <c r="B75" s="17" t="inlineStr">
        <is>
          <t>BS</t>
        </is>
      </c>
      <c r="C75" s="17" t="inlineStr">
        <is>
          <t>Offline User</t>
        </is>
      </c>
      <c r="D75" s="17" t="inlineStr"/>
      <c r="E75" s="17" t="inlineStr"/>
      <c r="F75" s="17" t="inlineStr">
        <is>
          <t>1</t>
        </is>
      </c>
      <c r="G75" s="17" t="inlineStr"/>
    </row>
    <row r="76">
      <c r="A76" s="17" t="n">
        <v>72</v>
      </c>
      <c r="B76" s="17" t="inlineStr">
        <is>
          <t>BT</t>
        </is>
      </c>
      <c r="C76" s="17" t="inlineStr">
        <is>
          <t>Reporting Config Admin</t>
        </is>
      </c>
      <c r="D76" s="17" t="inlineStr"/>
      <c r="E76" s="17" t="inlineStr"/>
      <c r="F76" s="17" t="inlineStr">
        <is>
          <t>1</t>
        </is>
      </c>
      <c r="G76" s="17" t="inlineStr"/>
    </row>
    <row r="77">
      <c r="A77" s="13" t="n">
        <v>73</v>
      </c>
      <c r="B77" s="13" t="inlineStr">
        <is>
          <t>BU</t>
        </is>
      </c>
      <c r="C77" s="13" t="inlineStr">
        <is>
          <t>Invoice User</t>
        </is>
      </c>
      <c r="D77" s="13" t="inlineStr">
        <is>
          <t>Derived: Invoice Access  [invoice_access]</t>
        </is>
      </c>
      <c r="E77" s="13" t="inlineStr">
        <is>
          <t>Derived: Invoice Access  [invoice_access]</t>
        </is>
      </c>
      <c r="F77" s="13" t="inlineStr">
        <is>
          <t>1</t>
        </is>
      </c>
      <c r="G77" s="13" t="inlineStr"/>
    </row>
    <row r="78">
      <c r="A78" s="13" t="n">
        <v>74</v>
      </c>
      <c r="B78" s="13" t="inlineStr">
        <is>
          <t>BV</t>
        </is>
      </c>
      <c r="C78" s="13" t="inlineStr">
        <is>
          <t>Invoice Approver</t>
        </is>
      </c>
      <c r="D78" s="13" t="inlineStr">
        <is>
          <t>Derived: Invoice Access  [invoice_access]</t>
        </is>
      </c>
      <c r="E78" s="13" t="inlineStr">
        <is>
          <t>Derived: Invoice Access  [invoice_access]</t>
        </is>
      </c>
      <c r="F78" s="13" t="inlineStr">
        <is>
          <t>1</t>
        </is>
      </c>
      <c r="G78" s="13" t="inlineStr"/>
    </row>
    <row r="79">
      <c r="A79" s="17" t="n">
        <v>75</v>
      </c>
      <c r="B79" s="17" t="inlineStr">
        <is>
          <t>BW</t>
        </is>
      </c>
      <c r="C79" s="17" t="inlineStr">
        <is>
          <t>Invoice Vendor Manager</t>
        </is>
      </c>
      <c r="D79" s="17" t="inlineStr"/>
      <c r="E79" s="17" t="inlineStr"/>
      <c r="F79" s="17" t="inlineStr">
        <is>
          <t>1</t>
        </is>
      </c>
      <c r="G79" s="17" t="inlineStr"/>
    </row>
    <row r="80">
      <c r="A80" s="17" t="n">
        <v>76</v>
      </c>
      <c r="B80" s="17" t="inlineStr">
        <is>
          <t>BX</t>
        </is>
      </c>
      <c r="C80" s="17" t="inlineStr">
        <is>
          <t>Expense Audit Required</t>
        </is>
      </c>
      <c r="D80" s="17" t="inlineStr"/>
      <c r="E80" s="17" t="inlineStr"/>
      <c r="F80" s="17" t="inlineStr">
        <is>
          <t>3</t>
        </is>
      </c>
      <c r="G80" s="17" t="inlineStr"/>
    </row>
    <row r="81">
      <c r="A81" s="17" t="n">
        <v>77</v>
      </c>
      <c r="B81" s="17" t="inlineStr">
        <is>
          <t>BY</t>
        </is>
      </c>
      <c r="C81" s="17" t="inlineStr">
        <is>
          <t>BI Manager Employee ID</t>
        </is>
      </c>
      <c r="D81" s="17" t="inlineStr"/>
      <c r="E81" s="17" t="inlineStr"/>
      <c r="F81" s="17" t="inlineStr">
        <is>
          <t>48</t>
        </is>
      </c>
      <c r="G81" s="17" t="inlineStr"/>
    </row>
    <row r="82">
      <c r="A82" s="17" t="n">
        <v>78</v>
      </c>
      <c r="B82" s="17" t="inlineStr">
        <is>
          <t>BZ</t>
        </is>
      </c>
      <c r="C82" s="17" t="inlineStr">
        <is>
          <t>Request User</t>
        </is>
      </c>
      <c r="D82" s="17" t="inlineStr"/>
      <c r="E82" s="17" t="inlineStr"/>
      <c r="F82" s="17" t="inlineStr">
        <is>
          <t>1</t>
        </is>
      </c>
      <c r="G82" s="17" t="inlineStr">
        <is>
          <t>Request User (Y/N)</t>
        </is>
      </c>
    </row>
    <row r="83">
      <c r="A83" s="17" t="n">
        <v>79</v>
      </c>
      <c r="B83" s="17" t="inlineStr">
        <is>
          <t>CA</t>
        </is>
      </c>
      <c r="C83" s="17" t="inlineStr">
        <is>
          <t>Request Approver</t>
        </is>
      </c>
      <c r="D83" s="17" t="inlineStr"/>
      <c r="E83" s="17" t="inlineStr"/>
      <c r="F83" s="17" t="inlineStr">
        <is>
          <t>1</t>
        </is>
      </c>
      <c r="G83" s="17" t="inlineStr">
        <is>
          <t>Request Approver (Y/N)</t>
        </is>
      </c>
    </row>
    <row r="84">
      <c r="A84" s="17" t="n">
        <v>80</v>
      </c>
      <c r="B84" s="17" t="inlineStr">
        <is>
          <t>CB</t>
        </is>
      </c>
      <c r="C84" s="17" t="inlineStr">
        <is>
          <t>Expense Report Approver Employee ID 2</t>
        </is>
      </c>
      <c r="D84" s="17" t="inlineStr"/>
      <c r="E84" s="17" t="inlineStr"/>
      <c r="F84" s="17" t="inlineStr">
        <is>
          <t>N/A</t>
        </is>
      </c>
      <c r="G84" s="17" t="inlineStr"/>
    </row>
    <row r="85">
      <c r="A85" s="17" t="n">
        <v>81</v>
      </c>
      <c r="B85" s="17" t="inlineStr">
        <is>
          <t>CC</t>
        </is>
      </c>
      <c r="C85" s="17" t="inlineStr">
        <is>
          <t>A Payment Request has been Assigned</t>
        </is>
      </c>
      <c r="D85" s="17" t="inlineStr"/>
      <c r="E85" s="17" t="inlineStr"/>
      <c r="F85" s="17" t="inlineStr">
        <is>
          <t>1</t>
        </is>
      </c>
      <c r="G85" s="17" t="inlineStr"/>
    </row>
    <row r="86">
      <c r="A86" s="17" t="n">
        <v>82</v>
      </c>
      <c r="B86" s="17" t="inlineStr">
        <is>
          <t>CD</t>
        </is>
      </c>
      <c r="C86" s="17" t="inlineStr">
        <is>
          <t>Future Use 1</t>
        </is>
      </c>
      <c r="D86" s="17" t="inlineStr"/>
      <c r="E86" s="17" t="inlineStr"/>
      <c r="F86" s="17" t="inlineStr">
        <is>
          <t>1</t>
        </is>
      </c>
      <c r="G86" s="17" t="inlineStr"/>
    </row>
    <row r="87">
      <c r="A87" s="16" t="n">
        <v>83</v>
      </c>
      <c r="B87" s="16" t="inlineStr">
        <is>
          <t>CE</t>
        </is>
      </c>
      <c r="C87" s="16" t="inlineStr">
        <is>
          <t>Future Use 2 No Longer Used</t>
        </is>
      </c>
      <c r="D87" s="16" t="inlineStr">
        <is>
          <t>Constant "Y"</t>
        </is>
      </c>
      <c r="E87" s="16" t="inlineStr">
        <is>
          <t>Constant "Y"</t>
        </is>
      </c>
      <c r="F87" s="16" t="inlineStr">
        <is>
          <t>1</t>
        </is>
      </c>
      <c r="G87" s="16" t="inlineStr"/>
    </row>
    <row r="88">
      <c r="A88" s="17" t="n">
        <v>84</v>
      </c>
      <c r="B88" s="17" t="inlineStr">
        <is>
          <t>CF</t>
        </is>
      </c>
      <c r="C88" s="17" t="inlineStr">
        <is>
          <t>Tax Administrator</t>
        </is>
      </c>
      <c r="D88" s="17" t="inlineStr"/>
      <c r="E88" s="17" t="inlineStr"/>
      <c r="F88" s="17" t="inlineStr">
        <is>
          <t>1</t>
        </is>
      </c>
      <c r="G88" s="17" t="inlineStr"/>
    </row>
    <row r="89">
      <c r="A89" s="17" t="n">
        <v>85</v>
      </c>
      <c r="B89" s="17" t="inlineStr">
        <is>
          <t>CG</t>
        </is>
      </c>
      <c r="C89" s="17" t="inlineStr">
        <is>
          <t>FBT Administrator</t>
        </is>
      </c>
      <c r="D89" s="17" t="inlineStr"/>
      <c r="E89" s="17" t="inlineStr"/>
      <c r="F89" s="17" t="inlineStr">
        <is>
          <t>1</t>
        </is>
      </c>
      <c r="G89" s="17" t="inlineStr"/>
    </row>
    <row r="90">
      <c r="A90" s="12" t="n">
        <v>86</v>
      </c>
      <c r="B90" s="12" t="inlineStr">
        <is>
          <t>CH</t>
        </is>
      </c>
      <c r="C90" s="12" t="inlineStr">
        <is>
          <t>Travel Wizard User</t>
        </is>
      </c>
      <c r="D90" s="12" t="inlineStr">
        <is>
          <t>Constant "Y"</t>
        </is>
      </c>
      <c r="E90" s="12" t="inlineStr">
        <is>
          <t>Constant "N"</t>
        </is>
      </c>
      <c r="F90" s="12" t="inlineStr">
        <is>
          <t>1</t>
        </is>
      </c>
      <c r="G90" s="12" t="inlineStr">
        <is>
          <t>Travel Wizard User (Y/N where Y grants access to Travel component of Concur Travel &amp; Expense)</t>
        </is>
      </c>
    </row>
    <row r="91">
      <c r="A91" s="17" t="n">
        <v>87</v>
      </c>
      <c r="B91" s="17" t="inlineStr">
        <is>
          <t>CI</t>
        </is>
      </c>
      <c r="C91" s="17" t="inlineStr">
        <is>
          <t>Custom 22 Concur Invoice Group Hierarchy FMG DOES NOT USE</t>
        </is>
      </c>
      <c r="D91" s="17" t="inlineStr"/>
      <c r="E91" s="17" t="inlineStr"/>
      <c r="F91" s="17" t="inlineStr">
        <is>
          <t>48</t>
        </is>
      </c>
      <c r="G91" s="17" t="inlineStr"/>
    </row>
    <row r="92">
      <c r="A92" s="17" t="n">
        <v>88</v>
      </c>
      <c r="B92" s="17" t="inlineStr">
        <is>
          <t>CJ</t>
        </is>
      </c>
      <c r="C92" s="17" t="inlineStr">
        <is>
          <t>Request Approver Employee ID 2</t>
        </is>
      </c>
      <c r="D92" s="17" t="inlineStr"/>
      <c r="E92" s="17" t="inlineStr"/>
      <c r="F92" s="17" t="inlineStr">
        <is>
          <t>48</t>
        </is>
      </c>
      <c r="G92" s="17" t="inlineStr"/>
    </row>
    <row r="93">
      <c r="A93" s="17" t="n">
        <v>89</v>
      </c>
      <c r="B93" s="17" t="inlineStr">
        <is>
          <t>CK</t>
        </is>
      </c>
      <c r="C93" s="17" t="inlineStr">
        <is>
          <t>Is Non Employee</t>
        </is>
      </c>
      <c r="D93" s="17" t="inlineStr"/>
      <c r="E93" s="17" t="inlineStr"/>
      <c r="F93" s="17" t="inlineStr">
        <is>
          <t>1</t>
        </is>
      </c>
      <c r="G93" s="17" t="inlineStr">
        <is>
          <t>Is Non Employee (Y/N)</t>
        </is>
      </c>
    </row>
    <row r="94">
      <c r="A94" s="17" t="n">
        <v>90</v>
      </c>
      <c r="B94" s="17" t="inlineStr">
        <is>
          <t>CL</t>
        </is>
      </c>
      <c r="C94" s="17" t="inlineStr">
        <is>
          <t>Reimbursement Type</t>
        </is>
      </c>
      <c r="D94" s="17" t="inlineStr"/>
      <c r="E94" s="17" t="inlineStr"/>
      <c r="F94" s="17" t="inlineStr">
        <is>
          <t>7</t>
        </is>
      </c>
      <c r="G94" s="17" t="inlineStr"/>
    </row>
    <row r="95">
      <c r="A95" s="17" t="n">
        <v>91</v>
      </c>
      <c r="B95" s="17" t="inlineStr">
        <is>
          <t>CM</t>
        </is>
      </c>
      <c r="C95" s="17" t="inlineStr">
        <is>
          <t>ADP Employee ID</t>
        </is>
      </c>
      <c r="D95" s="17" t="inlineStr"/>
      <c r="E95" s="17" t="inlineStr"/>
      <c r="F95" s="17" t="inlineStr"/>
      <c r="G95" s="17" t="inlineStr"/>
    </row>
    <row r="96">
      <c r="A96" s="17" t="n">
        <v>92</v>
      </c>
      <c r="B96" s="17" t="inlineStr">
        <is>
          <t>CN</t>
        </is>
      </c>
      <c r="C96" s="17" t="inlineStr">
        <is>
          <t>ADP Company Code</t>
        </is>
      </c>
      <c r="D96" s="17" t="inlineStr"/>
      <c r="E96" s="17" t="inlineStr"/>
      <c r="F96" s="17" t="inlineStr"/>
      <c r="G96" s="17" t="inlineStr"/>
    </row>
    <row r="97">
      <c r="A97" s="17" t="n">
        <v>93</v>
      </c>
      <c r="B97" s="17" t="inlineStr">
        <is>
          <t>CO</t>
        </is>
      </c>
      <c r="C97" s="17" t="inlineStr">
        <is>
          <t>ADP Deduction Code</t>
        </is>
      </c>
      <c r="D97" s="17" t="inlineStr"/>
      <c r="E97" s="17" t="inlineStr"/>
      <c r="F97" s="17" t="inlineStr"/>
      <c r="G97" s="17" t="inlineStr"/>
    </row>
    <row r="98">
      <c r="A98" s="17" t="n">
        <v>94</v>
      </c>
      <c r="B98" s="17" t="inlineStr">
        <is>
          <t>CP</t>
        </is>
      </c>
      <c r="C98" s="17" t="inlineStr">
        <is>
          <t>Budget Manager Employee ID</t>
        </is>
      </c>
      <c r="D98" s="17" t="inlineStr"/>
      <c r="E98" s="17" t="inlineStr"/>
      <c r="F98" s="17" t="inlineStr">
        <is>
          <t>48</t>
        </is>
      </c>
      <c r="G98" s="17" t="inlineStr"/>
    </row>
    <row r="99">
      <c r="A99" s="17" t="n">
        <v>95</v>
      </c>
      <c r="B99" s="17" t="inlineStr">
        <is>
          <t>CQ</t>
        </is>
      </c>
      <c r="C99" s="17" t="inlineStr">
        <is>
          <t>Budget Owner</t>
        </is>
      </c>
      <c r="D99" s="17" t="inlineStr"/>
      <c r="E99" s="17" t="inlineStr"/>
      <c r="F99" s="17" t="inlineStr">
        <is>
          <t>1</t>
        </is>
      </c>
      <c r="G99" s="17" t="inlineStr"/>
    </row>
    <row r="100">
      <c r="A100" s="17" t="n">
        <v>96</v>
      </c>
      <c r="B100" s="17" t="inlineStr">
        <is>
          <t>CR</t>
        </is>
      </c>
      <c r="C100" s="17" t="inlineStr">
        <is>
          <t>Budget Viewer</t>
        </is>
      </c>
      <c r="D100" s="17" t="inlineStr"/>
      <c r="E100" s="17" t="inlineStr"/>
      <c r="F100" s="17" t="inlineStr">
        <is>
          <t>1</t>
        </is>
      </c>
      <c r="G100" s="17" t="inlineStr"/>
    </row>
    <row r="101">
      <c r="A101" s="17" t="n">
        <v>97</v>
      </c>
      <c r="B101" s="17" t="inlineStr">
        <is>
          <t>CS</t>
        </is>
      </c>
      <c r="C101" s="17" t="inlineStr">
        <is>
          <t>Budget Approver</t>
        </is>
      </c>
      <c r="D101" s="17" t="inlineStr"/>
      <c r="E101" s="17" t="inlineStr"/>
      <c r="F101" s="17" t="inlineStr">
        <is>
          <t>1</t>
        </is>
      </c>
      <c r="G101" s="17" t="inlineStr"/>
    </row>
    <row r="102">
      <c r="A102" s="17" t="n">
        <v>98</v>
      </c>
      <c r="B102" s="17" t="inlineStr">
        <is>
          <t>CT</t>
        </is>
      </c>
      <c r="C102" s="17" t="inlineStr">
        <is>
          <t>Budget Admin</t>
        </is>
      </c>
      <c r="D102" s="17" t="inlineStr"/>
      <c r="E102" s="17" t="inlineStr"/>
      <c r="F102" s="17" t="inlineStr">
        <is>
          <t>1</t>
        </is>
      </c>
      <c r="G102" s="17" t="inlineStr"/>
    </row>
    <row r="103">
      <c r="A103" s="17" t="n">
        <v>99</v>
      </c>
      <c r="B103" s="17" t="inlineStr">
        <is>
          <t>CU</t>
        </is>
      </c>
      <c r="C103" s="17" t="inlineStr">
        <is>
          <t>Future Use 12</t>
        </is>
      </c>
      <c r="D103" s="17" t="inlineStr"/>
      <c r="E103" s="17" t="inlineStr"/>
      <c r="F103" s="17" t="inlineStr">
        <is>
          <t>48</t>
        </is>
      </c>
      <c r="G103" s="17" t="inlineStr"/>
    </row>
    <row r="104">
      <c r="A104" s="17" t="n">
        <v>100</v>
      </c>
      <c r="B104" s="17" t="inlineStr">
        <is>
          <t>CV</t>
        </is>
      </c>
      <c r="C104" s="17" t="inlineStr">
        <is>
          <t>Future Use 13</t>
        </is>
      </c>
      <c r="D104" s="17" t="inlineStr"/>
      <c r="E104" s="17" t="inlineStr"/>
      <c r="F104" s="17" t="inlineStr">
        <is>
          <t>48</t>
        </is>
      </c>
      <c r="G104" s="17" t="inlineStr"/>
    </row>
    <row r="105">
      <c r="A105" s="17" t="n">
        <v>101</v>
      </c>
      <c r="B105" s="17" t="inlineStr">
        <is>
          <t>CW</t>
        </is>
      </c>
      <c r="C105" s="17" t="inlineStr">
        <is>
          <t>Future Use 14</t>
        </is>
      </c>
      <c r="D105" s="17" t="inlineStr"/>
      <c r="E105" s="17" t="inlineStr"/>
      <c r="F105" s="17" t="inlineStr">
        <is>
          <t>48</t>
        </is>
      </c>
      <c r="G105" s="17" t="inlineStr"/>
    </row>
    <row r="106">
      <c r="A106" s="17" t="n">
        <v>102</v>
      </c>
      <c r="B106" s="17" t="inlineStr">
        <is>
          <t>CX</t>
        </is>
      </c>
      <c r="C106" s="17" t="inlineStr">
        <is>
          <t>Future Use 15</t>
        </is>
      </c>
      <c r="D106" s="17" t="inlineStr"/>
      <c r="E106" s="17" t="inlineStr"/>
      <c r="F106" s="17" t="inlineStr">
        <is>
          <t>48</t>
        </is>
      </c>
      <c r="G106" s="17" t="inlineStr"/>
    </row>
    <row r="107">
      <c r="A107" s="17" t="n">
        <v>103</v>
      </c>
      <c r="B107" s="17" t="inlineStr">
        <is>
          <t>CY</t>
        </is>
      </c>
      <c r="C107" s="17" t="inlineStr">
        <is>
          <t>Future Use 16</t>
        </is>
      </c>
      <c r="D107" s="17" t="inlineStr"/>
      <c r="E107" s="17" t="inlineStr"/>
      <c r="F107" s="17" t="inlineStr">
        <is>
          <t>48</t>
        </is>
      </c>
      <c r="G107" s="17" t="inlineStr"/>
    </row>
    <row r="108">
      <c r="A108" s="17" t="n">
        <v>104</v>
      </c>
      <c r="B108" s="17" t="inlineStr">
        <is>
          <t>CZ</t>
        </is>
      </c>
      <c r="C108" s="17" t="inlineStr">
        <is>
          <t>Future Use 17</t>
        </is>
      </c>
      <c r="D108" s="17" t="inlineStr"/>
      <c r="E108" s="17" t="inlineStr"/>
      <c r="F108" s="17" t="inlineStr">
        <is>
          <t>48</t>
        </is>
      </c>
      <c r="G108" s="17" t="inlineStr"/>
    </row>
    <row r="109">
      <c r="A109" s="17" t="n">
        <v>105</v>
      </c>
      <c r="B109" s="17" t="inlineStr">
        <is>
          <t>DA</t>
        </is>
      </c>
      <c r="C109" s="17" t="inlineStr">
        <is>
          <t>Future Use 18</t>
        </is>
      </c>
      <c r="D109" s="17" t="inlineStr"/>
      <c r="E109" s="17" t="inlineStr"/>
      <c r="F109" s="17" t="inlineStr">
        <is>
          <t>48</t>
        </is>
      </c>
      <c r="G109" s="17" t="inlineStr"/>
    </row>
    <row r="110">
      <c r="A110" s="17" t="n">
        <v>106</v>
      </c>
      <c r="B110" s="17" t="inlineStr">
        <is>
          <t>DB</t>
        </is>
      </c>
      <c r="C110" s="17" t="inlineStr">
        <is>
          <t>Future Use 19</t>
        </is>
      </c>
      <c r="D110" s="17" t="inlineStr"/>
      <c r="E110" s="17" t="inlineStr"/>
      <c r="F110" s="17" t="inlineStr">
        <is>
          <t>48</t>
        </is>
      </c>
      <c r="G110" s="17" t="inlineStr"/>
    </row>
    <row r="111">
      <c r="A111" s="17" t="n">
        <v>107</v>
      </c>
      <c r="B111" s="17" t="inlineStr">
        <is>
          <t>DC</t>
        </is>
      </c>
      <c r="C111" s="17" t="inlineStr">
        <is>
          <t>Future Use 20</t>
        </is>
      </c>
      <c r="D111" s="17" t="inlineStr"/>
      <c r="E111" s="17" t="inlineStr"/>
      <c r="F111" s="17" t="inlineStr">
        <is>
          <t>48</t>
        </is>
      </c>
      <c r="G111" s="17" t="inlineStr"/>
    </row>
    <row r="112">
      <c r="A112" s="17" t="n">
        <v>108</v>
      </c>
      <c r="B112" s="17" t="inlineStr">
        <is>
          <t>DD</t>
        </is>
      </c>
      <c r="C112" s="17" t="inlineStr">
        <is>
          <t>Future Use 21</t>
        </is>
      </c>
      <c r="D112" s="17" t="inlineStr"/>
      <c r="E112" s="17" t="inlineStr"/>
      <c r="F112" s="17" t="inlineStr">
        <is>
          <t>48</t>
        </is>
      </c>
      <c r="G112" s="17" t="inlineStr"/>
    </row>
    <row r="113">
      <c r="A113" s="17" t="n">
        <v>109</v>
      </c>
      <c r="B113" s="17" t="inlineStr">
        <is>
          <t>DE</t>
        </is>
      </c>
      <c r="C113" s="17" t="inlineStr">
        <is>
          <t>Future Use 22</t>
        </is>
      </c>
      <c r="D113" s="17" t="inlineStr"/>
      <c r="E113" s="17" t="inlineStr"/>
      <c r="F113" s="17" t="inlineStr">
        <is>
          <t>48</t>
        </is>
      </c>
      <c r="G113" s="17" t="inlineStr"/>
    </row>
    <row r="114">
      <c r="A114" s="17" t="n">
        <v>110</v>
      </c>
      <c r="B114" s="17" t="inlineStr">
        <is>
          <t>DF</t>
        </is>
      </c>
      <c r="C114" s="17" t="inlineStr">
        <is>
          <t>Future Use 23</t>
        </is>
      </c>
      <c r="D114" s="17" t="inlineStr"/>
      <c r="E114" s="17" t="inlineStr"/>
      <c r="F114" s="17" t="inlineStr">
        <is>
          <t>48</t>
        </is>
      </c>
      <c r="G114" s="17" t="inlineStr"/>
    </row>
    <row r="115">
      <c r="A115" s="17" t="n">
        <v>111</v>
      </c>
      <c r="B115" s="17" t="inlineStr">
        <is>
          <t>DG</t>
        </is>
      </c>
      <c r="C115" s="17" t="inlineStr">
        <is>
          <t>Future Use 24</t>
        </is>
      </c>
      <c r="D115" s="17" t="inlineStr"/>
      <c r="E115" s="17" t="inlineStr"/>
      <c r="F115" s="17" t="inlineStr">
        <is>
          <t>48</t>
        </is>
      </c>
      <c r="G115" s="17" t="inlineStr"/>
    </row>
    <row r="116">
      <c r="A116" s="17" t="n">
        <v>112</v>
      </c>
      <c r="B116" s="17" t="inlineStr">
        <is>
          <t>DH</t>
        </is>
      </c>
      <c r="C116" s="17" t="inlineStr">
        <is>
          <t>Future Use 25</t>
        </is>
      </c>
      <c r="D116" s="17" t="inlineStr"/>
      <c r="E116" s="17" t="inlineStr"/>
      <c r="F116" s="17" t="inlineStr">
        <is>
          <t>48</t>
        </is>
      </c>
      <c r="G116" s="17" t="inlineStr"/>
    </row>
    <row r="117">
      <c r="A117" s="17" t="n">
        <v>113</v>
      </c>
      <c r="B117" s="17" t="inlineStr">
        <is>
          <t>DI</t>
        </is>
      </c>
      <c r="C117" s="17" t="inlineStr">
        <is>
          <t>Future Use 26</t>
        </is>
      </c>
      <c r="D117" s="17" t="inlineStr"/>
      <c r="E117" s="17" t="inlineStr"/>
      <c r="F117" s="17" t="inlineStr">
        <is>
          <t>48</t>
        </is>
      </c>
      <c r="G117" s="17" t="inlineStr"/>
    </row>
    <row r="118">
      <c r="A118" s="17" t="n">
        <v>114</v>
      </c>
      <c r="B118" s="17" t="inlineStr">
        <is>
          <t>DJ</t>
        </is>
      </c>
      <c r="C118" s="17" t="inlineStr">
        <is>
          <t>Future Use 27</t>
        </is>
      </c>
      <c r="D118" s="17" t="inlineStr"/>
      <c r="E118" s="17" t="inlineStr"/>
      <c r="F118" s="17" t="inlineStr">
        <is>
          <t>48</t>
        </is>
      </c>
      <c r="G118" s="17" t="inlineStr"/>
    </row>
    <row r="119">
      <c r="A119" s="17" t="n">
        <v>115</v>
      </c>
      <c r="B119" s="17" t="inlineStr">
        <is>
          <t>DK</t>
        </is>
      </c>
      <c r="C119" s="17" t="inlineStr">
        <is>
          <t>Future Use 28</t>
        </is>
      </c>
      <c r="D119" s="17" t="inlineStr"/>
      <c r="E119" s="17" t="inlineStr"/>
      <c r="F119" s="17" t="inlineStr">
        <is>
          <t>48</t>
        </is>
      </c>
      <c r="G119" s="17" t="inlineStr"/>
    </row>
    <row r="120">
      <c r="A120" s="17" t="n">
        <v>116</v>
      </c>
      <c r="B120" s="17" t="inlineStr">
        <is>
          <t>DL</t>
        </is>
      </c>
      <c r="C120" s="17" t="inlineStr">
        <is>
          <t>Future Use 29</t>
        </is>
      </c>
      <c r="D120" s="17" t="inlineStr"/>
      <c r="E120" s="17" t="inlineStr"/>
      <c r="F120" s="17" t="inlineStr">
        <is>
          <t>48</t>
        </is>
      </c>
      <c r="G120" s="17" t="inlineStr"/>
    </row>
    <row r="121">
      <c r="A121" s="17" t="n">
        <v>117</v>
      </c>
      <c r="B121" s="17" t="inlineStr">
        <is>
          <t>DM</t>
        </is>
      </c>
      <c r="C121" s="17" t="inlineStr">
        <is>
          <t>Future Use 30</t>
        </is>
      </c>
      <c r="D121" s="17" t="inlineStr"/>
      <c r="E121" s="17" t="inlineStr"/>
      <c r="F121" s="17" t="inlineStr">
        <is>
          <t>48</t>
        </is>
      </c>
      <c r="G121" s="17" t="inlineStr"/>
    </row>
    <row r="122">
      <c r="A122" s="17" t="n">
        <v>118</v>
      </c>
      <c r="B122" s="17" t="inlineStr">
        <is>
          <t>DN</t>
        </is>
      </c>
      <c r="C122" s="17" t="inlineStr">
        <is>
          <t>Future Use 31</t>
        </is>
      </c>
      <c r="D122" s="17" t="inlineStr"/>
      <c r="E122" s="17" t="inlineStr"/>
      <c r="F122" s="17" t="inlineStr">
        <is>
          <t>48</t>
        </is>
      </c>
      <c r="G122" s="17" t="inlineStr"/>
    </row>
    <row r="123">
      <c r="A123" s="17" t="n">
        <v>119</v>
      </c>
      <c r="B123" s="17" t="inlineStr">
        <is>
          <t>DO</t>
        </is>
      </c>
      <c r="C123" s="17" t="inlineStr">
        <is>
          <t>Future Use 32</t>
        </is>
      </c>
      <c r="D123" s="17" t="inlineStr"/>
      <c r="E123" s="17" t="inlineStr"/>
      <c r="F123" s="17" t="inlineStr">
        <is>
          <t>48</t>
        </is>
      </c>
      <c r="G123" s="17" t="inlineStr"/>
    </row>
    <row r="124">
      <c r="A124" s="17" t="n">
        <v>120</v>
      </c>
      <c r="B124" s="17" t="inlineStr">
        <is>
          <t>DP</t>
        </is>
      </c>
      <c r="C124" s="17" t="inlineStr">
        <is>
          <t>Future Use 33</t>
        </is>
      </c>
      <c r="D124" s="17" t="inlineStr"/>
      <c r="E124" s="17" t="inlineStr"/>
      <c r="F124" s="17" t="inlineStr">
        <is>
          <t>48</t>
        </is>
      </c>
      <c r="G124" s="17" t="inlineStr"/>
    </row>
    <row r="125">
      <c r="A125" s="17" t="n">
        <v>121</v>
      </c>
      <c r="B125" s="17" t="inlineStr">
        <is>
          <t>DQ</t>
        </is>
      </c>
      <c r="C125" s="17" t="inlineStr">
        <is>
          <t>Future Use 34</t>
        </is>
      </c>
      <c r="D125" s="17" t="inlineStr"/>
      <c r="E125" s="17" t="inlineStr"/>
      <c r="F125" s="17" t="inlineStr">
        <is>
          <t>48</t>
        </is>
      </c>
      <c r="G125" s="17" t="inlineStr"/>
    </row>
    <row r="126">
      <c r="A126" s="17" t="n">
        <v>122</v>
      </c>
      <c r="B126" s="17" t="inlineStr">
        <is>
          <t>DR</t>
        </is>
      </c>
      <c r="C126" s="17" t="inlineStr">
        <is>
          <t>Future Use 35</t>
        </is>
      </c>
      <c r="D126" s="17" t="inlineStr"/>
      <c r="E126" s="17" t="inlineStr"/>
      <c r="F126" s="17" t="inlineStr">
        <is>
          <t>48</t>
        </is>
      </c>
      <c r="G126" s="17" t="inlineStr"/>
    </row>
    <row r="127">
      <c r="A127" s="17" t="n">
        <v>123</v>
      </c>
      <c r="B127" s="17" t="inlineStr">
        <is>
          <t>DS</t>
        </is>
      </c>
      <c r="C127" s="17" t="inlineStr">
        <is>
          <t>Future Use 36</t>
        </is>
      </c>
      <c r="D127" s="17" t="inlineStr"/>
      <c r="E127" s="17" t="inlineStr"/>
      <c r="F127" s="17" t="inlineStr">
        <is>
          <t>48</t>
        </is>
      </c>
      <c r="G127" s="17" t="inlineStr"/>
    </row>
    <row r="128">
      <c r="A128" s="17" t="n">
        <v>124</v>
      </c>
      <c r="B128" s="17" t="inlineStr">
        <is>
          <t>DT</t>
        </is>
      </c>
      <c r="C128" s="17" t="inlineStr">
        <is>
          <t>Future Use 37</t>
        </is>
      </c>
      <c r="D128" s="17" t="inlineStr"/>
      <c r="E128" s="17" t="inlineStr"/>
      <c r="F128" s="17" t="inlineStr">
        <is>
          <t>48</t>
        </is>
      </c>
      <c r="G128" s="17" t="inlineStr"/>
    </row>
    <row r="129">
      <c r="A129" s="17" t="n">
        <v>125</v>
      </c>
      <c r="B129" s="17" t="inlineStr">
        <is>
          <t>DU</t>
        </is>
      </c>
      <c r="C129" s="17" t="inlineStr">
        <is>
          <t>Future Use 38</t>
        </is>
      </c>
      <c r="D129" s="17" t="inlineStr"/>
      <c r="E129" s="17" t="inlineStr"/>
      <c r="F129" s="17" t="inlineStr">
        <is>
          <t>48</t>
        </is>
      </c>
      <c r="G129" s="17" t="inlineStr"/>
    </row>
    <row r="130">
      <c r="A130" s="17" t="n">
        <v>126</v>
      </c>
      <c r="B130" s="17" t="inlineStr">
        <is>
          <t>DV</t>
        </is>
      </c>
      <c r="C130" s="17" t="inlineStr">
        <is>
          <t>Future Use 39</t>
        </is>
      </c>
      <c r="D130" s="17" t="inlineStr"/>
      <c r="E130" s="17" t="inlineStr"/>
      <c r="F130" s="17" t="inlineStr">
        <is>
          <t>48</t>
        </is>
      </c>
      <c r="G130" s="17" t="inlineStr"/>
    </row>
    <row r="131">
      <c r="A131" s="17" t="n">
        <v>127</v>
      </c>
      <c r="B131" s="17" t="inlineStr">
        <is>
          <t>DW</t>
        </is>
      </c>
      <c r="C131" s="17" t="inlineStr">
        <is>
          <t>Future Use 40</t>
        </is>
      </c>
      <c r="D131" s="17" t="inlineStr"/>
      <c r="E131" s="17" t="inlineStr"/>
      <c r="F131" s="17" t="inlineStr">
        <is>
          <t>48</t>
        </is>
      </c>
      <c r="G131" s="17" t="inlineStr"/>
    </row>
    <row r="132">
      <c r="A132" s="17" t="n">
        <v>128</v>
      </c>
      <c r="B132" s="17" t="inlineStr">
        <is>
          <t>DX</t>
        </is>
      </c>
      <c r="C132" s="17" t="inlineStr">
        <is>
          <t>Future Use 41</t>
        </is>
      </c>
      <c r="D132" s="17" t="inlineStr"/>
      <c r="E132" s="17" t="inlineStr"/>
      <c r="F132" s="17" t="inlineStr">
        <is>
          <t>48</t>
        </is>
      </c>
      <c r="G132" s="17" t="inlineStr"/>
    </row>
    <row r="133">
      <c r="A133" s="17" t="n">
        <v>129</v>
      </c>
      <c r="B133" s="17" t="inlineStr">
        <is>
          <t>DY</t>
        </is>
      </c>
      <c r="C133" s="17" t="inlineStr">
        <is>
          <t>Future Use 42</t>
        </is>
      </c>
      <c r="D133" s="17" t="inlineStr"/>
      <c r="E133" s="17" t="inlineStr"/>
      <c r="F133" s="17" t="inlineStr">
        <is>
          <t>48</t>
        </is>
      </c>
      <c r="G133" s="17" t="inlineStr"/>
    </row>
    <row r="134">
      <c r="A134" s="17" t="n">
        <v>130</v>
      </c>
      <c r="B134" s="17" t="inlineStr">
        <is>
          <t>DZ</t>
        </is>
      </c>
      <c r="C134" s="17" t="inlineStr">
        <is>
          <t>Future Use 43</t>
        </is>
      </c>
      <c r="D134" s="17" t="inlineStr"/>
      <c r="E134" s="17" t="inlineStr"/>
      <c r="F134" s="17" t="inlineStr">
        <is>
          <t>48</t>
        </is>
      </c>
      <c r="G134" s="17" t="inlineStr"/>
    </row>
    <row r="135">
      <c r="A135" s="17" t="n">
        <v>131</v>
      </c>
      <c r="B135" s="17" t="inlineStr">
        <is>
          <t>EA</t>
        </is>
      </c>
      <c r="C135" s="17" t="inlineStr">
        <is>
          <t>Future Use 44</t>
        </is>
      </c>
      <c r="D135" s="17" t="inlineStr"/>
      <c r="E135" s="17" t="inlineStr"/>
      <c r="F135" s="17" t="inlineStr">
        <is>
          <t>48</t>
        </is>
      </c>
      <c r="G135" s="17" t="inlineStr"/>
    </row>
    <row r="136">
      <c r="A136" s="17" t="n">
        <v>132</v>
      </c>
      <c r="B136" s="17" t="inlineStr">
        <is>
          <t>EB</t>
        </is>
      </c>
      <c r="C136" s="17" t="inlineStr">
        <is>
          <t>Future Use 45</t>
        </is>
      </c>
      <c r="D136" s="17" t="inlineStr"/>
      <c r="E136" s="17" t="inlineStr"/>
      <c r="F136" s="17" t="inlineStr">
        <is>
          <t>48</t>
        </is>
      </c>
      <c r="G136" s="17" t="inlineStr"/>
    </row>
    <row r="137">
      <c r="A137" s="17" t="n">
        <v>133</v>
      </c>
      <c r="B137" s="17" t="inlineStr">
        <is>
          <t>EC</t>
        </is>
      </c>
      <c r="C137" s="17" t="inlineStr">
        <is>
          <t>Future Use 46</t>
        </is>
      </c>
      <c r="D137" s="17" t="inlineStr"/>
      <c r="E137" s="17" t="inlineStr"/>
      <c r="F137" s="17" t="inlineStr">
        <is>
          <t>48</t>
        </is>
      </c>
      <c r="G137" s="17" t="inlineStr"/>
    </row>
    <row r="138">
      <c r="A138" s="17" t="n">
        <v>134</v>
      </c>
      <c r="B138" s="17" t="inlineStr">
        <is>
          <t>ED</t>
        </is>
      </c>
      <c r="C138" s="17" t="inlineStr">
        <is>
          <t>Future Use 47</t>
        </is>
      </c>
      <c r="D138" s="17" t="inlineStr"/>
      <c r="E138" s="17" t="inlineStr"/>
      <c r="F138" s="17" t="inlineStr">
        <is>
          <t>48</t>
        </is>
      </c>
      <c r="G138" s="17" t="inlineStr"/>
    </row>
    <row r="139">
      <c r="A139" s="17" t="n">
        <v>135</v>
      </c>
      <c r="B139" s="17" t="inlineStr">
        <is>
          <t>EE</t>
        </is>
      </c>
      <c r="C139" s="17" t="inlineStr">
        <is>
          <t>Future Use 48</t>
        </is>
      </c>
      <c r="D139" s="17" t="inlineStr"/>
      <c r="E139" s="17" t="inlineStr"/>
      <c r="F139" s="17" t="inlineStr">
        <is>
          <t>48</t>
        </is>
      </c>
      <c r="G139" s="17" t="inlineStr"/>
    </row>
    <row r="140">
      <c r="A140" s="17" t="n">
        <v>136</v>
      </c>
      <c r="B140" s="17" t="inlineStr">
        <is>
          <t>EF</t>
        </is>
      </c>
      <c r="C140" s="17" t="inlineStr">
        <is>
          <t>Future Use 49</t>
        </is>
      </c>
      <c r="D140" s="17" t="inlineStr"/>
      <c r="E140" s="17" t="inlineStr"/>
      <c r="F140" s="17" t="inlineStr">
        <is>
          <t>48</t>
        </is>
      </c>
      <c r="G140" s="17" t="inlineStr"/>
    </row>
    <row r="141">
      <c r="A141" s="17" t="n">
        <v>137</v>
      </c>
      <c r="B141" s="17" t="inlineStr">
        <is>
          <t>EG</t>
        </is>
      </c>
      <c r="C141" s="17" t="inlineStr">
        <is>
          <t>Future Use 50</t>
        </is>
      </c>
      <c r="D141" s="17" t="inlineStr"/>
      <c r="E141" s="17" t="inlineStr"/>
      <c r="F141" s="17" t="inlineStr">
        <is>
          <t>48</t>
        </is>
      </c>
      <c r="G141" s="17" t="inlineStr"/>
    </row>
  </sheetData>
  <autoFilter ref="A4:G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1"/>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34" customWidth="1" min="3" max="3"/>
    <col width="52" customWidth="1" min="4" max="4"/>
    <col width="52" customWidth="1" min="5" max="5"/>
    <col width="8" customWidth="1" min="6" max="6"/>
    <col width="60" customWidth="1" min="7" max="7"/>
  </cols>
  <sheetData>
    <row r="1">
      <c r="A1" s="9" t="inlineStr">
        <is>
          <t>Record 350 - Field Mapping</t>
        </is>
      </c>
    </row>
    <row r="2">
      <c r="A2" s="10" t="inlineStr">
        <is>
          <t>Travel profile. ADP and hand-keyed employees only; UKG has no 350. Current scope: off. 67 positions, 5 filled. Every position is written, even when empty.</t>
        </is>
      </c>
    </row>
    <row r="4">
      <c r="A4" s="11" t="inlineStr">
        <is>
          <t>Pos</t>
        </is>
      </c>
      <c r="B4" s="11" t="inlineStr">
        <is>
          <t>Col</t>
        </is>
      </c>
      <c r="C4" s="11" t="inlineStr">
        <is>
          <t>Concur Field</t>
        </is>
      </c>
      <c r="D4" s="11" t="inlineStr">
        <is>
          <t>ADP Value</t>
        </is>
      </c>
      <c r="E4" s="11" t="inlineStr">
        <is>
          <t>UKG Value</t>
        </is>
      </c>
      <c r="F4" s="11" t="inlineStr">
        <is>
          <t>Max Len</t>
        </is>
      </c>
      <c r="G4" s="11" t="inlineStr">
        <is>
          <t>Full Template Heading</t>
        </is>
      </c>
    </row>
    <row r="5">
      <c r="A5" s="16" t="n">
        <v>1</v>
      </c>
      <c r="B5" s="16" t="inlineStr">
        <is>
          <t>A</t>
        </is>
      </c>
      <c r="C5" s="16" t="inlineStr">
        <is>
          <t>Trx Type</t>
        </is>
      </c>
      <c r="D5" s="16" t="inlineStr">
        <is>
          <t>Constant "350"</t>
        </is>
      </c>
      <c r="E5" s="16" t="inlineStr">
        <is>
          <t>n/a - UKG writes no 350</t>
        </is>
      </c>
      <c r="F5" s="16" t="inlineStr">
        <is>
          <t>3</t>
        </is>
      </c>
      <c r="G5" s="16" t="inlineStr">
        <is>
          <t>Trx Type (350)</t>
        </is>
      </c>
    </row>
    <row r="6">
      <c r="A6" s="13" t="n">
        <v>2</v>
      </c>
      <c r="B6" s="13" t="inlineStr">
        <is>
          <t>B</t>
        </is>
      </c>
      <c r="C6" s="13" t="inlineStr">
        <is>
          <t>Employee ID</t>
        </is>
      </c>
      <c r="D6" s="13" t="inlineStr">
        <is>
          <t>ADP: File Number (col P)  [file_number]</t>
        </is>
      </c>
      <c r="E6" s="13" t="inlineStr">
        <is>
          <t>n/a - UKG writes no 350</t>
        </is>
      </c>
      <c r="F6" s="13" t="inlineStr">
        <is>
          <t>48</t>
        </is>
      </c>
      <c r="G6" s="13" t="inlineStr"/>
    </row>
    <row r="7">
      <c r="A7" s="17" t="n">
        <v>3</v>
      </c>
      <c r="B7" s="17" t="inlineStr">
        <is>
          <t>C</t>
        </is>
      </c>
      <c r="C7" s="17" t="inlineStr">
        <is>
          <t>Name Prefix</t>
        </is>
      </c>
      <c r="D7" s="17" t="inlineStr"/>
      <c r="E7" s="17" t="inlineStr">
        <is>
          <t>n/a - UKG writes no 350</t>
        </is>
      </c>
      <c r="F7" s="17" t="inlineStr">
        <is>
          <t>60</t>
        </is>
      </c>
      <c r="G7" s="17" t="inlineStr"/>
    </row>
    <row r="8">
      <c r="A8" s="17" t="n">
        <v>4</v>
      </c>
      <c r="B8" s="17" t="inlineStr">
        <is>
          <t>D</t>
        </is>
      </c>
      <c r="C8" s="17" t="inlineStr">
        <is>
          <t>Name Suffix</t>
        </is>
      </c>
      <c r="D8" s="17" t="inlineStr"/>
      <c r="E8" s="17" t="inlineStr">
        <is>
          <t>n/a - UKG writes no 350</t>
        </is>
      </c>
      <c r="F8" s="17" t="inlineStr">
        <is>
          <t>60</t>
        </is>
      </c>
      <c r="G8" s="17" t="inlineStr"/>
    </row>
    <row r="9">
      <c r="A9" s="17" t="n">
        <v>5</v>
      </c>
      <c r="B9" s="17" t="inlineStr">
        <is>
          <t>E</t>
        </is>
      </c>
      <c r="C9" s="17" t="inlineStr">
        <is>
          <t>Nick Name</t>
        </is>
      </c>
      <c r="D9" s="17" t="inlineStr"/>
      <c r="E9" s="17" t="inlineStr">
        <is>
          <t>n/a - UKG writes no 350</t>
        </is>
      </c>
      <c r="F9" s="17" t="inlineStr">
        <is>
          <t>60</t>
        </is>
      </c>
      <c r="G9" s="17" t="inlineStr"/>
    </row>
    <row r="10">
      <c r="A10" s="17" t="n">
        <v>6</v>
      </c>
      <c r="B10" s="17" t="inlineStr">
        <is>
          <t>F</t>
        </is>
      </c>
      <c r="C10" s="17" t="inlineStr">
        <is>
          <t>Redress Number</t>
        </is>
      </c>
      <c r="D10" s="17" t="inlineStr"/>
      <c r="E10" s="17" t="inlineStr">
        <is>
          <t>n/a - UKG writes no 350</t>
        </is>
      </c>
      <c r="F10" s="17" t="inlineStr">
        <is>
          <t>13</t>
        </is>
      </c>
      <c r="G10" s="17" t="inlineStr"/>
    </row>
    <row r="11">
      <c r="A11" s="17" t="n">
        <v>7</v>
      </c>
      <c r="B11" s="17" t="inlineStr">
        <is>
          <t>G</t>
        </is>
      </c>
      <c r="C11" s="17" t="inlineStr">
        <is>
          <t>Gender</t>
        </is>
      </c>
      <c r="D11" s="17" t="inlineStr"/>
      <c r="E11" s="17" t="inlineStr">
        <is>
          <t>n/a - UKG writes no 350</t>
        </is>
      </c>
      <c r="F11" s="17" t="inlineStr">
        <is>
          <t>1</t>
        </is>
      </c>
      <c r="G11" s="17" t="inlineStr"/>
    </row>
    <row r="12">
      <c r="A12" s="17" t="n">
        <v>8</v>
      </c>
      <c r="B12" s="17" t="inlineStr">
        <is>
          <t>H</t>
        </is>
      </c>
      <c r="C12" s="17" t="inlineStr">
        <is>
          <t>Date of Birth</t>
        </is>
      </c>
      <c r="D12" s="17" t="inlineStr"/>
      <c r="E12" s="17" t="inlineStr">
        <is>
          <t>n/a - UKG writes no 350</t>
        </is>
      </c>
      <c r="F12" s="17" t="inlineStr">
        <is>
          <t>10</t>
        </is>
      </c>
      <c r="G12" s="17" t="inlineStr"/>
    </row>
    <row r="13">
      <c r="A13" s="17" t="n">
        <v>9</v>
      </c>
      <c r="B13" s="17" t="inlineStr">
        <is>
          <t>I</t>
        </is>
      </c>
      <c r="C13" s="17" t="inlineStr">
        <is>
          <t>Employee ID of the Travel Approver</t>
        </is>
      </c>
      <c r="D13" s="17" t="inlineStr"/>
      <c r="E13" s="17" t="inlineStr">
        <is>
          <t>n/a - UKG writes no 350</t>
        </is>
      </c>
      <c r="F13" s="17" t="inlineStr">
        <is>
          <t>128</t>
        </is>
      </c>
      <c r="G13" s="17" t="inlineStr"/>
    </row>
    <row r="14">
      <c r="A14" s="17" t="n">
        <v>10</v>
      </c>
      <c r="B14" s="17" t="inlineStr">
        <is>
          <t>J</t>
        </is>
      </c>
      <c r="C14" s="17" t="inlineStr">
        <is>
          <t>Job Title</t>
        </is>
      </c>
      <c r="D14" s="17" t="inlineStr"/>
      <c r="E14" s="17" t="inlineStr">
        <is>
          <t>n/a - UKG writes no 350</t>
        </is>
      </c>
      <c r="F14" s="17" t="inlineStr">
        <is>
          <t>255</t>
        </is>
      </c>
      <c r="G14" s="17" t="inlineStr"/>
    </row>
    <row r="15">
      <c r="A15" s="17" t="n">
        <v>11</v>
      </c>
      <c r="B15" s="17" t="inlineStr">
        <is>
          <t>K</t>
        </is>
      </c>
      <c r="C15" s="17" t="inlineStr">
        <is>
          <t>Work Phone</t>
        </is>
      </c>
      <c r="D15" s="17" t="inlineStr"/>
      <c r="E15" s="17" t="inlineStr">
        <is>
          <t>n/a - UKG writes no 350</t>
        </is>
      </c>
      <c r="F15" s="17" t="inlineStr">
        <is>
          <t>60</t>
        </is>
      </c>
      <c r="G15" s="17" t="inlineStr"/>
    </row>
    <row r="16">
      <c r="A16" s="17" t="n">
        <v>12</v>
      </c>
      <c r="B16" s="17" t="inlineStr">
        <is>
          <t>L</t>
        </is>
      </c>
      <c r="C16" s="17" t="inlineStr">
        <is>
          <t>Work Phone Extension</t>
        </is>
      </c>
      <c r="D16" s="17" t="inlineStr"/>
      <c r="E16" s="17" t="inlineStr">
        <is>
          <t>n/a - UKG writes no 350</t>
        </is>
      </c>
      <c r="F16" s="17" t="inlineStr">
        <is>
          <t>60</t>
        </is>
      </c>
      <c r="G16" s="17" t="inlineStr"/>
    </row>
    <row r="17">
      <c r="A17" s="17" t="n">
        <v>13</v>
      </c>
      <c r="B17" s="17" t="inlineStr">
        <is>
          <t>M</t>
        </is>
      </c>
      <c r="C17" s="17" t="inlineStr">
        <is>
          <t>Work Fax</t>
        </is>
      </c>
      <c r="D17" s="17" t="inlineStr"/>
      <c r="E17" s="17" t="inlineStr">
        <is>
          <t>n/a - UKG writes no 350</t>
        </is>
      </c>
      <c r="F17" s="17" t="inlineStr">
        <is>
          <t>60</t>
        </is>
      </c>
      <c r="G17" s="17" t="inlineStr"/>
    </row>
    <row r="18">
      <c r="A18" s="17" t="n">
        <v>14</v>
      </c>
      <c r="B18" s="17" t="inlineStr">
        <is>
          <t>N</t>
        </is>
      </c>
      <c r="C18" s="17" t="inlineStr">
        <is>
          <t>Home Phone</t>
        </is>
      </c>
      <c r="D18" s="17" t="inlineStr"/>
      <c r="E18" s="17" t="inlineStr">
        <is>
          <t>n/a - UKG writes no 350</t>
        </is>
      </c>
      <c r="F18" s="17" t="inlineStr">
        <is>
          <t>60</t>
        </is>
      </c>
      <c r="G18" s="17" t="inlineStr"/>
    </row>
    <row r="19">
      <c r="A19" s="17" t="n">
        <v>15</v>
      </c>
      <c r="B19" s="17" t="inlineStr">
        <is>
          <t>O</t>
        </is>
      </c>
      <c r="C19" s="17" t="inlineStr">
        <is>
          <t>Cell Phone</t>
        </is>
      </c>
      <c r="D19" s="17" t="inlineStr"/>
      <c r="E19" s="17" t="inlineStr">
        <is>
          <t>n/a - UKG writes no 350</t>
        </is>
      </c>
      <c r="F19" s="17" t="inlineStr">
        <is>
          <t>60</t>
        </is>
      </c>
      <c r="G19" s="17" t="inlineStr"/>
    </row>
    <row r="20">
      <c r="A20" s="17" t="n">
        <v>16</v>
      </c>
      <c r="B20" s="17" t="inlineStr">
        <is>
          <t>P</t>
        </is>
      </c>
      <c r="C20" s="17" t="inlineStr">
        <is>
          <t>Pager Phone</t>
        </is>
      </c>
      <c r="D20" s="17" t="inlineStr"/>
      <c r="E20" s="17" t="inlineStr">
        <is>
          <t>n/a - UKG writes no 350</t>
        </is>
      </c>
      <c r="F20" s="17" t="inlineStr">
        <is>
          <t>60</t>
        </is>
      </c>
      <c r="G20" s="17" t="inlineStr"/>
    </row>
    <row r="21">
      <c r="A21" s="17" t="n">
        <v>17</v>
      </c>
      <c r="B21" s="17" t="inlineStr">
        <is>
          <t>Q</t>
        </is>
      </c>
      <c r="C21" s="17" t="inlineStr">
        <is>
          <t>Travel Name Remark</t>
        </is>
      </c>
      <c r="D21" s="17" t="inlineStr"/>
      <c r="E21" s="17" t="inlineStr">
        <is>
          <t>n/a - UKG writes no 350</t>
        </is>
      </c>
      <c r="F21" s="17" t="inlineStr">
        <is>
          <t>30</t>
        </is>
      </c>
      <c r="G21" s="17" t="inlineStr"/>
    </row>
    <row r="22">
      <c r="A22" s="13" t="n">
        <v>18</v>
      </c>
      <c r="B22" s="13" t="inlineStr">
        <is>
          <t>R</t>
        </is>
      </c>
      <c r="C22" s="13" t="inlineStr">
        <is>
          <t>Travel Class Name</t>
        </is>
      </c>
      <c r="D22" s="13" t="inlineStr">
        <is>
          <t>Derived: Travel Profile  [travel_profile]</t>
        </is>
      </c>
      <c r="E22" s="13" t="inlineStr">
        <is>
          <t>n/a - UKG writes no 350</t>
        </is>
      </c>
      <c r="F22" s="13" t="inlineStr">
        <is>
          <t>60</t>
        </is>
      </c>
      <c r="G22" s="13" t="inlineStr">
        <is>
          <t>Travel Class Name ***CA should convert to US*** •If employee salary level is H00 to Salary 19 then General xx (xx is 2 digit Country code). •If employee salary level is Salary 20 to Salary 23 then Senior Leadership xx (xx is 2 digit Country code). •If employee salary level is Salary 24 or greater than VIP xx (xx is 2 digit Country code).- exclude ELT ID's •If employee ID is listed below than ELT xx (xx is 2 digit Country code).</t>
        </is>
      </c>
    </row>
    <row r="23">
      <c r="A23" s="17" t="n">
        <v>19</v>
      </c>
      <c r="B23" s="17" t="inlineStr">
        <is>
          <t>S</t>
        </is>
      </c>
      <c r="C23" s="17" t="inlineStr">
        <is>
          <t>GDS Profile Name</t>
        </is>
      </c>
      <c r="D23" s="17" t="inlineStr"/>
      <c r="E23" s="17" t="inlineStr">
        <is>
          <t>n/a - UKG writes no 350</t>
        </is>
      </c>
      <c r="F23" s="17" t="inlineStr">
        <is>
          <t>60</t>
        </is>
      </c>
      <c r="G23" s="17" t="inlineStr"/>
    </row>
    <row r="24">
      <c r="A24" s="13" t="n">
        <v>20</v>
      </c>
      <c r="B24" s="13" t="inlineStr">
        <is>
          <t>T</t>
        </is>
      </c>
      <c r="C24" s="13" t="inlineStr">
        <is>
          <t>Org Unit/Division</t>
        </is>
      </c>
      <c r="D24" s="13" t="inlineStr">
        <is>
          <t>Derived: Org Unit 1  [org_unit_1]</t>
        </is>
      </c>
      <c r="E24" s="13" t="inlineStr">
        <is>
          <t>n/a - UKG writes no 350</t>
        </is>
      </c>
      <c r="F24" s="13" t="inlineStr">
        <is>
          <t>60</t>
        </is>
      </c>
      <c r="G24" s="13" t="inlineStr">
        <is>
          <t>Org Unit/Division (Equals division code from 305 file, site location from UKG) except UK = Division Name</t>
        </is>
      </c>
    </row>
    <row r="25">
      <c r="A25" s="17" t="n">
        <v>21</v>
      </c>
      <c r="B25" s="17" t="inlineStr">
        <is>
          <t>U</t>
        </is>
      </c>
      <c r="C25" s="17" t="inlineStr">
        <is>
          <t>Home Street Address</t>
        </is>
      </c>
      <c r="D25" s="17" t="inlineStr"/>
      <c r="E25" s="17" t="inlineStr">
        <is>
          <t>n/a - UKG writes no 350</t>
        </is>
      </c>
      <c r="F25" s="17" t="inlineStr">
        <is>
          <t>255</t>
        </is>
      </c>
      <c r="G25" s="17" t="inlineStr"/>
    </row>
    <row r="26">
      <c r="A26" s="17" t="n">
        <v>22</v>
      </c>
      <c r="B26" s="17" t="inlineStr">
        <is>
          <t>V</t>
        </is>
      </c>
      <c r="C26" s="17" t="inlineStr">
        <is>
          <t>Home City</t>
        </is>
      </c>
      <c r="D26" s="17" t="inlineStr"/>
      <c r="E26" s="17" t="inlineStr">
        <is>
          <t>n/a - UKG writes no 350</t>
        </is>
      </c>
      <c r="F26" s="17" t="inlineStr">
        <is>
          <t>30</t>
        </is>
      </c>
      <c r="G26" s="17" t="inlineStr"/>
    </row>
    <row r="27">
      <c r="A27" s="17" t="n">
        <v>23</v>
      </c>
      <c r="B27" s="17" t="inlineStr">
        <is>
          <t>W</t>
        </is>
      </c>
      <c r="C27" s="17" t="inlineStr">
        <is>
          <t>Home State</t>
        </is>
      </c>
      <c r="D27" s="17" t="inlineStr"/>
      <c r="E27" s="17" t="inlineStr">
        <is>
          <t>n/a - UKG writes no 350</t>
        </is>
      </c>
      <c r="F27" s="17" t="inlineStr">
        <is>
          <t>30</t>
        </is>
      </c>
      <c r="G27" s="17" t="inlineStr"/>
    </row>
    <row r="28">
      <c r="A28" s="17" t="n">
        <v>24</v>
      </c>
      <c r="B28" s="17" t="inlineStr">
        <is>
          <t>X</t>
        </is>
      </c>
      <c r="C28" s="17" t="inlineStr">
        <is>
          <t>Home Postal Code</t>
        </is>
      </c>
      <c r="D28" s="17" t="inlineStr"/>
      <c r="E28" s="17" t="inlineStr">
        <is>
          <t>n/a - UKG writes no 350</t>
        </is>
      </c>
      <c r="F28" s="17" t="inlineStr">
        <is>
          <t>20</t>
        </is>
      </c>
      <c r="G28" s="17" t="inlineStr"/>
    </row>
    <row r="29">
      <c r="A29" s="17" t="n">
        <v>25</v>
      </c>
      <c r="B29" s="17" t="inlineStr">
        <is>
          <t>Y</t>
        </is>
      </c>
      <c r="C29" s="17" t="inlineStr">
        <is>
          <t>Home Country</t>
        </is>
      </c>
      <c r="D29" s="17" t="inlineStr"/>
      <c r="E29" s="17" t="inlineStr">
        <is>
          <t>n/a - UKG writes no 350</t>
        </is>
      </c>
      <c r="F29" s="17" t="inlineStr">
        <is>
          <t>2</t>
        </is>
      </c>
      <c r="G29" s="17" t="inlineStr"/>
    </row>
    <row r="30">
      <c r="A30" s="17" t="n">
        <v>26</v>
      </c>
      <c r="B30" s="17" t="inlineStr">
        <is>
          <t>Z</t>
        </is>
      </c>
      <c r="C30" s="17" t="inlineStr">
        <is>
          <t>Work Street Address</t>
        </is>
      </c>
      <c r="D30" s="17" t="inlineStr"/>
      <c r="E30" s="17" t="inlineStr">
        <is>
          <t>n/a - UKG writes no 350</t>
        </is>
      </c>
      <c r="F30" s="17" t="inlineStr">
        <is>
          <t>255</t>
        </is>
      </c>
      <c r="G30" s="17" t="inlineStr"/>
    </row>
    <row r="31">
      <c r="A31" s="17" t="n">
        <v>27</v>
      </c>
      <c r="B31" s="17" t="inlineStr">
        <is>
          <t>AA</t>
        </is>
      </c>
      <c r="C31" s="17" t="inlineStr">
        <is>
          <t>Work City</t>
        </is>
      </c>
      <c r="D31" s="17" t="inlineStr"/>
      <c r="E31" s="17" t="inlineStr">
        <is>
          <t>n/a - UKG writes no 350</t>
        </is>
      </c>
      <c r="F31" s="17" t="inlineStr">
        <is>
          <t>30</t>
        </is>
      </c>
      <c r="G31" s="17" t="inlineStr"/>
    </row>
    <row r="32">
      <c r="A32" s="17" t="n">
        <v>28</v>
      </c>
      <c r="B32" s="17" t="inlineStr">
        <is>
          <t>AB</t>
        </is>
      </c>
      <c r="C32" s="17" t="inlineStr">
        <is>
          <t>Work State</t>
        </is>
      </c>
      <c r="D32" s="17" t="inlineStr"/>
      <c r="E32" s="17" t="inlineStr">
        <is>
          <t>n/a - UKG writes no 350</t>
        </is>
      </c>
      <c r="F32" s="17" t="inlineStr">
        <is>
          <t>30</t>
        </is>
      </c>
      <c r="G32" s="17" t="inlineStr"/>
    </row>
    <row r="33">
      <c r="A33" s="17" t="n">
        <v>29</v>
      </c>
      <c r="B33" s="17" t="inlineStr">
        <is>
          <t>AC</t>
        </is>
      </c>
      <c r="C33" s="17" t="inlineStr">
        <is>
          <t>Work Postal Code</t>
        </is>
      </c>
      <c r="D33" s="17" t="inlineStr"/>
      <c r="E33" s="17" t="inlineStr">
        <is>
          <t>n/a - UKG writes no 350</t>
        </is>
      </c>
      <c r="F33" s="17" t="inlineStr">
        <is>
          <t>20</t>
        </is>
      </c>
      <c r="G33" s="17" t="inlineStr"/>
    </row>
    <row r="34">
      <c r="A34" s="17" t="n">
        <v>30</v>
      </c>
      <c r="B34" s="17" t="inlineStr">
        <is>
          <t>AD</t>
        </is>
      </c>
      <c r="C34" s="17" t="inlineStr">
        <is>
          <t>Work Country</t>
        </is>
      </c>
      <c r="D34" s="17" t="inlineStr"/>
      <c r="E34" s="17" t="inlineStr">
        <is>
          <t>n/a - UKG writes no 350</t>
        </is>
      </c>
      <c r="F34" s="17" t="inlineStr">
        <is>
          <t>2</t>
        </is>
      </c>
      <c r="G34" s="17" t="inlineStr"/>
    </row>
    <row r="35">
      <c r="A35" s="17" t="n">
        <v>31</v>
      </c>
      <c r="B35" s="17" t="inlineStr">
        <is>
          <t>AE</t>
        </is>
      </c>
      <c r="C35" s="17" t="inlineStr">
        <is>
          <t>Email 2</t>
        </is>
      </c>
      <c r="D35" s="17" t="inlineStr"/>
      <c r="E35" s="17" t="inlineStr">
        <is>
          <t>n/a - UKG writes no 350</t>
        </is>
      </c>
      <c r="F35" s="17" t="inlineStr">
        <is>
          <t>255</t>
        </is>
      </c>
      <c r="G35" s="17" t="inlineStr"/>
    </row>
    <row r="36">
      <c r="A36" s="17" t="n">
        <v>32</v>
      </c>
      <c r="B36" s="17" t="inlineStr">
        <is>
          <t>AF</t>
        </is>
      </c>
      <c r="C36" s="17" t="inlineStr">
        <is>
          <t>Email 3</t>
        </is>
      </c>
      <c r="D36" s="17" t="inlineStr"/>
      <c r="E36" s="17" t="inlineStr">
        <is>
          <t>n/a - UKG writes no 350</t>
        </is>
      </c>
      <c r="F36" s="17" t="inlineStr">
        <is>
          <t>255</t>
        </is>
      </c>
      <c r="G36" s="17" t="inlineStr"/>
    </row>
    <row r="37">
      <c r="A37" s="13" t="n">
        <v>33</v>
      </c>
      <c r="B37" s="13" t="inlineStr">
        <is>
          <t>AG</t>
        </is>
      </c>
      <c r="C37" s="13" t="inlineStr">
        <is>
          <t>Custom 1</t>
        </is>
      </c>
      <c r="D37" s="13" t="inlineStr">
        <is>
          <t>Derived: Org Unit 1  [org_unit_1]</t>
        </is>
      </c>
      <c r="E37" s="13" t="inlineStr">
        <is>
          <t>n/a - UKG writes no 350</t>
        </is>
      </c>
      <c r="F37" s="13" t="inlineStr">
        <is>
          <t>255</t>
        </is>
      </c>
      <c r="G37" s="13" t="inlineStr">
        <is>
          <t>Custom 1 (Division) Format: BRNS_DIVISION=(code) Can come from Column 16 Org Unit 1 from the 305 file</t>
        </is>
      </c>
    </row>
    <row r="38">
      <c r="A38" s="17" t="n">
        <v>34</v>
      </c>
      <c r="B38" s="17" t="inlineStr">
        <is>
          <t>AH</t>
        </is>
      </c>
      <c r="C38" s="17" t="inlineStr">
        <is>
          <t>Custom 2</t>
        </is>
      </c>
      <c r="D38" s="17" t="inlineStr"/>
      <c r="E38" s="17" t="inlineStr">
        <is>
          <t>n/a - UKG writes no 350</t>
        </is>
      </c>
      <c r="F38" s="17" t="inlineStr">
        <is>
          <t>255</t>
        </is>
      </c>
      <c r="G38" s="17" t="inlineStr">
        <is>
          <t>Custom 2 (Department) Format: BRNS_DEPT=140400 Can come from Column 17, Org Unit 2 from 305 file</t>
        </is>
      </c>
    </row>
    <row r="39">
      <c r="A39" s="17" t="n">
        <v>35</v>
      </c>
      <c r="B39" s="17" t="inlineStr">
        <is>
          <t>AI</t>
        </is>
      </c>
      <c r="C39" s="17" t="inlineStr">
        <is>
          <t>Custom 3</t>
        </is>
      </c>
      <c r="D39" s="17" t="inlineStr"/>
      <c r="E39" s="17" t="inlineStr">
        <is>
          <t>n/a - UKG writes no 350</t>
        </is>
      </c>
      <c r="F39" s="17" t="inlineStr">
        <is>
          <t>255</t>
        </is>
      </c>
      <c r="G39" s="17" t="inlineStr">
        <is>
          <t>Custom 3 (Country of Employement) Format: COUNTRY_CODE=2 letter country code Can come from Column 10 Ctry Code from 305 file.</t>
        </is>
      </c>
    </row>
    <row r="40">
      <c r="A40" s="17" t="n">
        <v>36</v>
      </c>
      <c r="B40" s="17" t="inlineStr">
        <is>
          <t>AJ</t>
        </is>
      </c>
      <c r="C40" s="17" t="inlineStr">
        <is>
          <t>Custom 4</t>
        </is>
      </c>
      <c r="D40" s="17" t="inlineStr"/>
      <c r="E40" s="17" t="inlineStr">
        <is>
          <t>n/a - UKG writes no 350</t>
        </is>
      </c>
      <c r="F40" s="17" t="inlineStr">
        <is>
          <t>255</t>
        </is>
      </c>
      <c r="G40" s="17" t="inlineStr"/>
    </row>
    <row r="41">
      <c r="A41" s="17" t="n">
        <v>37</v>
      </c>
      <c r="B41" s="17" t="inlineStr">
        <is>
          <t>AK</t>
        </is>
      </c>
      <c r="C41" s="17" t="inlineStr">
        <is>
          <t>Custom 5</t>
        </is>
      </c>
      <c r="D41" s="17" t="inlineStr"/>
      <c r="E41" s="17" t="inlineStr">
        <is>
          <t>n/a - UKG writes no 350</t>
        </is>
      </c>
      <c r="F41" s="17" t="inlineStr">
        <is>
          <t>255</t>
        </is>
      </c>
      <c r="G41" s="17" t="inlineStr"/>
    </row>
    <row r="42">
      <c r="A42" s="17" t="n">
        <v>38</v>
      </c>
      <c r="B42" s="17" t="inlineStr">
        <is>
          <t>AL</t>
        </is>
      </c>
      <c r="C42" s="17" t="inlineStr">
        <is>
          <t>Custom 6</t>
        </is>
      </c>
      <c r="D42" s="17" t="inlineStr"/>
      <c r="E42" s="17" t="inlineStr">
        <is>
          <t>n/a - UKG writes no 350</t>
        </is>
      </c>
      <c r="F42" s="17" t="inlineStr">
        <is>
          <t>255</t>
        </is>
      </c>
      <c r="G42" s="17" t="inlineStr"/>
    </row>
    <row r="43">
      <c r="A43" s="17" t="n">
        <v>39</v>
      </c>
      <c r="B43" s="17" t="inlineStr">
        <is>
          <t>AM</t>
        </is>
      </c>
      <c r="C43" s="17" t="inlineStr">
        <is>
          <t>Custom 7</t>
        </is>
      </c>
      <c r="D43" s="17" t="inlineStr"/>
      <c r="E43" s="17" t="inlineStr">
        <is>
          <t>n/a - UKG writes no 350</t>
        </is>
      </c>
      <c r="F43" s="17" t="inlineStr">
        <is>
          <t>255</t>
        </is>
      </c>
      <c r="G43" s="17" t="inlineStr"/>
    </row>
    <row r="44">
      <c r="A44" s="17" t="n">
        <v>40</v>
      </c>
      <c r="B44" s="17" t="inlineStr">
        <is>
          <t>AN</t>
        </is>
      </c>
      <c r="C44" s="17" t="inlineStr">
        <is>
          <t>Custom 8</t>
        </is>
      </c>
      <c r="D44" s="17" t="inlineStr"/>
      <c r="E44" s="17" t="inlineStr">
        <is>
          <t>n/a - UKG writes no 350</t>
        </is>
      </c>
      <c r="F44" s="17" t="inlineStr">
        <is>
          <t>255</t>
        </is>
      </c>
      <c r="G44" s="17" t="inlineStr"/>
    </row>
    <row r="45">
      <c r="A45" s="17" t="n">
        <v>41</v>
      </c>
      <c r="B45" s="17" t="inlineStr">
        <is>
          <t>AO</t>
        </is>
      </c>
      <c r="C45" s="17" t="inlineStr">
        <is>
          <t>Custom 9</t>
        </is>
      </c>
      <c r="D45" s="17" t="inlineStr"/>
      <c r="E45" s="17" t="inlineStr">
        <is>
          <t>n/a - UKG writes no 350</t>
        </is>
      </c>
      <c r="F45" s="17" t="inlineStr">
        <is>
          <t>255</t>
        </is>
      </c>
      <c r="G45" s="17" t="inlineStr"/>
    </row>
    <row r="46">
      <c r="A46" s="17" t="n">
        <v>42</v>
      </c>
      <c r="B46" s="17" t="inlineStr">
        <is>
          <t>AP</t>
        </is>
      </c>
      <c r="C46" s="17" t="inlineStr">
        <is>
          <t>Custom 10</t>
        </is>
      </c>
      <c r="D46" s="17" t="inlineStr"/>
      <c r="E46" s="17" t="inlineStr">
        <is>
          <t>n/a - UKG writes no 350</t>
        </is>
      </c>
      <c r="F46" s="17" t="inlineStr">
        <is>
          <t>255</t>
        </is>
      </c>
      <c r="G46" s="17" t="inlineStr"/>
    </row>
    <row r="47">
      <c r="A47" s="17" t="n">
        <v>43</v>
      </c>
      <c r="B47" s="17" t="inlineStr">
        <is>
          <t>AQ</t>
        </is>
      </c>
      <c r="C47" s="17" t="inlineStr">
        <is>
          <t>Custom 11</t>
        </is>
      </c>
      <c r="D47" s="17" t="inlineStr"/>
      <c r="E47" s="17" t="inlineStr">
        <is>
          <t>n/a - UKG writes no 350</t>
        </is>
      </c>
      <c r="F47" s="17" t="inlineStr">
        <is>
          <t>255</t>
        </is>
      </c>
      <c r="G47" s="17" t="inlineStr"/>
    </row>
    <row r="48">
      <c r="A48" s="17" t="n">
        <v>44</v>
      </c>
      <c r="B48" s="17" t="inlineStr">
        <is>
          <t>AR</t>
        </is>
      </c>
      <c r="C48" s="17" t="inlineStr">
        <is>
          <t>Custom 12</t>
        </is>
      </c>
      <c r="D48" s="17" t="inlineStr"/>
      <c r="E48" s="17" t="inlineStr">
        <is>
          <t>n/a - UKG writes no 350</t>
        </is>
      </c>
      <c r="F48" s="17" t="inlineStr">
        <is>
          <t>255</t>
        </is>
      </c>
      <c r="G48" s="17" t="inlineStr"/>
    </row>
    <row r="49">
      <c r="A49" s="17" t="n">
        <v>45</v>
      </c>
      <c r="B49" s="17" t="inlineStr">
        <is>
          <t>AS</t>
        </is>
      </c>
      <c r="C49" s="17" t="inlineStr">
        <is>
          <t>Custom 13</t>
        </is>
      </c>
      <c r="D49" s="17" t="inlineStr"/>
      <c r="E49" s="17" t="inlineStr">
        <is>
          <t>n/a - UKG writes no 350</t>
        </is>
      </c>
      <c r="F49" s="17" t="inlineStr">
        <is>
          <t>255</t>
        </is>
      </c>
      <c r="G49" s="17" t="inlineStr"/>
    </row>
    <row r="50">
      <c r="A50" s="17" t="n">
        <v>46</v>
      </c>
      <c r="B50" s="17" t="inlineStr">
        <is>
          <t>AT</t>
        </is>
      </c>
      <c r="C50" s="17" t="inlineStr">
        <is>
          <t>Custom 14</t>
        </is>
      </c>
      <c r="D50" s="17" t="inlineStr"/>
      <c r="E50" s="17" t="inlineStr">
        <is>
          <t>n/a - UKG writes no 350</t>
        </is>
      </c>
      <c r="F50" s="17" t="inlineStr">
        <is>
          <t>255</t>
        </is>
      </c>
      <c r="G50" s="17" t="inlineStr"/>
    </row>
    <row r="51">
      <c r="A51" s="17" t="n">
        <v>47</v>
      </c>
      <c r="B51" s="17" t="inlineStr">
        <is>
          <t>AU</t>
        </is>
      </c>
      <c r="C51" s="17" t="inlineStr">
        <is>
          <t>Custom 15</t>
        </is>
      </c>
      <c r="D51" s="17" t="inlineStr"/>
      <c r="E51" s="17" t="inlineStr">
        <is>
          <t>n/a - UKG writes no 350</t>
        </is>
      </c>
      <c r="F51" s="17" t="inlineStr">
        <is>
          <t>255</t>
        </is>
      </c>
      <c r="G51" s="17" t="inlineStr"/>
    </row>
    <row r="52">
      <c r="A52" s="17" t="n">
        <v>48</v>
      </c>
      <c r="B52" s="17" t="inlineStr">
        <is>
          <t>AV</t>
        </is>
      </c>
      <c r="C52" s="17" t="inlineStr">
        <is>
          <t>Custom 16</t>
        </is>
      </c>
      <c r="D52" s="17" t="inlineStr"/>
      <c r="E52" s="17" t="inlineStr">
        <is>
          <t>n/a - UKG writes no 350</t>
        </is>
      </c>
      <c r="F52" s="17" t="inlineStr">
        <is>
          <t>255</t>
        </is>
      </c>
      <c r="G52" s="17" t="inlineStr"/>
    </row>
    <row r="53">
      <c r="A53" s="17" t="n">
        <v>49</v>
      </c>
      <c r="B53" s="17" t="inlineStr">
        <is>
          <t>AW</t>
        </is>
      </c>
      <c r="C53" s="17" t="inlineStr">
        <is>
          <t>Custom 17</t>
        </is>
      </c>
      <c r="D53" s="17" t="inlineStr"/>
      <c r="E53" s="17" t="inlineStr">
        <is>
          <t>n/a - UKG writes no 350</t>
        </is>
      </c>
      <c r="F53" s="17" t="inlineStr">
        <is>
          <t>255</t>
        </is>
      </c>
      <c r="G53" s="17" t="inlineStr"/>
    </row>
    <row r="54">
      <c r="A54" s="17" t="n">
        <v>50</v>
      </c>
      <c r="B54" s="17" t="inlineStr">
        <is>
          <t>AX</t>
        </is>
      </c>
      <c r="C54" s="17" t="inlineStr">
        <is>
          <t>Custom 18</t>
        </is>
      </c>
      <c r="D54" s="17" t="inlineStr"/>
      <c r="E54" s="17" t="inlineStr">
        <is>
          <t>n/a - UKG writes no 350</t>
        </is>
      </c>
      <c r="F54" s="17" t="inlineStr">
        <is>
          <t>255</t>
        </is>
      </c>
      <c r="G54" s="17" t="inlineStr"/>
    </row>
    <row r="55">
      <c r="A55" s="17" t="n">
        <v>51</v>
      </c>
      <c r="B55" s="17" t="inlineStr">
        <is>
          <t>AY</t>
        </is>
      </c>
      <c r="C55" s="17" t="inlineStr">
        <is>
          <t>Custom 19</t>
        </is>
      </c>
      <c r="D55" s="17" t="inlineStr"/>
      <c r="E55" s="17" t="inlineStr">
        <is>
          <t>n/a - UKG writes no 350</t>
        </is>
      </c>
      <c r="F55" s="17" t="inlineStr">
        <is>
          <t>255</t>
        </is>
      </c>
      <c r="G55" s="17" t="inlineStr"/>
    </row>
    <row r="56">
      <c r="A56" s="17" t="n">
        <v>52</v>
      </c>
      <c r="B56" s="17" t="inlineStr">
        <is>
          <t>AZ</t>
        </is>
      </c>
      <c r="C56" s="17" t="inlineStr">
        <is>
          <t>Custom 20</t>
        </is>
      </c>
      <c r="D56" s="17" t="inlineStr"/>
      <c r="E56" s="17" t="inlineStr">
        <is>
          <t>n/a - UKG writes no 350</t>
        </is>
      </c>
      <c r="F56" s="17" t="inlineStr">
        <is>
          <t>255</t>
        </is>
      </c>
      <c r="G56" s="17" t="inlineStr"/>
    </row>
    <row r="57">
      <c r="A57" s="17" t="n">
        <v>53</v>
      </c>
      <c r="B57" s="17" t="inlineStr">
        <is>
          <t>BA</t>
        </is>
      </c>
      <c r="C57" s="17" t="inlineStr">
        <is>
          <t>Custom 21</t>
        </is>
      </c>
      <c r="D57" s="17" t="inlineStr"/>
      <c r="E57" s="17" t="inlineStr">
        <is>
          <t>n/a - UKG writes no 350</t>
        </is>
      </c>
      <c r="F57" s="17" t="inlineStr">
        <is>
          <t>255</t>
        </is>
      </c>
      <c r="G57" s="17" t="inlineStr"/>
    </row>
    <row r="58">
      <c r="A58" s="17" t="n">
        <v>54</v>
      </c>
      <c r="B58" s="17" t="inlineStr">
        <is>
          <t>BB</t>
        </is>
      </c>
      <c r="C58" s="17" t="inlineStr">
        <is>
          <t>Custom 22</t>
        </is>
      </c>
      <c r="D58" s="17" t="inlineStr"/>
      <c r="E58" s="17" t="inlineStr">
        <is>
          <t>n/a - UKG writes no 350</t>
        </is>
      </c>
      <c r="F58" s="17" t="inlineStr">
        <is>
          <t>255</t>
        </is>
      </c>
      <c r="G58" s="17" t="inlineStr"/>
    </row>
    <row r="59">
      <c r="A59" s="17" t="n">
        <v>55</v>
      </c>
      <c r="B59" s="17" t="inlineStr">
        <is>
          <t>BC</t>
        </is>
      </c>
      <c r="C59" s="17" t="inlineStr">
        <is>
          <t>Custom 23</t>
        </is>
      </c>
      <c r="D59" s="17" t="inlineStr"/>
      <c r="E59" s="17" t="inlineStr">
        <is>
          <t>n/a - UKG writes no 350</t>
        </is>
      </c>
      <c r="F59" s="17" t="inlineStr">
        <is>
          <t>255</t>
        </is>
      </c>
      <c r="G59" s="17" t="inlineStr"/>
    </row>
    <row r="60">
      <c r="A60" s="17" t="n">
        <v>56</v>
      </c>
      <c r="B60" s="17" t="inlineStr">
        <is>
          <t>BD</t>
        </is>
      </c>
      <c r="C60" s="17" t="inlineStr">
        <is>
          <t>Custom 24</t>
        </is>
      </c>
      <c r="D60" s="17" t="inlineStr"/>
      <c r="E60" s="17" t="inlineStr">
        <is>
          <t>n/a - UKG writes no 350</t>
        </is>
      </c>
      <c r="F60" s="17" t="inlineStr">
        <is>
          <t>255</t>
        </is>
      </c>
      <c r="G60" s="17" t="inlineStr"/>
    </row>
    <row r="61">
      <c r="A61" s="17" t="n">
        <v>57</v>
      </c>
      <c r="B61" s="17" t="inlineStr">
        <is>
          <t>BE</t>
        </is>
      </c>
      <c r="C61" s="17" t="inlineStr">
        <is>
          <t>Custom 25</t>
        </is>
      </c>
      <c r="D61" s="17" t="inlineStr"/>
      <c r="E61" s="17" t="inlineStr">
        <is>
          <t>n/a - UKG writes no 350</t>
        </is>
      </c>
      <c r="F61" s="17" t="inlineStr">
        <is>
          <t>255</t>
        </is>
      </c>
      <c r="G61" s="17" t="inlineStr"/>
    </row>
    <row r="62">
      <c r="A62" s="17" t="n">
        <v>58</v>
      </c>
      <c r="B62" s="17" t="inlineStr">
        <is>
          <t>BF</t>
        </is>
      </c>
      <c r="C62" s="17" t="inlineStr">
        <is>
          <t>XML Profile Synchronization ID</t>
        </is>
      </c>
      <c r="D62" s="17" t="inlineStr"/>
      <c r="E62" s="17" t="inlineStr">
        <is>
          <t>n/a - UKG writes no 350</t>
        </is>
      </c>
      <c r="F62" s="17" t="inlineStr">
        <is>
          <t>64</t>
        </is>
      </c>
      <c r="G62" s="17" t="inlineStr"/>
    </row>
    <row r="63">
      <c r="A63" s="17" t="n">
        <v>59</v>
      </c>
      <c r="B63" s="17" t="inlineStr">
        <is>
          <t>BG</t>
        </is>
      </c>
      <c r="C63" s="17" t="inlineStr">
        <is>
          <t>Profile User Permission</t>
        </is>
      </c>
      <c r="D63" s="17" t="inlineStr"/>
      <c r="E63" s="17" t="inlineStr">
        <is>
          <t>n/a - UKG writes no 350</t>
        </is>
      </c>
      <c r="F63" s="17" t="inlineStr">
        <is>
          <t>1</t>
        </is>
      </c>
      <c r="G63" s="17" t="inlineStr"/>
    </row>
    <row r="64">
      <c r="A64" s="17" t="n">
        <v>60</v>
      </c>
      <c r="B64" s="17" t="inlineStr">
        <is>
          <t>BH</t>
        </is>
      </c>
      <c r="C64" s="17" t="inlineStr">
        <is>
          <t>Amadeus User Permission</t>
        </is>
      </c>
      <c r="D64" s="17" t="inlineStr"/>
      <c r="E64" s="17" t="inlineStr">
        <is>
          <t>n/a - UKG writes no 350</t>
        </is>
      </c>
      <c r="F64" s="17" t="inlineStr">
        <is>
          <t>1</t>
        </is>
      </c>
      <c r="G64" s="17" t="inlineStr"/>
    </row>
    <row r="65">
      <c r="A65" s="17" t="n">
        <v>61</v>
      </c>
      <c r="B65" s="17" t="inlineStr">
        <is>
          <t>BI</t>
        </is>
      </c>
      <c r="C65" s="17" t="inlineStr">
        <is>
          <t>Open Booking User Permission</t>
        </is>
      </c>
      <c r="D65" s="17" t="inlineStr"/>
      <c r="E65" s="17" t="inlineStr">
        <is>
          <t>n/a - UKG writes no 350</t>
        </is>
      </c>
      <c r="F65" s="17" t="inlineStr">
        <is>
          <t>1</t>
        </is>
      </c>
      <c r="G65" s="17" t="inlineStr"/>
    </row>
    <row r="66">
      <c r="A66" s="17" t="n">
        <v>62</v>
      </c>
      <c r="B66" s="17" t="inlineStr">
        <is>
          <t>BJ</t>
        </is>
      </c>
      <c r="C66" s="17" t="inlineStr">
        <is>
          <t>Future Use 5</t>
        </is>
      </c>
      <c r="D66" s="17" t="inlineStr"/>
      <c r="E66" s="17" t="inlineStr">
        <is>
          <t>n/a - UKG writes no 350</t>
        </is>
      </c>
      <c r="F66" s="17" t="inlineStr">
        <is>
          <t>Future Use</t>
        </is>
      </c>
      <c r="G66" s="17" t="inlineStr"/>
    </row>
    <row r="67">
      <c r="A67" s="17" t="n">
        <v>63</v>
      </c>
      <c r="B67" s="17" t="inlineStr">
        <is>
          <t>BK</t>
        </is>
      </c>
      <c r="C67" s="17" t="inlineStr">
        <is>
          <t>Future Use 6</t>
        </is>
      </c>
      <c r="D67" s="17" t="inlineStr"/>
      <c r="E67" s="17" t="inlineStr">
        <is>
          <t>n/a - UKG writes no 350</t>
        </is>
      </c>
      <c r="F67" s="17" t="inlineStr">
        <is>
          <t>Future Use</t>
        </is>
      </c>
      <c r="G67" s="17" t="inlineStr"/>
    </row>
    <row r="68">
      <c r="A68" s="17" t="n">
        <v>64</v>
      </c>
      <c r="B68" s="17" t="inlineStr">
        <is>
          <t>BL</t>
        </is>
      </c>
      <c r="C68" s="17" t="inlineStr">
        <is>
          <t>Future Use 7</t>
        </is>
      </c>
      <c r="D68" s="17" t="inlineStr"/>
      <c r="E68" s="17" t="inlineStr">
        <is>
          <t>n/a - UKG writes no 350</t>
        </is>
      </c>
      <c r="F68" s="17" t="inlineStr">
        <is>
          <t>Future Use</t>
        </is>
      </c>
      <c r="G68" s="17" t="inlineStr"/>
    </row>
    <row r="69">
      <c r="A69" s="17" t="n">
        <v>65</v>
      </c>
      <c r="B69" s="17" t="inlineStr">
        <is>
          <t>BM</t>
        </is>
      </c>
      <c r="C69" s="17" t="inlineStr">
        <is>
          <t>Future Use 8</t>
        </is>
      </c>
      <c r="D69" s="17" t="inlineStr"/>
      <c r="E69" s="17" t="inlineStr">
        <is>
          <t>n/a - UKG writes no 350</t>
        </is>
      </c>
      <c r="F69" s="17" t="inlineStr">
        <is>
          <t>Future Use</t>
        </is>
      </c>
      <c r="G69" s="17" t="inlineStr"/>
    </row>
    <row r="70">
      <c r="A70" s="17" t="n">
        <v>66</v>
      </c>
      <c r="B70" s="17" t="inlineStr">
        <is>
          <t>BN</t>
        </is>
      </c>
      <c r="C70" s="17" t="inlineStr">
        <is>
          <t>Future Use 9</t>
        </is>
      </c>
      <c r="D70" s="17" t="inlineStr"/>
      <c r="E70" s="17" t="inlineStr">
        <is>
          <t>n/a - UKG writes no 350</t>
        </is>
      </c>
      <c r="F70" s="17" t="inlineStr">
        <is>
          <t>Future Use</t>
        </is>
      </c>
      <c r="G70" s="17" t="inlineStr"/>
    </row>
    <row r="71">
      <c r="A71" s="17" t="n">
        <v>67</v>
      </c>
      <c r="B71" s="17" t="inlineStr">
        <is>
          <t>BO</t>
        </is>
      </c>
      <c r="C71" s="17" t="inlineStr">
        <is>
          <t>Future Use 10</t>
        </is>
      </c>
      <c r="D71" s="17" t="inlineStr"/>
      <c r="E71" s="17" t="inlineStr">
        <is>
          <t>n/a - UKG writes no 350</t>
        </is>
      </c>
      <c r="F71" s="17" t="inlineStr">
        <is>
          <t>Future Use</t>
        </is>
      </c>
      <c r="G71" s="17" t="inlineStr"/>
    </row>
  </sheetData>
  <autoFilter ref="A4:G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34" customWidth="1" min="3" max="3"/>
    <col width="52" customWidth="1" min="4" max="4"/>
    <col width="52" customWidth="1" min="5" max="5"/>
    <col width="8" customWidth="1" min="6" max="6"/>
    <col width="60" customWidth="1" min="7" max="7"/>
  </cols>
  <sheetData>
    <row r="1">
      <c r="A1" s="9" t="inlineStr">
        <is>
          <t>Record 360 - Field Mapping</t>
        </is>
      </c>
    </row>
    <row r="2">
      <c r="A2" s="10" t="inlineStr">
        <is>
          <t>Invoice / purchase request roles. Current scope: invoice. 35 positions, 11 filled. Every position is written, even when empty.</t>
        </is>
      </c>
    </row>
    <row r="4">
      <c r="A4" s="11" t="inlineStr">
        <is>
          <t>Pos</t>
        </is>
      </c>
      <c r="B4" s="11" t="inlineStr">
        <is>
          <t>Col</t>
        </is>
      </c>
      <c r="C4" s="11" t="inlineStr">
        <is>
          <t>Concur Field</t>
        </is>
      </c>
      <c r="D4" s="11" t="inlineStr">
        <is>
          <t>ADP Value</t>
        </is>
      </c>
      <c r="E4" s="11" t="inlineStr">
        <is>
          <t>UKG Value</t>
        </is>
      </c>
      <c r="F4" s="11" t="inlineStr">
        <is>
          <t>Max Len</t>
        </is>
      </c>
      <c r="G4" s="11" t="inlineStr">
        <is>
          <t>Full Template Heading</t>
        </is>
      </c>
    </row>
    <row r="5">
      <c r="A5" s="16" t="n">
        <v>1</v>
      </c>
      <c r="B5" s="16" t="inlineStr">
        <is>
          <t>A</t>
        </is>
      </c>
      <c r="C5" s="16" t="inlineStr">
        <is>
          <t>Trx Type</t>
        </is>
      </c>
      <c r="D5" s="16" t="inlineStr">
        <is>
          <t>Constant "360"</t>
        </is>
      </c>
      <c r="E5" s="16" t="inlineStr">
        <is>
          <t>Constant "360"</t>
        </is>
      </c>
      <c r="F5" s="16" t="inlineStr">
        <is>
          <t>3</t>
        </is>
      </c>
      <c r="G5" s="16" t="inlineStr">
        <is>
          <t>Trx Type (360)</t>
        </is>
      </c>
    </row>
    <row r="6">
      <c r="A6" s="12" t="n">
        <v>2</v>
      </c>
      <c r="B6" s="12" t="inlineStr">
        <is>
          <t>B</t>
        </is>
      </c>
      <c r="C6" s="12" t="inlineStr">
        <is>
          <t>Employee ID</t>
        </is>
      </c>
      <c r="D6" s="12" t="inlineStr">
        <is>
          <t>ADP: File Number (col P)  [file_number]</t>
        </is>
      </c>
      <c r="E6" s="12" t="inlineStr">
        <is>
          <t>UKG: Employee Number (col D)  [file_number]</t>
        </is>
      </c>
      <c r="F6" s="12" t="inlineStr">
        <is>
          <t>48</t>
        </is>
      </c>
      <c r="G6" s="12" t="inlineStr"/>
    </row>
    <row r="7">
      <c r="A7" s="13" t="n">
        <v>3</v>
      </c>
      <c r="B7" s="13" t="inlineStr">
        <is>
          <t>C</t>
        </is>
      </c>
      <c r="C7" s="13" t="inlineStr">
        <is>
          <t>Invoice User Role</t>
        </is>
      </c>
      <c r="D7" s="13" t="inlineStr">
        <is>
          <t>Derived: Invoice Access  [invoice_access]</t>
        </is>
      </c>
      <c r="E7" s="13" t="inlineStr">
        <is>
          <t>Derived: Invoice Access  [invoice_access]</t>
        </is>
      </c>
      <c r="F7" s="13" t="inlineStr">
        <is>
          <t>1</t>
        </is>
      </c>
      <c r="G7" s="13" t="inlineStr"/>
    </row>
    <row r="8">
      <c r="A8" s="13" t="n">
        <v>4</v>
      </c>
      <c r="B8" s="13" t="inlineStr">
        <is>
          <t>D</t>
        </is>
      </c>
      <c r="C8" s="13" t="inlineStr">
        <is>
          <t>Invoice Approver Role</t>
        </is>
      </c>
      <c r="D8" s="13" t="inlineStr">
        <is>
          <t>Derived: Invoice Access  [invoice_access]</t>
        </is>
      </c>
      <c r="E8" s="13" t="inlineStr">
        <is>
          <t>Derived: Invoice Access  [invoice_access]</t>
        </is>
      </c>
      <c r="F8" s="13" t="inlineStr">
        <is>
          <t>1</t>
        </is>
      </c>
      <c r="G8" s="13" t="inlineStr"/>
    </row>
    <row r="9">
      <c r="A9" s="17" t="n">
        <v>5</v>
      </c>
      <c r="B9" s="17" t="inlineStr">
        <is>
          <t>E</t>
        </is>
      </c>
      <c r="C9" s="17" t="inlineStr">
        <is>
          <t>Invoice Vendor Approver Role</t>
        </is>
      </c>
      <c r="D9" s="17" t="inlineStr"/>
      <c r="E9" s="17" t="inlineStr"/>
      <c r="F9" s="17" t="inlineStr">
        <is>
          <t>1</t>
        </is>
      </c>
      <c r="G9" s="17" t="inlineStr"/>
    </row>
    <row r="10">
      <c r="A10" s="17" t="n">
        <v>6</v>
      </c>
      <c r="B10" s="17" t="inlineStr">
        <is>
          <t>F</t>
        </is>
      </c>
      <c r="C10" s="17" t="inlineStr">
        <is>
          <t>Invoice AP User Role</t>
        </is>
      </c>
      <c r="D10" s="17" t="inlineStr"/>
      <c r="E10" s="17" t="inlineStr"/>
      <c r="F10" s="17" t="inlineStr">
        <is>
          <t>1</t>
        </is>
      </c>
      <c r="G10" s="17" t="inlineStr"/>
    </row>
    <row r="11">
      <c r="A11" s="17" t="n">
        <v>7</v>
      </c>
      <c r="B11" s="17" t="inlineStr">
        <is>
          <t>G</t>
        </is>
      </c>
      <c r="C11" s="17" t="inlineStr">
        <is>
          <t>Invoice Payment Manager Role</t>
        </is>
      </c>
      <c r="D11" s="17" t="inlineStr"/>
      <c r="E11" s="17" t="inlineStr"/>
      <c r="F11" s="17" t="inlineStr">
        <is>
          <t>1</t>
        </is>
      </c>
      <c r="G11" s="17" t="inlineStr"/>
    </row>
    <row r="12">
      <c r="A12" s="13" t="n">
        <v>8</v>
      </c>
      <c r="B12" s="13" t="inlineStr">
        <is>
          <t>H</t>
        </is>
      </c>
      <c r="C12" s="13" t="inlineStr">
        <is>
          <t>Invoice Purchasing Role</t>
        </is>
      </c>
      <c r="D12" s="13" t="inlineStr">
        <is>
          <t>Derived: Invoice Access  [invoice_access]</t>
        </is>
      </c>
      <c r="E12" s="13" t="inlineStr">
        <is>
          <t>Derived: Invoice Access  [invoice_access]</t>
        </is>
      </c>
      <c r="F12" s="13" t="inlineStr">
        <is>
          <t>1</t>
        </is>
      </c>
      <c r="G12" s="13" t="inlineStr"/>
    </row>
    <row r="13">
      <c r="A13" s="13" t="n">
        <v>9</v>
      </c>
      <c r="B13" s="13" t="inlineStr">
        <is>
          <t>I</t>
        </is>
      </c>
      <c r="C13" s="13" t="inlineStr">
        <is>
          <t>Purchase Request User</t>
        </is>
      </c>
      <c r="D13" s="13" t="inlineStr">
        <is>
          <t>Derived: Invoice Access  [invoice_access]</t>
        </is>
      </c>
      <c r="E13" s="13" t="inlineStr">
        <is>
          <t>Derived: Invoice Access  [invoice_access]</t>
        </is>
      </c>
      <c r="F13" s="13" t="inlineStr">
        <is>
          <t>1</t>
        </is>
      </c>
      <c r="G13" s="13" t="inlineStr"/>
    </row>
    <row r="14">
      <c r="A14" s="13" t="n">
        <v>10</v>
      </c>
      <c r="B14" s="13" t="inlineStr">
        <is>
          <t>J</t>
        </is>
      </c>
      <c r="C14" s="13" t="inlineStr">
        <is>
          <t>Purchase Request Approver</t>
        </is>
      </c>
      <c r="D14" s="13" t="inlineStr">
        <is>
          <t>Derived: Invoice Access  [invoice_access]</t>
        </is>
      </c>
      <c r="E14" s="13" t="inlineStr">
        <is>
          <t>Derived: Invoice Access  [invoice_access]</t>
        </is>
      </c>
      <c r="F14" s="13" t="inlineStr">
        <is>
          <t>1</t>
        </is>
      </c>
      <c r="G14" s="13" t="inlineStr"/>
    </row>
    <row r="15">
      <c r="A15" s="17" t="n">
        <v>11</v>
      </c>
      <c r="B15" s="17" t="inlineStr">
        <is>
          <t>K</t>
        </is>
      </c>
      <c r="C15" s="17" t="inlineStr">
        <is>
          <t>Future Use 3</t>
        </is>
      </c>
      <c r="D15" s="17" t="inlineStr"/>
      <c r="E15" s="17" t="inlineStr"/>
      <c r="F15" s="17" t="inlineStr"/>
      <c r="G15" s="17" t="inlineStr"/>
    </row>
    <row r="16">
      <c r="A16" s="17" t="n">
        <v>12</v>
      </c>
      <c r="B16" s="17" t="inlineStr">
        <is>
          <t>L</t>
        </is>
      </c>
      <c r="C16" s="17" t="inlineStr">
        <is>
          <t>Future Use 4</t>
        </is>
      </c>
      <c r="D16" s="17" t="inlineStr"/>
      <c r="E16" s="17" t="inlineStr"/>
      <c r="F16" s="17" t="inlineStr"/>
      <c r="G16" s="17" t="inlineStr"/>
    </row>
    <row r="17">
      <c r="A17" s="17" t="n">
        <v>13</v>
      </c>
      <c r="B17" s="17" t="inlineStr">
        <is>
          <t>M</t>
        </is>
      </c>
      <c r="C17" s="17" t="inlineStr">
        <is>
          <t>Future Use 5</t>
        </is>
      </c>
      <c r="D17" s="17" t="inlineStr"/>
      <c r="E17" s="17" t="inlineStr"/>
      <c r="F17" s="17" t="inlineStr"/>
      <c r="G17" s="17" t="inlineStr"/>
    </row>
    <row r="18">
      <c r="A18" s="17" t="n">
        <v>14</v>
      </c>
      <c r="B18" s="17" t="inlineStr">
        <is>
          <t>N</t>
        </is>
      </c>
      <c r="C18" s="17" t="inlineStr">
        <is>
          <t>Future Use 6</t>
        </is>
      </c>
      <c r="D18" s="17" t="inlineStr"/>
      <c r="E18" s="17" t="inlineStr"/>
      <c r="F18" s="17" t="inlineStr"/>
      <c r="G18" s="17" t="inlineStr"/>
    </row>
    <row r="19">
      <c r="A19" s="17" t="n">
        <v>15</v>
      </c>
      <c r="B19" s="17" t="inlineStr">
        <is>
          <t>O</t>
        </is>
      </c>
      <c r="C19" s="17" t="inlineStr">
        <is>
          <t>Future Use 7</t>
        </is>
      </c>
      <c r="D19" s="17" t="inlineStr"/>
      <c r="E19" s="17" t="inlineStr"/>
      <c r="F19" s="17" t="inlineStr"/>
      <c r="G19" s="17" t="inlineStr"/>
    </row>
    <row r="20">
      <c r="A20" s="17" t="n">
        <v>16</v>
      </c>
      <c r="B20" s="17" t="inlineStr">
        <is>
          <t>P</t>
        </is>
      </c>
      <c r="C20" s="17" t="inlineStr">
        <is>
          <t>Send E-Mail When the Purchase Request Status Changes</t>
        </is>
      </c>
      <c r="D20" s="17" t="inlineStr"/>
      <c r="E20" s="17" t="inlineStr"/>
      <c r="F20" s="17" t="inlineStr">
        <is>
          <t>1</t>
        </is>
      </c>
      <c r="G20" s="17" t="inlineStr"/>
    </row>
    <row r="21">
      <c r="A21" s="17" t="n">
        <v>17</v>
      </c>
      <c r="B21" s="17" t="inlineStr">
        <is>
          <t>Q</t>
        </is>
      </c>
      <c r="C21" s="17" t="inlineStr">
        <is>
          <t>Send E-Mail When the Purchase Request Is Awaiting Approval</t>
        </is>
      </c>
      <c r="D21" s="17" t="inlineStr"/>
      <c r="E21" s="17" t="inlineStr"/>
      <c r="F21" s="17" t="inlineStr">
        <is>
          <t>1</t>
        </is>
      </c>
      <c r="G21" s="17" t="inlineStr"/>
    </row>
    <row r="22">
      <c r="A22" s="13" t="n">
        <v>18</v>
      </c>
      <c r="B22" s="13" t="inlineStr">
        <is>
          <t>R</t>
        </is>
      </c>
      <c r="C22" s="13" t="inlineStr">
        <is>
          <t>Default Purchase Request Approver Employee ID</t>
        </is>
      </c>
      <c r="D22" s="13" t="inlineStr">
        <is>
          <t>Derived: SupervisorID Formatted  [supervisor_id]</t>
        </is>
      </c>
      <c r="E22" s="13" t="inlineStr">
        <is>
          <t>Derived: SupervisorID Formatted  [supervisor_id]</t>
        </is>
      </c>
      <c r="F22" s="13" t="inlineStr">
        <is>
          <t>48</t>
        </is>
      </c>
      <c r="G22" s="13" t="inlineStr"/>
    </row>
    <row r="23">
      <c r="A23" s="13" t="n">
        <v>19</v>
      </c>
      <c r="B23" s="13" t="inlineStr">
        <is>
          <t>S</t>
        </is>
      </c>
      <c r="C23" s="13" t="inlineStr">
        <is>
          <t>Payment Approver Employee ID</t>
        </is>
      </c>
      <c r="D23" s="13" t="inlineStr">
        <is>
          <t>Derived: SupervisorID Formatted  [supervisor_id]</t>
        </is>
      </c>
      <c r="E23" s="13" t="inlineStr">
        <is>
          <t>Derived: SupervisorID Formatted  [supervisor_id]</t>
        </is>
      </c>
      <c r="F23" s="13" t="inlineStr">
        <is>
          <t>48</t>
        </is>
      </c>
      <c r="G23" s="13" t="inlineStr"/>
    </row>
    <row r="24">
      <c r="A24" s="17" t="n">
        <v>20</v>
      </c>
      <c r="B24" s="17" t="inlineStr">
        <is>
          <t>T</t>
        </is>
      </c>
      <c r="C24" s="17" t="inlineStr">
        <is>
          <t>Send E-Mail When the Payment Status Changes</t>
        </is>
      </c>
      <c r="D24" s="17" t="inlineStr"/>
      <c r="E24" s="17" t="inlineStr"/>
      <c r="F24" s="17" t="inlineStr">
        <is>
          <t>1</t>
        </is>
      </c>
      <c r="G24" s="17" t="inlineStr"/>
    </row>
    <row r="25">
      <c r="A25" s="17" t="n">
        <v>21</v>
      </c>
      <c r="B25" s="17" t="inlineStr">
        <is>
          <t>U</t>
        </is>
      </c>
      <c r="C25" s="17" t="inlineStr">
        <is>
          <t>Send E-Mail When A Payment Is Awaiting Approval</t>
        </is>
      </c>
      <c r="D25" s="17" t="inlineStr"/>
      <c r="E25" s="17" t="inlineStr"/>
      <c r="F25" s="17" t="inlineStr">
        <is>
          <t>1</t>
        </is>
      </c>
      <c r="G25" s="17" t="inlineStr"/>
    </row>
    <row r="26">
      <c r="A26" s="17" t="n">
        <v>22</v>
      </c>
      <c r="B26" s="17" t="inlineStr">
        <is>
          <t>V</t>
        </is>
      </c>
      <c r="C26" s="17" t="inlineStr">
        <is>
          <t>Prompt For Approver When Submitting a Payment</t>
        </is>
      </c>
      <c r="D26" s="17" t="inlineStr"/>
      <c r="E26" s="17" t="inlineStr"/>
      <c r="F26" s="17" t="inlineStr">
        <is>
          <t>1</t>
        </is>
      </c>
      <c r="G26" s="17" t="inlineStr"/>
    </row>
    <row r="27">
      <c r="A27" s="17" t="n">
        <v>23</v>
      </c>
      <c r="B27" s="17" t="inlineStr">
        <is>
          <t>W</t>
        </is>
      </c>
      <c r="C27" s="17" t="inlineStr">
        <is>
          <t>Send E-Mail When The Payment Request Is Assigned To A User</t>
        </is>
      </c>
      <c r="D27" s="17" t="inlineStr"/>
      <c r="E27" s="17" t="inlineStr"/>
      <c r="F27" s="17" t="inlineStr">
        <is>
          <t>1</t>
        </is>
      </c>
      <c r="G27" s="17" t="inlineStr"/>
    </row>
    <row r="28">
      <c r="A28" s="17" t="n">
        <v>24</v>
      </c>
      <c r="B28" s="17" t="inlineStr">
        <is>
          <t>X</t>
        </is>
      </c>
      <c r="C28" s="17" t="inlineStr">
        <is>
          <t>Send E-Mail When Request Is Assigned To Purchasing</t>
        </is>
      </c>
      <c r="D28" s="17" t="inlineStr"/>
      <c r="E28" s="17" t="inlineStr"/>
      <c r="F28" s="17" t="inlineStr">
        <is>
          <t>1</t>
        </is>
      </c>
      <c r="G28" s="17" t="inlineStr"/>
    </row>
    <row r="29">
      <c r="A29" s="17" t="n">
        <v>25</v>
      </c>
      <c r="B29" s="17" t="inlineStr">
        <is>
          <t>Y</t>
        </is>
      </c>
      <c r="C29" s="17" t="inlineStr">
        <is>
          <t>Send E-Mail When A Request Is Sent Back From Purchasing</t>
        </is>
      </c>
      <c r="D29" s="17" t="inlineStr"/>
      <c r="E29" s="17" t="inlineStr"/>
      <c r="F29" s="17" t="inlineStr">
        <is>
          <t>1</t>
        </is>
      </c>
      <c r="G29" s="17" t="inlineStr"/>
    </row>
    <row r="30">
      <c r="A30" s="17" t="n">
        <v>26</v>
      </c>
      <c r="B30" s="17" t="inlineStr">
        <is>
          <t>Z</t>
        </is>
      </c>
      <c r="C30" s="17" t="inlineStr">
        <is>
          <t>Send email when a fax image is available for a payment request</t>
        </is>
      </c>
      <c r="D30" s="17" t="inlineStr"/>
      <c r="E30" s="17" t="inlineStr"/>
      <c r="F30" s="17" t="inlineStr">
        <is>
          <t>1</t>
        </is>
      </c>
      <c r="G30" s="17" t="inlineStr"/>
    </row>
    <row r="31">
      <c r="A31" s="17" t="n">
        <v>27</v>
      </c>
      <c r="B31" s="17" t="inlineStr">
        <is>
          <t>AA</t>
        </is>
      </c>
      <c r="C31" s="17" t="inlineStr">
        <is>
          <t>Prompt a user with a window to create new line items when creating a n</t>
        </is>
      </c>
      <c r="D31" s="17" t="inlineStr"/>
      <c r="E31" s="17" t="inlineStr"/>
      <c r="F31" s="17" t="inlineStr">
        <is>
          <t>1</t>
        </is>
      </c>
      <c r="G31" s="17" t="inlineStr">
        <is>
          <t>Prompt a user with a window to create new line items when creating a new payment request</t>
        </is>
      </c>
    </row>
    <row r="32">
      <c r="A32" s="17" t="n">
        <v>28</v>
      </c>
      <c r="B32" s="17" t="inlineStr">
        <is>
          <t>AB</t>
        </is>
      </c>
      <c r="C32" s="17" t="inlineStr">
        <is>
          <t>Default Shipping Address</t>
        </is>
      </c>
      <c r="D32" s="17" t="inlineStr"/>
      <c r="E32" s="17" t="inlineStr"/>
      <c r="F32" s="17" t="inlineStr">
        <is>
          <t>32</t>
        </is>
      </c>
      <c r="G32" s="17" t="inlineStr"/>
    </row>
    <row r="33">
      <c r="A33" s="12" t="n">
        <v>29</v>
      </c>
      <c r="B33" s="12" t="inlineStr">
        <is>
          <t>AC</t>
        </is>
      </c>
      <c r="C33" s="12" t="inlineStr">
        <is>
          <t>Display Image In-line</t>
        </is>
      </c>
      <c r="D33" s="12" t="inlineStr">
        <is>
          <t>Constant "Y"</t>
        </is>
      </c>
      <c r="E33" s="12" t="inlineStr">
        <is>
          <t>Derived: Invoice Access  [invoice_access]</t>
        </is>
      </c>
      <c r="F33" s="12" t="inlineStr">
        <is>
          <t>1</t>
        </is>
      </c>
      <c r="G33" s="12" t="inlineStr"/>
    </row>
    <row r="34">
      <c r="A34" s="12" t="n">
        <v>30</v>
      </c>
      <c r="B34" s="12" t="inlineStr">
        <is>
          <t>AD</t>
        </is>
      </c>
      <c r="C34" s="12" t="inlineStr">
        <is>
          <t>Auto Open Image</t>
        </is>
      </c>
      <c r="D34" s="12" t="inlineStr">
        <is>
          <t>Constant "Y"</t>
        </is>
      </c>
      <c r="E34" s="12" t="inlineStr">
        <is>
          <t>Constant "N"</t>
        </is>
      </c>
      <c r="F34" s="12" t="inlineStr">
        <is>
          <t>1</t>
        </is>
      </c>
      <c r="G34" s="12" t="inlineStr"/>
    </row>
    <row r="35">
      <c r="A35" s="17" t="n">
        <v>31</v>
      </c>
      <c r="B35" s="17" t="inlineStr">
        <is>
          <t>AE</t>
        </is>
      </c>
      <c r="C35" s="17" t="inlineStr">
        <is>
          <t>Future Use 16</t>
        </is>
      </c>
      <c r="D35" s="17" t="inlineStr"/>
      <c r="E35" s="17" t="inlineStr"/>
      <c r="F35" s="17" t="inlineStr"/>
      <c r="G35" s="17" t="inlineStr"/>
    </row>
    <row r="36">
      <c r="A36" s="17" t="n">
        <v>32</v>
      </c>
      <c r="B36" s="17" t="inlineStr">
        <is>
          <t>AF</t>
        </is>
      </c>
      <c r="C36" s="17" t="inlineStr">
        <is>
          <t>Future Use 17</t>
        </is>
      </c>
      <c r="D36" s="17" t="inlineStr"/>
      <c r="E36" s="17" t="inlineStr"/>
      <c r="F36" s="17" t="inlineStr"/>
      <c r="G36" s="17" t="inlineStr"/>
    </row>
    <row r="37">
      <c r="A37" s="17" t="n">
        <v>33</v>
      </c>
      <c r="B37" s="17" t="inlineStr">
        <is>
          <t>AG</t>
        </is>
      </c>
      <c r="C37" s="17" t="inlineStr">
        <is>
          <t>Future Use 18</t>
        </is>
      </c>
      <c r="D37" s="17" t="inlineStr"/>
      <c r="E37" s="17" t="inlineStr"/>
      <c r="F37" s="17" t="inlineStr"/>
      <c r="G37" s="17" t="inlineStr"/>
    </row>
    <row r="38">
      <c r="A38" s="17" t="n">
        <v>34</v>
      </c>
      <c r="B38" s="17" t="inlineStr">
        <is>
          <t>AH</t>
        </is>
      </c>
      <c r="C38" s="17" t="inlineStr">
        <is>
          <t>Future Use 19</t>
        </is>
      </c>
      <c r="D38" s="17" t="inlineStr"/>
      <c r="E38" s="17" t="inlineStr"/>
      <c r="F38" s="17" t="inlineStr"/>
      <c r="G38" s="17" t="inlineStr"/>
    </row>
    <row r="39">
      <c r="A39" s="17" t="n">
        <v>35</v>
      </c>
      <c r="B39" s="17" t="inlineStr">
        <is>
          <t>AI</t>
        </is>
      </c>
      <c r="C39" s="17" t="inlineStr">
        <is>
          <t>Future Use 20</t>
        </is>
      </c>
      <c r="D39" s="17" t="inlineStr"/>
      <c r="E39" s="17" t="inlineStr"/>
      <c r="F39" s="17" t="inlineStr"/>
      <c r="G39" s="17" t="inlineStr"/>
    </row>
  </sheetData>
  <autoFilter ref="A4:G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34" customWidth="1" min="3" max="3"/>
    <col width="52" customWidth="1" min="4" max="4"/>
    <col width="52" customWidth="1" min="5" max="5"/>
    <col width="8" customWidth="1" min="6" max="6"/>
    <col width="60" customWidth="1" min="7" max="7"/>
  </cols>
  <sheetData>
    <row r="1">
      <c r="A1" s="9" t="inlineStr">
        <is>
          <t>Record 700 - Field Mapping</t>
        </is>
      </c>
    </row>
    <row r="2">
      <c r="A2" s="10" t="inlineStr">
        <is>
          <t>Payment approval authority. Written only for employees with Invoice Access = Y. Current scope: invoice. 16 positions, 5 filled. Every position is written, even when empty.</t>
        </is>
      </c>
    </row>
    <row r="4">
      <c r="A4" s="11" t="inlineStr">
        <is>
          <t>Pos</t>
        </is>
      </c>
      <c r="B4" s="11" t="inlineStr">
        <is>
          <t>Col</t>
        </is>
      </c>
      <c r="C4" s="11" t="inlineStr">
        <is>
          <t>Concur Field</t>
        </is>
      </c>
      <c r="D4" s="11" t="inlineStr">
        <is>
          <t>ADP Value</t>
        </is>
      </c>
      <c r="E4" s="11" t="inlineStr">
        <is>
          <t>UKG Value</t>
        </is>
      </c>
      <c r="F4" s="11" t="inlineStr">
        <is>
          <t>Max Len</t>
        </is>
      </c>
      <c r="G4" s="11" t="inlineStr">
        <is>
          <t>Full Template Heading</t>
        </is>
      </c>
    </row>
    <row r="5">
      <c r="A5" s="16" t="n">
        <v>1</v>
      </c>
      <c r="B5" s="16" t="inlineStr">
        <is>
          <t>A</t>
        </is>
      </c>
      <c r="C5" s="16" t="inlineStr">
        <is>
          <t>Trx Type</t>
        </is>
      </c>
      <c r="D5" s="16" t="inlineStr">
        <is>
          <t>Constant "700"</t>
        </is>
      </c>
      <c r="E5" s="16" t="inlineStr">
        <is>
          <t>Constant "700"</t>
        </is>
      </c>
      <c r="F5" s="16" t="inlineStr">
        <is>
          <t>3</t>
        </is>
      </c>
      <c r="G5" s="16" t="inlineStr">
        <is>
          <t>Trx Type (700)</t>
        </is>
      </c>
    </row>
    <row r="6">
      <c r="A6" s="16" t="n">
        <v>2</v>
      </c>
      <c r="B6" s="16" t="inlineStr">
        <is>
          <t>B</t>
        </is>
      </c>
      <c r="C6" s="16" t="inlineStr">
        <is>
          <t>Approval Type</t>
        </is>
      </c>
      <c r="D6" s="16" t="inlineStr">
        <is>
          <t>Constant "PMT"</t>
        </is>
      </c>
      <c r="E6" s="16" t="inlineStr">
        <is>
          <t>Constant "PMT"</t>
        </is>
      </c>
      <c r="F6" s="16" t="inlineStr">
        <is>
          <t>3</t>
        </is>
      </c>
      <c r="G6" s="16" t="inlineStr"/>
    </row>
    <row r="7">
      <c r="A7" s="12" t="n">
        <v>3</v>
      </c>
      <c r="B7" s="12" t="inlineStr">
        <is>
          <t>C</t>
        </is>
      </c>
      <c r="C7" s="12" t="inlineStr">
        <is>
          <t>Employee ID</t>
        </is>
      </c>
      <c r="D7" s="12" t="inlineStr">
        <is>
          <t>ADP: File Number (col P)  [file_number]</t>
        </is>
      </c>
      <c r="E7" s="12" t="inlineStr">
        <is>
          <t>UKG: Employee Number (col D)  [file_number]</t>
        </is>
      </c>
      <c r="F7" s="12" t="inlineStr">
        <is>
          <t>48</t>
        </is>
      </c>
      <c r="G7" s="12" t="inlineStr"/>
    </row>
    <row r="8">
      <c r="A8" s="17" t="n">
        <v>4</v>
      </c>
      <c r="B8" s="17" t="inlineStr">
        <is>
          <t>D</t>
        </is>
      </c>
      <c r="C8" s="17" t="inlineStr">
        <is>
          <t>Segment 1</t>
        </is>
      </c>
      <c r="D8" s="17" t="inlineStr"/>
      <c r="E8" s="17" t="inlineStr"/>
      <c r="F8" s="17" t="inlineStr">
        <is>
          <t>32</t>
        </is>
      </c>
      <c r="G8" s="17" t="inlineStr"/>
    </row>
    <row r="9">
      <c r="A9" s="17" t="n">
        <v>5</v>
      </c>
      <c r="B9" s="17" t="inlineStr">
        <is>
          <t>E</t>
        </is>
      </c>
      <c r="C9" s="17" t="inlineStr">
        <is>
          <t>Segment 2</t>
        </is>
      </c>
      <c r="D9" s="17" t="inlineStr"/>
      <c r="E9" s="17" t="inlineStr"/>
      <c r="F9" s="17" t="inlineStr">
        <is>
          <t>32</t>
        </is>
      </c>
      <c r="G9" s="17" t="inlineStr"/>
    </row>
    <row r="10">
      <c r="A10" s="17" t="n">
        <v>6</v>
      </c>
      <c r="B10" s="17" t="inlineStr">
        <is>
          <t>F</t>
        </is>
      </c>
      <c r="C10" s="17" t="inlineStr">
        <is>
          <t>Segment 3</t>
        </is>
      </c>
      <c r="D10" s="17" t="inlineStr"/>
      <c r="E10" s="17" t="inlineStr"/>
      <c r="F10" s="17" t="inlineStr">
        <is>
          <t>32</t>
        </is>
      </c>
      <c r="G10" s="17" t="inlineStr"/>
    </row>
    <row r="11">
      <c r="A11" s="17" t="n">
        <v>7</v>
      </c>
      <c r="B11" s="17" t="inlineStr">
        <is>
          <t>G</t>
        </is>
      </c>
      <c r="C11" s="17" t="inlineStr">
        <is>
          <t>Segment 4</t>
        </is>
      </c>
      <c r="D11" s="17" t="inlineStr"/>
      <c r="E11" s="17" t="inlineStr"/>
      <c r="F11" s="17" t="inlineStr">
        <is>
          <t>32</t>
        </is>
      </c>
      <c r="G11" s="17" t="inlineStr"/>
    </row>
    <row r="12">
      <c r="A12" s="17" t="n">
        <v>8</v>
      </c>
      <c r="B12" s="17" t="inlineStr">
        <is>
          <t>H</t>
        </is>
      </c>
      <c r="C12" s="17" t="inlineStr">
        <is>
          <t>Segment 5</t>
        </is>
      </c>
      <c r="D12" s="17" t="inlineStr"/>
      <c r="E12" s="17" t="inlineStr"/>
      <c r="F12" s="17" t="inlineStr">
        <is>
          <t>32</t>
        </is>
      </c>
      <c r="G12" s="17" t="inlineStr"/>
    </row>
    <row r="13">
      <c r="A13" s="17" t="n">
        <v>9</v>
      </c>
      <c r="B13" s="17" t="inlineStr">
        <is>
          <t>I</t>
        </is>
      </c>
      <c r="C13" s="17" t="inlineStr">
        <is>
          <t>Segment 6</t>
        </is>
      </c>
      <c r="D13" s="17" t="inlineStr"/>
      <c r="E13" s="17" t="inlineStr"/>
      <c r="F13" s="17" t="inlineStr">
        <is>
          <t>32</t>
        </is>
      </c>
      <c r="G13" s="17" t="inlineStr"/>
    </row>
    <row r="14">
      <c r="A14" s="17" t="n">
        <v>10</v>
      </c>
      <c r="B14" s="17" t="inlineStr">
        <is>
          <t>J</t>
        </is>
      </c>
      <c r="C14" s="17" t="inlineStr">
        <is>
          <t>Segment 7</t>
        </is>
      </c>
      <c r="D14" s="17" t="inlineStr"/>
      <c r="E14" s="17" t="inlineStr"/>
      <c r="F14" s="17" t="inlineStr">
        <is>
          <t>32</t>
        </is>
      </c>
      <c r="G14" s="17" t="inlineStr"/>
    </row>
    <row r="15">
      <c r="A15" s="17" t="n">
        <v>11</v>
      </c>
      <c r="B15" s="17" t="inlineStr">
        <is>
          <t>K</t>
        </is>
      </c>
      <c r="C15" s="17" t="inlineStr">
        <is>
          <t>Segment 8</t>
        </is>
      </c>
      <c r="D15" s="17" t="inlineStr"/>
      <c r="E15" s="17" t="inlineStr"/>
      <c r="F15" s="17" t="inlineStr">
        <is>
          <t>32</t>
        </is>
      </c>
      <c r="G15" s="17" t="inlineStr"/>
    </row>
    <row r="16">
      <c r="A16" s="17" t="n">
        <v>12</v>
      </c>
      <c r="B16" s="17" t="inlineStr">
        <is>
          <t>L</t>
        </is>
      </c>
      <c r="C16" s="17" t="inlineStr">
        <is>
          <t>Segment 9</t>
        </is>
      </c>
      <c r="D16" s="17" t="inlineStr"/>
      <c r="E16" s="17" t="inlineStr"/>
      <c r="F16" s="17" t="inlineStr">
        <is>
          <t>32</t>
        </is>
      </c>
      <c r="G16" s="17" t="inlineStr"/>
    </row>
    <row r="17">
      <c r="A17" s="17" t="n">
        <v>13</v>
      </c>
      <c r="B17" s="17" t="inlineStr">
        <is>
          <t>M</t>
        </is>
      </c>
      <c r="C17" s="17" t="inlineStr">
        <is>
          <t>Segment 10</t>
        </is>
      </c>
      <c r="D17" s="17" t="inlineStr"/>
      <c r="E17" s="17" t="inlineStr"/>
      <c r="F17" s="17" t="inlineStr">
        <is>
          <t>32</t>
        </is>
      </c>
      <c r="G17" s="17" t="inlineStr"/>
    </row>
    <row r="18">
      <c r="A18" s="17" t="n">
        <v>14</v>
      </c>
      <c r="B18" s="17" t="inlineStr">
        <is>
          <t>N</t>
        </is>
      </c>
      <c r="C18" s="17" t="inlineStr">
        <is>
          <t>Exception Approval Authority</t>
        </is>
      </c>
      <c r="D18" s="17" t="inlineStr"/>
      <c r="E18" s="17" t="inlineStr"/>
      <c r="F18" s="17" t="inlineStr">
        <is>
          <t>1</t>
        </is>
      </c>
      <c r="G18" s="17" t="inlineStr"/>
    </row>
    <row r="19">
      <c r="A19" s="13" t="n">
        <v>15</v>
      </c>
      <c r="B19" s="13" t="inlineStr">
        <is>
          <t>O</t>
        </is>
      </c>
      <c r="C19" s="13" t="inlineStr">
        <is>
          <t>Approval Limit</t>
        </is>
      </c>
      <c r="D19" s="13" t="inlineStr">
        <is>
          <t>Derived: Invoice Approval Limit  [invoice_limit]</t>
        </is>
      </c>
      <c r="E19" s="13" t="inlineStr">
        <is>
          <t>Derived: Invoice Approval Limit  [invoice_limit]</t>
        </is>
      </c>
      <c r="F19" s="13" t="inlineStr"/>
      <c r="G19" s="13" t="inlineStr"/>
    </row>
    <row r="20">
      <c r="A20" s="12" t="n">
        <v>16</v>
      </c>
      <c r="B20" s="12" t="inlineStr">
        <is>
          <t>P</t>
        </is>
      </c>
      <c r="C20" s="12" t="inlineStr">
        <is>
          <t>Approval Limit Currency Code</t>
        </is>
      </c>
      <c r="D20" s="12" t="inlineStr">
        <is>
          <t>Derived: Reimbursement Currency  [reimbursement_currency]</t>
        </is>
      </c>
      <c r="E20" s="12" t="inlineStr">
        <is>
          <t>Constant "USD"</t>
        </is>
      </c>
      <c r="F20" s="12" t="inlineStr">
        <is>
          <t>3</t>
        </is>
      </c>
      <c r="G20" s="12" t="inlineStr"/>
    </row>
  </sheetData>
  <autoFilter ref="A4:G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18" customWidth="1" min="1" max="1"/>
    <col width="28" customWidth="1" min="2" max="2"/>
    <col width="26" customWidth="1" min="3" max="3"/>
    <col width="32" customWidth="1" min="4" max="4"/>
    <col width="46" customWidth="1" min="5" max="5"/>
    <col width="48" customWidth="1" min="6" max="6"/>
    <col width="8" customWidth="1" min="7" max="7"/>
  </cols>
  <sheetData>
    <row r="1">
      <c r="A1" s="9" t="inlineStr">
        <is>
          <t>Map Tables</t>
        </is>
      </c>
    </row>
    <row r="2">
      <c r="A2" s="10" t="inlineStr">
        <is>
          <t>Each lookup table: the workbook tab it is loaded from, the key it is looked up by, and what it returns. Rows are counted from the snapshot tabs.</t>
        </is>
      </c>
    </row>
    <row r="4">
      <c r="A4" s="11" t="inlineStr">
        <is>
          <t>Guide Tab</t>
        </is>
      </c>
      <c r="B4" s="11" t="inlineStr">
        <is>
          <t>Database Table</t>
        </is>
      </c>
      <c r="C4" s="11" t="inlineStr">
        <is>
          <t>Workbook Tab</t>
        </is>
      </c>
      <c r="D4" s="11" t="inlineStr">
        <is>
          <t>Lookup Key</t>
        </is>
      </c>
      <c r="E4" s="11" t="inlineStr">
        <is>
          <t>Returns</t>
        </is>
      </c>
      <c r="F4" s="11" t="inlineStr">
        <is>
          <t>Used For</t>
        </is>
      </c>
      <c r="G4" s="11" t="inlineStr">
        <is>
          <t>Rows</t>
        </is>
      </c>
    </row>
    <row r="5">
      <c r="A5" s="13" t="inlineStr">
        <is>
          <t>Map - Status</t>
        </is>
      </c>
      <c r="B5" s="13" t="inlineStr">
        <is>
          <t>ADP_Concur_StatusMap</t>
        </is>
      </c>
      <c r="C5" s="13" t="inlineStr">
        <is>
          <t>Status Map</t>
        </is>
      </c>
      <c r="D5" s="13" t="inlineStr">
        <is>
          <t>position_status</t>
        </is>
      </c>
      <c r="E5" s="13" t="inlineStr">
        <is>
          <t>concur_status</t>
        </is>
      </c>
      <c r="F5" s="13" t="inlineStr">
        <is>
          <t>Status (Y/N)</t>
        </is>
      </c>
      <c r="G5" s="13">
        <f>COUNTA('Map - Status'!A:A)-3</f>
        <v/>
      </c>
    </row>
    <row r="6">
      <c r="A6" s="13" t="inlineStr">
        <is>
          <t>Map - Country</t>
        </is>
      </c>
      <c r="B6" s="13" t="inlineStr">
        <is>
          <t>ADP_Concur_CountryMap</t>
        </is>
      </c>
      <c r="C6" s="13" t="inlineStr">
        <is>
          <t>Country Map (left block)</t>
        </is>
      </c>
      <c r="D6" s="13" t="inlineStr">
        <is>
          <t>adp_country (3-char)</t>
        </is>
      </c>
      <c r="E6" s="13" t="inlineStr">
        <is>
          <t>concur_country; currency_code</t>
        </is>
      </c>
      <c r="F6" s="13" t="inlineStr">
        <is>
          <t>Legal Country (both); Reimbursement Currency (UKG)</t>
        </is>
      </c>
      <c r="G6" s="13">
        <f>COUNTA('Map - Country'!A:A)-3</f>
        <v/>
      </c>
    </row>
    <row r="7">
      <c r="A7" s="13" t="inlineStr">
        <is>
          <t>Map - Org</t>
        </is>
      </c>
      <c r="B7" s="13" t="inlineStr">
        <is>
          <t>ADP_Concur_OrgMap</t>
        </is>
      </c>
      <c r="C7" s="13" t="inlineStr">
        <is>
          <t>Org Map</t>
        </is>
      </c>
      <c r="D7" s="13" t="inlineStr">
        <is>
          <t>business_unit_desc; home_department_code</t>
        </is>
      </c>
      <c r="E7" s="13" t="inlineStr">
        <is>
          <t>org_unit_1, default_language, currency (by BU); org_unit_2 (by dept code)</t>
        </is>
      </c>
      <c r="F7" s="13" t="inlineStr">
        <is>
          <t>ADP Org Unit 1, Org Unit 2, Locale fallback, Reimbursement Currency</t>
        </is>
      </c>
      <c r="G7" s="13">
        <f>COUNTA('Map - Org'!A:A)-3</f>
        <v/>
      </c>
    </row>
    <row r="8">
      <c r="A8" s="13" t="inlineStr">
        <is>
          <t>Map - Language</t>
        </is>
      </c>
      <c r="B8" s="13" t="inlineStr">
        <is>
          <t>ADP_Concur_LanguageMap</t>
        </is>
      </c>
      <c r="C8" s="13" t="inlineStr">
        <is>
          <t>Language Map (A:C)</t>
        </is>
      </c>
      <c r="D8" s="13" t="inlineStr">
        <is>
          <t>language_desc</t>
        </is>
      </c>
      <c r="E8" s="13" t="inlineStr">
        <is>
          <t>adp_language (stem 'xx_')</t>
        </is>
      </c>
      <c r="F8" s="13" t="inlineStr">
        <is>
          <t>ADP Locale Code</t>
        </is>
      </c>
      <c r="G8" s="13">
        <f>COUNTA('Map - Language'!A:A)-3</f>
        <v/>
      </c>
    </row>
    <row r="9">
      <c r="A9" s="13" t="inlineStr">
        <is>
          <t>Map - Locale</t>
        </is>
      </c>
      <c r="B9" s="13" t="inlineStr">
        <is>
          <t>ADP_Concur_LocaleMap</t>
        </is>
      </c>
      <c r="C9" s="13" t="inlineStr">
        <is>
          <t>Language Map (M:O)</t>
        </is>
      </c>
      <c r="D9" s="13" t="inlineStr">
        <is>
          <t>country_code (2-char)</t>
        </is>
      </c>
      <c r="E9" s="13" t="inlineStr">
        <is>
          <t>locale_code</t>
        </is>
      </c>
      <c r="F9" s="13" t="inlineStr">
        <is>
          <t>UKG Locale Code</t>
        </is>
      </c>
      <c r="G9" s="13">
        <f>COUNTA('Map - Locale'!A:A)-3</f>
        <v/>
      </c>
    </row>
    <row r="10">
      <c r="A10" s="13" t="inlineStr">
        <is>
          <t>Map - Salary</t>
        </is>
      </c>
      <c r="B10" s="13" t="inlineStr">
        <is>
          <t>ADP_Concur_SalaryMap</t>
        </is>
      </c>
      <c r="C10" s="13" t="inlineStr">
        <is>
          <t>Salary Map</t>
        </is>
      </c>
      <c r="D10" s="13" t="inlineStr">
        <is>
          <t>pay_grade_code (trimmed)</t>
        </is>
      </c>
      <c r="E10" s="13" t="inlineStr">
        <is>
          <t>expense_map, travel_map, invoice_map</t>
        </is>
      </c>
      <c r="F10" s="13" t="inlineStr">
        <is>
          <t>Concur Profile, Travel Profile, Invoice Limit, and ADP Invoice Access</t>
        </is>
      </c>
      <c r="G10" s="13">
        <f>COUNTA('Map - Salary'!A:A)-3</f>
        <v/>
      </c>
    </row>
    <row r="11">
      <c r="A11" s="13" t="inlineStr">
        <is>
          <t>Map - Supervisor</t>
        </is>
      </c>
      <c r="B11" s="13" t="inlineStr">
        <is>
          <t>ADP_Concur_SupervisorMap</t>
        </is>
      </c>
      <c r="C11" s="13" t="inlineStr">
        <is>
          <t>Supervisor Map</t>
        </is>
      </c>
      <c r="D11" s="13" t="inlineStr">
        <is>
          <t>file_number (the employee)</t>
        </is>
      </c>
      <c r="E11" s="13" t="inlineStr">
        <is>
          <t>supervisor_id</t>
        </is>
      </c>
      <c r="F11" s="13" t="inlineStr">
        <is>
          <t>Supervisor ID override (wins over the export)</t>
        </is>
      </c>
      <c r="G11" s="13">
        <f>COUNTA('Map - Supervisor'!A:A)-3</f>
        <v/>
      </c>
    </row>
    <row r="12">
      <c r="A12" s="13" t="inlineStr">
        <is>
          <t>Map - Invoice</t>
        </is>
      </c>
      <c r="B12" s="13" t="inlineStr">
        <is>
          <t>ADP_Concur_InvoiceMap</t>
        </is>
      </c>
      <c r="C12" s="13" t="inlineStr">
        <is>
          <t>Invoice Exception Map</t>
        </is>
      </c>
      <c r="D12" s="13" t="inlineStr">
        <is>
          <t>file_number (trimmed)</t>
        </is>
      </c>
      <c r="E12" s="13" t="inlineStr">
        <is>
          <t>access (Y/N)</t>
        </is>
      </c>
      <c r="F12" s="13" t="inlineStr">
        <is>
          <t>Invoice Access override</t>
        </is>
      </c>
      <c r="G12" s="13">
        <f>COUNTA('Map - Invoice'!A:A)-3</f>
        <v/>
      </c>
    </row>
    <row r="13">
      <c r="A13" s="13" t="inlineStr">
        <is>
          <t>Map - Company</t>
        </is>
      </c>
      <c r="B13" s="13" t="inlineStr">
        <is>
          <t>ADP_Concur_CompanyMap</t>
        </is>
      </c>
      <c r="C13" s="13" t="inlineStr">
        <is>
          <t>UKG Company Map</t>
        </is>
      </c>
      <c r="D13" s="13" t="inlineStr">
        <is>
          <t>site_location_code</t>
        </is>
      </c>
      <c r="E13" s="13" t="inlineStr">
        <is>
          <t>concur_company_code, expense_group_code, ledger_code, custom_5_code</t>
        </is>
      </c>
      <c r="F13" s="13" t="inlineStr">
        <is>
          <t>UKG Org Unit 1, Custom 21, Ledger Code, Custom 5</t>
        </is>
      </c>
      <c r="G13" s="13">
        <f>COUNTA('Map - Company'!A:A)-3</f>
        <v/>
      </c>
    </row>
    <row r="14">
      <c r="A14" s="13" t="inlineStr">
        <is>
          <t>Map - CountryRef</t>
        </is>
      </c>
      <c r="B14" s="13" t="inlineStr">
        <is>
          <t>ADP_Concur_CountryRef</t>
        </is>
      </c>
      <c r="C14" s="13" t="inlineStr">
        <is>
          <t>Country Map (right block)</t>
        </is>
      </c>
      <c r="D14" s="13" t="inlineStr">
        <is>
          <t>country_code (2-char)</t>
        </is>
      </c>
      <c r="E14" s="13" t="inlineStr">
        <is>
          <t>currency_code</t>
        </is>
      </c>
      <c r="F14" s="13" t="inlineStr">
        <is>
          <t>Reference only</t>
        </is>
      </c>
      <c r="G14" s="13">
        <f>COUNTA('Map - CountryRef'!A:A)-3</f>
        <v/>
      </c>
    </row>
    <row r="15">
      <c r="A15" s="13" t="inlineStr">
        <is>
          <t>Map - Role</t>
        </is>
      </c>
      <c r="B15" s="13" t="inlineStr">
        <is>
          <t>ADP_Concur_RoleMap</t>
        </is>
      </c>
      <c r="C15" s="13" t="inlineStr">
        <is>
          <t>Role Map</t>
        </is>
      </c>
      <c r="D15" s="13" t="inlineStr">
        <is>
          <t>role</t>
        </is>
      </c>
      <c r="E15" s="13" t="inlineStr">
        <is>
          <t>automatic (Y/N)</t>
        </is>
      </c>
      <c r="F15" s="13" t="inlineStr">
        <is>
          <t>Reference only; the record builders do not read it</t>
        </is>
      </c>
      <c r="G15" s="13">
        <f>COUNTA('Map - Role'!A:A)-3</f>
        <v/>
      </c>
    </row>
  </sheetData>
  <autoFilter ref="A4:G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40" customWidth="1" min="3" max="3"/>
    <col width="40" customWidth="1" min="4" max="4"/>
    <col width="70" customWidth="1" min="5" max="5"/>
  </cols>
  <sheetData>
    <row r="1">
      <c r="A1" s="9" t="inlineStr">
        <is>
          <t>Config - ADP_Concur_Config.json</t>
        </is>
      </c>
    </row>
    <row r="2">
      <c r="A2" s="10" t="inlineStr">
        <is>
          <t>Current values against the code defaults in ADP_Concur_Map.DEFAULT_CONFIG. Yellow = the file overrides the default.</t>
        </is>
      </c>
    </row>
    <row r="4">
      <c r="A4" s="11" t="inlineStr">
        <is>
          <t>Setting</t>
        </is>
      </c>
      <c r="B4" s="11" t="inlineStr">
        <is>
          <t>Key</t>
        </is>
      </c>
      <c r="C4" s="11" t="inlineStr">
        <is>
          <t>Current Value</t>
        </is>
      </c>
      <c r="D4" s="11" t="inlineStr">
        <is>
          <t>Code Default</t>
        </is>
      </c>
      <c r="E4" s="11" t="inlineStr">
        <is>
          <t>What It Does</t>
        </is>
      </c>
    </row>
    <row r="5">
      <c r="A5" s="13" t="inlineStr">
        <is>
          <t>login_id</t>
        </is>
      </c>
      <c r="B5" s="13" t="inlineStr">
        <is>
          <t>sources</t>
        </is>
      </c>
      <c r="C5" s="13" t="inlineStr">
        <is>
          <t>["work_email"]</t>
        </is>
      </c>
      <c r="D5" s="13" t="inlineStr">
        <is>
          <t>["work_email"]</t>
        </is>
      </c>
      <c r="E5" s="13" t="inlineStr">
        <is>
          <t>How the Login ID is built. See Derived Fields: login_id.</t>
        </is>
      </c>
    </row>
    <row r="6">
      <c r="A6" s="12" t="inlineStr">
        <is>
          <t>login_id</t>
        </is>
      </c>
      <c r="B6" s="12" t="inlineStr">
        <is>
          <t>suffix</t>
        </is>
      </c>
      <c r="C6" s="12" t="inlineStr">
        <is>
          <t>""</t>
        </is>
      </c>
      <c r="D6" s="12" t="inlineStr">
        <is>
          <t>.new.uat</t>
        </is>
      </c>
      <c r="E6" s="12" t="inlineStr">
        <is>
          <t>How the Login ID is built. See Derived Fields: login_id.</t>
        </is>
      </c>
    </row>
    <row r="7">
      <c r="A7" s="13" t="inlineStr">
        <is>
          <t>login_id</t>
        </is>
      </c>
      <c r="B7" s="13" t="inlineStr">
        <is>
          <t>replace_domain</t>
        </is>
      </c>
      <c r="C7" s="13" t="inlineStr">
        <is>
          <t>""</t>
        </is>
      </c>
      <c r="D7" s="13" t="inlineStr">
        <is>
          <t>""</t>
        </is>
      </c>
      <c r="E7" s="13" t="inlineStr">
        <is>
          <t>How the Login ID is built. See Derived Fields: login_id.</t>
        </is>
      </c>
    </row>
    <row r="8">
      <c r="A8" s="13" t="inlineStr">
        <is>
          <t>login_id</t>
        </is>
      </c>
      <c r="B8" s="13" t="inlineStr">
        <is>
          <t>prefix</t>
        </is>
      </c>
      <c r="C8" s="13" t="inlineStr">
        <is>
          <t>""</t>
        </is>
      </c>
      <c r="D8" s="13" t="inlineStr">
        <is>
          <t>""</t>
        </is>
      </c>
      <c r="E8" s="13" t="inlineStr">
        <is>
          <t>How the Login ID is built. See Derived Fields: login_id.</t>
        </is>
      </c>
    </row>
    <row r="9">
      <c r="A9" s="13" t="inlineStr">
        <is>
          <t>login_id</t>
        </is>
      </c>
      <c r="B9" s="13" t="inlineStr">
        <is>
          <t>lowercase</t>
        </is>
      </c>
      <c r="C9" s="13" t="inlineStr">
        <is>
          <t>false</t>
        </is>
      </c>
      <c r="D9" s="13" t="inlineStr">
        <is>
          <t>false</t>
        </is>
      </c>
      <c r="E9" s="13" t="inlineStr">
        <is>
          <t>How the Login ID is built. See Derived Fields: login_id.</t>
        </is>
      </c>
    </row>
    <row r="10">
      <c r="A10" s="13" t="inlineStr">
        <is>
          <t>login_id</t>
        </is>
      </c>
      <c r="B10" s="13" t="inlineStr">
        <is>
          <t>bare_domain</t>
        </is>
      </c>
      <c r="C10" s="13" t="inlineStr">
        <is>
          <t>""</t>
        </is>
      </c>
      <c r="D10" s="13" t="inlineStr">
        <is>
          <t>""</t>
        </is>
      </c>
      <c r="E10" s="13" t="inlineStr">
        <is>
          <t>How the Login ID is built. See Derived Fields: login_id.</t>
        </is>
      </c>
    </row>
    <row r="11">
      <c r="A11" s="13" t="inlineStr">
        <is>
          <t>login_id_by_source</t>
        </is>
      </c>
      <c r="B11" s="13" t="inlineStr"/>
      <c r="C11" s="13" t="inlineStr">
        <is>
          <t>{}</t>
        </is>
      </c>
      <c r="D11" s="13" t="inlineStr">
        <is>
          <t>{}</t>
        </is>
      </c>
      <c r="E11" s="13" t="inlineStr">
        <is>
          <t>Per-source overrides merged over login_id.</t>
        </is>
      </c>
    </row>
    <row r="12">
      <c r="A12" s="13" t="inlineStr">
        <is>
          <t>password</t>
        </is>
      </c>
      <c r="B12" s="13" t="inlineStr"/>
      <c r="C12" s="13" t="inlineStr">
        <is>
          <t>Welcome01</t>
        </is>
      </c>
      <c r="D12" s="13" t="inlineStr">
        <is>
          <t>Welcome01</t>
        </is>
      </c>
      <c r="E12" s="13" t="inlineStr">
        <is>
          <t>The 305 password (G). Ignored while Password Generation = SSO.</t>
        </is>
      </c>
    </row>
    <row r="13">
      <c r="A13" s="13" t="inlineStr">
        <is>
          <t>import_settings</t>
        </is>
      </c>
      <c r="B13" s="13" t="inlineStr">
        <is>
          <t>error_threshold</t>
        </is>
      </c>
      <c r="C13" s="13" t="inlineStr">
        <is>
          <t>0</t>
        </is>
      </c>
      <c r="D13" s="13" t="inlineStr">
        <is>
          <t>0</t>
        </is>
      </c>
      <c r="E13" s="13" t="inlineStr">
        <is>
          <t>The 100 record. See Record 100.</t>
        </is>
      </c>
    </row>
    <row r="14">
      <c r="A14" s="13" t="inlineStr">
        <is>
          <t>import_settings</t>
        </is>
      </c>
      <c r="B14" s="13" t="inlineStr">
        <is>
          <t>password_generation</t>
        </is>
      </c>
      <c r="C14" s="13" t="inlineStr">
        <is>
          <t>SSO</t>
        </is>
      </c>
      <c r="D14" s="13" t="inlineStr">
        <is>
          <t>SSO</t>
        </is>
      </c>
      <c r="E14" s="13" t="inlineStr">
        <is>
          <t>The 100 record. See Record 100.</t>
        </is>
      </c>
    </row>
    <row r="15">
      <c r="A15" s="13" t="inlineStr">
        <is>
          <t>import_settings</t>
        </is>
      </c>
      <c r="B15" s="13" t="inlineStr">
        <is>
          <t>existing_record_handling</t>
        </is>
      </c>
      <c r="C15" s="13" t="inlineStr">
        <is>
          <t>UPDATE</t>
        </is>
      </c>
      <c r="D15" s="13" t="inlineStr">
        <is>
          <t>UPDATE</t>
        </is>
      </c>
      <c r="E15" s="13" t="inlineStr">
        <is>
          <t>The 100 record. See Record 100.</t>
        </is>
      </c>
    </row>
    <row r="16">
      <c r="A16" s="13" t="inlineStr">
        <is>
          <t>import_settings</t>
        </is>
      </c>
      <c r="B16" s="13" t="inlineStr">
        <is>
          <t>language_code</t>
        </is>
      </c>
      <c r="C16" s="13" t="inlineStr">
        <is>
          <t>EN</t>
        </is>
      </c>
      <c r="D16" s="13" t="inlineStr">
        <is>
          <t>EN</t>
        </is>
      </c>
      <c r="E16" s="13" t="inlineStr">
        <is>
          <t>The 100 record. See Record 100.</t>
        </is>
      </c>
    </row>
    <row r="17">
      <c r="A17" s="13" t="inlineStr">
        <is>
          <t>import_settings</t>
        </is>
      </c>
      <c r="B17" s="13" t="inlineStr">
        <is>
          <t>validate_expense_group</t>
        </is>
      </c>
      <c r="C17" s="13" t="inlineStr">
        <is>
          <t>N</t>
        </is>
      </c>
      <c r="D17" s="13" t="inlineStr">
        <is>
          <t>N</t>
        </is>
      </c>
      <c r="E17" s="13" t="inlineStr">
        <is>
          <t>The 100 record. See Record 100.</t>
        </is>
      </c>
    </row>
    <row r="18">
      <c r="A18" s="13" t="inlineStr">
        <is>
          <t>import_settings</t>
        </is>
      </c>
      <c r="B18" s="13" t="inlineStr">
        <is>
          <t>validate_payment_group</t>
        </is>
      </c>
      <c r="C18" s="13" t="inlineStr">
        <is>
          <t>N</t>
        </is>
      </c>
      <c r="D18" s="13" t="inlineStr">
        <is>
          <t>N</t>
        </is>
      </c>
      <c r="E18" s="13" t="inlineStr">
        <is>
          <t>The 100 record. See Record 100.</t>
        </is>
      </c>
    </row>
    <row r="19">
      <c r="A19" s="13" t="inlineStr">
        <is>
          <t>records_by_source</t>
        </is>
      </c>
      <c r="B19" s="13" t="inlineStr">
        <is>
          <t>adp</t>
        </is>
      </c>
      <c r="C19" s="13" t="inlineStr">
        <is>
          <t>["305", "350", "360", "700"]</t>
        </is>
      </c>
      <c r="D19" s="13" t="inlineStr">
        <is>
          <t>["305", "350", "360", "700"]</t>
        </is>
      </c>
      <c r="E19" s="13" t="inlineStr">
        <is>
          <t>Which record types each source can write.</t>
        </is>
      </c>
    </row>
    <row r="20">
      <c r="A20" s="13" t="inlineStr">
        <is>
          <t>records_by_source</t>
        </is>
      </c>
      <c r="B20" s="13" t="inlineStr">
        <is>
          <t>ukg</t>
        </is>
      </c>
      <c r="C20" s="13" t="inlineStr">
        <is>
          <t>["305", "360", "700"]</t>
        </is>
      </c>
      <c r="D20" s="13" t="inlineStr">
        <is>
          <t>["305", "360", "700"]</t>
        </is>
      </c>
      <c r="E20" s="13" t="inlineStr">
        <is>
          <t>Which record types each source can write.</t>
        </is>
      </c>
    </row>
    <row r="21">
      <c r="A21" s="13" t="inlineStr">
        <is>
          <t>records_by_source</t>
        </is>
      </c>
      <c r="B21" s="13" t="inlineStr">
        <is>
          <t>manual</t>
        </is>
      </c>
      <c r="C21" s="13" t="inlineStr">
        <is>
          <t>["305", "350", "360", "700"]</t>
        </is>
      </c>
      <c r="D21" s="13" t="inlineStr">
        <is>
          <t>["305", "350", "360", "700"]</t>
        </is>
      </c>
      <c r="E21" s="13" t="inlineStr">
        <is>
          <t>Which record types each source can write.</t>
        </is>
      </c>
    </row>
    <row r="22">
      <c r="A22" s="13" t="inlineStr">
        <is>
          <t>scope</t>
        </is>
      </c>
      <c r="B22" s="13" t="inlineStr">
        <is>
          <t>305</t>
        </is>
      </c>
      <c r="C22" s="13" t="inlineStr">
        <is>
          <t>all</t>
        </is>
      </c>
      <c r="D22" s="13" t="inlineStr">
        <is>
          <t>all</t>
        </is>
      </c>
      <c r="E22" s="13" t="inlineStr">
        <is>
          <t>Who each record type covers: all | invoice (Invoice Access = Y) | off.</t>
        </is>
      </c>
    </row>
    <row r="23">
      <c r="A23" s="12" t="inlineStr">
        <is>
          <t>scope</t>
        </is>
      </c>
      <c r="B23" s="12" t="inlineStr">
        <is>
          <t>350</t>
        </is>
      </c>
      <c r="C23" s="12" t="inlineStr">
        <is>
          <t>off</t>
        </is>
      </c>
      <c r="D23" s="12" t="inlineStr">
        <is>
          <t>all</t>
        </is>
      </c>
      <c r="E23" s="12" t="inlineStr">
        <is>
          <t>Who each record type covers: all | invoice (Invoice Access = Y) | off.</t>
        </is>
      </c>
    </row>
    <row r="24">
      <c r="A24" s="12" t="inlineStr">
        <is>
          <t>scope</t>
        </is>
      </c>
      <c r="B24" s="12" t="inlineStr">
        <is>
          <t>360</t>
        </is>
      </c>
      <c r="C24" s="12" t="inlineStr">
        <is>
          <t>invoice</t>
        </is>
      </c>
      <c r="D24" s="12" t="inlineStr">
        <is>
          <t>all</t>
        </is>
      </c>
      <c r="E24" s="12" t="inlineStr">
        <is>
          <t>Who each record type covers: all | invoice (Invoice Access = Y) | off.</t>
        </is>
      </c>
    </row>
    <row r="25">
      <c r="A25" s="13" t="inlineStr">
        <is>
          <t>scope</t>
        </is>
      </c>
      <c r="B25" s="13" t="inlineStr">
        <is>
          <t>700</t>
        </is>
      </c>
      <c r="C25" s="13" t="inlineStr">
        <is>
          <t>invoice</t>
        </is>
      </c>
      <c r="D25" s="13" t="inlineStr">
        <is>
          <t>invoice</t>
        </is>
      </c>
      <c r="E25" s="13" t="inlineStr">
        <is>
          <t>Who each record type covers: all | invoice (Invoice Access = Y) | off.</t>
        </is>
      </c>
    </row>
    <row r="26">
      <c r="A26" s="13" t="inlineStr">
        <is>
          <t>blank_fields</t>
        </is>
      </c>
      <c r="B26" s="13" t="inlineStr">
        <is>
          <t>305</t>
        </is>
      </c>
      <c r="C26" s="13" t="inlineStr">
        <is>
          <t>[]</t>
        </is>
      </c>
      <c r="D26" s="13" t="inlineStr">
        <is>
          <t>[]</t>
        </is>
      </c>
      <c r="E26" s="13" t="inlineStr">
        <is>
          <t>Record positions forced empty whatever the mapping says, e.g. {"305": ["Z"]}.</t>
        </is>
      </c>
    </row>
    <row r="27">
      <c r="A27" s="13" t="inlineStr">
        <is>
          <t>blank_fields</t>
        </is>
      </c>
      <c r="B27" s="13" t="inlineStr">
        <is>
          <t>350</t>
        </is>
      </c>
      <c r="C27" s="13" t="inlineStr">
        <is>
          <t>[]</t>
        </is>
      </c>
      <c r="D27" s="13" t="inlineStr">
        <is>
          <t>[]</t>
        </is>
      </c>
      <c r="E27" s="13" t="inlineStr">
        <is>
          <t>Record positions forced empty whatever the mapping says, e.g. {"305": ["Z"]}.</t>
        </is>
      </c>
    </row>
    <row r="28">
      <c r="A28" s="13" t="inlineStr">
        <is>
          <t>blank_fields</t>
        </is>
      </c>
      <c r="B28" s="13" t="inlineStr">
        <is>
          <t>360</t>
        </is>
      </c>
      <c r="C28" s="13" t="inlineStr">
        <is>
          <t>[]</t>
        </is>
      </c>
      <c r="D28" s="13" t="inlineStr">
        <is>
          <t>[]</t>
        </is>
      </c>
      <c r="E28" s="13" t="inlineStr">
        <is>
          <t>Record positions forced empty whatever the mapping says, e.g. {"305": ["Z"]}.</t>
        </is>
      </c>
    </row>
    <row r="29">
      <c r="A29" s="13" t="inlineStr">
        <is>
          <t>blank_fields</t>
        </is>
      </c>
      <c r="B29" s="13" t="inlineStr">
        <is>
          <t>700</t>
        </is>
      </c>
      <c r="C29" s="13" t="inlineStr">
        <is>
          <t>[]</t>
        </is>
      </c>
      <c r="D29" s="13" t="inlineStr">
        <is>
          <t>[]</t>
        </is>
      </c>
      <c r="E29" s="13" t="inlineStr">
        <is>
          <t>Record positions forced empty whatever the mapping says, e.g. {"305": ["Z"]}.</t>
        </is>
      </c>
    </row>
    <row r="30">
      <c r="A30" s="13" t="inlineStr">
        <is>
          <t>extract</t>
        </is>
      </c>
      <c r="B30" s="13" t="inlineStr">
        <is>
          <t>delimiter</t>
        </is>
      </c>
      <c r="C30" s="13" t="inlineStr">
        <is>
          <t>,</t>
        </is>
      </c>
      <c r="D30" s="13" t="inlineStr">
        <is>
          <t>,</t>
        </is>
      </c>
      <c r="E30" s="13" t="inlineStr">
        <is>
          <t>File shape: delimiter, quoting, line ending, order, file name, output folder.</t>
        </is>
      </c>
    </row>
    <row r="31">
      <c r="A31" s="13" t="inlineStr">
        <is>
          <t>extract</t>
        </is>
      </c>
      <c r="B31" s="13" t="inlineStr">
        <is>
          <t>quote</t>
        </is>
      </c>
      <c r="C31" s="13" t="inlineStr">
        <is>
          <t>minimal</t>
        </is>
      </c>
      <c r="D31" s="13" t="inlineStr">
        <is>
          <t>minimal</t>
        </is>
      </c>
      <c r="E31" s="13" t="inlineStr">
        <is>
          <t>File shape: delimiter, quoting, line ending, order, file name, output folder.</t>
        </is>
      </c>
    </row>
    <row r="32">
      <c r="A32" s="13" t="inlineStr">
        <is>
          <t>extract</t>
        </is>
      </c>
      <c r="B32" s="13" t="inlineStr">
        <is>
          <t>line_ending</t>
        </is>
      </c>
      <c r="C32" s="13" t="inlineStr">
        <is>
          <t xml:space="preserve">
</t>
        </is>
      </c>
      <c r="D32" s="13" t="inlineStr">
        <is>
          <t xml:space="preserve">
</t>
        </is>
      </c>
      <c r="E32" s="13" t="inlineStr">
        <is>
          <t>File shape: delimiter, quoting, line ending, order, file name, output folder.</t>
        </is>
      </c>
    </row>
    <row r="33">
      <c r="A33" s="13" t="inlineStr">
        <is>
          <t>extract</t>
        </is>
      </c>
      <c r="B33" s="13" t="inlineStr">
        <is>
          <t>encoding</t>
        </is>
      </c>
      <c r="C33" s="13" t="inlineStr">
        <is>
          <t>utf-8</t>
        </is>
      </c>
      <c r="D33" s="13" t="inlineStr">
        <is>
          <t>utf-8</t>
        </is>
      </c>
      <c r="E33" s="13" t="inlineStr">
        <is>
          <t>File shape: delimiter, quoting, line ending, order, file name, output folder.</t>
        </is>
      </c>
    </row>
    <row r="34">
      <c r="A34" s="13" t="inlineStr">
        <is>
          <t>extract</t>
        </is>
      </c>
      <c r="B34" s="13" t="inlineStr">
        <is>
          <t>order</t>
        </is>
      </c>
      <c r="C34" s="13" t="inlineStr">
        <is>
          <t>by_type</t>
        </is>
      </c>
      <c r="D34" s="13" t="inlineStr">
        <is>
          <t>by_type</t>
        </is>
      </c>
      <c r="E34" s="13" t="inlineStr">
        <is>
          <t>File shape: delimiter, quoting, line ending, order, file name, output folder.</t>
        </is>
      </c>
    </row>
    <row r="35">
      <c r="A35" s="13" t="inlineStr">
        <is>
          <t>extract</t>
        </is>
      </c>
      <c r="B35" s="13" t="inlineStr">
        <is>
          <t>file_name</t>
        </is>
      </c>
      <c r="C35" s="13" t="inlineStr">
        <is>
          <t>FMG_Concur_Employee_{stamp}.txt</t>
        </is>
      </c>
      <c r="D35" s="13" t="inlineStr">
        <is>
          <t>FMG_Concur_Employee_{stamp}.txt</t>
        </is>
      </c>
      <c r="E35" s="13" t="inlineStr">
        <is>
          <t>File shape: delimiter, quoting, line ending, order, file name, output folder.</t>
        </is>
      </c>
    </row>
    <row r="36">
      <c r="A36" s="13" t="inlineStr">
        <is>
          <t>extract</t>
        </is>
      </c>
      <c r="B36" s="13" t="inlineStr">
        <is>
          <t>selection_file_name</t>
        </is>
      </c>
      <c r="C36" s="13" t="inlineStr">
        <is>
          <t>FMG_Concur_Employee_Selection_{stamp}.txt</t>
        </is>
      </c>
      <c r="D36" s="13" t="inlineStr">
        <is>
          <t>FMG_Concur_Employee_Selection_{stamp}.txt</t>
        </is>
      </c>
      <c r="E36" s="13" t="inlineStr">
        <is>
          <t>File shape: delimiter, quoting, line ending, order, file name, output folder.</t>
        </is>
      </c>
    </row>
    <row r="37">
      <c r="A37" s="13" t="inlineStr">
        <is>
          <t>extract</t>
        </is>
      </c>
      <c r="B37" s="13" t="inlineStr">
        <is>
          <t>outbound_dir</t>
        </is>
      </c>
      <c r="C37" s="13" t="inlineStr">
        <is>
          <t>""</t>
        </is>
      </c>
      <c r="D37" s="13" t="inlineStr">
        <is>
          <t>""</t>
        </is>
      </c>
      <c r="E37" s="13" t="inlineStr">
        <is>
          <t>File shape: delimiter, quoting, line ending, order, file name, output folder.</t>
        </is>
      </c>
    </row>
    <row r="38">
      <c r="A38" s="13" t="inlineStr">
        <is>
          <t>block_on</t>
        </is>
      </c>
      <c r="B38" s="13" t="inlineStr">
        <is>
          <t>unmapped</t>
        </is>
      </c>
      <c r="C38" s="13" t="inlineStr">
        <is>
          <t>true</t>
        </is>
      </c>
      <c r="D38" s="13" t="inlineStr">
        <is>
          <t>true</t>
        </is>
      </c>
      <c r="E38" s="13" t="inlineStr">
        <is>
          <t>Which problems keep an employee out of the file (true) or only warn (false).</t>
        </is>
      </c>
    </row>
    <row r="39">
      <c r="A39" s="13" t="inlineStr">
        <is>
          <t>block_on</t>
        </is>
      </c>
      <c r="B39" s="13" t="inlineStr">
        <is>
          <t>missing_login_id</t>
        </is>
      </c>
      <c r="C39" s="13" t="inlineStr">
        <is>
          <t>true</t>
        </is>
      </c>
      <c r="D39" s="13" t="inlineStr">
        <is>
          <t>true</t>
        </is>
      </c>
      <c r="E39" s="13" t="inlineStr">
        <is>
          <t>Which problems keep an employee out of the file (true) or only warn (false).</t>
        </is>
      </c>
    </row>
    <row r="40">
      <c r="A40" s="13" t="inlineStr">
        <is>
          <t>block_on</t>
        </is>
      </c>
      <c r="B40" s="13" t="inlineStr">
        <is>
          <t>missing_employee_id</t>
        </is>
      </c>
      <c r="C40" s="13" t="inlineStr">
        <is>
          <t>true</t>
        </is>
      </c>
      <c r="D40" s="13" t="inlineStr">
        <is>
          <t>true</t>
        </is>
      </c>
      <c r="E40" s="13" t="inlineStr">
        <is>
          <t>Which problems keep an employee out of the file (true) or only warn (false).</t>
        </is>
      </c>
    </row>
    <row r="41">
      <c r="A41" s="13" t="inlineStr">
        <is>
          <t>block_on</t>
        </is>
      </c>
      <c r="B41" s="13" t="inlineStr">
        <is>
          <t>broken_supervisor</t>
        </is>
      </c>
      <c r="C41" s="13" t="inlineStr">
        <is>
          <t>true</t>
        </is>
      </c>
      <c r="D41" s="13" t="inlineStr">
        <is>
          <t>true</t>
        </is>
      </c>
      <c r="E41" s="13" t="inlineStr">
        <is>
          <t>Which problems keep an employee out of the file (true) or only warn (false).</t>
        </is>
      </c>
    </row>
    <row r="42">
      <c r="A42" s="13" t="inlineStr">
        <is>
          <t>block_on</t>
        </is>
      </c>
      <c r="B42" s="13" t="inlineStr">
        <is>
          <t>org_unit_2_code</t>
        </is>
      </c>
      <c r="C42" s="13" t="inlineStr">
        <is>
          <t>false</t>
        </is>
      </c>
      <c r="D42" s="13" t="inlineStr">
        <is>
          <t>false</t>
        </is>
      </c>
      <c r="E42" s="13" t="inlineStr">
        <is>
          <t>Which problems keep an employee out of the file (true) or only warn (false).</t>
        </is>
      </c>
    </row>
  </sheetData>
  <autoFilter ref="A4:E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20" customWidth="1" min="1" max="1"/>
    <col width="90" customWidth="1" min="2" max="2"/>
    <col width="18" customWidth="1" min="3" max="3"/>
    <col width="28" customWidth="1" min="4" max="4"/>
  </cols>
  <sheetData>
    <row r="1">
      <c r="A1" s="9" t="inlineStr">
        <is>
          <t>Validation - Exceptions</t>
        </is>
      </c>
    </row>
    <row r="2">
      <c r="A2" s="10" t="inlineStr">
        <is>
          <t>Rebuilt on every derive into ADP_Concur_Exceptions. Any Error keeps that employee out of every record type in the extract.</t>
        </is>
      </c>
    </row>
    <row r="4">
      <c r="A4" s="11" t="inlineStr">
        <is>
          <t>Field</t>
        </is>
      </c>
      <c r="B4" s="11" t="inlineStr">
        <is>
          <t>Condition</t>
        </is>
      </c>
      <c r="C4" s="11" t="inlineStr">
        <is>
          <t>Current Severity</t>
        </is>
      </c>
      <c r="D4" s="11" t="inlineStr">
        <is>
          <t>Controlled By</t>
        </is>
      </c>
    </row>
    <row r="5">
      <c r="A5" s="12" t="inlineStr">
        <is>
          <t>file_number</t>
        </is>
      </c>
      <c r="B5" s="12" t="inlineStr">
        <is>
          <t>No File Number</t>
        </is>
      </c>
      <c r="C5" s="12" t="inlineStr">
        <is>
          <t>Error (excluded)</t>
        </is>
      </c>
      <c r="D5" s="12" t="inlineStr">
        <is>
          <t>block_on.missing_employee_id</t>
        </is>
      </c>
    </row>
    <row r="6">
      <c r="A6" s="12" t="inlineStr">
        <is>
          <t>login_id</t>
        </is>
      </c>
      <c r="B6" s="12" t="inlineStr">
        <is>
          <t>No Login ID (no source value for the rule)</t>
        </is>
      </c>
      <c r="C6" s="12" t="inlineStr">
        <is>
          <t>Error (excluded)</t>
        </is>
      </c>
      <c r="D6" s="12" t="inlineStr">
        <is>
          <t>block_on.missing_login_id</t>
        </is>
      </c>
    </row>
    <row r="7">
      <c r="A7" s="13" t="inlineStr">
        <is>
          <t>work_email</t>
        </is>
      </c>
      <c r="B7" s="13" t="inlineStr">
        <is>
          <t>No work email in the export</t>
        </is>
      </c>
      <c r="C7" s="13" t="inlineStr">
        <is>
          <t>Warning</t>
        </is>
      </c>
      <c r="D7" s="13" t="inlineStr">
        <is>
          <t>-</t>
        </is>
      </c>
    </row>
    <row r="8">
      <c r="A8" s="12" t="inlineStr">
        <is>
          <t>&lt;any derived&gt;</t>
        </is>
      </c>
      <c r="B8" s="12" t="inlineStr">
        <is>
          <t>A value contains a '... Not Mapped' / '... Not Matched' text. Terminated people are included too, because Concur checks the hierarchy node before status.</t>
        </is>
      </c>
      <c r="C8" s="12" t="inlineStr">
        <is>
          <t>Error (excluded)</t>
        </is>
      </c>
      <c r="D8" s="12" t="inlineStr">
        <is>
          <t>block_on.unmapped</t>
        </is>
      </c>
    </row>
    <row r="9">
      <c r="A9" s="13" t="inlineStr">
        <is>
          <t>supervisor_id</t>
        </is>
      </c>
      <c r="B9" s="13" t="inlineStr">
        <is>
          <t>An active employee with no supervisor</t>
        </is>
      </c>
      <c r="C9" s="13" t="inlineStr">
        <is>
          <t>Warning</t>
        </is>
      </c>
      <c r="D9" s="13" t="inlineStr">
        <is>
          <t>-</t>
        </is>
      </c>
    </row>
    <row r="10">
      <c r="A10" s="13" t="inlineStr">
        <is>
          <t>term_date</t>
        </is>
      </c>
      <c r="B10" s="13" t="inlineStr">
        <is>
          <t>Inactive (Status N) but no Termination Date</t>
        </is>
      </c>
      <c r="C10" s="13" t="inlineStr">
        <is>
          <t>Warning</t>
        </is>
      </c>
      <c r="D10" s="13" t="inlineStr">
        <is>
          <t>-</t>
        </is>
      </c>
    </row>
    <row r="11">
      <c r="A11" s="13" t="inlineStr">
        <is>
          <t>duplicate_rows</t>
        </is>
      </c>
      <c r="B11" s="13" t="inlineStr">
        <is>
          <t>More than one export row for the File Number, or the person is in both ADP and UKG</t>
        </is>
      </c>
      <c r="C11" s="13" t="inlineStr">
        <is>
          <t>Warning</t>
        </is>
      </c>
      <c r="D11" s="13" t="inlineStr">
        <is>
          <t>-</t>
        </is>
      </c>
    </row>
    <row r="12">
      <c r="A12" s="13" t="inlineStr">
        <is>
          <t>invoice_limit</t>
        </is>
      </c>
      <c r="B12" s="13" t="inlineStr">
        <is>
          <t>Invoice Access Y (from the exception map) but the grade's limit is 0</t>
        </is>
      </c>
      <c r="C12" s="13" t="inlineStr">
        <is>
          <t>Warning</t>
        </is>
      </c>
      <c r="D12" s="13" t="inlineStr">
        <is>
          <t>-</t>
        </is>
      </c>
    </row>
    <row r="13">
      <c r="A13" s="13" t="inlineStr">
        <is>
          <t>org_unit_2</t>
        </is>
      </c>
      <c r="B13" s="13" t="inlineStr">
        <is>
          <t>Org Unit 2 is a name, not a numeric code. Concur's connected list rejects it.</t>
        </is>
      </c>
      <c r="C13" s="13" t="inlineStr">
        <is>
          <t>Warning</t>
        </is>
      </c>
      <c r="D13" s="13" t="inlineStr">
        <is>
          <t>block_on.org_unit_2_code</t>
        </is>
      </c>
    </row>
    <row r="14">
      <c r="A14" s="12" t="inlineStr">
        <is>
          <t>supervisor_chain</t>
        </is>
      </c>
      <c r="B14" s="12" t="inlineStr">
        <is>
          <t>The supervisor is not in the load, the person reports to themselves, or the chain loops</t>
        </is>
      </c>
      <c r="C14" s="12" t="inlineStr">
        <is>
          <t>Error (excluded)</t>
        </is>
      </c>
      <c r="D14" s="12" t="inlineStr">
        <is>
          <t>block_on.broken_supervisor</t>
        </is>
      </c>
    </row>
    <row r="15">
      <c r="A15" s="13" t="inlineStr">
        <is>
          <t>supervisor_chain</t>
        </is>
      </c>
      <c r="B15" s="13" t="inlineStr">
        <is>
          <t>The supervisor comes from the other system (ADP &lt;-&gt; UKG)</t>
        </is>
      </c>
      <c r="C15" s="13" t="inlineStr">
        <is>
          <t>Warning</t>
        </is>
      </c>
      <c r="D15" s="13" t="inlineStr">
        <is>
          <t>-</t>
        </is>
      </c>
    </row>
    <row r="16">
      <c r="A16" s="13" t="inlineStr">
        <is>
          <t>supervisor_chain</t>
        </is>
      </c>
      <c r="B16" s="13" t="inlineStr">
        <is>
          <t>An active employee's approver is inactive</t>
        </is>
      </c>
      <c r="C16" s="13" t="inlineStr">
        <is>
          <t>Warning</t>
        </is>
      </c>
      <c r="D16" s="13" t="inlineStr">
        <is>
          <t>-</t>
        </is>
      </c>
    </row>
    <row r="17">
      <c r="A17" s="13" t="inlineStr">
        <is>
          <t>supervisor_chain</t>
        </is>
      </c>
      <c r="B17" s="13" t="inlineStr">
        <is>
          <t>The supervisor is deleted or held out of the 305</t>
        </is>
      </c>
      <c r="C17" s="13" t="inlineStr">
        <is>
          <t>Warning</t>
        </is>
      </c>
      <c r="D17" s="13" t="inlineStr">
        <is>
          <t>-</t>
        </is>
      </c>
    </row>
    <row r="18">
      <c r="A18" s="13" t="inlineStr">
        <is>
          <t>password</t>
        </is>
      </c>
      <c r="B18" s="13" t="inlineStr">
        <is>
          <t>Passwords run in an unbroken fill series (5 or more, e.g. Welcome01..Welcome82)</t>
        </is>
      </c>
      <c r="C18" s="13" t="inlineStr">
        <is>
          <t>Warning</t>
        </is>
      </c>
      <c r="D18" s="13" t="inlineStr">
        <is>
          <t>-</t>
        </is>
      </c>
    </row>
  </sheetData>
  <autoFilter ref="A4:D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18" customWidth="1" min="1" max="1"/>
    <col width="15" customWidth="1" min="2" max="2"/>
  </cols>
  <sheetData>
    <row r="1">
      <c r="A1" s="9" t="inlineStr">
        <is>
          <t>Status Map  -&gt;  ADP_Concur_StatusMap</t>
        </is>
      </c>
    </row>
    <row r="2">
      <c r="A2" s="10" t="inlineStr">
        <is>
          <t>Snapshot of the live table taken 2026-09-29. Edit maps in the app, not here.</t>
        </is>
      </c>
    </row>
    <row r="4">
      <c r="A4" s="11" t="inlineStr">
        <is>
          <t>position_status</t>
        </is>
      </c>
      <c r="B4" s="11" t="inlineStr">
        <is>
          <t>concur_status</t>
        </is>
      </c>
    </row>
    <row r="5">
      <c r="A5" s="13" t="inlineStr">
        <is>
          <t>Active</t>
        </is>
      </c>
      <c r="B5" s="13" t="inlineStr">
        <is>
          <t>Y</t>
        </is>
      </c>
    </row>
    <row r="6">
      <c r="A6" s="13" t="inlineStr">
        <is>
          <t>Terminated</t>
        </is>
      </c>
      <c r="B6" s="13" t="inlineStr">
        <is>
          <t>N</t>
        </is>
      </c>
    </row>
    <row r="7">
      <c r="A7" s="13" t="inlineStr">
        <is>
          <t>Retired</t>
        </is>
      </c>
      <c r="B7" s="13" t="inlineStr">
        <is>
          <t>N</t>
        </is>
      </c>
    </row>
    <row r="8">
      <c r="A8" s="13" t="inlineStr">
        <is>
          <t>Leave</t>
        </is>
      </c>
      <c r="B8" s="13" t="inlineStr">
        <is>
          <t>Y</t>
        </is>
      </c>
    </row>
    <row r="9">
      <c r="A9" s="13" t="inlineStr">
        <is>
          <t>Leave of absence</t>
        </is>
      </c>
      <c r="B9" s="13" t="inlineStr">
        <is>
          <t>N</t>
        </is>
      </c>
    </row>
  </sheetData>
  <autoFilter ref="A4:B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13" customWidth="1" min="1" max="1"/>
    <col width="16" customWidth="1" min="2" max="2"/>
    <col width="16" customWidth="1" min="3" max="3"/>
    <col width="15" customWidth="1" min="4" max="4"/>
    <col width="25" customWidth="1" min="5" max="5"/>
  </cols>
  <sheetData>
    <row r="1">
      <c r="A1" s="9" t="inlineStr">
        <is>
          <t>Country Map (left block)  -&gt;  ADP_Concur_CountryMap</t>
        </is>
      </c>
    </row>
    <row r="2">
      <c r="A2" s="10" t="inlineStr">
        <is>
          <t>Snapshot of the live table taken 2026-09-29. Edit maps in the app, not here.</t>
        </is>
      </c>
    </row>
    <row r="4">
      <c r="A4" s="11" t="inlineStr">
        <is>
          <t>adp_country</t>
        </is>
      </c>
      <c r="B4" s="11" t="inlineStr">
        <is>
          <t>concur_country</t>
        </is>
      </c>
      <c r="C4" s="11" t="inlineStr">
        <is>
          <t>country_name</t>
        </is>
      </c>
      <c r="D4" s="11" t="inlineStr">
        <is>
          <t>currency_code</t>
        </is>
      </c>
      <c r="E4" s="11" t="inlineStr">
        <is>
          <t>currency_name</t>
        </is>
      </c>
    </row>
    <row r="5">
      <c r="A5" s="13" t="inlineStr">
        <is>
          <t>USA</t>
        </is>
      </c>
      <c r="B5" s="13" t="inlineStr">
        <is>
          <t>US</t>
        </is>
      </c>
      <c r="C5" s="13" t="inlineStr">
        <is>
          <t>United States</t>
        </is>
      </c>
      <c r="D5" s="13" t="inlineStr">
        <is>
          <t>USD</t>
        </is>
      </c>
      <c r="E5" s="13" t="inlineStr">
        <is>
          <t>US Dollar</t>
        </is>
      </c>
    </row>
    <row r="6">
      <c r="A6" s="13" t="inlineStr">
        <is>
          <t>CHN</t>
        </is>
      </c>
      <c r="B6" s="13" t="inlineStr">
        <is>
          <t>CN</t>
        </is>
      </c>
      <c r="C6" s="13" t="inlineStr">
        <is>
          <t>China</t>
        </is>
      </c>
      <c r="D6" s="13" t="inlineStr">
        <is>
          <t>CNY</t>
        </is>
      </c>
      <c r="E6" s="13" t="inlineStr">
        <is>
          <t>Chinese Yuan (Renminbi)</t>
        </is>
      </c>
    </row>
    <row r="7">
      <c r="A7" s="13" t="inlineStr">
        <is>
          <t>DEU</t>
        </is>
      </c>
      <c r="B7" s="13" t="inlineStr">
        <is>
          <t>DE</t>
        </is>
      </c>
      <c r="C7" s="13" t="inlineStr">
        <is>
          <t>Germany</t>
        </is>
      </c>
      <c r="D7" s="13" t="inlineStr">
        <is>
          <t>EUR</t>
        </is>
      </c>
      <c r="E7" s="13" t="inlineStr">
        <is>
          <t>Euro</t>
        </is>
      </c>
    </row>
    <row r="8">
      <c r="A8" s="13" t="inlineStr">
        <is>
          <t>ESP</t>
        </is>
      </c>
      <c r="B8" s="13" t="inlineStr">
        <is>
          <t>ES</t>
        </is>
      </c>
      <c r="C8" s="13" t="inlineStr">
        <is>
          <t>Spail</t>
        </is>
      </c>
      <c r="D8" s="13" t="inlineStr">
        <is>
          <t>EUR</t>
        </is>
      </c>
      <c r="E8" s="13" t="inlineStr">
        <is>
          <t>Euro</t>
        </is>
      </c>
    </row>
    <row r="9">
      <c r="A9" s="13" t="inlineStr">
        <is>
          <t>FRA</t>
        </is>
      </c>
      <c r="B9" s="13" t="inlineStr">
        <is>
          <t>FR</t>
        </is>
      </c>
      <c r="C9" s="13" t="inlineStr">
        <is>
          <t>France</t>
        </is>
      </c>
      <c r="D9" s="13" t="inlineStr">
        <is>
          <t>EUR</t>
        </is>
      </c>
      <c r="E9" s="13" t="inlineStr">
        <is>
          <t>Euro</t>
        </is>
      </c>
    </row>
    <row r="10">
      <c r="A10" s="13" t="inlineStr">
        <is>
          <t>GBR</t>
        </is>
      </c>
      <c r="B10" s="13" t="inlineStr">
        <is>
          <t>GB</t>
        </is>
      </c>
      <c r="C10" s="13" t="inlineStr">
        <is>
          <t>United Kingdom</t>
        </is>
      </c>
      <c r="D10" s="13" t="inlineStr">
        <is>
          <t>GBP</t>
        </is>
      </c>
      <c r="E10" s="13" t="inlineStr">
        <is>
          <t>Pound Sterling</t>
        </is>
      </c>
    </row>
    <row r="11">
      <c r="A11" s="13" t="inlineStr">
        <is>
          <t>IND</t>
        </is>
      </c>
      <c r="B11" s="13" t="inlineStr">
        <is>
          <t>IN</t>
        </is>
      </c>
      <c r="C11" s="13" t="inlineStr">
        <is>
          <t>India</t>
        </is>
      </c>
      <c r="D11" s="13" t="inlineStr">
        <is>
          <t>INR</t>
        </is>
      </c>
      <c r="E11" s="13" t="inlineStr">
        <is>
          <t>Indian Rupee</t>
        </is>
      </c>
    </row>
    <row r="12">
      <c r="A12" s="13" t="inlineStr">
        <is>
          <t>KOR</t>
        </is>
      </c>
      <c r="B12" s="13" t="inlineStr">
        <is>
          <t>KR</t>
        </is>
      </c>
      <c r="C12" s="13" t="inlineStr">
        <is>
          <t>South Korea</t>
        </is>
      </c>
      <c r="D12" s="13" t="inlineStr">
        <is>
          <t>KRW</t>
        </is>
      </c>
      <c r="E12" s="13" t="inlineStr">
        <is>
          <t>South Korean Won</t>
        </is>
      </c>
    </row>
    <row r="13">
      <c r="A13" s="13" t="inlineStr">
        <is>
          <t>MEX</t>
        </is>
      </c>
      <c r="B13" s="13" t="inlineStr">
        <is>
          <t>MX</t>
        </is>
      </c>
      <c r="C13" s="13" t="inlineStr">
        <is>
          <t>Mexico</t>
        </is>
      </c>
      <c r="D13" s="13" t="inlineStr">
        <is>
          <t>MXN</t>
        </is>
      </c>
      <c r="E13" s="13" t="inlineStr">
        <is>
          <t>Mexican Peso</t>
        </is>
      </c>
    </row>
    <row r="14">
      <c r="A14" s="13" t="inlineStr">
        <is>
          <t>SWE</t>
        </is>
      </c>
      <c r="B14" s="13" t="inlineStr">
        <is>
          <t>SE</t>
        </is>
      </c>
      <c r="C14" s="13" t="inlineStr">
        <is>
          <t>Sweden</t>
        </is>
      </c>
      <c r="D14" s="13" t="inlineStr">
        <is>
          <t>SEK</t>
        </is>
      </c>
      <c r="E14" s="13" t="inlineStr">
        <is>
          <t>Swedish Krona</t>
        </is>
      </c>
    </row>
    <row r="15">
      <c r="A15" s="13" t="inlineStr">
        <is>
          <t>SGP</t>
        </is>
      </c>
      <c r="B15" s="13" t="inlineStr">
        <is>
          <t>SG</t>
        </is>
      </c>
      <c r="C15" s="13" t="inlineStr">
        <is>
          <t>Singapore</t>
        </is>
      </c>
      <c r="D15" s="13" t="inlineStr">
        <is>
          <t>SGD</t>
        </is>
      </c>
      <c r="E15" s="13" t="inlineStr">
        <is>
          <t>Singapore Dollar</t>
        </is>
      </c>
    </row>
    <row r="16">
      <c r="A16" s="13" t="inlineStr">
        <is>
          <t>JPN</t>
        </is>
      </c>
      <c r="B16" s="13" t="inlineStr">
        <is>
          <t>JP</t>
        </is>
      </c>
      <c r="C16" s="13" t="inlineStr">
        <is>
          <t>Japan</t>
        </is>
      </c>
      <c r="D16" s="13" t="inlineStr">
        <is>
          <t>JPY</t>
        </is>
      </c>
      <c r="E16" s="13" t="inlineStr">
        <is>
          <t>Japanese Yen</t>
        </is>
      </c>
    </row>
  </sheetData>
  <autoFilter ref="A4:E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0"/>
  <sheetViews>
    <sheetView showGridLines="0" workbookViewId="0">
      <pane ySplit="4" topLeftCell="A5" activePane="bottomLeft" state="frozen"/>
      <selection pane="bottomLeft" activeCell="A1" sqref="A1"/>
    </sheetView>
  </sheetViews>
  <sheetFormatPr baseColWidth="8" defaultRowHeight="15"/>
  <cols>
    <col width="24" customWidth="1" min="1" max="1"/>
    <col width="27" customWidth="1" min="2" max="2"/>
    <col width="22" customWidth="1" min="3" max="3"/>
    <col width="12" customWidth="1" min="4" max="4"/>
    <col width="12" customWidth="1" min="5" max="5"/>
    <col width="18" customWidth="1" min="6" max="6"/>
    <col width="12" customWidth="1" min="7" max="7"/>
  </cols>
  <sheetData>
    <row r="1">
      <c r="A1" s="9" t="inlineStr">
        <is>
          <t>Org Map  -&gt;  ADP_Concur_OrgMap</t>
        </is>
      </c>
    </row>
    <row r="2">
      <c r="A2" s="10" t="inlineStr">
        <is>
          <t>Snapshot of the live table taken 2026-09-29. Edit maps in the app, not here.</t>
        </is>
      </c>
    </row>
    <row r="4">
      <c r="A4" s="11" t="inlineStr">
        <is>
          <t>business_unit_desc</t>
        </is>
      </c>
      <c r="B4" s="11" t="inlineStr">
        <is>
          <t>home_department_desc</t>
        </is>
      </c>
      <c r="C4" s="11" t="inlineStr">
        <is>
          <t>home_department_code</t>
        </is>
      </c>
      <c r="D4" s="11" t="inlineStr">
        <is>
          <t>org_unit_1</t>
        </is>
      </c>
      <c r="E4" s="11" t="inlineStr">
        <is>
          <t>org_unit_2</t>
        </is>
      </c>
      <c r="F4" s="11" t="inlineStr">
        <is>
          <t>default_language</t>
        </is>
      </c>
      <c r="G4" s="11" t="inlineStr">
        <is>
          <t>currency</t>
        </is>
      </c>
    </row>
    <row r="5">
      <c r="A5" s="13" t="inlineStr">
        <is>
          <t>025-NGP Hyson Products</t>
        </is>
      </c>
      <c r="B5" s="13" t="inlineStr">
        <is>
          <t>CNC Lathe Hyson</t>
        </is>
      </c>
      <c r="C5" s="13" t="inlineStr">
        <is>
          <t>000100</t>
        </is>
      </c>
      <c r="D5" s="13" t="inlineStr">
        <is>
          <t>0096</t>
        </is>
      </c>
      <c r="E5" s="13" t="inlineStr">
        <is>
          <t>100</t>
        </is>
      </c>
      <c r="F5" s="13" t="inlineStr">
        <is>
          <t>en_</t>
        </is>
      </c>
      <c r="G5" s="13" t="inlineStr">
        <is>
          <t>USD</t>
        </is>
      </c>
    </row>
    <row r="6">
      <c r="A6" s="13" t="inlineStr">
        <is>
          <t>025-NGP Hyson Products</t>
        </is>
      </c>
      <c r="B6" s="13" t="inlineStr">
        <is>
          <t>Assembly Hyson</t>
        </is>
      </c>
      <c r="C6" s="13" t="inlineStr">
        <is>
          <t>000200</t>
        </is>
      </c>
      <c r="D6" s="13" t="inlineStr">
        <is>
          <t>0096</t>
        </is>
      </c>
      <c r="E6" s="13" t="inlineStr">
        <is>
          <t>200</t>
        </is>
      </c>
      <c r="F6" s="13" t="inlineStr">
        <is>
          <t>en_</t>
        </is>
      </c>
      <c r="G6" s="13" t="inlineStr">
        <is>
          <t>USD</t>
        </is>
      </c>
    </row>
    <row r="7">
      <c r="A7" s="13" t="inlineStr">
        <is>
          <t>025-NGP Hyson Products</t>
        </is>
      </c>
      <c r="B7" s="13" t="inlineStr">
        <is>
          <t>Edgework- Hyson</t>
        </is>
      </c>
      <c r="C7" s="13" t="inlineStr">
        <is>
          <t>000350</t>
        </is>
      </c>
      <c r="D7" s="13" t="inlineStr">
        <is>
          <t>0096</t>
        </is>
      </c>
      <c r="E7" s="13" t="inlineStr">
        <is>
          <t>350</t>
        </is>
      </c>
      <c r="F7" s="13" t="inlineStr">
        <is>
          <t>en_</t>
        </is>
      </c>
      <c r="G7" s="13" t="inlineStr">
        <is>
          <t>USD</t>
        </is>
      </c>
    </row>
    <row r="8">
      <c r="A8" s="13" t="inlineStr">
        <is>
          <t>025-NGP Hyson Products</t>
        </is>
      </c>
      <c r="B8" s="13" t="inlineStr">
        <is>
          <t>Indirect General -Hyson</t>
        </is>
      </c>
      <c r="C8" s="13" t="inlineStr">
        <is>
          <t>000400</t>
        </is>
      </c>
      <c r="D8" s="13" t="inlineStr">
        <is>
          <t>0096</t>
        </is>
      </c>
      <c r="E8" s="13" t="inlineStr">
        <is>
          <t>400</t>
        </is>
      </c>
      <c r="F8" s="13" t="inlineStr">
        <is>
          <t>en_</t>
        </is>
      </c>
      <c r="G8" s="13" t="inlineStr">
        <is>
          <t>USD</t>
        </is>
      </c>
    </row>
    <row r="9">
      <c r="A9" s="13" t="inlineStr">
        <is>
          <t>025-NGP Hyson Products</t>
        </is>
      </c>
      <c r="B9" s="13" t="inlineStr">
        <is>
          <t>Maintenance-Hyson</t>
        </is>
      </c>
      <c r="C9" s="13" t="inlineStr">
        <is>
          <t>000450</t>
        </is>
      </c>
      <c r="D9" s="13" t="inlineStr">
        <is>
          <t>0096</t>
        </is>
      </c>
      <c r="E9" s="13" t="inlineStr">
        <is>
          <t>450</t>
        </is>
      </c>
      <c r="F9" s="13" t="inlineStr">
        <is>
          <t>en_</t>
        </is>
      </c>
      <c r="G9" s="13" t="inlineStr">
        <is>
          <t>USD</t>
        </is>
      </c>
    </row>
    <row r="10">
      <c r="A10" s="13" t="inlineStr">
        <is>
          <t>025-NGP Hyson Products</t>
        </is>
      </c>
      <c r="B10" s="13" t="inlineStr">
        <is>
          <t>Quality</t>
        </is>
      </c>
      <c r="C10" s="13" t="inlineStr">
        <is>
          <t>000500</t>
        </is>
      </c>
      <c r="D10" s="13" t="inlineStr">
        <is>
          <t>0096</t>
        </is>
      </c>
      <c r="E10" s="13" t="inlineStr">
        <is>
          <t>500</t>
        </is>
      </c>
      <c r="F10" s="13" t="inlineStr">
        <is>
          <t>en_</t>
        </is>
      </c>
      <c r="G10" s="13" t="inlineStr">
        <is>
          <t>USD</t>
        </is>
      </c>
    </row>
    <row r="11">
      <c r="A11" s="13" t="inlineStr">
        <is>
          <t>025-NGP Hyson Products</t>
        </is>
      </c>
      <c r="B11" s="13" t="inlineStr">
        <is>
          <t>Factory Super-Hyson</t>
        </is>
      </c>
      <c r="C11" s="13" t="inlineStr">
        <is>
          <t>000515</t>
        </is>
      </c>
      <c r="D11" s="13" t="inlineStr">
        <is>
          <t>0096</t>
        </is>
      </c>
      <c r="E11" s="13" t="inlineStr">
        <is>
          <t>515</t>
        </is>
      </c>
      <c r="F11" s="13" t="inlineStr">
        <is>
          <t>en_</t>
        </is>
      </c>
      <c r="G11" s="13" t="inlineStr">
        <is>
          <t>USD</t>
        </is>
      </c>
    </row>
    <row r="12">
      <c r="A12" s="13" t="inlineStr">
        <is>
          <t>025-NGP Hyson Products</t>
        </is>
      </c>
      <c r="B12" s="13" t="inlineStr">
        <is>
          <t>Warehouse</t>
        </is>
      </c>
      <c r="C12" s="13" t="inlineStr">
        <is>
          <t>000555</t>
        </is>
      </c>
      <c r="D12" s="13" t="inlineStr">
        <is>
          <t>0096</t>
        </is>
      </c>
      <c r="E12" s="13" t="inlineStr">
        <is>
          <t>555</t>
        </is>
      </c>
      <c r="F12" s="13" t="inlineStr">
        <is>
          <t>en_</t>
        </is>
      </c>
      <c r="G12" s="13" t="inlineStr">
        <is>
          <t>USD</t>
        </is>
      </c>
    </row>
    <row r="13">
      <c r="A13" s="13" t="inlineStr">
        <is>
          <t>025-NGP Hyson Products</t>
        </is>
      </c>
      <c r="B13" s="13" t="inlineStr">
        <is>
          <t>R&amp;D</t>
        </is>
      </c>
      <c r="C13" s="13" t="inlineStr">
        <is>
          <t>000713</t>
        </is>
      </c>
      <c r="D13" s="13" t="inlineStr">
        <is>
          <t>0096</t>
        </is>
      </c>
      <c r="E13" s="13" t="inlineStr">
        <is>
          <t>713</t>
        </is>
      </c>
      <c r="F13" s="13" t="inlineStr">
        <is>
          <t>en_</t>
        </is>
      </c>
      <c r="G13" s="13" t="inlineStr">
        <is>
          <t>USD</t>
        </is>
      </c>
    </row>
    <row r="14">
      <c r="A14" s="13" t="inlineStr">
        <is>
          <t>025-NGP Hyson Products</t>
        </is>
      </c>
      <c r="B14" s="13" t="inlineStr">
        <is>
          <t>Engineering</t>
        </is>
      </c>
      <c r="C14" s="13" t="inlineStr">
        <is>
          <t>000718</t>
        </is>
      </c>
      <c r="D14" s="13" t="inlineStr">
        <is>
          <t>0096</t>
        </is>
      </c>
      <c r="E14" s="13" t="inlineStr">
        <is>
          <t>718</t>
        </is>
      </c>
      <c r="F14" s="13" t="inlineStr">
        <is>
          <t>en_</t>
        </is>
      </c>
      <c r="G14" s="13" t="inlineStr">
        <is>
          <t>USD</t>
        </is>
      </c>
    </row>
    <row r="15">
      <c r="A15" s="13" t="inlineStr">
        <is>
          <t>025-NGP Hyson Products</t>
        </is>
      </c>
      <c r="B15" s="13" t="inlineStr">
        <is>
          <t>Project Management</t>
        </is>
      </c>
      <c r="C15" s="13" t="inlineStr">
        <is>
          <t>000801</t>
        </is>
      </c>
      <c r="D15" s="13" t="inlineStr">
        <is>
          <t>0096</t>
        </is>
      </c>
      <c r="E15" s="13" t="inlineStr">
        <is>
          <t>801</t>
        </is>
      </c>
      <c r="F15" s="13" t="inlineStr">
        <is>
          <t>en_</t>
        </is>
      </c>
      <c r="G15" s="13" t="inlineStr">
        <is>
          <t>USD</t>
        </is>
      </c>
    </row>
    <row r="16">
      <c r="A16" s="13" t="inlineStr">
        <is>
          <t>025-NGP Hyson Products</t>
        </is>
      </c>
      <c r="B16" s="13" t="inlineStr">
        <is>
          <t>Outside Sales</t>
        </is>
      </c>
      <c r="C16" s="13" t="inlineStr">
        <is>
          <t>000820</t>
        </is>
      </c>
      <c r="D16" s="13" t="inlineStr">
        <is>
          <t>0096</t>
        </is>
      </c>
      <c r="E16" s="13" t="inlineStr">
        <is>
          <t>820</t>
        </is>
      </c>
      <c r="F16" s="13" t="inlineStr">
        <is>
          <t>en_</t>
        </is>
      </c>
      <c r="G16" s="13" t="inlineStr">
        <is>
          <t>USD</t>
        </is>
      </c>
    </row>
    <row r="17">
      <c r="A17" s="13" t="inlineStr">
        <is>
          <t>025-NGP Hyson Products</t>
        </is>
      </c>
      <c r="B17" s="13" t="inlineStr">
        <is>
          <t>Inside Sales</t>
        </is>
      </c>
      <c r="C17" s="13" t="inlineStr">
        <is>
          <t>000850</t>
        </is>
      </c>
      <c r="D17" s="13" t="inlineStr">
        <is>
          <t>0096</t>
        </is>
      </c>
      <c r="E17" s="13" t="inlineStr">
        <is>
          <t>850</t>
        </is>
      </c>
      <c r="F17" s="13" t="inlineStr">
        <is>
          <t>en_</t>
        </is>
      </c>
      <c r="G17" s="13" t="inlineStr">
        <is>
          <t>USD</t>
        </is>
      </c>
    </row>
    <row r="18">
      <c r="A18" s="13" t="inlineStr">
        <is>
          <t>025-NGP Hyson Products</t>
        </is>
      </c>
      <c r="B18" s="13" t="inlineStr">
        <is>
          <t>Sustaining Engineering</t>
        </is>
      </c>
      <c r="C18" s="13" t="inlineStr">
        <is>
          <t>000900</t>
        </is>
      </c>
      <c r="D18" s="13" t="inlineStr">
        <is>
          <t>0096</t>
        </is>
      </c>
      <c r="E18" s="13" t="inlineStr">
        <is>
          <t>900</t>
        </is>
      </c>
      <c r="F18" s="13" t="inlineStr">
        <is>
          <t>en_</t>
        </is>
      </c>
      <c r="G18" s="13" t="inlineStr">
        <is>
          <t>USD</t>
        </is>
      </c>
    </row>
    <row r="19">
      <c r="A19" s="13" t="inlineStr">
        <is>
          <t>025-NGP Hyson Products</t>
        </is>
      </c>
      <c r="B19" s="13" t="inlineStr">
        <is>
          <t>Finance</t>
        </is>
      </c>
      <c r="C19" s="13" t="inlineStr">
        <is>
          <t>000910</t>
        </is>
      </c>
      <c r="D19" s="13" t="inlineStr">
        <is>
          <t>0096</t>
        </is>
      </c>
      <c r="E19" s="13" t="inlineStr">
        <is>
          <t>910</t>
        </is>
      </c>
      <c r="F19" s="13" t="inlineStr">
        <is>
          <t>en_</t>
        </is>
      </c>
      <c r="G19" s="13" t="inlineStr">
        <is>
          <t>USD</t>
        </is>
      </c>
    </row>
    <row r="20">
      <c r="A20" s="13" t="inlineStr">
        <is>
          <t>025-NGP Hyson Products</t>
        </is>
      </c>
      <c r="B20" s="13" t="inlineStr">
        <is>
          <t>Administration</t>
        </is>
      </c>
      <c r="C20" s="13" t="inlineStr">
        <is>
          <t>000917</t>
        </is>
      </c>
      <c r="D20" s="13" t="inlineStr">
        <is>
          <t>0096</t>
        </is>
      </c>
      <c r="E20" s="13" t="inlineStr">
        <is>
          <t>917</t>
        </is>
      </c>
      <c r="F20" s="13" t="inlineStr">
        <is>
          <t>en_</t>
        </is>
      </c>
      <c r="G20" s="13" t="inlineStr">
        <is>
          <t>USD</t>
        </is>
      </c>
    </row>
    <row r="21">
      <c r="A21" s="13" t="inlineStr">
        <is>
          <t>025-NGP Hyson Products</t>
        </is>
      </c>
      <c r="B21" s="13" t="inlineStr">
        <is>
          <t>Human Resources 9210 9210</t>
        </is>
      </c>
      <c r="C21" s="13" t="inlineStr">
        <is>
          <t>000920</t>
        </is>
      </c>
      <c r="D21" s="13" t="inlineStr">
        <is>
          <t>0096</t>
        </is>
      </c>
      <c r="E21" s="13" t="inlineStr">
        <is>
          <t>920</t>
        </is>
      </c>
      <c r="F21" s="13" t="inlineStr">
        <is>
          <t>en_</t>
        </is>
      </c>
      <c r="G21" s="13" t="inlineStr">
        <is>
          <t>USD</t>
        </is>
      </c>
    </row>
    <row r="22">
      <c r="A22" s="13" t="inlineStr">
        <is>
          <t>088-AS Raymond</t>
        </is>
      </c>
      <c r="B22" s="13" t="inlineStr">
        <is>
          <t>Customer Service</t>
        </is>
      </c>
      <c r="C22" s="13" t="inlineStr">
        <is>
          <t>000002</t>
        </is>
      </c>
      <c r="D22" s="13" t="inlineStr">
        <is>
          <t>0088</t>
        </is>
      </c>
      <c r="E22" s="13" t="inlineStr">
        <is>
          <t>0002</t>
        </is>
      </c>
      <c r="F22" s="13" t="inlineStr">
        <is>
          <t>en_</t>
        </is>
      </c>
      <c r="G22" s="13" t="inlineStr">
        <is>
          <t>USD</t>
        </is>
      </c>
    </row>
    <row r="23">
      <c r="A23" s="13" t="inlineStr">
        <is>
          <t>088-AS Raymond</t>
        </is>
      </c>
      <c r="B23" s="13" t="inlineStr">
        <is>
          <t>Supply Chain</t>
        </is>
      </c>
      <c r="C23" s="13" t="inlineStr">
        <is>
          <t>000004</t>
        </is>
      </c>
      <c r="D23" s="13" t="inlineStr">
        <is>
          <t>0088</t>
        </is>
      </c>
      <c r="E23" s="13" t="inlineStr">
        <is>
          <t>0004</t>
        </is>
      </c>
      <c r="F23" s="13" t="inlineStr">
        <is>
          <t>en_</t>
        </is>
      </c>
      <c r="G23" s="13" t="inlineStr">
        <is>
          <t>USD</t>
        </is>
      </c>
    </row>
    <row r="24">
      <c r="A24" s="13" t="inlineStr">
        <is>
          <t>088-AS Raymond</t>
        </is>
      </c>
      <c r="B24" s="13" t="inlineStr">
        <is>
          <t>Operations 5200 5200</t>
        </is>
      </c>
      <c r="C24" s="13" t="inlineStr">
        <is>
          <t>000007</t>
        </is>
      </c>
      <c r="D24" s="13" t="inlineStr">
        <is>
          <t>0088</t>
        </is>
      </c>
      <c r="E24" s="13" t="inlineStr">
        <is>
          <t>0007</t>
        </is>
      </c>
      <c r="F24" s="13" t="inlineStr">
        <is>
          <t>en_</t>
        </is>
      </c>
      <c r="G24" s="13" t="inlineStr">
        <is>
          <t>USD</t>
        </is>
      </c>
    </row>
    <row r="25">
      <c r="A25" s="13" t="inlineStr">
        <is>
          <t>088-AS Raymond</t>
        </is>
      </c>
      <c r="B25" s="13" t="inlineStr">
        <is>
          <t>Assembly</t>
        </is>
      </c>
      <c r="C25" s="13" t="inlineStr">
        <is>
          <t>005100</t>
        </is>
      </c>
      <c r="D25" s="13" t="inlineStr">
        <is>
          <t>0088</t>
        </is>
      </c>
      <c r="E25" s="13" t="inlineStr">
        <is>
          <t>5100</t>
        </is>
      </c>
      <c r="F25" s="13" t="inlineStr">
        <is>
          <t>en_</t>
        </is>
      </c>
      <c r="G25" s="13" t="inlineStr">
        <is>
          <t>USD</t>
        </is>
      </c>
    </row>
    <row r="26">
      <c r="A26" s="13" t="inlineStr">
        <is>
          <t>088-AS Raymond</t>
        </is>
      </c>
      <c r="B26" s="13" t="inlineStr">
        <is>
          <t>FG Warehouse</t>
        </is>
      </c>
      <c r="C26" s="13" t="inlineStr">
        <is>
          <t>005200</t>
        </is>
      </c>
      <c r="D26" s="13" t="inlineStr">
        <is>
          <t>0088</t>
        </is>
      </c>
      <c r="E26" s="13" t="inlineStr">
        <is>
          <t>5200</t>
        </is>
      </c>
      <c r="F26" s="13" t="inlineStr">
        <is>
          <t>en_</t>
        </is>
      </c>
      <c r="G26" s="13" t="inlineStr">
        <is>
          <t>USD</t>
        </is>
      </c>
    </row>
    <row r="27">
      <c r="A27" s="13" t="inlineStr">
        <is>
          <t>088-AS Raymond</t>
        </is>
      </c>
      <c r="B27" s="13" t="inlineStr">
        <is>
          <t>WH Material Management</t>
        </is>
      </c>
      <c r="C27" s="13" t="inlineStr">
        <is>
          <t>005300</t>
        </is>
      </c>
      <c r="D27" s="13" t="inlineStr">
        <is>
          <t>0088</t>
        </is>
      </c>
      <c r="E27" s="13" t="inlineStr">
        <is>
          <t>5300</t>
        </is>
      </c>
      <c r="F27" s="13" t="inlineStr">
        <is>
          <t>en_</t>
        </is>
      </c>
      <c r="G27" s="13" t="inlineStr">
        <is>
          <t>USD</t>
        </is>
      </c>
    </row>
    <row r="28">
      <c r="A28" s="13" t="inlineStr">
        <is>
          <t>088-AS Raymond</t>
        </is>
      </c>
      <c r="B28" s="13" t="inlineStr">
        <is>
          <t>Inside Sales</t>
        </is>
      </c>
      <c r="C28" s="13" t="inlineStr">
        <is>
          <t>008100</t>
        </is>
      </c>
      <c r="D28" s="13" t="inlineStr">
        <is>
          <t>0088</t>
        </is>
      </c>
      <c r="E28" s="13" t="inlineStr">
        <is>
          <t>8100</t>
        </is>
      </c>
      <c r="F28" s="13" t="inlineStr">
        <is>
          <t>en_</t>
        </is>
      </c>
      <c r="G28" s="13" t="inlineStr">
        <is>
          <t>USD</t>
        </is>
      </c>
    </row>
    <row r="29">
      <c r="A29" s="13" t="inlineStr">
        <is>
          <t>088-AS Raymond</t>
        </is>
      </c>
      <c r="B29" s="13" t="inlineStr">
        <is>
          <t>Outside Sales</t>
        </is>
      </c>
      <c r="C29" s="13" t="inlineStr">
        <is>
          <t>008200</t>
        </is>
      </c>
      <c r="D29" s="13" t="inlineStr">
        <is>
          <t>0088</t>
        </is>
      </c>
      <c r="E29" s="13" t="inlineStr">
        <is>
          <t>8200</t>
        </is>
      </c>
      <c r="F29" s="13" t="inlineStr">
        <is>
          <t>en_</t>
        </is>
      </c>
      <c r="G29" s="13" t="inlineStr">
        <is>
          <t>USD</t>
        </is>
      </c>
    </row>
    <row r="30">
      <c r="A30" s="13" t="inlineStr">
        <is>
          <t>088-AS Raymond</t>
        </is>
      </c>
      <c r="B30" s="13" t="inlineStr">
        <is>
          <t>Marketing</t>
        </is>
      </c>
      <c r="C30" s="13" t="inlineStr">
        <is>
          <t>008300</t>
        </is>
      </c>
      <c r="D30" s="13" t="inlineStr">
        <is>
          <t>0088</t>
        </is>
      </c>
      <c r="E30" s="13" t="inlineStr">
        <is>
          <t>8300</t>
        </is>
      </c>
      <c r="F30" s="13" t="inlineStr">
        <is>
          <t>en_</t>
        </is>
      </c>
      <c r="G30" s="13" t="inlineStr">
        <is>
          <t>USD</t>
        </is>
      </c>
    </row>
    <row r="31">
      <c r="A31" s="13" t="inlineStr">
        <is>
          <t>088-AS Raymond</t>
        </is>
      </c>
      <c r="B31" s="13" t="inlineStr">
        <is>
          <t>Finance General</t>
        </is>
      </c>
      <c r="C31" s="13" t="inlineStr">
        <is>
          <t>009100</t>
        </is>
      </c>
      <c r="D31" s="13" t="inlineStr">
        <is>
          <t>0088</t>
        </is>
      </c>
      <c r="E31" s="13" t="inlineStr">
        <is>
          <t>9100</t>
        </is>
      </c>
      <c r="F31" s="13" t="inlineStr">
        <is>
          <t>en_</t>
        </is>
      </c>
      <c r="G31" s="13" t="inlineStr">
        <is>
          <t>USD</t>
        </is>
      </c>
    </row>
    <row r="32">
      <c r="A32" s="13" t="inlineStr">
        <is>
          <t>088-AS Raymond</t>
        </is>
      </c>
      <c r="B32" s="13" t="inlineStr">
        <is>
          <t>Business Applications</t>
        </is>
      </c>
      <c r="C32" s="13" t="inlineStr">
        <is>
          <t>009150</t>
        </is>
      </c>
      <c r="D32" s="13" t="inlineStr">
        <is>
          <t>0088</t>
        </is>
      </c>
      <c r="E32" s="13" t="inlineStr">
        <is>
          <t>9150</t>
        </is>
      </c>
      <c r="F32" s="13" t="inlineStr">
        <is>
          <t>en_</t>
        </is>
      </c>
      <c r="G32" s="13" t="inlineStr">
        <is>
          <t>USD</t>
        </is>
      </c>
    </row>
    <row r="33">
      <c r="A33" s="13" t="inlineStr">
        <is>
          <t>088-AS Raymond</t>
        </is>
      </c>
      <c r="B33" s="13" t="inlineStr">
        <is>
          <t>HR General</t>
        </is>
      </c>
      <c r="C33" s="13" t="inlineStr">
        <is>
          <t>009200</t>
        </is>
      </c>
      <c r="D33" s="13" t="inlineStr">
        <is>
          <t>0088</t>
        </is>
      </c>
      <c r="E33" s="13" t="inlineStr">
        <is>
          <t>9200</t>
        </is>
      </c>
      <c r="F33" s="13" t="inlineStr">
        <is>
          <t>en_</t>
        </is>
      </c>
      <c r="G33" s="13" t="inlineStr">
        <is>
          <t>USD</t>
        </is>
      </c>
    </row>
    <row r="34">
      <c r="A34" s="13" t="inlineStr">
        <is>
          <t>088-AS Raymond</t>
        </is>
      </c>
      <c r="B34" s="13" t="inlineStr">
        <is>
          <t>HR CU</t>
        </is>
      </c>
      <c r="C34" s="13" t="inlineStr">
        <is>
          <t>009210</t>
        </is>
      </c>
      <c r="D34" s="13" t="inlineStr">
        <is>
          <t>0088</t>
        </is>
      </c>
      <c r="E34" s="13" t="inlineStr">
        <is>
          <t>9210</t>
        </is>
      </c>
      <c r="F34" s="13" t="inlineStr">
        <is>
          <t>en_</t>
        </is>
      </c>
      <c r="G34" s="13" t="inlineStr">
        <is>
          <t>USD</t>
        </is>
      </c>
    </row>
    <row r="35">
      <c r="A35" s="13" t="inlineStr">
        <is>
          <t>088-AS Raymond</t>
        </is>
      </c>
      <c r="B35" s="13" t="inlineStr">
        <is>
          <t>Bus Execs CU</t>
        </is>
      </c>
      <c r="C35" s="13" t="inlineStr">
        <is>
          <t>009310</t>
        </is>
      </c>
      <c r="D35" s="13" t="inlineStr">
        <is>
          <t>0088</t>
        </is>
      </c>
      <c r="E35" s="13" t="inlineStr">
        <is>
          <t>9310</t>
        </is>
      </c>
      <c r="F35" s="13" t="inlineStr">
        <is>
          <t>en_</t>
        </is>
      </c>
      <c r="G35" s="13" t="inlineStr">
        <is>
          <t>USD</t>
        </is>
      </c>
    </row>
    <row r="36">
      <c r="A36" s="13" t="inlineStr">
        <is>
          <t>088-AS Raymond</t>
        </is>
      </c>
      <c r="B36" s="13" t="inlineStr">
        <is>
          <t>Admin-Material Management</t>
        </is>
      </c>
      <c r="C36" s="13" t="inlineStr">
        <is>
          <t>009400</t>
        </is>
      </c>
      <c r="D36" s="13" t="inlineStr">
        <is>
          <t>0088</t>
        </is>
      </c>
      <c r="E36" s="13" t="inlineStr">
        <is>
          <t>9400</t>
        </is>
      </c>
      <c r="F36" s="13" t="inlineStr">
        <is>
          <t>en_</t>
        </is>
      </c>
      <c r="G36" s="13" t="inlineStr">
        <is>
          <t>USD</t>
        </is>
      </c>
    </row>
    <row r="37">
      <c r="A37" s="13" t="inlineStr">
        <is>
          <t>088-AS Raymond</t>
        </is>
      </c>
      <c r="B37" s="13" t="inlineStr">
        <is>
          <t>Admin-Engineering</t>
        </is>
      </c>
      <c r="C37" s="13" t="inlineStr">
        <is>
          <t>009450</t>
        </is>
      </c>
      <c r="D37" s="13" t="inlineStr">
        <is>
          <t>0088</t>
        </is>
      </c>
      <c r="E37" s="13" t="inlineStr">
        <is>
          <t>9450</t>
        </is>
      </c>
      <c r="F37" s="13" t="inlineStr">
        <is>
          <t>en_</t>
        </is>
      </c>
      <c r="G37" s="13" t="inlineStr">
        <is>
          <t>USD</t>
        </is>
      </c>
    </row>
    <row r="38">
      <c r="A38" s="13" t="inlineStr">
        <is>
          <t>088-AS Raymond</t>
        </is>
      </c>
      <c r="B38" s="13" t="inlineStr">
        <is>
          <t>Admin-Quality</t>
        </is>
      </c>
      <c r="C38" s="13" t="inlineStr">
        <is>
          <t>009500</t>
        </is>
      </c>
      <c r="D38" s="13" t="inlineStr">
        <is>
          <t>0088</t>
        </is>
      </c>
      <c r="E38" s="13" t="inlineStr">
        <is>
          <t>9500</t>
        </is>
      </c>
      <c r="F38" s="13" t="inlineStr">
        <is>
          <t>en_</t>
        </is>
      </c>
      <c r="G38" s="13" t="inlineStr">
        <is>
          <t>USD</t>
        </is>
      </c>
    </row>
    <row r="39">
      <c r="A39" s="13" t="inlineStr">
        <is>
          <t>0088</t>
        </is>
      </c>
      <c r="B39" s="13" t="inlineStr">
        <is>
          <t>(0088) AS Raymond</t>
        </is>
      </c>
      <c r="C39" s="13" t="inlineStr"/>
      <c r="D39" s="13" t="inlineStr"/>
      <c r="E39" s="13" t="inlineStr"/>
      <c r="F39" s="13" t="inlineStr"/>
      <c r="G39" s="13" t="inlineStr"/>
    </row>
    <row r="40">
      <c r="A40" s="13" t="inlineStr">
        <is>
          <t>0096</t>
        </is>
      </c>
      <c r="B40" s="13" t="inlineStr">
        <is>
          <t>(0096) NGP Hyson Products</t>
        </is>
      </c>
      <c r="C40" s="13" t="inlineStr"/>
      <c r="D40" s="13" t="inlineStr"/>
      <c r="E40" s="13" t="inlineStr"/>
      <c r="F40" s="13" t="inlineStr"/>
      <c r="G40" s="13" t="inlineStr"/>
    </row>
  </sheetData>
  <autoFilter ref="A4:G4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5"/>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4" customWidth="1" min="3" max="3"/>
  </cols>
  <sheetData>
    <row r="1">
      <c r="A1" s="9" t="inlineStr">
        <is>
          <t>Language Map (A:C)  -&gt;  ADP_Concur_LanguageMap</t>
        </is>
      </c>
    </row>
    <row r="2">
      <c r="A2" s="10" t="inlineStr">
        <is>
          <t>Snapshot of the live table taken 2026-09-29. Edit maps in the app, not here.</t>
        </is>
      </c>
    </row>
    <row r="4">
      <c r="A4" s="11" t="inlineStr">
        <is>
          <t>language_desc</t>
        </is>
      </c>
      <c r="B4" s="11" t="inlineStr">
        <is>
          <t>language_code</t>
        </is>
      </c>
      <c r="C4" s="11" t="inlineStr">
        <is>
          <t>adp_language</t>
        </is>
      </c>
    </row>
    <row r="5">
      <c r="A5" s="13" t="inlineStr">
        <is>
          <t>English</t>
        </is>
      </c>
      <c r="B5" s="13" t="inlineStr">
        <is>
          <t>4</t>
        </is>
      </c>
      <c r="C5" s="13" t="inlineStr">
        <is>
          <t>en_</t>
        </is>
      </c>
    </row>
    <row r="6">
      <c r="A6" s="13" t="inlineStr">
        <is>
          <t>Tamil</t>
        </is>
      </c>
      <c r="B6" s="13" t="inlineStr">
        <is>
          <t>24</t>
        </is>
      </c>
      <c r="C6" s="13" t="inlineStr">
        <is>
          <t>en_</t>
        </is>
      </c>
    </row>
    <row r="7">
      <c r="A7" s="13" t="inlineStr">
        <is>
          <t>Bulgarian</t>
        </is>
      </c>
      <c r="B7" s="13" t="inlineStr"/>
      <c r="C7" s="13" t="inlineStr">
        <is>
          <t>bg_</t>
        </is>
      </c>
    </row>
    <row r="8">
      <c r="A8" s="13" t="inlineStr">
        <is>
          <t>Chinese</t>
        </is>
      </c>
      <c r="B8" s="13" t="inlineStr"/>
      <c r="C8" s="13" t="inlineStr">
        <is>
          <t>zh_</t>
        </is>
      </c>
    </row>
    <row r="9">
      <c r="A9" s="13" t="inlineStr">
        <is>
          <t>Croatian</t>
        </is>
      </c>
      <c r="B9" s="13" t="inlineStr"/>
      <c r="C9" s="13" t="inlineStr">
        <is>
          <t>hr_</t>
        </is>
      </c>
    </row>
    <row r="10">
      <c r="A10" s="13" t="inlineStr">
        <is>
          <t>Czech</t>
        </is>
      </c>
      <c r="B10" s="13" t="inlineStr"/>
      <c r="C10" s="13" t="inlineStr">
        <is>
          <t>cs_</t>
        </is>
      </c>
    </row>
    <row r="11">
      <c r="A11" s="13" t="inlineStr">
        <is>
          <t>Danish</t>
        </is>
      </c>
      <c r="B11" s="13" t="inlineStr"/>
      <c r="C11" s="13" t="inlineStr">
        <is>
          <t>da_</t>
        </is>
      </c>
    </row>
    <row r="12">
      <c r="A12" s="13" t="inlineStr">
        <is>
          <t>Dutch</t>
        </is>
      </c>
      <c r="B12" s="13" t="inlineStr"/>
      <c r="C12" s="13" t="inlineStr">
        <is>
          <t>nl_</t>
        </is>
      </c>
    </row>
    <row r="13">
      <c r="A13" s="13" t="inlineStr">
        <is>
          <t>Finnish</t>
        </is>
      </c>
      <c r="B13" s="13" t="inlineStr"/>
      <c r="C13" s="13" t="inlineStr">
        <is>
          <t>fi_</t>
        </is>
      </c>
    </row>
    <row r="14">
      <c r="A14" s="13" t="inlineStr">
        <is>
          <t>French</t>
        </is>
      </c>
      <c r="B14" s="13" t="inlineStr"/>
      <c r="C14" s="13" t="inlineStr">
        <is>
          <t>fr_</t>
        </is>
      </c>
    </row>
    <row r="15">
      <c r="A15" s="13" t="inlineStr">
        <is>
          <t>German</t>
        </is>
      </c>
      <c r="B15" s="13" t="inlineStr"/>
      <c r="C15" s="13" t="inlineStr">
        <is>
          <t>de_</t>
        </is>
      </c>
    </row>
    <row r="16">
      <c r="A16" s="13" t="inlineStr">
        <is>
          <t>Greek</t>
        </is>
      </c>
      <c r="B16" s="13" t="inlineStr"/>
      <c r="C16" s="13" t="inlineStr">
        <is>
          <t>el_</t>
        </is>
      </c>
    </row>
    <row r="17">
      <c r="A17" s="13" t="inlineStr">
        <is>
          <t>Hungarian</t>
        </is>
      </c>
      <c r="B17" s="13" t="inlineStr"/>
      <c r="C17" s="13" t="inlineStr">
        <is>
          <t>hu_</t>
        </is>
      </c>
    </row>
    <row r="18">
      <c r="A18" s="13" t="inlineStr">
        <is>
          <t>Indonesian</t>
        </is>
      </c>
      <c r="B18" s="13" t="inlineStr"/>
      <c r="C18" s="13" t="inlineStr">
        <is>
          <t>id_</t>
        </is>
      </c>
    </row>
    <row r="19">
      <c r="A19" s="13" t="inlineStr">
        <is>
          <t>Italian</t>
        </is>
      </c>
      <c r="B19" s="13" t="inlineStr"/>
      <c r="C19" s="13" t="inlineStr">
        <is>
          <t>it_</t>
        </is>
      </c>
    </row>
    <row r="20">
      <c r="A20" s="13" t="inlineStr">
        <is>
          <t>Japanese</t>
        </is>
      </c>
      <c r="B20" s="13" t="inlineStr"/>
      <c r="C20" s="13" t="inlineStr">
        <is>
          <t>ja_</t>
        </is>
      </c>
    </row>
    <row r="21">
      <c r="A21" s="13" t="inlineStr">
        <is>
          <t>Korean</t>
        </is>
      </c>
      <c r="B21" s="13" t="inlineStr"/>
      <c r="C21" s="13" t="inlineStr">
        <is>
          <t>ko_</t>
        </is>
      </c>
    </row>
    <row r="22">
      <c r="A22" s="13" t="inlineStr">
        <is>
          <t>Malay</t>
        </is>
      </c>
      <c r="B22" s="13" t="inlineStr"/>
      <c r="C22" s="13" t="inlineStr">
        <is>
          <t>ms_</t>
        </is>
      </c>
    </row>
    <row r="23">
      <c r="A23" s="13" t="inlineStr">
        <is>
          <t>Norwegian</t>
        </is>
      </c>
      <c r="B23" s="13" t="inlineStr"/>
      <c r="C23" s="13" t="inlineStr">
        <is>
          <t>no_</t>
        </is>
      </c>
    </row>
    <row r="24">
      <c r="A24" s="13" t="inlineStr">
        <is>
          <t>Polish</t>
        </is>
      </c>
      <c r="B24" s="13" t="inlineStr"/>
      <c r="C24" s="13" t="inlineStr">
        <is>
          <t>pl_</t>
        </is>
      </c>
    </row>
    <row r="25">
      <c r="A25" s="13" t="inlineStr">
        <is>
          <t>Portuguese</t>
        </is>
      </c>
      <c r="B25" s="13" t="inlineStr"/>
      <c r="C25" s="13" t="inlineStr">
        <is>
          <t>pt_</t>
        </is>
      </c>
    </row>
    <row r="26">
      <c r="A26" s="13" t="inlineStr">
        <is>
          <t>Romanian</t>
        </is>
      </c>
      <c r="B26" s="13" t="inlineStr"/>
      <c r="C26" s="13" t="inlineStr">
        <is>
          <t>ro_</t>
        </is>
      </c>
    </row>
    <row r="27">
      <c r="A27" s="13" t="inlineStr">
        <is>
          <t>Russian</t>
        </is>
      </c>
      <c r="B27" s="13" t="inlineStr"/>
      <c r="C27" s="13" t="inlineStr">
        <is>
          <t>ru_</t>
        </is>
      </c>
    </row>
    <row r="28">
      <c r="A28" s="13" t="inlineStr">
        <is>
          <t>Slovak</t>
        </is>
      </c>
      <c r="B28" s="13" t="inlineStr"/>
      <c r="C28" s="13" t="inlineStr">
        <is>
          <t>sk_</t>
        </is>
      </c>
    </row>
    <row r="29">
      <c r="A29" s="13" t="inlineStr">
        <is>
          <t>Slovenian</t>
        </is>
      </c>
      <c r="B29" s="13" t="inlineStr"/>
      <c r="C29" s="13" t="inlineStr">
        <is>
          <t>sl_</t>
        </is>
      </c>
    </row>
    <row r="30">
      <c r="A30" s="13" t="inlineStr">
        <is>
          <t>Spanish</t>
        </is>
      </c>
      <c r="B30" s="13" t="inlineStr"/>
      <c r="C30" s="13" t="inlineStr">
        <is>
          <t>es_</t>
        </is>
      </c>
    </row>
    <row r="31">
      <c r="A31" s="13" t="inlineStr">
        <is>
          <t>Swedish</t>
        </is>
      </c>
      <c r="B31" s="13" t="inlineStr"/>
      <c r="C31" s="13" t="inlineStr">
        <is>
          <t>sv_</t>
        </is>
      </c>
    </row>
    <row r="32">
      <c r="A32" s="13" t="inlineStr">
        <is>
          <t>Thai</t>
        </is>
      </c>
      <c r="B32" s="13" t="inlineStr"/>
      <c r="C32" s="13" t="inlineStr">
        <is>
          <t>th_</t>
        </is>
      </c>
    </row>
    <row r="33">
      <c r="A33" s="13" t="inlineStr">
        <is>
          <t>Turkish</t>
        </is>
      </c>
      <c r="B33" s="13" t="inlineStr"/>
      <c r="C33" s="13" t="inlineStr">
        <is>
          <t>tr_</t>
        </is>
      </c>
    </row>
    <row r="34">
      <c r="A34" s="13" t="inlineStr">
        <is>
          <t>Ukrainian</t>
        </is>
      </c>
      <c r="B34" s="13" t="inlineStr"/>
      <c r="C34" s="13" t="inlineStr">
        <is>
          <t>uk_</t>
        </is>
      </c>
    </row>
    <row r="35">
      <c r="A35" s="13" t="inlineStr">
        <is>
          <t>Vietnamese</t>
        </is>
      </c>
      <c r="B35" s="13" t="inlineStr"/>
      <c r="C35" s="13" t="inlineStr">
        <is>
          <t>vi_</t>
        </is>
      </c>
    </row>
  </sheetData>
  <autoFilter ref="A4:C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66"/>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13" customWidth="1" min="3" max="3"/>
  </cols>
  <sheetData>
    <row r="1">
      <c r="A1" s="9" t="inlineStr">
        <is>
          <t>Language Map (M:O)  -&gt;  ADP_Concur_LocaleMap</t>
        </is>
      </c>
    </row>
    <row r="2">
      <c r="A2" s="10" t="inlineStr">
        <is>
          <t>Snapshot of the live table taken 2026-09-29. Edit maps in the app, not here.</t>
        </is>
      </c>
    </row>
    <row r="4">
      <c r="A4" s="11" t="inlineStr">
        <is>
          <t>country_code</t>
        </is>
      </c>
      <c r="B4" s="11" t="inlineStr">
        <is>
          <t>locale_name</t>
        </is>
      </c>
      <c r="C4" s="11" t="inlineStr">
        <is>
          <t>locale_code</t>
        </is>
      </c>
    </row>
    <row r="5">
      <c r="A5" s="13" t="inlineStr">
        <is>
          <t>AU</t>
        </is>
      </c>
      <c r="B5" s="13" t="inlineStr">
        <is>
          <t>English (Australia)</t>
        </is>
      </c>
      <c r="C5" s="13" t="inlineStr">
        <is>
          <t>en_AU</t>
        </is>
      </c>
    </row>
    <row r="6">
      <c r="A6" s="13" t="inlineStr">
        <is>
          <t>CA</t>
        </is>
      </c>
      <c r="B6" s="13" t="inlineStr">
        <is>
          <t>English (Canada)</t>
        </is>
      </c>
      <c r="C6" s="13" t="inlineStr">
        <is>
          <t>en_CA</t>
        </is>
      </c>
    </row>
    <row r="7">
      <c r="A7" s="13" t="inlineStr">
        <is>
          <t>IE</t>
        </is>
      </c>
      <c r="B7" s="13" t="inlineStr">
        <is>
          <t>English (Ireland)</t>
        </is>
      </c>
      <c r="C7" s="13" t="inlineStr">
        <is>
          <t>en_IE</t>
        </is>
      </c>
    </row>
    <row r="8">
      <c r="A8" s="13" t="inlineStr">
        <is>
          <t>IN</t>
        </is>
      </c>
      <c r="B8" s="13" t="inlineStr">
        <is>
          <t>English (India)</t>
        </is>
      </c>
      <c r="C8" s="13" t="inlineStr">
        <is>
          <t>en_IN</t>
        </is>
      </c>
    </row>
    <row r="9">
      <c r="A9" s="13" t="inlineStr">
        <is>
          <t>NZ</t>
        </is>
      </c>
      <c r="B9" s="13" t="inlineStr">
        <is>
          <t>English (New Zealand)</t>
        </is>
      </c>
      <c r="C9" s="13" t="inlineStr">
        <is>
          <t>en_NZ</t>
        </is>
      </c>
    </row>
    <row r="10">
      <c r="A10" s="13" t="inlineStr">
        <is>
          <t>US</t>
        </is>
      </c>
      <c r="B10" s="13" t="inlineStr">
        <is>
          <t>English (United States)</t>
        </is>
      </c>
      <c r="C10" s="13" t="inlineStr">
        <is>
          <t>en_US</t>
        </is>
      </c>
    </row>
    <row r="11">
      <c r="A11" s="13" t="inlineStr">
        <is>
          <t>ZA</t>
        </is>
      </c>
      <c r="B11" s="13" t="inlineStr">
        <is>
          <t>English (South Africa)</t>
        </is>
      </c>
      <c r="C11" s="13" t="inlineStr">
        <is>
          <t>en_ZA</t>
        </is>
      </c>
    </row>
    <row r="12">
      <c r="A12" s="13" t="inlineStr">
        <is>
          <t>BG</t>
        </is>
      </c>
      <c r="B12" s="13" t="inlineStr">
        <is>
          <t>Bulgarian (Bulgaria)</t>
        </is>
      </c>
      <c r="C12" s="13" t="inlineStr">
        <is>
          <t>bg_BG</t>
        </is>
      </c>
    </row>
    <row r="13">
      <c r="A13" s="13" t="inlineStr">
        <is>
          <t>CN</t>
        </is>
      </c>
      <c r="B13" s="13" t="inlineStr">
        <is>
          <t>Chinese (China)</t>
        </is>
      </c>
      <c r="C13" s="13" t="inlineStr">
        <is>
          <t>zh_CN</t>
        </is>
      </c>
    </row>
    <row r="14">
      <c r="A14" s="13" t="inlineStr">
        <is>
          <t>HK</t>
        </is>
      </c>
      <c r="B14" s="13" t="inlineStr">
        <is>
          <t>Chinese (Hong Kong, China)</t>
        </is>
      </c>
      <c r="C14" s="13" t="inlineStr">
        <is>
          <t>zh_HK</t>
        </is>
      </c>
    </row>
    <row r="15">
      <c r="A15" s="13" t="inlineStr">
        <is>
          <t>TW</t>
        </is>
      </c>
      <c r="B15" s="13" t="inlineStr">
        <is>
          <t>Chinese (Taiwan, China)</t>
        </is>
      </c>
      <c r="C15" s="13" t="inlineStr">
        <is>
          <t>zh_TW</t>
        </is>
      </c>
    </row>
    <row r="16">
      <c r="A16" s="13" t="inlineStr">
        <is>
          <t>HR</t>
        </is>
      </c>
      <c r="B16" s="13" t="inlineStr">
        <is>
          <t>Croatian (Croatia)</t>
        </is>
      </c>
      <c r="C16" s="13" t="inlineStr">
        <is>
          <t>hr_HR</t>
        </is>
      </c>
    </row>
    <row r="17">
      <c r="A17" s="13" t="inlineStr">
        <is>
          <t>CZ</t>
        </is>
      </c>
      <c r="B17" s="13" t="inlineStr">
        <is>
          <t>Czech (Czech Republic)</t>
        </is>
      </c>
      <c r="C17" s="13" t="inlineStr">
        <is>
          <t>cs_CZ</t>
        </is>
      </c>
    </row>
    <row r="18">
      <c r="A18" s="13" t="inlineStr">
        <is>
          <t>DK</t>
        </is>
      </c>
      <c r="B18" s="13" t="inlineStr">
        <is>
          <t>Danish (Denmark)</t>
        </is>
      </c>
      <c r="C18" s="13" t="inlineStr">
        <is>
          <t>da_DK</t>
        </is>
      </c>
    </row>
    <row r="19">
      <c r="A19" s="13" t="inlineStr">
        <is>
          <t>BE</t>
        </is>
      </c>
      <c r="B19" s="13" t="inlineStr">
        <is>
          <t>Dutch (Belgium)</t>
        </is>
      </c>
      <c r="C19" s="13" t="inlineStr">
        <is>
          <t>nl_BE</t>
        </is>
      </c>
    </row>
    <row r="20">
      <c r="A20" s="13" t="inlineStr">
        <is>
          <t>NL</t>
        </is>
      </c>
      <c r="B20" s="13" t="inlineStr">
        <is>
          <t>Dutch (Netherlands)</t>
        </is>
      </c>
      <c r="C20" s="13" t="inlineStr">
        <is>
          <t>nl_NL</t>
        </is>
      </c>
    </row>
    <row r="21">
      <c r="A21" s="13" t="inlineStr">
        <is>
          <t>GB</t>
        </is>
      </c>
      <c r="B21" s="13" t="inlineStr">
        <is>
          <t>English (United Kingdom)</t>
        </is>
      </c>
      <c r="C21" s="13" t="inlineStr">
        <is>
          <t>en_GB</t>
        </is>
      </c>
    </row>
    <row r="22">
      <c r="A22" s="13" t="inlineStr">
        <is>
          <t>FI</t>
        </is>
      </c>
      <c r="B22" s="13" t="inlineStr">
        <is>
          <t>Finnish (Finland)</t>
        </is>
      </c>
      <c r="C22" s="13" t="inlineStr">
        <is>
          <t>fi_FI</t>
        </is>
      </c>
    </row>
    <row r="23">
      <c r="A23" s="13" t="inlineStr">
        <is>
          <t>FR</t>
        </is>
      </c>
      <c r="B23" s="13" t="inlineStr">
        <is>
          <t>French (France)</t>
        </is>
      </c>
      <c r="C23" s="13" t="inlineStr">
        <is>
          <t>fr_FR</t>
        </is>
      </c>
    </row>
    <row r="24">
      <c r="A24" s="13" t="inlineStr">
        <is>
          <t>LU</t>
        </is>
      </c>
      <c r="B24" s="13" t="inlineStr">
        <is>
          <t>French (Luxembourg)</t>
        </is>
      </c>
      <c r="C24" s="13" t="inlineStr">
        <is>
          <t>fr_LU</t>
        </is>
      </c>
    </row>
    <row r="25">
      <c r="A25" s="13" t="inlineStr">
        <is>
          <t>CH</t>
        </is>
      </c>
      <c r="B25" s="13" t="inlineStr">
        <is>
          <t>French (Switzerland)</t>
        </is>
      </c>
      <c r="C25" s="13" t="inlineStr">
        <is>
          <t>fr_CH</t>
        </is>
      </c>
    </row>
    <row r="26">
      <c r="A26" s="13" t="inlineStr">
        <is>
          <t>AT</t>
        </is>
      </c>
      <c r="B26" s="13" t="inlineStr">
        <is>
          <t>German (Austria)</t>
        </is>
      </c>
      <c r="C26" s="13" t="inlineStr">
        <is>
          <t>de_AT</t>
        </is>
      </c>
    </row>
    <row r="27">
      <c r="A27" s="13" t="inlineStr">
        <is>
          <t>DE</t>
        </is>
      </c>
      <c r="B27" s="13" t="inlineStr">
        <is>
          <t>German (Germany)</t>
        </is>
      </c>
      <c r="C27" s="13" t="inlineStr">
        <is>
          <t>de_DE</t>
        </is>
      </c>
    </row>
    <row r="28">
      <c r="A28" s="13" t="inlineStr">
        <is>
          <t>GR</t>
        </is>
      </c>
      <c r="B28" s="13" t="inlineStr">
        <is>
          <t>Greek (Greece)</t>
        </is>
      </c>
      <c r="C28" s="13" t="inlineStr">
        <is>
          <t>el_GR</t>
        </is>
      </c>
    </row>
    <row r="29">
      <c r="A29" s="13" t="inlineStr">
        <is>
          <t>HU</t>
        </is>
      </c>
      <c r="B29" s="13" t="inlineStr">
        <is>
          <t>Hungarian (Hungary)</t>
        </is>
      </c>
      <c r="C29" s="13" t="inlineStr">
        <is>
          <t>hu_HU</t>
        </is>
      </c>
    </row>
    <row r="30">
      <c r="A30" s="13" t="inlineStr">
        <is>
          <t>ID</t>
        </is>
      </c>
      <c r="B30" s="13" t="inlineStr">
        <is>
          <t>Indonesian (Indonesia)</t>
        </is>
      </c>
      <c r="C30" s="13" t="inlineStr">
        <is>
          <t>id_ID</t>
        </is>
      </c>
    </row>
    <row r="31">
      <c r="A31" s="13" t="inlineStr">
        <is>
          <t>IT</t>
        </is>
      </c>
      <c r="B31" s="13" t="inlineStr">
        <is>
          <t>Italian (Italy)</t>
        </is>
      </c>
      <c r="C31" s="13" t="inlineStr">
        <is>
          <t>it_IT</t>
        </is>
      </c>
    </row>
    <row r="32">
      <c r="A32" s="13" t="inlineStr">
        <is>
          <t>JP</t>
        </is>
      </c>
      <c r="B32" s="13" t="inlineStr">
        <is>
          <t>Japanese (Japan)</t>
        </is>
      </c>
      <c r="C32" s="13" t="inlineStr">
        <is>
          <t>ja_JP</t>
        </is>
      </c>
    </row>
    <row r="33">
      <c r="A33" s="13" t="inlineStr">
        <is>
          <t>KP</t>
        </is>
      </c>
      <c r="B33" s="13" t="inlineStr">
        <is>
          <t>Korean (North Korea)</t>
        </is>
      </c>
      <c r="C33" s="13" t="inlineStr">
        <is>
          <t>ko_KP</t>
        </is>
      </c>
    </row>
    <row r="34">
      <c r="A34" s="13" t="inlineStr">
        <is>
          <t>KR</t>
        </is>
      </c>
      <c r="B34" s="13" t="inlineStr">
        <is>
          <t>Korean (South Korea)</t>
        </is>
      </c>
      <c r="C34" s="13" t="inlineStr">
        <is>
          <t>ko_KR</t>
        </is>
      </c>
    </row>
    <row r="35">
      <c r="A35" s="13" t="inlineStr">
        <is>
          <t>MY</t>
        </is>
      </c>
      <c r="B35" s="13" t="inlineStr">
        <is>
          <t>Malay (Malaysia)</t>
        </is>
      </c>
      <c r="C35" s="13" t="inlineStr">
        <is>
          <t>ms_MY</t>
        </is>
      </c>
    </row>
    <row r="36">
      <c r="A36" s="13" t="inlineStr">
        <is>
          <t>NO</t>
        </is>
      </c>
      <c r="B36" s="13" t="inlineStr">
        <is>
          <t>Norwegian (Norway)</t>
        </is>
      </c>
      <c r="C36" s="13" t="inlineStr">
        <is>
          <t>no_NO</t>
        </is>
      </c>
    </row>
    <row r="37">
      <c r="A37" s="13" t="inlineStr">
        <is>
          <t>PL</t>
        </is>
      </c>
      <c r="B37" s="13" t="inlineStr">
        <is>
          <t>Polish (Poland)</t>
        </is>
      </c>
      <c r="C37" s="13" t="inlineStr">
        <is>
          <t>pl_PL</t>
        </is>
      </c>
    </row>
    <row r="38">
      <c r="A38" s="13" t="inlineStr">
        <is>
          <t>BR</t>
        </is>
      </c>
      <c r="B38" s="13" t="inlineStr">
        <is>
          <t>Portuguese (Brazil)</t>
        </is>
      </c>
      <c r="C38" s="13" t="inlineStr">
        <is>
          <t>pt_BR</t>
        </is>
      </c>
    </row>
    <row r="39">
      <c r="A39" s="13" t="inlineStr">
        <is>
          <t>RO</t>
        </is>
      </c>
      <c r="B39" s="13" t="inlineStr">
        <is>
          <t>Romanian (Romania)</t>
        </is>
      </c>
      <c r="C39" s="13" t="inlineStr">
        <is>
          <t>ro_RO</t>
        </is>
      </c>
    </row>
    <row r="40">
      <c r="A40" s="13" t="inlineStr">
        <is>
          <t>RU</t>
        </is>
      </c>
      <c r="B40" s="13" t="inlineStr">
        <is>
          <t>Russian (Russian Federation)</t>
        </is>
      </c>
      <c r="C40" s="13" t="inlineStr">
        <is>
          <t>ru_RU</t>
        </is>
      </c>
    </row>
    <row r="41">
      <c r="A41" s="13" t="inlineStr">
        <is>
          <t>SK</t>
        </is>
      </c>
      <c r="B41" s="13" t="inlineStr">
        <is>
          <t>Slovak (Slovakia)</t>
        </is>
      </c>
      <c r="C41" s="13" t="inlineStr">
        <is>
          <t>sk_SK</t>
        </is>
      </c>
    </row>
    <row r="42">
      <c r="A42" s="13" t="inlineStr">
        <is>
          <t>SI</t>
        </is>
      </c>
      <c r="B42" s="13" t="inlineStr">
        <is>
          <t>Slovenian (Slovenia)</t>
        </is>
      </c>
      <c r="C42" s="13" t="inlineStr">
        <is>
          <t>sl_SI</t>
        </is>
      </c>
    </row>
    <row r="43">
      <c r="A43" s="13" t="inlineStr">
        <is>
          <t>AR</t>
        </is>
      </c>
      <c r="B43" s="13" t="inlineStr">
        <is>
          <t>Spanish (Argentina)</t>
        </is>
      </c>
      <c r="C43" s="13" t="inlineStr">
        <is>
          <t>es_AR</t>
        </is>
      </c>
    </row>
    <row r="44">
      <c r="A44" s="13" t="inlineStr">
        <is>
          <t>BO</t>
        </is>
      </c>
      <c r="B44" s="13" t="inlineStr">
        <is>
          <t>Spanish (Bolivia)</t>
        </is>
      </c>
      <c r="C44" s="13" t="inlineStr">
        <is>
          <t>es_BO</t>
        </is>
      </c>
    </row>
    <row r="45">
      <c r="A45" s="13" t="inlineStr">
        <is>
          <t>CL</t>
        </is>
      </c>
      <c r="B45" s="13" t="inlineStr">
        <is>
          <t>Spanish (Chile)</t>
        </is>
      </c>
      <c r="C45" s="13" t="inlineStr">
        <is>
          <t>es_CL</t>
        </is>
      </c>
    </row>
    <row r="46">
      <c r="A46" s="13" t="inlineStr">
        <is>
          <t>CO</t>
        </is>
      </c>
      <c r="B46" s="13" t="inlineStr">
        <is>
          <t>Spanish (Colombia)</t>
        </is>
      </c>
      <c r="C46" s="13" t="inlineStr">
        <is>
          <t>es_CO</t>
        </is>
      </c>
    </row>
    <row r="47">
      <c r="A47" s="13" t="inlineStr">
        <is>
          <t>CR</t>
        </is>
      </c>
      <c r="B47" s="13" t="inlineStr">
        <is>
          <t>Spanish (Costa Rica)</t>
        </is>
      </c>
      <c r="C47" s="13" t="inlineStr">
        <is>
          <t>es_CR</t>
        </is>
      </c>
    </row>
    <row r="48">
      <c r="A48" s="13" t="inlineStr">
        <is>
          <t>DO</t>
        </is>
      </c>
      <c r="B48" s="13" t="inlineStr">
        <is>
          <t>Spanish (Dominican Republic)</t>
        </is>
      </c>
      <c r="C48" s="13" t="inlineStr">
        <is>
          <t>es_DO</t>
        </is>
      </c>
    </row>
    <row r="49">
      <c r="A49" s="13" t="inlineStr">
        <is>
          <t>EC</t>
        </is>
      </c>
      <c r="B49" s="13" t="inlineStr">
        <is>
          <t>Spanish (Ecuador)</t>
        </is>
      </c>
      <c r="C49" s="13" t="inlineStr">
        <is>
          <t>es_EC</t>
        </is>
      </c>
    </row>
    <row r="50">
      <c r="A50" s="13" t="inlineStr">
        <is>
          <t>SV</t>
        </is>
      </c>
      <c r="B50" s="13" t="inlineStr">
        <is>
          <t>Spanish (El Salvador)</t>
        </is>
      </c>
      <c r="C50" s="13" t="inlineStr">
        <is>
          <t>es_SV</t>
        </is>
      </c>
    </row>
    <row r="51">
      <c r="A51" s="13" t="inlineStr">
        <is>
          <t>GT</t>
        </is>
      </c>
      <c r="B51" s="13" t="inlineStr">
        <is>
          <t>Spanish (Guatemala)</t>
        </is>
      </c>
      <c r="C51" s="13" t="inlineStr">
        <is>
          <t>es_GT</t>
        </is>
      </c>
    </row>
    <row r="52">
      <c r="A52" s="13" t="inlineStr">
        <is>
          <t>HN</t>
        </is>
      </c>
      <c r="B52" s="13" t="inlineStr">
        <is>
          <t>Spanish (Honduras)</t>
        </is>
      </c>
      <c r="C52" s="13" t="inlineStr">
        <is>
          <t>es_HN</t>
        </is>
      </c>
    </row>
    <row r="53">
      <c r="A53" s="13" t="inlineStr">
        <is>
          <t>MX</t>
        </is>
      </c>
      <c r="B53" s="13" t="inlineStr">
        <is>
          <t>Spanish (Mexico)</t>
        </is>
      </c>
      <c r="C53" s="13" t="inlineStr">
        <is>
          <t>es_MX</t>
        </is>
      </c>
    </row>
    <row r="54">
      <c r="A54" s="13" t="inlineStr">
        <is>
          <t>NI</t>
        </is>
      </c>
      <c r="B54" s="13" t="inlineStr">
        <is>
          <t>Spanish (Nicaragua)</t>
        </is>
      </c>
      <c r="C54" s="13" t="inlineStr">
        <is>
          <t>es_NI</t>
        </is>
      </c>
    </row>
    <row r="55">
      <c r="A55" s="13" t="inlineStr">
        <is>
          <t>PA</t>
        </is>
      </c>
      <c r="B55" s="13" t="inlineStr">
        <is>
          <t>Spanish (Panama)</t>
        </is>
      </c>
      <c r="C55" s="13" t="inlineStr">
        <is>
          <t>es_PA</t>
        </is>
      </c>
    </row>
    <row r="56">
      <c r="A56" s="13" t="inlineStr">
        <is>
          <t>PY</t>
        </is>
      </c>
      <c r="B56" s="13" t="inlineStr">
        <is>
          <t>Spanish (Paraguay)</t>
        </is>
      </c>
      <c r="C56" s="13" t="inlineStr">
        <is>
          <t>es_PY</t>
        </is>
      </c>
    </row>
    <row r="57">
      <c r="A57" s="13" t="inlineStr">
        <is>
          <t>PE</t>
        </is>
      </c>
      <c r="B57" s="13" t="inlineStr">
        <is>
          <t>Spanish (Peru)</t>
        </is>
      </c>
      <c r="C57" s="13" t="inlineStr">
        <is>
          <t>es_PE</t>
        </is>
      </c>
    </row>
    <row r="58">
      <c r="A58" s="13" t="inlineStr">
        <is>
          <t>PR</t>
        </is>
      </c>
      <c r="B58" s="13" t="inlineStr">
        <is>
          <t>Spanish (Puerto Rico)</t>
        </is>
      </c>
      <c r="C58" s="13" t="inlineStr">
        <is>
          <t>es_PR</t>
        </is>
      </c>
    </row>
    <row r="59">
      <c r="A59" s="13" t="inlineStr">
        <is>
          <t>ES</t>
        </is>
      </c>
      <c r="B59" s="13" t="inlineStr">
        <is>
          <t>Spanish (Spain)</t>
        </is>
      </c>
      <c r="C59" s="13" t="inlineStr">
        <is>
          <t>es_ES</t>
        </is>
      </c>
    </row>
    <row r="60">
      <c r="A60" s="13" t="inlineStr">
        <is>
          <t>UY</t>
        </is>
      </c>
      <c r="B60" s="13" t="inlineStr">
        <is>
          <t>Spanish (Uruguay)</t>
        </is>
      </c>
      <c r="C60" s="13" t="inlineStr">
        <is>
          <t>es_UY</t>
        </is>
      </c>
    </row>
    <row r="61">
      <c r="A61" s="13" t="inlineStr">
        <is>
          <t>VE</t>
        </is>
      </c>
      <c r="B61" s="13" t="inlineStr">
        <is>
          <t>Spanish (Venezuela)</t>
        </is>
      </c>
      <c r="C61" s="13" t="inlineStr">
        <is>
          <t>es_VE</t>
        </is>
      </c>
    </row>
    <row r="62">
      <c r="A62" s="13" t="inlineStr">
        <is>
          <t>SE</t>
        </is>
      </c>
      <c r="B62" s="13" t="inlineStr">
        <is>
          <t>Swedish (Sweden)</t>
        </is>
      </c>
      <c r="C62" s="13" t="inlineStr">
        <is>
          <t>sv_SE</t>
        </is>
      </c>
    </row>
    <row r="63">
      <c r="A63" s="13" t="inlineStr">
        <is>
          <t>TH</t>
        </is>
      </c>
      <c r="B63" s="13" t="inlineStr">
        <is>
          <t>Thai (Thailand)</t>
        </is>
      </c>
      <c r="C63" s="13" t="inlineStr">
        <is>
          <t>th_TH</t>
        </is>
      </c>
    </row>
    <row r="64">
      <c r="A64" s="13" t="inlineStr">
        <is>
          <t>TR</t>
        </is>
      </c>
      <c r="B64" s="13" t="inlineStr">
        <is>
          <t>Turkish (Turkey)</t>
        </is>
      </c>
      <c r="C64" s="13" t="inlineStr">
        <is>
          <t>tr_TR</t>
        </is>
      </c>
    </row>
    <row r="65">
      <c r="A65" s="13" t="inlineStr">
        <is>
          <t>UA</t>
        </is>
      </c>
      <c r="B65" s="13" t="inlineStr">
        <is>
          <t>Ukrainian (Ukraine)</t>
        </is>
      </c>
      <c r="C65" s="13" t="inlineStr">
        <is>
          <t>uk_UA</t>
        </is>
      </c>
    </row>
    <row r="66">
      <c r="A66" s="13" t="inlineStr">
        <is>
          <t>VN</t>
        </is>
      </c>
      <c r="B66" s="13" t="inlineStr">
        <is>
          <t>Vietnamese (Vietnam)</t>
        </is>
      </c>
      <c r="C66" s="13" t="inlineStr">
        <is>
          <t>vi_VN</t>
        </is>
      </c>
    </row>
  </sheetData>
  <autoFilter ref="A4:C6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6" customWidth="1" min="1" max="1"/>
    <col width="16" customWidth="1" min="2" max="2"/>
    <col width="13" customWidth="1" min="3" max="3"/>
    <col width="22" customWidth="1" min="4" max="4"/>
    <col width="14" customWidth="1" min="5" max="5"/>
  </cols>
  <sheetData>
    <row r="1">
      <c r="A1" s="9" t="inlineStr">
        <is>
          <t>Salary Map  -&gt;  ADP_Concur_SalaryMap</t>
        </is>
      </c>
    </row>
    <row r="2">
      <c r="A2" s="10" t="inlineStr">
        <is>
          <t>Snapshot of the live table taken 2026-09-29. Edit maps in the app, not here.</t>
        </is>
      </c>
    </row>
    <row r="4">
      <c r="A4" s="11" t="inlineStr">
        <is>
          <t>pay_grade_code</t>
        </is>
      </c>
      <c r="B4" s="11" t="inlineStr">
        <is>
          <t>pay_grade_desc</t>
        </is>
      </c>
      <c r="C4" s="11" t="inlineStr">
        <is>
          <t>expense_map</t>
        </is>
      </c>
      <c r="D4" s="11" t="inlineStr">
        <is>
          <t>travel_map</t>
        </is>
      </c>
      <c r="E4" s="11" t="inlineStr">
        <is>
          <t>invoice_map</t>
        </is>
      </c>
    </row>
    <row r="5">
      <c r="A5" s="13" t="inlineStr">
        <is>
          <t>S24</t>
        </is>
      </c>
      <c r="B5" s="13" t="inlineStr">
        <is>
          <t>FMG-S24</t>
        </is>
      </c>
      <c r="C5" s="13" t="inlineStr">
        <is>
          <t>Officers</t>
        </is>
      </c>
      <c r="D5" s="13" t="inlineStr">
        <is>
          <t>VIP</t>
        </is>
      </c>
      <c r="E5" s="13" t="inlineStr"/>
    </row>
    <row r="6">
      <c r="A6" s="13" t="inlineStr">
        <is>
          <t>S23</t>
        </is>
      </c>
      <c r="B6" s="13" t="inlineStr">
        <is>
          <t>FMG-S23</t>
        </is>
      </c>
      <c r="C6" s="13" t="inlineStr">
        <is>
          <t>Grade 20</t>
        </is>
      </c>
      <c r="D6" s="13" t="inlineStr">
        <is>
          <t>Senior Leadership US</t>
        </is>
      </c>
      <c r="E6" s="13" t="inlineStr"/>
    </row>
    <row r="7">
      <c r="A7" s="13" t="inlineStr">
        <is>
          <t>S22</t>
        </is>
      </c>
      <c r="B7" s="13" t="inlineStr">
        <is>
          <t>FMG-S22</t>
        </is>
      </c>
      <c r="C7" s="13" t="inlineStr">
        <is>
          <t>Grade 20</t>
        </is>
      </c>
      <c r="D7" s="13" t="inlineStr">
        <is>
          <t>Senior Leadership US</t>
        </is>
      </c>
      <c r="E7" s="13" t="inlineStr">
        <is>
          <t>999999999.99</t>
        </is>
      </c>
    </row>
    <row r="8">
      <c r="A8" s="13" t="inlineStr">
        <is>
          <t>S21</t>
        </is>
      </c>
      <c r="B8" s="13" t="inlineStr">
        <is>
          <t>FMG-S21</t>
        </is>
      </c>
      <c r="C8" s="13" t="inlineStr">
        <is>
          <t>Grade 20</t>
        </is>
      </c>
      <c r="D8" s="13" t="inlineStr">
        <is>
          <t>Senior Leadership US</t>
        </is>
      </c>
      <c r="E8" s="13" t="inlineStr">
        <is>
          <t>1000000</t>
        </is>
      </c>
    </row>
    <row r="9">
      <c r="A9" s="13" t="inlineStr">
        <is>
          <t>S20</t>
        </is>
      </c>
      <c r="B9" s="13" t="inlineStr">
        <is>
          <t>FMG-S20</t>
        </is>
      </c>
      <c r="C9" s="13" t="inlineStr">
        <is>
          <t>Grade 20</t>
        </is>
      </c>
      <c r="D9" s="13" t="inlineStr">
        <is>
          <t>Senior Leadership US</t>
        </is>
      </c>
      <c r="E9" s="13" t="inlineStr">
        <is>
          <t>100000</t>
        </is>
      </c>
    </row>
    <row r="10">
      <c r="A10" s="13" t="inlineStr">
        <is>
          <t>S19</t>
        </is>
      </c>
      <c r="B10" s="13" t="inlineStr">
        <is>
          <t>FMG-S19</t>
        </is>
      </c>
      <c r="C10" s="13" t="inlineStr">
        <is>
          <t>Default</t>
        </is>
      </c>
      <c r="D10" s="13" t="inlineStr">
        <is>
          <t>General US</t>
        </is>
      </c>
      <c r="E10" s="13" t="inlineStr">
        <is>
          <t>100000</t>
        </is>
      </c>
    </row>
    <row r="11">
      <c r="A11" s="13" t="inlineStr">
        <is>
          <t>S18</t>
        </is>
      </c>
      <c r="B11" s="13" t="inlineStr">
        <is>
          <t>FMG-S18</t>
        </is>
      </c>
      <c r="C11" s="13" t="inlineStr">
        <is>
          <t>Default</t>
        </is>
      </c>
      <c r="D11" s="13" t="inlineStr">
        <is>
          <t>General US</t>
        </is>
      </c>
      <c r="E11" s="13" t="inlineStr">
        <is>
          <t>25000</t>
        </is>
      </c>
    </row>
    <row r="12">
      <c r="A12" s="13" t="inlineStr">
        <is>
          <t>S17</t>
        </is>
      </c>
      <c r="B12" s="13" t="inlineStr">
        <is>
          <t>FMG-S17</t>
        </is>
      </c>
      <c r="C12" s="13" t="inlineStr">
        <is>
          <t>Default</t>
        </is>
      </c>
      <c r="D12" s="13" t="inlineStr">
        <is>
          <t>General US</t>
        </is>
      </c>
      <c r="E12" s="13" t="inlineStr">
        <is>
          <t>25000</t>
        </is>
      </c>
    </row>
    <row r="13">
      <c r="A13" s="13" t="inlineStr">
        <is>
          <t>S16</t>
        </is>
      </c>
      <c r="B13" s="13" t="inlineStr">
        <is>
          <t>FMG-S16</t>
        </is>
      </c>
      <c r="C13" s="13" t="inlineStr">
        <is>
          <t>Default</t>
        </is>
      </c>
      <c r="D13" s="13" t="inlineStr">
        <is>
          <t>General US</t>
        </is>
      </c>
      <c r="E13" s="13" t="inlineStr">
        <is>
          <t>25000</t>
        </is>
      </c>
    </row>
    <row r="14">
      <c r="A14" s="13" t="inlineStr">
        <is>
          <t>S15</t>
        </is>
      </c>
      <c r="B14" s="13" t="inlineStr">
        <is>
          <t>FMG-S15</t>
        </is>
      </c>
      <c r="C14" s="13" t="inlineStr">
        <is>
          <t>Default</t>
        </is>
      </c>
      <c r="D14" s="13" t="inlineStr">
        <is>
          <t>General US</t>
        </is>
      </c>
      <c r="E14" s="13" t="inlineStr">
        <is>
          <t>0</t>
        </is>
      </c>
    </row>
    <row r="15">
      <c r="A15" s="13" t="inlineStr">
        <is>
          <t>S14</t>
        </is>
      </c>
      <c r="B15" s="13" t="inlineStr">
        <is>
          <t>FMG-S14</t>
        </is>
      </c>
      <c r="C15" s="13" t="inlineStr">
        <is>
          <t>Default</t>
        </is>
      </c>
      <c r="D15" s="13" t="inlineStr">
        <is>
          <t>General US</t>
        </is>
      </c>
      <c r="E15" s="13" t="inlineStr">
        <is>
          <t>0</t>
        </is>
      </c>
    </row>
    <row r="16">
      <c r="A16" s="13" t="inlineStr">
        <is>
          <t>S13</t>
        </is>
      </c>
      <c r="B16" s="13" t="inlineStr">
        <is>
          <t>FMG-S13</t>
        </is>
      </c>
      <c r="C16" s="13" t="inlineStr">
        <is>
          <t>Default</t>
        </is>
      </c>
      <c r="D16" s="13" t="inlineStr">
        <is>
          <t>General US</t>
        </is>
      </c>
      <c r="E16" s="13" t="inlineStr">
        <is>
          <t>0</t>
        </is>
      </c>
    </row>
    <row r="17">
      <c r="A17" s="13" t="inlineStr">
        <is>
          <t>S12</t>
        </is>
      </c>
      <c r="B17" s="13" t="inlineStr">
        <is>
          <t>FMG-S12</t>
        </is>
      </c>
      <c r="C17" s="13" t="inlineStr">
        <is>
          <t>Default</t>
        </is>
      </c>
      <c r="D17" s="13" t="inlineStr">
        <is>
          <t>General US</t>
        </is>
      </c>
      <c r="E17" s="13" t="inlineStr">
        <is>
          <t>0</t>
        </is>
      </c>
    </row>
    <row r="18">
      <c r="A18" s="13" t="inlineStr">
        <is>
          <t>S11</t>
        </is>
      </c>
      <c r="B18" s="13" t="inlineStr">
        <is>
          <t>FMG-S11</t>
        </is>
      </c>
      <c r="C18" s="13" t="inlineStr">
        <is>
          <t>Default</t>
        </is>
      </c>
      <c r="D18" s="13" t="inlineStr">
        <is>
          <t>General US</t>
        </is>
      </c>
      <c r="E18" s="13" t="inlineStr">
        <is>
          <t>0</t>
        </is>
      </c>
    </row>
    <row r="19">
      <c r="A19" s="13" t="inlineStr">
        <is>
          <t>S10</t>
        </is>
      </c>
      <c r="B19" s="13" t="inlineStr">
        <is>
          <t>FMG-S10</t>
        </is>
      </c>
      <c r="C19" s="13" t="inlineStr">
        <is>
          <t>Default</t>
        </is>
      </c>
      <c r="D19" s="13" t="inlineStr">
        <is>
          <t>General US</t>
        </is>
      </c>
      <c r="E19" s="13" t="inlineStr">
        <is>
          <t>0</t>
        </is>
      </c>
    </row>
    <row r="20">
      <c r="A20" s="13" t="inlineStr">
        <is>
          <t>S09</t>
        </is>
      </c>
      <c r="B20" s="13" t="inlineStr">
        <is>
          <t>FMG-S09</t>
        </is>
      </c>
      <c r="C20" s="13" t="inlineStr">
        <is>
          <t>Default</t>
        </is>
      </c>
      <c r="D20" s="13" t="inlineStr">
        <is>
          <t>General US</t>
        </is>
      </c>
      <c r="E20" s="13" t="inlineStr">
        <is>
          <t>0</t>
        </is>
      </c>
    </row>
    <row r="21">
      <c r="A21" s="13" t="inlineStr">
        <is>
          <t>S08</t>
        </is>
      </c>
      <c r="B21" s="13" t="inlineStr">
        <is>
          <t>FMG-S08</t>
        </is>
      </c>
      <c r="C21" s="13" t="inlineStr">
        <is>
          <t>Default</t>
        </is>
      </c>
      <c r="D21" s="13" t="inlineStr">
        <is>
          <t>General US</t>
        </is>
      </c>
      <c r="E21" s="13" t="inlineStr">
        <is>
          <t>0</t>
        </is>
      </c>
    </row>
    <row r="22">
      <c r="A22" s="13" t="inlineStr">
        <is>
          <t>S07</t>
        </is>
      </c>
      <c r="B22" s="13" t="inlineStr">
        <is>
          <t>FMG-S07</t>
        </is>
      </c>
      <c r="C22" s="13" t="inlineStr">
        <is>
          <t>Default</t>
        </is>
      </c>
      <c r="D22" s="13" t="inlineStr">
        <is>
          <t>General US</t>
        </is>
      </c>
      <c r="E22" s="13" t="inlineStr">
        <is>
          <t>0</t>
        </is>
      </c>
    </row>
    <row r="23">
      <c r="A23" s="13" t="inlineStr">
        <is>
          <t>S06</t>
        </is>
      </c>
      <c r="B23" s="13" t="inlineStr">
        <is>
          <t>FMG-S06</t>
        </is>
      </c>
      <c r="C23" s="13" t="inlineStr">
        <is>
          <t>Default</t>
        </is>
      </c>
      <c r="D23" s="13" t="inlineStr">
        <is>
          <t>General US</t>
        </is>
      </c>
      <c r="E23" s="13" t="inlineStr">
        <is>
          <t>0</t>
        </is>
      </c>
    </row>
    <row r="24">
      <c r="A24" s="13" t="inlineStr">
        <is>
          <t>S05</t>
        </is>
      </c>
      <c r="B24" s="13" t="inlineStr">
        <is>
          <t>FMG-S05</t>
        </is>
      </c>
      <c r="C24" s="13" t="inlineStr">
        <is>
          <t>Default</t>
        </is>
      </c>
      <c r="D24" s="13" t="inlineStr">
        <is>
          <t>General US</t>
        </is>
      </c>
      <c r="E24" s="13" t="inlineStr">
        <is>
          <t>0</t>
        </is>
      </c>
    </row>
    <row r="25">
      <c r="A25" s="13" t="inlineStr">
        <is>
          <t>S04</t>
        </is>
      </c>
      <c r="B25" s="13" t="inlineStr">
        <is>
          <t>FMG-S04</t>
        </is>
      </c>
      <c r="C25" s="13" t="inlineStr">
        <is>
          <t>Default</t>
        </is>
      </c>
      <c r="D25" s="13" t="inlineStr">
        <is>
          <t>General US</t>
        </is>
      </c>
      <c r="E25" s="13" t="inlineStr">
        <is>
          <t>0</t>
        </is>
      </c>
    </row>
    <row r="26">
      <c r="A26" s="13" t="inlineStr">
        <is>
          <t>S03</t>
        </is>
      </c>
      <c r="B26" s="13" t="inlineStr">
        <is>
          <t>FMG-S03</t>
        </is>
      </c>
      <c r="C26" s="13" t="inlineStr">
        <is>
          <t>Default</t>
        </is>
      </c>
      <c r="D26" s="13" t="inlineStr">
        <is>
          <t>General US</t>
        </is>
      </c>
      <c r="E26" s="13" t="inlineStr">
        <is>
          <t>0</t>
        </is>
      </c>
    </row>
    <row r="27">
      <c r="A27" s="13" t="inlineStr">
        <is>
          <t>S02</t>
        </is>
      </c>
      <c r="B27" s="13" t="inlineStr">
        <is>
          <t>FMG-S02</t>
        </is>
      </c>
      <c r="C27" s="13" t="inlineStr">
        <is>
          <t>Default</t>
        </is>
      </c>
      <c r="D27" s="13" t="inlineStr">
        <is>
          <t>General US</t>
        </is>
      </c>
      <c r="E27" s="13" t="inlineStr">
        <is>
          <t>0</t>
        </is>
      </c>
    </row>
    <row r="28">
      <c r="A28" s="13" t="inlineStr">
        <is>
          <t>S01</t>
        </is>
      </c>
      <c r="B28" s="13" t="inlineStr">
        <is>
          <t>FMG-S01</t>
        </is>
      </c>
      <c r="C28" s="13" t="inlineStr">
        <is>
          <t>Default</t>
        </is>
      </c>
      <c r="D28" s="13" t="inlineStr">
        <is>
          <t>General US</t>
        </is>
      </c>
      <c r="E28" s="13" t="inlineStr">
        <is>
          <t>0</t>
        </is>
      </c>
    </row>
    <row r="29">
      <c r="A29" s="13" t="inlineStr">
        <is>
          <t>H08</t>
        </is>
      </c>
      <c r="B29" s="13" t="inlineStr">
        <is>
          <t>FMG-H08</t>
        </is>
      </c>
      <c r="C29" s="13" t="inlineStr">
        <is>
          <t>Default</t>
        </is>
      </c>
      <c r="D29" s="13" t="inlineStr">
        <is>
          <t>General US</t>
        </is>
      </c>
      <c r="E29" s="13" t="inlineStr">
        <is>
          <t>0</t>
        </is>
      </c>
    </row>
    <row r="30">
      <c r="A30" s="13" t="inlineStr">
        <is>
          <t>H07</t>
        </is>
      </c>
      <c r="B30" s="13" t="inlineStr">
        <is>
          <t>FMG-H07</t>
        </is>
      </c>
      <c r="C30" s="13" t="inlineStr">
        <is>
          <t>Default</t>
        </is>
      </c>
      <c r="D30" s="13" t="inlineStr">
        <is>
          <t>General US</t>
        </is>
      </c>
      <c r="E30" s="13" t="inlineStr">
        <is>
          <t>0</t>
        </is>
      </c>
    </row>
    <row r="31">
      <c r="A31" s="13" t="inlineStr">
        <is>
          <t>H06</t>
        </is>
      </c>
      <c r="B31" s="13" t="inlineStr">
        <is>
          <t>FMG-H06</t>
        </is>
      </c>
      <c r="C31" s="13" t="inlineStr">
        <is>
          <t>Default</t>
        </is>
      </c>
      <c r="D31" s="13" t="inlineStr">
        <is>
          <t>General US</t>
        </is>
      </c>
      <c r="E31" s="13" t="inlineStr">
        <is>
          <t>0</t>
        </is>
      </c>
    </row>
    <row r="32">
      <c r="A32" s="13" t="inlineStr">
        <is>
          <t>H05</t>
        </is>
      </c>
      <c r="B32" s="13" t="inlineStr">
        <is>
          <t>FMG-H05</t>
        </is>
      </c>
      <c r="C32" s="13" t="inlineStr">
        <is>
          <t>Default</t>
        </is>
      </c>
      <c r="D32" s="13" t="inlineStr">
        <is>
          <t>General US</t>
        </is>
      </c>
      <c r="E32" s="13" t="inlineStr">
        <is>
          <t>0</t>
        </is>
      </c>
    </row>
    <row r="33">
      <c r="A33" s="13" t="inlineStr">
        <is>
          <t>H04</t>
        </is>
      </c>
      <c r="B33" s="13" t="inlineStr">
        <is>
          <t>FMG-H04</t>
        </is>
      </c>
      <c r="C33" s="13" t="inlineStr">
        <is>
          <t>Default</t>
        </is>
      </c>
      <c r="D33" s="13" t="inlineStr">
        <is>
          <t>General US</t>
        </is>
      </c>
      <c r="E33" s="13" t="inlineStr">
        <is>
          <t>0</t>
        </is>
      </c>
    </row>
    <row r="34">
      <c r="A34" s="13" t="inlineStr">
        <is>
          <t>H0009</t>
        </is>
      </c>
      <c r="B34" s="13" t="inlineStr">
        <is>
          <t>FMG-H0009</t>
        </is>
      </c>
      <c r="C34" s="13" t="inlineStr">
        <is>
          <t>Default</t>
        </is>
      </c>
      <c r="D34" s="13" t="inlineStr">
        <is>
          <t>General US</t>
        </is>
      </c>
      <c r="E34" s="13" t="inlineStr">
        <is>
          <t>0</t>
        </is>
      </c>
    </row>
    <row r="35">
      <c r="A35" s="13" t="inlineStr">
        <is>
          <t>H0008</t>
        </is>
      </c>
      <c r="B35" s="13" t="inlineStr">
        <is>
          <t>FMG-H0008</t>
        </is>
      </c>
      <c r="C35" s="13" t="inlineStr">
        <is>
          <t>Default</t>
        </is>
      </c>
      <c r="D35" s="13" t="inlineStr">
        <is>
          <t>General US</t>
        </is>
      </c>
      <c r="E35" s="13" t="inlineStr">
        <is>
          <t>0</t>
        </is>
      </c>
    </row>
    <row r="36">
      <c r="A36" s="13" t="inlineStr">
        <is>
          <t>H0007</t>
        </is>
      </c>
      <c r="B36" s="13" t="inlineStr">
        <is>
          <t>FMG-H0007</t>
        </is>
      </c>
      <c r="C36" s="13" t="inlineStr">
        <is>
          <t>Default</t>
        </is>
      </c>
      <c r="D36" s="13" t="inlineStr">
        <is>
          <t>General US</t>
        </is>
      </c>
      <c r="E36" s="13" t="inlineStr">
        <is>
          <t>0</t>
        </is>
      </c>
    </row>
    <row r="37">
      <c r="A37" s="13" t="inlineStr">
        <is>
          <t>H0006</t>
        </is>
      </c>
      <c r="B37" s="13" t="inlineStr">
        <is>
          <t>FMG-H0006</t>
        </is>
      </c>
      <c r="C37" s="13" t="inlineStr">
        <is>
          <t>Default</t>
        </is>
      </c>
      <c r="D37" s="13" t="inlineStr">
        <is>
          <t>General US</t>
        </is>
      </c>
      <c r="E37" s="13" t="inlineStr">
        <is>
          <t>0</t>
        </is>
      </c>
    </row>
    <row r="38">
      <c r="A38" s="13" t="inlineStr">
        <is>
          <t>H0005</t>
        </is>
      </c>
      <c r="B38" s="13" t="inlineStr">
        <is>
          <t>FMG-H0005</t>
        </is>
      </c>
      <c r="C38" s="13" t="inlineStr">
        <is>
          <t>Default</t>
        </is>
      </c>
      <c r="D38" s="13" t="inlineStr">
        <is>
          <t>General US</t>
        </is>
      </c>
      <c r="E38" s="13" t="inlineStr">
        <is>
          <t>0</t>
        </is>
      </c>
    </row>
    <row r="39">
      <c r="A39" s="13" t="inlineStr">
        <is>
          <t>H0004</t>
        </is>
      </c>
      <c r="B39" s="13" t="inlineStr">
        <is>
          <t>FMG-H0004</t>
        </is>
      </c>
      <c r="C39" s="13" t="inlineStr">
        <is>
          <t>Default</t>
        </is>
      </c>
      <c r="D39" s="13" t="inlineStr">
        <is>
          <t>General US</t>
        </is>
      </c>
      <c r="E39" s="13" t="inlineStr">
        <is>
          <t>0</t>
        </is>
      </c>
    </row>
    <row r="40">
      <c r="A40" s="13" t="inlineStr">
        <is>
          <t>H0000</t>
        </is>
      </c>
      <c r="B40" s="13" t="inlineStr">
        <is>
          <t>FMG-H0000</t>
        </is>
      </c>
      <c r="C40" s="13" t="inlineStr">
        <is>
          <t>Default</t>
        </is>
      </c>
      <c r="D40" s="13" t="inlineStr">
        <is>
          <t>General US</t>
        </is>
      </c>
      <c r="E40" s="13" t="inlineStr">
        <is>
          <t>0</t>
        </is>
      </c>
    </row>
  </sheetData>
  <autoFilter ref="A4:E40"/>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13" customWidth="1" min="1" max="1"/>
    <col width="18" customWidth="1" min="2" max="2"/>
    <col width="22" customWidth="1" min="3" max="3"/>
    <col width="15" customWidth="1" min="4" max="4"/>
    <col width="38" customWidth="1" min="5" max="5"/>
  </cols>
  <sheetData>
    <row r="1">
      <c r="A1" s="9" t="inlineStr">
        <is>
          <t>Supervisor Map  -&gt;  ADP_Concur_SupervisorMap</t>
        </is>
      </c>
    </row>
    <row r="2">
      <c r="A2" s="10" t="inlineStr">
        <is>
          <t>Snapshot of the live table taken 2026-09-29. Edit maps in the app, not here.</t>
        </is>
      </c>
    </row>
    <row r="4">
      <c r="A4" s="11" t="inlineStr">
        <is>
          <t>file_number</t>
        </is>
      </c>
      <c r="B4" s="11" t="inlineStr">
        <is>
          <t>employee_name</t>
        </is>
      </c>
      <c r="C4" s="11" t="inlineStr">
        <is>
          <t>supervisor_name</t>
        </is>
      </c>
      <c r="D4" s="11" t="inlineStr">
        <is>
          <t>supervisor_id</t>
        </is>
      </c>
      <c r="E4" s="11" t="inlineStr">
        <is>
          <t>note</t>
        </is>
      </c>
    </row>
    <row r="5">
      <c r="A5" s="13" t="inlineStr">
        <is>
          <t>902688</t>
        </is>
      </c>
      <c r="B5" s="13" t="inlineStr">
        <is>
          <t>Bailey, Jason</t>
        </is>
      </c>
      <c r="C5" s="13" t="inlineStr">
        <is>
          <t>Kemenah, Greg</t>
        </is>
      </c>
      <c r="D5" s="13" t="inlineStr">
        <is>
          <t>211766</t>
        </is>
      </c>
      <c r="E5" s="13" t="inlineStr"/>
    </row>
    <row r="6">
      <c r="A6" s="13" t="inlineStr">
        <is>
          <t>209579</t>
        </is>
      </c>
      <c r="B6" s="13" t="inlineStr">
        <is>
          <t>Barry, Kirsten</t>
        </is>
      </c>
      <c r="C6" s="13" t="inlineStr">
        <is>
          <t>Rodriguez, Siobhan</t>
        </is>
      </c>
      <c r="D6" s="13" t="inlineStr">
        <is>
          <t>207588</t>
        </is>
      </c>
      <c r="E6" s="13" t="inlineStr"/>
    </row>
    <row r="7">
      <c r="A7" s="13" t="inlineStr">
        <is>
          <t>900848</t>
        </is>
      </c>
      <c r="B7" s="13" t="inlineStr">
        <is>
          <t>Finch, Jeffrey</t>
        </is>
      </c>
      <c r="C7" s="13" t="inlineStr">
        <is>
          <t>Erdogan, Mehmet</t>
        </is>
      </c>
      <c r="D7" s="13" t="inlineStr">
        <is>
          <t>207199</t>
        </is>
      </c>
      <c r="E7" s="13" t="inlineStr"/>
    </row>
    <row r="8">
      <c r="A8" s="13" t="inlineStr">
        <is>
          <t>902627</t>
        </is>
      </c>
      <c r="B8" s="13" t="inlineStr">
        <is>
          <t>Garber, Anne</t>
        </is>
      </c>
      <c r="C8" s="13" t="inlineStr">
        <is>
          <t>Bate, Natalie</t>
        </is>
      </c>
      <c r="D8" s="13" t="inlineStr">
        <is>
          <t>213037</t>
        </is>
      </c>
      <c r="E8" s="13" t="inlineStr"/>
    </row>
    <row r="9">
      <c r="A9" s="13" t="inlineStr">
        <is>
          <t>212052</t>
        </is>
      </c>
      <c r="B9" s="13" t="inlineStr">
        <is>
          <t>Moavero, Anthony</t>
        </is>
      </c>
      <c r="C9" s="13" t="inlineStr">
        <is>
          <t>Brower, James</t>
        </is>
      </c>
      <c r="D9" s="13" t="inlineStr">
        <is>
          <t>006769</t>
        </is>
      </c>
      <c r="E9" s="13" t="inlineStr"/>
    </row>
    <row r="10">
      <c r="A10" s="13" t="inlineStr">
        <is>
          <t>209181</t>
        </is>
      </c>
      <c r="B10" s="13" t="inlineStr">
        <is>
          <t>Oleksa, Laura</t>
        </is>
      </c>
      <c r="C10" s="13" t="inlineStr">
        <is>
          <t>Adewalure, Babatunde</t>
        </is>
      </c>
      <c r="D10" s="13" t="inlineStr">
        <is>
          <t>203011</t>
        </is>
      </c>
      <c r="E10" s="13" t="inlineStr"/>
    </row>
    <row r="11">
      <c r="A11" s="13" t="inlineStr">
        <is>
          <t>207709</t>
        </is>
      </c>
      <c r="B11" s="13" t="inlineStr">
        <is>
          <t>Bair, Teresa</t>
        </is>
      </c>
      <c r="C11" s="13" t="inlineStr"/>
      <c r="D11" s="13" t="inlineStr"/>
      <c r="E11" s="13" t="inlineStr">
        <is>
          <t>Top of food chain - blank supervisor</t>
        </is>
      </c>
    </row>
  </sheetData>
  <autoFilter ref="A4:E1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7"/>
  <sheetViews>
    <sheetView showGridLines="0" workbookViewId="0">
      <pane ySplit="4" topLeftCell="A5" activePane="bottomLeft" state="frozen"/>
      <selection pane="bottomLeft" activeCell="A1" sqref="A1"/>
    </sheetView>
  </sheetViews>
  <sheetFormatPr baseColWidth="8" defaultRowHeight="15"/>
  <cols>
    <col width="13" customWidth="1" min="1" max="1"/>
    <col width="25" customWidth="1" min="2" max="2"/>
    <col width="12" customWidth="1" min="3" max="3"/>
  </cols>
  <sheetData>
    <row r="1">
      <c r="A1" s="9" t="inlineStr">
        <is>
          <t>Invoice Exception Map  -&gt;  ADP_Concur_InvoiceMap</t>
        </is>
      </c>
    </row>
    <row r="2">
      <c r="A2" s="10" t="inlineStr">
        <is>
          <t>Snapshot of the live table taken 2026-09-29. Edit maps in the app, not here.</t>
        </is>
      </c>
    </row>
    <row r="4">
      <c r="A4" s="11" t="inlineStr">
        <is>
          <t>file_number</t>
        </is>
      </c>
      <c r="B4" s="11" t="inlineStr">
        <is>
          <t>employee_name</t>
        </is>
      </c>
      <c r="C4" s="11" t="inlineStr">
        <is>
          <t>access</t>
        </is>
      </c>
    </row>
    <row r="5">
      <c r="A5" s="13" t="inlineStr">
        <is>
          <t>007861</t>
        </is>
      </c>
      <c r="B5" s="13" t="inlineStr">
        <is>
          <t>Amy McGuire</t>
        </is>
      </c>
      <c r="C5" s="13" t="inlineStr">
        <is>
          <t>Y</t>
        </is>
      </c>
    </row>
    <row r="6">
      <c r="A6" s="13" t="inlineStr">
        <is>
          <t>203011</t>
        </is>
      </c>
      <c r="B6" s="13" t="inlineStr">
        <is>
          <t>Babatunde Adewalure</t>
        </is>
      </c>
      <c r="C6" s="13" t="inlineStr">
        <is>
          <t>Y</t>
        </is>
      </c>
    </row>
    <row r="7">
      <c r="A7" s="13" t="inlineStr">
        <is>
          <t>902437</t>
        </is>
      </c>
      <c r="B7" s="13" t="inlineStr">
        <is>
          <t>Bradley Masters</t>
        </is>
      </c>
      <c r="C7" s="13" t="inlineStr">
        <is>
          <t>N</t>
        </is>
      </c>
    </row>
    <row r="8">
      <c r="A8" s="13" t="inlineStr">
        <is>
          <t>007630</t>
        </is>
      </c>
      <c r="B8" s="13" t="inlineStr">
        <is>
          <t>Candi Morals</t>
        </is>
      </c>
      <c r="C8" s="13" t="inlineStr">
        <is>
          <t>Y</t>
        </is>
      </c>
    </row>
    <row r="9">
      <c r="A9" s="13" t="inlineStr">
        <is>
          <t>212478</t>
        </is>
      </c>
      <c r="B9" s="13" t="inlineStr">
        <is>
          <t>Carol Phillips</t>
        </is>
      </c>
      <c r="C9" s="13" t="inlineStr">
        <is>
          <t>N</t>
        </is>
      </c>
    </row>
    <row r="10">
      <c r="A10" s="13" t="inlineStr">
        <is>
          <t>213331</t>
        </is>
      </c>
      <c r="B10" s="13" t="inlineStr">
        <is>
          <t>Gregory Adams</t>
        </is>
      </c>
      <c r="C10" s="13" t="inlineStr">
        <is>
          <t>N</t>
        </is>
      </c>
    </row>
    <row r="11">
      <c r="A11" s="13" t="inlineStr">
        <is>
          <t>203036</t>
        </is>
      </c>
      <c r="B11" s="13" t="inlineStr">
        <is>
          <t>Jean-Philippe Duvillard</t>
        </is>
      </c>
      <c r="C11" s="13" t="inlineStr">
        <is>
          <t>Y</t>
        </is>
      </c>
    </row>
    <row r="12">
      <c r="A12" s="13" t="inlineStr">
        <is>
          <t>210018</t>
        </is>
      </c>
      <c r="B12" s="13" t="inlineStr">
        <is>
          <t>Jeff Raese</t>
        </is>
      </c>
      <c r="C12" s="13" t="inlineStr">
        <is>
          <t>N</t>
        </is>
      </c>
    </row>
    <row r="13">
      <c r="A13" s="13" t="inlineStr">
        <is>
          <t>212146</t>
        </is>
      </c>
      <c r="B13" s="13" t="inlineStr">
        <is>
          <t>Joyce Spilza</t>
        </is>
      </c>
      <c r="C13" s="13" t="inlineStr">
        <is>
          <t>Y</t>
        </is>
      </c>
    </row>
    <row r="14">
      <c r="A14" s="13" t="inlineStr">
        <is>
          <t>209579</t>
        </is>
      </c>
      <c r="B14" s="13" t="inlineStr">
        <is>
          <t>Kirsten Barry</t>
        </is>
      </c>
      <c r="C14" s="13" t="inlineStr">
        <is>
          <t>N</t>
        </is>
      </c>
    </row>
    <row r="15">
      <c r="A15" s="13" t="inlineStr">
        <is>
          <t>902013</t>
        </is>
      </c>
      <c r="B15" s="13" t="inlineStr">
        <is>
          <t>Kugagini Thineshkumar</t>
        </is>
      </c>
      <c r="C15" s="13" t="inlineStr">
        <is>
          <t>Y</t>
        </is>
      </c>
    </row>
    <row r="16">
      <c r="A16" s="13" t="inlineStr">
        <is>
          <t>207199</t>
        </is>
      </c>
      <c r="B16" s="13" t="inlineStr">
        <is>
          <t>Mehmet Erdogan</t>
        </is>
      </c>
      <c r="C16" s="13" t="inlineStr">
        <is>
          <t>Y</t>
        </is>
      </c>
    </row>
    <row r="17">
      <c r="A17" s="13" t="inlineStr">
        <is>
          <t>213333</t>
        </is>
      </c>
      <c r="B17" s="13" t="inlineStr">
        <is>
          <t>Michael Beasley</t>
        </is>
      </c>
      <c r="C17" s="13" t="inlineStr">
        <is>
          <t>N</t>
        </is>
      </c>
    </row>
    <row r="18">
      <c r="A18" s="13" t="inlineStr">
        <is>
          <t>212418</t>
        </is>
      </c>
      <c r="B18" s="13" t="inlineStr">
        <is>
          <t>Michael Jones</t>
        </is>
      </c>
      <c r="C18" s="13" t="inlineStr">
        <is>
          <t>N</t>
        </is>
      </c>
    </row>
    <row r="19">
      <c r="A19" s="13" t="inlineStr">
        <is>
          <t>901943</t>
        </is>
      </c>
      <c r="B19" s="13" t="inlineStr">
        <is>
          <t>Richard Taiclet</t>
        </is>
      </c>
      <c r="C19" s="13" t="inlineStr">
        <is>
          <t>Y</t>
        </is>
      </c>
    </row>
    <row r="20">
      <c r="A20" s="13" t="inlineStr">
        <is>
          <t>213174</t>
        </is>
      </c>
      <c r="B20" s="13" t="inlineStr">
        <is>
          <t>Robert Schortz</t>
        </is>
      </c>
      <c r="C20" s="13" t="inlineStr">
        <is>
          <t>Y</t>
        </is>
      </c>
    </row>
    <row r="21">
      <c r="A21" s="13" t="inlineStr">
        <is>
          <t>201688</t>
        </is>
      </c>
      <c r="B21" s="13" t="inlineStr">
        <is>
          <t>Kim Ashley</t>
        </is>
      </c>
      <c r="C21" s="13" t="inlineStr">
        <is>
          <t>Y</t>
        </is>
      </c>
    </row>
    <row r="22">
      <c r="A22" s="13" t="inlineStr">
        <is>
          <t>210102</t>
        </is>
      </c>
      <c r="B22" s="13" t="inlineStr">
        <is>
          <t>Nathan Bird</t>
        </is>
      </c>
      <c r="C22" s="13" t="inlineStr">
        <is>
          <t>N</t>
        </is>
      </c>
    </row>
    <row r="23">
      <c r="A23" s="13" t="inlineStr">
        <is>
          <t>900848</t>
        </is>
      </c>
      <c r="B23" s="13" t="inlineStr">
        <is>
          <t>Jeff Finch</t>
        </is>
      </c>
      <c r="C23" s="13" t="inlineStr">
        <is>
          <t>Y</t>
        </is>
      </c>
    </row>
    <row r="24">
      <c r="A24" s="13" t="inlineStr">
        <is>
          <t>203967</t>
        </is>
      </c>
      <c r="B24" s="13" t="inlineStr">
        <is>
          <t>Timo Klohn</t>
        </is>
      </c>
      <c r="C24" s="13" t="inlineStr">
        <is>
          <t>Y</t>
        </is>
      </c>
    </row>
    <row r="25">
      <c r="A25" s="13" t="inlineStr">
        <is>
          <t>212119</t>
        </is>
      </c>
      <c r="B25" s="13" t="inlineStr">
        <is>
          <t>Alex Palicki</t>
        </is>
      </c>
      <c r="C25" s="13" t="inlineStr">
        <is>
          <t>Y</t>
        </is>
      </c>
    </row>
    <row r="26">
      <c r="A26" s="13" t="inlineStr">
        <is>
          <t>207487</t>
        </is>
      </c>
      <c r="B26" s="13" t="inlineStr">
        <is>
          <t>Wayne Rogers</t>
        </is>
      </c>
      <c r="C26" s="13" t="inlineStr">
        <is>
          <t>Y</t>
        </is>
      </c>
    </row>
    <row r="27">
      <c r="A27" s="13" t="inlineStr">
        <is>
          <t>212705</t>
        </is>
      </c>
      <c r="B27" s="13" t="inlineStr">
        <is>
          <t>Bonnetta Warren</t>
        </is>
      </c>
      <c r="C27" s="13" t="inlineStr">
        <is>
          <t>Y</t>
        </is>
      </c>
    </row>
  </sheetData>
  <autoFilter ref="A4:C2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27" customWidth="1" min="1" max="1"/>
    <col width="20" customWidth="1" min="2" max="2"/>
    <col width="21" customWidth="1" min="3" max="3"/>
    <col width="33" customWidth="1" min="4" max="4"/>
    <col width="20" customWidth="1" min="5" max="5"/>
    <col width="13" customWidth="1" min="6" max="6"/>
    <col width="15" customWidth="1" min="7" max="7"/>
  </cols>
  <sheetData>
    <row r="1">
      <c r="A1" s="9" t="inlineStr">
        <is>
          <t>UKG Company Map  -&gt;  ADP_Concur_CompanyMap</t>
        </is>
      </c>
    </row>
    <row r="2">
      <c r="A2" s="10" t="inlineStr">
        <is>
          <t>Snapshot of the live table taken 2026-09-29. Edit maps in the app, not here.</t>
        </is>
      </c>
    </row>
    <row r="4">
      <c r="A4" s="11" t="inlineStr">
        <is>
          <t>site_location</t>
        </is>
      </c>
      <c r="B4" s="11" t="inlineStr">
        <is>
          <t>site_location_code</t>
        </is>
      </c>
      <c r="C4" s="11" t="inlineStr">
        <is>
          <t>concur_company_code</t>
        </is>
      </c>
      <c r="D4" s="11" t="inlineStr">
        <is>
          <t>concur_company_desc</t>
        </is>
      </c>
      <c r="E4" s="11" t="inlineStr">
        <is>
          <t>expense_group_code</t>
        </is>
      </c>
      <c r="F4" s="11" t="inlineStr">
        <is>
          <t>ledger_code</t>
        </is>
      </c>
      <c r="G4" s="11" t="inlineStr">
        <is>
          <t>custom_5_code</t>
        </is>
      </c>
    </row>
    <row r="5">
      <c r="A5" s="13" t="inlineStr">
        <is>
          <t>ASI Raymond China</t>
        </is>
      </c>
      <c r="B5" s="13" t="inlineStr">
        <is>
          <t>0083</t>
        </is>
      </c>
      <c r="C5" s="13" t="inlineStr">
        <is>
          <t>0083</t>
        </is>
      </c>
      <c r="D5" s="13" t="inlineStr">
        <is>
          <t>Raymond China</t>
        </is>
      </c>
      <c r="E5" s="13" t="inlineStr">
        <is>
          <t>0083</t>
        </is>
      </c>
      <c r="F5" s="13" t="inlineStr">
        <is>
          <t>0083</t>
        </is>
      </c>
      <c r="G5" s="13" t="inlineStr">
        <is>
          <t>0083</t>
        </is>
      </c>
    </row>
    <row r="6">
      <c r="A6" s="13" t="inlineStr">
        <is>
          <t>NGP China</t>
        </is>
      </c>
      <c r="B6" s="13" t="inlineStr">
        <is>
          <t>0079</t>
        </is>
      </c>
      <c r="C6" s="13" t="inlineStr">
        <is>
          <t>0079</t>
        </is>
      </c>
      <c r="D6" s="13" t="inlineStr">
        <is>
          <t>NP China</t>
        </is>
      </c>
      <c r="E6" s="13" t="inlineStr">
        <is>
          <t>0079</t>
        </is>
      </c>
      <c r="F6" s="13" t="inlineStr">
        <is>
          <t>0079</t>
        </is>
      </c>
      <c r="G6" s="13" t="inlineStr">
        <is>
          <t>0079</t>
        </is>
      </c>
    </row>
    <row r="7">
      <c r="A7" s="13" t="inlineStr">
        <is>
          <t>Barnes Acquisition Group</t>
        </is>
      </c>
      <c r="B7" s="13" t="inlineStr">
        <is>
          <t>0400</t>
        </is>
      </c>
      <c r="C7" s="13" t="inlineStr">
        <is>
          <t>0400</t>
        </is>
      </c>
      <c r="D7" s="13" t="inlineStr"/>
      <c r="E7" s="13" t="inlineStr">
        <is>
          <t>0400</t>
        </is>
      </c>
      <c r="F7" s="13" t="inlineStr">
        <is>
          <t>0400</t>
        </is>
      </c>
      <c r="G7" s="13" t="inlineStr">
        <is>
          <t>0400</t>
        </is>
      </c>
    </row>
    <row r="8">
      <c r="A8" s="13" t="inlineStr">
        <is>
          <t>ASI Raymond France</t>
        </is>
      </c>
      <c r="B8" s="13" t="inlineStr">
        <is>
          <t>127</t>
        </is>
      </c>
      <c r="C8" s="13" t="inlineStr">
        <is>
          <t>0055</t>
        </is>
      </c>
      <c r="D8" s="13" t="inlineStr">
        <is>
          <t>Raymond France</t>
        </is>
      </c>
      <c r="E8" s="13" t="inlineStr">
        <is>
          <t>0055</t>
        </is>
      </c>
      <c r="F8" s="13" t="inlineStr">
        <is>
          <t>0055</t>
        </is>
      </c>
      <c r="G8" s="13" t="inlineStr">
        <is>
          <t>0055</t>
        </is>
      </c>
    </row>
    <row r="9">
      <c r="A9" s="13" t="inlineStr">
        <is>
          <t>ASI Raymond UK</t>
        </is>
      </c>
      <c r="B9" s="13" t="inlineStr">
        <is>
          <t>0035</t>
        </is>
      </c>
      <c r="C9" s="13" t="inlineStr">
        <is>
          <t>0035</t>
        </is>
      </c>
      <c r="D9" s="13" t="inlineStr">
        <is>
          <t>Raymond - UK</t>
        </is>
      </c>
      <c r="E9" s="13" t="inlineStr">
        <is>
          <t>0035</t>
        </is>
      </c>
      <c r="F9" s="13" t="inlineStr">
        <is>
          <t>0035</t>
        </is>
      </c>
      <c r="G9" s="13" t="inlineStr">
        <is>
          <t>0035</t>
        </is>
      </c>
    </row>
    <row r="10">
      <c r="A10" s="13" t="inlineStr">
        <is>
          <t>NGP IGS UK</t>
        </is>
      </c>
      <c r="B10" s="13" t="inlineStr">
        <is>
          <t>0218</t>
        </is>
      </c>
      <c r="C10" s="13" t="inlineStr">
        <is>
          <t>0218</t>
        </is>
      </c>
      <c r="D10" s="13" t="inlineStr">
        <is>
          <t>Industrial Gas Springs Ltd (UK)</t>
        </is>
      </c>
      <c r="E10" s="13" t="inlineStr">
        <is>
          <t>0218</t>
        </is>
      </c>
      <c r="F10" s="13" t="inlineStr">
        <is>
          <t>0218</t>
        </is>
      </c>
      <c r="G10" s="13" t="inlineStr">
        <is>
          <t>0218</t>
        </is>
      </c>
    </row>
    <row r="11">
      <c r="A11" s="13" t="inlineStr">
        <is>
          <t>NGP United Kingdom</t>
        </is>
      </c>
      <c r="B11" s="13" t="inlineStr">
        <is>
          <t>0219</t>
        </is>
      </c>
      <c r="C11" s="13" t="inlineStr">
        <is>
          <t>0114</t>
        </is>
      </c>
      <c r="D11" s="13" t="inlineStr">
        <is>
          <t>Industrial Gas Springs Ltd (UK)</t>
        </is>
      </c>
      <c r="E11" s="13" t="inlineStr">
        <is>
          <t>0114</t>
        </is>
      </c>
      <c r="F11" s="13" t="inlineStr">
        <is>
          <t>0114</t>
        </is>
      </c>
      <c r="G11" s="13" t="inlineStr">
        <is>
          <t>0114</t>
        </is>
      </c>
    </row>
    <row r="12">
      <c r="A12" s="13" t="inlineStr">
        <is>
          <t>NGP India</t>
        </is>
      </c>
      <c r="B12" s="13" t="inlineStr">
        <is>
          <t>176</t>
        </is>
      </c>
      <c r="C12" s="13" t="inlineStr">
        <is>
          <t>26</t>
        </is>
      </c>
      <c r="D12" s="13" t="inlineStr">
        <is>
          <t>NP India</t>
        </is>
      </c>
      <c r="E12" s="13" t="inlineStr">
        <is>
          <t>26</t>
        </is>
      </c>
      <c r="F12" s="13" t="inlineStr">
        <is>
          <t>26</t>
        </is>
      </c>
      <c r="G12" s="13" t="inlineStr">
        <is>
          <t>0026</t>
        </is>
      </c>
    </row>
    <row r="13">
      <c r="A13" s="13" t="inlineStr">
        <is>
          <t>MAI Maenner Japan</t>
        </is>
      </c>
      <c r="B13" s="13" t="inlineStr">
        <is>
          <t>406</t>
        </is>
      </c>
      <c r="C13" s="13" t="inlineStr">
        <is>
          <t>0406</t>
        </is>
      </c>
      <c r="D13" s="13" t="inlineStr">
        <is>
          <t>Männer Japan</t>
        </is>
      </c>
      <c r="E13" s="13" t="inlineStr">
        <is>
          <t>0406</t>
        </is>
      </c>
      <c r="F13" s="13" t="inlineStr">
        <is>
          <t>0406</t>
        </is>
      </c>
      <c r="G13" s="13" t="inlineStr">
        <is>
          <t>0406</t>
        </is>
      </c>
    </row>
    <row r="14">
      <c r="A14" s="13" t="inlineStr">
        <is>
          <t>SMS Japan</t>
        </is>
      </c>
      <c r="B14" s="13" t="inlineStr">
        <is>
          <t>0463</t>
        </is>
      </c>
      <c r="C14" s="13" t="inlineStr">
        <is>
          <t>0463</t>
        </is>
      </c>
      <c r="D14" s="13" t="inlineStr">
        <is>
          <t>SMS Japan</t>
        </is>
      </c>
      <c r="E14" s="13" t="inlineStr">
        <is>
          <t>0463</t>
        </is>
      </c>
      <c r="F14" s="13" t="inlineStr">
        <is>
          <t>0463</t>
        </is>
      </c>
      <c r="G14" s="13" t="inlineStr">
        <is>
          <t>0463</t>
        </is>
      </c>
    </row>
    <row r="15">
      <c r="A15" s="13" t="inlineStr">
        <is>
          <t>NGP Korea</t>
        </is>
      </c>
      <c r="B15" s="13" t="inlineStr">
        <is>
          <t>179</t>
        </is>
      </c>
      <c r="C15" s="13" t="inlineStr">
        <is>
          <t>34</t>
        </is>
      </c>
      <c r="D15" s="13" t="inlineStr">
        <is>
          <t>NP Korea</t>
        </is>
      </c>
      <c r="E15" s="13" t="inlineStr">
        <is>
          <t>34</t>
        </is>
      </c>
      <c r="F15" s="13" t="inlineStr">
        <is>
          <t>34</t>
        </is>
      </c>
      <c r="G15" s="13" t="inlineStr">
        <is>
          <t>0034</t>
        </is>
      </c>
    </row>
    <row r="16">
      <c r="A16" s="13" t="inlineStr">
        <is>
          <t>Raymond Distribution – MX</t>
        </is>
      </c>
      <c r="B16" s="13" t="inlineStr">
        <is>
          <t>0084</t>
        </is>
      </c>
      <c r="C16" s="13" t="inlineStr">
        <is>
          <t>0084</t>
        </is>
      </c>
      <c r="D16" s="13" t="inlineStr">
        <is>
          <t>Raymond Mexico</t>
        </is>
      </c>
      <c r="E16" s="13" t="inlineStr">
        <is>
          <t>0084</t>
        </is>
      </c>
      <c r="F16" s="13" t="inlineStr">
        <is>
          <t>0084</t>
        </is>
      </c>
      <c r="G16" s="13" t="inlineStr">
        <is>
          <t>0084</t>
        </is>
      </c>
    </row>
    <row r="17">
      <c r="A17" s="13" t="inlineStr">
        <is>
          <t>MX Nitrogen Division</t>
        </is>
      </c>
      <c r="B17" s="13" t="inlineStr">
        <is>
          <t>0075</t>
        </is>
      </c>
      <c r="C17" s="13" t="inlineStr">
        <is>
          <t>0075</t>
        </is>
      </c>
      <c r="D17" s="13" t="inlineStr">
        <is>
          <t>NGP Mexico</t>
        </is>
      </c>
      <c r="E17" s="13" t="inlineStr">
        <is>
          <t>0075</t>
        </is>
      </c>
      <c r="F17" s="13" t="inlineStr">
        <is>
          <t>0075</t>
        </is>
      </c>
      <c r="G17" s="13" t="inlineStr">
        <is>
          <t>0075</t>
        </is>
      </c>
    </row>
    <row r="18">
      <c r="A18" s="13" t="inlineStr">
        <is>
          <t>NGP Sweden</t>
        </is>
      </c>
      <c r="B18" s="13" t="inlineStr">
        <is>
          <t>0077</t>
        </is>
      </c>
      <c r="C18" s="13" t="inlineStr">
        <is>
          <t>0077</t>
        </is>
      </c>
      <c r="D18" s="13" t="inlineStr">
        <is>
          <t>Stromsholmen</t>
        </is>
      </c>
      <c r="E18" s="13" t="inlineStr">
        <is>
          <t>0077</t>
        </is>
      </c>
      <c r="F18" s="13" t="inlineStr">
        <is>
          <t>0077</t>
        </is>
      </c>
      <c r="G18" s="13" t="inlineStr">
        <is>
          <t>0077</t>
        </is>
      </c>
    </row>
    <row r="19">
      <c r="A19" s="13" t="inlineStr">
        <is>
          <t>NGP Sweden</t>
        </is>
      </c>
      <c r="B19" s="13" t="inlineStr">
        <is>
          <t>177</t>
        </is>
      </c>
      <c r="C19" s="13" t="inlineStr">
        <is>
          <t>0077</t>
        </is>
      </c>
      <c r="D19" s="13" t="inlineStr">
        <is>
          <t>Stromsholmen</t>
        </is>
      </c>
      <c r="E19" s="13" t="inlineStr">
        <is>
          <t>0077</t>
        </is>
      </c>
      <c r="F19" s="13" t="inlineStr">
        <is>
          <t>0077</t>
        </is>
      </c>
      <c r="G19" s="13" t="inlineStr">
        <is>
          <t>0077</t>
        </is>
      </c>
    </row>
    <row r="20">
      <c r="A20" s="13" t="inlineStr">
        <is>
          <t>ASI Raymond Singapore</t>
        </is>
      </c>
      <c r="B20" s="13" t="inlineStr">
        <is>
          <t>0057</t>
        </is>
      </c>
      <c r="C20" s="13" t="inlineStr">
        <is>
          <t>0057</t>
        </is>
      </c>
      <c r="D20" s="13" t="inlineStr">
        <is>
          <t>Raymond Singapore</t>
        </is>
      </c>
      <c r="E20" s="13" t="inlineStr">
        <is>
          <t>0057</t>
        </is>
      </c>
      <c r="F20" s="13" t="inlineStr">
        <is>
          <t>0057</t>
        </is>
      </c>
      <c r="G20" s="13" t="inlineStr">
        <is>
          <t>0057</t>
        </is>
      </c>
    </row>
  </sheetData>
  <autoFilter ref="A4:G2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5" customWidth="1" min="3" max="3"/>
    <col width="25" customWidth="1" min="4" max="4"/>
  </cols>
  <sheetData>
    <row r="1">
      <c r="A1" s="9" t="inlineStr">
        <is>
          <t>Country Map (right block)  -&gt;  ADP_Concur_CountryRef</t>
        </is>
      </c>
    </row>
    <row r="2">
      <c r="A2" s="10" t="inlineStr">
        <is>
          <t>Snapshot of the live table taken 2026-09-29. Edit maps in the app, not here.</t>
        </is>
      </c>
    </row>
    <row r="4">
      <c r="A4" s="11" t="inlineStr">
        <is>
          <t>country_code</t>
        </is>
      </c>
      <c r="B4" s="11" t="inlineStr">
        <is>
          <t>country_name</t>
        </is>
      </c>
      <c r="C4" s="11" t="inlineStr">
        <is>
          <t>currency_code</t>
        </is>
      </c>
      <c r="D4" s="11" t="inlineStr">
        <is>
          <t>currency_name</t>
        </is>
      </c>
    </row>
    <row r="5">
      <c r="A5" s="13" t="inlineStr">
        <is>
          <t>US</t>
        </is>
      </c>
      <c r="B5" s="13" t="inlineStr">
        <is>
          <t>United States</t>
        </is>
      </c>
      <c r="C5" s="13" t="inlineStr">
        <is>
          <t>USD</t>
        </is>
      </c>
      <c r="D5" s="13" t="inlineStr">
        <is>
          <t>US Dollar</t>
        </is>
      </c>
    </row>
    <row r="6">
      <c r="A6" s="13" t="inlineStr">
        <is>
          <t>CN</t>
        </is>
      </c>
      <c r="B6" s="13" t="inlineStr">
        <is>
          <t>China</t>
        </is>
      </c>
      <c r="C6" s="13" t="inlineStr">
        <is>
          <t>CNY</t>
        </is>
      </c>
      <c r="D6" s="13" t="inlineStr">
        <is>
          <t>Chinese Yuan (Renminbi)</t>
        </is>
      </c>
    </row>
    <row r="7">
      <c r="A7" s="13" t="inlineStr">
        <is>
          <t>DE</t>
        </is>
      </c>
      <c r="B7" s="13" t="inlineStr">
        <is>
          <t>Germany</t>
        </is>
      </c>
      <c r="C7" s="13" t="inlineStr">
        <is>
          <t>EUR</t>
        </is>
      </c>
      <c r="D7" s="13" t="inlineStr">
        <is>
          <t>Euro</t>
        </is>
      </c>
    </row>
    <row r="8">
      <c r="A8" s="13" t="inlineStr">
        <is>
          <t>ES</t>
        </is>
      </c>
      <c r="B8" s="13" t="inlineStr">
        <is>
          <t>Spail</t>
        </is>
      </c>
      <c r="C8" s="13" t="inlineStr">
        <is>
          <t>EUR</t>
        </is>
      </c>
      <c r="D8" s="13" t="inlineStr">
        <is>
          <t>Euro</t>
        </is>
      </c>
    </row>
    <row r="9">
      <c r="A9" s="13" t="inlineStr">
        <is>
          <t>FR</t>
        </is>
      </c>
      <c r="B9" s="13" t="inlineStr">
        <is>
          <t>France</t>
        </is>
      </c>
      <c r="C9" s="13" t="inlineStr">
        <is>
          <t>EUR</t>
        </is>
      </c>
      <c r="D9" s="13" t="inlineStr">
        <is>
          <t>Euro</t>
        </is>
      </c>
    </row>
    <row r="10">
      <c r="A10" s="13" t="inlineStr">
        <is>
          <t>GB</t>
        </is>
      </c>
      <c r="B10" s="13" t="inlineStr">
        <is>
          <t>United Kingdom</t>
        </is>
      </c>
      <c r="C10" s="13" t="inlineStr">
        <is>
          <t>GBP</t>
        </is>
      </c>
      <c r="D10" s="13" t="inlineStr">
        <is>
          <t>Pound Sterling</t>
        </is>
      </c>
    </row>
    <row r="11">
      <c r="A11" s="13" t="inlineStr">
        <is>
          <t>IN</t>
        </is>
      </c>
      <c r="B11" s="13" t="inlineStr">
        <is>
          <t>India</t>
        </is>
      </c>
      <c r="C11" s="13" t="inlineStr">
        <is>
          <t>INR</t>
        </is>
      </c>
      <c r="D11" s="13" t="inlineStr">
        <is>
          <t>Indian Rupee</t>
        </is>
      </c>
    </row>
    <row r="12">
      <c r="A12" s="13" t="inlineStr">
        <is>
          <t>KR</t>
        </is>
      </c>
      <c r="B12" s="13" t="inlineStr">
        <is>
          <t>South Korea</t>
        </is>
      </c>
      <c r="C12" s="13" t="inlineStr">
        <is>
          <t>KRW</t>
        </is>
      </c>
      <c r="D12" s="13" t="inlineStr">
        <is>
          <t>South Korean Won</t>
        </is>
      </c>
    </row>
    <row r="13">
      <c r="A13" s="13" t="inlineStr">
        <is>
          <t>MX</t>
        </is>
      </c>
      <c r="B13" s="13" t="inlineStr">
        <is>
          <t>Mexico</t>
        </is>
      </c>
      <c r="C13" s="13" t="inlineStr">
        <is>
          <t>MXN</t>
        </is>
      </c>
      <c r="D13" s="13" t="inlineStr">
        <is>
          <t>Mexican Peso</t>
        </is>
      </c>
    </row>
    <row r="14">
      <c r="A14" s="13" t="inlineStr">
        <is>
          <t>SE</t>
        </is>
      </c>
      <c r="B14" s="13" t="inlineStr">
        <is>
          <t>Sweden</t>
        </is>
      </c>
      <c r="C14" s="13" t="inlineStr">
        <is>
          <t>SEK</t>
        </is>
      </c>
      <c r="D14" s="13" t="inlineStr">
        <is>
          <t>Swedish Krona</t>
        </is>
      </c>
    </row>
    <row r="15">
      <c r="A15" s="13" t="inlineStr">
        <is>
          <t>SG</t>
        </is>
      </c>
      <c r="B15" s="13" t="inlineStr">
        <is>
          <t>Singapore</t>
        </is>
      </c>
      <c r="C15" s="13" t="inlineStr">
        <is>
          <t>SGD</t>
        </is>
      </c>
      <c r="D15" s="13" t="inlineStr">
        <is>
          <t>Singapore Dollar</t>
        </is>
      </c>
    </row>
    <row r="16">
      <c r="A16" s="13" t="inlineStr">
        <is>
          <t>JP</t>
        </is>
      </c>
      <c r="B16" s="13" t="inlineStr">
        <is>
          <t>Japan</t>
        </is>
      </c>
      <c r="C16" s="13" t="inlineStr">
        <is>
          <t>JPY</t>
        </is>
      </c>
      <c r="D16" s="13" t="inlineStr">
        <is>
          <t>Japanese Yen</t>
        </is>
      </c>
    </row>
  </sheetData>
  <autoFilter ref="A4:D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5"/>
  <sheetViews>
    <sheetView showGridLines="0"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s>
  <sheetData>
    <row r="1">
      <c r="A1" s="9" t="inlineStr">
        <is>
          <t>Role Map  -&gt;  ADP_Concur_RoleMap</t>
        </is>
      </c>
    </row>
    <row r="2">
      <c r="A2" s="10" t="inlineStr">
        <is>
          <t>Snapshot of the live table taken 2026-09-29. Edit maps in the app, not here.</t>
        </is>
      </c>
    </row>
    <row r="4">
      <c r="A4" s="11" t="inlineStr">
        <is>
          <t>role</t>
        </is>
      </c>
      <c r="B4" s="11" t="inlineStr">
        <is>
          <t>category</t>
        </is>
      </c>
      <c r="C4" s="11" t="inlineStr">
        <is>
          <t>automatic</t>
        </is>
      </c>
    </row>
    <row r="5">
      <c r="A5" s="13" t="inlineStr">
        <is>
          <t>Card Program Administrator</t>
        </is>
      </c>
      <c r="B5" s="13" t="inlineStr">
        <is>
          <t>Admin</t>
        </is>
      </c>
      <c r="C5" s="13" t="inlineStr">
        <is>
          <t>N</t>
        </is>
      </c>
    </row>
    <row r="6">
      <c r="A6" s="13" t="inlineStr">
        <is>
          <t>Cognos Business Author</t>
        </is>
      </c>
      <c r="B6" s="13" t="inlineStr">
        <is>
          <t>Admin</t>
        </is>
      </c>
      <c r="C6" s="13" t="inlineStr">
        <is>
          <t>N</t>
        </is>
      </c>
    </row>
    <row r="7">
      <c r="A7" s="13" t="inlineStr">
        <is>
          <t>Employee Administrator</t>
        </is>
      </c>
      <c r="B7" s="13" t="inlineStr">
        <is>
          <t>Admin</t>
        </is>
      </c>
      <c r="C7" s="13" t="inlineStr">
        <is>
          <t>N</t>
        </is>
      </c>
    </row>
    <row r="8">
      <c r="A8" s="13" t="inlineStr">
        <is>
          <t>Invoice Configuration Administrator (Restricted)</t>
        </is>
      </c>
      <c r="B8" s="13" t="inlineStr">
        <is>
          <t>Admin</t>
        </is>
      </c>
      <c r="C8" s="13" t="inlineStr">
        <is>
          <t>N</t>
        </is>
      </c>
    </row>
    <row r="9">
      <c r="A9" s="13" t="inlineStr">
        <is>
          <t>Invoice Proxy Logon</t>
        </is>
      </c>
      <c r="B9" s="13" t="inlineStr">
        <is>
          <t>Admin</t>
        </is>
      </c>
      <c r="C9" s="13" t="inlineStr">
        <is>
          <t>N</t>
        </is>
      </c>
    </row>
    <row r="10">
      <c r="A10" s="13" t="inlineStr">
        <is>
          <t>Reimbursement Manager</t>
        </is>
      </c>
      <c r="B10" s="13" t="inlineStr">
        <is>
          <t>Admin</t>
        </is>
      </c>
      <c r="C10" s="13" t="inlineStr">
        <is>
          <t>N</t>
        </is>
      </c>
    </row>
    <row r="11">
      <c r="A11" s="13" t="inlineStr">
        <is>
          <t>Role Administrator</t>
        </is>
      </c>
      <c r="B11" s="13" t="inlineStr">
        <is>
          <t>Admin</t>
        </is>
      </c>
      <c r="C11" s="13" t="inlineStr">
        <is>
          <t>N</t>
        </is>
      </c>
    </row>
    <row r="12">
      <c r="A12" s="13" t="inlineStr">
        <is>
          <t>Expense User</t>
        </is>
      </c>
      <c r="B12" s="13" t="inlineStr">
        <is>
          <t>Expense</t>
        </is>
      </c>
      <c r="C12" s="13" t="inlineStr">
        <is>
          <t>Y</t>
        </is>
      </c>
    </row>
    <row r="13">
      <c r="A13" s="13" t="inlineStr">
        <is>
          <t>Expense Processor</t>
        </is>
      </c>
      <c r="B13" s="13" t="inlineStr">
        <is>
          <t>Expense</t>
        </is>
      </c>
      <c r="C13" s="13" t="inlineStr">
        <is>
          <t>Y</t>
        </is>
      </c>
    </row>
    <row r="14">
      <c r="A14" s="13" t="inlineStr">
        <is>
          <t>Expense Processor (Audit)</t>
        </is>
      </c>
      <c r="B14" s="13" t="inlineStr">
        <is>
          <t>Expense</t>
        </is>
      </c>
      <c r="C14" s="13" t="inlineStr">
        <is>
          <t>Y</t>
        </is>
      </c>
    </row>
    <row r="15">
      <c r="A15" s="13" t="inlineStr">
        <is>
          <t>Expense Proxy Logon</t>
        </is>
      </c>
      <c r="B15" s="13" t="inlineStr">
        <is>
          <t>Expense</t>
        </is>
      </c>
      <c r="C15" s="13" t="inlineStr">
        <is>
          <t>Y</t>
        </is>
      </c>
    </row>
    <row r="16">
      <c r="A16" s="13" t="inlineStr">
        <is>
          <t>Company Bill Statement Processor (Audit)</t>
        </is>
      </c>
      <c r="B16" s="13" t="inlineStr">
        <is>
          <t>P-Card</t>
        </is>
      </c>
      <c r="C16" s="13" t="inlineStr">
        <is>
          <t>Y</t>
        </is>
      </c>
    </row>
    <row r="17">
      <c r="A17" s="13" t="inlineStr">
        <is>
          <t>Cognos Consumer</t>
        </is>
      </c>
      <c r="B17" s="13" t="inlineStr">
        <is>
          <t>Payables</t>
        </is>
      </c>
      <c r="C17" s="13" t="inlineStr">
        <is>
          <t>Y</t>
        </is>
      </c>
    </row>
    <row r="18">
      <c r="A18" s="13" t="inlineStr">
        <is>
          <t>Company Bill Statement Processor</t>
        </is>
      </c>
      <c r="B18" s="13" t="inlineStr">
        <is>
          <t>Payables</t>
        </is>
      </c>
      <c r="C18" s="13" t="inlineStr">
        <is>
          <t>N</t>
        </is>
      </c>
    </row>
    <row r="19">
      <c r="A19" s="13" t="inlineStr">
        <is>
          <t>Invoice Processor</t>
        </is>
      </c>
      <c r="B19" s="13" t="inlineStr">
        <is>
          <t>Payables</t>
        </is>
      </c>
      <c r="C19" s="13" t="inlineStr">
        <is>
          <t>N</t>
        </is>
      </c>
    </row>
    <row r="20">
      <c r="A20" s="13" t="inlineStr">
        <is>
          <t>Invoice Processor (Audit)</t>
        </is>
      </c>
      <c r="B20" s="13" t="inlineStr">
        <is>
          <t>Payables</t>
        </is>
      </c>
      <c r="C20" s="13" t="inlineStr">
        <is>
          <t>N</t>
        </is>
      </c>
    </row>
    <row r="21">
      <c r="A21" s="13" t="inlineStr">
        <is>
          <t>Invoice Receipt Processor</t>
        </is>
      </c>
      <c r="B21" s="13" t="inlineStr">
        <is>
          <t>Payables</t>
        </is>
      </c>
      <c r="C21" s="13" t="inlineStr">
        <is>
          <t>N</t>
        </is>
      </c>
    </row>
    <row r="22">
      <c r="A22" s="13" t="inlineStr">
        <is>
          <t>Invoice Vendor Manager</t>
        </is>
      </c>
      <c r="B22" s="13" t="inlineStr">
        <is>
          <t>Payables</t>
        </is>
      </c>
      <c r="C22" s="13" t="inlineStr">
        <is>
          <t>N</t>
        </is>
      </c>
    </row>
    <row r="23">
      <c r="A23" s="13" t="inlineStr">
        <is>
          <t>Purchase Order Processor (Audit)</t>
        </is>
      </c>
      <c r="B23" s="13" t="inlineStr">
        <is>
          <t>Payables</t>
        </is>
      </c>
      <c r="C23" s="13" t="inlineStr">
        <is>
          <t>N</t>
        </is>
      </c>
    </row>
    <row r="24">
      <c r="A24" s="13" t="inlineStr">
        <is>
          <t>Purchase Request Processor</t>
        </is>
      </c>
      <c r="B24" s="13" t="inlineStr">
        <is>
          <t>Payables</t>
        </is>
      </c>
      <c r="C24" s="13" t="inlineStr">
        <is>
          <t>N</t>
        </is>
      </c>
    </row>
    <row r="25">
      <c r="A25" s="13" t="inlineStr">
        <is>
          <t>Purchase Request Processor (Audit)</t>
        </is>
      </c>
      <c r="B25" s="13" t="inlineStr">
        <is>
          <t>Payables</t>
        </is>
      </c>
      <c r="C25" s="13" t="inlineStr">
        <is>
          <t>N</t>
        </is>
      </c>
    </row>
  </sheetData>
  <autoFilter ref="A4:C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2026-09-29T16:19:36Z</dcterms:created>
  <dcterms:modified xmlns:dcterms="http://purl.org/dc/terms/" xmlns:xsi="http://www.w3.org/2001/XMLSchema-instance" xsi:type="dcterms:W3CDTF">2026-09-29T16:19:36Z</dcterms:modified>
</cp:coreProperties>
</file>