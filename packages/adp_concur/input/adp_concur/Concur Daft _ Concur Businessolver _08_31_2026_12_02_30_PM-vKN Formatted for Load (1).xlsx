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noto/Downloads/ADP Employee to Concur/"/>
    </mc:Choice>
  </mc:AlternateContent>
  <xr:revisionPtr revIDLastSave="0" documentId="13_ncr:1_{F4A8FEDA-764C-A544-A00E-5C8531B7E17C}" xr6:coauthVersionLast="47" xr6:coauthVersionMax="47" xr10:uidLastSave="{00000000-0000-0000-0000-000000000000}"/>
  <bookViews>
    <workbookView xWindow="36480" yWindow="1240" windowWidth="34200" windowHeight="18760" activeTab="2" xr2:uid="{00000000-000D-0000-FFFF-FFFF00000000}"/>
  </bookViews>
  <sheets>
    <sheet name="Multiple Payrolls" sheetId="15" r:id="rId1"/>
    <sheet name="Sheet2" sheetId="14" r:id="rId2"/>
    <sheet name="1" sheetId="1" r:id="rId3"/>
    <sheet name="Status Map" sheetId="10" r:id="rId4"/>
    <sheet name="Country Map" sheetId="9" r:id="rId5"/>
    <sheet name="Org Map" sheetId="2" r:id="rId6"/>
    <sheet name="Language Map" sheetId="7" r:id="rId7"/>
    <sheet name="Salary Map" sheetId="3" r:id="rId8"/>
    <sheet name="US Supervisor Map" sheetId="8" r:id="rId9"/>
    <sheet name="305" sheetId="4" r:id="rId10"/>
    <sheet name="350" sheetId="5" r:id="rId11"/>
    <sheet name="360" sheetId="6" r:id="rId12"/>
    <sheet name="305 Non US Non SE" sheetId="11" r:id="rId13"/>
    <sheet name="360 Non US Non SE" sheetId="12" r:id="rId14"/>
  </sheets>
  <definedNames>
    <definedName name="_xlnm._FilterDatabase" localSheetId="2" hidden="1">'1'!$A$4:$AR$203</definedName>
    <definedName name="_xlnm._FilterDatabase" localSheetId="12" hidden="1">'305 Non US Non SE'!$A$1:$EG$80</definedName>
    <definedName name="_xlnm._FilterDatabase" localSheetId="11" hidden="1">'360'!$A$3:$AI$203</definedName>
    <definedName name="_xlnm._FilterDatabase" localSheetId="13" hidden="1">'360 Non US Non SE'!$A$3:$AI$83</definedName>
  </definedNames>
  <calcPr calcId="191029"/>
  <pivotCaches>
    <pivotCache cacheId="1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02" i="1" l="1"/>
  <c r="AQ202" i="1" s="1"/>
  <c r="AR202" i="1" s="1"/>
  <c r="AO202" i="1"/>
  <c r="AP201" i="1"/>
  <c r="AQ201" i="1" s="1"/>
  <c r="AR201" i="1" s="1"/>
  <c r="AO201" i="1"/>
  <c r="AP200" i="1"/>
  <c r="AQ200" i="1" s="1"/>
  <c r="AR200" i="1" s="1"/>
  <c r="AO200" i="1"/>
  <c r="AP199" i="1"/>
  <c r="AQ199" i="1" s="1"/>
  <c r="AR199" i="1" s="1"/>
  <c r="AO199" i="1"/>
  <c r="AP198" i="1"/>
  <c r="AQ198" i="1" s="1"/>
  <c r="AR198" i="1" s="1"/>
  <c r="AO198" i="1"/>
  <c r="AP197" i="1"/>
  <c r="AQ197" i="1" s="1"/>
  <c r="AR197" i="1" s="1"/>
  <c r="AO197" i="1"/>
  <c r="AP196" i="1"/>
  <c r="AQ196" i="1" s="1"/>
  <c r="AR196" i="1" s="1"/>
  <c r="AO196" i="1"/>
  <c r="AP195" i="1"/>
  <c r="AQ195" i="1" s="1"/>
  <c r="AR195" i="1" s="1"/>
  <c r="AO195" i="1"/>
  <c r="AP194" i="1"/>
  <c r="AQ194" i="1" s="1"/>
  <c r="AR194" i="1" s="1"/>
  <c r="AO194" i="1"/>
  <c r="AP193" i="1"/>
  <c r="AQ193" i="1" s="1"/>
  <c r="AR193" i="1" s="1"/>
  <c r="AO193" i="1"/>
  <c r="AP192" i="1"/>
  <c r="AQ192" i="1" s="1"/>
  <c r="AR192" i="1" s="1"/>
  <c r="AO192" i="1"/>
  <c r="AP191" i="1"/>
  <c r="AQ191" i="1" s="1"/>
  <c r="AR191" i="1" s="1"/>
  <c r="AO191" i="1"/>
  <c r="AP190" i="1"/>
  <c r="AQ190" i="1" s="1"/>
  <c r="AR190" i="1" s="1"/>
  <c r="AO190" i="1"/>
  <c r="AP189" i="1"/>
  <c r="AQ189" i="1" s="1"/>
  <c r="AR189" i="1" s="1"/>
  <c r="AO189" i="1"/>
  <c r="AP188" i="1"/>
  <c r="AQ188" i="1" s="1"/>
  <c r="AR188" i="1" s="1"/>
  <c r="AO188" i="1"/>
  <c r="AP187" i="1"/>
  <c r="AQ187" i="1" s="1"/>
  <c r="AR187" i="1" s="1"/>
  <c r="AO187" i="1"/>
  <c r="AP186" i="1"/>
  <c r="AQ186" i="1" s="1"/>
  <c r="AR186" i="1" s="1"/>
  <c r="AO186" i="1"/>
  <c r="AP185" i="1"/>
  <c r="AQ185" i="1" s="1"/>
  <c r="AR185" i="1" s="1"/>
  <c r="AO185" i="1"/>
  <c r="AP184" i="1"/>
  <c r="AQ184" i="1" s="1"/>
  <c r="AR184" i="1" s="1"/>
  <c r="AO184" i="1"/>
  <c r="AP183" i="1"/>
  <c r="AQ183" i="1" s="1"/>
  <c r="AR183" i="1" s="1"/>
  <c r="AO183" i="1"/>
  <c r="AP182" i="1"/>
  <c r="AQ182" i="1" s="1"/>
  <c r="AR182" i="1" s="1"/>
  <c r="AO182" i="1"/>
  <c r="AP181" i="1"/>
  <c r="AQ181" i="1" s="1"/>
  <c r="AR181" i="1" s="1"/>
  <c r="AO181" i="1"/>
  <c r="AP180" i="1"/>
  <c r="AQ180" i="1" s="1"/>
  <c r="AR180" i="1" s="1"/>
  <c r="AO180" i="1"/>
  <c r="AP179" i="1"/>
  <c r="AQ179" i="1" s="1"/>
  <c r="AR179" i="1" s="1"/>
  <c r="AO179" i="1"/>
  <c r="AP178" i="1"/>
  <c r="AQ178" i="1" s="1"/>
  <c r="AR178" i="1" s="1"/>
  <c r="AO178" i="1"/>
  <c r="AP177" i="1"/>
  <c r="AQ177" i="1" s="1"/>
  <c r="AR177" i="1" s="1"/>
  <c r="AO177" i="1"/>
  <c r="AP176" i="1"/>
  <c r="AQ176" i="1" s="1"/>
  <c r="AR176" i="1" s="1"/>
  <c r="AO176" i="1"/>
  <c r="AP175" i="1"/>
  <c r="AQ175" i="1" s="1"/>
  <c r="AR175" i="1" s="1"/>
  <c r="AO175" i="1"/>
  <c r="AP174" i="1"/>
  <c r="AQ174" i="1" s="1"/>
  <c r="AR174" i="1" s="1"/>
  <c r="AO174" i="1"/>
  <c r="AP173" i="1"/>
  <c r="AQ173" i="1" s="1"/>
  <c r="AR173" i="1" s="1"/>
  <c r="AO173" i="1"/>
  <c r="AP172" i="1"/>
  <c r="AQ172" i="1" s="1"/>
  <c r="AR172" i="1" s="1"/>
  <c r="AO172" i="1"/>
  <c r="AP171" i="1"/>
  <c r="AQ171" i="1" s="1"/>
  <c r="AR171" i="1" s="1"/>
  <c r="AO171" i="1"/>
  <c r="AP170" i="1"/>
  <c r="AQ170" i="1" s="1"/>
  <c r="AR170" i="1" s="1"/>
  <c r="AO170" i="1"/>
  <c r="AP169" i="1"/>
  <c r="AQ169" i="1" s="1"/>
  <c r="AR169" i="1" s="1"/>
  <c r="AO169" i="1"/>
  <c r="AP168" i="1"/>
  <c r="AQ168" i="1" s="1"/>
  <c r="AR168" i="1" s="1"/>
  <c r="AO168" i="1"/>
  <c r="AP167" i="1"/>
  <c r="AQ167" i="1" s="1"/>
  <c r="AR167" i="1" s="1"/>
  <c r="AO167" i="1"/>
  <c r="AP166" i="1"/>
  <c r="AQ166" i="1" s="1"/>
  <c r="AR166" i="1" s="1"/>
  <c r="AO166" i="1"/>
  <c r="AP165" i="1"/>
  <c r="AQ165" i="1" s="1"/>
  <c r="AR165" i="1" s="1"/>
  <c r="AO165" i="1"/>
  <c r="AP164" i="1"/>
  <c r="AQ164" i="1" s="1"/>
  <c r="AR164" i="1" s="1"/>
  <c r="AO164" i="1"/>
  <c r="AP163" i="1"/>
  <c r="AQ163" i="1" s="1"/>
  <c r="AR163" i="1" s="1"/>
  <c r="AO163" i="1"/>
  <c r="AP162" i="1"/>
  <c r="AQ162" i="1" s="1"/>
  <c r="AR162" i="1" s="1"/>
  <c r="AO162" i="1"/>
  <c r="AP161" i="1"/>
  <c r="AQ161" i="1" s="1"/>
  <c r="AR161" i="1" s="1"/>
  <c r="AO161" i="1"/>
  <c r="AP160" i="1"/>
  <c r="AQ160" i="1" s="1"/>
  <c r="AR160" i="1" s="1"/>
  <c r="AO160" i="1"/>
  <c r="AP159" i="1"/>
  <c r="AQ159" i="1" s="1"/>
  <c r="AR159" i="1" s="1"/>
  <c r="AO159" i="1"/>
  <c r="AP158" i="1"/>
  <c r="AQ158" i="1" s="1"/>
  <c r="AR158" i="1" s="1"/>
  <c r="AO158" i="1"/>
  <c r="AP157" i="1"/>
  <c r="AQ157" i="1" s="1"/>
  <c r="AR157" i="1" s="1"/>
  <c r="AO157" i="1"/>
  <c r="AP156" i="1"/>
  <c r="AQ156" i="1" s="1"/>
  <c r="AR156" i="1" s="1"/>
  <c r="AO156" i="1"/>
  <c r="AP155" i="1"/>
  <c r="AQ155" i="1" s="1"/>
  <c r="AR155" i="1" s="1"/>
  <c r="AO155" i="1"/>
  <c r="AP154" i="1"/>
  <c r="AQ154" i="1" s="1"/>
  <c r="AR154" i="1" s="1"/>
  <c r="AO154" i="1"/>
  <c r="AP153" i="1"/>
  <c r="AQ153" i="1" s="1"/>
  <c r="AR153" i="1" s="1"/>
  <c r="AO153" i="1"/>
  <c r="AP152" i="1"/>
  <c r="AQ152" i="1" s="1"/>
  <c r="AR152" i="1" s="1"/>
  <c r="AO152" i="1"/>
  <c r="AP151" i="1"/>
  <c r="AQ151" i="1" s="1"/>
  <c r="AR151" i="1" s="1"/>
  <c r="AO151" i="1"/>
  <c r="AP150" i="1"/>
  <c r="AQ150" i="1" s="1"/>
  <c r="AR150" i="1" s="1"/>
  <c r="AO150" i="1"/>
  <c r="AP149" i="1"/>
  <c r="AQ149" i="1" s="1"/>
  <c r="AR149" i="1" s="1"/>
  <c r="AO149" i="1"/>
  <c r="AP148" i="1"/>
  <c r="AQ148" i="1" s="1"/>
  <c r="AR148" i="1" s="1"/>
  <c r="AO148" i="1"/>
  <c r="AP147" i="1"/>
  <c r="AQ147" i="1" s="1"/>
  <c r="AR147" i="1" s="1"/>
  <c r="AO147" i="1"/>
  <c r="AP146" i="1"/>
  <c r="AQ146" i="1" s="1"/>
  <c r="AR146" i="1" s="1"/>
  <c r="AO146" i="1"/>
  <c r="AP145" i="1"/>
  <c r="AQ145" i="1" s="1"/>
  <c r="AR145" i="1" s="1"/>
  <c r="AO145" i="1"/>
  <c r="AP144" i="1"/>
  <c r="AQ144" i="1" s="1"/>
  <c r="AR144" i="1" s="1"/>
  <c r="AO144" i="1"/>
  <c r="AP143" i="1"/>
  <c r="AQ143" i="1" s="1"/>
  <c r="AR143" i="1" s="1"/>
  <c r="AO143" i="1"/>
  <c r="AP142" i="1"/>
  <c r="AQ142" i="1" s="1"/>
  <c r="AR142" i="1" s="1"/>
  <c r="AO142" i="1"/>
  <c r="AP141" i="1"/>
  <c r="AQ141" i="1" s="1"/>
  <c r="AR141" i="1" s="1"/>
  <c r="AO141" i="1"/>
  <c r="AP140" i="1"/>
  <c r="AQ140" i="1" s="1"/>
  <c r="AR140" i="1" s="1"/>
  <c r="AO140" i="1"/>
  <c r="AP139" i="1"/>
  <c r="AQ139" i="1" s="1"/>
  <c r="AR139" i="1" s="1"/>
  <c r="AO139" i="1"/>
  <c r="AP138" i="1"/>
  <c r="AQ138" i="1" s="1"/>
  <c r="AR138" i="1" s="1"/>
  <c r="AO138" i="1"/>
  <c r="AP137" i="1"/>
  <c r="AQ137" i="1" s="1"/>
  <c r="AR137" i="1" s="1"/>
  <c r="AO137" i="1"/>
  <c r="AP136" i="1"/>
  <c r="AQ136" i="1" s="1"/>
  <c r="AR136" i="1" s="1"/>
  <c r="AO136" i="1"/>
  <c r="AP135" i="1"/>
  <c r="AQ135" i="1" s="1"/>
  <c r="AR135" i="1" s="1"/>
  <c r="AO135" i="1"/>
  <c r="AP134" i="1"/>
  <c r="AQ134" i="1" s="1"/>
  <c r="AR134" i="1" s="1"/>
  <c r="AO134" i="1"/>
  <c r="AP133" i="1"/>
  <c r="AQ133" i="1" s="1"/>
  <c r="AR133" i="1" s="1"/>
  <c r="AO133" i="1"/>
  <c r="AP132" i="1"/>
  <c r="AQ132" i="1" s="1"/>
  <c r="AR132" i="1" s="1"/>
  <c r="AO132" i="1"/>
  <c r="AP131" i="1"/>
  <c r="AQ131" i="1" s="1"/>
  <c r="AR131" i="1" s="1"/>
  <c r="AO131" i="1"/>
  <c r="AP130" i="1"/>
  <c r="AQ130" i="1" s="1"/>
  <c r="AR130" i="1" s="1"/>
  <c r="AO130" i="1"/>
  <c r="AP129" i="1"/>
  <c r="AQ129" i="1" s="1"/>
  <c r="AR129" i="1" s="1"/>
  <c r="AO129" i="1"/>
  <c r="AP128" i="1"/>
  <c r="AQ128" i="1" s="1"/>
  <c r="AR128" i="1" s="1"/>
  <c r="AO128" i="1"/>
  <c r="AP127" i="1"/>
  <c r="AQ127" i="1" s="1"/>
  <c r="AR127" i="1" s="1"/>
  <c r="AO127" i="1"/>
  <c r="AP126" i="1"/>
  <c r="AQ126" i="1" s="1"/>
  <c r="AR126" i="1" s="1"/>
  <c r="AO126" i="1"/>
  <c r="AP125" i="1"/>
  <c r="AQ125" i="1" s="1"/>
  <c r="AR125" i="1" s="1"/>
  <c r="AO125" i="1"/>
  <c r="AP124" i="1"/>
  <c r="AQ124" i="1" s="1"/>
  <c r="AR124" i="1" s="1"/>
  <c r="AO124" i="1"/>
  <c r="AP123" i="1"/>
  <c r="AQ123" i="1" s="1"/>
  <c r="AR123" i="1" s="1"/>
  <c r="AO123" i="1"/>
  <c r="AP122" i="1"/>
  <c r="AQ122" i="1" s="1"/>
  <c r="AR122" i="1" s="1"/>
  <c r="AO122" i="1"/>
  <c r="AP121" i="1"/>
  <c r="AQ121" i="1" s="1"/>
  <c r="AR121" i="1" s="1"/>
  <c r="AO121" i="1"/>
  <c r="AP120" i="1"/>
  <c r="AQ120" i="1" s="1"/>
  <c r="AR120" i="1" s="1"/>
  <c r="AO120" i="1"/>
  <c r="AP119" i="1"/>
  <c r="AQ119" i="1" s="1"/>
  <c r="AR119" i="1" s="1"/>
  <c r="AO119" i="1"/>
  <c r="AP118" i="1"/>
  <c r="AQ118" i="1" s="1"/>
  <c r="AR118" i="1" s="1"/>
  <c r="AO118" i="1"/>
  <c r="AP117" i="1"/>
  <c r="AQ117" i="1" s="1"/>
  <c r="AR117" i="1" s="1"/>
  <c r="AO117" i="1"/>
  <c r="AP116" i="1"/>
  <c r="AQ116" i="1" s="1"/>
  <c r="AR116" i="1" s="1"/>
  <c r="AO116" i="1"/>
  <c r="AP115" i="1"/>
  <c r="AQ115" i="1" s="1"/>
  <c r="AR115" i="1" s="1"/>
  <c r="AO115" i="1"/>
  <c r="AP114" i="1"/>
  <c r="AQ114" i="1" s="1"/>
  <c r="AR114" i="1" s="1"/>
  <c r="AO114" i="1"/>
  <c r="AP113" i="1"/>
  <c r="AQ113" i="1" s="1"/>
  <c r="AR113" i="1" s="1"/>
  <c r="AO113" i="1"/>
  <c r="AP112" i="1"/>
  <c r="AQ112" i="1" s="1"/>
  <c r="AR112" i="1" s="1"/>
  <c r="AO112" i="1"/>
  <c r="AP111" i="1"/>
  <c r="AQ111" i="1" s="1"/>
  <c r="AR111" i="1" s="1"/>
  <c r="AO111" i="1"/>
  <c r="AP110" i="1"/>
  <c r="AQ110" i="1" s="1"/>
  <c r="AR110" i="1" s="1"/>
  <c r="AO110" i="1"/>
  <c r="AP109" i="1"/>
  <c r="AQ109" i="1" s="1"/>
  <c r="AR109" i="1" s="1"/>
  <c r="AO109" i="1"/>
  <c r="AP108" i="1"/>
  <c r="AQ108" i="1" s="1"/>
  <c r="AR108" i="1" s="1"/>
  <c r="AO108" i="1"/>
  <c r="AP107" i="1"/>
  <c r="AQ107" i="1" s="1"/>
  <c r="AR107" i="1" s="1"/>
  <c r="AO107" i="1"/>
  <c r="AP106" i="1"/>
  <c r="AQ106" i="1" s="1"/>
  <c r="AR106" i="1" s="1"/>
  <c r="AO106" i="1"/>
  <c r="AP105" i="1"/>
  <c r="AQ105" i="1" s="1"/>
  <c r="AR105" i="1" s="1"/>
  <c r="AO105" i="1"/>
  <c r="AP104" i="1"/>
  <c r="AQ104" i="1" s="1"/>
  <c r="AR104" i="1" s="1"/>
  <c r="AO104" i="1"/>
  <c r="AP103" i="1"/>
  <c r="AQ103" i="1" s="1"/>
  <c r="AR103" i="1" s="1"/>
  <c r="AO103" i="1"/>
  <c r="AP102" i="1"/>
  <c r="AQ102" i="1" s="1"/>
  <c r="AR102" i="1" s="1"/>
  <c r="AO102" i="1"/>
  <c r="AP101" i="1"/>
  <c r="AQ101" i="1" s="1"/>
  <c r="AR101" i="1" s="1"/>
  <c r="AO101" i="1"/>
  <c r="AP100" i="1"/>
  <c r="AQ100" i="1" s="1"/>
  <c r="AR100" i="1" s="1"/>
  <c r="AO100" i="1"/>
  <c r="AP99" i="1"/>
  <c r="AQ99" i="1" s="1"/>
  <c r="AR99" i="1" s="1"/>
  <c r="AO99" i="1"/>
  <c r="AP98" i="1"/>
  <c r="AQ98" i="1" s="1"/>
  <c r="AR98" i="1" s="1"/>
  <c r="AO98" i="1"/>
  <c r="AP97" i="1"/>
  <c r="AQ97" i="1" s="1"/>
  <c r="AR97" i="1" s="1"/>
  <c r="AO97" i="1"/>
  <c r="AP96" i="1"/>
  <c r="AQ96" i="1" s="1"/>
  <c r="AR96" i="1" s="1"/>
  <c r="AO96" i="1"/>
  <c r="AP95" i="1"/>
  <c r="AQ95" i="1" s="1"/>
  <c r="AR95" i="1" s="1"/>
  <c r="AO95" i="1"/>
  <c r="AP94" i="1"/>
  <c r="AQ94" i="1" s="1"/>
  <c r="AR94" i="1" s="1"/>
  <c r="AO94" i="1"/>
  <c r="AP93" i="1"/>
  <c r="AQ93" i="1" s="1"/>
  <c r="AR93" i="1" s="1"/>
  <c r="AO93" i="1"/>
  <c r="AP92" i="1"/>
  <c r="AQ92" i="1" s="1"/>
  <c r="AR92" i="1" s="1"/>
  <c r="AO92" i="1"/>
  <c r="AP91" i="1"/>
  <c r="AQ91" i="1" s="1"/>
  <c r="AR91" i="1" s="1"/>
  <c r="AO91" i="1"/>
  <c r="AP90" i="1"/>
  <c r="AQ90" i="1" s="1"/>
  <c r="AR90" i="1" s="1"/>
  <c r="AO90" i="1"/>
  <c r="AP89" i="1"/>
  <c r="AQ89" i="1" s="1"/>
  <c r="AR89" i="1" s="1"/>
  <c r="AO89" i="1"/>
  <c r="AP88" i="1"/>
  <c r="AQ88" i="1" s="1"/>
  <c r="AR88" i="1" s="1"/>
  <c r="AO88" i="1"/>
  <c r="AP87" i="1"/>
  <c r="AQ87" i="1" s="1"/>
  <c r="AR87" i="1" s="1"/>
  <c r="AO87" i="1"/>
  <c r="AP86" i="1"/>
  <c r="AQ86" i="1" s="1"/>
  <c r="AR86" i="1" s="1"/>
  <c r="AO86" i="1"/>
  <c r="AP85" i="1"/>
  <c r="AQ85" i="1" s="1"/>
  <c r="AR85" i="1" s="1"/>
  <c r="AO85" i="1"/>
  <c r="AP84" i="1"/>
  <c r="AQ84" i="1" s="1"/>
  <c r="AR84" i="1" s="1"/>
  <c r="AO84" i="1"/>
  <c r="AP83" i="1"/>
  <c r="AQ83" i="1" s="1"/>
  <c r="AR83" i="1" s="1"/>
  <c r="AO83" i="1"/>
  <c r="AP82" i="1"/>
  <c r="AQ82" i="1" s="1"/>
  <c r="AR82" i="1" s="1"/>
  <c r="AO82" i="1"/>
  <c r="AP81" i="1"/>
  <c r="AQ81" i="1" s="1"/>
  <c r="AR81" i="1" s="1"/>
  <c r="AO81" i="1"/>
  <c r="AP80" i="1"/>
  <c r="AQ80" i="1" s="1"/>
  <c r="AR80" i="1" s="1"/>
  <c r="AO80" i="1"/>
  <c r="AP79" i="1"/>
  <c r="AQ79" i="1" s="1"/>
  <c r="AR79" i="1" s="1"/>
  <c r="AO79" i="1"/>
  <c r="AP78" i="1"/>
  <c r="AQ78" i="1" s="1"/>
  <c r="AR78" i="1" s="1"/>
  <c r="AO78" i="1"/>
  <c r="AP77" i="1"/>
  <c r="AQ77" i="1" s="1"/>
  <c r="AR77" i="1" s="1"/>
  <c r="AO77" i="1"/>
  <c r="AP76" i="1"/>
  <c r="AQ76" i="1" s="1"/>
  <c r="AR76" i="1" s="1"/>
  <c r="AO76" i="1"/>
  <c r="AP75" i="1"/>
  <c r="AQ75" i="1" s="1"/>
  <c r="AR75" i="1" s="1"/>
  <c r="AO75" i="1"/>
  <c r="AP74" i="1"/>
  <c r="AQ74" i="1" s="1"/>
  <c r="AR74" i="1" s="1"/>
  <c r="AO74" i="1"/>
  <c r="AP73" i="1"/>
  <c r="AQ73" i="1" s="1"/>
  <c r="AR73" i="1" s="1"/>
  <c r="AO73" i="1"/>
  <c r="AP72" i="1"/>
  <c r="AQ72" i="1" s="1"/>
  <c r="AR72" i="1" s="1"/>
  <c r="AO72" i="1"/>
  <c r="AP71" i="1"/>
  <c r="AQ71" i="1" s="1"/>
  <c r="AR71" i="1" s="1"/>
  <c r="AO71" i="1"/>
  <c r="AP70" i="1"/>
  <c r="AQ70" i="1" s="1"/>
  <c r="AR70" i="1" s="1"/>
  <c r="AO70" i="1"/>
  <c r="AP69" i="1"/>
  <c r="AQ69" i="1" s="1"/>
  <c r="AR69" i="1" s="1"/>
  <c r="AO69" i="1"/>
  <c r="AP68" i="1"/>
  <c r="AQ68" i="1" s="1"/>
  <c r="AR68" i="1" s="1"/>
  <c r="AO68" i="1"/>
  <c r="AP67" i="1"/>
  <c r="AQ67" i="1" s="1"/>
  <c r="AR67" i="1" s="1"/>
  <c r="AO67" i="1"/>
  <c r="AP66" i="1"/>
  <c r="AQ66" i="1" s="1"/>
  <c r="AR66" i="1" s="1"/>
  <c r="AO66" i="1"/>
  <c r="AP65" i="1"/>
  <c r="AQ65" i="1" s="1"/>
  <c r="AR65" i="1" s="1"/>
  <c r="AO65" i="1"/>
  <c r="AP64" i="1"/>
  <c r="AQ64" i="1" s="1"/>
  <c r="AR64" i="1" s="1"/>
  <c r="AO64" i="1"/>
  <c r="AP63" i="1"/>
  <c r="AQ63" i="1" s="1"/>
  <c r="AR63" i="1" s="1"/>
  <c r="AO63" i="1"/>
  <c r="AP62" i="1"/>
  <c r="AQ62" i="1" s="1"/>
  <c r="AR62" i="1" s="1"/>
  <c r="AO62" i="1"/>
  <c r="AP61" i="1"/>
  <c r="AQ61" i="1" s="1"/>
  <c r="AR61" i="1" s="1"/>
  <c r="AO61" i="1"/>
  <c r="AP60" i="1"/>
  <c r="AQ60" i="1" s="1"/>
  <c r="AR60" i="1" s="1"/>
  <c r="AO60" i="1"/>
  <c r="AP59" i="1"/>
  <c r="AQ59" i="1" s="1"/>
  <c r="AR59" i="1" s="1"/>
  <c r="AO59" i="1"/>
  <c r="AP58" i="1"/>
  <c r="AQ58" i="1" s="1"/>
  <c r="AR58" i="1" s="1"/>
  <c r="AO58" i="1"/>
  <c r="AP57" i="1"/>
  <c r="AQ57" i="1" s="1"/>
  <c r="AR57" i="1" s="1"/>
  <c r="AO57" i="1"/>
  <c r="AP56" i="1"/>
  <c r="AQ56" i="1" s="1"/>
  <c r="AR56" i="1" s="1"/>
  <c r="AO56" i="1"/>
  <c r="AP55" i="1"/>
  <c r="AQ55" i="1" s="1"/>
  <c r="AR55" i="1" s="1"/>
  <c r="AO55" i="1"/>
  <c r="AP54" i="1"/>
  <c r="AQ54" i="1" s="1"/>
  <c r="AR54" i="1" s="1"/>
  <c r="AO54" i="1"/>
  <c r="AP53" i="1"/>
  <c r="AQ53" i="1" s="1"/>
  <c r="AR53" i="1" s="1"/>
  <c r="AO53" i="1"/>
  <c r="AP52" i="1"/>
  <c r="AQ52" i="1" s="1"/>
  <c r="AR52" i="1" s="1"/>
  <c r="AO52" i="1"/>
  <c r="AP51" i="1"/>
  <c r="AQ51" i="1" s="1"/>
  <c r="AR51" i="1" s="1"/>
  <c r="AO51" i="1"/>
  <c r="AP50" i="1"/>
  <c r="AQ50" i="1" s="1"/>
  <c r="AR50" i="1" s="1"/>
  <c r="AO50" i="1"/>
  <c r="AP49" i="1"/>
  <c r="AQ49" i="1" s="1"/>
  <c r="AR49" i="1" s="1"/>
  <c r="AO49" i="1"/>
  <c r="AP48" i="1"/>
  <c r="AQ48" i="1" s="1"/>
  <c r="AR48" i="1" s="1"/>
  <c r="AO48" i="1"/>
  <c r="AP47" i="1"/>
  <c r="AQ47" i="1" s="1"/>
  <c r="AR47" i="1" s="1"/>
  <c r="AO47" i="1"/>
  <c r="AP46" i="1"/>
  <c r="AQ46" i="1" s="1"/>
  <c r="AR46" i="1" s="1"/>
  <c r="AO46" i="1"/>
  <c r="AP45" i="1"/>
  <c r="AQ45" i="1" s="1"/>
  <c r="AR45" i="1" s="1"/>
  <c r="AO45" i="1"/>
  <c r="AP44" i="1"/>
  <c r="AQ44" i="1" s="1"/>
  <c r="AR44" i="1" s="1"/>
  <c r="AO44" i="1"/>
  <c r="AP43" i="1"/>
  <c r="AQ43" i="1" s="1"/>
  <c r="AR43" i="1" s="1"/>
  <c r="AO43" i="1"/>
  <c r="AP42" i="1"/>
  <c r="AQ42" i="1" s="1"/>
  <c r="AR42" i="1" s="1"/>
  <c r="AO42" i="1"/>
  <c r="AP41" i="1"/>
  <c r="AQ41" i="1" s="1"/>
  <c r="AR41" i="1" s="1"/>
  <c r="AO41" i="1"/>
  <c r="AP40" i="1"/>
  <c r="AQ40" i="1" s="1"/>
  <c r="AR40" i="1" s="1"/>
  <c r="AO40" i="1"/>
  <c r="AP39" i="1"/>
  <c r="AQ39" i="1" s="1"/>
  <c r="AR39" i="1" s="1"/>
  <c r="AO39" i="1"/>
  <c r="AP38" i="1"/>
  <c r="AQ38" i="1" s="1"/>
  <c r="AR38" i="1" s="1"/>
  <c r="AO38" i="1"/>
  <c r="AP37" i="1"/>
  <c r="AQ37" i="1" s="1"/>
  <c r="AR37" i="1" s="1"/>
  <c r="AO37" i="1"/>
  <c r="AP36" i="1"/>
  <c r="AQ36" i="1" s="1"/>
  <c r="AR36" i="1" s="1"/>
  <c r="AO36" i="1"/>
  <c r="AP35" i="1"/>
  <c r="AQ35" i="1" s="1"/>
  <c r="AR35" i="1" s="1"/>
  <c r="AO35" i="1"/>
  <c r="AP34" i="1"/>
  <c r="AQ34" i="1" s="1"/>
  <c r="AR34" i="1" s="1"/>
  <c r="AO34" i="1"/>
  <c r="AP33" i="1"/>
  <c r="AQ33" i="1" s="1"/>
  <c r="AR33" i="1" s="1"/>
  <c r="AO33" i="1"/>
  <c r="AP32" i="1"/>
  <c r="AQ32" i="1" s="1"/>
  <c r="AR32" i="1" s="1"/>
  <c r="AO32" i="1"/>
  <c r="AP31" i="1"/>
  <c r="AQ31" i="1" s="1"/>
  <c r="AR31" i="1" s="1"/>
  <c r="AO31" i="1"/>
  <c r="AP30" i="1"/>
  <c r="AQ30" i="1" s="1"/>
  <c r="AR30" i="1" s="1"/>
  <c r="AO30" i="1"/>
  <c r="AP29" i="1"/>
  <c r="AQ29" i="1" s="1"/>
  <c r="AR29" i="1" s="1"/>
  <c r="AO29" i="1"/>
  <c r="AP28" i="1"/>
  <c r="AQ28" i="1" s="1"/>
  <c r="AR28" i="1" s="1"/>
  <c r="AO28" i="1"/>
  <c r="AP27" i="1"/>
  <c r="AQ27" i="1" s="1"/>
  <c r="AR27" i="1" s="1"/>
  <c r="AO27" i="1"/>
  <c r="AP26" i="1"/>
  <c r="AQ26" i="1" s="1"/>
  <c r="AR26" i="1" s="1"/>
  <c r="AO26" i="1"/>
  <c r="AP25" i="1"/>
  <c r="AQ25" i="1" s="1"/>
  <c r="AR25" i="1" s="1"/>
  <c r="AO25" i="1"/>
  <c r="AP24" i="1"/>
  <c r="AQ24" i="1" s="1"/>
  <c r="AR24" i="1" s="1"/>
  <c r="AO24" i="1"/>
  <c r="AP23" i="1"/>
  <c r="AQ23" i="1" s="1"/>
  <c r="AR23" i="1" s="1"/>
  <c r="AO23" i="1"/>
  <c r="AP22" i="1"/>
  <c r="AQ22" i="1" s="1"/>
  <c r="AR22" i="1" s="1"/>
  <c r="AO22" i="1"/>
  <c r="AP21" i="1"/>
  <c r="AQ21" i="1" s="1"/>
  <c r="AR21" i="1" s="1"/>
  <c r="AO21" i="1"/>
  <c r="AP20" i="1"/>
  <c r="AQ20" i="1" s="1"/>
  <c r="AR20" i="1" s="1"/>
  <c r="AO20" i="1"/>
  <c r="AP19" i="1"/>
  <c r="AQ19" i="1" s="1"/>
  <c r="AR19" i="1" s="1"/>
  <c r="AO19" i="1"/>
  <c r="AP18" i="1"/>
  <c r="AQ18" i="1" s="1"/>
  <c r="AR18" i="1" s="1"/>
  <c r="AO18" i="1"/>
  <c r="AP17" i="1"/>
  <c r="AQ17" i="1" s="1"/>
  <c r="AR17" i="1" s="1"/>
  <c r="AO17" i="1"/>
  <c r="AP16" i="1"/>
  <c r="AQ16" i="1" s="1"/>
  <c r="AR16" i="1" s="1"/>
  <c r="AO16" i="1"/>
  <c r="AP15" i="1"/>
  <c r="AQ15" i="1" s="1"/>
  <c r="AR15" i="1" s="1"/>
  <c r="AO15" i="1"/>
  <c r="AP14" i="1"/>
  <c r="AQ14" i="1" s="1"/>
  <c r="AR14" i="1" s="1"/>
  <c r="AO14" i="1"/>
  <c r="AP13" i="1"/>
  <c r="AQ13" i="1" s="1"/>
  <c r="AR13" i="1" s="1"/>
  <c r="AO13" i="1"/>
  <c r="AP12" i="1"/>
  <c r="AQ12" i="1" s="1"/>
  <c r="AR12" i="1" s="1"/>
  <c r="AO12" i="1"/>
  <c r="AP11" i="1"/>
  <c r="AQ11" i="1" s="1"/>
  <c r="AR11" i="1" s="1"/>
  <c r="AO11" i="1"/>
  <c r="AP10" i="1"/>
  <c r="AQ10" i="1" s="1"/>
  <c r="AR10" i="1" s="1"/>
  <c r="AO10" i="1"/>
  <c r="AP9" i="1"/>
  <c r="AQ9" i="1" s="1"/>
  <c r="AR9" i="1" s="1"/>
  <c r="AO9" i="1"/>
  <c r="AP8" i="1"/>
  <c r="AQ8" i="1" s="1"/>
  <c r="AR8" i="1" s="1"/>
  <c r="AO8" i="1"/>
  <c r="AP7" i="1"/>
  <c r="AQ7" i="1" s="1"/>
  <c r="AR7" i="1" s="1"/>
  <c r="AO7" i="1"/>
  <c r="AP6" i="1"/>
  <c r="AQ6" i="1" s="1"/>
  <c r="AR6" i="1" s="1"/>
  <c r="AO6" i="1"/>
  <c r="AP203" i="1"/>
  <c r="AQ203" i="1" s="1"/>
  <c r="AR203" i="1" s="1"/>
  <c r="AO203" i="1"/>
  <c r="AP5" i="1"/>
  <c r="AQ5" i="1" s="1"/>
  <c r="AR5" i="1" s="1"/>
  <c r="AO5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2" i="1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5" i="4"/>
  <c r="S84" i="12"/>
  <c r="T84" i="12"/>
  <c r="S85" i="12"/>
  <c r="T85" i="12"/>
  <c r="S86" i="12"/>
  <c r="T86" i="12"/>
  <c r="S87" i="12"/>
  <c r="T87" i="12"/>
  <c r="S88" i="12"/>
  <c r="T88" i="12"/>
  <c r="AP85" i="11"/>
  <c r="Z85" i="11"/>
  <c r="X85" i="11"/>
  <c r="P85" i="11"/>
  <c r="M85" i="11"/>
  <c r="I85" i="11"/>
  <c r="AP82" i="11"/>
  <c r="Z81" i="11"/>
  <c r="Z82" i="11"/>
  <c r="Z83" i="11"/>
  <c r="Z84" i="11"/>
  <c r="X84" i="11"/>
  <c r="X83" i="11"/>
  <c r="X82" i="11"/>
  <c r="X81" i="11"/>
  <c r="P81" i="11"/>
  <c r="P82" i="11"/>
  <c r="P83" i="11"/>
  <c r="P84" i="11"/>
  <c r="I84" i="11"/>
  <c r="M84" i="11"/>
  <c r="M81" i="11"/>
  <c r="M82" i="11"/>
  <c r="M83" i="11"/>
  <c r="I83" i="11"/>
  <c r="I81" i="11"/>
  <c r="I82" i="11"/>
  <c r="AC17" i="11"/>
  <c r="T83" i="12"/>
  <c r="S83" i="12"/>
  <c r="T82" i="12"/>
  <c r="S82" i="12"/>
  <c r="T81" i="12"/>
  <c r="S81" i="12"/>
  <c r="T80" i="12"/>
  <c r="S80" i="12"/>
  <c r="T79" i="12"/>
  <c r="S79" i="12"/>
  <c r="T78" i="12"/>
  <c r="S78" i="12"/>
  <c r="T77" i="12"/>
  <c r="S77" i="12"/>
  <c r="T76" i="12"/>
  <c r="S76" i="12"/>
  <c r="T75" i="12"/>
  <c r="S75" i="12"/>
  <c r="T74" i="12"/>
  <c r="S74" i="12"/>
  <c r="T73" i="12"/>
  <c r="S73" i="12"/>
  <c r="T72" i="12"/>
  <c r="S72" i="12"/>
  <c r="T71" i="12"/>
  <c r="S71" i="12"/>
  <c r="T70" i="12"/>
  <c r="S70" i="12"/>
  <c r="T69" i="12"/>
  <c r="S69" i="12"/>
  <c r="T68" i="12"/>
  <c r="S68" i="12"/>
  <c r="T67" i="12"/>
  <c r="S67" i="12"/>
  <c r="T66" i="12"/>
  <c r="S66" i="12"/>
  <c r="T65" i="12"/>
  <c r="S65" i="12"/>
  <c r="T64" i="12"/>
  <c r="S64" i="12"/>
  <c r="T63" i="12"/>
  <c r="S63" i="12"/>
  <c r="T62" i="12"/>
  <c r="S62" i="12"/>
  <c r="T61" i="12"/>
  <c r="S61" i="12"/>
  <c r="T60" i="12"/>
  <c r="S60" i="12"/>
  <c r="T59" i="12"/>
  <c r="S59" i="12"/>
  <c r="T58" i="12"/>
  <c r="S58" i="12"/>
  <c r="T57" i="12"/>
  <c r="S57" i="12"/>
  <c r="T56" i="12"/>
  <c r="S56" i="12"/>
  <c r="T55" i="12"/>
  <c r="S55" i="12"/>
  <c r="T54" i="12"/>
  <c r="S54" i="12"/>
  <c r="T53" i="12"/>
  <c r="S53" i="12"/>
  <c r="T52" i="12"/>
  <c r="S52" i="12"/>
  <c r="T51" i="12"/>
  <c r="S51" i="12"/>
  <c r="T50" i="12"/>
  <c r="S50" i="12"/>
  <c r="T49" i="12"/>
  <c r="S49" i="12"/>
  <c r="T48" i="12"/>
  <c r="S48" i="12"/>
  <c r="T47" i="12"/>
  <c r="S47" i="12"/>
  <c r="T46" i="12"/>
  <c r="S46" i="12"/>
  <c r="T45" i="12"/>
  <c r="S45" i="12"/>
  <c r="T44" i="12"/>
  <c r="S44" i="12"/>
  <c r="T43" i="12"/>
  <c r="S43" i="12"/>
  <c r="T42" i="12"/>
  <c r="S42" i="12"/>
  <c r="T41" i="12"/>
  <c r="S41" i="12"/>
  <c r="T40" i="12"/>
  <c r="S40" i="12"/>
  <c r="T39" i="12"/>
  <c r="S39" i="12"/>
  <c r="T38" i="12"/>
  <c r="S38" i="12"/>
  <c r="T37" i="12"/>
  <c r="S37" i="12"/>
  <c r="T36" i="12"/>
  <c r="S36" i="12"/>
  <c r="T35" i="12"/>
  <c r="S35" i="12"/>
  <c r="T34" i="12"/>
  <c r="S34" i="12"/>
  <c r="T33" i="12"/>
  <c r="S33" i="12"/>
  <c r="T32" i="12"/>
  <c r="S32" i="12"/>
  <c r="T31" i="12"/>
  <c r="S31" i="12"/>
  <c r="T30" i="12"/>
  <c r="S30" i="12"/>
  <c r="T29" i="12"/>
  <c r="S29" i="12"/>
  <c r="T28" i="12"/>
  <c r="S28" i="12"/>
  <c r="T27" i="12"/>
  <c r="S27" i="12"/>
  <c r="T26" i="12"/>
  <c r="S26" i="12"/>
  <c r="T25" i="12"/>
  <c r="S25" i="12"/>
  <c r="T24" i="12"/>
  <c r="S24" i="12"/>
  <c r="T23" i="12"/>
  <c r="S23" i="12"/>
  <c r="T22" i="12"/>
  <c r="S22" i="12"/>
  <c r="T21" i="12"/>
  <c r="S21" i="12"/>
  <c r="T20" i="12"/>
  <c r="S20" i="12"/>
  <c r="T19" i="12"/>
  <c r="S19" i="12"/>
  <c r="T18" i="12"/>
  <c r="S18" i="12"/>
  <c r="T17" i="12"/>
  <c r="S17" i="12"/>
  <c r="T16" i="12"/>
  <c r="S16" i="12"/>
  <c r="T15" i="12"/>
  <c r="S15" i="12"/>
  <c r="T14" i="12"/>
  <c r="S14" i="12"/>
  <c r="T13" i="12"/>
  <c r="S13" i="12"/>
  <c r="T12" i="12"/>
  <c r="S12" i="12"/>
  <c r="T11" i="12"/>
  <c r="S11" i="12"/>
  <c r="T10" i="12"/>
  <c r="S10" i="12"/>
  <c r="T9" i="12"/>
  <c r="S9" i="12"/>
  <c r="T8" i="12"/>
  <c r="S8" i="12"/>
  <c r="T7" i="12"/>
  <c r="S7" i="12"/>
  <c r="T6" i="12"/>
  <c r="S6" i="12"/>
  <c r="T5" i="12"/>
  <c r="S5" i="12"/>
  <c r="AP79" i="11"/>
  <c r="AP78" i="11"/>
  <c r="AP77" i="11"/>
  <c r="AP76" i="11"/>
  <c r="AP75" i="11"/>
  <c r="AP74" i="11"/>
  <c r="AP73" i="11"/>
  <c r="AP72" i="11"/>
  <c r="AP71" i="11"/>
  <c r="AP70" i="11"/>
  <c r="AP69" i="11"/>
  <c r="AP68" i="11"/>
  <c r="AP67" i="11"/>
  <c r="AP66" i="11"/>
  <c r="AP65" i="11"/>
  <c r="AP64" i="11"/>
  <c r="AP63" i="11"/>
  <c r="AP62" i="11"/>
  <c r="AP61" i="11"/>
  <c r="AP60" i="11"/>
  <c r="AP59" i="11"/>
  <c r="AP58" i="11"/>
  <c r="AP57" i="11"/>
  <c r="AP56" i="11"/>
  <c r="AP55" i="11"/>
  <c r="AP54" i="11"/>
  <c r="AP53" i="11"/>
  <c r="AP52" i="11"/>
  <c r="AP51" i="11"/>
  <c r="AP50" i="11"/>
  <c r="AP49" i="11"/>
  <c r="AP48" i="11"/>
  <c r="AP47" i="11"/>
  <c r="AP46" i="11"/>
  <c r="AP45" i="11"/>
  <c r="AP44" i="11"/>
  <c r="AP43" i="11"/>
  <c r="AP42" i="11"/>
  <c r="AP41" i="11"/>
  <c r="AP40" i="11"/>
  <c r="AP39" i="11"/>
  <c r="AP38" i="11"/>
  <c r="AP37" i="11"/>
  <c r="AP36" i="11"/>
  <c r="AP35" i="11"/>
  <c r="AP34" i="11"/>
  <c r="AP33" i="11"/>
  <c r="AP32" i="11"/>
  <c r="AP31" i="11"/>
  <c r="AP30" i="11"/>
  <c r="AP29" i="11"/>
  <c r="AP28" i="11"/>
  <c r="AP27" i="11"/>
  <c r="AP26" i="11"/>
  <c r="AP25" i="11"/>
  <c r="AP24" i="11"/>
  <c r="AP23" i="11"/>
  <c r="AP22" i="11"/>
  <c r="AP21" i="11"/>
  <c r="AP20" i="11"/>
  <c r="AP19" i="11"/>
  <c r="AP18" i="11"/>
  <c r="AP17" i="11"/>
  <c r="AP16" i="11"/>
  <c r="AP15" i="11"/>
  <c r="AP14" i="11"/>
  <c r="AP13" i="11"/>
  <c r="AP12" i="11"/>
  <c r="AP11" i="11"/>
  <c r="AP10" i="11"/>
  <c r="AP9" i="11"/>
  <c r="AP8" i="11"/>
  <c r="AP7" i="11"/>
  <c r="AP6" i="11"/>
  <c r="AP5" i="11"/>
  <c r="AP4" i="11"/>
  <c r="AP3" i="11"/>
  <c r="AP2" i="11"/>
  <c r="Z79" i="11"/>
  <c r="Z78" i="11"/>
  <c r="Z77" i="11"/>
  <c r="Z76" i="11"/>
  <c r="Z75" i="11"/>
  <c r="Z74" i="11"/>
  <c r="Z73" i="11"/>
  <c r="Z72" i="11"/>
  <c r="Z71" i="11"/>
  <c r="Z70" i="11"/>
  <c r="Z69" i="11"/>
  <c r="Z68" i="11"/>
  <c r="Z67" i="11"/>
  <c r="Z66" i="11"/>
  <c r="Z65" i="11"/>
  <c r="Z64" i="11"/>
  <c r="Z63" i="11"/>
  <c r="Z62" i="11"/>
  <c r="Z61" i="11"/>
  <c r="Z60" i="11"/>
  <c r="Z59" i="11"/>
  <c r="Z58" i="11"/>
  <c r="Z57" i="11"/>
  <c r="Z56" i="11"/>
  <c r="Z55" i="11"/>
  <c r="Z54" i="11"/>
  <c r="Z53" i="11"/>
  <c r="Z52" i="11"/>
  <c r="Z51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Z35" i="11"/>
  <c r="Z34" i="11"/>
  <c r="Z33" i="11"/>
  <c r="Z32" i="11"/>
  <c r="Z31" i="11"/>
  <c r="Z30" i="11"/>
  <c r="Z29" i="11"/>
  <c r="Z28" i="11"/>
  <c r="Z27" i="11"/>
  <c r="Z26" i="11"/>
  <c r="Z25" i="11"/>
  <c r="Z24" i="11"/>
  <c r="Z23" i="11"/>
  <c r="Z22" i="11"/>
  <c r="Z21" i="11"/>
  <c r="Z20" i="11"/>
  <c r="Z19" i="11"/>
  <c r="Z18" i="11"/>
  <c r="Z17" i="11"/>
  <c r="Z16" i="11"/>
  <c r="Z15" i="11"/>
  <c r="Z14" i="11"/>
  <c r="Z13" i="11"/>
  <c r="Z12" i="11"/>
  <c r="Z11" i="11"/>
  <c r="Z10" i="11"/>
  <c r="Z9" i="11"/>
  <c r="Z8" i="11"/>
  <c r="Z7" i="11"/>
  <c r="Z6" i="11"/>
  <c r="Z5" i="11"/>
  <c r="Z4" i="11"/>
  <c r="Z3" i="11"/>
  <c r="Z80" i="11"/>
  <c r="P2" i="11"/>
  <c r="Z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51" i="11"/>
  <c r="I52" i="11"/>
  <c r="I53" i="11"/>
  <c r="I54" i="11"/>
  <c r="I55" i="11"/>
  <c r="I56" i="11"/>
  <c r="I57" i="11"/>
  <c r="I58" i="11"/>
  <c r="I59" i="11"/>
  <c r="I60" i="11"/>
  <c r="I61" i="11"/>
  <c r="I50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2" i="1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2" i="7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203" i="6"/>
  <c r="B5" i="6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203" i="5"/>
  <c r="B5" i="5"/>
  <c r="AN196" i="1"/>
  <c r="AN187" i="1"/>
  <c r="AN192" i="1" s="1"/>
  <c r="AN197" i="1" s="1"/>
  <c r="AN184" i="1"/>
  <c r="AN181" i="1"/>
  <c r="AN186" i="1" s="1"/>
  <c r="AN178" i="1"/>
  <c r="AN172" i="1"/>
  <c r="AN171" i="1"/>
  <c r="AN161" i="1"/>
  <c r="AN160" i="1"/>
  <c r="AN165" i="1" s="1"/>
  <c r="AN170" i="1" s="1"/>
  <c r="AN149" i="1"/>
  <c r="AN154" i="1" s="1"/>
  <c r="AN140" i="1"/>
  <c r="AN145" i="1" s="1"/>
  <c r="AN150" i="1" s="1"/>
  <c r="AN132" i="1"/>
  <c r="AN121" i="1"/>
  <c r="AN118" i="1"/>
  <c r="AN117" i="1"/>
  <c r="AN115" i="1"/>
  <c r="AN120" i="1" s="1"/>
  <c r="AN114" i="1"/>
  <c r="AN119" i="1" s="1"/>
  <c r="AN124" i="1" s="1"/>
  <c r="AN100" i="1"/>
  <c r="AN99" i="1"/>
  <c r="AN104" i="1" s="1"/>
  <c r="AN90" i="1"/>
  <c r="AN82" i="1"/>
  <c r="AN87" i="1" s="1"/>
  <c r="AN76" i="1"/>
  <c r="AN81" i="1" s="1"/>
  <c r="AN72" i="1"/>
  <c r="AN70" i="1"/>
  <c r="AN68" i="1"/>
  <c r="AN62" i="1"/>
  <c r="AN59" i="1"/>
  <c r="AN43" i="1"/>
  <c r="AN41" i="1"/>
  <c r="AN46" i="1" s="1"/>
  <c r="AN39" i="1"/>
  <c r="AN37" i="1"/>
  <c r="AN42" i="1" s="1"/>
  <c r="AN35" i="1"/>
  <c r="AN40" i="1" s="1"/>
  <c r="AN28" i="1"/>
  <c r="AN25" i="1"/>
  <c r="AN4" i="1"/>
  <c r="AN9" i="1" s="1"/>
  <c r="W203" i="4"/>
  <c r="H203" i="4"/>
  <c r="E203" i="4"/>
  <c r="D203" i="4"/>
  <c r="C203" i="4"/>
  <c r="B203" i="4"/>
  <c r="W202" i="4"/>
  <c r="H202" i="4"/>
  <c r="E202" i="4"/>
  <c r="D202" i="4"/>
  <c r="C202" i="4"/>
  <c r="B202" i="4"/>
  <c r="W201" i="4"/>
  <c r="H201" i="4"/>
  <c r="E201" i="4"/>
  <c r="D201" i="4"/>
  <c r="C201" i="4"/>
  <c r="B201" i="4"/>
  <c r="W200" i="4"/>
  <c r="H200" i="4"/>
  <c r="E200" i="4"/>
  <c r="D200" i="4"/>
  <c r="C200" i="4"/>
  <c r="B200" i="4"/>
  <c r="W199" i="4"/>
  <c r="H199" i="4"/>
  <c r="E199" i="4"/>
  <c r="D199" i="4"/>
  <c r="C199" i="4"/>
  <c r="B199" i="4"/>
  <c r="W198" i="4"/>
  <c r="H198" i="4"/>
  <c r="E198" i="4"/>
  <c r="D198" i="4"/>
  <c r="C198" i="4"/>
  <c r="B198" i="4"/>
  <c r="W197" i="4"/>
  <c r="H197" i="4"/>
  <c r="E197" i="4"/>
  <c r="D197" i="4"/>
  <c r="C197" i="4"/>
  <c r="B197" i="4"/>
  <c r="W196" i="4"/>
  <c r="H196" i="4"/>
  <c r="E196" i="4"/>
  <c r="D196" i="4"/>
  <c r="C196" i="4"/>
  <c r="B196" i="4"/>
  <c r="W195" i="4"/>
  <c r="H195" i="4"/>
  <c r="E195" i="4"/>
  <c r="D195" i="4"/>
  <c r="C195" i="4"/>
  <c r="B195" i="4"/>
  <c r="W194" i="4"/>
  <c r="H194" i="4"/>
  <c r="E194" i="4"/>
  <c r="D194" i="4"/>
  <c r="C194" i="4"/>
  <c r="B194" i="4"/>
  <c r="W193" i="4"/>
  <c r="H193" i="4"/>
  <c r="E193" i="4"/>
  <c r="D193" i="4"/>
  <c r="C193" i="4"/>
  <c r="B193" i="4"/>
  <c r="W192" i="4"/>
  <c r="H192" i="4"/>
  <c r="E192" i="4"/>
  <c r="D192" i="4"/>
  <c r="C192" i="4"/>
  <c r="B192" i="4"/>
  <c r="W191" i="4"/>
  <c r="H191" i="4"/>
  <c r="E191" i="4"/>
  <c r="D191" i="4"/>
  <c r="C191" i="4"/>
  <c r="B191" i="4"/>
  <c r="W190" i="4"/>
  <c r="H190" i="4"/>
  <c r="E190" i="4"/>
  <c r="D190" i="4"/>
  <c r="C190" i="4"/>
  <c r="B190" i="4"/>
  <c r="W189" i="4"/>
  <c r="H189" i="4"/>
  <c r="E189" i="4"/>
  <c r="D189" i="4"/>
  <c r="C189" i="4"/>
  <c r="B189" i="4"/>
  <c r="W188" i="4"/>
  <c r="H188" i="4"/>
  <c r="E188" i="4"/>
  <c r="D188" i="4"/>
  <c r="C188" i="4"/>
  <c r="B188" i="4"/>
  <c r="W187" i="4"/>
  <c r="H187" i="4"/>
  <c r="E187" i="4"/>
  <c r="D187" i="4"/>
  <c r="C187" i="4"/>
  <c r="B187" i="4"/>
  <c r="W186" i="4"/>
  <c r="H186" i="4"/>
  <c r="E186" i="4"/>
  <c r="D186" i="4"/>
  <c r="C186" i="4"/>
  <c r="B186" i="4"/>
  <c r="W185" i="4"/>
  <c r="H185" i="4"/>
  <c r="E185" i="4"/>
  <c r="D185" i="4"/>
  <c r="C185" i="4"/>
  <c r="B185" i="4"/>
  <c r="W184" i="4"/>
  <c r="H184" i="4"/>
  <c r="E184" i="4"/>
  <c r="D184" i="4"/>
  <c r="C184" i="4"/>
  <c r="B184" i="4"/>
  <c r="W183" i="4"/>
  <c r="H183" i="4"/>
  <c r="E183" i="4"/>
  <c r="D183" i="4"/>
  <c r="C183" i="4"/>
  <c r="B183" i="4"/>
  <c r="W182" i="4"/>
  <c r="H182" i="4"/>
  <c r="E182" i="4"/>
  <c r="D182" i="4"/>
  <c r="C182" i="4"/>
  <c r="B182" i="4"/>
  <c r="W181" i="4"/>
  <c r="H181" i="4"/>
  <c r="E181" i="4"/>
  <c r="D181" i="4"/>
  <c r="C181" i="4"/>
  <c r="B181" i="4"/>
  <c r="W180" i="4"/>
  <c r="H180" i="4"/>
  <c r="E180" i="4"/>
  <c r="D180" i="4"/>
  <c r="C180" i="4"/>
  <c r="B180" i="4"/>
  <c r="W179" i="4"/>
  <c r="H179" i="4"/>
  <c r="E179" i="4"/>
  <c r="D179" i="4"/>
  <c r="C179" i="4"/>
  <c r="B179" i="4"/>
  <c r="W178" i="4"/>
  <c r="H178" i="4"/>
  <c r="E178" i="4"/>
  <c r="D178" i="4"/>
  <c r="C178" i="4"/>
  <c r="B178" i="4"/>
  <c r="W177" i="4"/>
  <c r="H177" i="4"/>
  <c r="E177" i="4"/>
  <c r="D177" i="4"/>
  <c r="C177" i="4"/>
  <c r="B177" i="4"/>
  <c r="W176" i="4"/>
  <c r="H176" i="4"/>
  <c r="E176" i="4"/>
  <c r="D176" i="4"/>
  <c r="C176" i="4"/>
  <c r="B176" i="4"/>
  <c r="W175" i="4"/>
  <c r="H175" i="4"/>
  <c r="E175" i="4"/>
  <c r="D175" i="4"/>
  <c r="C175" i="4"/>
  <c r="B175" i="4"/>
  <c r="W174" i="4"/>
  <c r="H174" i="4"/>
  <c r="E174" i="4"/>
  <c r="D174" i="4"/>
  <c r="C174" i="4"/>
  <c r="B174" i="4"/>
  <c r="W173" i="4"/>
  <c r="H173" i="4"/>
  <c r="E173" i="4"/>
  <c r="D173" i="4"/>
  <c r="C173" i="4"/>
  <c r="B173" i="4"/>
  <c r="W172" i="4"/>
  <c r="H172" i="4"/>
  <c r="E172" i="4"/>
  <c r="D172" i="4"/>
  <c r="C172" i="4"/>
  <c r="B172" i="4"/>
  <c r="W171" i="4"/>
  <c r="H171" i="4"/>
  <c r="E171" i="4"/>
  <c r="D171" i="4"/>
  <c r="C171" i="4"/>
  <c r="B171" i="4"/>
  <c r="W170" i="4"/>
  <c r="H170" i="4"/>
  <c r="E170" i="4"/>
  <c r="D170" i="4"/>
  <c r="C170" i="4"/>
  <c r="B170" i="4"/>
  <c r="W169" i="4"/>
  <c r="H169" i="4"/>
  <c r="E169" i="4"/>
  <c r="D169" i="4"/>
  <c r="C169" i="4"/>
  <c r="B169" i="4"/>
  <c r="W168" i="4"/>
  <c r="H168" i="4"/>
  <c r="E168" i="4"/>
  <c r="D168" i="4"/>
  <c r="C168" i="4"/>
  <c r="B168" i="4"/>
  <c r="W167" i="4"/>
  <c r="H167" i="4"/>
  <c r="E167" i="4"/>
  <c r="D167" i="4"/>
  <c r="C167" i="4"/>
  <c r="B167" i="4"/>
  <c r="W166" i="4"/>
  <c r="H166" i="4"/>
  <c r="E166" i="4"/>
  <c r="D166" i="4"/>
  <c r="C166" i="4"/>
  <c r="B166" i="4"/>
  <c r="W165" i="4"/>
  <c r="H165" i="4"/>
  <c r="E165" i="4"/>
  <c r="D165" i="4"/>
  <c r="C165" i="4"/>
  <c r="B165" i="4"/>
  <c r="W164" i="4"/>
  <c r="H164" i="4"/>
  <c r="E164" i="4"/>
  <c r="D164" i="4"/>
  <c r="C164" i="4"/>
  <c r="B164" i="4"/>
  <c r="W163" i="4"/>
  <c r="H163" i="4"/>
  <c r="E163" i="4"/>
  <c r="D163" i="4"/>
  <c r="C163" i="4"/>
  <c r="B163" i="4"/>
  <c r="W162" i="4"/>
  <c r="H162" i="4"/>
  <c r="E162" i="4"/>
  <c r="D162" i="4"/>
  <c r="C162" i="4"/>
  <c r="B162" i="4"/>
  <c r="W161" i="4"/>
  <c r="H161" i="4"/>
  <c r="E161" i="4"/>
  <c r="D161" i="4"/>
  <c r="C161" i="4"/>
  <c r="B161" i="4"/>
  <c r="W160" i="4"/>
  <c r="H160" i="4"/>
  <c r="E160" i="4"/>
  <c r="D160" i="4"/>
  <c r="C160" i="4"/>
  <c r="B160" i="4"/>
  <c r="W159" i="4"/>
  <c r="H159" i="4"/>
  <c r="E159" i="4"/>
  <c r="D159" i="4"/>
  <c r="C159" i="4"/>
  <c r="B159" i="4"/>
  <c r="W158" i="4"/>
  <c r="H158" i="4"/>
  <c r="E158" i="4"/>
  <c r="D158" i="4"/>
  <c r="C158" i="4"/>
  <c r="B158" i="4"/>
  <c r="W157" i="4"/>
  <c r="H157" i="4"/>
  <c r="E157" i="4"/>
  <c r="D157" i="4"/>
  <c r="C157" i="4"/>
  <c r="B157" i="4"/>
  <c r="W156" i="4"/>
  <c r="H156" i="4"/>
  <c r="E156" i="4"/>
  <c r="D156" i="4"/>
  <c r="C156" i="4"/>
  <c r="B156" i="4"/>
  <c r="W155" i="4"/>
  <c r="H155" i="4"/>
  <c r="E155" i="4"/>
  <c r="D155" i="4"/>
  <c r="C155" i="4"/>
  <c r="B155" i="4"/>
  <c r="W154" i="4"/>
  <c r="H154" i="4"/>
  <c r="E154" i="4"/>
  <c r="D154" i="4"/>
  <c r="C154" i="4"/>
  <c r="B154" i="4"/>
  <c r="W153" i="4"/>
  <c r="H153" i="4"/>
  <c r="E153" i="4"/>
  <c r="D153" i="4"/>
  <c r="C153" i="4"/>
  <c r="B153" i="4"/>
  <c r="W152" i="4"/>
  <c r="H152" i="4"/>
  <c r="E152" i="4"/>
  <c r="D152" i="4"/>
  <c r="C152" i="4"/>
  <c r="B152" i="4"/>
  <c r="W151" i="4"/>
  <c r="H151" i="4"/>
  <c r="E151" i="4"/>
  <c r="D151" i="4"/>
  <c r="C151" i="4"/>
  <c r="B151" i="4"/>
  <c r="W150" i="4"/>
  <c r="H150" i="4"/>
  <c r="E150" i="4"/>
  <c r="D150" i="4"/>
  <c r="C150" i="4"/>
  <c r="B150" i="4"/>
  <c r="W149" i="4"/>
  <c r="H149" i="4"/>
  <c r="E149" i="4"/>
  <c r="D149" i="4"/>
  <c r="C149" i="4"/>
  <c r="B149" i="4"/>
  <c r="W148" i="4"/>
  <c r="H148" i="4"/>
  <c r="E148" i="4"/>
  <c r="D148" i="4"/>
  <c r="C148" i="4"/>
  <c r="B148" i="4"/>
  <c r="W147" i="4"/>
  <c r="H147" i="4"/>
  <c r="E147" i="4"/>
  <c r="D147" i="4"/>
  <c r="C147" i="4"/>
  <c r="B147" i="4"/>
  <c r="W146" i="4"/>
  <c r="H146" i="4"/>
  <c r="E146" i="4"/>
  <c r="D146" i="4"/>
  <c r="C146" i="4"/>
  <c r="B146" i="4"/>
  <c r="W145" i="4"/>
  <c r="H145" i="4"/>
  <c r="E145" i="4"/>
  <c r="D145" i="4"/>
  <c r="C145" i="4"/>
  <c r="B145" i="4"/>
  <c r="W144" i="4"/>
  <c r="H144" i="4"/>
  <c r="E144" i="4"/>
  <c r="D144" i="4"/>
  <c r="C144" i="4"/>
  <c r="B144" i="4"/>
  <c r="W143" i="4"/>
  <c r="H143" i="4"/>
  <c r="E143" i="4"/>
  <c r="D143" i="4"/>
  <c r="C143" i="4"/>
  <c r="B143" i="4"/>
  <c r="W142" i="4"/>
  <c r="H142" i="4"/>
  <c r="E142" i="4"/>
  <c r="D142" i="4"/>
  <c r="C142" i="4"/>
  <c r="B142" i="4"/>
  <c r="W141" i="4"/>
  <c r="H141" i="4"/>
  <c r="E141" i="4"/>
  <c r="D141" i="4"/>
  <c r="C141" i="4"/>
  <c r="B141" i="4"/>
  <c r="W140" i="4"/>
  <c r="H140" i="4"/>
  <c r="E140" i="4"/>
  <c r="D140" i="4"/>
  <c r="C140" i="4"/>
  <c r="B140" i="4"/>
  <c r="W139" i="4"/>
  <c r="H139" i="4"/>
  <c r="E139" i="4"/>
  <c r="D139" i="4"/>
  <c r="C139" i="4"/>
  <c r="B139" i="4"/>
  <c r="W138" i="4"/>
  <c r="H138" i="4"/>
  <c r="E138" i="4"/>
  <c r="D138" i="4"/>
  <c r="C138" i="4"/>
  <c r="B138" i="4"/>
  <c r="W137" i="4"/>
  <c r="H137" i="4"/>
  <c r="E137" i="4"/>
  <c r="D137" i="4"/>
  <c r="C137" i="4"/>
  <c r="B137" i="4"/>
  <c r="W136" i="4"/>
  <c r="H136" i="4"/>
  <c r="E136" i="4"/>
  <c r="D136" i="4"/>
  <c r="C136" i="4"/>
  <c r="B136" i="4"/>
  <c r="W135" i="4"/>
  <c r="H135" i="4"/>
  <c r="E135" i="4"/>
  <c r="D135" i="4"/>
  <c r="C135" i="4"/>
  <c r="B135" i="4"/>
  <c r="W134" i="4"/>
  <c r="H134" i="4"/>
  <c r="E134" i="4"/>
  <c r="D134" i="4"/>
  <c r="C134" i="4"/>
  <c r="B134" i="4"/>
  <c r="W133" i="4"/>
  <c r="H133" i="4"/>
  <c r="E133" i="4"/>
  <c r="D133" i="4"/>
  <c r="C133" i="4"/>
  <c r="B133" i="4"/>
  <c r="W132" i="4"/>
  <c r="H132" i="4"/>
  <c r="E132" i="4"/>
  <c r="D132" i="4"/>
  <c r="C132" i="4"/>
  <c r="B132" i="4"/>
  <c r="W131" i="4"/>
  <c r="H131" i="4"/>
  <c r="E131" i="4"/>
  <c r="D131" i="4"/>
  <c r="C131" i="4"/>
  <c r="B131" i="4"/>
  <c r="W130" i="4"/>
  <c r="H130" i="4"/>
  <c r="E130" i="4"/>
  <c r="D130" i="4"/>
  <c r="C130" i="4"/>
  <c r="B130" i="4"/>
  <c r="W129" i="4"/>
  <c r="H129" i="4"/>
  <c r="E129" i="4"/>
  <c r="D129" i="4"/>
  <c r="C129" i="4"/>
  <c r="B129" i="4"/>
  <c r="W128" i="4"/>
  <c r="H128" i="4"/>
  <c r="E128" i="4"/>
  <c r="D128" i="4"/>
  <c r="C128" i="4"/>
  <c r="B128" i="4"/>
  <c r="W127" i="4"/>
  <c r="H127" i="4"/>
  <c r="E127" i="4"/>
  <c r="D127" i="4"/>
  <c r="C127" i="4"/>
  <c r="B127" i="4"/>
  <c r="W126" i="4"/>
  <c r="H126" i="4"/>
  <c r="E126" i="4"/>
  <c r="D126" i="4"/>
  <c r="C126" i="4"/>
  <c r="B126" i="4"/>
  <c r="W125" i="4"/>
  <c r="H125" i="4"/>
  <c r="E125" i="4"/>
  <c r="D125" i="4"/>
  <c r="C125" i="4"/>
  <c r="B125" i="4"/>
  <c r="W124" i="4"/>
  <c r="H124" i="4"/>
  <c r="E124" i="4"/>
  <c r="D124" i="4"/>
  <c r="C124" i="4"/>
  <c r="B124" i="4"/>
  <c r="W123" i="4"/>
  <c r="H123" i="4"/>
  <c r="E123" i="4"/>
  <c r="D123" i="4"/>
  <c r="C123" i="4"/>
  <c r="B123" i="4"/>
  <c r="W122" i="4"/>
  <c r="H122" i="4"/>
  <c r="E122" i="4"/>
  <c r="D122" i="4"/>
  <c r="C122" i="4"/>
  <c r="B122" i="4"/>
  <c r="W121" i="4"/>
  <c r="H121" i="4"/>
  <c r="E121" i="4"/>
  <c r="D121" i="4"/>
  <c r="C121" i="4"/>
  <c r="B121" i="4"/>
  <c r="W120" i="4"/>
  <c r="H120" i="4"/>
  <c r="E120" i="4"/>
  <c r="D120" i="4"/>
  <c r="C120" i="4"/>
  <c r="B120" i="4"/>
  <c r="W119" i="4"/>
  <c r="H119" i="4"/>
  <c r="E119" i="4"/>
  <c r="D119" i="4"/>
  <c r="C119" i="4"/>
  <c r="B119" i="4"/>
  <c r="W118" i="4"/>
  <c r="H118" i="4"/>
  <c r="E118" i="4"/>
  <c r="D118" i="4"/>
  <c r="C118" i="4"/>
  <c r="B118" i="4"/>
  <c r="W117" i="4"/>
  <c r="H117" i="4"/>
  <c r="E117" i="4"/>
  <c r="D117" i="4"/>
  <c r="C117" i="4"/>
  <c r="B117" i="4"/>
  <c r="W116" i="4"/>
  <c r="H116" i="4"/>
  <c r="E116" i="4"/>
  <c r="D116" i="4"/>
  <c r="C116" i="4"/>
  <c r="B116" i="4"/>
  <c r="W115" i="4"/>
  <c r="H115" i="4"/>
  <c r="E115" i="4"/>
  <c r="D115" i="4"/>
  <c r="C115" i="4"/>
  <c r="B115" i="4"/>
  <c r="W114" i="4"/>
  <c r="H114" i="4"/>
  <c r="E114" i="4"/>
  <c r="D114" i="4"/>
  <c r="C114" i="4"/>
  <c r="B114" i="4"/>
  <c r="W113" i="4"/>
  <c r="H113" i="4"/>
  <c r="E113" i="4"/>
  <c r="D113" i="4"/>
  <c r="C113" i="4"/>
  <c r="B113" i="4"/>
  <c r="W112" i="4"/>
  <c r="H112" i="4"/>
  <c r="E112" i="4"/>
  <c r="D112" i="4"/>
  <c r="C112" i="4"/>
  <c r="B112" i="4"/>
  <c r="W111" i="4"/>
  <c r="H111" i="4"/>
  <c r="E111" i="4"/>
  <c r="D111" i="4"/>
  <c r="C111" i="4"/>
  <c r="B111" i="4"/>
  <c r="W110" i="4"/>
  <c r="H110" i="4"/>
  <c r="E110" i="4"/>
  <c r="D110" i="4"/>
  <c r="C110" i="4"/>
  <c r="B110" i="4"/>
  <c r="W109" i="4"/>
  <c r="H109" i="4"/>
  <c r="E109" i="4"/>
  <c r="D109" i="4"/>
  <c r="C109" i="4"/>
  <c r="B109" i="4"/>
  <c r="W108" i="4"/>
  <c r="H108" i="4"/>
  <c r="E108" i="4"/>
  <c r="D108" i="4"/>
  <c r="C108" i="4"/>
  <c r="B108" i="4"/>
  <c r="W107" i="4"/>
  <c r="H107" i="4"/>
  <c r="E107" i="4"/>
  <c r="D107" i="4"/>
  <c r="C107" i="4"/>
  <c r="B107" i="4"/>
  <c r="W106" i="4"/>
  <c r="H106" i="4"/>
  <c r="E106" i="4"/>
  <c r="D106" i="4"/>
  <c r="C106" i="4"/>
  <c r="B106" i="4"/>
  <c r="W105" i="4"/>
  <c r="H105" i="4"/>
  <c r="E105" i="4"/>
  <c r="D105" i="4"/>
  <c r="C105" i="4"/>
  <c r="B105" i="4"/>
  <c r="W104" i="4"/>
  <c r="H104" i="4"/>
  <c r="E104" i="4"/>
  <c r="D104" i="4"/>
  <c r="C104" i="4"/>
  <c r="B104" i="4"/>
  <c r="W103" i="4"/>
  <c r="H103" i="4"/>
  <c r="E103" i="4"/>
  <c r="D103" i="4"/>
  <c r="C103" i="4"/>
  <c r="B103" i="4"/>
  <c r="W102" i="4"/>
  <c r="H102" i="4"/>
  <c r="E102" i="4"/>
  <c r="D102" i="4"/>
  <c r="C102" i="4"/>
  <c r="B102" i="4"/>
  <c r="W101" i="4"/>
  <c r="H101" i="4"/>
  <c r="E101" i="4"/>
  <c r="D101" i="4"/>
  <c r="C101" i="4"/>
  <c r="B101" i="4"/>
  <c r="W100" i="4"/>
  <c r="H100" i="4"/>
  <c r="E100" i="4"/>
  <c r="D100" i="4"/>
  <c r="C100" i="4"/>
  <c r="B100" i="4"/>
  <c r="W99" i="4"/>
  <c r="H99" i="4"/>
  <c r="E99" i="4"/>
  <c r="D99" i="4"/>
  <c r="C99" i="4"/>
  <c r="B99" i="4"/>
  <c r="W98" i="4"/>
  <c r="H98" i="4"/>
  <c r="E98" i="4"/>
  <c r="D98" i="4"/>
  <c r="C98" i="4"/>
  <c r="B98" i="4"/>
  <c r="W97" i="4"/>
  <c r="H97" i="4"/>
  <c r="E97" i="4"/>
  <c r="D97" i="4"/>
  <c r="C97" i="4"/>
  <c r="B97" i="4"/>
  <c r="W96" i="4"/>
  <c r="H96" i="4"/>
  <c r="E96" i="4"/>
  <c r="D96" i="4"/>
  <c r="C96" i="4"/>
  <c r="B96" i="4"/>
  <c r="W95" i="4"/>
  <c r="H95" i="4"/>
  <c r="E95" i="4"/>
  <c r="D95" i="4"/>
  <c r="C95" i="4"/>
  <c r="B95" i="4"/>
  <c r="W94" i="4"/>
  <c r="H94" i="4"/>
  <c r="E94" i="4"/>
  <c r="D94" i="4"/>
  <c r="C94" i="4"/>
  <c r="B94" i="4"/>
  <c r="W93" i="4"/>
  <c r="H93" i="4"/>
  <c r="E93" i="4"/>
  <c r="D93" i="4"/>
  <c r="C93" i="4"/>
  <c r="B93" i="4"/>
  <c r="W92" i="4"/>
  <c r="H92" i="4"/>
  <c r="E92" i="4"/>
  <c r="D92" i="4"/>
  <c r="C92" i="4"/>
  <c r="B92" i="4"/>
  <c r="W91" i="4"/>
  <c r="H91" i="4"/>
  <c r="E91" i="4"/>
  <c r="D91" i="4"/>
  <c r="C91" i="4"/>
  <c r="B91" i="4"/>
  <c r="W90" i="4"/>
  <c r="H90" i="4"/>
  <c r="E90" i="4"/>
  <c r="D90" i="4"/>
  <c r="C90" i="4"/>
  <c r="B90" i="4"/>
  <c r="W89" i="4"/>
  <c r="H89" i="4"/>
  <c r="E89" i="4"/>
  <c r="D89" i="4"/>
  <c r="C89" i="4"/>
  <c r="B89" i="4"/>
  <c r="W88" i="4"/>
  <c r="H88" i="4"/>
  <c r="E88" i="4"/>
  <c r="D88" i="4"/>
  <c r="C88" i="4"/>
  <c r="B88" i="4"/>
  <c r="W87" i="4"/>
  <c r="H87" i="4"/>
  <c r="E87" i="4"/>
  <c r="D87" i="4"/>
  <c r="C87" i="4"/>
  <c r="B87" i="4"/>
  <c r="W86" i="4"/>
  <c r="H86" i="4"/>
  <c r="E86" i="4"/>
  <c r="D86" i="4"/>
  <c r="C86" i="4"/>
  <c r="B86" i="4"/>
  <c r="W85" i="4"/>
  <c r="H85" i="4"/>
  <c r="E85" i="4"/>
  <c r="D85" i="4"/>
  <c r="C85" i="4"/>
  <c r="B85" i="4"/>
  <c r="W84" i="4"/>
  <c r="H84" i="4"/>
  <c r="E84" i="4"/>
  <c r="D84" i="4"/>
  <c r="C84" i="4"/>
  <c r="B84" i="4"/>
  <c r="W83" i="4"/>
  <c r="H83" i="4"/>
  <c r="E83" i="4"/>
  <c r="D83" i="4"/>
  <c r="C83" i="4"/>
  <c r="B83" i="4"/>
  <c r="W82" i="4"/>
  <c r="H82" i="4"/>
  <c r="E82" i="4"/>
  <c r="D82" i="4"/>
  <c r="C82" i="4"/>
  <c r="B82" i="4"/>
  <c r="W81" i="4"/>
  <c r="H81" i="4"/>
  <c r="E81" i="4"/>
  <c r="D81" i="4"/>
  <c r="C81" i="4"/>
  <c r="B81" i="4"/>
  <c r="W80" i="4"/>
  <c r="H80" i="4"/>
  <c r="E80" i="4"/>
  <c r="D80" i="4"/>
  <c r="C80" i="4"/>
  <c r="B80" i="4"/>
  <c r="W79" i="4"/>
  <c r="H79" i="4"/>
  <c r="E79" i="4"/>
  <c r="D79" i="4"/>
  <c r="C79" i="4"/>
  <c r="B79" i="4"/>
  <c r="W78" i="4"/>
  <c r="H78" i="4"/>
  <c r="E78" i="4"/>
  <c r="D78" i="4"/>
  <c r="C78" i="4"/>
  <c r="B78" i="4"/>
  <c r="W77" i="4"/>
  <c r="H77" i="4"/>
  <c r="E77" i="4"/>
  <c r="D77" i="4"/>
  <c r="C77" i="4"/>
  <c r="B77" i="4"/>
  <c r="W76" i="4"/>
  <c r="H76" i="4"/>
  <c r="E76" i="4"/>
  <c r="D76" i="4"/>
  <c r="C76" i="4"/>
  <c r="B76" i="4"/>
  <c r="W75" i="4"/>
  <c r="H75" i="4"/>
  <c r="E75" i="4"/>
  <c r="D75" i="4"/>
  <c r="C75" i="4"/>
  <c r="B75" i="4"/>
  <c r="W74" i="4"/>
  <c r="H74" i="4"/>
  <c r="E74" i="4"/>
  <c r="D74" i="4"/>
  <c r="C74" i="4"/>
  <c r="B74" i="4"/>
  <c r="W73" i="4"/>
  <c r="H73" i="4"/>
  <c r="E73" i="4"/>
  <c r="D73" i="4"/>
  <c r="C73" i="4"/>
  <c r="B73" i="4"/>
  <c r="W72" i="4"/>
  <c r="H72" i="4"/>
  <c r="E72" i="4"/>
  <c r="D72" i="4"/>
  <c r="C72" i="4"/>
  <c r="B72" i="4"/>
  <c r="W71" i="4"/>
  <c r="H71" i="4"/>
  <c r="E71" i="4"/>
  <c r="D71" i="4"/>
  <c r="C71" i="4"/>
  <c r="B71" i="4"/>
  <c r="W70" i="4"/>
  <c r="H70" i="4"/>
  <c r="E70" i="4"/>
  <c r="D70" i="4"/>
  <c r="C70" i="4"/>
  <c r="B70" i="4"/>
  <c r="W69" i="4"/>
  <c r="H69" i="4"/>
  <c r="E69" i="4"/>
  <c r="D69" i="4"/>
  <c r="C69" i="4"/>
  <c r="B69" i="4"/>
  <c r="W68" i="4"/>
  <c r="H68" i="4"/>
  <c r="E68" i="4"/>
  <c r="D68" i="4"/>
  <c r="C68" i="4"/>
  <c r="B68" i="4"/>
  <c r="W67" i="4"/>
  <c r="H67" i="4"/>
  <c r="E67" i="4"/>
  <c r="D67" i="4"/>
  <c r="C67" i="4"/>
  <c r="B67" i="4"/>
  <c r="W66" i="4"/>
  <c r="H66" i="4"/>
  <c r="E66" i="4"/>
  <c r="D66" i="4"/>
  <c r="C66" i="4"/>
  <c r="B66" i="4"/>
  <c r="W65" i="4"/>
  <c r="H65" i="4"/>
  <c r="E65" i="4"/>
  <c r="D65" i="4"/>
  <c r="C65" i="4"/>
  <c r="B65" i="4"/>
  <c r="W64" i="4"/>
  <c r="H64" i="4"/>
  <c r="E64" i="4"/>
  <c r="D64" i="4"/>
  <c r="C64" i="4"/>
  <c r="B64" i="4"/>
  <c r="W63" i="4"/>
  <c r="H63" i="4"/>
  <c r="E63" i="4"/>
  <c r="D63" i="4"/>
  <c r="C63" i="4"/>
  <c r="B63" i="4"/>
  <c r="W62" i="4"/>
  <c r="H62" i="4"/>
  <c r="E62" i="4"/>
  <c r="D62" i="4"/>
  <c r="C62" i="4"/>
  <c r="B62" i="4"/>
  <c r="W61" i="4"/>
  <c r="H61" i="4"/>
  <c r="E61" i="4"/>
  <c r="D61" i="4"/>
  <c r="C61" i="4"/>
  <c r="B61" i="4"/>
  <c r="W60" i="4"/>
  <c r="H60" i="4"/>
  <c r="E60" i="4"/>
  <c r="D60" i="4"/>
  <c r="C60" i="4"/>
  <c r="B60" i="4"/>
  <c r="W59" i="4"/>
  <c r="H59" i="4"/>
  <c r="E59" i="4"/>
  <c r="D59" i="4"/>
  <c r="C59" i="4"/>
  <c r="B59" i="4"/>
  <c r="W58" i="4"/>
  <c r="H58" i="4"/>
  <c r="E58" i="4"/>
  <c r="D58" i="4"/>
  <c r="C58" i="4"/>
  <c r="B58" i="4"/>
  <c r="W57" i="4"/>
  <c r="H57" i="4"/>
  <c r="E57" i="4"/>
  <c r="D57" i="4"/>
  <c r="C57" i="4"/>
  <c r="B57" i="4"/>
  <c r="W56" i="4"/>
  <c r="H56" i="4"/>
  <c r="E56" i="4"/>
  <c r="D56" i="4"/>
  <c r="C56" i="4"/>
  <c r="B56" i="4"/>
  <c r="W55" i="4"/>
  <c r="H55" i="4"/>
  <c r="E55" i="4"/>
  <c r="D55" i="4"/>
  <c r="C55" i="4"/>
  <c r="B55" i="4"/>
  <c r="W54" i="4"/>
  <c r="H54" i="4"/>
  <c r="E54" i="4"/>
  <c r="D54" i="4"/>
  <c r="C54" i="4"/>
  <c r="B54" i="4"/>
  <c r="W53" i="4"/>
  <c r="H53" i="4"/>
  <c r="E53" i="4"/>
  <c r="D53" i="4"/>
  <c r="C53" i="4"/>
  <c r="B53" i="4"/>
  <c r="W52" i="4"/>
  <c r="H52" i="4"/>
  <c r="E52" i="4"/>
  <c r="D52" i="4"/>
  <c r="C52" i="4"/>
  <c r="B52" i="4"/>
  <c r="W51" i="4"/>
  <c r="H51" i="4"/>
  <c r="E51" i="4"/>
  <c r="D51" i="4"/>
  <c r="C51" i="4"/>
  <c r="B51" i="4"/>
  <c r="W50" i="4"/>
  <c r="H50" i="4"/>
  <c r="E50" i="4"/>
  <c r="D50" i="4"/>
  <c r="C50" i="4"/>
  <c r="B50" i="4"/>
  <c r="W49" i="4"/>
  <c r="H49" i="4"/>
  <c r="E49" i="4"/>
  <c r="D49" i="4"/>
  <c r="C49" i="4"/>
  <c r="B49" i="4"/>
  <c r="W48" i="4"/>
  <c r="H48" i="4"/>
  <c r="E48" i="4"/>
  <c r="D48" i="4"/>
  <c r="C48" i="4"/>
  <c r="B48" i="4"/>
  <c r="W47" i="4"/>
  <c r="H47" i="4"/>
  <c r="E47" i="4"/>
  <c r="D47" i="4"/>
  <c r="C47" i="4"/>
  <c r="B47" i="4"/>
  <c r="W46" i="4"/>
  <c r="H46" i="4"/>
  <c r="E46" i="4"/>
  <c r="D46" i="4"/>
  <c r="C46" i="4"/>
  <c r="B46" i="4"/>
  <c r="W45" i="4"/>
  <c r="H45" i="4"/>
  <c r="E45" i="4"/>
  <c r="D45" i="4"/>
  <c r="C45" i="4"/>
  <c r="B45" i="4"/>
  <c r="W44" i="4"/>
  <c r="H44" i="4"/>
  <c r="E44" i="4"/>
  <c r="D44" i="4"/>
  <c r="C44" i="4"/>
  <c r="B44" i="4"/>
  <c r="W43" i="4"/>
  <c r="H43" i="4"/>
  <c r="E43" i="4"/>
  <c r="D43" i="4"/>
  <c r="C43" i="4"/>
  <c r="B43" i="4"/>
  <c r="W42" i="4"/>
  <c r="H42" i="4"/>
  <c r="E42" i="4"/>
  <c r="D42" i="4"/>
  <c r="C42" i="4"/>
  <c r="B42" i="4"/>
  <c r="W41" i="4"/>
  <c r="H41" i="4"/>
  <c r="E41" i="4"/>
  <c r="D41" i="4"/>
  <c r="C41" i="4"/>
  <c r="B41" i="4"/>
  <c r="W40" i="4"/>
  <c r="H40" i="4"/>
  <c r="E40" i="4"/>
  <c r="D40" i="4"/>
  <c r="C40" i="4"/>
  <c r="B40" i="4"/>
  <c r="W39" i="4"/>
  <c r="H39" i="4"/>
  <c r="E39" i="4"/>
  <c r="D39" i="4"/>
  <c r="C39" i="4"/>
  <c r="B39" i="4"/>
  <c r="W38" i="4"/>
  <c r="H38" i="4"/>
  <c r="E38" i="4"/>
  <c r="D38" i="4"/>
  <c r="C38" i="4"/>
  <c r="B38" i="4"/>
  <c r="W37" i="4"/>
  <c r="H37" i="4"/>
  <c r="E37" i="4"/>
  <c r="D37" i="4"/>
  <c r="C37" i="4"/>
  <c r="B37" i="4"/>
  <c r="W36" i="4"/>
  <c r="H36" i="4"/>
  <c r="E36" i="4"/>
  <c r="D36" i="4"/>
  <c r="C36" i="4"/>
  <c r="B36" i="4"/>
  <c r="W35" i="4"/>
  <c r="H35" i="4"/>
  <c r="E35" i="4"/>
  <c r="D35" i="4"/>
  <c r="C35" i="4"/>
  <c r="B35" i="4"/>
  <c r="W34" i="4"/>
  <c r="H34" i="4"/>
  <c r="E34" i="4"/>
  <c r="D34" i="4"/>
  <c r="C34" i="4"/>
  <c r="B34" i="4"/>
  <c r="W33" i="4"/>
  <c r="H33" i="4"/>
  <c r="E33" i="4"/>
  <c r="D33" i="4"/>
  <c r="C33" i="4"/>
  <c r="B33" i="4"/>
  <c r="W32" i="4"/>
  <c r="H32" i="4"/>
  <c r="E32" i="4"/>
  <c r="D32" i="4"/>
  <c r="C32" i="4"/>
  <c r="B32" i="4"/>
  <c r="W31" i="4"/>
  <c r="H31" i="4"/>
  <c r="E31" i="4"/>
  <c r="D31" i="4"/>
  <c r="C31" i="4"/>
  <c r="B31" i="4"/>
  <c r="W30" i="4"/>
  <c r="H30" i="4"/>
  <c r="E30" i="4"/>
  <c r="D30" i="4"/>
  <c r="C30" i="4"/>
  <c r="B30" i="4"/>
  <c r="W29" i="4"/>
  <c r="H29" i="4"/>
  <c r="E29" i="4"/>
  <c r="D29" i="4"/>
  <c r="C29" i="4"/>
  <c r="B29" i="4"/>
  <c r="W28" i="4"/>
  <c r="H28" i="4"/>
  <c r="E28" i="4"/>
  <c r="D28" i="4"/>
  <c r="C28" i="4"/>
  <c r="B28" i="4"/>
  <c r="W27" i="4"/>
  <c r="H27" i="4"/>
  <c r="E27" i="4"/>
  <c r="D27" i="4"/>
  <c r="C27" i="4"/>
  <c r="B27" i="4"/>
  <c r="W26" i="4"/>
  <c r="H26" i="4"/>
  <c r="E26" i="4"/>
  <c r="D26" i="4"/>
  <c r="C26" i="4"/>
  <c r="B26" i="4"/>
  <c r="W25" i="4"/>
  <c r="H25" i="4"/>
  <c r="E25" i="4"/>
  <c r="D25" i="4"/>
  <c r="C25" i="4"/>
  <c r="B25" i="4"/>
  <c r="W24" i="4"/>
  <c r="H24" i="4"/>
  <c r="E24" i="4"/>
  <c r="D24" i="4"/>
  <c r="C24" i="4"/>
  <c r="B24" i="4"/>
  <c r="W23" i="4"/>
  <c r="H23" i="4"/>
  <c r="E23" i="4"/>
  <c r="D23" i="4"/>
  <c r="C23" i="4"/>
  <c r="B23" i="4"/>
  <c r="W22" i="4"/>
  <c r="H22" i="4"/>
  <c r="E22" i="4"/>
  <c r="D22" i="4"/>
  <c r="C22" i="4"/>
  <c r="B22" i="4"/>
  <c r="W21" i="4"/>
  <c r="H21" i="4"/>
  <c r="E21" i="4"/>
  <c r="D21" i="4"/>
  <c r="C21" i="4"/>
  <c r="B21" i="4"/>
  <c r="W20" i="4"/>
  <c r="H20" i="4"/>
  <c r="E20" i="4"/>
  <c r="D20" i="4"/>
  <c r="C20" i="4"/>
  <c r="B20" i="4"/>
  <c r="W19" i="4"/>
  <c r="H19" i="4"/>
  <c r="E19" i="4"/>
  <c r="D19" i="4"/>
  <c r="C19" i="4"/>
  <c r="B19" i="4"/>
  <c r="W18" i="4"/>
  <c r="H18" i="4"/>
  <c r="E18" i="4"/>
  <c r="D18" i="4"/>
  <c r="C18" i="4"/>
  <c r="B18" i="4"/>
  <c r="W17" i="4"/>
  <c r="H17" i="4"/>
  <c r="E17" i="4"/>
  <c r="D17" i="4"/>
  <c r="C17" i="4"/>
  <c r="B17" i="4"/>
  <c r="W16" i="4"/>
  <c r="H16" i="4"/>
  <c r="E16" i="4"/>
  <c r="D16" i="4"/>
  <c r="C16" i="4"/>
  <c r="B16" i="4"/>
  <c r="W15" i="4"/>
  <c r="H15" i="4"/>
  <c r="E15" i="4"/>
  <c r="D15" i="4"/>
  <c r="C15" i="4"/>
  <c r="B15" i="4"/>
  <c r="W14" i="4"/>
  <c r="H14" i="4"/>
  <c r="E14" i="4"/>
  <c r="D14" i="4"/>
  <c r="C14" i="4"/>
  <c r="B14" i="4"/>
  <c r="W13" i="4"/>
  <c r="H13" i="4"/>
  <c r="E13" i="4"/>
  <c r="D13" i="4"/>
  <c r="C13" i="4"/>
  <c r="B13" i="4"/>
  <c r="W12" i="4"/>
  <c r="H12" i="4"/>
  <c r="E12" i="4"/>
  <c r="D12" i="4"/>
  <c r="C12" i="4"/>
  <c r="B12" i="4"/>
  <c r="W11" i="4"/>
  <c r="H11" i="4"/>
  <c r="E11" i="4"/>
  <c r="D11" i="4"/>
  <c r="C11" i="4"/>
  <c r="B11" i="4"/>
  <c r="W10" i="4"/>
  <c r="H10" i="4"/>
  <c r="E10" i="4"/>
  <c r="D10" i="4"/>
  <c r="C10" i="4"/>
  <c r="B10" i="4"/>
  <c r="W9" i="4"/>
  <c r="H9" i="4"/>
  <c r="E9" i="4"/>
  <c r="D9" i="4"/>
  <c r="C9" i="4"/>
  <c r="B9" i="4"/>
  <c r="W8" i="4"/>
  <c r="H8" i="4"/>
  <c r="E8" i="4"/>
  <c r="D8" i="4"/>
  <c r="C8" i="4"/>
  <c r="B8" i="4"/>
  <c r="W7" i="4"/>
  <c r="H7" i="4"/>
  <c r="E7" i="4"/>
  <c r="D7" i="4"/>
  <c r="C7" i="4"/>
  <c r="B7" i="4"/>
  <c r="W6" i="4"/>
  <c r="H6" i="4"/>
  <c r="E6" i="4"/>
  <c r="D6" i="4"/>
  <c r="C6" i="4"/>
  <c r="B6" i="4"/>
  <c r="AK6" i="1"/>
  <c r="AC6" i="4" s="1"/>
  <c r="AL6" i="1"/>
  <c r="AM6" i="1" s="1"/>
  <c r="AB6" i="4" s="1"/>
  <c r="AK7" i="1"/>
  <c r="AC7" i="4" s="1"/>
  <c r="AL7" i="1"/>
  <c r="AM7" i="1" s="1"/>
  <c r="AB7" i="4" s="1"/>
  <c r="AK8" i="1"/>
  <c r="AC8" i="4" s="1"/>
  <c r="AL8" i="1"/>
  <c r="AM8" i="1" s="1"/>
  <c r="AB8" i="4" s="1"/>
  <c r="AK9" i="1"/>
  <c r="AC9" i="4" s="1"/>
  <c r="AL9" i="1"/>
  <c r="AM9" i="1" s="1"/>
  <c r="AB9" i="4" s="1"/>
  <c r="AK10" i="1"/>
  <c r="AC10" i="4" s="1"/>
  <c r="AL10" i="1"/>
  <c r="AM10" i="1" s="1"/>
  <c r="AB10" i="4" s="1"/>
  <c r="AK11" i="1"/>
  <c r="AC11" i="4" s="1"/>
  <c r="AL11" i="1"/>
  <c r="AM11" i="1" s="1"/>
  <c r="AB11" i="4" s="1"/>
  <c r="AK12" i="1"/>
  <c r="AC12" i="4" s="1"/>
  <c r="AL12" i="1"/>
  <c r="AM12" i="1" s="1"/>
  <c r="AB12" i="4" s="1"/>
  <c r="AK13" i="1"/>
  <c r="AC13" i="4" s="1"/>
  <c r="AL13" i="1"/>
  <c r="AM13" i="1" s="1"/>
  <c r="AB13" i="4" s="1"/>
  <c r="AK14" i="1"/>
  <c r="AC14" i="4" s="1"/>
  <c r="AL14" i="1"/>
  <c r="AK15" i="1"/>
  <c r="AC15" i="4" s="1"/>
  <c r="AL15" i="1"/>
  <c r="AM15" i="1" s="1"/>
  <c r="AB15" i="4" s="1"/>
  <c r="AK16" i="1"/>
  <c r="AC16" i="4" s="1"/>
  <c r="AL16" i="1"/>
  <c r="AK17" i="1"/>
  <c r="AC17" i="4" s="1"/>
  <c r="AL17" i="1"/>
  <c r="AM17" i="1" s="1"/>
  <c r="AB17" i="4" s="1"/>
  <c r="AK18" i="1"/>
  <c r="AC18" i="4" s="1"/>
  <c r="AL18" i="1"/>
  <c r="AM18" i="1" s="1"/>
  <c r="AB18" i="4" s="1"/>
  <c r="AK19" i="1"/>
  <c r="AC19" i="4" s="1"/>
  <c r="AL19" i="1"/>
  <c r="AK20" i="1"/>
  <c r="AC20" i="4" s="1"/>
  <c r="AL20" i="1"/>
  <c r="AM20" i="1" s="1"/>
  <c r="AB20" i="4" s="1"/>
  <c r="AK21" i="1"/>
  <c r="AC21" i="4" s="1"/>
  <c r="AL21" i="1"/>
  <c r="AK22" i="1"/>
  <c r="AC22" i="4" s="1"/>
  <c r="AL22" i="1"/>
  <c r="AK23" i="1"/>
  <c r="AC23" i="4" s="1"/>
  <c r="AL23" i="1"/>
  <c r="AM23" i="1" s="1"/>
  <c r="AB23" i="4" s="1"/>
  <c r="AK24" i="1"/>
  <c r="AC24" i="4" s="1"/>
  <c r="AL24" i="1"/>
  <c r="AK25" i="1"/>
  <c r="AC25" i="4" s="1"/>
  <c r="AL25" i="1"/>
  <c r="AM25" i="1" s="1"/>
  <c r="AB25" i="4" s="1"/>
  <c r="AK26" i="1"/>
  <c r="AC26" i="4" s="1"/>
  <c r="AL26" i="1"/>
  <c r="AM26" i="1" s="1"/>
  <c r="AB26" i="4" s="1"/>
  <c r="AK27" i="1"/>
  <c r="AC27" i="4" s="1"/>
  <c r="AL27" i="1"/>
  <c r="AK28" i="1"/>
  <c r="AC28" i="4" s="1"/>
  <c r="AL28" i="1"/>
  <c r="AM28" i="1" s="1"/>
  <c r="AB28" i="4" s="1"/>
  <c r="AK29" i="1"/>
  <c r="AC29" i="4" s="1"/>
  <c r="AL29" i="1"/>
  <c r="AK30" i="1"/>
  <c r="AC30" i="4" s="1"/>
  <c r="AL30" i="1"/>
  <c r="AK31" i="1"/>
  <c r="AC31" i="4" s="1"/>
  <c r="AL31" i="1"/>
  <c r="AM31" i="1" s="1"/>
  <c r="AB31" i="4" s="1"/>
  <c r="AK32" i="1"/>
  <c r="AC32" i="4" s="1"/>
  <c r="AL32" i="1"/>
  <c r="AK33" i="1"/>
  <c r="AC33" i="4" s="1"/>
  <c r="AL33" i="1"/>
  <c r="AM33" i="1" s="1"/>
  <c r="AB33" i="4" s="1"/>
  <c r="AK34" i="1"/>
  <c r="AC34" i="4" s="1"/>
  <c r="AL34" i="1"/>
  <c r="AM34" i="1" s="1"/>
  <c r="AB34" i="4" s="1"/>
  <c r="AK35" i="1"/>
  <c r="AC35" i="4" s="1"/>
  <c r="AL35" i="1"/>
  <c r="AK36" i="1"/>
  <c r="AC36" i="4" s="1"/>
  <c r="AL36" i="1"/>
  <c r="AM36" i="1" s="1"/>
  <c r="AB36" i="4" s="1"/>
  <c r="AK37" i="1"/>
  <c r="AC37" i="4" s="1"/>
  <c r="AL37" i="1"/>
  <c r="AK38" i="1"/>
  <c r="AC38" i="4" s="1"/>
  <c r="AL38" i="1"/>
  <c r="AK39" i="1"/>
  <c r="AC39" i="4" s="1"/>
  <c r="AL39" i="1"/>
  <c r="AM39" i="1" s="1"/>
  <c r="AB39" i="4" s="1"/>
  <c r="AK40" i="1"/>
  <c r="AC40" i="4" s="1"/>
  <c r="AL40" i="1"/>
  <c r="AK41" i="1"/>
  <c r="AC41" i="4" s="1"/>
  <c r="AL41" i="1"/>
  <c r="AM41" i="1" s="1"/>
  <c r="AB41" i="4" s="1"/>
  <c r="AK42" i="1"/>
  <c r="AC42" i="4" s="1"/>
  <c r="AL42" i="1"/>
  <c r="AM42" i="1" s="1"/>
  <c r="AB42" i="4" s="1"/>
  <c r="AK43" i="1"/>
  <c r="AC43" i="4" s="1"/>
  <c r="AL43" i="1"/>
  <c r="AK44" i="1"/>
  <c r="AC44" i="4" s="1"/>
  <c r="AL44" i="1"/>
  <c r="AM44" i="1" s="1"/>
  <c r="AB44" i="4" s="1"/>
  <c r="AK45" i="1"/>
  <c r="AC45" i="4" s="1"/>
  <c r="AL45" i="1"/>
  <c r="AK46" i="1"/>
  <c r="AC46" i="4" s="1"/>
  <c r="AL46" i="1"/>
  <c r="AK47" i="1"/>
  <c r="AC47" i="4" s="1"/>
  <c r="AL47" i="1"/>
  <c r="AM47" i="1" s="1"/>
  <c r="AB47" i="4" s="1"/>
  <c r="AK48" i="1"/>
  <c r="AC48" i="4" s="1"/>
  <c r="AL48" i="1"/>
  <c r="AK49" i="1"/>
  <c r="AC49" i="4" s="1"/>
  <c r="AL49" i="1"/>
  <c r="AM49" i="1" s="1"/>
  <c r="AB49" i="4" s="1"/>
  <c r="AK50" i="1"/>
  <c r="AC50" i="4" s="1"/>
  <c r="AL50" i="1"/>
  <c r="AM50" i="1" s="1"/>
  <c r="AB50" i="4" s="1"/>
  <c r="AK51" i="1"/>
  <c r="AC51" i="4" s="1"/>
  <c r="AL51" i="1"/>
  <c r="AK52" i="1"/>
  <c r="AC52" i="4" s="1"/>
  <c r="AL52" i="1"/>
  <c r="AM52" i="1" s="1"/>
  <c r="AB52" i="4" s="1"/>
  <c r="AK53" i="1"/>
  <c r="AC53" i="4" s="1"/>
  <c r="AL53" i="1"/>
  <c r="AK54" i="1"/>
  <c r="AC54" i="4" s="1"/>
  <c r="AL54" i="1"/>
  <c r="AM54" i="1" s="1"/>
  <c r="AB54" i="4" s="1"/>
  <c r="AK55" i="1"/>
  <c r="AC55" i="4" s="1"/>
  <c r="AL55" i="1"/>
  <c r="AK56" i="1"/>
  <c r="AC56" i="4" s="1"/>
  <c r="AL56" i="1"/>
  <c r="AK57" i="1"/>
  <c r="AC57" i="4" s="1"/>
  <c r="AL57" i="1"/>
  <c r="AK58" i="1"/>
  <c r="AC58" i="4" s="1"/>
  <c r="AL58" i="1"/>
  <c r="AK59" i="1"/>
  <c r="AC59" i="4" s="1"/>
  <c r="AL59" i="1"/>
  <c r="AM59" i="1" s="1"/>
  <c r="AB59" i="4" s="1"/>
  <c r="AK60" i="1"/>
  <c r="AC60" i="4" s="1"/>
  <c r="AL60" i="1"/>
  <c r="AM60" i="1" s="1"/>
  <c r="AB60" i="4" s="1"/>
  <c r="AK61" i="1"/>
  <c r="AC61" i="4" s="1"/>
  <c r="AL61" i="1"/>
  <c r="AK62" i="1"/>
  <c r="AC62" i="4" s="1"/>
  <c r="AL62" i="1"/>
  <c r="AM62" i="1" s="1"/>
  <c r="AB62" i="4" s="1"/>
  <c r="AK63" i="1"/>
  <c r="AC63" i="4" s="1"/>
  <c r="AL63" i="1"/>
  <c r="AK64" i="1"/>
  <c r="AC64" i="4" s="1"/>
  <c r="AL64" i="1"/>
  <c r="AK65" i="1"/>
  <c r="AC65" i="4" s="1"/>
  <c r="AL65" i="1"/>
  <c r="AM65" i="1" s="1"/>
  <c r="AB65" i="4" s="1"/>
  <c r="AK66" i="1"/>
  <c r="AC66" i="4" s="1"/>
  <c r="AL66" i="1"/>
  <c r="AK67" i="1"/>
  <c r="AC67" i="4" s="1"/>
  <c r="AL67" i="1"/>
  <c r="AK68" i="1"/>
  <c r="AC68" i="4" s="1"/>
  <c r="AL68" i="1"/>
  <c r="AK69" i="1"/>
  <c r="AC69" i="4" s="1"/>
  <c r="AL69" i="1"/>
  <c r="AK70" i="1"/>
  <c r="AC70" i="4" s="1"/>
  <c r="AL70" i="1"/>
  <c r="AK71" i="1"/>
  <c r="AC71" i="4" s="1"/>
  <c r="AL71" i="1"/>
  <c r="AK72" i="1"/>
  <c r="AC72" i="4" s="1"/>
  <c r="AL72" i="1"/>
  <c r="AK73" i="1"/>
  <c r="AC73" i="4" s="1"/>
  <c r="AL73" i="1"/>
  <c r="AK74" i="1"/>
  <c r="AC74" i="4" s="1"/>
  <c r="AL74" i="1"/>
  <c r="AK75" i="1"/>
  <c r="AC75" i="4" s="1"/>
  <c r="AL75" i="1"/>
  <c r="AM75" i="1" s="1"/>
  <c r="AB75" i="4" s="1"/>
  <c r="AK76" i="1"/>
  <c r="AC76" i="4" s="1"/>
  <c r="AL76" i="1"/>
  <c r="AM76" i="1" s="1"/>
  <c r="AB76" i="4" s="1"/>
  <c r="AK77" i="1"/>
  <c r="AC77" i="4" s="1"/>
  <c r="AL77" i="1"/>
  <c r="AK78" i="1"/>
  <c r="AC78" i="4" s="1"/>
  <c r="AL78" i="1"/>
  <c r="AM78" i="1" s="1"/>
  <c r="AB78" i="4" s="1"/>
  <c r="AK79" i="1"/>
  <c r="AC79" i="4" s="1"/>
  <c r="AL79" i="1"/>
  <c r="AK80" i="1"/>
  <c r="AC80" i="4" s="1"/>
  <c r="AL80" i="1"/>
  <c r="AK81" i="1"/>
  <c r="AC81" i="4" s="1"/>
  <c r="AL81" i="1"/>
  <c r="AM81" i="1" s="1"/>
  <c r="AB81" i="4" s="1"/>
  <c r="AK82" i="1"/>
  <c r="AC82" i="4" s="1"/>
  <c r="AL82" i="1"/>
  <c r="AK83" i="1"/>
  <c r="AC83" i="4" s="1"/>
  <c r="AL83" i="1"/>
  <c r="AK84" i="1"/>
  <c r="AC84" i="4" s="1"/>
  <c r="AL84" i="1"/>
  <c r="AK85" i="1"/>
  <c r="AC85" i="4" s="1"/>
  <c r="AL85" i="1"/>
  <c r="AK86" i="1"/>
  <c r="AC86" i="4" s="1"/>
  <c r="AL86" i="1"/>
  <c r="AK87" i="1"/>
  <c r="AC87" i="4" s="1"/>
  <c r="AL87" i="1"/>
  <c r="AK88" i="1"/>
  <c r="AC88" i="4" s="1"/>
  <c r="AL88" i="1"/>
  <c r="AK89" i="1"/>
  <c r="AC89" i="4" s="1"/>
  <c r="AL89" i="1"/>
  <c r="AM89" i="1" s="1"/>
  <c r="AB89" i="4" s="1"/>
  <c r="AK90" i="1"/>
  <c r="AC90" i="4" s="1"/>
  <c r="AL90" i="1"/>
  <c r="AK91" i="1"/>
  <c r="AC91" i="4" s="1"/>
  <c r="AL91" i="1"/>
  <c r="AK92" i="1"/>
  <c r="AC92" i="4" s="1"/>
  <c r="AL92" i="1"/>
  <c r="AM92" i="1" s="1"/>
  <c r="AB92" i="4" s="1"/>
  <c r="AK93" i="1"/>
  <c r="AC93" i="4" s="1"/>
  <c r="AL93" i="1"/>
  <c r="AK94" i="1"/>
  <c r="AC94" i="4" s="1"/>
  <c r="AL94" i="1"/>
  <c r="AK95" i="1"/>
  <c r="AC95" i="4" s="1"/>
  <c r="AL95" i="1"/>
  <c r="AK96" i="1"/>
  <c r="AC96" i="4" s="1"/>
  <c r="AL96" i="1"/>
  <c r="AK97" i="1"/>
  <c r="AC97" i="4" s="1"/>
  <c r="AL97" i="1"/>
  <c r="AK98" i="1"/>
  <c r="AC98" i="4" s="1"/>
  <c r="AL98" i="1"/>
  <c r="AK99" i="1"/>
  <c r="AC99" i="4" s="1"/>
  <c r="AL99" i="1"/>
  <c r="AK100" i="1"/>
  <c r="AC100" i="4" s="1"/>
  <c r="AL100" i="1"/>
  <c r="AK101" i="1"/>
  <c r="AC101" i="4" s="1"/>
  <c r="AL101" i="1"/>
  <c r="AK102" i="1"/>
  <c r="AC102" i="4" s="1"/>
  <c r="AL102" i="1"/>
  <c r="AK103" i="1"/>
  <c r="AC103" i="4" s="1"/>
  <c r="AL103" i="1"/>
  <c r="AK104" i="1"/>
  <c r="AC104" i="4" s="1"/>
  <c r="AL104" i="1"/>
  <c r="AK105" i="1"/>
  <c r="AC105" i="4" s="1"/>
  <c r="AL105" i="1"/>
  <c r="AK106" i="1"/>
  <c r="AC106" i="4" s="1"/>
  <c r="AL106" i="1"/>
  <c r="AK107" i="1"/>
  <c r="AC107" i="4" s="1"/>
  <c r="AL107" i="1"/>
  <c r="AK108" i="1"/>
  <c r="AC108" i="4" s="1"/>
  <c r="AL108" i="1"/>
  <c r="AK109" i="1"/>
  <c r="AC109" i="4" s="1"/>
  <c r="AL109" i="1"/>
  <c r="AK110" i="1"/>
  <c r="AC110" i="4" s="1"/>
  <c r="AL110" i="1"/>
  <c r="AK111" i="1"/>
  <c r="AC111" i="4" s="1"/>
  <c r="AL111" i="1"/>
  <c r="AK112" i="1"/>
  <c r="AC112" i="4" s="1"/>
  <c r="AL112" i="1"/>
  <c r="AK113" i="1"/>
  <c r="AC113" i="4" s="1"/>
  <c r="AL113" i="1"/>
  <c r="AK114" i="1"/>
  <c r="AC114" i="4" s="1"/>
  <c r="AL114" i="1"/>
  <c r="AK115" i="1"/>
  <c r="AC115" i="4" s="1"/>
  <c r="AL115" i="1"/>
  <c r="AK116" i="1"/>
  <c r="AC116" i="4" s="1"/>
  <c r="AL116" i="1"/>
  <c r="AK117" i="1"/>
  <c r="AC117" i="4" s="1"/>
  <c r="AL117" i="1"/>
  <c r="AK118" i="1"/>
  <c r="AC118" i="4" s="1"/>
  <c r="AL118" i="1"/>
  <c r="AK119" i="1"/>
  <c r="AC119" i="4" s="1"/>
  <c r="AL119" i="1"/>
  <c r="AK120" i="1"/>
  <c r="AC120" i="4" s="1"/>
  <c r="AL120" i="1"/>
  <c r="AK121" i="1"/>
  <c r="AC121" i="4" s="1"/>
  <c r="AL121" i="1"/>
  <c r="AK122" i="1"/>
  <c r="AC122" i="4" s="1"/>
  <c r="AL122" i="1"/>
  <c r="AK123" i="1"/>
  <c r="AC123" i="4" s="1"/>
  <c r="AL123" i="1"/>
  <c r="AK124" i="1"/>
  <c r="AC124" i="4" s="1"/>
  <c r="AL124" i="1"/>
  <c r="AK125" i="1"/>
  <c r="AC125" i="4" s="1"/>
  <c r="AL125" i="1"/>
  <c r="AK126" i="1"/>
  <c r="AC126" i="4" s="1"/>
  <c r="AL126" i="1"/>
  <c r="AK127" i="1"/>
  <c r="AC127" i="4" s="1"/>
  <c r="AL127" i="1"/>
  <c r="AK128" i="1"/>
  <c r="AC128" i="4" s="1"/>
  <c r="AL128" i="1"/>
  <c r="AK129" i="1"/>
  <c r="AC129" i="4" s="1"/>
  <c r="AL129" i="1"/>
  <c r="AK130" i="1"/>
  <c r="AC130" i="4" s="1"/>
  <c r="AL130" i="1"/>
  <c r="AK131" i="1"/>
  <c r="AC131" i="4" s="1"/>
  <c r="AL131" i="1"/>
  <c r="AK132" i="1"/>
  <c r="AC132" i="4" s="1"/>
  <c r="AL132" i="1"/>
  <c r="AK133" i="1"/>
  <c r="AC133" i="4" s="1"/>
  <c r="AL133" i="1"/>
  <c r="AK134" i="1"/>
  <c r="AC134" i="4" s="1"/>
  <c r="AL134" i="1"/>
  <c r="AK135" i="1"/>
  <c r="AC135" i="4" s="1"/>
  <c r="AL135" i="1"/>
  <c r="AK136" i="1"/>
  <c r="AC136" i="4" s="1"/>
  <c r="AL136" i="1"/>
  <c r="AK137" i="1"/>
  <c r="AC137" i="4" s="1"/>
  <c r="AL137" i="1"/>
  <c r="AK138" i="1"/>
  <c r="AC138" i="4" s="1"/>
  <c r="AL138" i="1"/>
  <c r="AK139" i="1"/>
  <c r="AC139" i="4" s="1"/>
  <c r="AL139" i="1"/>
  <c r="AK140" i="1"/>
  <c r="AC140" i="4" s="1"/>
  <c r="AL140" i="1"/>
  <c r="AK141" i="1"/>
  <c r="AC141" i="4" s="1"/>
  <c r="AL141" i="1"/>
  <c r="AK142" i="1"/>
  <c r="AC142" i="4" s="1"/>
  <c r="AL142" i="1"/>
  <c r="AK143" i="1"/>
  <c r="AC143" i="4" s="1"/>
  <c r="AL143" i="1"/>
  <c r="AK144" i="1"/>
  <c r="AC144" i="4" s="1"/>
  <c r="AL144" i="1"/>
  <c r="AK145" i="1"/>
  <c r="AC145" i="4" s="1"/>
  <c r="AL145" i="1"/>
  <c r="AK146" i="1"/>
  <c r="AC146" i="4" s="1"/>
  <c r="AL146" i="1"/>
  <c r="AK147" i="1"/>
  <c r="AC147" i="4" s="1"/>
  <c r="AL147" i="1"/>
  <c r="AK148" i="1"/>
  <c r="AC148" i="4" s="1"/>
  <c r="AL148" i="1"/>
  <c r="AK149" i="1"/>
  <c r="AC149" i="4" s="1"/>
  <c r="AL149" i="1"/>
  <c r="AK150" i="1"/>
  <c r="AC150" i="4" s="1"/>
  <c r="AL150" i="1"/>
  <c r="AK151" i="1"/>
  <c r="AC151" i="4" s="1"/>
  <c r="AL151" i="1"/>
  <c r="AK152" i="1"/>
  <c r="AC152" i="4" s="1"/>
  <c r="AL152" i="1"/>
  <c r="AK153" i="1"/>
  <c r="AC153" i="4" s="1"/>
  <c r="AL153" i="1"/>
  <c r="AK154" i="1"/>
  <c r="AC154" i="4" s="1"/>
  <c r="AL154" i="1"/>
  <c r="AK155" i="1"/>
  <c r="AC155" i="4" s="1"/>
  <c r="AL155" i="1"/>
  <c r="AK156" i="1"/>
  <c r="AC156" i="4" s="1"/>
  <c r="AL156" i="1"/>
  <c r="AK157" i="1"/>
  <c r="AC157" i="4" s="1"/>
  <c r="AL157" i="1"/>
  <c r="AK158" i="1"/>
  <c r="AC158" i="4" s="1"/>
  <c r="AL158" i="1"/>
  <c r="AK159" i="1"/>
  <c r="AC159" i="4" s="1"/>
  <c r="AL159" i="1"/>
  <c r="AK160" i="1"/>
  <c r="AC160" i="4" s="1"/>
  <c r="AL160" i="1"/>
  <c r="AK161" i="1"/>
  <c r="AC161" i="4" s="1"/>
  <c r="AL161" i="1"/>
  <c r="AK162" i="1"/>
  <c r="AC162" i="4" s="1"/>
  <c r="AL162" i="1"/>
  <c r="AK163" i="1"/>
  <c r="AC163" i="4" s="1"/>
  <c r="AL163" i="1"/>
  <c r="AK164" i="1"/>
  <c r="AC164" i="4" s="1"/>
  <c r="AL164" i="1"/>
  <c r="AK165" i="1"/>
  <c r="AC165" i="4" s="1"/>
  <c r="AL165" i="1"/>
  <c r="AK166" i="1"/>
  <c r="AC166" i="4" s="1"/>
  <c r="AL166" i="1"/>
  <c r="AK167" i="1"/>
  <c r="AC167" i="4" s="1"/>
  <c r="AL167" i="1"/>
  <c r="AK168" i="1"/>
  <c r="AC168" i="4" s="1"/>
  <c r="AL168" i="1"/>
  <c r="AK169" i="1"/>
  <c r="AC169" i="4" s="1"/>
  <c r="AL169" i="1"/>
  <c r="AK170" i="1"/>
  <c r="AC170" i="4" s="1"/>
  <c r="AL170" i="1"/>
  <c r="AK171" i="1"/>
  <c r="AC171" i="4" s="1"/>
  <c r="AL171" i="1"/>
  <c r="AK172" i="1"/>
  <c r="AC172" i="4" s="1"/>
  <c r="AL172" i="1"/>
  <c r="AK173" i="1"/>
  <c r="AC173" i="4" s="1"/>
  <c r="AL173" i="1"/>
  <c r="AK174" i="1"/>
  <c r="AC174" i="4" s="1"/>
  <c r="AL174" i="1"/>
  <c r="AK175" i="1"/>
  <c r="AC175" i="4" s="1"/>
  <c r="AL175" i="1"/>
  <c r="AK176" i="1"/>
  <c r="AC176" i="4" s="1"/>
  <c r="AL176" i="1"/>
  <c r="AK177" i="1"/>
  <c r="AC177" i="4" s="1"/>
  <c r="AL177" i="1"/>
  <c r="AK178" i="1"/>
  <c r="AC178" i="4" s="1"/>
  <c r="AL178" i="1"/>
  <c r="AK179" i="1"/>
  <c r="AC179" i="4" s="1"/>
  <c r="AL179" i="1"/>
  <c r="AK180" i="1"/>
  <c r="AC180" i="4" s="1"/>
  <c r="AL180" i="1"/>
  <c r="AK181" i="1"/>
  <c r="AC181" i="4" s="1"/>
  <c r="AL181" i="1"/>
  <c r="AK182" i="1"/>
  <c r="AC182" i="4" s="1"/>
  <c r="AL182" i="1"/>
  <c r="AK183" i="1"/>
  <c r="AC183" i="4" s="1"/>
  <c r="AL183" i="1"/>
  <c r="AK184" i="1"/>
  <c r="AC184" i="4" s="1"/>
  <c r="AL184" i="1"/>
  <c r="AK185" i="1"/>
  <c r="AC185" i="4" s="1"/>
  <c r="AL185" i="1"/>
  <c r="AK186" i="1"/>
  <c r="AC186" i="4" s="1"/>
  <c r="AL186" i="1"/>
  <c r="AK187" i="1"/>
  <c r="AC187" i="4" s="1"/>
  <c r="AL187" i="1"/>
  <c r="AK188" i="1"/>
  <c r="AC188" i="4" s="1"/>
  <c r="AL188" i="1"/>
  <c r="AK189" i="1"/>
  <c r="AC189" i="4" s="1"/>
  <c r="AL189" i="1"/>
  <c r="AK190" i="1"/>
  <c r="AC190" i="4" s="1"/>
  <c r="AL190" i="1"/>
  <c r="AK191" i="1"/>
  <c r="AC191" i="4" s="1"/>
  <c r="AL191" i="1"/>
  <c r="AK192" i="1"/>
  <c r="AC192" i="4" s="1"/>
  <c r="AL192" i="1"/>
  <c r="AK193" i="1"/>
  <c r="AC193" i="4" s="1"/>
  <c r="AL193" i="1"/>
  <c r="AK194" i="1"/>
  <c r="AC194" i="4" s="1"/>
  <c r="AL194" i="1"/>
  <c r="AK195" i="1"/>
  <c r="AC195" i="4" s="1"/>
  <c r="AL195" i="1"/>
  <c r="AK196" i="1"/>
  <c r="AC196" i="4" s="1"/>
  <c r="AL196" i="1"/>
  <c r="AK197" i="1"/>
  <c r="AC197" i="4" s="1"/>
  <c r="AL197" i="1"/>
  <c r="AK198" i="1"/>
  <c r="AC198" i="4" s="1"/>
  <c r="AL198" i="1"/>
  <c r="AK199" i="1"/>
  <c r="AC199" i="4" s="1"/>
  <c r="AL199" i="1"/>
  <c r="AK200" i="1"/>
  <c r="AC200" i="4" s="1"/>
  <c r="AL200" i="1"/>
  <c r="AK201" i="1"/>
  <c r="AC201" i="4" s="1"/>
  <c r="AL201" i="1"/>
  <c r="AK202" i="1"/>
  <c r="AC202" i="4" s="1"/>
  <c r="AL202" i="1"/>
  <c r="AK203" i="1"/>
  <c r="AC203" i="4" s="1"/>
  <c r="AL203" i="1"/>
  <c r="AL5" i="1"/>
  <c r="AM5" i="1" s="1"/>
  <c r="AB5" i="4" s="1"/>
  <c r="AK5" i="1"/>
  <c r="AC5" i="4" s="1"/>
  <c r="W5" i="4"/>
  <c r="AJ6" i="1"/>
  <c r="M6" i="4" s="1"/>
  <c r="AJ7" i="1"/>
  <c r="M7" i="4" s="1"/>
  <c r="AJ8" i="1"/>
  <c r="M8" i="4" s="1"/>
  <c r="AJ9" i="1"/>
  <c r="M9" i="4" s="1"/>
  <c r="AJ10" i="1"/>
  <c r="M10" i="4" s="1"/>
  <c r="AJ11" i="1"/>
  <c r="M11" i="4" s="1"/>
  <c r="AJ12" i="1"/>
  <c r="M12" i="4" s="1"/>
  <c r="AJ13" i="1"/>
  <c r="M13" i="4" s="1"/>
  <c r="AJ14" i="1"/>
  <c r="M14" i="4" s="1"/>
  <c r="AJ15" i="1"/>
  <c r="M15" i="4" s="1"/>
  <c r="AJ16" i="1"/>
  <c r="M16" i="4" s="1"/>
  <c r="AJ17" i="1"/>
  <c r="M17" i="4" s="1"/>
  <c r="AJ18" i="1"/>
  <c r="M18" i="4" s="1"/>
  <c r="AJ19" i="1"/>
  <c r="M19" i="4" s="1"/>
  <c r="AJ20" i="1"/>
  <c r="M20" i="4" s="1"/>
  <c r="AJ21" i="1"/>
  <c r="M21" i="4" s="1"/>
  <c r="AJ22" i="1"/>
  <c r="M22" i="4" s="1"/>
  <c r="AJ23" i="1"/>
  <c r="M23" i="4" s="1"/>
  <c r="AJ24" i="1"/>
  <c r="M24" i="4" s="1"/>
  <c r="AJ25" i="1"/>
  <c r="M25" i="4" s="1"/>
  <c r="AJ26" i="1"/>
  <c r="M26" i="4" s="1"/>
  <c r="AJ27" i="1"/>
  <c r="M27" i="4" s="1"/>
  <c r="AJ28" i="1"/>
  <c r="M28" i="4" s="1"/>
  <c r="AJ29" i="1"/>
  <c r="M29" i="4" s="1"/>
  <c r="AJ30" i="1"/>
  <c r="M30" i="4" s="1"/>
  <c r="AJ31" i="1"/>
  <c r="M31" i="4" s="1"/>
  <c r="AJ32" i="1"/>
  <c r="M32" i="4" s="1"/>
  <c r="AJ33" i="1"/>
  <c r="M33" i="4" s="1"/>
  <c r="AJ34" i="1"/>
  <c r="M34" i="4" s="1"/>
  <c r="AJ35" i="1"/>
  <c r="M35" i="4" s="1"/>
  <c r="AJ36" i="1"/>
  <c r="M36" i="4" s="1"/>
  <c r="AJ37" i="1"/>
  <c r="M37" i="4" s="1"/>
  <c r="AJ38" i="1"/>
  <c r="M38" i="4" s="1"/>
  <c r="AJ39" i="1"/>
  <c r="M39" i="4" s="1"/>
  <c r="AJ40" i="1"/>
  <c r="M40" i="4" s="1"/>
  <c r="AJ41" i="1"/>
  <c r="M41" i="4" s="1"/>
  <c r="AJ42" i="1"/>
  <c r="M42" i="4" s="1"/>
  <c r="AJ43" i="1"/>
  <c r="M43" i="4" s="1"/>
  <c r="AJ44" i="1"/>
  <c r="M44" i="4" s="1"/>
  <c r="AJ45" i="1"/>
  <c r="M45" i="4" s="1"/>
  <c r="AJ46" i="1"/>
  <c r="M46" i="4" s="1"/>
  <c r="AJ47" i="1"/>
  <c r="M47" i="4" s="1"/>
  <c r="AJ48" i="1"/>
  <c r="M48" i="4" s="1"/>
  <c r="AJ49" i="1"/>
  <c r="M49" i="4" s="1"/>
  <c r="AJ50" i="1"/>
  <c r="M50" i="4" s="1"/>
  <c r="AJ51" i="1"/>
  <c r="M51" i="4" s="1"/>
  <c r="AJ52" i="1"/>
  <c r="M52" i="4" s="1"/>
  <c r="AJ53" i="1"/>
  <c r="M53" i="4" s="1"/>
  <c r="AJ54" i="1"/>
  <c r="M54" i="4" s="1"/>
  <c r="AJ55" i="1"/>
  <c r="M55" i="4" s="1"/>
  <c r="AJ56" i="1"/>
  <c r="M56" i="4" s="1"/>
  <c r="AJ57" i="1"/>
  <c r="M57" i="4" s="1"/>
  <c r="AJ58" i="1"/>
  <c r="M58" i="4" s="1"/>
  <c r="AJ59" i="1"/>
  <c r="M59" i="4" s="1"/>
  <c r="AJ60" i="1"/>
  <c r="M60" i="4" s="1"/>
  <c r="AJ61" i="1"/>
  <c r="M61" i="4" s="1"/>
  <c r="AJ62" i="1"/>
  <c r="M62" i="4" s="1"/>
  <c r="AJ63" i="1"/>
  <c r="M63" i="4" s="1"/>
  <c r="AJ64" i="1"/>
  <c r="M64" i="4" s="1"/>
  <c r="AJ65" i="1"/>
  <c r="M65" i="4" s="1"/>
  <c r="AJ66" i="1"/>
  <c r="M66" i="4" s="1"/>
  <c r="AJ67" i="1"/>
  <c r="M67" i="4" s="1"/>
  <c r="AJ68" i="1"/>
  <c r="M68" i="4" s="1"/>
  <c r="AJ69" i="1"/>
  <c r="M69" i="4" s="1"/>
  <c r="AJ70" i="1"/>
  <c r="M70" i="4" s="1"/>
  <c r="AJ71" i="1"/>
  <c r="M71" i="4" s="1"/>
  <c r="AJ72" i="1"/>
  <c r="M72" i="4" s="1"/>
  <c r="AJ73" i="1"/>
  <c r="M73" i="4" s="1"/>
  <c r="AJ74" i="1"/>
  <c r="M74" i="4" s="1"/>
  <c r="AJ75" i="1"/>
  <c r="M75" i="4" s="1"/>
  <c r="AJ76" i="1"/>
  <c r="M76" i="4" s="1"/>
  <c r="AJ77" i="1"/>
  <c r="M77" i="4" s="1"/>
  <c r="AJ78" i="1"/>
  <c r="M78" i="4" s="1"/>
  <c r="AJ79" i="1"/>
  <c r="M79" i="4" s="1"/>
  <c r="AJ80" i="1"/>
  <c r="M80" i="4" s="1"/>
  <c r="AJ81" i="1"/>
  <c r="M81" i="4" s="1"/>
  <c r="AJ82" i="1"/>
  <c r="M82" i="4" s="1"/>
  <c r="AJ83" i="1"/>
  <c r="M83" i="4" s="1"/>
  <c r="AJ84" i="1"/>
  <c r="M84" i="4" s="1"/>
  <c r="AJ85" i="1"/>
  <c r="M85" i="4" s="1"/>
  <c r="AJ86" i="1"/>
  <c r="M86" i="4" s="1"/>
  <c r="AJ87" i="1"/>
  <c r="M87" i="4" s="1"/>
  <c r="AJ88" i="1"/>
  <c r="M88" i="4" s="1"/>
  <c r="AJ89" i="1"/>
  <c r="M89" i="4" s="1"/>
  <c r="AJ90" i="1"/>
  <c r="M90" i="4" s="1"/>
  <c r="AJ91" i="1"/>
  <c r="M91" i="4" s="1"/>
  <c r="AJ92" i="1"/>
  <c r="M92" i="4" s="1"/>
  <c r="AJ93" i="1"/>
  <c r="M93" i="4" s="1"/>
  <c r="AJ94" i="1"/>
  <c r="M94" i="4" s="1"/>
  <c r="AJ95" i="1"/>
  <c r="M95" i="4" s="1"/>
  <c r="AJ96" i="1"/>
  <c r="M96" i="4" s="1"/>
  <c r="AJ97" i="1"/>
  <c r="M97" i="4" s="1"/>
  <c r="AJ98" i="1"/>
  <c r="M98" i="4" s="1"/>
  <c r="AJ99" i="1"/>
  <c r="M99" i="4" s="1"/>
  <c r="AJ100" i="1"/>
  <c r="M100" i="4" s="1"/>
  <c r="AJ101" i="1"/>
  <c r="M101" i="4" s="1"/>
  <c r="AJ102" i="1"/>
  <c r="M102" i="4" s="1"/>
  <c r="AJ103" i="1"/>
  <c r="M103" i="4" s="1"/>
  <c r="AJ104" i="1"/>
  <c r="M104" i="4" s="1"/>
  <c r="AJ105" i="1"/>
  <c r="M105" i="4" s="1"/>
  <c r="AJ106" i="1"/>
  <c r="M106" i="4" s="1"/>
  <c r="AJ107" i="1"/>
  <c r="M107" i="4" s="1"/>
  <c r="AJ108" i="1"/>
  <c r="M108" i="4" s="1"/>
  <c r="AJ109" i="1"/>
  <c r="M109" i="4" s="1"/>
  <c r="AJ110" i="1"/>
  <c r="M110" i="4" s="1"/>
  <c r="AJ111" i="1"/>
  <c r="M111" i="4" s="1"/>
  <c r="AJ112" i="1"/>
  <c r="M112" i="4" s="1"/>
  <c r="AJ113" i="1"/>
  <c r="M113" i="4" s="1"/>
  <c r="AJ114" i="1"/>
  <c r="M114" i="4" s="1"/>
  <c r="AJ115" i="1"/>
  <c r="M115" i="4" s="1"/>
  <c r="AJ116" i="1"/>
  <c r="M116" i="4" s="1"/>
  <c r="AJ117" i="1"/>
  <c r="M117" i="4" s="1"/>
  <c r="AJ118" i="1"/>
  <c r="M118" i="4" s="1"/>
  <c r="AJ119" i="1"/>
  <c r="M119" i="4" s="1"/>
  <c r="AJ120" i="1"/>
  <c r="M120" i="4" s="1"/>
  <c r="AJ121" i="1"/>
  <c r="M121" i="4" s="1"/>
  <c r="AJ122" i="1"/>
  <c r="M122" i="4" s="1"/>
  <c r="AJ123" i="1"/>
  <c r="M123" i="4" s="1"/>
  <c r="AJ124" i="1"/>
  <c r="M124" i="4" s="1"/>
  <c r="AJ125" i="1"/>
  <c r="M125" i="4" s="1"/>
  <c r="AJ126" i="1"/>
  <c r="M126" i="4" s="1"/>
  <c r="AJ127" i="1"/>
  <c r="M127" i="4" s="1"/>
  <c r="AJ128" i="1"/>
  <c r="M128" i="4" s="1"/>
  <c r="AJ129" i="1"/>
  <c r="M129" i="4" s="1"/>
  <c r="AJ130" i="1"/>
  <c r="M130" i="4" s="1"/>
  <c r="AJ131" i="1"/>
  <c r="M131" i="4" s="1"/>
  <c r="AJ132" i="1"/>
  <c r="M132" i="4" s="1"/>
  <c r="AJ133" i="1"/>
  <c r="M133" i="4" s="1"/>
  <c r="AJ134" i="1"/>
  <c r="M134" i="4" s="1"/>
  <c r="AJ135" i="1"/>
  <c r="M135" i="4" s="1"/>
  <c r="AJ136" i="1"/>
  <c r="M136" i="4" s="1"/>
  <c r="AJ137" i="1"/>
  <c r="M137" i="4" s="1"/>
  <c r="AJ138" i="1"/>
  <c r="M138" i="4" s="1"/>
  <c r="AJ139" i="1"/>
  <c r="M139" i="4" s="1"/>
  <c r="AJ140" i="1"/>
  <c r="M140" i="4" s="1"/>
  <c r="AJ141" i="1"/>
  <c r="M141" i="4" s="1"/>
  <c r="AJ142" i="1"/>
  <c r="M142" i="4" s="1"/>
  <c r="AJ143" i="1"/>
  <c r="M143" i="4" s="1"/>
  <c r="AJ144" i="1"/>
  <c r="M144" i="4" s="1"/>
  <c r="AJ145" i="1"/>
  <c r="M145" i="4" s="1"/>
  <c r="AJ146" i="1"/>
  <c r="M146" i="4" s="1"/>
  <c r="AJ147" i="1"/>
  <c r="M147" i="4" s="1"/>
  <c r="AJ148" i="1"/>
  <c r="M148" i="4" s="1"/>
  <c r="AJ149" i="1"/>
  <c r="M149" i="4" s="1"/>
  <c r="AJ150" i="1"/>
  <c r="M150" i="4" s="1"/>
  <c r="AJ151" i="1"/>
  <c r="M151" i="4" s="1"/>
  <c r="AJ152" i="1"/>
  <c r="M152" i="4" s="1"/>
  <c r="AJ153" i="1"/>
  <c r="M153" i="4" s="1"/>
  <c r="AJ154" i="1"/>
  <c r="M154" i="4" s="1"/>
  <c r="AJ155" i="1"/>
  <c r="M155" i="4" s="1"/>
  <c r="AJ156" i="1"/>
  <c r="M156" i="4" s="1"/>
  <c r="AJ157" i="1"/>
  <c r="M157" i="4" s="1"/>
  <c r="AJ158" i="1"/>
  <c r="M158" i="4" s="1"/>
  <c r="AJ159" i="1"/>
  <c r="M159" i="4" s="1"/>
  <c r="AJ160" i="1"/>
  <c r="M160" i="4" s="1"/>
  <c r="AJ161" i="1"/>
  <c r="M161" i="4" s="1"/>
  <c r="AJ162" i="1"/>
  <c r="M162" i="4" s="1"/>
  <c r="AJ163" i="1"/>
  <c r="M163" i="4" s="1"/>
  <c r="AJ164" i="1"/>
  <c r="M164" i="4" s="1"/>
  <c r="AJ165" i="1"/>
  <c r="M165" i="4" s="1"/>
  <c r="AJ166" i="1"/>
  <c r="M166" i="4" s="1"/>
  <c r="AJ167" i="1"/>
  <c r="M167" i="4" s="1"/>
  <c r="AJ168" i="1"/>
  <c r="M168" i="4" s="1"/>
  <c r="AJ169" i="1"/>
  <c r="M169" i="4" s="1"/>
  <c r="AJ170" i="1"/>
  <c r="M170" i="4" s="1"/>
  <c r="AJ171" i="1"/>
  <c r="M171" i="4" s="1"/>
  <c r="AJ172" i="1"/>
  <c r="M172" i="4" s="1"/>
  <c r="AJ173" i="1"/>
  <c r="M173" i="4" s="1"/>
  <c r="AJ174" i="1"/>
  <c r="M174" i="4" s="1"/>
  <c r="AJ175" i="1"/>
  <c r="M175" i="4" s="1"/>
  <c r="AJ176" i="1"/>
  <c r="M176" i="4" s="1"/>
  <c r="AJ177" i="1"/>
  <c r="M177" i="4" s="1"/>
  <c r="AJ178" i="1"/>
  <c r="M178" i="4" s="1"/>
  <c r="AJ179" i="1"/>
  <c r="M179" i="4" s="1"/>
  <c r="AJ180" i="1"/>
  <c r="M180" i="4" s="1"/>
  <c r="AJ181" i="1"/>
  <c r="M181" i="4" s="1"/>
  <c r="AJ182" i="1"/>
  <c r="M182" i="4" s="1"/>
  <c r="AJ183" i="1"/>
  <c r="M183" i="4" s="1"/>
  <c r="AJ184" i="1"/>
  <c r="M184" i="4" s="1"/>
  <c r="AJ185" i="1"/>
  <c r="M185" i="4" s="1"/>
  <c r="AJ186" i="1"/>
  <c r="M186" i="4" s="1"/>
  <c r="AJ187" i="1"/>
  <c r="M187" i="4" s="1"/>
  <c r="AJ188" i="1"/>
  <c r="M188" i="4" s="1"/>
  <c r="AJ189" i="1"/>
  <c r="M189" i="4" s="1"/>
  <c r="AJ190" i="1"/>
  <c r="M190" i="4" s="1"/>
  <c r="AJ191" i="1"/>
  <c r="M191" i="4" s="1"/>
  <c r="AJ192" i="1"/>
  <c r="M192" i="4" s="1"/>
  <c r="AJ193" i="1"/>
  <c r="M193" i="4" s="1"/>
  <c r="AJ194" i="1"/>
  <c r="M194" i="4" s="1"/>
  <c r="AJ195" i="1"/>
  <c r="M195" i="4" s="1"/>
  <c r="AJ196" i="1"/>
  <c r="M196" i="4" s="1"/>
  <c r="AJ197" i="1"/>
  <c r="M197" i="4" s="1"/>
  <c r="AJ198" i="1"/>
  <c r="M198" i="4" s="1"/>
  <c r="AJ199" i="1"/>
  <c r="M199" i="4" s="1"/>
  <c r="AJ200" i="1"/>
  <c r="M200" i="4" s="1"/>
  <c r="AJ201" i="1"/>
  <c r="M201" i="4" s="1"/>
  <c r="AJ202" i="1"/>
  <c r="M202" i="4" s="1"/>
  <c r="AJ203" i="1"/>
  <c r="M203" i="4" s="1"/>
  <c r="AJ5" i="1"/>
  <c r="M5" i="4" s="1"/>
  <c r="H5" i="4"/>
  <c r="E5" i="4"/>
  <c r="D5" i="4"/>
  <c r="C5" i="4"/>
  <c r="B5" i="4"/>
  <c r="AH202" i="1"/>
  <c r="AI202" i="1" s="1"/>
  <c r="I202" i="4" s="1"/>
  <c r="AG202" i="1"/>
  <c r="X202" i="4" s="1"/>
  <c r="AF202" i="1"/>
  <c r="AE202" i="1"/>
  <c r="AD202" i="1"/>
  <c r="T202" i="5" s="1"/>
  <c r="AC202" i="1"/>
  <c r="AH201" i="1"/>
  <c r="AI201" i="1" s="1"/>
  <c r="I201" i="4" s="1"/>
  <c r="AG201" i="1"/>
  <c r="X201" i="4" s="1"/>
  <c r="AF201" i="1"/>
  <c r="AE201" i="1"/>
  <c r="AD201" i="1"/>
  <c r="T201" i="5" s="1"/>
  <c r="AC201" i="1"/>
  <c r="AH200" i="1"/>
  <c r="AI200" i="1" s="1"/>
  <c r="I200" i="4" s="1"/>
  <c r="AG200" i="1"/>
  <c r="X200" i="4" s="1"/>
  <c r="AF200" i="1"/>
  <c r="AE200" i="1"/>
  <c r="AD200" i="1"/>
  <c r="T200" i="5" s="1"/>
  <c r="AC200" i="1"/>
  <c r="AH199" i="1"/>
  <c r="AI199" i="1" s="1"/>
  <c r="I199" i="4" s="1"/>
  <c r="AG199" i="1"/>
  <c r="X199" i="4" s="1"/>
  <c r="AF199" i="1"/>
  <c r="AE199" i="1"/>
  <c r="AD199" i="1"/>
  <c r="T199" i="5" s="1"/>
  <c r="AC199" i="1"/>
  <c r="AH198" i="1"/>
  <c r="AI198" i="1" s="1"/>
  <c r="I198" i="4" s="1"/>
  <c r="AG198" i="1"/>
  <c r="AF198" i="1"/>
  <c r="AE198" i="1"/>
  <c r="AD198" i="1"/>
  <c r="T198" i="5" s="1"/>
  <c r="AC198" i="1"/>
  <c r="R198" i="6" s="1"/>
  <c r="AH197" i="1"/>
  <c r="AI197" i="1" s="1"/>
  <c r="I197" i="4" s="1"/>
  <c r="AG197" i="1"/>
  <c r="X197" i="4" s="1"/>
  <c r="AF197" i="1"/>
  <c r="AE197" i="1"/>
  <c r="AD197" i="1"/>
  <c r="T197" i="5" s="1"/>
  <c r="AC197" i="1"/>
  <c r="S197" i="6" s="1"/>
  <c r="AH196" i="1"/>
  <c r="AI196" i="1" s="1"/>
  <c r="I196" i="4" s="1"/>
  <c r="AG196" i="1"/>
  <c r="X196" i="4" s="1"/>
  <c r="AF196" i="1"/>
  <c r="AE196" i="1"/>
  <c r="AD196" i="1"/>
  <c r="T196" i="5" s="1"/>
  <c r="AC196" i="1"/>
  <c r="AH195" i="1"/>
  <c r="AI195" i="1" s="1"/>
  <c r="I195" i="4" s="1"/>
  <c r="AG195" i="1"/>
  <c r="X195" i="4" s="1"/>
  <c r="AF195" i="1"/>
  <c r="AE195" i="1"/>
  <c r="AD195" i="1"/>
  <c r="T195" i="5" s="1"/>
  <c r="AC195" i="1"/>
  <c r="BG195" i="4" s="1"/>
  <c r="AH194" i="1"/>
  <c r="AI194" i="1" s="1"/>
  <c r="I194" i="4" s="1"/>
  <c r="AG194" i="1"/>
  <c r="X194" i="4" s="1"/>
  <c r="AF194" i="1"/>
  <c r="AE194" i="1"/>
  <c r="AD194" i="1"/>
  <c r="T194" i="5" s="1"/>
  <c r="AC194" i="1"/>
  <c r="AH193" i="1"/>
  <c r="AI193" i="1" s="1"/>
  <c r="I193" i="4" s="1"/>
  <c r="AG193" i="1"/>
  <c r="X193" i="4" s="1"/>
  <c r="AF193" i="1"/>
  <c r="AE193" i="1"/>
  <c r="AD193" i="1"/>
  <c r="T193" i="5" s="1"/>
  <c r="AC193" i="1"/>
  <c r="AH192" i="1"/>
  <c r="AI192" i="1" s="1"/>
  <c r="I192" i="4" s="1"/>
  <c r="AG192" i="1"/>
  <c r="X192" i="4" s="1"/>
  <c r="AF192" i="1"/>
  <c r="AE192" i="1"/>
  <c r="AD192" i="1"/>
  <c r="T192" i="5" s="1"/>
  <c r="AC192" i="1"/>
  <c r="BG192" i="4" s="1"/>
  <c r="AH191" i="1"/>
  <c r="AI191" i="1" s="1"/>
  <c r="I191" i="4" s="1"/>
  <c r="AG191" i="1"/>
  <c r="X191" i="4" s="1"/>
  <c r="AF191" i="1"/>
  <c r="AE191" i="1"/>
  <c r="AD191" i="1"/>
  <c r="T191" i="5" s="1"/>
  <c r="AC191" i="1"/>
  <c r="AH190" i="1"/>
  <c r="AI190" i="1" s="1"/>
  <c r="I190" i="4" s="1"/>
  <c r="AG190" i="1"/>
  <c r="AF190" i="1"/>
  <c r="AE190" i="1"/>
  <c r="AD190" i="1"/>
  <c r="T190" i="5" s="1"/>
  <c r="AC190" i="1"/>
  <c r="R190" i="6" s="1"/>
  <c r="AH189" i="1"/>
  <c r="AI189" i="1" s="1"/>
  <c r="I189" i="4" s="1"/>
  <c r="AG189" i="1"/>
  <c r="X189" i="4" s="1"/>
  <c r="AF189" i="1"/>
  <c r="AE189" i="1"/>
  <c r="AD189" i="1"/>
  <c r="T189" i="5" s="1"/>
  <c r="AC189" i="1"/>
  <c r="S189" i="6" s="1"/>
  <c r="AH188" i="1"/>
  <c r="AI188" i="1" s="1"/>
  <c r="I188" i="4" s="1"/>
  <c r="AG188" i="1"/>
  <c r="X188" i="4" s="1"/>
  <c r="AF188" i="1"/>
  <c r="AE188" i="1"/>
  <c r="AD188" i="1"/>
  <c r="T188" i="5" s="1"/>
  <c r="AC188" i="1"/>
  <c r="AH187" i="1"/>
  <c r="AI187" i="1" s="1"/>
  <c r="I187" i="4" s="1"/>
  <c r="AG187" i="1"/>
  <c r="X187" i="4" s="1"/>
  <c r="AF187" i="1"/>
  <c r="AE187" i="1"/>
  <c r="AD187" i="1"/>
  <c r="T187" i="5" s="1"/>
  <c r="AC187" i="1"/>
  <c r="BG187" i="4" s="1"/>
  <c r="AH186" i="1"/>
  <c r="AI186" i="1" s="1"/>
  <c r="I186" i="4" s="1"/>
  <c r="AG186" i="1"/>
  <c r="X186" i="4" s="1"/>
  <c r="AF186" i="1"/>
  <c r="AE186" i="1"/>
  <c r="AD186" i="1"/>
  <c r="T186" i="5" s="1"/>
  <c r="AC186" i="1"/>
  <c r="AH185" i="1"/>
  <c r="AI185" i="1" s="1"/>
  <c r="I185" i="4" s="1"/>
  <c r="AG185" i="1"/>
  <c r="X185" i="4" s="1"/>
  <c r="AF185" i="1"/>
  <c r="AE185" i="1"/>
  <c r="AD185" i="1"/>
  <c r="T185" i="5" s="1"/>
  <c r="AC185" i="1"/>
  <c r="AH184" i="1"/>
  <c r="AI184" i="1" s="1"/>
  <c r="I184" i="4" s="1"/>
  <c r="AG184" i="1"/>
  <c r="X184" i="4" s="1"/>
  <c r="AF184" i="1"/>
  <c r="AE184" i="1"/>
  <c r="AD184" i="1"/>
  <c r="T184" i="5" s="1"/>
  <c r="AC184" i="1"/>
  <c r="BG184" i="4" s="1"/>
  <c r="AH183" i="1"/>
  <c r="AI183" i="1" s="1"/>
  <c r="I183" i="4" s="1"/>
  <c r="AG183" i="1"/>
  <c r="X183" i="4" s="1"/>
  <c r="AF183" i="1"/>
  <c r="AE183" i="1"/>
  <c r="AD183" i="1"/>
  <c r="T183" i="5" s="1"/>
  <c r="AC183" i="1"/>
  <c r="AH182" i="1"/>
  <c r="AI182" i="1" s="1"/>
  <c r="I182" i="4" s="1"/>
  <c r="AG182" i="1"/>
  <c r="AF182" i="1"/>
  <c r="AE182" i="1"/>
  <c r="AD182" i="1"/>
  <c r="T182" i="5" s="1"/>
  <c r="AC182" i="1"/>
  <c r="AH181" i="1"/>
  <c r="AI181" i="1" s="1"/>
  <c r="I181" i="4" s="1"/>
  <c r="AG181" i="1"/>
  <c r="X181" i="4" s="1"/>
  <c r="AF181" i="1"/>
  <c r="AE181" i="1"/>
  <c r="AD181" i="1"/>
  <c r="T181" i="5" s="1"/>
  <c r="AC181" i="1"/>
  <c r="S181" i="6" s="1"/>
  <c r="AH180" i="1"/>
  <c r="AI180" i="1" s="1"/>
  <c r="I180" i="4" s="1"/>
  <c r="AG180" i="1"/>
  <c r="X180" i="4" s="1"/>
  <c r="AF180" i="1"/>
  <c r="AE180" i="1"/>
  <c r="AD180" i="1"/>
  <c r="T180" i="5" s="1"/>
  <c r="AC180" i="1"/>
  <c r="AH179" i="1"/>
  <c r="AI179" i="1" s="1"/>
  <c r="I179" i="4" s="1"/>
  <c r="AG179" i="1"/>
  <c r="X179" i="4" s="1"/>
  <c r="AF179" i="1"/>
  <c r="AE179" i="1"/>
  <c r="AD179" i="1"/>
  <c r="T179" i="5" s="1"/>
  <c r="AC179" i="1"/>
  <c r="BG179" i="4" s="1"/>
  <c r="AH178" i="1"/>
  <c r="AI178" i="1" s="1"/>
  <c r="I178" i="4" s="1"/>
  <c r="AG178" i="1"/>
  <c r="X178" i="4" s="1"/>
  <c r="AF178" i="1"/>
  <c r="AE178" i="1"/>
  <c r="AD178" i="1"/>
  <c r="T178" i="5" s="1"/>
  <c r="AC178" i="1"/>
  <c r="AH177" i="1"/>
  <c r="AI177" i="1" s="1"/>
  <c r="I177" i="4" s="1"/>
  <c r="AG177" i="1"/>
  <c r="X177" i="4" s="1"/>
  <c r="AF177" i="1"/>
  <c r="AE177" i="1"/>
  <c r="AD177" i="1"/>
  <c r="T177" i="5" s="1"/>
  <c r="AC177" i="1"/>
  <c r="AH176" i="1"/>
  <c r="AI176" i="1" s="1"/>
  <c r="I176" i="4" s="1"/>
  <c r="AG176" i="1"/>
  <c r="X176" i="4" s="1"/>
  <c r="AF176" i="1"/>
  <c r="AE176" i="1"/>
  <c r="AD176" i="1"/>
  <c r="T176" i="5" s="1"/>
  <c r="AC176" i="1"/>
  <c r="BG176" i="4" s="1"/>
  <c r="AH175" i="1"/>
  <c r="AI175" i="1" s="1"/>
  <c r="I175" i="4" s="1"/>
  <c r="AG175" i="1"/>
  <c r="X175" i="4" s="1"/>
  <c r="AF175" i="1"/>
  <c r="AE175" i="1"/>
  <c r="AD175" i="1"/>
  <c r="T175" i="5" s="1"/>
  <c r="AC175" i="1"/>
  <c r="AH174" i="1"/>
  <c r="AI174" i="1" s="1"/>
  <c r="I174" i="4" s="1"/>
  <c r="AG174" i="1"/>
  <c r="AF174" i="1"/>
  <c r="AE174" i="1"/>
  <c r="AD174" i="1"/>
  <c r="T174" i="5" s="1"/>
  <c r="AC174" i="1"/>
  <c r="R174" i="6" s="1"/>
  <c r="AH173" i="1"/>
  <c r="AI173" i="1" s="1"/>
  <c r="I173" i="4" s="1"/>
  <c r="AG173" i="1"/>
  <c r="X173" i="4" s="1"/>
  <c r="AF173" i="1"/>
  <c r="AE173" i="1"/>
  <c r="AD173" i="1"/>
  <c r="T173" i="5" s="1"/>
  <c r="AC173" i="1"/>
  <c r="AH172" i="1"/>
  <c r="AI172" i="1" s="1"/>
  <c r="I172" i="4" s="1"/>
  <c r="AG172" i="1"/>
  <c r="X172" i="4" s="1"/>
  <c r="AF172" i="1"/>
  <c r="AE172" i="1"/>
  <c r="AD172" i="1"/>
  <c r="T172" i="5" s="1"/>
  <c r="AC172" i="1"/>
  <c r="AH171" i="1"/>
  <c r="AI171" i="1" s="1"/>
  <c r="I171" i="4" s="1"/>
  <c r="AG171" i="1"/>
  <c r="X171" i="4" s="1"/>
  <c r="AF171" i="1"/>
  <c r="AE171" i="1"/>
  <c r="AD171" i="1"/>
  <c r="T171" i="5" s="1"/>
  <c r="AC171" i="1"/>
  <c r="BG171" i="4" s="1"/>
  <c r="AH170" i="1"/>
  <c r="AI170" i="1" s="1"/>
  <c r="I170" i="4" s="1"/>
  <c r="AG170" i="1"/>
  <c r="X170" i="4" s="1"/>
  <c r="AF170" i="1"/>
  <c r="AE170" i="1"/>
  <c r="AD170" i="1"/>
  <c r="T170" i="5" s="1"/>
  <c r="AC170" i="1"/>
  <c r="AH169" i="1"/>
  <c r="AI169" i="1" s="1"/>
  <c r="I169" i="4" s="1"/>
  <c r="AG169" i="1"/>
  <c r="X169" i="4" s="1"/>
  <c r="AF169" i="1"/>
  <c r="AE169" i="1"/>
  <c r="AD169" i="1"/>
  <c r="T169" i="5" s="1"/>
  <c r="AC169" i="1"/>
  <c r="AH168" i="1"/>
  <c r="AI168" i="1" s="1"/>
  <c r="I168" i="4" s="1"/>
  <c r="AG168" i="1"/>
  <c r="X168" i="4" s="1"/>
  <c r="AF168" i="1"/>
  <c r="AE168" i="1"/>
  <c r="AD168" i="1"/>
  <c r="T168" i="5" s="1"/>
  <c r="AC168" i="1"/>
  <c r="BG168" i="4" s="1"/>
  <c r="AH167" i="1"/>
  <c r="AI167" i="1" s="1"/>
  <c r="I167" i="4" s="1"/>
  <c r="AG167" i="1"/>
  <c r="X167" i="4" s="1"/>
  <c r="AF167" i="1"/>
  <c r="AE167" i="1"/>
  <c r="AD167" i="1"/>
  <c r="T167" i="5" s="1"/>
  <c r="AC167" i="1"/>
  <c r="AH166" i="1"/>
  <c r="AI166" i="1" s="1"/>
  <c r="I166" i="4" s="1"/>
  <c r="AG166" i="1"/>
  <c r="AF166" i="1"/>
  <c r="AE166" i="1"/>
  <c r="AD166" i="1"/>
  <c r="T166" i="5" s="1"/>
  <c r="AC166" i="1"/>
  <c r="R166" i="6" s="1"/>
  <c r="AH165" i="1"/>
  <c r="AI165" i="1" s="1"/>
  <c r="I165" i="4" s="1"/>
  <c r="AG165" i="1"/>
  <c r="X165" i="4" s="1"/>
  <c r="AF165" i="1"/>
  <c r="AE165" i="1"/>
  <c r="AD165" i="1"/>
  <c r="T165" i="5" s="1"/>
  <c r="AC165" i="1"/>
  <c r="S165" i="6" s="1"/>
  <c r="AH164" i="1"/>
  <c r="AI164" i="1" s="1"/>
  <c r="I164" i="4" s="1"/>
  <c r="AG164" i="1"/>
  <c r="X164" i="4" s="1"/>
  <c r="AF164" i="1"/>
  <c r="AE164" i="1"/>
  <c r="AD164" i="1"/>
  <c r="T164" i="5" s="1"/>
  <c r="AC164" i="1"/>
  <c r="AH163" i="1"/>
  <c r="AI163" i="1" s="1"/>
  <c r="I163" i="4" s="1"/>
  <c r="AG163" i="1"/>
  <c r="X163" i="4" s="1"/>
  <c r="AF163" i="1"/>
  <c r="AE163" i="1"/>
  <c r="AD163" i="1"/>
  <c r="T163" i="5" s="1"/>
  <c r="AC163" i="1"/>
  <c r="BG163" i="4" s="1"/>
  <c r="AH162" i="1"/>
  <c r="AI162" i="1" s="1"/>
  <c r="I162" i="4" s="1"/>
  <c r="AG162" i="1"/>
  <c r="X162" i="4" s="1"/>
  <c r="AF162" i="1"/>
  <c r="AE162" i="1"/>
  <c r="AD162" i="1"/>
  <c r="T162" i="5" s="1"/>
  <c r="AC162" i="1"/>
  <c r="AH161" i="1"/>
  <c r="AI161" i="1" s="1"/>
  <c r="I161" i="4" s="1"/>
  <c r="AG161" i="1"/>
  <c r="X161" i="4" s="1"/>
  <c r="AF161" i="1"/>
  <c r="AE161" i="1"/>
  <c r="AD161" i="1"/>
  <c r="T161" i="5" s="1"/>
  <c r="AC161" i="1"/>
  <c r="AH160" i="1"/>
  <c r="AI160" i="1" s="1"/>
  <c r="I160" i="4" s="1"/>
  <c r="AG160" i="1"/>
  <c r="X160" i="4" s="1"/>
  <c r="AF160" i="1"/>
  <c r="AE160" i="1"/>
  <c r="AD160" i="1"/>
  <c r="T160" i="5" s="1"/>
  <c r="AC160" i="1"/>
  <c r="BG160" i="4" s="1"/>
  <c r="AH159" i="1"/>
  <c r="AI159" i="1" s="1"/>
  <c r="I159" i="4" s="1"/>
  <c r="AG159" i="1"/>
  <c r="X159" i="4" s="1"/>
  <c r="AF159" i="1"/>
  <c r="AE159" i="1"/>
  <c r="AD159" i="1"/>
  <c r="T159" i="5" s="1"/>
  <c r="AC159" i="1"/>
  <c r="AH158" i="1"/>
  <c r="AI158" i="1" s="1"/>
  <c r="I158" i="4" s="1"/>
  <c r="AG158" i="1"/>
  <c r="AF158" i="1"/>
  <c r="AE158" i="1"/>
  <c r="AD158" i="1"/>
  <c r="T158" i="5" s="1"/>
  <c r="AC158" i="1"/>
  <c r="AH157" i="1"/>
  <c r="AI157" i="1" s="1"/>
  <c r="I157" i="4" s="1"/>
  <c r="AG157" i="1"/>
  <c r="X157" i="4" s="1"/>
  <c r="AF157" i="1"/>
  <c r="AE157" i="1"/>
  <c r="AD157" i="1"/>
  <c r="T157" i="5" s="1"/>
  <c r="AC157" i="1"/>
  <c r="S157" i="6" s="1"/>
  <c r="AH156" i="1"/>
  <c r="AI156" i="1" s="1"/>
  <c r="I156" i="4" s="1"/>
  <c r="AG156" i="1"/>
  <c r="X156" i="4" s="1"/>
  <c r="AF156" i="1"/>
  <c r="AE156" i="1"/>
  <c r="AD156" i="1"/>
  <c r="T156" i="5" s="1"/>
  <c r="AC156" i="1"/>
  <c r="AH155" i="1"/>
  <c r="AI155" i="1" s="1"/>
  <c r="I155" i="4" s="1"/>
  <c r="AG155" i="1"/>
  <c r="X155" i="4" s="1"/>
  <c r="AF155" i="1"/>
  <c r="AE155" i="1"/>
  <c r="AD155" i="1"/>
  <c r="T155" i="5" s="1"/>
  <c r="AC155" i="1"/>
  <c r="BG155" i="4" s="1"/>
  <c r="AH154" i="1"/>
  <c r="AI154" i="1" s="1"/>
  <c r="I154" i="4" s="1"/>
  <c r="AG154" i="1"/>
  <c r="X154" i="4" s="1"/>
  <c r="AF154" i="1"/>
  <c r="AE154" i="1"/>
  <c r="AD154" i="1"/>
  <c r="T154" i="5" s="1"/>
  <c r="AC154" i="1"/>
  <c r="AH153" i="1"/>
  <c r="AI153" i="1" s="1"/>
  <c r="I153" i="4" s="1"/>
  <c r="AG153" i="1"/>
  <c r="X153" i="4" s="1"/>
  <c r="AF153" i="1"/>
  <c r="AE153" i="1"/>
  <c r="AD153" i="1"/>
  <c r="T153" i="5" s="1"/>
  <c r="AC153" i="1"/>
  <c r="AH152" i="1"/>
  <c r="AI152" i="1" s="1"/>
  <c r="I152" i="4" s="1"/>
  <c r="AG152" i="1"/>
  <c r="X152" i="4" s="1"/>
  <c r="AF152" i="1"/>
  <c r="AE152" i="1"/>
  <c r="AD152" i="1"/>
  <c r="T152" i="5" s="1"/>
  <c r="AC152" i="1"/>
  <c r="BG152" i="4" s="1"/>
  <c r="AH151" i="1"/>
  <c r="AI151" i="1" s="1"/>
  <c r="I151" i="4" s="1"/>
  <c r="AG151" i="1"/>
  <c r="X151" i="4" s="1"/>
  <c r="AF151" i="1"/>
  <c r="AE151" i="1"/>
  <c r="AD151" i="1"/>
  <c r="T151" i="5" s="1"/>
  <c r="AC151" i="1"/>
  <c r="AH150" i="1"/>
  <c r="AI150" i="1" s="1"/>
  <c r="I150" i="4" s="1"/>
  <c r="AG150" i="1"/>
  <c r="AF150" i="1"/>
  <c r="AE150" i="1"/>
  <c r="AD150" i="1"/>
  <c r="T150" i="5" s="1"/>
  <c r="AC150" i="1"/>
  <c r="AH149" i="1"/>
  <c r="AI149" i="1" s="1"/>
  <c r="I149" i="4" s="1"/>
  <c r="AG149" i="1"/>
  <c r="X149" i="4" s="1"/>
  <c r="AF149" i="1"/>
  <c r="AE149" i="1"/>
  <c r="AD149" i="1"/>
  <c r="T149" i="5" s="1"/>
  <c r="AC149" i="1"/>
  <c r="AH148" i="1"/>
  <c r="AI148" i="1" s="1"/>
  <c r="I148" i="4" s="1"/>
  <c r="AG148" i="1"/>
  <c r="X148" i="4" s="1"/>
  <c r="AF148" i="1"/>
  <c r="AE148" i="1"/>
  <c r="AD148" i="1"/>
  <c r="T148" i="5" s="1"/>
  <c r="AC148" i="1"/>
  <c r="AH147" i="1"/>
  <c r="AI147" i="1" s="1"/>
  <c r="I147" i="4" s="1"/>
  <c r="AG147" i="1"/>
  <c r="X147" i="4" s="1"/>
  <c r="AF147" i="1"/>
  <c r="AE147" i="1"/>
  <c r="AD147" i="1"/>
  <c r="T147" i="5" s="1"/>
  <c r="AC147" i="1"/>
  <c r="BG147" i="4" s="1"/>
  <c r="AH146" i="1"/>
  <c r="AI146" i="1" s="1"/>
  <c r="I146" i="4" s="1"/>
  <c r="AG146" i="1"/>
  <c r="X146" i="4" s="1"/>
  <c r="AF146" i="1"/>
  <c r="AE146" i="1"/>
  <c r="AD146" i="1"/>
  <c r="T146" i="5" s="1"/>
  <c r="AC146" i="1"/>
  <c r="AH145" i="1"/>
  <c r="AI145" i="1" s="1"/>
  <c r="I145" i="4" s="1"/>
  <c r="AG145" i="1"/>
  <c r="X145" i="4" s="1"/>
  <c r="AF145" i="1"/>
  <c r="AE145" i="1"/>
  <c r="AD145" i="1"/>
  <c r="T145" i="5" s="1"/>
  <c r="AC145" i="1"/>
  <c r="AH144" i="1"/>
  <c r="AI144" i="1" s="1"/>
  <c r="I144" i="4" s="1"/>
  <c r="AG144" i="1"/>
  <c r="X144" i="4" s="1"/>
  <c r="AF144" i="1"/>
  <c r="AE144" i="1"/>
  <c r="AD144" i="1"/>
  <c r="T144" i="5" s="1"/>
  <c r="AC144" i="1"/>
  <c r="BG144" i="4" s="1"/>
  <c r="AH143" i="1"/>
  <c r="AI143" i="1" s="1"/>
  <c r="I143" i="4" s="1"/>
  <c r="AG143" i="1"/>
  <c r="X143" i="4" s="1"/>
  <c r="AF143" i="1"/>
  <c r="AE143" i="1"/>
  <c r="AD143" i="1"/>
  <c r="T143" i="5" s="1"/>
  <c r="AC143" i="1"/>
  <c r="AH142" i="1"/>
  <c r="AI142" i="1" s="1"/>
  <c r="I142" i="4" s="1"/>
  <c r="AG142" i="1"/>
  <c r="AF142" i="1"/>
  <c r="AE142" i="1"/>
  <c r="AD142" i="1"/>
  <c r="T142" i="5" s="1"/>
  <c r="AC142" i="1"/>
  <c r="R142" i="6" s="1"/>
  <c r="AH141" i="1"/>
  <c r="AI141" i="1" s="1"/>
  <c r="I141" i="4" s="1"/>
  <c r="AG141" i="1"/>
  <c r="X141" i="4" s="1"/>
  <c r="AF141" i="1"/>
  <c r="AE141" i="1"/>
  <c r="AD141" i="1"/>
  <c r="T141" i="5" s="1"/>
  <c r="AC141" i="1"/>
  <c r="AH140" i="1"/>
  <c r="AI140" i="1" s="1"/>
  <c r="I140" i="4" s="1"/>
  <c r="AG140" i="1"/>
  <c r="X140" i="4" s="1"/>
  <c r="AF140" i="1"/>
  <c r="AE140" i="1"/>
  <c r="AD140" i="1"/>
  <c r="T140" i="5" s="1"/>
  <c r="AC140" i="1"/>
  <c r="AH139" i="1"/>
  <c r="AI139" i="1" s="1"/>
  <c r="I139" i="4" s="1"/>
  <c r="AG139" i="1"/>
  <c r="X139" i="4" s="1"/>
  <c r="AF139" i="1"/>
  <c r="AE139" i="1"/>
  <c r="AD139" i="1"/>
  <c r="T139" i="5" s="1"/>
  <c r="AC139" i="1"/>
  <c r="BG139" i="4" s="1"/>
  <c r="AH138" i="1"/>
  <c r="AI138" i="1" s="1"/>
  <c r="I138" i="4" s="1"/>
  <c r="AG138" i="1"/>
  <c r="X138" i="4" s="1"/>
  <c r="AF138" i="1"/>
  <c r="AE138" i="1"/>
  <c r="AD138" i="1"/>
  <c r="T138" i="5" s="1"/>
  <c r="AC138" i="1"/>
  <c r="AH137" i="1"/>
  <c r="AI137" i="1" s="1"/>
  <c r="I137" i="4" s="1"/>
  <c r="AG137" i="1"/>
  <c r="X137" i="4" s="1"/>
  <c r="AF137" i="1"/>
  <c r="AE137" i="1"/>
  <c r="AD137" i="1"/>
  <c r="T137" i="5" s="1"/>
  <c r="AC137" i="1"/>
  <c r="AH136" i="1"/>
  <c r="AI136" i="1" s="1"/>
  <c r="I136" i="4" s="1"/>
  <c r="AG136" i="1"/>
  <c r="X136" i="4" s="1"/>
  <c r="AF136" i="1"/>
  <c r="AE136" i="1"/>
  <c r="AD136" i="1"/>
  <c r="T136" i="5" s="1"/>
  <c r="AC136" i="1"/>
  <c r="BG136" i="4" s="1"/>
  <c r="AH135" i="1"/>
  <c r="AI135" i="1" s="1"/>
  <c r="I135" i="4" s="1"/>
  <c r="AG135" i="1"/>
  <c r="X135" i="4" s="1"/>
  <c r="AF135" i="1"/>
  <c r="AE135" i="1"/>
  <c r="AD135" i="1"/>
  <c r="T135" i="5" s="1"/>
  <c r="AC135" i="1"/>
  <c r="AH134" i="1"/>
  <c r="AI134" i="1" s="1"/>
  <c r="I134" i="4" s="1"/>
  <c r="AG134" i="1"/>
  <c r="AF134" i="1"/>
  <c r="AE134" i="1"/>
  <c r="AD134" i="1"/>
  <c r="T134" i="5" s="1"/>
  <c r="AC134" i="1"/>
  <c r="AH133" i="1"/>
  <c r="AI133" i="1" s="1"/>
  <c r="I133" i="4" s="1"/>
  <c r="AG133" i="1"/>
  <c r="X133" i="4" s="1"/>
  <c r="AF133" i="1"/>
  <c r="AE133" i="1"/>
  <c r="AD133" i="1"/>
  <c r="T133" i="5" s="1"/>
  <c r="AC133" i="1"/>
  <c r="S133" i="6" s="1"/>
  <c r="AH132" i="1"/>
  <c r="AI132" i="1" s="1"/>
  <c r="I132" i="4" s="1"/>
  <c r="AG132" i="1"/>
  <c r="X132" i="4" s="1"/>
  <c r="AF132" i="1"/>
  <c r="AE132" i="1"/>
  <c r="AD132" i="1"/>
  <c r="T132" i="5" s="1"/>
  <c r="AC132" i="1"/>
  <c r="AI131" i="1"/>
  <c r="I131" i="4" s="1"/>
  <c r="AH131" i="1"/>
  <c r="AG131" i="1"/>
  <c r="X131" i="4" s="1"/>
  <c r="AF131" i="1"/>
  <c r="AE131" i="1"/>
  <c r="AD131" i="1"/>
  <c r="T131" i="5" s="1"/>
  <c r="AC131" i="1"/>
  <c r="BG131" i="4" s="1"/>
  <c r="AH130" i="1"/>
  <c r="AI130" i="1" s="1"/>
  <c r="I130" i="4" s="1"/>
  <c r="AG130" i="1"/>
  <c r="X130" i="4" s="1"/>
  <c r="AF130" i="1"/>
  <c r="AE130" i="1"/>
  <c r="AD130" i="1"/>
  <c r="T130" i="5" s="1"/>
  <c r="AC130" i="1"/>
  <c r="AH129" i="1"/>
  <c r="AI129" i="1" s="1"/>
  <c r="I129" i="4" s="1"/>
  <c r="AG129" i="1"/>
  <c r="X129" i="4" s="1"/>
  <c r="AF129" i="1"/>
  <c r="AE129" i="1"/>
  <c r="AD129" i="1"/>
  <c r="T129" i="5" s="1"/>
  <c r="AC129" i="1"/>
  <c r="AH128" i="1"/>
  <c r="AI128" i="1" s="1"/>
  <c r="I128" i="4" s="1"/>
  <c r="AG128" i="1"/>
  <c r="X128" i="4" s="1"/>
  <c r="AF128" i="1"/>
  <c r="AE128" i="1"/>
  <c r="AD128" i="1"/>
  <c r="T128" i="5" s="1"/>
  <c r="AC128" i="1"/>
  <c r="BG128" i="4" s="1"/>
  <c r="AH127" i="1"/>
  <c r="AI127" i="1" s="1"/>
  <c r="I127" i="4" s="1"/>
  <c r="AG127" i="1"/>
  <c r="X127" i="4" s="1"/>
  <c r="AF127" i="1"/>
  <c r="AE127" i="1"/>
  <c r="AD127" i="1"/>
  <c r="T127" i="5" s="1"/>
  <c r="AC127" i="1"/>
  <c r="AH126" i="1"/>
  <c r="AI126" i="1" s="1"/>
  <c r="I126" i="4" s="1"/>
  <c r="AG126" i="1"/>
  <c r="AF126" i="1"/>
  <c r="AE126" i="1"/>
  <c r="AD126" i="1"/>
  <c r="T126" i="5" s="1"/>
  <c r="AC126" i="1"/>
  <c r="AH125" i="1"/>
  <c r="AI125" i="1" s="1"/>
  <c r="I125" i="4" s="1"/>
  <c r="AG125" i="1"/>
  <c r="X125" i="4" s="1"/>
  <c r="AF125" i="1"/>
  <c r="AE125" i="1"/>
  <c r="AD125" i="1"/>
  <c r="T125" i="5" s="1"/>
  <c r="AC125" i="1"/>
  <c r="S125" i="6" s="1"/>
  <c r="AH124" i="1"/>
  <c r="AI124" i="1" s="1"/>
  <c r="I124" i="4" s="1"/>
  <c r="AG124" i="1"/>
  <c r="X124" i="4" s="1"/>
  <c r="AF124" i="1"/>
  <c r="AE124" i="1"/>
  <c r="AD124" i="1"/>
  <c r="T124" i="5" s="1"/>
  <c r="AC124" i="1"/>
  <c r="AH123" i="1"/>
  <c r="AI123" i="1" s="1"/>
  <c r="I123" i="4" s="1"/>
  <c r="AG123" i="1"/>
  <c r="X123" i="4" s="1"/>
  <c r="AF123" i="1"/>
  <c r="AE123" i="1"/>
  <c r="AD123" i="1"/>
  <c r="T123" i="5" s="1"/>
  <c r="AC123" i="1"/>
  <c r="BG123" i="4" s="1"/>
  <c r="AH122" i="1"/>
  <c r="AI122" i="1" s="1"/>
  <c r="I122" i="4" s="1"/>
  <c r="AG122" i="1"/>
  <c r="X122" i="4" s="1"/>
  <c r="AF122" i="1"/>
  <c r="AE122" i="1"/>
  <c r="AD122" i="1"/>
  <c r="T122" i="5" s="1"/>
  <c r="AC122" i="1"/>
  <c r="AH121" i="1"/>
  <c r="AI121" i="1" s="1"/>
  <c r="I121" i="4" s="1"/>
  <c r="AG121" i="1"/>
  <c r="X121" i="4" s="1"/>
  <c r="AF121" i="1"/>
  <c r="AE121" i="1"/>
  <c r="AD121" i="1"/>
  <c r="T121" i="5" s="1"/>
  <c r="AC121" i="1"/>
  <c r="AH120" i="1"/>
  <c r="AI120" i="1" s="1"/>
  <c r="I120" i="4" s="1"/>
  <c r="AG120" i="1"/>
  <c r="X120" i="4" s="1"/>
  <c r="AF120" i="1"/>
  <c r="AE120" i="1"/>
  <c r="AD120" i="1"/>
  <c r="T120" i="5" s="1"/>
  <c r="AC120" i="1"/>
  <c r="BG120" i="4" s="1"/>
  <c r="AH119" i="1"/>
  <c r="AI119" i="1" s="1"/>
  <c r="I119" i="4" s="1"/>
  <c r="AG119" i="1"/>
  <c r="X119" i="4" s="1"/>
  <c r="AF119" i="1"/>
  <c r="AE119" i="1"/>
  <c r="AD119" i="1"/>
  <c r="T119" i="5" s="1"/>
  <c r="AC119" i="1"/>
  <c r="AH118" i="1"/>
  <c r="AI118" i="1" s="1"/>
  <c r="I118" i="4" s="1"/>
  <c r="AG118" i="1"/>
  <c r="AF118" i="1"/>
  <c r="AE118" i="1"/>
  <c r="AD118" i="1"/>
  <c r="T118" i="5" s="1"/>
  <c r="AC118" i="1"/>
  <c r="AH117" i="1"/>
  <c r="AI117" i="1" s="1"/>
  <c r="I117" i="4" s="1"/>
  <c r="AG117" i="1"/>
  <c r="X117" i="4" s="1"/>
  <c r="AF117" i="1"/>
  <c r="AE117" i="1"/>
  <c r="AD117" i="1"/>
  <c r="T117" i="5" s="1"/>
  <c r="AC117" i="1"/>
  <c r="AH116" i="1"/>
  <c r="AI116" i="1" s="1"/>
  <c r="I116" i="4" s="1"/>
  <c r="AG116" i="1"/>
  <c r="X116" i="4" s="1"/>
  <c r="AF116" i="1"/>
  <c r="AE116" i="1"/>
  <c r="AD116" i="1"/>
  <c r="T116" i="5" s="1"/>
  <c r="AC116" i="1"/>
  <c r="AH115" i="1"/>
  <c r="AI115" i="1" s="1"/>
  <c r="I115" i="4" s="1"/>
  <c r="AG115" i="1"/>
  <c r="X115" i="4" s="1"/>
  <c r="AF115" i="1"/>
  <c r="AE115" i="1"/>
  <c r="AD115" i="1"/>
  <c r="T115" i="5" s="1"/>
  <c r="AC115" i="1"/>
  <c r="BG115" i="4" s="1"/>
  <c r="AH114" i="1"/>
  <c r="AI114" i="1" s="1"/>
  <c r="I114" i="4" s="1"/>
  <c r="AG114" i="1"/>
  <c r="X114" i="4" s="1"/>
  <c r="AF114" i="1"/>
  <c r="AE114" i="1"/>
  <c r="AD114" i="1"/>
  <c r="T114" i="5" s="1"/>
  <c r="AC114" i="1"/>
  <c r="AH113" i="1"/>
  <c r="AI113" i="1" s="1"/>
  <c r="I113" i="4" s="1"/>
  <c r="AG113" i="1"/>
  <c r="X113" i="4" s="1"/>
  <c r="AF113" i="1"/>
  <c r="AE113" i="1"/>
  <c r="AD113" i="1"/>
  <c r="T113" i="5" s="1"/>
  <c r="AC113" i="1"/>
  <c r="AH112" i="1"/>
  <c r="AI112" i="1" s="1"/>
  <c r="I112" i="4" s="1"/>
  <c r="AG112" i="1"/>
  <c r="X112" i="4" s="1"/>
  <c r="AF112" i="1"/>
  <c r="AE112" i="1"/>
  <c r="AD112" i="1"/>
  <c r="T112" i="5" s="1"/>
  <c r="AC112" i="1"/>
  <c r="BG112" i="4" s="1"/>
  <c r="AH111" i="1"/>
  <c r="AI111" i="1" s="1"/>
  <c r="I111" i="4" s="1"/>
  <c r="AG111" i="1"/>
  <c r="X111" i="4" s="1"/>
  <c r="AF111" i="1"/>
  <c r="AE111" i="1"/>
  <c r="AD111" i="1"/>
  <c r="T111" i="5" s="1"/>
  <c r="AC111" i="1"/>
  <c r="AH110" i="1"/>
  <c r="AI110" i="1" s="1"/>
  <c r="I110" i="4" s="1"/>
  <c r="AG110" i="1"/>
  <c r="AF110" i="1"/>
  <c r="AE110" i="1"/>
  <c r="AD110" i="1"/>
  <c r="T110" i="5" s="1"/>
  <c r="AC110" i="1"/>
  <c r="R110" i="6" s="1"/>
  <c r="AH109" i="1"/>
  <c r="AI109" i="1" s="1"/>
  <c r="I109" i="4" s="1"/>
  <c r="AG109" i="1"/>
  <c r="X109" i="4" s="1"/>
  <c r="AF109" i="1"/>
  <c r="AE109" i="1"/>
  <c r="AD109" i="1"/>
  <c r="T109" i="5" s="1"/>
  <c r="AC109" i="1"/>
  <c r="AH108" i="1"/>
  <c r="AI108" i="1" s="1"/>
  <c r="I108" i="4" s="1"/>
  <c r="AG108" i="1"/>
  <c r="X108" i="4" s="1"/>
  <c r="AF108" i="1"/>
  <c r="AE108" i="1"/>
  <c r="AD108" i="1"/>
  <c r="T108" i="5" s="1"/>
  <c r="AC108" i="1"/>
  <c r="AH107" i="1"/>
  <c r="AI107" i="1" s="1"/>
  <c r="I107" i="4" s="1"/>
  <c r="AG107" i="1"/>
  <c r="X107" i="4" s="1"/>
  <c r="AF107" i="1"/>
  <c r="AE107" i="1"/>
  <c r="AD107" i="1"/>
  <c r="T107" i="5" s="1"/>
  <c r="AC107" i="1"/>
  <c r="BG107" i="4" s="1"/>
  <c r="AH106" i="1"/>
  <c r="AI106" i="1" s="1"/>
  <c r="I106" i="4" s="1"/>
  <c r="AG106" i="1"/>
  <c r="X106" i="4" s="1"/>
  <c r="AF106" i="1"/>
  <c r="AE106" i="1"/>
  <c r="AD106" i="1"/>
  <c r="T106" i="5" s="1"/>
  <c r="AC106" i="1"/>
  <c r="AH105" i="1"/>
  <c r="AI105" i="1" s="1"/>
  <c r="I105" i="4" s="1"/>
  <c r="AG105" i="1"/>
  <c r="X105" i="4" s="1"/>
  <c r="AF105" i="1"/>
  <c r="AE105" i="1"/>
  <c r="AD105" i="1"/>
  <c r="T105" i="5" s="1"/>
  <c r="AC105" i="1"/>
  <c r="AH104" i="1"/>
  <c r="AI104" i="1" s="1"/>
  <c r="I104" i="4" s="1"/>
  <c r="AG104" i="1"/>
  <c r="X104" i="4" s="1"/>
  <c r="AF104" i="1"/>
  <c r="AE104" i="1"/>
  <c r="AD104" i="1"/>
  <c r="T104" i="5" s="1"/>
  <c r="AC104" i="1"/>
  <c r="BG104" i="4" s="1"/>
  <c r="AH103" i="1"/>
  <c r="AI103" i="1" s="1"/>
  <c r="I103" i="4" s="1"/>
  <c r="AG103" i="1"/>
  <c r="X103" i="4" s="1"/>
  <c r="AF103" i="1"/>
  <c r="AE103" i="1"/>
  <c r="AD103" i="1"/>
  <c r="T103" i="5" s="1"/>
  <c r="AC103" i="1"/>
  <c r="AH102" i="1"/>
  <c r="AI102" i="1" s="1"/>
  <c r="I102" i="4" s="1"/>
  <c r="AG102" i="1"/>
  <c r="AF102" i="1"/>
  <c r="AE102" i="1"/>
  <c r="AD102" i="1"/>
  <c r="T102" i="5" s="1"/>
  <c r="AC102" i="1"/>
  <c r="AH101" i="1"/>
  <c r="AI101" i="1" s="1"/>
  <c r="I101" i="4" s="1"/>
  <c r="AG101" i="1"/>
  <c r="X101" i="4" s="1"/>
  <c r="AF101" i="1"/>
  <c r="AE101" i="1"/>
  <c r="AD101" i="1"/>
  <c r="T101" i="5" s="1"/>
  <c r="AC101" i="1"/>
  <c r="S101" i="6" s="1"/>
  <c r="AH100" i="1"/>
  <c r="AI100" i="1" s="1"/>
  <c r="I100" i="4" s="1"/>
  <c r="AG100" i="1"/>
  <c r="X100" i="4" s="1"/>
  <c r="AF100" i="1"/>
  <c r="AE100" i="1"/>
  <c r="AD100" i="1"/>
  <c r="T100" i="5" s="1"/>
  <c r="AC100" i="1"/>
  <c r="AH99" i="1"/>
  <c r="AI99" i="1" s="1"/>
  <c r="I99" i="4" s="1"/>
  <c r="AG99" i="1"/>
  <c r="X99" i="4" s="1"/>
  <c r="AF99" i="1"/>
  <c r="AE99" i="1"/>
  <c r="AD99" i="1"/>
  <c r="AP99" i="4" s="1"/>
  <c r="AC99" i="1"/>
  <c r="BG99" i="4" s="1"/>
  <c r="AH98" i="1"/>
  <c r="AI98" i="1" s="1"/>
  <c r="I98" i="4" s="1"/>
  <c r="AG98" i="1"/>
  <c r="X98" i="4" s="1"/>
  <c r="AF98" i="1"/>
  <c r="AE98" i="1"/>
  <c r="AD98" i="1"/>
  <c r="T98" i="5" s="1"/>
  <c r="AC98" i="1"/>
  <c r="AH97" i="1"/>
  <c r="AI97" i="1" s="1"/>
  <c r="I97" i="4" s="1"/>
  <c r="AG97" i="1"/>
  <c r="X97" i="4" s="1"/>
  <c r="AF97" i="1"/>
  <c r="AE97" i="1"/>
  <c r="AD97" i="1"/>
  <c r="T97" i="5" s="1"/>
  <c r="AC97" i="1"/>
  <c r="R97" i="6" s="1"/>
  <c r="AH96" i="1"/>
  <c r="AI96" i="1" s="1"/>
  <c r="I96" i="4" s="1"/>
  <c r="AG96" i="1"/>
  <c r="X96" i="4" s="1"/>
  <c r="AF96" i="1"/>
  <c r="AE96" i="1"/>
  <c r="Z96" i="4" s="1"/>
  <c r="AD96" i="1"/>
  <c r="T96" i="5" s="1"/>
  <c r="AC96" i="1"/>
  <c r="BG96" i="4" s="1"/>
  <c r="AH95" i="1"/>
  <c r="AI95" i="1" s="1"/>
  <c r="I95" i="4" s="1"/>
  <c r="AG95" i="1"/>
  <c r="X95" i="4" s="1"/>
  <c r="AF95" i="1"/>
  <c r="AE95" i="1"/>
  <c r="AD95" i="1"/>
  <c r="P95" i="4" s="1"/>
  <c r="AC95" i="1"/>
  <c r="AH94" i="1"/>
  <c r="AI94" i="1" s="1"/>
  <c r="I94" i="4" s="1"/>
  <c r="AG94" i="1"/>
  <c r="AF94" i="1"/>
  <c r="AE94" i="1"/>
  <c r="AD94" i="1"/>
  <c r="T94" i="5" s="1"/>
  <c r="AC94" i="1"/>
  <c r="BG94" i="4" s="1"/>
  <c r="AH93" i="1"/>
  <c r="AI93" i="1" s="1"/>
  <c r="I93" i="4" s="1"/>
  <c r="AG93" i="1"/>
  <c r="X93" i="4" s="1"/>
  <c r="AF93" i="1"/>
  <c r="AE93" i="1"/>
  <c r="AD93" i="1"/>
  <c r="T93" i="5" s="1"/>
  <c r="AC93" i="1"/>
  <c r="S93" i="6" s="1"/>
  <c r="AH92" i="1"/>
  <c r="AI92" i="1" s="1"/>
  <c r="I92" i="4" s="1"/>
  <c r="AG92" i="1"/>
  <c r="X92" i="4" s="1"/>
  <c r="AF92" i="1"/>
  <c r="AE92" i="1"/>
  <c r="AD92" i="1"/>
  <c r="P92" i="4" s="1"/>
  <c r="AC92" i="1"/>
  <c r="AH91" i="1"/>
  <c r="AI91" i="1" s="1"/>
  <c r="I91" i="4" s="1"/>
  <c r="AG91" i="1"/>
  <c r="X91" i="4" s="1"/>
  <c r="AF91" i="1"/>
  <c r="AE91" i="1"/>
  <c r="AD91" i="1"/>
  <c r="T91" i="5" s="1"/>
  <c r="AC91" i="1"/>
  <c r="BG91" i="4" s="1"/>
  <c r="AH90" i="1"/>
  <c r="AI90" i="1" s="1"/>
  <c r="I90" i="4" s="1"/>
  <c r="AG90" i="1"/>
  <c r="X90" i="4" s="1"/>
  <c r="AF90" i="1"/>
  <c r="AE90" i="1"/>
  <c r="AD90" i="1"/>
  <c r="T90" i="5" s="1"/>
  <c r="AC90" i="1"/>
  <c r="AH89" i="1"/>
  <c r="AI89" i="1" s="1"/>
  <c r="I89" i="4" s="1"/>
  <c r="AG89" i="1"/>
  <c r="X89" i="4" s="1"/>
  <c r="AF89" i="1"/>
  <c r="AE89" i="1"/>
  <c r="AD89" i="1"/>
  <c r="L89" i="4" s="1"/>
  <c r="AC89" i="1"/>
  <c r="R89" i="6" s="1"/>
  <c r="AH88" i="1"/>
  <c r="AI88" i="1" s="1"/>
  <c r="I88" i="4" s="1"/>
  <c r="AG88" i="1"/>
  <c r="X88" i="4" s="1"/>
  <c r="AF88" i="1"/>
  <c r="AE88" i="1"/>
  <c r="AD88" i="1"/>
  <c r="T88" i="5" s="1"/>
  <c r="AC88" i="1"/>
  <c r="BG88" i="4" s="1"/>
  <c r="AH87" i="1"/>
  <c r="AI87" i="1" s="1"/>
  <c r="I87" i="4" s="1"/>
  <c r="AG87" i="1"/>
  <c r="X87" i="4" s="1"/>
  <c r="AF87" i="1"/>
  <c r="AE87" i="1"/>
  <c r="AD87" i="1"/>
  <c r="T87" i="5" s="1"/>
  <c r="AC87" i="1"/>
  <c r="AH86" i="1"/>
  <c r="AI86" i="1" s="1"/>
  <c r="I86" i="4" s="1"/>
  <c r="AG86" i="1"/>
  <c r="AF86" i="1"/>
  <c r="AE86" i="1"/>
  <c r="Z86" i="4" s="1"/>
  <c r="AD86" i="1"/>
  <c r="T86" i="5" s="1"/>
  <c r="AC86" i="1"/>
  <c r="BG86" i="4" s="1"/>
  <c r="AH85" i="1"/>
  <c r="AI85" i="1" s="1"/>
  <c r="I85" i="4" s="1"/>
  <c r="AG85" i="1"/>
  <c r="X85" i="4" s="1"/>
  <c r="AF85" i="1"/>
  <c r="AE85" i="1"/>
  <c r="AD85" i="1"/>
  <c r="T85" i="5" s="1"/>
  <c r="AC85" i="1"/>
  <c r="S85" i="6" s="1"/>
  <c r="AH84" i="1"/>
  <c r="AI84" i="1" s="1"/>
  <c r="I84" i="4" s="1"/>
  <c r="AG84" i="1"/>
  <c r="X84" i="4" s="1"/>
  <c r="AF84" i="1"/>
  <c r="AE84" i="1"/>
  <c r="AD84" i="1"/>
  <c r="L84" i="4" s="1"/>
  <c r="AC84" i="1"/>
  <c r="AH83" i="1"/>
  <c r="AI83" i="1" s="1"/>
  <c r="I83" i="4" s="1"/>
  <c r="AG83" i="1"/>
  <c r="X83" i="4" s="1"/>
  <c r="AF83" i="1"/>
  <c r="AE83" i="1"/>
  <c r="AD83" i="1"/>
  <c r="T83" i="5" s="1"/>
  <c r="AC83" i="1"/>
  <c r="BG83" i="4" s="1"/>
  <c r="AH82" i="1"/>
  <c r="AI82" i="1" s="1"/>
  <c r="I82" i="4" s="1"/>
  <c r="AG82" i="1"/>
  <c r="X82" i="4" s="1"/>
  <c r="AF82" i="1"/>
  <c r="AE82" i="1"/>
  <c r="AD82" i="1"/>
  <c r="P82" i="4" s="1"/>
  <c r="AC82" i="1"/>
  <c r="AH81" i="1"/>
  <c r="AI81" i="1" s="1"/>
  <c r="I81" i="4" s="1"/>
  <c r="AG81" i="1"/>
  <c r="X81" i="4" s="1"/>
  <c r="AF81" i="1"/>
  <c r="AE81" i="1"/>
  <c r="AD81" i="1"/>
  <c r="P81" i="4" s="1"/>
  <c r="AC81" i="1"/>
  <c r="R81" i="6" s="1"/>
  <c r="AH80" i="1"/>
  <c r="AI80" i="1" s="1"/>
  <c r="I80" i="4" s="1"/>
  <c r="AG80" i="1"/>
  <c r="X80" i="4" s="1"/>
  <c r="AF80" i="1"/>
  <c r="AE80" i="1"/>
  <c r="AD80" i="1"/>
  <c r="T80" i="5" s="1"/>
  <c r="AC80" i="1"/>
  <c r="BG80" i="4" s="1"/>
  <c r="AH79" i="1"/>
  <c r="AI79" i="1" s="1"/>
  <c r="I79" i="4" s="1"/>
  <c r="AG79" i="1"/>
  <c r="X79" i="4" s="1"/>
  <c r="AF79" i="1"/>
  <c r="AE79" i="1"/>
  <c r="Q79" i="4" s="1"/>
  <c r="AD79" i="1"/>
  <c r="T79" i="5" s="1"/>
  <c r="AC79" i="1"/>
  <c r="AH78" i="1"/>
  <c r="AI78" i="1" s="1"/>
  <c r="I78" i="4" s="1"/>
  <c r="AG78" i="1"/>
  <c r="AF78" i="1"/>
  <c r="AE78" i="1"/>
  <c r="Z78" i="4" s="1"/>
  <c r="AD78" i="1"/>
  <c r="L78" i="4" s="1"/>
  <c r="AC78" i="1"/>
  <c r="BG78" i="4" s="1"/>
  <c r="AH77" i="1"/>
  <c r="AI77" i="1" s="1"/>
  <c r="I77" i="4" s="1"/>
  <c r="AG77" i="1"/>
  <c r="X77" i="4" s="1"/>
  <c r="AF77" i="1"/>
  <c r="AE77" i="1"/>
  <c r="Q77" i="4" s="1"/>
  <c r="AD77" i="1"/>
  <c r="T77" i="5" s="1"/>
  <c r="AC77" i="1"/>
  <c r="S77" i="6" s="1"/>
  <c r="AH76" i="1"/>
  <c r="AI76" i="1" s="1"/>
  <c r="I76" i="4" s="1"/>
  <c r="AG76" i="1"/>
  <c r="X76" i="4" s="1"/>
  <c r="AF76" i="1"/>
  <c r="AE76" i="1"/>
  <c r="Q76" i="4" s="1"/>
  <c r="AD76" i="1"/>
  <c r="T76" i="5" s="1"/>
  <c r="AC76" i="1"/>
  <c r="AH75" i="1"/>
  <c r="AI75" i="1" s="1"/>
  <c r="I75" i="4" s="1"/>
  <c r="AG75" i="1"/>
  <c r="X75" i="4" s="1"/>
  <c r="AF75" i="1"/>
  <c r="AE75" i="1"/>
  <c r="Z75" i="4" s="1"/>
  <c r="AD75" i="1"/>
  <c r="AP75" i="4" s="1"/>
  <c r="AC75" i="1"/>
  <c r="BG75" i="4" s="1"/>
  <c r="AH74" i="1"/>
  <c r="AI74" i="1" s="1"/>
  <c r="I74" i="4" s="1"/>
  <c r="AG74" i="1"/>
  <c r="X74" i="4" s="1"/>
  <c r="AF74" i="1"/>
  <c r="AE74" i="1"/>
  <c r="Q74" i="4" s="1"/>
  <c r="AD74" i="1"/>
  <c r="T74" i="5" s="1"/>
  <c r="AC74" i="1"/>
  <c r="S74" i="6" s="1"/>
  <c r="AH73" i="1"/>
  <c r="AI73" i="1" s="1"/>
  <c r="I73" i="4" s="1"/>
  <c r="AG73" i="1"/>
  <c r="X73" i="4" s="1"/>
  <c r="AF73" i="1"/>
  <c r="AE73" i="1"/>
  <c r="AD73" i="1"/>
  <c r="L73" i="4" s="1"/>
  <c r="AC73" i="1"/>
  <c r="R73" i="6" s="1"/>
  <c r="AH72" i="1"/>
  <c r="AI72" i="1" s="1"/>
  <c r="I72" i="4" s="1"/>
  <c r="AG72" i="1"/>
  <c r="X72" i="4" s="1"/>
  <c r="AF72" i="1"/>
  <c r="AE72" i="1"/>
  <c r="Z72" i="4" s="1"/>
  <c r="AD72" i="1"/>
  <c r="L72" i="4" s="1"/>
  <c r="AC72" i="1"/>
  <c r="BG72" i="4" s="1"/>
  <c r="AH71" i="1"/>
  <c r="AI71" i="1" s="1"/>
  <c r="I71" i="4" s="1"/>
  <c r="AG71" i="1"/>
  <c r="X71" i="4" s="1"/>
  <c r="AF71" i="1"/>
  <c r="AE71" i="1"/>
  <c r="AD71" i="1"/>
  <c r="P71" i="4" s="1"/>
  <c r="AC71" i="1"/>
  <c r="AH70" i="1"/>
  <c r="AI70" i="1" s="1"/>
  <c r="I70" i="4" s="1"/>
  <c r="AG70" i="1"/>
  <c r="AF70" i="1"/>
  <c r="AE70" i="1"/>
  <c r="AD70" i="1"/>
  <c r="T70" i="5" s="1"/>
  <c r="AC70" i="1"/>
  <c r="BG70" i="4" s="1"/>
  <c r="AH69" i="1"/>
  <c r="AI69" i="1" s="1"/>
  <c r="I69" i="4" s="1"/>
  <c r="AG69" i="1"/>
  <c r="X69" i="4" s="1"/>
  <c r="AF69" i="1"/>
  <c r="AE69" i="1"/>
  <c r="Z69" i="4" s="1"/>
  <c r="AD69" i="1"/>
  <c r="T69" i="5" s="1"/>
  <c r="AC69" i="1"/>
  <c r="BG69" i="4" s="1"/>
  <c r="AH68" i="1"/>
  <c r="AI68" i="1" s="1"/>
  <c r="I68" i="4" s="1"/>
  <c r="AG68" i="1"/>
  <c r="X68" i="4" s="1"/>
  <c r="AF68" i="1"/>
  <c r="AE68" i="1"/>
  <c r="AD68" i="1"/>
  <c r="P68" i="4" s="1"/>
  <c r="AC68" i="1"/>
  <c r="AH67" i="1"/>
  <c r="AI67" i="1" s="1"/>
  <c r="I67" i="4" s="1"/>
  <c r="AG67" i="1"/>
  <c r="X67" i="4" s="1"/>
  <c r="AF67" i="1"/>
  <c r="AE67" i="1"/>
  <c r="AD67" i="1"/>
  <c r="T67" i="5" s="1"/>
  <c r="AC67" i="1"/>
  <c r="BG67" i="4" s="1"/>
  <c r="AH66" i="1"/>
  <c r="AI66" i="1" s="1"/>
  <c r="I66" i="4" s="1"/>
  <c r="AG66" i="1"/>
  <c r="X66" i="4" s="1"/>
  <c r="AF66" i="1"/>
  <c r="AE66" i="1"/>
  <c r="AD66" i="1"/>
  <c r="P66" i="4" s="1"/>
  <c r="AC66" i="1"/>
  <c r="AH65" i="1"/>
  <c r="AI65" i="1" s="1"/>
  <c r="I65" i="4" s="1"/>
  <c r="AG65" i="1"/>
  <c r="X65" i="4" s="1"/>
  <c r="AF65" i="1"/>
  <c r="AE65" i="1"/>
  <c r="AD65" i="1"/>
  <c r="P65" i="4" s="1"/>
  <c r="AC65" i="1"/>
  <c r="BG65" i="4" s="1"/>
  <c r="AH64" i="1"/>
  <c r="AI64" i="1" s="1"/>
  <c r="I64" i="4" s="1"/>
  <c r="AG64" i="1"/>
  <c r="X64" i="4" s="1"/>
  <c r="AF64" i="1"/>
  <c r="AE64" i="1"/>
  <c r="AD64" i="1"/>
  <c r="T64" i="5" s="1"/>
  <c r="AC64" i="1"/>
  <c r="BG64" i="4" s="1"/>
  <c r="AH63" i="1"/>
  <c r="AI63" i="1" s="1"/>
  <c r="I63" i="4" s="1"/>
  <c r="AG63" i="1"/>
  <c r="X63" i="4" s="1"/>
  <c r="AF63" i="1"/>
  <c r="AE63" i="1"/>
  <c r="Q63" i="4" s="1"/>
  <c r="AD63" i="1"/>
  <c r="T63" i="5" s="1"/>
  <c r="AC63" i="1"/>
  <c r="AH62" i="1"/>
  <c r="AI62" i="1" s="1"/>
  <c r="I62" i="4" s="1"/>
  <c r="AG62" i="1"/>
  <c r="AF62" i="1"/>
  <c r="AE62" i="1"/>
  <c r="Z62" i="4" s="1"/>
  <c r="AD62" i="1"/>
  <c r="L62" i="4" s="1"/>
  <c r="AC62" i="1"/>
  <c r="BG62" i="4" s="1"/>
  <c r="AH61" i="1"/>
  <c r="AI61" i="1" s="1"/>
  <c r="I61" i="4" s="1"/>
  <c r="AG61" i="1"/>
  <c r="X61" i="4" s="1"/>
  <c r="AF61" i="1"/>
  <c r="AE61" i="1"/>
  <c r="Q61" i="4" s="1"/>
  <c r="AD61" i="1"/>
  <c r="T61" i="5" s="1"/>
  <c r="AC61" i="1"/>
  <c r="BG61" i="4" s="1"/>
  <c r="AH60" i="1"/>
  <c r="AI60" i="1" s="1"/>
  <c r="I60" i="4" s="1"/>
  <c r="AG60" i="1"/>
  <c r="X60" i="4" s="1"/>
  <c r="AF60" i="1"/>
  <c r="AE60" i="1"/>
  <c r="Q60" i="4" s="1"/>
  <c r="AD60" i="1"/>
  <c r="T60" i="5" s="1"/>
  <c r="AC60" i="1"/>
  <c r="R60" i="6" s="1"/>
  <c r="AH59" i="1"/>
  <c r="AI59" i="1" s="1"/>
  <c r="I59" i="4" s="1"/>
  <c r="AG59" i="1"/>
  <c r="X59" i="4" s="1"/>
  <c r="AF59" i="1"/>
  <c r="AE59" i="1"/>
  <c r="Z59" i="4" s="1"/>
  <c r="AD59" i="1"/>
  <c r="L59" i="4" s="1"/>
  <c r="AC59" i="1"/>
  <c r="BG59" i="4" s="1"/>
  <c r="AH58" i="1"/>
  <c r="AI58" i="1" s="1"/>
  <c r="I58" i="4" s="1"/>
  <c r="AG58" i="1"/>
  <c r="X58" i="4" s="1"/>
  <c r="AF58" i="1"/>
  <c r="AE58" i="1"/>
  <c r="Q58" i="4" s="1"/>
  <c r="AD58" i="1"/>
  <c r="T58" i="5" s="1"/>
  <c r="AC58" i="1"/>
  <c r="S58" i="6" s="1"/>
  <c r="AH57" i="1"/>
  <c r="AI57" i="1" s="1"/>
  <c r="I57" i="4" s="1"/>
  <c r="AG57" i="1"/>
  <c r="X57" i="4" s="1"/>
  <c r="AF57" i="1"/>
  <c r="AE57" i="1"/>
  <c r="AD57" i="1"/>
  <c r="L57" i="4" s="1"/>
  <c r="AC57" i="1"/>
  <c r="BG57" i="4" s="1"/>
  <c r="AH56" i="1"/>
  <c r="AI56" i="1" s="1"/>
  <c r="I56" i="4" s="1"/>
  <c r="AG56" i="1"/>
  <c r="X56" i="4" s="1"/>
  <c r="AF56" i="1"/>
  <c r="AE56" i="1"/>
  <c r="Z56" i="4" s="1"/>
  <c r="AD56" i="1"/>
  <c r="L56" i="4" s="1"/>
  <c r="AC56" i="1"/>
  <c r="BG56" i="4" s="1"/>
  <c r="AH55" i="1"/>
  <c r="AI55" i="1" s="1"/>
  <c r="I55" i="4" s="1"/>
  <c r="AG55" i="1"/>
  <c r="X55" i="4" s="1"/>
  <c r="AF55" i="1"/>
  <c r="AE55" i="1"/>
  <c r="AD55" i="1"/>
  <c r="P55" i="4" s="1"/>
  <c r="AC55" i="1"/>
  <c r="AH54" i="1"/>
  <c r="AI54" i="1" s="1"/>
  <c r="I54" i="4" s="1"/>
  <c r="AG54" i="1"/>
  <c r="X54" i="4" s="1"/>
  <c r="AF54" i="1"/>
  <c r="AE54" i="1"/>
  <c r="AD54" i="1"/>
  <c r="L54" i="4" s="1"/>
  <c r="AC54" i="1"/>
  <c r="BG54" i="4" s="1"/>
  <c r="AH53" i="1"/>
  <c r="AI53" i="1" s="1"/>
  <c r="I53" i="4" s="1"/>
  <c r="AG53" i="1"/>
  <c r="X53" i="4" s="1"/>
  <c r="AF53" i="1"/>
  <c r="AE53" i="1"/>
  <c r="AD53" i="1"/>
  <c r="L53" i="4" s="1"/>
  <c r="AC53" i="1"/>
  <c r="BG53" i="4" s="1"/>
  <c r="AH52" i="1"/>
  <c r="AI52" i="1" s="1"/>
  <c r="I52" i="4" s="1"/>
  <c r="AG52" i="1"/>
  <c r="X52" i="4" s="1"/>
  <c r="AF52" i="1"/>
  <c r="AE52" i="1"/>
  <c r="Z52" i="4" s="1"/>
  <c r="AD52" i="1"/>
  <c r="L52" i="4" s="1"/>
  <c r="AC52" i="1"/>
  <c r="AH51" i="1"/>
  <c r="AI51" i="1" s="1"/>
  <c r="I51" i="4" s="1"/>
  <c r="AG51" i="1"/>
  <c r="X51" i="4" s="1"/>
  <c r="AF51" i="1"/>
  <c r="AE51" i="1"/>
  <c r="Z51" i="4" s="1"/>
  <c r="AD51" i="1"/>
  <c r="T51" i="5" s="1"/>
  <c r="AC51" i="1"/>
  <c r="BG51" i="4" s="1"/>
  <c r="AH50" i="1"/>
  <c r="AI50" i="1" s="1"/>
  <c r="I50" i="4" s="1"/>
  <c r="AG50" i="1"/>
  <c r="X50" i="4" s="1"/>
  <c r="AF50" i="1"/>
  <c r="AE50" i="1"/>
  <c r="Q50" i="4" s="1"/>
  <c r="AD50" i="1"/>
  <c r="P50" i="4" s="1"/>
  <c r="AC50" i="1"/>
  <c r="AH49" i="1"/>
  <c r="AI49" i="1" s="1"/>
  <c r="I49" i="4" s="1"/>
  <c r="AG49" i="1"/>
  <c r="X49" i="4" s="1"/>
  <c r="AF49" i="1"/>
  <c r="AE49" i="1"/>
  <c r="Z49" i="4" s="1"/>
  <c r="AD49" i="1"/>
  <c r="L49" i="4" s="1"/>
  <c r="AC49" i="1"/>
  <c r="BG49" i="4" s="1"/>
  <c r="AH48" i="1"/>
  <c r="AI48" i="1" s="1"/>
  <c r="I48" i="4" s="1"/>
  <c r="AG48" i="1"/>
  <c r="X48" i="4" s="1"/>
  <c r="AF48" i="1"/>
  <c r="AE48" i="1"/>
  <c r="Q48" i="4" s="1"/>
  <c r="AD48" i="1"/>
  <c r="P48" i="4" s="1"/>
  <c r="AC48" i="1"/>
  <c r="BG48" i="4" s="1"/>
  <c r="AH47" i="1"/>
  <c r="AI47" i="1" s="1"/>
  <c r="I47" i="4" s="1"/>
  <c r="AG47" i="1"/>
  <c r="X47" i="4" s="1"/>
  <c r="AF47" i="1"/>
  <c r="AE47" i="1"/>
  <c r="AD47" i="1"/>
  <c r="P47" i="4" s="1"/>
  <c r="AC47" i="1"/>
  <c r="AH46" i="1"/>
  <c r="AI46" i="1" s="1"/>
  <c r="I46" i="4" s="1"/>
  <c r="AG46" i="1"/>
  <c r="X46" i="4" s="1"/>
  <c r="AF46" i="1"/>
  <c r="AE46" i="1"/>
  <c r="Z46" i="4" s="1"/>
  <c r="AD46" i="1"/>
  <c r="L46" i="4" s="1"/>
  <c r="AC46" i="1"/>
  <c r="BG46" i="4" s="1"/>
  <c r="AH45" i="1"/>
  <c r="AI45" i="1" s="1"/>
  <c r="I45" i="4" s="1"/>
  <c r="AG45" i="1"/>
  <c r="X45" i="4" s="1"/>
  <c r="AF45" i="1"/>
  <c r="AE45" i="1"/>
  <c r="Q45" i="4" s="1"/>
  <c r="AD45" i="1"/>
  <c r="P45" i="4" s="1"/>
  <c r="AC45" i="1"/>
  <c r="BG45" i="4" s="1"/>
  <c r="AH44" i="1"/>
  <c r="AI44" i="1" s="1"/>
  <c r="I44" i="4" s="1"/>
  <c r="AG44" i="1"/>
  <c r="X44" i="4" s="1"/>
  <c r="AF44" i="1"/>
  <c r="AE44" i="1"/>
  <c r="Z44" i="4" s="1"/>
  <c r="AD44" i="1"/>
  <c r="L44" i="4" s="1"/>
  <c r="AC44" i="1"/>
  <c r="R44" i="6" s="1"/>
  <c r="AH43" i="1"/>
  <c r="AI43" i="1" s="1"/>
  <c r="I43" i="4" s="1"/>
  <c r="AG43" i="1"/>
  <c r="X43" i="4" s="1"/>
  <c r="AF43" i="1"/>
  <c r="AE43" i="1"/>
  <c r="Q43" i="4" s="1"/>
  <c r="AD43" i="1"/>
  <c r="T43" i="5" s="1"/>
  <c r="AC43" i="1"/>
  <c r="BG43" i="4" s="1"/>
  <c r="AH42" i="1"/>
  <c r="AI42" i="1" s="1"/>
  <c r="I42" i="4" s="1"/>
  <c r="AG42" i="1"/>
  <c r="X42" i="4" s="1"/>
  <c r="AF42" i="1"/>
  <c r="AE42" i="1"/>
  <c r="Q42" i="4" s="1"/>
  <c r="AD42" i="1"/>
  <c r="P42" i="4" s="1"/>
  <c r="AC42" i="1"/>
  <c r="S42" i="6" s="1"/>
  <c r="AH41" i="1"/>
  <c r="AI41" i="1" s="1"/>
  <c r="I41" i="4" s="1"/>
  <c r="AG41" i="1"/>
  <c r="X41" i="4" s="1"/>
  <c r="AF41" i="1"/>
  <c r="AE41" i="1"/>
  <c r="Z41" i="4" s="1"/>
  <c r="AD41" i="1"/>
  <c r="L41" i="4" s="1"/>
  <c r="AC41" i="1"/>
  <c r="BG41" i="4" s="1"/>
  <c r="AH40" i="1"/>
  <c r="AI40" i="1" s="1"/>
  <c r="I40" i="4" s="1"/>
  <c r="AG40" i="1"/>
  <c r="X40" i="4" s="1"/>
  <c r="AF40" i="1"/>
  <c r="AE40" i="1"/>
  <c r="Q40" i="4" s="1"/>
  <c r="AD40" i="1"/>
  <c r="P40" i="4" s="1"/>
  <c r="AC40" i="1"/>
  <c r="BG40" i="4" s="1"/>
  <c r="AH39" i="1"/>
  <c r="AI39" i="1" s="1"/>
  <c r="I39" i="4" s="1"/>
  <c r="AG39" i="1"/>
  <c r="X39" i="4" s="1"/>
  <c r="AF39" i="1"/>
  <c r="AE39" i="1"/>
  <c r="AD39" i="1"/>
  <c r="L39" i="4" s="1"/>
  <c r="AC39" i="1"/>
  <c r="AH38" i="1"/>
  <c r="AI38" i="1" s="1"/>
  <c r="I38" i="4" s="1"/>
  <c r="AG38" i="1"/>
  <c r="X38" i="4" s="1"/>
  <c r="AF38" i="1"/>
  <c r="AE38" i="1"/>
  <c r="Z38" i="4" s="1"/>
  <c r="AD38" i="1"/>
  <c r="L38" i="4" s="1"/>
  <c r="AC38" i="1"/>
  <c r="BG38" i="4" s="1"/>
  <c r="AH37" i="1"/>
  <c r="AI37" i="1" s="1"/>
  <c r="I37" i="4" s="1"/>
  <c r="AG37" i="1"/>
  <c r="X37" i="4" s="1"/>
  <c r="AF37" i="1"/>
  <c r="AE37" i="1"/>
  <c r="Q37" i="4" s="1"/>
  <c r="AD37" i="1"/>
  <c r="P37" i="4" s="1"/>
  <c r="AC37" i="1"/>
  <c r="BG37" i="4" s="1"/>
  <c r="AH36" i="1"/>
  <c r="AI36" i="1" s="1"/>
  <c r="I36" i="4" s="1"/>
  <c r="AG36" i="1"/>
  <c r="X36" i="4" s="1"/>
  <c r="AF36" i="1"/>
  <c r="AE36" i="1"/>
  <c r="Z36" i="4" s="1"/>
  <c r="AD36" i="1"/>
  <c r="L36" i="4" s="1"/>
  <c r="AC36" i="1"/>
  <c r="AH35" i="1"/>
  <c r="AI35" i="1" s="1"/>
  <c r="I35" i="4" s="1"/>
  <c r="AG35" i="1"/>
  <c r="X35" i="4" s="1"/>
  <c r="AF35" i="1"/>
  <c r="AE35" i="1"/>
  <c r="Z35" i="4" s="1"/>
  <c r="AD35" i="1"/>
  <c r="T35" i="5" s="1"/>
  <c r="AC35" i="1"/>
  <c r="BG35" i="4" s="1"/>
  <c r="AH34" i="1"/>
  <c r="AI34" i="1" s="1"/>
  <c r="I34" i="4" s="1"/>
  <c r="AG34" i="1"/>
  <c r="X34" i="4" s="1"/>
  <c r="AF34" i="1"/>
  <c r="AE34" i="1"/>
  <c r="Q34" i="4" s="1"/>
  <c r="AD34" i="1"/>
  <c r="P34" i="4" s="1"/>
  <c r="AC34" i="1"/>
  <c r="AH33" i="1"/>
  <c r="AI33" i="1" s="1"/>
  <c r="I33" i="4" s="1"/>
  <c r="AG33" i="1"/>
  <c r="X33" i="4" s="1"/>
  <c r="AF33" i="1"/>
  <c r="AE33" i="1"/>
  <c r="Z33" i="4" s="1"/>
  <c r="AD33" i="1"/>
  <c r="L33" i="4" s="1"/>
  <c r="AC33" i="1"/>
  <c r="BG33" i="4" s="1"/>
  <c r="AH32" i="1"/>
  <c r="AI32" i="1" s="1"/>
  <c r="I32" i="4" s="1"/>
  <c r="AG32" i="1"/>
  <c r="X32" i="4" s="1"/>
  <c r="AF32" i="1"/>
  <c r="AE32" i="1"/>
  <c r="Q32" i="4" s="1"/>
  <c r="AD32" i="1"/>
  <c r="P32" i="4" s="1"/>
  <c r="AC32" i="1"/>
  <c r="BG32" i="4" s="1"/>
  <c r="AH31" i="1"/>
  <c r="AI31" i="1" s="1"/>
  <c r="I31" i="4" s="1"/>
  <c r="AG31" i="1"/>
  <c r="X31" i="4" s="1"/>
  <c r="AF31" i="1"/>
  <c r="AE31" i="1"/>
  <c r="AD31" i="1"/>
  <c r="P31" i="4" s="1"/>
  <c r="AC31" i="1"/>
  <c r="AH30" i="1"/>
  <c r="AI30" i="1" s="1"/>
  <c r="I30" i="4" s="1"/>
  <c r="AG30" i="1"/>
  <c r="X30" i="4" s="1"/>
  <c r="AF30" i="1"/>
  <c r="AE30" i="1"/>
  <c r="Z30" i="4" s="1"/>
  <c r="AD30" i="1"/>
  <c r="L30" i="4" s="1"/>
  <c r="AC30" i="1"/>
  <c r="BG30" i="4" s="1"/>
  <c r="AH29" i="1"/>
  <c r="AI29" i="1" s="1"/>
  <c r="I29" i="4" s="1"/>
  <c r="AG29" i="1"/>
  <c r="X29" i="4" s="1"/>
  <c r="AF29" i="1"/>
  <c r="AE29" i="1"/>
  <c r="Q29" i="4" s="1"/>
  <c r="AD29" i="1"/>
  <c r="P29" i="4" s="1"/>
  <c r="AC29" i="1"/>
  <c r="BG29" i="4" s="1"/>
  <c r="AH28" i="1"/>
  <c r="AI28" i="1" s="1"/>
  <c r="I28" i="4" s="1"/>
  <c r="AG28" i="1"/>
  <c r="X28" i="4" s="1"/>
  <c r="AF28" i="1"/>
  <c r="AE28" i="1"/>
  <c r="Z28" i="4" s="1"/>
  <c r="AD28" i="1"/>
  <c r="L28" i="4" s="1"/>
  <c r="AC28" i="1"/>
  <c r="R28" i="6" s="1"/>
  <c r="AH27" i="1"/>
  <c r="AI27" i="1" s="1"/>
  <c r="I27" i="4" s="1"/>
  <c r="AG27" i="1"/>
  <c r="X27" i="4" s="1"/>
  <c r="AF27" i="1"/>
  <c r="AE27" i="1"/>
  <c r="Q27" i="4" s="1"/>
  <c r="AD27" i="1"/>
  <c r="T27" i="5" s="1"/>
  <c r="AC27" i="1"/>
  <c r="BG27" i="4" s="1"/>
  <c r="AH26" i="1"/>
  <c r="AI26" i="1" s="1"/>
  <c r="I26" i="4" s="1"/>
  <c r="AG26" i="1"/>
  <c r="X26" i="4" s="1"/>
  <c r="AF26" i="1"/>
  <c r="AE26" i="1"/>
  <c r="Q26" i="4" s="1"/>
  <c r="AD26" i="1"/>
  <c r="P26" i="4" s="1"/>
  <c r="AC26" i="1"/>
  <c r="S26" i="6" s="1"/>
  <c r="AH25" i="1"/>
  <c r="AI25" i="1" s="1"/>
  <c r="I25" i="4" s="1"/>
  <c r="AG25" i="1"/>
  <c r="X25" i="4" s="1"/>
  <c r="AF25" i="1"/>
  <c r="AE25" i="1"/>
  <c r="Z25" i="4" s="1"/>
  <c r="AD25" i="1"/>
  <c r="L25" i="4" s="1"/>
  <c r="AC25" i="1"/>
  <c r="BG25" i="4" s="1"/>
  <c r="AH24" i="1"/>
  <c r="AI24" i="1" s="1"/>
  <c r="I24" i="4" s="1"/>
  <c r="AG24" i="1"/>
  <c r="X24" i="4" s="1"/>
  <c r="AF24" i="1"/>
  <c r="AE24" i="1"/>
  <c r="Q24" i="4" s="1"/>
  <c r="AD24" i="1"/>
  <c r="P24" i="4" s="1"/>
  <c r="AC24" i="1"/>
  <c r="BG24" i="4" s="1"/>
  <c r="AH23" i="1"/>
  <c r="AI23" i="1" s="1"/>
  <c r="I23" i="4" s="1"/>
  <c r="AG23" i="1"/>
  <c r="X23" i="4" s="1"/>
  <c r="AF23" i="1"/>
  <c r="AE23" i="1"/>
  <c r="AD23" i="1"/>
  <c r="L23" i="4" s="1"/>
  <c r="AC23" i="1"/>
  <c r="S23" i="6" s="1"/>
  <c r="AH22" i="1"/>
  <c r="AI22" i="1" s="1"/>
  <c r="I22" i="4" s="1"/>
  <c r="AG22" i="1"/>
  <c r="X22" i="4" s="1"/>
  <c r="AF22" i="1"/>
  <c r="AE22" i="1"/>
  <c r="Z22" i="4" s="1"/>
  <c r="AD22" i="1"/>
  <c r="L22" i="4" s="1"/>
  <c r="AC22" i="1"/>
  <c r="BG22" i="4" s="1"/>
  <c r="AH21" i="1"/>
  <c r="AI21" i="1" s="1"/>
  <c r="I21" i="4" s="1"/>
  <c r="AG21" i="1"/>
  <c r="X21" i="4" s="1"/>
  <c r="AF21" i="1"/>
  <c r="AE21" i="1"/>
  <c r="Q21" i="4" s="1"/>
  <c r="AD21" i="1"/>
  <c r="P21" i="4" s="1"/>
  <c r="AC21" i="1"/>
  <c r="BG21" i="4" s="1"/>
  <c r="AH20" i="1"/>
  <c r="AI20" i="1" s="1"/>
  <c r="I20" i="4" s="1"/>
  <c r="AG20" i="1"/>
  <c r="X20" i="4" s="1"/>
  <c r="AF20" i="1"/>
  <c r="AE20" i="1"/>
  <c r="Z20" i="4" s="1"/>
  <c r="AD20" i="1"/>
  <c r="L20" i="4" s="1"/>
  <c r="AC20" i="1"/>
  <c r="AH19" i="1"/>
  <c r="AI19" i="1" s="1"/>
  <c r="I19" i="4" s="1"/>
  <c r="AG19" i="1"/>
  <c r="X19" i="4" s="1"/>
  <c r="AF19" i="1"/>
  <c r="AE19" i="1"/>
  <c r="Z19" i="4" s="1"/>
  <c r="AD19" i="1"/>
  <c r="T19" i="5" s="1"/>
  <c r="AC19" i="1"/>
  <c r="BG19" i="4" s="1"/>
  <c r="AH18" i="1"/>
  <c r="AI18" i="1" s="1"/>
  <c r="I18" i="4" s="1"/>
  <c r="AG18" i="1"/>
  <c r="X18" i="4" s="1"/>
  <c r="AF18" i="1"/>
  <c r="AE18" i="1"/>
  <c r="Q18" i="4" s="1"/>
  <c r="AD18" i="1"/>
  <c r="P18" i="4" s="1"/>
  <c r="AC18" i="1"/>
  <c r="BG18" i="4" s="1"/>
  <c r="AH17" i="1"/>
  <c r="AI17" i="1" s="1"/>
  <c r="I17" i="4" s="1"/>
  <c r="AG17" i="1"/>
  <c r="X17" i="4" s="1"/>
  <c r="AF17" i="1"/>
  <c r="AE17" i="1"/>
  <c r="Z17" i="4" s="1"/>
  <c r="AD17" i="1"/>
  <c r="L17" i="4" s="1"/>
  <c r="AC17" i="1"/>
  <c r="BG17" i="4" s="1"/>
  <c r="AH16" i="1"/>
  <c r="AI16" i="1" s="1"/>
  <c r="I16" i="4" s="1"/>
  <c r="AG16" i="1"/>
  <c r="X16" i="4" s="1"/>
  <c r="AF16" i="1"/>
  <c r="AE16" i="1"/>
  <c r="Q16" i="4" s="1"/>
  <c r="AD16" i="1"/>
  <c r="P16" i="4" s="1"/>
  <c r="AC16" i="1"/>
  <c r="BG16" i="4" s="1"/>
  <c r="AH15" i="1"/>
  <c r="AI15" i="1" s="1"/>
  <c r="I15" i="4" s="1"/>
  <c r="AG15" i="1"/>
  <c r="X15" i="4" s="1"/>
  <c r="AF15" i="1"/>
  <c r="AE15" i="1"/>
  <c r="AD15" i="1"/>
  <c r="P15" i="4" s="1"/>
  <c r="AC15" i="1"/>
  <c r="AH14" i="1"/>
  <c r="AI14" i="1" s="1"/>
  <c r="I14" i="4" s="1"/>
  <c r="AG14" i="1"/>
  <c r="X14" i="4" s="1"/>
  <c r="AF14" i="1"/>
  <c r="AE14" i="1"/>
  <c r="Z14" i="4" s="1"/>
  <c r="AD14" i="1"/>
  <c r="L14" i="4" s="1"/>
  <c r="AC14" i="1"/>
  <c r="BG14" i="4" s="1"/>
  <c r="AH13" i="1"/>
  <c r="AI13" i="1" s="1"/>
  <c r="I13" i="4" s="1"/>
  <c r="AG13" i="1"/>
  <c r="X13" i="4" s="1"/>
  <c r="AF13" i="1"/>
  <c r="AE13" i="1"/>
  <c r="Z13" i="4" s="1"/>
  <c r="AD13" i="1"/>
  <c r="P13" i="4" s="1"/>
  <c r="AC13" i="1"/>
  <c r="BG13" i="4" s="1"/>
  <c r="AH12" i="1"/>
  <c r="AI12" i="1" s="1"/>
  <c r="I12" i="4" s="1"/>
  <c r="AG12" i="1"/>
  <c r="X12" i="4" s="1"/>
  <c r="AF12" i="1"/>
  <c r="AE12" i="1"/>
  <c r="Q12" i="4" s="1"/>
  <c r="AD12" i="1"/>
  <c r="P12" i="4" s="1"/>
  <c r="AC12" i="1"/>
  <c r="AH11" i="1"/>
  <c r="AI11" i="1" s="1"/>
  <c r="I11" i="4" s="1"/>
  <c r="AG11" i="1"/>
  <c r="X11" i="4" s="1"/>
  <c r="AF11" i="1"/>
  <c r="AE11" i="1"/>
  <c r="Z11" i="4" s="1"/>
  <c r="AD11" i="1"/>
  <c r="L11" i="4" s="1"/>
  <c r="AC11" i="1"/>
  <c r="BG11" i="4" s="1"/>
  <c r="AH10" i="1"/>
  <c r="AI10" i="1" s="1"/>
  <c r="I10" i="4" s="1"/>
  <c r="AG10" i="1"/>
  <c r="X10" i="4" s="1"/>
  <c r="AF10" i="1"/>
  <c r="AE10" i="1"/>
  <c r="Q10" i="4" s="1"/>
  <c r="AD10" i="1"/>
  <c r="P10" i="4" s="1"/>
  <c r="AC10" i="1"/>
  <c r="BG10" i="4" s="1"/>
  <c r="AH9" i="1"/>
  <c r="AI9" i="1" s="1"/>
  <c r="I9" i="4" s="1"/>
  <c r="AG9" i="1"/>
  <c r="X9" i="4" s="1"/>
  <c r="AF9" i="1"/>
  <c r="AE9" i="1"/>
  <c r="Z9" i="4" s="1"/>
  <c r="AD9" i="1"/>
  <c r="P9" i="4" s="1"/>
  <c r="AC9" i="1"/>
  <c r="BG9" i="4" s="1"/>
  <c r="AH8" i="1"/>
  <c r="AI8" i="1" s="1"/>
  <c r="I8" i="4" s="1"/>
  <c r="AG8" i="1"/>
  <c r="X8" i="4" s="1"/>
  <c r="AF8" i="1"/>
  <c r="AE8" i="1"/>
  <c r="Z8" i="4" s="1"/>
  <c r="AD8" i="1"/>
  <c r="L8" i="4" s="1"/>
  <c r="AC8" i="1"/>
  <c r="BG8" i="4" s="1"/>
  <c r="AH7" i="1"/>
  <c r="AI7" i="1" s="1"/>
  <c r="I7" i="4" s="1"/>
  <c r="AG7" i="1"/>
  <c r="X7" i="4" s="1"/>
  <c r="AF7" i="1"/>
  <c r="AE7" i="1"/>
  <c r="Q7" i="4" s="1"/>
  <c r="AD7" i="1"/>
  <c r="P7" i="4" s="1"/>
  <c r="AC7" i="1"/>
  <c r="AH6" i="1"/>
  <c r="AI6" i="1" s="1"/>
  <c r="I6" i="4" s="1"/>
  <c r="AG6" i="1"/>
  <c r="X6" i="4" s="1"/>
  <c r="AF6" i="1"/>
  <c r="AE6" i="1"/>
  <c r="Z6" i="4" s="1"/>
  <c r="AD6" i="1"/>
  <c r="L6" i="4" s="1"/>
  <c r="AC6" i="1"/>
  <c r="BG6" i="4" s="1"/>
  <c r="AH203" i="1"/>
  <c r="AI203" i="1" s="1"/>
  <c r="I203" i="4" s="1"/>
  <c r="AG203" i="1"/>
  <c r="X203" i="4" s="1"/>
  <c r="AF203" i="1"/>
  <c r="AE203" i="1"/>
  <c r="AD203" i="1"/>
  <c r="T203" i="5" s="1"/>
  <c r="AC203" i="1"/>
  <c r="BG203" i="4" s="1"/>
  <c r="AE5" i="1"/>
  <c r="Z5" i="4" s="1"/>
  <c r="AD5" i="1"/>
  <c r="P5" i="4" s="1"/>
  <c r="AH5" i="1"/>
  <c r="AI5" i="1" s="1"/>
  <c r="I5" i="4" s="1"/>
  <c r="AG5" i="1"/>
  <c r="X5" i="4" s="1"/>
  <c r="AF5" i="1"/>
  <c r="AC5" i="1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4" i="7"/>
  <c r="R4" i="7"/>
  <c r="S3" i="7"/>
  <c r="R3" i="7"/>
  <c r="S75" i="7"/>
  <c r="R75" i="7"/>
  <c r="S2" i="7"/>
  <c r="R2" i="7"/>
  <c r="AP200" i="4" l="1"/>
  <c r="AP192" i="4"/>
  <c r="AP184" i="4"/>
  <c r="AP176" i="4"/>
  <c r="AP168" i="4"/>
  <c r="AP160" i="4"/>
  <c r="AP152" i="4"/>
  <c r="AP144" i="4"/>
  <c r="AP136" i="4"/>
  <c r="AP128" i="4"/>
  <c r="AP120" i="4"/>
  <c r="AP112" i="4"/>
  <c r="AP104" i="4"/>
  <c r="AP96" i="4"/>
  <c r="AP88" i="4"/>
  <c r="AP80" i="4"/>
  <c r="AP72" i="4"/>
  <c r="AP64" i="4"/>
  <c r="AP56" i="4"/>
  <c r="AP48" i="4"/>
  <c r="AP40" i="4"/>
  <c r="AP32" i="4"/>
  <c r="AP24" i="4"/>
  <c r="AP16" i="4"/>
  <c r="AP8" i="4"/>
  <c r="AP199" i="4"/>
  <c r="AP191" i="4"/>
  <c r="AP183" i="4"/>
  <c r="AP175" i="4"/>
  <c r="AP167" i="4"/>
  <c r="AP159" i="4"/>
  <c r="AP151" i="4"/>
  <c r="AP143" i="4"/>
  <c r="AP135" i="4"/>
  <c r="AP127" i="4"/>
  <c r="AP119" i="4"/>
  <c r="AP111" i="4"/>
  <c r="AP103" i="4"/>
  <c r="AP95" i="4"/>
  <c r="AP87" i="4"/>
  <c r="AP79" i="4"/>
  <c r="AP71" i="4"/>
  <c r="AP63" i="4"/>
  <c r="AP55" i="4"/>
  <c r="AP47" i="4"/>
  <c r="AP39" i="4"/>
  <c r="AP31" i="4"/>
  <c r="AP23" i="4"/>
  <c r="AP15" i="4"/>
  <c r="AP7" i="4"/>
  <c r="AP198" i="4"/>
  <c r="AP190" i="4"/>
  <c r="AP182" i="4"/>
  <c r="AP174" i="4"/>
  <c r="AP166" i="4"/>
  <c r="AP158" i="4"/>
  <c r="AP150" i="4"/>
  <c r="AP142" i="4"/>
  <c r="AP134" i="4"/>
  <c r="AP126" i="4"/>
  <c r="AP118" i="4"/>
  <c r="AP110" i="4"/>
  <c r="AP102" i="4"/>
  <c r="AP94" i="4"/>
  <c r="AP86" i="4"/>
  <c r="AP78" i="4"/>
  <c r="AP70" i="4"/>
  <c r="AP62" i="4"/>
  <c r="AP54" i="4"/>
  <c r="AP46" i="4"/>
  <c r="AP38" i="4"/>
  <c r="AP30" i="4"/>
  <c r="AP22" i="4"/>
  <c r="AP14" i="4"/>
  <c r="AP6" i="4"/>
  <c r="AP197" i="4"/>
  <c r="AP189" i="4"/>
  <c r="AP181" i="4"/>
  <c r="AP173" i="4"/>
  <c r="AP165" i="4"/>
  <c r="AP157" i="4"/>
  <c r="AP149" i="4"/>
  <c r="AP141" i="4"/>
  <c r="AP133" i="4"/>
  <c r="AP125" i="4"/>
  <c r="AP117" i="4"/>
  <c r="AP109" i="4"/>
  <c r="AP101" i="4"/>
  <c r="AP93" i="4"/>
  <c r="AP85" i="4"/>
  <c r="AP77" i="4"/>
  <c r="AP69" i="4"/>
  <c r="AP61" i="4"/>
  <c r="AP53" i="4"/>
  <c r="AP45" i="4"/>
  <c r="AP37" i="4"/>
  <c r="AP29" i="4"/>
  <c r="AP21" i="4"/>
  <c r="AP13" i="4"/>
  <c r="AP5" i="4"/>
  <c r="AP196" i="4"/>
  <c r="AP188" i="4"/>
  <c r="AP180" i="4"/>
  <c r="AP172" i="4"/>
  <c r="AP164" i="4"/>
  <c r="AP156" i="4"/>
  <c r="AP148" i="4"/>
  <c r="AP140" i="4"/>
  <c r="AP132" i="4"/>
  <c r="AP124" i="4"/>
  <c r="AP116" i="4"/>
  <c r="AP108" i="4"/>
  <c r="AP100" i="4"/>
  <c r="AP92" i="4"/>
  <c r="AP84" i="4"/>
  <c r="AP76" i="4"/>
  <c r="AP68" i="4"/>
  <c r="AP60" i="4"/>
  <c r="AP52" i="4"/>
  <c r="AP44" i="4"/>
  <c r="AP36" i="4"/>
  <c r="AP28" i="4"/>
  <c r="AP20" i="4"/>
  <c r="AP12" i="4"/>
  <c r="AP203" i="4"/>
  <c r="AP195" i="4"/>
  <c r="AP187" i="4"/>
  <c r="AP179" i="4"/>
  <c r="AP171" i="4"/>
  <c r="AP163" i="4"/>
  <c r="AP155" i="4"/>
  <c r="AP147" i="4"/>
  <c r="AP139" i="4"/>
  <c r="AP131" i="4"/>
  <c r="AP123" i="4"/>
  <c r="AP115" i="4"/>
  <c r="AP107" i="4"/>
  <c r="AP91" i="4"/>
  <c r="AP83" i="4"/>
  <c r="AP67" i="4"/>
  <c r="AP59" i="4"/>
  <c r="AP51" i="4"/>
  <c r="AP43" i="4"/>
  <c r="AP35" i="4"/>
  <c r="AP27" i="4"/>
  <c r="AP19" i="4"/>
  <c r="AP11" i="4"/>
  <c r="AP202" i="4"/>
  <c r="AP194" i="4"/>
  <c r="AP186" i="4"/>
  <c r="AP178" i="4"/>
  <c r="AP170" i="4"/>
  <c r="AP162" i="4"/>
  <c r="AP154" i="4"/>
  <c r="AP146" i="4"/>
  <c r="AP138" i="4"/>
  <c r="AP130" i="4"/>
  <c r="AP122" i="4"/>
  <c r="AP114" i="4"/>
  <c r="AP106" i="4"/>
  <c r="AP98" i="4"/>
  <c r="AP90" i="4"/>
  <c r="AP82" i="4"/>
  <c r="AP74" i="4"/>
  <c r="AP66" i="4"/>
  <c r="AP58" i="4"/>
  <c r="AP50" i="4"/>
  <c r="AP42" i="4"/>
  <c r="AP34" i="4"/>
  <c r="AP26" i="4"/>
  <c r="AP18" i="4"/>
  <c r="AP10" i="4"/>
  <c r="AP201" i="4"/>
  <c r="AP193" i="4"/>
  <c r="AP185" i="4"/>
  <c r="AP177" i="4"/>
  <c r="AP169" i="4"/>
  <c r="AP161" i="4"/>
  <c r="AP153" i="4"/>
  <c r="AP145" i="4"/>
  <c r="AP137" i="4"/>
  <c r="AP129" i="4"/>
  <c r="AP121" i="4"/>
  <c r="AP113" i="4"/>
  <c r="AP105" i="4"/>
  <c r="AP97" i="4"/>
  <c r="AP89" i="4"/>
  <c r="AP81" i="4"/>
  <c r="AP73" i="4"/>
  <c r="AP65" i="4"/>
  <c r="AP57" i="4"/>
  <c r="AP49" i="4"/>
  <c r="AP41" i="4"/>
  <c r="AP33" i="4"/>
  <c r="AP25" i="4"/>
  <c r="AP17" i="4"/>
  <c r="AP9" i="4"/>
  <c r="L99" i="4"/>
  <c r="T99" i="5"/>
  <c r="BG135" i="4"/>
  <c r="S135" i="6"/>
  <c r="R135" i="6"/>
  <c r="BG143" i="4"/>
  <c r="S143" i="6"/>
  <c r="R143" i="6"/>
  <c r="X166" i="4"/>
  <c r="R166" i="5"/>
  <c r="BG172" i="4"/>
  <c r="S172" i="6"/>
  <c r="R172" i="6"/>
  <c r="X174" i="4"/>
  <c r="R174" i="5"/>
  <c r="BG180" i="4"/>
  <c r="S180" i="6"/>
  <c r="R180" i="6"/>
  <c r="X182" i="4"/>
  <c r="R182" i="5"/>
  <c r="BG188" i="4"/>
  <c r="S188" i="6"/>
  <c r="R188" i="6"/>
  <c r="R203" i="5"/>
  <c r="T10" i="5"/>
  <c r="R13" i="5"/>
  <c r="T18" i="5"/>
  <c r="R21" i="5"/>
  <c r="T26" i="5"/>
  <c r="R29" i="5"/>
  <c r="T34" i="5"/>
  <c r="R37" i="5"/>
  <c r="T42" i="5"/>
  <c r="R45" i="5"/>
  <c r="T50" i="5"/>
  <c r="R53" i="5"/>
  <c r="R61" i="5"/>
  <c r="R64" i="5"/>
  <c r="T81" i="5"/>
  <c r="T84" i="5"/>
  <c r="R90" i="5"/>
  <c r="R93" i="5"/>
  <c r="R96" i="5"/>
  <c r="R122" i="5"/>
  <c r="R125" i="5"/>
  <c r="R128" i="5"/>
  <c r="R154" i="5"/>
  <c r="R157" i="5"/>
  <c r="R160" i="5"/>
  <c r="R186" i="5"/>
  <c r="R189" i="5"/>
  <c r="R192" i="5"/>
  <c r="S10" i="6"/>
  <c r="S13" i="6"/>
  <c r="S16" i="6"/>
  <c r="R19" i="6"/>
  <c r="R22" i="6"/>
  <c r="R25" i="6"/>
  <c r="R41" i="6"/>
  <c r="R57" i="6"/>
  <c r="R115" i="6"/>
  <c r="S128" i="6"/>
  <c r="R147" i="6"/>
  <c r="S160" i="6"/>
  <c r="R179" i="6"/>
  <c r="S192" i="6"/>
  <c r="BG90" i="4"/>
  <c r="S90" i="6"/>
  <c r="R90" i="6"/>
  <c r="BG98" i="4"/>
  <c r="S98" i="6"/>
  <c r="R98" i="6"/>
  <c r="BG102" i="4"/>
  <c r="S102" i="6"/>
  <c r="BG106" i="4"/>
  <c r="S106" i="6"/>
  <c r="R106" i="6"/>
  <c r="BG110" i="4"/>
  <c r="S110" i="6"/>
  <c r="BG114" i="4"/>
  <c r="S114" i="6"/>
  <c r="R114" i="6"/>
  <c r="BG118" i="4"/>
  <c r="S118" i="6"/>
  <c r="BG122" i="4"/>
  <c r="S122" i="6"/>
  <c r="R122" i="6"/>
  <c r="BG126" i="4"/>
  <c r="S126" i="6"/>
  <c r="BG130" i="4"/>
  <c r="S130" i="6"/>
  <c r="R130" i="6"/>
  <c r="BG151" i="4"/>
  <c r="S151" i="6"/>
  <c r="R151" i="6"/>
  <c r="BG159" i="4"/>
  <c r="S159" i="6"/>
  <c r="R159" i="6"/>
  <c r="X190" i="4"/>
  <c r="R190" i="5"/>
  <c r="BG196" i="4"/>
  <c r="S196" i="6"/>
  <c r="R196" i="6"/>
  <c r="X198" i="4"/>
  <c r="R198" i="5"/>
  <c r="BG200" i="4"/>
  <c r="S200" i="6"/>
  <c r="R8" i="5"/>
  <c r="T13" i="5"/>
  <c r="R16" i="5"/>
  <c r="T21" i="5"/>
  <c r="R24" i="5"/>
  <c r="T29" i="5"/>
  <c r="R32" i="5"/>
  <c r="T37" i="5"/>
  <c r="R40" i="5"/>
  <c r="T45" i="5"/>
  <c r="R48" i="5"/>
  <c r="T53" i="5"/>
  <c r="R56" i="5"/>
  <c r="R67" i="5"/>
  <c r="R73" i="5"/>
  <c r="R76" i="5"/>
  <c r="R79" i="5"/>
  <c r="R99" i="5"/>
  <c r="R105" i="5"/>
  <c r="R108" i="5"/>
  <c r="R111" i="5"/>
  <c r="R131" i="5"/>
  <c r="R137" i="5"/>
  <c r="R140" i="5"/>
  <c r="R143" i="5"/>
  <c r="R163" i="5"/>
  <c r="R169" i="5"/>
  <c r="R172" i="5"/>
  <c r="R175" i="5"/>
  <c r="R195" i="5"/>
  <c r="R201" i="5"/>
  <c r="R203" i="6"/>
  <c r="R8" i="6"/>
  <c r="S19" i="6"/>
  <c r="S22" i="6"/>
  <c r="S25" i="6"/>
  <c r="R32" i="6"/>
  <c r="R35" i="6"/>
  <c r="R38" i="6"/>
  <c r="S41" i="6"/>
  <c r="R48" i="6"/>
  <c r="R51" i="6"/>
  <c r="R54" i="6"/>
  <c r="S57" i="6"/>
  <c r="R64" i="6"/>
  <c r="R67" i="6"/>
  <c r="R70" i="6"/>
  <c r="S115" i="6"/>
  <c r="R120" i="6"/>
  <c r="S147" i="6"/>
  <c r="R152" i="6"/>
  <c r="S179" i="6"/>
  <c r="R184" i="6"/>
  <c r="BG71" i="4"/>
  <c r="S71" i="6"/>
  <c r="R71" i="6"/>
  <c r="BG79" i="4"/>
  <c r="S79" i="6"/>
  <c r="R79" i="6"/>
  <c r="BG134" i="4"/>
  <c r="S134" i="6"/>
  <c r="BG138" i="4"/>
  <c r="S138" i="6"/>
  <c r="R138" i="6"/>
  <c r="BG142" i="4"/>
  <c r="S142" i="6"/>
  <c r="BG146" i="4"/>
  <c r="S146" i="6"/>
  <c r="R146" i="6"/>
  <c r="BG167" i="4"/>
  <c r="S167" i="6"/>
  <c r="R167" i="6"/>
  <c r="BG175" i="4"/>
  <c r="S175" i="6"/>
  <c r="R175" i="6"/>
  <c r="BG183" i="4"/>
  <c r="S183" i="6"/>
  <c r="R183" i="6"/>
  <c r="T8" i="5"/>
  <c r="R11" i="5"/>
  <c r="T16" i="5"/>
  <c r="R19" i="5"/>
  <c r="T24" i="5"/>
  <c r="R27" i="5"/>
  <c r="T32" i="5"/>
  <c r="R35" i="5"/>
  <c r="T40" i="5"/>
  <c r="R43" i="5"/>
  <c r="T48" i="5"/>
  <c r="R51" i="5"/>
  <c r="T56" i="5"/>
  <c r="R59" i="5"/>
  <c r="T73" i="5"/>
  <c r="R82" i="5"/>
  <c r="R85" i="5"/>
  <c r="R88" i="5"/>
  <c r="R114" i="5"/>
  <c r="R117" i="5"/>
  <c r="R120" i="5"/>
  <c r="R146" i="5"/>
  <c r="R149" i="5"/>
  <c r="R152" i="5"/>
  <c r="R178" i="5"/>
  <c r="R181" i="5"/>
  <c r="R184" i="5"/>
  <c r="S203" i="6"/>
  <c r="S8" i="6"/>
  <c r="R11" i="6"/>
  <c r="R14" i="6"/>
  <c r="R17" i="6"/>
  <c r="R29" i="6"/>
  <c r="S32" i="6"/>
  <c r="S35" i="6"/>
  <c r="S38" i="6"/>
  <c r="R45" i="6"/>
  <c r="S48" i="6"/>
  <c r="S51" i="6"/>
  <c r="S54" i="6"/>
  <c r="R61" i="6"/>
  <c r="S64" i="6"/>
  <c r="S67" i="6"/>
  <c r="S70" i="6"/>
  <c r="R78" i="6"/>
  <c r="R86" i="6"/>
  <c r="R94" i="6"/>
  <c r="R102" i="6"/>
  <c r="R107" i="6"/>
  <c r="S120" i="6"/>
  <c r="R134" i="6"/>
  <c r="R139" i="6"/>
  <c r="S152" i="6"/>
  <c r="R171" i="6"/>
  <c r="S184" i="6"/>
  <c r="BG5" i="4"/>
  <c r="S5" i="6"/>
  <c r="BG12" i="4"/>
  <c r="S12" i="6"/>
  <c r="BG20" i="4"/>
  <c r="S20" i="6"/>
  <c r="BG28" i="4"/>
  <c r="S28" i="6"/>
  <c r="BG36" i="4"/>
  <c r="S36" i="6"/>
  <c r="BG44" i="4"/>
  <c r="S44" i="6"/>
  <c r="BG52" i="4"/>
  <c r="S52" i="6"/>
  <c r="BG60" i="4"/>
  <c r="S60" i="6"/>
  <c r="X62" i="4"/>
  <c r="R62" i="5"/>
  <c r="BG68" i="4"/>
  <c r="S68" i="6"/>
  <c r="BG85" i="4"/>
  <c r="R85" i="6"/>
  <c r="BG89" i="4"/>
  <c r="S89" i="6"/>
  <c r="BG93" i="4"/>
  <c r="R93" i="6"/>
  <c r="BG97" i="4"/>
  <c r="S97" i="6"/>
  <c r="BG101" i="4"/>
  <c r="R101" i="6"/>
  <c r="BG105" i="4"/>
  <c r="S105" i="6"/>
  <c r="R105" i="6"/>
  <c r="BG109" i="4"/>
  <c r="R109" i="6"/>
  <c r="BG113" i="4"/>
  <c r="S113" i="6"/>
  <c r="R113" i="6"/>
  <c r="BG117" i="4"/>
  <c r="R117" i="6"/>
  <c r="BG121" i="4"/>
  <c r="S121" i="6"/>
  <c r="R121" i="6"/>
  <c r="BG125" i="4"/>
  <c r="R125" i="6"/>
  <c r="BG129" i="4"/>
  <c r="S129" i="6"/>
  <c r="R129" i="6"/>
  <c r="BG150" i="4"/>
  <c r="S150" i="6"/>
  <c r="BG154" i="4"/>
  <c r="S154" i="6"/>
  <c r="R154" i="6"/>
  <c r="BG158" i="4"/>
  <c r="S158" i="6"/>
  <c r="BG162" i="4"/>
  <c r="S162" i="6"/>
  <c r="R162" i="6"/>
  <c r="BG191" i="4"/>
  <c r="S191" i="6"/>
  <c r="R191" i="6"/>
  <c r="BG199" i="4"/>
  <c r="S199" i="6"/>
  <c r="R199" i="6"/>
  <c r="R6" i="5"/>
  <c r="T11" i="5"/>
  <c r="R14" i="5"/>
  <c r="R22" i="5"/>
  <c r="R30" i="5"/>
  <c r="R38" i="5"/>
  <c r="R46" i="5"/>
  <c r="R54" i="5"/>
  <c r="T59" i="5"/>
  <c r="T62" i="5"/>
  <c r="R65" i="5"/>
  <c r="R68" i="5"/>
  <c r="R71" i="5"/>
  <c r="T82" i="5"/>
  <c r="R91" i="5"/>
  <c r="R97" i="5"/>
  <c r="R100" i="5"/>
  <c r="R103" i="5"/>
  <c r="R123" i="5"/>
  <c r="R129" i="5"/>
  <c r="R132" i="5"/>
  <c r="R135" i="5"/>
  <c r="R155" i="5"/>
  <c r="R161" i="5"/>
  <c r="R164" i="5"/>
  <c r="R167" i="5"/>
  <c r="R187" i="5"/>
  <c r="R193" i="5"/>
  <c r="R196" i="5"/>
  <c r="R199" i="5"/>
  <c r="S11" i="6"/>
  <c r="S14" i="6"/>
  <c r="S17" i="6"/>
  <c r="R20" i="6"/>
  <c r="S29" i="6"/>
  <c r="S45" i="6"/>
  <c r="S61" i="6"/>
  <c r="S78" i="6"/>
  <c r="S86" i="6"/>
  <c r="S94" i="6"/>
  <c r="S107" i="6"/>
  <c r="R112" i="6"/>
  <c r="S139" i="6"/>
  <c r="R144" i="6"/>
  <c r="S171" i="6"/>
  <c r="R176" i="6"/>
  <c r="BG74" i="4"/>
  <c r="R74" i="6"/>
  <c r="BG82" i="4"/>
  <c r="S82" i="6"/>
  <c r="R82" i="6"/>
  <c r="BG73" i="4"/>
  <c r="S73" i="6"/>
  <c r="BG77" i="4"/>
  <c r="R77" i="6"/>
  <c r="BG81" i="4"/>
  <c r="S81" i="6"/>
  <c r="BG133" i="4"/>
  <c r="R133" i="6"/>
  <c r="BG137" i="4"/>
  <c r="S137" i="6"/>
  <c r="R137" i="6"/>
  <c r="BG141" i="4"/>
  <c r="R141" i="6"/>
  <c r="BG145" i="4"/>
  <c r="S145" i="6"/>
  <c r="R145" i="6"/>
  <c r="BG149" i="4"/>
  <c r="R149" i="6"/>
  <c r="BG166" i="4"/>
  <c r="S166" i="6"/>
  <c r="BG170" i="4"/>
  <c r="S170" i="6"/>
  <c r="R170" i="6"/>
  <c r="BG174" i="4"/>
  <c r="S174" i="6"/>
  <c r="BG178" i="4"/>
  <c r="S178" i="6"/>
  <c r="R178" i="6"/>
  <c r="BG182" i="4"/>
  <c r="S182" i="6"/>
  <c r="BG186" i="4"/>
  <c r="S186" i="6"/>
  <c r="R186" i="6"/>
  <c r="T6" i="5"/>
  <c r="R9" i="5"/>
  <c r="T14" i="5"/>
  <c r="R17" i="5"/>
  <c r="T22" i="5"/>
  <c r="R25" i="5"/>
  <c r="T30" i="5"/>
  <c r="R33" i="5"/>
  <c r="T38" i="5"/>
  <c r="R41" i="5"/>
  <c r="T46" i="5"/>
  <c r="R49" i="5"/>
  <c r="T54" i="5"/>
  <c r="R57" i="5"/>
  <c r="T65" i="5"/>
  <c r="T68" i="5"/>
  <c r="T71" i="5"/>
  <c r="R74" i="5"/>
  <c r="R77" i="5"/>
  <c r="R80" i="5"/>
  <c r="R106" i="5"/>
  <c r="R109" i="5"/>
  <c r="R112" i="5"/>
  <c r="R138" i="5"/>
  <c r="R141" i="5"/>
  <c r="R144" i="5"/>
  <c r="R170" i="5"/>
  <c r="R173" i="5"/>
  <c r="R176" i="5"/>
  <c r="R202" i="5"/>
  <c r="R6" i="6"/>
  <c r="R9" i="6"/>
  <c r="R33" i="6"/>
  <c r="R36" i="6"/>
  <c r="R49" i="6"/>
  <c r="R52" i="6"/>
  <c r="R65" i="6"/>
  <c r="R68" i="6"/>
  <c r="R75" i="6"/>
  <c r="R83" i="6"/>
  <c r="R91" i="6"/>
  <c r="R99" i="6"/>
  <c r="S112" i="6"/>
  <c r="S117" i="6"/>
  <c r="R126" i="6"/>
  <c r="R131" i="6"/>
  <c r="S144" i="6"/>
  <c r="S149" i="6"/>
  <c r="R158" i="6"/>
  <c r="R163" i="6"/>
  <c r="S176" i="6"/>
  <c r="R195" i="6"/>
  <c r="X70" i="4"/>
  <c r="R70" i="5"/>
  <c r="BG76" i="4"/>
  <c r="S76" i="6"/>
  <c r="R76" i="6"/>
  <c r="X78" i="4"/>
  <c r="R78" i="5"/>
  <c r="BG7" i="4"/>
  <c r="R7" i="6"/>
  <c r="BG15" i="4"/>
  <c r="R15" i="6"/>
  <c r="BG23" i="4"/>
  <c r="R23" i="6"/>
  <c r="BG31" i="4"/>
  <c r="S31" i="6"/>
  <c r="R31" i="6"/>
  <c r="BG39" i="4"/>
  <c r="S39" i="6"/>
  <c r="R39" i="6"/>
  <c r="BG47" i="4"/>
  <c r="S47" i="6"/>
  <c r="R47" i="6"/>
  <c r="BG55" i="4"/>
  <c r="S55" i="6"/>
  <c r="R55" i="6"/>
  <c r="BG63" i="4"/>
  <c r="S63" i="6"/>
  <c r="R63" i="6"/>
  <c r="BG84" i="4"/>
  <c r="S84" i="6"/>
  <c r="R84" i="6"/>
  <c r="X86" i="4"/>
  <c r="R86" i="5"/>
  <c r="BG92" i="4"/>
  <c r="S92" i="6"/>
  <c r="R92" i="6"/>
  <c r="X94" i="4"/>
  <c r="R94" i="5"/>
  <c r="BG100" i="4"/>
  <c r="S100" i="6"/>
  <c r="R100" i="6"/>
  <c r="X102" i="4"/>
  <c r="R102" i="5"/>
  <c r="BG108" i="4"/>
  <c r="S108" i="6"/>
  <c r="R108" i="6"/>
  <c r="X110" i="4"/>
  <c r="R110" i="5"/>
  <c r="BG116" i="4"/>
  <c r="S116" i="6"/>
  <c r="R116" i="6"/>
  <c r="X118" i="4"/>
  <c r="R118" i="5"/>
  <c r="BG124" i="4"/>
  <c r="S124" i="6"/>
  <c r="R124" i="6"/>
  <c r="X126" i="4"/>
  <c r="R126" i="5"/>
  <c r="BG153" i="4"/>
  <c r="S153" i="6"/>
  <c r="R153" i="6"/>
  <c r="BG157" i="4"/>
  <c r="R157" i="6"/>
  <c r="BG161" i="4"/>
  <c r="S161" i="6"/>
  <c r="R161" i="6"/>
  <c r="BG165" i="4"/>
  <c r="R165" i="6"/>
  <c r="BG190" i="4"/>
  <c r="S190" i="6"/>
  <c r="BG194" i="4"/>
  <c r="S194" i="6"/>
  <c r="R194" i="6"/>
  <c r="BG198" i="4"/>
  <c r="S198" i="6"/>
  <c r="BG202" i="4"/>
  <c r="S202" i="6"/>
  <c r="R202" i="6"/>
  <c r="R5" i="5"/>
  <c r="T9" i="5"/>
  <c r="R12" i="5"/>
  <c r="T17" i="5"/>
  <c r="R20" i="5"/>
  <c r="T25" i="5"/>
  <c r="R28" i="5"/>
  <c r="T33" i="5"/>
  <c r="R36" i="5"/>
  <c r="T41" i="5"/>
  <c r="R44" i="5"/>
  <c r="T49" i="5"/>
  <c r="R52" i="5"/>
  <c r="T57" i="5"/>
  <c r="R60" i="5"/>
  <c r="R63" i="5"/>
  <c r="R83" i="5"/>
  <c r="R89" i="5"/>
  <c r="R92" i="5"/>
  <c r="R95" i="5"/>
  <c r="R115" i="5"/>
  <c r="R121" i="5"/>
  <c r="R124" i="5"/>
  <c r="R127" i="5"/>
  <c r="R147" i="5"/>
  <c r="R153" i="5"/>
  <c r="R156" i="5"/>
  <c r="R159" i="5"/>
  <c r="R179" i="5"/>
  <c r="R185" i="5"/>
  <c r="R188" i="5"/>
  <c r="R191" i="5"/>
  <c r="S6" i="6"/>
  <c r="S9" i="6"/>
  <c r="R12" i="6"/>
  <c r="S15" i="6"/>
  <c r="R18" i="6"/>
  <c r="R21" i="6"/>
  <c r="R24" i="6"/>
  <c r="R27" i="6"/>
  <c r="R30" i="6"/>
  <c r="S33" i="6"/>
  <c r="R40" i="6"/>
  <c r="R43" i="6"/>
  <c r="R46" i="6"/>
  <c r="S49" i="6"/>
  <c r="R56" i="6"/>
  <c r="R59" i="6"/>
  <c r="R62" i="6"/>
  <c r="S65" i="6"/>
  <c r="R72" i="6"/>
  <c r="S75" i="6"/>
  <c r="S83" i="6"/>
  <c r="S91" i="6"/>
  <c r="S99" i="6"/>
  <c r="R104" i="6"/>
  <c r="S131" i="6"/>
  <c r="R136" i="6"/>
  <c r="S163" i="6"/>
  <c r="R168" i="6"/>
  <c r="S195" i="6"/>
  <c r="R200" i="6"/>
  <c r="BG132" i="4"/>
  <c r="S132" i="6"/>
  <c r="R132" i="6"/>
  <c r="X134" i="4"/>
  <c r="R134" i="5"/>
  <c r="BG140" i="4"/>
  <c r="S140" i="6"/>
  <c r="R140" i="6"/>
  <c r="X142" i="4"/>
  <c r="R142" i="5"/>
  <c r="BG148" i="4"/>
  <c r="S148" i="6"/>
  <c r="R148" i="6"/>
  <c r="BG169" i="4"/>
  <c r="S169" i="6"/>
  <c r="R169" i="6"/>
  <c r="BG173" i="4"/>
  <c r="R173" i="6"/>
  <c r="BG177" i="4"/>
  <c r="S177" i="6"/>
  <c r="R177" i="6"/>
  <c r="BG181" i="4"/>
  <c r="R181" i="6"/>
  <c r="BG185" i="4"/>
  <c r="S185" i="6"/>
  <c r="R185" i="6"/>
  <c r="BG189" i="4"/>
  <c r="R189" i="6"/>
  <c r="T5" i="5"/>
  <c r="R7" i="5"/>
  <c r="T12" i="5"/>
  <c r="R15" i="5"/>
  <c r="T20" i="5"/>
  <c r="R23" i="5"/>
  <c r="T28" i="5"/>
  <c r="R31" i="5"/>
  <c r="T36" i="5"/>
  <c r="R39" i="5"/>
  <c r="T44" i="5"/>
  <c r="R47" i="5"/>
  <c r="T52" i="5"/>
  <c r="R55" i="5"/>
  <c r="R66" i="5"/>
  <c r="R69" i="5"/>
  <c r="R72" i="5"/>
  <c r="T89" i="5"/>
  <c r="T92" i="5"/>
  <c r="T95" i="5"/>
  <c r="R98" i="5"/>
  <c r="R101" i="5"/>
  <c r="R104" i="5"/>
  <c r="R130" i="5"/>
  <c r="R133" i="5"/>
  <c r="R136" i="5"/>
  <c r="R162" i="5"/>
  <c r="R165" i="5"/>
  <c r="R168" i="5"/>
  <c r="R194" i="5"/>
  <c r="R197" i="5"/>
  <c r="R200" i="5"/>
  <c r="S18" i="6"/>
  <c r="S21" i="6"/>
  <c r="S24" i="6"/>
  <c r="S27" i="6"/>
  <c r="S30" i="6"/>
  <c r="R37" i="6"/>
  <c r="S40" i="6"/>
  <c r="S43" i="6"/>
  <c r="S46" i="6"/>
  <c r="R53" i="6"/>
  <c r="S56" i="6"/>
  <c r="S59" i="6"/>
  <c r="S62" i="6"/>
  <c r="R69" i="6"/>
  <c r="S72" i="6"/>
  <c r="R80" i="6"/>
  <c r="R88" i="6"/>
  <c r="R96" i="6"/>
  <c r="S104" i="6"/>
  <c r="S109" i="6"/>
  <c r="R118" i="6"/>
  <c r="R123" i="6"/>
  <c r="S136" i="6"/>
  <c r="S141" i="6"/>
  <c r="R150" i="6"/>
  <c r="R155" i="6"/>
  <c r="S168" i="6"/>
  <c r="S173" i="6"/>
  <c r="R182" i="6"/>
  <c r="R187" i="6"/>
  <c r="BG26" i="4"/>
  <c r="R26" i="6"/>
  <c r="BG34" i="4"/>
  <c r="R34" i="6"/>
  <c r="BG42" i="4"/>
  <c r="R42" i="6"/>
  <c r="BG50" i="4"/>
  <c r="R50" i="6"/>
  <c r="BG58" i="4"/>
  <c r="R58" i="6"/>
  <c r="BG66" i="4"/>
  <c r="R66" i="6"/>
  <c r="L75" i="4"/>
  <c r="T75" i="5"/>
  <c r="BG87" i="4"/>
  <c r="S87" i="6"/>
  <c r="R87" i="6"/>
  <c r="BG95" i="4"/>
  <c r="S95" i="6"/>
  <c r="R95" i="6"/>
  <c r="BG103" i="4"/>
  <c r="S103" i="6"/>
  <c r="R103" i="6"/>
  <c r="BG111" i="4"/>
  <c r="S111" i="6"/>
  <c r="R111" i="6"/>
  <c r="BG119" i="4"/>
  <c r="S119" i="6"/>
  <c r="R119" i="6"/>
  <c r="BG127" i="4"/>
  <c r="S127" i="6"/>
  <c r="R127" i="6"/>
  <c r="X150" i="4"/>
  <c r="R150" i="5"/>
  <c r="BG156" i="4"/>
  <c r="S156" i="6"/>
  <c r="R156" i="6"/>
  <c r="X158" i="4"/>
  <c r="R158" i="5"/>
  <c r="BG164" i="4"/>
  <c r="S164" i="6"/>
  <c r="R164" i="6"/>
  <c r="BG193" i="4"/>
  <c r="S193" i="6"/>
  <c r="R193" i="6"/>
  <c r="BG197" i="4"/>
  <c r="R197" i="6"/>
  <c r="BG201" i="4"/>
  <c r="S201" i="6"/>
  <c r="R201" i="6"/>
  <c r="T7" i="5"/>
  <c r="R10" i="5"/>
  <c r="T15" i="5"/>
  <c r="R18" i="5"/>
  <c r="T23" i="5"/>
  <c r="R26" i="5"/>
  <c r="T31" i="5"/>
  <c r="R34" i="5"/>
  <c r="T39" i="5"/>
  <c r="R42" i="5"/>
  <c r="T47" i="5"/>
  <c r="R50" i="5"/>
  <c r="T55" i="5"/>
  <c r="R58" i="5"/>
  <c r="T66" i="5"/>
  <c r="T72" i="5"/>
  <c r="R75" i="5"/>
  <c r="T78" i="5"/>
  <c r="R81" i="5"/>
  <c r="R84" i="5"/>
  <c r="R87" i="5"/>
  <c r="R107" i="5"/>
  <c r="R113" i="5"/>
  <c r="R116" i="5"/>
  <c r="R119" i="5"/>
  <c r="R139" i="5"/>
  <c r="R145" i="5"/>
  <c r="R148" i="5"/>
  <c r="R151" i="5"/>
  <c r="R171" i="5"/>
  <c r="R177" i="5"/>
  <c r="R180" i="5"/>
  <c r="R183" i="5"/>
  <c r="R5" i="6"/>
  <c r="S7" i="6"/>
  <c r="R10" i="6"/>
  <c r="R13" i="6"/>
  <c r="R16" i="6"/>
  <c r="S34" i="6"/>
  <c r="S37" i="6"/>
  <c r="S50" i="6"/>
  <c r="S53" i="6"/>
  <c r="S66" i="6"/>
  <c r="S69" i="6"/>
  <c r="S80" i="6"/>
  <c r="S88" i="6"/>
  <c r="S96" i="6"/>
  <c r="S123" i="6"/>
  <c r="R128" i="6"/>
  <c r="S155" i="6"/>
  <c r="R160" i="6"/>
  <c r="S187" i="6"/>
  <c r="R192" i="6"/>
  <c r="L61" i="4"/>
  <c r="P61" i="4"/>
  <c r="L69" i="4"/>
  <c r="P69" i="4"/>
  <c r="Z70" i="4"/>
  <c r="Q70" i="4"/>
  <c r="Q87" i="4"/>
  <c r="Z87" i="4"/>
  <c r="Z91" i="4"/>
  <c r="Q91" i="4"/>
  <c r="Q95" i="4"/>
  <c r="Z95" i="4"/>
  <c r="Z99" i="4"/>
  <c r="Q99" i="4"/>
  <c r="P103" i="4"/>
  <c r="L103" i="4"/>
  <c r="P108" i="4"/>
  <c r="L108" i="4"/>
  <c r="Q113" i="4"/>
  <c r="Z113" i="4"/>
  <c r="Z117" i="4"/>
  <c r="Q117" i="4"/>
  <c r="P121" i="4"/>
  <c r="L121" i="4"/>
  <c r="Z122" i="4"/>
  <c r="Q122" i="4"/>
  <c r="Q126" i="4"/>
  <c r="Z126" i="4"/>
  <c r="Z130" i="4"/>
  <c r="Q130" i="4"/>
  <c r="P134" i="4"/>
  <c r="L134" i="4"/>
  <c r="Q139" i="4"/>
  <c r="Z139" i="4"/>
  <c r="P143" i="4"/>
  <c r="L143" i="4"/>
  <c r="Q148" i="4"/>
  <c r="Z148" i="4"/>
  <c r="L152" i="4"/>
  <c r="P152" i="4"/>
  <c r="Z157" i="4"/>
  <c r="Q157" i="4"/>
  <c r="P161" i="4"/>
  <c r="L161" i="4"/>
  <c r="Z162" i="4"/>
  <c r="Q162" i="4"/>
  <c r="P166" i="4"/>
  <c r="L166" i="4"/>
  <c r="L170" i="4"/>
  <c r="P170" i="4"/>
  <c r="Z175" i="4"/>
  <c r="Q175" i="4"/>
  <c r="P179" i="4"/>
  <c r="L179" i="4"/>
  <c r="Z184" i="4"/>
  <c r="Q184" i="4"/>
  <c r="Q188" i="4"/>
  <c r="Z188" i="4"/>
  <c r="L192" i="4"/>
  <c r="P192" i="4"/>
  <c r="Z197" i="4"/>
  <c r="Q197" i="4"/>
  <c r="Q201" i="4"/>
  <c r="Z201" i="4"/>
  <c r="AM201" i="1"/>
  <c r="AB201" i="4" s="1"/>
  <c r="O201" i="4"/>
  <c r="AM197" i="1"/>
  <c r="AB197" i="4" s="1"/>
  <c r="O197" i="4"/>
  <c r="AM193" i="1"/>
  <c r="AB193" i="4" s="1"/>
  <c r="O193" i="4"/>
  <c r="AM189" i="1"/>
  <c r="AB189" i="4" s="1"/>
  <c r="O189" i="4"/>
  <c r="AM185" i="1"/>
  <c r="AB185" i="4" s="1"/>
  <c r="O185" i="4"/>
  <c r="AM181" i="1"/>
  <c r="AB181" i="4" s="1"/>
  <c r="O181" i="4"/>
  <c r="AM177" i="1"/>
  <c r="AB177" i="4" s="1"/>
  <c r="O177" i="4"/>
  <c r="AM173" i="1"/>
  <c r="AB173" i="4" s="1"/>
  <c r="O173" i="4"/>
  <c r="AM169" i="1"/>
  <c r="AB169" i="4" s="1"/>
  <c r="O169" i="4"/>
  <c r="AM165" i="1"/>
  <c r="AB165" i="4" s="1"/>
  <c r="O165" i="4"/>
  <c r="AM161" i="1"/>
  <c r="AB161" i="4" s="1"/>
  <c r="O161" i="4"/>
  <c r="AM157" i="1"/>
  <c r="AB157" i="4" s="1"/>
  <c r="O157" i="4"/>
  <c r="AM153" i="1"/>
  <c r="AB153" i="4" s="1"/>
  <c r="O153" i="4"/>
  <c r="AM149" i="1"/>
  <c r="AB149" i="4" s="1"/>
  <c r="O149" i="4"/>
  <c r="AM145" i="1"/>
  <c r="AB145" i="4" s="1"/>
  <c r="O145" i="4"/>
  <c r="AM141" i="1"/>
  <c r="AB141" i="4" s="1"/>
  <c r="O141" i="4"/>
  <c r="AM137" i="1"/>
  <c r="AB137" i="4" s="1"/>
  <c r="O137" i="4"/>
  <c r="AM133" i="1"/>
  <c r="AB133" i="4" s="1"/>
  <c r="O133" i="4"/>
  <c r="AM129" i="1"/>
  <c r="AB129" i="4" s="1"/>
  <c r="O129" i="4"/>
  <c r="AM125" i="1"/>
  <c r="AB125" i="4" s="1"/>
  <c r="O125" i="4"/>
  <c r="AM121" i="1"/>
  <c r="AB121" i="4" s="1"/>
  <c r="O121" i="4"/>
  <c r="AM117" i="1"/>
  <c r="AB117" i="4" s="1"/>
  <c r="O117" i="4"/>
  <c r="AM113" i="1"/>
  <c r="AB113" i="4" s="1"/>
  <c r="O113" i="4"/>
  <c r="AM109" i="1"/>
  <c r="AB109" i="4" s="1"/>
  <c r="O109" i="4"/>
  <c r="AM105" i="1"/>
  <c r="AB105" i="4" s="1"/>
  <c r="O105" i="4"/>
  <c r="AM101" i="1"/>
  <c r="AB101" i="4" s="1"/>
  <c r="O101" i="4"/>
  <c r="AM97" i="1"/>
  <c r="AB97" i="4" s="1"/>
  <c r="O97" i="4"/>
  <c r="AM93" i="1"/>
  <c r="AB93" i="4" s="1"/>
  <c r="O93" i="4"/>
  <c r="AM85" i="1"/>
  <c r="AB85" i="4" s="1"/>
  <c r="O85" i="4"/>
  <c r="AM77" i="1"/>
  <c r="AB77" i="4" s="1"/>
  <c r="O77" i="4"/>
  <c r="AM73" i="1"/>
  <c r="AB73" i="4" s="1"/>
  <c r="O73" i="4"/>
  <c r="AM69" i="1"/>
  <c r="AB69" i="4" s="1"/>
  <c r="O69" i="4"/>
  <c r="AM61" i="1"/>
  <c r="AB61" i="4" s="1"/>
  <c r="O61" i="4"/>
  <c r="AM57" i="1"/>
  <c r="AB57" i="4" s="1"/>
  <c r="O57" i="4"/>
  <c r="AM53" i="1"/>
  <c r="AB53" i="4" s="1"/>
  <c r="O53" i="4"/>
  <c r="AM45" i="1"/>
  <c r="AB45" i="4" s="1"/>
  <c r="O45" i="4"/>
  <c r="AM37" i="1"/>
  <c r="AB37" i="4" s="1"/>
  <c r="O37" i="4"/>
  <c r="AM29" i="1"/>
  <c r="AB29" i="4" s="1"/>
  <c r="O29" i="4"/>
  <c r="AM21" i="1"/>
  <c r="AB21" i="4" s="1"/>
  <c r="O21" i="4"/>
  <c r="P8" i="4"/>
  <c r="L9" i="4"/>
  <c r="O11" i="4"/>
  <c r="Z12" i="4"/>
  <c r="Q13" i="4"/>
  <c r="P23" i="4"/>
  <c r="Z24" i="4"/>
  <c r="O26" i="4"/>
  <c r="Z27" i="4"/>
  <c r="P39" i="4"/>
  <c r="Z40" i="4"/>
  <c r="O42" i="4"/>
  <c r="Z43" i="4"/>
  <c r="O54" i="4"/>
  <c r="Q59" i="4"/>
  <c r="Q62" i="4"/>
  <c r="O65" i="4"/>
  <c r="L71" i="4"/>
  <c r="Z79" i="4"/>
  <c r="P99" i="4"/>
  <c r="Q53" i="4"/>
  <c r="Z53" i="4"/>
  <c r="Q57" i="4"/>
  <c r="Z57" i="4"/>
  <c r="Q15" i="4"/>
  <c r="Z15" i="4"/>
  <c r="Q65" i="4"/>
  <c r="Z65" i="4"/>
  <c r="L77" i="4"/>
  <c r="P77" i="4"/>
  <c r="Q82" i="4"/>
  <c r="Z82" i="4"/>
  <c r="L86" i="4"/>
  <c r="P86" i="4"/>
  <c r="P90" i="4"/>
  <c r="L90" i="4"/>
  <c r="L94" i="4"/>
  <c r="P94" i="4"/>
  <c r="P98" i="4"/>
  <c r="L98" i="4"/>
  <c r="Q103" i="4"/>
  <c r="Z103" i="4"/>
  <c r="L107" i="4"/>
  <c r="P107" i="4"/>
  <c r="Q108" i="4"/>
  <c r="Z108" i="4"/>
  <c r="L112" i="4"/>
  <c r="P112" i="4"/>
  <c r="L116" i="4"/>
  <c r="P116" i="4"/>
  <c r="Q121" i="4"/>
  <c r="Z121" i="4"/>
  <c r="L125" i="4"/>
  <c r="P125" i="4"/>
  <c r="P129" i="4"/>
  <c r="L129" i="4"/>
  <c r="Q134" i="4"/>
  <c r="Z134" i="4"/>
  <c r="L138" i="4"/>
  <c r="P138" i="4"/>
  <c r="Z143" i="4"/>
  <c r="Q143" i="4"/>
  <c r="P147" i="4"/>
  <c r="L147" i="4"/>
  <c r="Z152" i="4"/>
  <c r="Q152" i="4"/>
  <c r="P156" i="4"/>
  <c r="L156" i="4"/>
  <c r="Q161" i="4"/>
  <c r="Z161" i="4"/>
  <c r="L165" i="4"/>
  <c r="P165" i="4"/>
  <c r="Q166" i="4"/>
  <c r="Z166" i="4"/>
  <c r="Z170" i="4"/>
  <c r="Q170" i="4"/>
  <c r="P174" i="4"/>
  <c r="L174" i="4"/>
  <c r="Z179" i="4"/>
  <c r="Q179" i="4"/>
  <c r="P183" i="4"/>
  <c r="L183" i="4"/>
  <c r="P187" i="4"/>
  <c r="L187" i="4"/>
  <c r="Z192" i="4"/>
  <c r="Q192" i="4"/>
  <c r="P196" i="4"/>
  <c r="L196" i="4"/>
  <c r="L200" i="4"/>
  <c r="P200" i="4"/>
  <c r="O6" i="4"/>
  <c r="Z7" i="4"/>
  <c r="Q8" i="4"/>
  <c r="P11" i="4"/>
  <c r="L12" i="4"/>
  <c r="L15" i="4"/>
  <c r="L16" i="4"/>
  <c r="Q19" i="4"/>
  <c r="P22" i="4"/>
  <c r="O25" i="4"/>
  <c r="O28" i="4"/>
  <c r="L31" i="4"/>
  <c r="L32" i="4"/>
  <c r="Q35" i="4"/>
  <c r="P38" i="4"/>
  <c r="O41" i="4"/>
  <c r="O44" i="4"/>
  <c r="L47" i="4"/>
  <c r="L48" i="4"/>
  <c r="Q51" i="4"/>
  <c r="P54" i="4"/>
  <c r="P57" i="4"/>
  <c r="O60" i="4"/>
  <c r="Z74" i="4"/>
  <c r="Z77" i="4"/>
  <c r="Q66" i="4"/>
  <c r="Z66" i="4"/>
  <c r="L70" i="4"/>
  <c r="P70" i="4"/>
  <c r="P74" i="4"/>
  <c r="L74" i="4"/>
  <c r="Z83" i="4"/>
  <c r="Q83" i="4"/>
  <c r="P87" i="4"/>
  <c r="L87" i="4"/>
  <c r="L91" i="4"/>
  <c r="P91" i="4"/>
  <c r="L19" i="4"/>
  <c r="P19" i="4"/>
  <c r="L27" i="4"/>
  <c r="P27" i="4"/>
  <c r="L35" i="4"/>
  <c r="P35" i="4"/>
  <c r="P60" i="4"/>
  <c r="L60" i="4"/>
  <c r="L64" i="4"/>
  <c r="P64" i="4"/>
  <c r="Q73" i="4"/>
  <c r="Z73" i="4"/>
  <c r="Q90" i="4"/>
  <c r="Z90" i="4"/>
  <c r="Z94" i="4"/>
  <c r="Q94" i="4"/>
  <c r="Q98" i="4"/>
  <c r="Z98" i="4"/>
  <c r="L102" i="4"/>
  <c r="P102" i="4"/>
  <c r="P106" i="4"/>
  <c r="L106" i="4"/>
  <c r="Z107" i="4"/>
  <c r="Q107" i="4"/>
  <c r="Z112" i="4"/>
  <c r="Q112" i="4"/>
  <c r="Z116" i="4"/>
  <c r="Q116" i="4"/>
  <c r="L120" i="4"/>
  <c r="P120" i="4"/>
  <c r="Z125" i="4"/>
  <c r="Q125" i="4"/>
  <c r="Q129" i="4"/>
  <c r="Z129" i="4"/>
  <c r="L133" i="4"/>
  <c r="P133" i="4"/>
  <c r="P137" i="4"/>
  <c r="L137" i="4"/>
  <c r="Z138" i="4"/>
  <c r="Q138" i="4"/>
  <c r="P142" i="4"/>
  <c r="L142" i="4"/>
  <c r="Z147" i="4"/>
  <c r="Q147" i="4"/>
  <c r="P151" i="4"/>
  <c r="L151" i="4"/>
  <c r="Q156" i="4"/>
  <c r="Z156" i="4"/>
  <c r="L160" i="4"/>
  <c r="P160" i="4"/>
  <c r="Z165" i="4"/>
  <c r="Q165" i="4"/>
  <c r="P169" i="4"/>
  <c r="L169" i="4"/>
  <c r="L173" i="4"/>
  <c r="P173" i="4"/>
  <c r="Q174" i="4"/>
  <c r="Z174" i="4"/>
  <c r="L178" i="4"/>
  <c r="P178" i="4"/>
  <c r="Z183" i="4"/>
  <c r="Q183" i="4"/>
  <c r="Z187" i="4"/>
  <c r="Q187" i="4"/>
  <c r="P191" i="4"/>
  <c r="L191" i="4"/>
  <c r="Q196" i="4"/>
  <c r="Z196" i="4"/>
  <c r="Z200" i="4"/>
  <c r="Q200" i="4"/>
  <c r="AM200" i="1"/>
  <c r="AB200" i="4" s="1"/>
  <c r="O200" i="4"/>
  <c r="AM196" i="1"/>
  <c r="AB196" i="4" s="1"/>
  <c r="O196" i="4"/>
  <c r="AM192" i="1"/>
  <c r="AB192" i="4" s="1"/>
  <c r="O192" i="4"/>
  <c r="AM188" i="1"/>
  <c r="AB188" i="4" s="1"/>
  <c r="O188" i="4"/>
  <c r="AM184" i="1"/>
  <c r="AB184" i="4" s="1"/>
  <c r="O184" i="4"/>
  <c r="AM180" i="1"/>
  <c r="AB180" i="4" s="1"/>
  <c r="O180" i="4"/>
  <c r="AM176" i="1"/>
  <c r="AB176" i="4" s="1"/>
  <c r="O176" i="4"/>
  <c r="AM172" i="1"/>
  <c r="AB172" i="4" s="1"/>
  <c r="O172" i="4"/>
  <c r="AM168" i="1"/>
  <c r="AB168" i="4" s="1"/>
  <c r="O168" i="4"/>
  <c r="AM164" i="1"/>
  <c r="AB164" i="4" s="1"/>
  <c r="O164" i="4"/>
  <c r="AM160" i="1"/>
  <c r="AB160" i="4" s="1"/>
  <c r="O160" i="4"/>
  <c r="AM156" i="1"/>
  <c r="AB156" i="4" s="1"/>
  <c r="O156" i="4"/>
  <c r="AM152" i="1"/>
  <c r="AB152" i="4" s="1"/>
  <c r="O152" i="4"/>
  <c r="AM148" i="1"/>
  <c r="AB148" i="4" s="1"/>
  <c r="O148" i="4"/>
  <c r="AM144" i="1"/>
  <c r="AB144" i="4" s="1"/>
  <c r="O144" i="4"/>
  <c r="AM140" i="1"/>
  <c r="AB140" i="4" s="1"/>
  <c r="O140" i="4"/>
  <c r="AM136" i="1"/>
  <c r="AB136" i="4" s="1"/>
  <c r="O136" i="4"/>
  <c r="AM132" i="1"/>
  <c r="AB132" i="4" s="1"/>
  <c r="O132" i="4"/>
  <c r="AM128" i="1"/>
  <c r="AB128" i="4" s="1"/>
  <c r="O128" i="4"/>
  <c r="AM124" i="1"/>
  <c r="AB124" i="4" s="1"/>
  <c r="O124" i="4"/>
  <c r="AM120" i="1"/>
  <c r="AB120" i="4" s="1"/>
  <c r="O120" i="4"/>
  <c r="AM116" i="1"/>
  <c r="AB116" i="4" s="1"/>
  <c r="O116" i="4"/>
  <c r="AM112" i="1"/>
  <c r="AB112" i="4" s="1"/>
  <c r="O112" i="4"/>
  <c r="AM108" i="1"/>
  <c r="AB108" i="4" s="1"/>
  <c r="O108" i="4"/>
  <c r="AM104" i="1"/>
  <c r="AB104" i="4" s="1"/>
  <c r="O104" i="4"/>
  <c r="AM100" i="1"/>
  <c r="AB100" i="4" s="1"/>
  <c r="O100" i="4"/>
  <c r="AM96" i="1"/>
  <c r="AB96" i="4" s="1"/>
  <c r="O96" i="4"/>
  <c r="AM88" i="1"/>
  <c r="AB88" i="4" s="1"/>
  <c r="O88" i="4"/>
  <c r="AM84" i="1"/>
  <c r="AB84" i="4" s="1"/>
  <c r="O84" i="4"/>
  <c r="AM80" i="1"/>
  <c r="AB80" i="4" s="1"/>
  <c r="O80" i="4"/>
  <c r="AM72" i="1"/>
  <c r="AB72" i="4" s="1"/>
  <c r="O72" i="4"/>
  <c r="AM68" i="1"/>
  <c r="AB68" i="4" s="1"/>
  <c r="O68" i="4"/>
  <c r="AM64" i="1"/>
  <c r="AB64" i="4" s="1"/>
  <c r="O64" i="4"/>
  <c r="AM56" i="1"/>
  <c r="AB56" i="4" s="1"/>
  <c r="O56" i="4"/>
  <c r="AM48" i="1"/>
  <c r="AB48" i="4" s="1"/>
  <c r="O48" i="4"/>
  <c r="AM40" i="1"/>
  <c r="AB40" i="4" s="1"/>
  <c r="O40" i="4"/>
  <c r="AM32" i="1"/>
  <c r="AB32" i="4" s="1"/>
  <c r="O32" i="4"/>
  <c r="AM24" i="1"/>
  <c r="AB24" i="4" s="1"/>
  <c r="O24" i="4"/>
  <c r="AM16" i="1"/>
  <c r="AB16" i="4" s="1"/>
  <c r="O16" i="4"/>
  <c r="P6" i="4"/>
  <c r="L7" i="4"/>
  <c r="O9" i="4"/>
  <c r="Z10" i="4"/>
  <c r="Q11" i="4"/>
  <c r="L18" i="4"/>
  <c r="Q22" i="4"/>
  <c r="P25" i="4"/>
  <c r="Z26" i="4"/>
  <c r="P28" i="4"/>
  <c r="L34" i="4"/>
  <c r="Q38" i="4"/>
  <c r="P41" i="4"/>
  <c r="Z42" i="4"/>
  <c r="P44" i="4"/>
  <c r="L50" i="4"/>
  <c r="O75" i="4"/>
  <c r="O78" i="4"/>
  <c r="L81" i="4"/>
  <c r="O89" i="4"/>
  <c r="L95" i="4"/>
  <c r="L43" i="4"/>
  <c r="P43" i="4"/>
  <c r="L51" i="4"/>
  <c r="P51" i="4"/>
  <c r="Z64" i="4"/>
  <c r="Q64" i="4"/>
  <c r="Q68" i="4"/>
  <c r="Z68" i="4"/>
  <c r="P76" i="4"/>
  <c r="L76" i="4"/>
  <c r="Q81" i="4"/>
  <c r="Z81" i="4"/>
  <c r="L85" i="4"/>
  <c r="P85" i="4"/>
  <c r="L93" i="4"/>
  <c r="P93" i="4"/>
  <c r="P97" i="4"/>
  <c r="L97" i="4"/>
  <c r="Z102" i="4"/>
  <c r="Q102" i="4"/>
  <c r="Q106" i="4"/>
  <c r="Z106" i="4"/>
  <c r="P111" i="4"/>
  <c r="L111" i="4"/>
  <c r="P115" i="4"/>
  <c r="L115" i="4"/>
  <c r="Z120" i="4"/>
  <c r="Q120" i="4"/>
  <c r="L124" i="4"/>
  <c r="P124" i="4"/>
  <c r="L128" i="4"/>
  <c r="P128" i="4"/>
  <c r="Z133" i="4"/>
  <c r="Q133" i="4"/>
  <c r="Q137" i="4"/>
  <c r="Z137" i="4"/>
  <c r="L141" i="4"/>
  <c r="P141" i="4"/>
  <c r="Q142" i="4"/>
  <c r="Z142" i="4"/>
  <c r="L146" i="4"/>
  <c r="P146" i="4"/>
  <c r="Z151" i="4"/>
  <c r="Q151" i="4"/>
  <c r="P155" i="4"/>
  <c r="L155" i="4"/>
  <c r="Z160" i="4"/>
  <c r="Q160" i="4"/>
  <c r="P164" i="4"/>
  <c r="L164" i="4"/>
  <c r="Q169" i="4"/>
  <c r="Z169" i="4"/>
  <c r="Z173" i="4"/>
  <c r="Q173" i="4"/>
  <c r="P177" i="4"/>
  <c r="L177" i="4"/>
  <c r="Q178" i="4"/>
  <c r="Z178" i="4"/>
  <c r="P182" i="4"/>
  <c r="L182" i="4"/>
  <c r="L186" i="4"/>
  <c r="P186" i="4"/>
  <c r="Z191" i="4"/>
  <c r="Q191" i="4"/>
  <c r="P195" i="4"/>
  <c r="L195" i="4"/>
  <c r="P199" i="4"/>
  <c r="L199" i="4"/>
  <c r="Q6" i="4"/>
  <c r="L10" i="4"/>
  <c r="O12" i="4"/>
  <c r="O15" i="4"/>
  <c r="L21" i="4"/>
  <c r="Q25" i="4"/>
  <c r="Q28" i="4"/>
  <c r="Z29" i="4"/>
  <c r="O31" i="4"/>
  <c r="L37" i="4"/>
  <c r="Q41" i="4"/>
  <c r="Q44" i="4"/>
  <c r="Z45" i="4"/>
  <c r="O47" i="4"/>
  <c r="Z60" i="4"/>
  <c r="L66" i="4"/>
  <c r="Q69" i="4"/>
  <c r="P72" i="4"/>
  <c r="P75" i="4"/>
  <c r="P78" i="4"/>
  <c r="P84" i="4"/>
  <c r="P89" i="4"/>
  <c r="Q47" i="4"/>
  <c r="Z47" i="4"/>
  <c r="Q55" i="4"/>
  <c r="Z55" i="4"/>
  <c r="P63" i="4"/>
  <c r="L63" i="4"/>
  <c r="L67" i="4"/>
  <c r="P67" i="4"/>
  <c r="L80" i="4"/>
  <c r="P80" i="4"/>
  <c r="Z85" i="4"/>
  <c r="Q85" i="4"/>
  <c r="Q89" i="4"/>
  <c r="Z89" i="4"/>
  <c r="Q93" i="4"/>
  <c r="Z93" i="4"/>
  <c r="Q97" i="4"/>
  <c r="Z97" i="4"/>
  <c r="L101" i="4"/>
  <c r="P101" i="4"/>
  <c r="L105" i="4"/>
  <c r="P105" i="4"/>
  <c r="Q111" i="4"/>
  <c r="Z111" i="4"/>
  <c r="Q115" i="4"/>
  <c r="Z115" i="4"/>
  <c r="P119" i="4"/>
  <c r="L119" i="4"/>
  <c r="Z124" i="4"/>
  <c r="Q124" i="4"/>
  <c r="Q128" i="4"/>
  <c r="Z128" i="4"/>
  <c r="L132" i="4"/>
  <c r="P132" i="4"/>
  <c r="P136" i="4"/>
  <c r="L136" i="4"/>
  <c r="Z141" i="4"/>
  <c r="Q141" i="4"/>
  <c r="P145" i="4"/>
  <c r="L145" i="4"/>
  <c r="Q146" i="4"/>
  <c r="Z146" i="4"/>
  <c r="P150" i="4"/>
  <c r="L150" i="4"/>
  <c r="Z155" i="4"/>
  <c r="Q155" i="4"/>
  <c r="P159" i="4"/>
  <c r="L159" i="4"/>
  <c r="Q164" i="4"/>
  <c r="Z164" i="4"/>
  <c r="L168" i="4"/>
  <c r="P168" i="4"/>
  <c r="P172" i="4"/>
  <c r="L172" i="4"/>
  <c r="Q177" i="4"/>
  <c r="Z177" i="4"/>
  <c r="L181" i="4"/>
  <c r="P181" i="4"/>
  <c r="Q182" i="4"/>
  <c r="Z182" i="4"/>
  <c r="Z186" i="4"/>
  <c r="Q186" i="4"/>
  <c r="P190" i="4"/>
  <c r="L190" i="4"/>
  <c r="Z195" i="4"/>
  <c r="Q195" i="4"/>
  <c r="Z199" i="4"/>
  <c r="Q199" i="4"/>
  <c r="AM203" i="1"/>
  <c r="AB203" i="4" s="1"/>
  <c r="O203" i="4"/>
  <c r="AM199" i="1"/>
  <c r="AB199" i="4" s="1"/>
  <c r="O199" i="4"/>
  <c r="AM195" i="1"/>
  <c r="AB195" i="4" s="1"/>
  <c r="O195" i="4"/>
  <c r="AM191" i="1"/>
  <c r="AB191" i="4" s="1"/>
  <c r="O191" i="4"/>
  <c r="AM187" i="1"/>
  <c r="AB187" i="4" s="1"/>
  <c r="O187" i="4"/>
  <c r="AM183" i="1"/>
  <c r="AB183" i="4" s="1"/>
  <c r="O183" i="4"/>
  <c r="AM179" i="1"/>
  <c r="AB179" i="4" s="1"/>
  <c r="O179" i="4"/>
  <c r="AM175" i="1"/>
  <c r="AB175" i="4" s="1"/>
  <c r="O175" i="4"/>
  <c r="AM171" i="1"/>
  <c r="AB171" i="4" s="1"/>
  <c r="O171" i="4"/>
  <c r="AM167" i="1"/>
  <c r="AB167" i="4" s="1"/>
  <c r="O167" i="4"/>
  <c r="AM163" i="1"/>
  <c r="AB163" i="4" s="1"/>
  <c r="O163" i="4"/>
  <c r="AM159" i="1"/>
  <c r="AB159" i="4" s="1"/>
  <c r="O159" i="4"/>
  <c r="AM155" i="1"/>
  <c r="AB155" i="4" s="1"/>
  <c r="O155" i="4"/>
  <c r="AM151" i="1"/>
  <c r="AB151" i="4" s="1"/>
  <c r="O151" i="4"/>
  <c r="AM147" i="1"/>
  <c r="AB147" i="4" s="1"/>
  <c r="O147" i="4"/>
  <c r="AM143" i="1"/>
  <c r="AB143" i="4" s="1"/>
  <c r="O143" i="4"/>
  <c r="AM139" i="1"/>
  <c r="AB139" i="4" s="1"/>
  <c r="O139" i="4"/>
  <c r="AM135" i="1"/>
  <c r="AB135" i="4" s="1"/>
  <c r="O135" i="4"/>
  <c r="AM131" i="1"/>
  <c r="AB131" i="4" s="1"/>
  <c r="O131" i="4"/>
  <c r="AM127" i="1"/>
  <c r="AB127" i="4" s="1"/>
  <c r="O127" i="4"/>
  <c r="AM123" i="1"/>
  <c r="AB123" i="4" s="1"/>
  <c r="O123" i="4"/>
  <c r="AM119" i="1"/>
  <c r="AB119" i="4" s="1"/>
  <c r="O119" i="4"/>
  <c r="AM115" i="1"/>
  <c r="AB115" i="4" s="1"/>
  <c r="O115" i="4"/>
  <c r="AM111" i="1"/>
  <c r="AB111" i="4" s="1"/>
  <c r="O111" i="4"/>
  <c r="AM107" i="1"/>
  <c r="AB107" i="4" s="1"/>
  <c r="O107" i="4"/>
  <c r="AM103" i="1"/>
  <c r="AB103" i="4" s="1"/>
  <c r="O103" i="4"/>
  <c r="AM99" i="1"/>
  <c r="AB99" i="4" s="1"/>
  <c r="O99" i="4"/>
  <c r="AM95" i="1"/>
  <c r="AB95" i="4" s="1"/>
  <c r="O95" i="4"/>
  <c r="AM91" i="1"/>
  <c r="AB91" i="4" s="1"/>
  <c r="O91" i="4"/>
  <c r="AM87" i="1"/>
  <c r="AB87" i="4" s="1"/>
  <c r="O87" i="4"/>
  <c r="AM83" i="1"/>
  <c r="AB83" i="4" s="1"/>
  <c r="O83" i="4"/>
  <c r="AM79" i="1"/>
  <c r="AB79" i="4" s="1"/>
  <c r="O79" i="4"/>
  <c r="AM71" i="1"/>
  <c r="AB71" i="4" s="1"/>
  <c r="O71" i="4"/>
  <c r="AM67" i="1"/>
  <c r="AB67" i="4" s="1"/>
  <c r="O67" i="4"/>
  <c r="AM63" i="1"/>
  <c r="AB63" i="4" s="1"/>
  <c r="O63" i="4"/>
  <c r="AM55" i="1"/>
  <c r="AB55" i="4" s="1"/>
  <c r="O55" i="4"/>
  <c r="AM51" i="1"/>
  <c r="AB51" i="4" s="1"/>
  <c r="O51" i="4"/>
  <c r="AM43" i="1"/>
  <c r="AB43" i="4" s="1"/>
  <c r="O43" i="4"/>
  <c r="AM35" i="1"/>
  <c r="AB35" i="4" s="1"/>
  <c r="O35" i="4"/>
  <c r="AM27" i="1"/>
  <c r="AB27" i="4" s="1"/>
  <c r="O27" i="4"/>
  <c r="AM19" i="1"/>
  <c r="AB19" i="4" s="1"/>
  <c r="O19" i="4"/>
  <c r="O7" i="4"/>
  <c r="Q9" i="4"/>
  <c r="L13" i="4"/>
  <c r="Z16" i="4"/>
  <c r="O18" i="4"/>
  <c r="Z32" i="4"/>
  <c r="O34" i="4"/>
  <c r="Z48" i="4"/>
  <c r="O50" i="4"/>
  <c r="P53" i="4"/>
  <c r="L55" i="4"/>
  <c r="Z63" i="4"/>
  <c r="Q72" i="4"/>
  <c r="Q75" i="4"/>
  <c r="Q78" i="4"/>
  <c r="O81" i="4"/>
  <c r="Q96" i="4"/>
  <c r="P58" i="4"/>
  <c r="L58" i="4"/>
  <c r="Z67" i="4"/>
  <c r="Q67" i="4"/>
  <c r="Z80" i="4"/>
  <c r="Q80" i="4"/>
  <c r="L88" i="4"/>
  <c r="P88" i="4"/>
  <c r="L96" i="4"/>
  <c r="P96" i="4"/>
  <c r="Z101" i="4"/>
  <c r="Q101" i="4"/>
  <c r="Q105" i="4"/>
  <c r="Z105" i="4"/>
  <c r="L110" i="4"/>
  <c r="P110" i="4"/>
  <c r="L114" i="4"/>
  <c r="P114" i="4"/>
  <c r="Q119" i="4"/>
  <c r="Z119" i="4"/>
  <c r="P123" i="4"/>
  <c r="L123" i="4"/>
  <c r="L127" i="4"/>
  <c r="P127" i="4"/>
  <c r="P131" i="4"/>
  <c r="L131" i="4"/>
  <c r="Z132" i="4"/>
  <c r="Q132" i="4"/>
  <c r="Q136" i="4"/>
  <c r="Z136" i="4"/>
  <c r="L140" i="4"/>
  <c r="P140" i="4"/>
  <c r="Q145" i="4"/>
  <c r="Z145" i="4"/>
  <c r="L149" i="4"/>
  <c r="P149" i="4"/>
  <c r="Q150" i="4"/>
  <c r="Z150" i="4"/>
  <c r="L154" i="4"/>
  <c r="P154" i="4"/>
  <c r="Z159" i="4"/>
  <c r="Q159" i="4"/>
  <c r="P163" i="4"/>
  <c r="L163" i="4"/>
  <c r="Z168" i="4"/>
  <c r="Q168" i="4"/>
  <c r="Q172" i="4"/>
  <c r="Z172" i="4"/>
  <c r="L176" i="4"/>
  <c r="P176" i="4"/>
  <c r="Z181" i="4"/>
  <c r="Q181" i="4"/>
  <c r="P185" i="4"/>
  <c r="L185" i="4"/>
  <c r="L189" i="4"/>
  <c r="P189" i="4"/>
  <c r="Q190" i="4"/>
  <c r="Z190" i="4"/>
  <c r="L194" i="4"/>
  <c r="P194" i="4"/>
  <c r="P198" i="4"/>
  <c r="L198" i="4"/>
  <c r="O10" i="4"/>
  <c r="P14" i="4"/>
  <c r="O17" i="4"/>
  <c r="O20" i="4"/>
  <c r="L24" i="4"/>
  <c r="P30" i="4"/>
  <c r="O33" i="4"/>
  <c r="O36" i="4"/>
  <c r="L40" i="4"/>
  <c r="P46" i="4"/>
  <c r="O49" i="4"/>
  <c r="O52" i="4"/>
  <c r="Z58" i="4"/>
  <c r="Z61" i="4"/>
  <c r="P73" i="4"/>
  <c r="O76" i="4"/>
  <c r="Q86" i="4"/>
  <c r="L92" i="4"/>
  <c r="Q71" i="4"/>
  <c r="Z71" i="4"/>
  <c r="P79" i="4"/>
  <c r="L79" i="4"/>
  <c r="L83" i="4"/>
  <c r="P83" i="4"/>
  <c r="Q84" i="4"/>
  <c r="Z84" i="4"/>
  <c r="Z88" i="4"/>
  <c r="Q88" i="4"/>
  <c r="Q92" i="4"/>
  <c r="Z92" i="4"/>
  <c r="P100" i="4"/>
  <c r="L100" i="4"/>
  <c r="L104" i="4"/>
  <c r="P104" i="4"/>
  <c r="L109" i="4"/>
  <c r="P109" i="4"/>
  <c r="Z110" i="4"/>
  <c r="Q110" i="4"/>
  <c r="Q114" i="4"/>
  <c r="Z114" i="4"/>
  <c r="P118" i="4"/>
  <c r="L118" i="4"/>
  <c r="Q123" i="4"/>
  <c r="Z123" i="4"/>
  <c r="Z127" i="4"/>
  <c r="Q127" i="4"/>
  <c r="Q131" i="4"/>
  <c r="Z131" i="4"/>
  <c r="L135" i="4"/>
  <c r="P135" i="4"/>
  <c r="Z140" i="4"/>
  <c r="Q140" i="4"/>
  <c r="L144" i="4"/>
  <c r="P144" i="4"/>
  <c r="Z149" i="4"/>
  <c r="Q149" i="4"/>
  <c r="P153" i="4"/>
  <c r="L153" i="4"/>
  <c r="Z154" i="4"/>
  <c r="Q154" i="4"/>
  <c r="L158" i="4"/>
  <c r="P158" i="4"/>
  <c r="Z163" i="4"/>
  <c r="Q163" i="4"/>
  <c r="P167" i="4"/>
  <c r="L167" i="4"/>
  <c r="P171" i="4"/>
  <c r="L171" i="4"/>
  <c r="Z176" i="4"/>
  <c r="Q176" i="4"/>
  <c r="P180" i="4"/>
  <c r="L180" i="4"/>
  <c r="Q185" i="4"/>
  <c r="Z185" i="4"/>
  <c r="Z189" i="4"/>
  <c r="Q189" i="4"/>
  <c r="P193" i="4"/>
  <c r="L193" i="4"/>
  <c r="Z194" i="4"/>
  <c r="Q194" i="4"/>
  <c r="Q198" i="4"/>
  <c r="Z198" i="4"/>
  <c r="L202" i="4"/>
  <c r="P202" i="4"/>
  <c r="AM202" i="1"/>
  <c r="AB202" i="4" s="1"/>
  <c r="O202" i="4"/>
  <c r="AM198" i="1"/>
  <c r="AB198" i="4" s="1"/>
  <c r="O198" i="4"/>
  <c r="AM194" i="1"/>
  <c r="AB194" i="4" s="1"/>
  <c r="O194" i="4"/>
  <c r="AM190" i="1"/>
  <c r="AB190" i="4" s="1"/>
  <c r="O190" i="4"/>
  <c r="AM186" i="1"/>
  <c r="AB186" i="4" s="1"/>
  <c r="O186" i="4"/>
  <c r="AM182" i="1"/>
  <c r="AB182" i="4" s="1"/>
  <c r="O182" i="4"/>
  <c r="AM178" i="1"/>
  <c r="AB178" i="4" s="1"/>
  <c r="O178" i="4"/>
  <c r="AM174" i="1"/>
  <c r="AB174" i="4" s="1"/>
  <c r="O174" i="4"/>
  <c r="AM170" i="1"/>
  <c r="AB170" i="4" s="1"/>
  <c r="O170" i="4"/>
  <c r="AM166" i="1"/>
  <c r="AB166" i="4" s="1"/>
  <c r="O166" i="4"/>
  <c r="AM162" i="1"/>
  <c r="AB162" i="4" s="1"/>
  <c r="O162" i="4"/>
  <c r="AM158" i="1"/>
  <c r="AB158" i="4" s="1"/>
  <c r="O158" i="4"/>
  <c r="AM154" i="1"/>
  <c r="AB154" i="4" s="1"/>
  <c r="O154" i="4"/>
  <c r="AM150" i="1"/>
  <c r="AB150" i="4" s="1"/>
  <c r="O150" i="4"/>
  <c r="AM146" i="1"/>
  <c r="AB146" i="4" s="1"/>
  <c r="O146" i="4"/>
  <c r="AM142" i="1"/>
  <c r="AB142" i="4" s="1"/>
  <c r="O142" i="4"/>
  <c r="AM138" i="1"/>
  <c r="AB138" i="4" s="1"/>
  <c r="O138" i="4"/>
  <c r="AM134" i="1"/>
  <c r="AB134" i="4" s="1"/>
  <c r="O134" i="4"/>
  <c r="AM130" i="1"/>
  <c r="AB130" i="4" s="1"/>
  <c r="O130" i="4"/>
  <c r="AM126" i="1"/>
  <c r="AB126" i="4" s="1"/>
  <c r="O126" i="4"/>
  <c r="AM122" i="1"/>
  <c r="AB122" i="4" s="1"/>
  <c r="O122" i="4"/>
  <c r="AM118" i="1"/>
  <c r="AB118" i="4" s="1"/>
  <c r="O118" i="4"/>
  <c r="AM114" i="1"/>
  <c r="AB114" i="4" s="1"/>
  <c r="O114" i="4"/>
  <c r="AM110" i="1"/>
  <c r="AB110" i="4" s="1"/>
  <c r="O110" i="4"/>
  <c r="AM106" i="1"/>
  <c r="AB106" i="4" s="1"/>
  <c r="O106" i="4"/>
  <c r="AM102" i="1"/>
  <c r="AB102" i="4" s="1"/>
  <c r="O102" i="4"/>
  <c r="AM98" i="1"/>
  <c r="AB98" i="4" s="1"/>
  <c r="O98" i="4"/>
  <c r="AM94" i="1"/>
  <c r="AB94" i="4" s="1"/>
  <c r="O94" i="4"/>
  <c r="AM90" i="1"/>
  <c r="AB90" i="4" s="1"/>
  <c r="O90" i="4"/>
  <c r="AM86" i="1"/>
  <c r="AB86" i="4" s="1"/>
  <c r="O86" i="4"/>
  <c r="AM82" i="1"/>
  <c r="AB82" i="4" s="1"/>
  <c r="O82" i="4"/>
  <c r="AM74" i="1"/>
  <c r="AB74" i="4" s="1"/>
  <c r="O74" i="4"/>
  <c r="AM70" i="1"/>
  <c r="AB70" i="4" s="1"/>
  <c r="O70" i="4"/>
  <c r="AM66" i="1"/>
  <c r="AB66" i="4" s="1"/>
  <c r="O66" i="4"/>
  <c r="AM58" i="1"/>
  <c r="AB58" i="4" s="1"/>
  <c r="O58" i="4"/>
  <c r="AM46" i="1"/>
  <c r="AB46" i="4" s="1"/>
  <c r="O46" i="4"/>
  <c r="AM38" i="1"/>
  <c r="AB38" i="4" s="1"/>
  <c r="O38" i="4"/>
  <c r="AM30" i="1"/>
  <c r="AB30" i="4" s="1"/>
  <c r="O30" i="4"/>
  <c r="AM22" i="1"/>
  <c r="AB22" i="4" s="1"/>
  <c r="O22" i="4"/>
  <c r="AM14" i="1"/>
  <c r="AB14" i="4" s="1"/>
  <c r="O14" i="4"/>
  <c r="O13" i="4"/>
  <c r="Q14" i="4"/>
  <c r="P17" i="4"/>
  <c r="Z18" i="4"/>
  <c r="P20" i="4"/>
  <c r="L26" i="4"/>
  <c r="Q30" i="4"/>
  <c r="P33" i="4"/>
  <c r="Z34" i="4"/>
  <c r="P36" i="4"/>
  <c r="L42" i="4"/>
  <c r="Q46" i="4"/>
  <c r="P49" i="4"/>
  <c r="Z50" i="4"/>
  <c r="P52" i="4"/>
  <c r="P56" i="4"/>
  <c r="O59" i="4"/>
  <c r="O62" i="4"/>
  <c r="L65" i="4"/>
  <c r="Q23" i="4"/>
  <c r="Z23" i="4"/>
  <c r="Q31" i="4"/>
  <c r="Z31" i="4"/>
  <c r="P203" i="4"/>
  <c r="L203" i="4"/>
  <c r="Q39" i="4"/>
  <c r="Z39" i="4"/>
  <c r="Z203" i="4"/>
  <c r="Q203" i="4"/>
  <c r="Z54" i="4"/>
  <c r="Q54" i="4"/>
  <c r="Q100" i="4"/>
  <c r="Z100" i="4"/>
  <c r="Z104" i="4"/>
  <c r="Q104" i="4"/>
  <c r="Q109" i="4"/>
  <c r="Z109" i="4"/>
  <c r="P113" i="4"/>
  <c r="L113" i="4"/>
  <c r="L117" i="4"/>
  <c r="P117" i="4"/>
  <c r="Q118" i="4"/>
  <c r="Z118" i="4"/>
  <c r="L122" i="4"/>
  <c r="P122" i="4"/>
  <c r="P126" i="4"/>
  <c r="L126" i="4"/>
  <c r="L130" i="4"/>
  <c r="P130" i="4"/>
  <c r="Z135" i="4"/>
  <c r="Q135" i="4"/>
  <c r="P139" i="4"/>
  <c r="L139" i="4"/>
  <c r="Z144" i="4"/>
  <c r="Q144" i="4"/>
  <c r="P148" i="4"/>
  <c r="L148" i="4"/>
  <c r="Q153" i="4"/>
  <c r="Z153" i="4"/>
  <c r="L157" i="4"/>
  <c r="P157" i="4"/>
  <c r="Q158" i="4"/>
  <c r="Z158" i="4"/>
  <c r="L162" i="4"/>
  <c r="P162" i="4"/>
  <c r="Z167" i="4"/>
  <c r="Q167" i="4"/>
  <c r="Z171" i="4"/>
  <c r="Q171" i="4"/>
  <c r="P175" i="4"/>
  <c r="L175" i="4"/>
  <c r="Q180" i="4"/>
  <c r="Z180" i="4"/>
  <c r="L184" i="4"/>
  <c r="P184" i="4"/>
  <c r="P188" i="4"/>
  <c r="L188" i="4"/>
  <c r="Q193" i="4"/>
  <c r="Z193" i="4"/>
  <c r="L197" i="4"/>
  <c r="P197" i="4"/>
  <c r="P201" i="4"/>
  <c r="L201" i="4"/>
  <c r="Z202" i="4"/>
  <c r="Q202" i="4"/>
  <c r="O8" i="4"/>
  <c r="Q17" i="4"/>
  <c r="Q20" i="4"/>
  <c r="Z21" i="4"/>
  <c r="O23" i="4"/>
  <c r="L29" i="4"/>
  <c r="Q33" i="4"/>
  <c r="Q36" i="4"/>
  <c r="Z37" i="4"/>
  <c r="O39" i="4"/>
  <c r="L45" i="4"/>
  <c r="Q49" i="4"/>
  <c r="Q52" i="4"/>
  <c r="Q56" i="4"/>
  <c r="P59" i="4"/>
  <c r="P62" i="4"/>
  <c r="L68" i="4"/>
  <c r="Z76" i="4"/>
  <c r="L82" i="4"/>
  <c r="O92" i="4"/>
  <c r="L5" i="4"/>
  <c r="Q5" i="4"/>
  <c r="O5" i="4"/>
</calcChain>
</file>

<file path=xl/sharedStrings.xml><?xml version="1.0" encoding="utf-8"?>
<sst xmlns="http://schemas.openxmlformats.org/spreadsheetml/2006/main" count="18977" uniqueCount="6193">
  <si>
    <t>Employment Profile - Effective Date</t>
  </si>
  <si>
    <t>Effective as of 08/31/2026</t>
  </si>
  <si>
    <t>Employment Profile - Time &amp; Attendance - Effective Date</t>
  </si>
  <si>
    <t>All records independent of date</t>
  </si>
  <si>
    <t>Employment Profile - Pay Rates - Effective Date</t>
  </si>
  <si>
    <t>All records independent of date</t>
  </si>
  <si>
    <t>Payroll Company Code</t>
  </si>
  <si>
    <t>Legal First Name</t>
  </si>
  <si>
    <t>Middle Initial</t>
  </si>
  <si>
    <t>Legal Last Name</t>
  </si>
  <si>
    <t>Preferred or Chosen First Name</t>
  </si>
  <si>
    <t>Preferred or Chosen Last Name</t>
  </si>
  <si>
    <t>Reports To Legal Name</t>
  </si>
  <si>
    <t>Supervisor ID</t>
  </si>
  <si>
    <t>Work Contact: Work Email</t>
  </si>
  <si>
    <t>Personal Contact: Personal Email</t>
  </si>
  <si>
    <t>Job Title Description</t>
  </si>
  <si>
    <t>Hire Date</t>
  </si>
  <si>
    <t>Termination Date</t>
  </si>
  <si>
    <t>Rehire Date</t>
  </si>
  <si>
    <t>Position Status</t>
  </si>
  <si>
    <t>File Number</t>
  </si>
  <si>
    <t>Pay Frequency</t>
  </si>
  <si>
    <t>Employee Type</t>
  </si>
  <si>
    <t>Business Unit Code</t>
  </si>
  <si>
    <t>Business Unit Description</t>
  </si>
  <si>
    <t>Home Department Description</t>
  </si>
  <si>
    <t>Home Department Code</t>
  </si>
  <si>
    <t>Location Description</t>
  </si>
  <si>
    <t>Language Description</t>
  </si>
  <si>
    <t>Language Code</t>
  </si>
  <si>
    <t>Legal / Preferred Address: Country Code</t>
  </si>
  <si>
    <t>Pay Grade Code</t>
  </si>
  <si>
    <t>Pay Grade Description</t>
  </si>
  <si>
    <t>KSX</t>
  </si>
  <si>
    <t>Tammie</t>
  </si>
  <si>
    <t/>
  </si>
  <si>
    <t>Abitua</t>
  </si>
  <si>
    <t>Burchell, Mathew</t>
  </si>
  <si>
    <t>KSY211756</t>
  </si>
  <si>
    <t>tabitua1@onebarnes.com</t>
  </si>
  <si>
    <t>abituatammie@gmail.com</t>
  </si>
  <si>
    <t>Assistant, Warehouse II</t>
  </si>
  <si>
    <t>Active</t>
  </si>
  <si>
    <t>211837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</si>
  <si>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</si>
  <si>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</si>
  <si>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</si>
  <si>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</si>
  <si>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</si>
  <si>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</si>
  <si>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</si>
  <si>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</si>
  <si>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</si>
  <si>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</si>
  <si>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</si>
  <si>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</si>
  <si>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KSY</t>
  </si>
  <si>
    <t>Gregory</t>
  </si>
  <si>
    <t>S</t>
  </si>
  <si>
    <t>Adams</t>
  </si>
  <si>
    <t/>
  </si>
  <si>
    <t/>
  </si>
  <si>
    <t>Rodriguez, Siobhan</t>
  </si>
  <si>
    <t>V0U207588</t>
  </si>
  <si>
    <t>gadams@onebarnes.com</t>
  </si>
  <si>
    <t>gdsad.adams@cox.net</t>
  </si>
  <si>
    <t xml:space="preserve">Mgr, Sales </t>
  </si>
  <si>
    <t>Active</t>
  </si>
  <si>
    <t>213331</t>
  </si>
  <si>
    <t>Monthly</t>
  </si>
  <si>
    <t>Full Time</t>
  </si>
  <si>
    <t>088</t>
  </si>
  <si>
    <t>088-AS Raymond</t>
  </si>
  <si>
    <t>Outside Sales</t>
  </si>
  <si>
    <t>008200</t>
  </si>
  <si>
    <t>Work from home - Connecticut</t>
  </si>
  <si>
    <t/>
  </si>
  <si>
    <t/>
  </si>
  <si>
    <t>USA</t>
  </si>
  <si>
    <t>S16</t>
  </si>
  <si>
    <t>FMG-S16</t>
  </si>
  <si>
    <t>KSY</t>
  </si>
  <si>
    <t>Krystle</t>
  </si>
  <si>
    <t/>
  </si>
  <si>
    <t>Agler</t>
  </si>
  <si>
    <t/>
  </si>
  <si>
    <t/>
  </si>
  <si>
    <t>Kemenah, Greg</t>
  </si>
  <si>
    <t>KSY211766</t>
  </si>
  <si>
    <t/>
  </si>
  <si>
    <t>krystle.agler@gmail.com</t>
  </si>
  <si>
    <t>Mgr, Marketing II</t>
  </si>
  <si>
    <t>Active</t>
  </si>
  <si>
    <t>213226</t>
  </si>
  <si>
    <t>Monthly</t>
  </si>
  <si>
    <t>Full Time</t>
  </si>
  <si>
    <t>088</t>
  </si>
  <si>
    <t>088-AS Raymond</t>
  </si>
  <si>
    <t>Marketing</t>
  </si>
  <si>
    <t>008300</t>
  </si>
  <si>
    <t>AS Raymond</t>
  </si>
  <si>
    <t/>
  </si>
  <si>
    <t/>
  </si>
  <si>
    <t>USA</t>
  </si>
  <si>
    <t>S16</t>
  </si>
  <si>
    <t>FMG-S16</t>
  </si>
  <si>
    <t>KSX</t>
  </si>
  <si>
    <t>Aydrian</t>
  </si>
  <si>
    <t>M</t>
  </si>
  <si>
    <t>Ahrens</t>
  </si>
  <si>
    <t/>
  </si>
  <si>
    <t/>
  </si>
  <si>
    <t>Burchell, Mathew</t>
  </si>
  <si>
    <t>KSY211756</t>
  </si>
  <si>
    <t/>
  </si>
  <si>
    <t>aydrian0323@yahoo.com</t>
  </si>
  <si>
    <t>Assistant, Warehouse II</t>
  </si>
  <si>
    <t>Active</t>
  </si>
  <si>
    <t>211901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</si>
  <si>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</si>
  <si>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</si>
  <si>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</si>
  <si>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</si>
  <si>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</si>
  <si>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</si>
  <si>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</si>
  <si>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</si>
  <si>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</si>
  <si>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</si>
  <si>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</si>
  <si>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</si>
  <si>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</si>
  <si>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Matthew</t>
  </si>
  <si>
    <t/>
  </si>
  <si>
    <t>Ahrens</t>
  </si>
  <si>
    <t/>
  </si>
  <si>
    <t/>
  </si>
  <si>
    <t>Burchell, Mathew</t>
  </si>
  <si>
    <t>KSY211756</t>
  </si>
  <si>
    <t/>
  </si>
  <si>
    <t>mattcjahrens89@yahoo.com</t>
  </si>
  <si>
    <t>Assistant, Warehouse II</t>
  </si>
  <si>
    <t>Terminated</t>
  </si>
  <si>
    <t>213306</t>
  </si>
  <si>
    <t>Biweekly</t>
  </si>
  <si>
    <t>Full Time</t>
  </si>
  <si>
    <t>088</t>
  </si>
  <si>
    <t>088-AS Raymond</t>
  </si>
  <si>
    <t>WH Material Management</t>
  </si>
  <si>
    <t>005300</t>
  </si>
  <si>
    <t>AS Raymond</t>
  </si>
  <si>
    <t/>
  </si>
  <si>
    <t/>
  </si>
  <si>
    <t>USA</t>
  </si>
  <si>
    <t>S05</t>
  </si>
  <si>
    <t>FMG-S05</t>
  </si>
  <si>
    <t>KSY</t>
  </si>
  <si>
    <t>Thomas</t>
  </si>
  <si>
    <t>E</t>
  </si>
  <si>
    <t>Alexander</t>
  </si>
  <si>
    <t/>
  </si>
  <si>
    <t/>
  </si>
  <si>
    <t>Kemenah, Greg</t>
  </si>
  <si>
    <t>KSY211766</t>
  </si>
  <si>
    <t>talexander@onebarnes.com</t>
  </si>
  <si>
    <t>tom5683alexander@gmail.com</t>
  </si>
  <si>
    <t>Mgr, Quality II</t>
  </si>
  <si>
    <t>Active</t>
  </si>
  <si>
    <t>210892</t>
  </si>
  <si>
    <t>Monthly</t>
  </si>
  <si>
    <t>Full Time</t>
  </si>
  <si>
    <t>088</t>
  </si>
  <si>
    <t>088-AS Raymond</t>
  </si>
  <si>
    <t>Admin-Quality</t>
  </si>
  <si>
    <t>009500</t>
  </si>
  <si>
    <t>AS Raymond</t>
  </si>
  <si>
    <t/>
  </si>
  <si>
    <t/>
  </si>
  <si>
    <t>USA</t>
  </si>
  <si>
    <t>S16</t>
  </si>
  <si>
    <t>FMG-S16</t>
  </si>
  <si>
    <t>KSX</t>
  </si>
  <si>
    <t>Tina</t>
  </si>
  <si>
    <t>M</t>
  </si>
  <si>
    <t>Allen</t>
  </si>
  <si>
    <t/>
  </si>
  <si>
    <t/>
  </si>
  <si>
    <t>LaPlante, Derek</t>
  </si>
  <si>
    <t>KSY211736</t>
  </si>
  <si>
    <t>TAllen2@onebarnes.com</t>
  </si>
  <si>
    <t>tinaallen908@gmail.com</t>
  </si>
  <si>
    <t>Assistant, Warehouse II</t>
  </si>
  <si>
    <t>Active</t>
  </si>
  <si>
    <t>206848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</si>
  <si>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</si>
  <si>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</si>
  <si>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</si>
  <si>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</si>
  <si>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</si>
  <si>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</si>
  <si>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</si>
  <si>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</si>
  <si>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</si>
  <si>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</si>
  <si>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</si>
  <si>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</si>
  <si>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</si>
  <si>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Kimberly</t>
  </si>
  <si>
    <t/>
  </si>
  <si>
    <t>Ashley</t>
  </si>
  <si>
    <t/>
  </si>
  <si>
    <t/>
  </si>
  <si>
    <t>Warner, Dwight</t>
  </si>
  <si>
    <t>V0U008750</t>
  </si>
  <si>
    <t>KAshley@onebarnes.com</t>
  </si>
  <si>
    <t/>
  </si>
  <si>
    <t>Accountant III</t>
  </si>
  <si>
    <t>Active</t>
  </si>
  <si>
    <t>201688</t>
  </si>
  <si>
    <t>Monthly</t>
  </si>
  <si>
    <t>Full Time</t>
  </si>
  <si>
    <t>088</t>
  </si>
  <si>
    <t>088-AS Raymond</t>
  </si>
  <si>
    <t>Finance General</t>
  </si>
  <si>
    <t>009100</t>
  </si>
  <si>
    <t>Work from home - Connecticut</t>
  </si>
  <si>
    <t/>
  </si>
  <si>
    <t/>
  </si>
  <si>
    <t>USA</t>
  </si>
  <si>
    <t>S13</t>
  </si>
  <si>
    <t>FMG-S13</t>
  </si>
  <si>
    <t>KSY</t>
  </si>
  <si>
    <t>Jason</t>
  </si>
  <si>
    <t>J</t>
  </si>
  <si>
    <t>Bailey</t>
  </si>
  <si>
    <t/>
  </si>
  <si>
    <t/>
  </si>
  <si>
    <t>Kemenah, Greg</t>
  </si>
  <si>
    <t/>
  </si>
  <si>
    <t>jbailey@onebarnes.com</t>
  </si>
  <si>
    <t>jjbailey08@gmail.com</t>
  </si>
  <si>
    <t>Senior Mgr, Operations</t>
  </si>
  <si>
    <t>Active</t>
  </si>
  <si>
    <t>902688</t>
  </si>
  <si>
    <t>Monthly</t>
  </si>
  <si>
    <t>Full Time</t>
  </si>
  <si>
    <t>088</t>
  </si>
  <si>
    <t>088-AS Raymond</t>
  </si>
  <si>
    <t>Operations 5200 5200</t>
  </si>
  <si>
    <t>000007</t>
  </si>
  <si>
    <t>AS Raymond</t>
  </si>
  <si>
    <t/>
  </si>
  <si>
    <t/>
  </si>
  <si>
    <t>USA</t>
  </si>
  <si>
    <t>S18</t>
  </si>
  <si>
    <t>FMG-S18</t>
  </si>
  <si>
    <t>KSY</t>
  </si>
  <si>
    <t>Teresa</t>
  </si>
  <si>
    <t/>
  </si>
  <si>
    <t>Bair</t>
  </si>
  <si>
    <t/>
  </si>
  <si>
    <t/>
  </si>
  <si>
    <t/>
  </si>
  <si>
    <t/>
  </si>
  <si>
    <t>TBair@onebarnes.com</t>
  </si>
  <si>
    <t/>
  </si>
  <si>
    <t>President, SBU II</t>
  </si>
  <si>
    <t>Active</t>
  </si>
  <si>
    <t>207709</t>
  </si>
  <si>
    <t>Monthly</t>
  </si>
  <si>
    <t>Full Time</t>
  </si>
  <si>
    <t>088</t>
  </si>
  <si>
    <t>088-AS Raymond</t>
  </si>
  <si>
    <t>Bus Execs CU</t>
  </si>
  <si>
    <t>009310</t>
  </si>
  <si>
    <t>AS Raymond</t>
  </si>
  <si>
    <t/>
  </si>
  <si>
    <t/>
  </si>
  <si>
    <t>USA</t>
  </si>
  <si>
    <t>S22</t>
  </si>
  <si>
    <t>FMG-S22</t>
  </si>
  <si>
    <t>V0U</t>
  </si>
  <si>
    <t>Kirsten</t>
  </si>
  <si>
    <t>V</t>
  </si>
  <si>
    <t>Barry</t>
  </si>
  <si>
    <t/>
  </si>
  <si>
    <t/>
  </si>
  <si>
    <t>Rodriguez, Siobhan</t>
  </si>
  <si>
    <t/>
  </si>
  <si>
    <t>kbarry@onebarnes.com</t>
  </si>
  <si>
    <t/>
  </si>
  <si>
    <t>Mgr, Project I</t>
  </si>
  <si>
    <t>Active</t>
  </si>
  <si>
    <t>209579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</si>
  <si>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</si>
  <si>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</si>
  <si>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</si>
  <si>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</si>
  <si>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</si>
  <si>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</si>
  <si>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</si>
  <si>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</si>
  <si>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</si>
  <si>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</si>
  <si>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S15</t>
  </si>
  <si>
    <t>FMG-S15</t>
  </si>
  <si>
    <t>V0U</t>
  </si>
  <si>
    <t>Natalie</t>
  </si>
  <si>
    <t/>
  </si>
  <si>
    <t>Bate</t>
  </si>
  <si>
    <t/>
  </si>
  <si>
    <t/>
  </si>
  <si>
    <t>Bair, Teresa</t>
  </si>
  <si>
    <t>KSY207709</t>
  </si>
  <si>
    <t>nbate@onebarnes.com</t>
  </si>
  <si>
    <t>natalie.m.bate@gmail.com</t>
  </si>
  <si>
    <t>Mgr, Division II</t>
  </si>
  <si>
    <t>Active</t>
  </si>
  <si>
    <t>213037</t>
  </si>
  <si>
    <t>Monthly</t>
  </si>
  <si>
    <t>Full Time</t>
  </si>
  <si>
    <t>025</t>
  </si>
  <si>
    <t>025-NGP Hyson Products</t>
  </si>
  <si>
    <t>Administration</t>
  </si>
  <si>
    <t>000917</t>
  </si>
  <si>
    <t>Hyson Products</t>
  </si>
  <si>
    <t/>
  </si>
  <si>
    <t/>
  </si>
  <si>
    <t>USA</t>
  </si>
  <si>
    <t>S19</t>
  </si>
  <si>
    <t>FMG-S19</t>
  </si>
  <si>
    <t>KSY</t>
  </si>
  <si>
    <t>Michael</t>
  </si>
  <si>
    <t>J</t>
  </si>
  <si>
    <t>Beasley</t>
  </si>
  <si>
    <t/>
  </si>
  <si>
    <t/>
  </si>
  <si>
    <t>Rodriguez, Siobhan</t>
  </si>
  <si>
    <t>V0U207588</t>
  </si>
  <si>
    <t>mbeasley@onebarnes.com</t>
  </si>
  <si>
    <t>gqnbeasley@comcast.net</t>
  </si>
  <si>
    <t xml:space="preserve">Mgr, Sales </t>
  </si>
  <si>
    <t>Active</t>
  </si>
  <si>
    <t>213333</t>
  </si>
  <si>
    <t>Monthly</t>
  </si>
  <si>
    <t>Full Time</t>
  </si>
  <si>
    <t>088</t>
  </si>
  <si>
    <t>088-AS Raymond</t>
  </si>
  <si>
    <t>Outside Sales</t>
  </si>
  <si>
    <t>008200</t>
  </si>
  <si>
    <t>Work from home - Washington</t>
  </si>
  <si>
    <t/>
  </si>
  <si>
    <t/>
  </si>
  <si>
    <t>USA</t>
  </si>
  <si>
    <t>S16</t>
  </si>
  <si>
    <t>FMG-S16</t>
  </si>
  <si>
    <t>KSX</t>
  </si>
  <si>
    <t>Ella Renae</t>
  </si>
  <si>
    <t>E</t>
  </si>
  <si>
    <t>Beatrice</t>
  </si>
  <si>
    <t/>
  </si>
  <si>
    <t/>
  </si>
  <si>
    <t>LaPlante, Derek</t>
  </si>
  <si>
    <t>KSY211736</t>
  </si>
  <si>
    <t>ebeatrice@onebarnes.com</t>
  </si>
  <si>
    <t>thatellachick@gmail.com</t>
  </si>
  <si>
    <t>Assistant, Warehouse II</t>
  </si>
  <si>
    <t>Active</t>
  </si>
  <si>
    <t>212626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</si>
  <si>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</si>
  <si>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</si>
  <si>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</si>
  <si>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</si>
  <si>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</si>
  <si>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</si>
  <si>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</si>
  <si>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</si>
  <si>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</si>
  <si>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</si>
  <si>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</si>
  <si>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</si>
  <si>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KSX</t>
  </si>
  <si>
    <t>John</t>
  </si>
  <si>
    <t/>
  </si>
  <si>
    <t>Bentz</t>
  </si>
  <si>
    <t/>
  </si>
  <si>
    <t/>
  </si>
  <si>
    <t>LaPlante, Derek</t>
  </si>
  <si>
    <t>KSY211736</t>
  </si>
  <si>
    <t>jbentz@onebarnes.com</t>
  </si>
  <si>
    <t>xjbm13@yahoo.com</t>
  </si>
  <si>
    <t>Assistant, Warehouse II</t>
  </si>
  <si>
    <t>Active</t>
  </si>
  <si>
    <t>212639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</si>
  <si>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</si>
  <si>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</si>
  <si>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</si>
  <si>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</si>
  <si>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</si>
  <si>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</si>
  <si>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</si>
  <si>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</si>
  <si>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</si>
  <si>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</si>
  <si>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</si>
  <si>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</si>
  <si>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</si>
  <si>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Michael</t>
  </si>
  <si>
    <t/>
  </si>
  <si>
    <t>Biniecki</t>
  </si>
  <si>
    <t/>
  </si>
  <si>
    <t/>
  </si>
  <si>
    <t>Bailey, Jason</t>
  </si>
  <si>
    <t>KSY211766</t>
  </si>
  <si>
    <t>mbiniecki@onebarnes.com</t>
  </si>
  <si>
    <t>mbineck@frontier.com</t>
  </si>
  <si>
    <t>Supv, CI</t>
  </si>
  <si>
    <t>Active</t>
  </si>
  <si>
    <t>211464</t>
  </si>
  <si>
    <t>Monthly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</si>
  <si>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</si>
  <si>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</si>
  <si>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</si>
  <si>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</si>
  <si>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</si>
  <si>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</si>
  <si>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</si>
  <si>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</si>
  <si>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</si>
  <si>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S16</t>
  </si>
  <si>
    <t>FMG-S16</t>
  </si>
  <si>
    <t>V0U</t>
  </si>
  <si>
    <t>Nathan</t>
  </si>
  <si>
    <t/>
  </si>
  <si>
    <t>Bird</t>
  </si>
  <si>
    <t/>
  </si>
  <si>
    <t/>
  </si>
  <si>
    <t>Wilkins, William</t>
  </si>
  <si>
    <t>V0U901934</t>
  </si>
  <si>
    <t>nbird@onebarnes.com</t>
  </si>
  <si>
    <t>bird.nathan@icloud.com</t>
  </si>
  <si>
    <t xml:space="preserve">Mgr, Sales </t>
  </si>
  <si>
    <t>Active</t>
  </si>
  <si>
    <t>210102</t>
  </si>
  <si>
    <t>Monthly</t>
  </si>
  <si>
    <t>Full Time</t>
  </si>
  <si>
    <t>025</t>
  </si>
  <si>
    <t>025-NGP Hyson Products</t>
  </si>
  <si>
    <t>Outside Sales</t>
  </si>
  <si>
    <t>000820</t>
  </si>
  <si>
    <t>Work from home - Arizona</t>
  </si>
  <si>
    <t/>
  </si>
  <si>
    <t/>
  </si>
  <si>
    <t>USA</t>
  </si>
  <si>
    <t>S15</t>
  </si>
  <si>
    <t>FMG-S15</t>
  </si>
  <si>
    <t>KSW</t>
  </si>
  <si>
    <t>James</t>
  </si>
  <si>
    <t/>
  </si>
  <si>
    <t>Biss</t>
  </si>
  <si>
    <t/>
  </si>
  <si>
    <t/>
  </si>
  <si>
    <t>Steen, Michael</t>
  </si>
  <si>
    <t>V0U211062</t>
  </si>
  <si>
    <t/>
  </si>
  <si>
    <t>jlbjr7784@gmail.com</t>
  </si>
  <si>
    <t>Assembler B</t>
  </si>
  <si>
    <t>Active</t>
  </si>
  <si>
    <t>210375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</si>
  <si>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</si>
  <si>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</si>
  <si>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</si>
  <si>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</si>
  <si>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</si>
  <si>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</si>
  <si>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</si>
  <si>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</si>
  <si>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</si>
  <si>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</si>
  <si>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</si>
  <si>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</si>
  <si>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KSX</t>
  </si>
  <si>
    <t>Brenda</t>
  </si>
  <si>
    <t/>
  </si>
  <si>
    <t>Bixler</t>
  </si>
  <si>
    <t/>
  </si>
  <si>
    <t/>
  </si>
  <si>
    <t>LaPlante, Derek</t>
  </si>
  <si>
    <t>KSY211736</t>
  </si>
  <si>
    <t>bbixler@onebarnes.com</t>
  </si>
  <si>
    <t>beebix911@gmail.com</t>
  </si>
  <si>
    <t>Expeditor, Warehouse</t>
  </si>
  <si>
    <t>Active</t>
  </si>
  <si>
    <t>211174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</si>
  <si>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</si>
  <si>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</si>
  <si>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</si>
  <si>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</si>
  <si>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</si>
  <si>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</si>
  <si>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</si>
  <si>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</si>
  <si>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</si>
  <si>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</si>
  <si>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S06</t>
  </si>
  <si>
    <t>FMG-S06</t>
  </si>
  <si>
    <t>KSX</t>
  </si>
  <si>
    <t>Robert</t>
  </si>
  <si>
    <t/>
  </si>
  <si>
    <t>Bordner</t>
  </si>
  <si>
    <t/>
  </si>
  <si>
    <t/>
  </si>
  <si>
    <t>Burchell, Mathew</t>
  </si>
  <si>
    <t>KSY211756</t>
  </si>
  <si>
    <t/>
  </si>
  <si>
    <t>robertbordner@gmail.com</t>
  </si>
  <si>
    <t>Assistant, Warehouse II</t>
  </si>
  <si>
    <t>Active</t>
  </si>
  <si>
    <t/>
  </si>
  <si>
    <t>Biweekly</t>
  </si>
  <si>
    <t>Temporary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</si>
  <si>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</si>
  <si>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</si>
  <si>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</si>
  <si>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</si>
  <si>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</si>
  <si>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</si>
  <si>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</si>
  <si>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</si>
  <si>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</si>
  <si>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</si>
  <si>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</si>
  <si>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Jack</t>
  </si>
  <si>
    <t>O</t>
  </si>
  <si>
    <t>Bradford</t>
  </si>
  <si>
    <t/>
  </si>
  <si>
    <t/>
  </si>
  <si>
    <t>Halpin, Emma</t>
  </si>
  <si>
    <t>KSY211489</t>
  </si>
  <si>
    <t/>
  </si>
  <si>
    <t>jb7222222@gmail.com</t>
  </si>
  <si>
    <t>Intern, Project Mgr Indir</t>
  </si>
  <si>
    <t>Terminated</t>
  </si>
  <si>
    <t>213234</t>
  </si>
  <si>
    <t>Biweekly</t>
  </si>
  <si>
    <t>Intern</t>
  </si>
  <si>
    <t>088</t>
  </si>
  <si>
    <t>088-AS Raymond</t>
  </si>
  <si>
    <t>Marketing</t>
  </si>
  <si>
    <t>008300</t>
  </si>
  <si>
    <t>AS Raymond</t>
  </si>
  <si>
    <t/>
  </si>
  <si>
    <t/>
  </si>
  <si>
    <t>USA</t>
  </si>
  <si>
    <t>H05</t>
  </si>
  <si>
    <t>FMG-H05</t>
  </si>
  <si>
    <t>KSW</t>
  </si>
  <si>
    <t>John</t>
  </si>
  <si>
    <t/>
  </si>
  <si>
    <t>Brewer</t>
  </si>
  <si>
    <t/>
  </si>
  <si>
    <t/>
  </si>
  <si>
    <t>Steen, Michael</t>
  </si>
  <si>
    <t>V0U211062</t>
  </si>
  <si>
    <t/>
  </si>
  <si>
    <t>maddenbeast09@gmail.com</t>
  </si>
  <si>
    <t>Boring Mill Operator</t>
  </si>
  <si>
    <t>Active</t>
  </si>
  <si>
    <t/>
  </si>
  <si>
    <t>Biweekly</t>
  </si>
  <si>
    <t>Temporary</t>
  </si>
  <si>
    <t/>
  </si>
  <si>
    <t/>
  </si>
  <si>
    <t/>
  </si>
  <si>
    <t xml:space="preserve"> </t>
  </si>
  <si>
    <t/>
  </si>
  <si>
    <t/>
  </si>
  <si>
    <t/>
  </si>
  <si>
    <t/>
  </si>
  <si>
    <t>H07</t>
  </si>
  <si>
    <t>FMG-H07</t>
  </si>
  <si>
    <t>V0U</t>
  </si>
  <si>
    <t>James</t>
  </si>
  <si>
    <t/>
  </si>
  <si>
    <t>Brower</t>
  </si>
  <si>
    <t/>
  </si>
  <si>
    <t/>
  </si>
  <si>
    <t>Bate, Natalie</t>
  </si>
  <si>
    <t>V0U213037</t>
  </si>
  <si>
    <t>JBrower@onebarnes.com</t>
  </si>
  <si>
    <t>browerj@cox.net</t>
  </si>
  <si>
    <t>Engineer, Application III</t>
  </si>
  <si>
    <t>Active</t>
  </si>
  <si>
    <t>006769</t>
  </si>
  <si>
    <t>Monthly</t>
  </si>
  <si>
    <t>Full Time</t>
  </si>
  <si>
    <t>025</t>
  </si>
  <si>
    <t>025-NGP Hyson Products</t>
  </si>
  <si>
    <t>Engineering</t>
  </si>
  <si>
    <t>000718</t>
  </si>
  <si>
    <t>Hyson Products</t>
  </si>
  <si>
    <t/>
  </si>
  <si>
    <t/>
  </si>
  <si>
    <t>USA</t>
  </si>
  <si>
    <t>S15</t>
  </si>
  <si>
    <t>FMG-S15</t>
  </si>
  <si>
    <t>KSW</t>
  </si>
  <si>
    <t>R</t>
  </si>
  <si>
    <t>T</t>
  </si>
  <si>
    <t>Brown</t>
  </si>
  <si>
    <t/>
  </si>
  <si>
    <t/>
  </si>
  <si>
    <t/>
  </si>
  <si>
    <t/>
  </si>
  <si>
    <t/>
  </si>
  <si>
    <t>rtaeveis@gmail.com</t>
  </si>
  <si>
    <t>Assembler C</t>
  </si>
  <si>
    <t>Terminated</t>
  </si>
  <si>
    <t>212370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</si>
  <si>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</si>
  <si>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</si>
  <si>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</si>
  <si>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</si>
  <si>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</si>
  <si>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</si>
  <si>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</si>
  <si>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</si>
  <si>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</si>
  <si>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</si>
  <si>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</si>
  <si>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</si>
  <si>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KSY</t>
  </si>
  <si>
    <t>Trevor</t>
  </si>
  <si>
    <t/>
  </si>
  <si>
    <t>Bunch</t>
  </si>
  <si>
    <t/>
  </si>
  <si>
    <t/>
  </si>
  <si>
    <t>Valetta, David</t>
  </si>
  <si>
    <t>V0U211601</t>
  </si>
  <si>
    <t>Tbunch@onebarnes.com</t>
  </si>
  <si>
    <t/>
  </si>
  <si>
    <t>Analyst, Pricing</t>
  </si>
  <si>
    <t>Active</t>
  </si>
  <si>
    <t>209735</t>
  </si>
  <si>
    <t>Monthly</t>
  </si>
  <si>
    <t>Full Time</t>
  </si>
  <si>
    <t>088</t>
  </si>
  <si>
    <t>088-AS Raymond</t>
  </si>
  <si>
    <t>Marketing</t>
  </si>
  <si>
    <t>008300</t>
  </si>
  <si>
    <t>AS Raymond</t>
  </si>
  <si>
    <t/>
  </si>
  <si>
    <t/>
  </si>
  <si>
    <t>USA</t>
  </si>
  <si>
    <t>S13</t>
  </si>
  <si>
    <t>FMG-S13</t>
  </si>
  <si>
    <t>KSY</t>
  </si>
  <si>
    <t>Mathew</t>
  </si>
  <si>
    <t>A</t>
  </si>
  <si>
    <t>Burchell</t>
  </si>
  <si>
    <t/>
  </si>
  <si>
    <t/>
  </si>
  <si>
    <t>Bailey, Jason</t>
  </si>
  <si>
    <t>KSY211464</t>
  </si>
  <si>
    <t>mburchell@onebarnes.com</t>
  </si>
  <si>
    <t>mathew121709@outlook.com</t>
  </si>
  <si>
    <t>Supv, Warehouse I</t>
  </si>
  <si>
    <t>Active</t>
  </si>
  <si>
    <t>211756</t>
  </si>
  <si>
    <t>Monthly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</si>
  <si>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</si>
  <si>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</si>
  <si>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</si>
  <si>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</si>
  <si>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</si>
  <si>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</si>
  <si>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</si>
  <si>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</si>
  <si>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</si>
  <si>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S11</t>
  </si>
  <si>
    <t>FMG-S11</t>
  </si>
  <si>
    <t>KSW</t>
  </si>
  <si>
    <t>Kenneth</t>
  </si>
  <si>
    <t>D</t>
  </si>
  <si>
    <t>Butler</t>
  </si>
  <si>
    <t/>
  </si>
  <si>
    <t/>
  </si>
  <si>
    <t>Steen, Michael</t>
  </si>
  <si>
    <t>V0U211062</t>
  </si>
  <si>
    <t/>
  </si>
  <si>
    <t>kennethbutler6459@yahoo.com</t>
  </si>
  <si>
    <t>Coord, Material B</t>
  </si>
  <si>
    <t>Active</t>
  </si>
  <si>
    <t>206741</t>
  </si>
  <si>
    <t>Biweekly</t>
  </si>
  <si>
    <t>Full Time</t>
  </si>
  <si>
    <t>025</t>
  </si>
  <si>
    <t>025-NGP Hyson Products</t>
  </si>
  <si>
    <t>Indirect General -Hyson</t>
  </si>
  <si>
    <t>000400</t>
  </si>
  <si>
    <t>Hyson Products</t>
  </si>
  <si>
    <t/>
  </si>
  <si>
    <t/>
  </si>
  <si>
    <t>USA</t>
  </si>
  <si>
    <t>H05</t>
  </si>
  <si>
    <t>FMG-H05</t>
  </si>
  <si>
    <t>V0U</t>
  </si>
  <si>
    <t>Timothy</t>
  </si>
  <si>
    <t>D</t>
  </si>
  <si>
    <t>Carmichael</t>
  </si>
  <si>
    <t/>
  </si>
  <si>
    <t/>
  </si>
  <si>
    <t>Valetta, David</t>
  </si>
  <si>
    <t>V0U211601</t>
  </si>
  <si>
    <t>TCarmichael@onebarnes.com</t>
  </si>
  <si>
    <t>tritectim@yahoo.com</t>
  </si>
  <si>
    <t>Analyst, Pricing</t>
  </si>
  <si>
    <t>Active</t>
  </si>
  <si>
    <t>900826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</si>
  <si>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</si>
  <si>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</si>
  <si>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</si>
  <si>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</si>
  <si>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</si>
  <si>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</si>
  <si>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</si>
  <si>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</si>
  <si>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</si>
  <si>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</si>
  <si>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S13</t>
  </si>
  <si>
    <t>FMG-S13</t>
  </si>
  <si>
    <t>V0U</t>
  </si>
  <si>
    <t>Jonathan</t>
  </si>
  <si>
    <t/>
  </si>
  <si>
    <t>Carter</t>
  </si>
  <si>
    <t/>
  </si>
  <si>
    <t/>
  </si>
  <si>
    <t>Bate, Natalie</t>
  </si>
  <si>
    <t>V0U213037</t>
  </si>
  <si>
    <t>jcarter@onebarnes.com</t>
  </si>
  <si>
    <t>Jonathancarter201157@gmail.com</t>
  </si>
  <si>
    <t>Engineer, Production II</t>
  </si>
  <si>
    <t>Active</t>
  </si>
  <si>
    <t>212737</t>
  </si>
  <si>
    <t>Monthly</t>
  </si>
  <si>
    <t>Full Time</t>
  </si>
  <si>
    <t>025</t>
  </si>
  <si>
    <t>025-NGP Hyson Products</t>
  </si>
  <si>
    <t>Engineering</t>
  </si>
  <si>
    <t>000718</t>
  </si>
  <si>
    <t>Hyson Products</t>
  </si>
  <si>
    <t/>
  </si>
  <si>
    <t/>
  </si>
  <si>
    <t>USA</t>
  </si>
  <si>
    <t>S14</t>
  </si>
  <si>
    <t>FMG-S14</t>
  </si>
  <si>
    <t>KSY</t>
  </si>
  <si>
    <t>Tyler</t>
  </si>
  <si>
    <t/>
  </si>
  <si>
    <t>Cler</t>
  </si>
  <si>
    <t/>
  </si>
  <si>
    <t/>
  </si>
  <si>
    <t>Kemenah, Greg</t>
  </si>
  <si>
    <t>KSY211766</t>
  </si>
  <si>
    <t>tcler@onebarnes.com</t>
  </si>
  <si>
    <t>tyler.cler@gmail.com</t>
  </si>
  <si>
    <t>Engineer, Production II</t>
  </si>
  <si>
    <t>Active</t>
  </si>
  <si>
    <t>902435</t>
  </si>
  <si>
    <t>Monthly</t>
  </si>
  <si>
    <t>Full Time</t>
  </si>
  <si>
    <t>088</t>
  </si>
  <si>
    <t>088-AS Raymond</t>
  </si>
  <si>
    <t>Admin-Engineering</t>
  </si>
  <si>
    <t>009450</t>
  </si>
  <si>
    <t>AS Raymond</t>
  </si>
  <si>
    <t>English</t>
  </si>
  <si>
    <t>4</t>
  </si>
  <si>
    <t>USA</t>
  </si>
  <si>
    <t>S14</t>
  </si>
  <si>
    <t>FMG-S14</t>
  </si>
  <si>
    <t>V0U</t>
  </si>
  <si>
    <t>Timothy</t>
  </si>
  <si>
    <t>E</t>
  </si>
  <si>
    <t>Clifton</t>
  </si>
  <si>
    <t/>
  </si>
  <si>
    <t/>
  </si>
  <si>
    <t/>
  </si>
  <si>
    <t/>
  </si>
  <si>
    <t>tclifton1@onebarnes.com</t>
  </si>
  <si>
    <t>clifford43431t@yahoo.com</t>
  </si>
  <si>
    <t>Tech, Quality I</t>
  </si>
  <si>
    <t>Terminated</t>
  </si>
  <si>
    <t>213265</t>
  </si>
  <si>
    <t>Biweekly</t>
  </si>
  <si>
    <t>Full Time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</si>
  <si>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</si>
  <si>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</si>
  <si>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</si>
  <si>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</si>
  <si>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</si>
  <si>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</si>
  <si>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</si>
  <si>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</si>
  <si>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S10</t>
  </si>
  <si>
    <t>FMG-S10</t>
  </si>
  <si>
    <t>KSW</t>
  </si>
  <si>
    <t>Timothy</t>
  </si>
  <si>
    <t>E</t>
  </si>
  <si>
    <t>Clifton</t>
  </si>
  <si>
    <t/>
  </si>
  <si>
    <t/>
  </si>
  <si>
    <t>Leftrict, Wayne</t>
  </si>
  <si>
    <t>V0U210910</t>
  </si>
  <si>
    <t>tclifton1@onebarnes.com</t>
  </si>
  <si>
    <t>clifford43431t@yahoo.com</t>
  </si>
  <si>
    <t>Tech, Quality I</t>
  </si>
  <si>
    <t>Active</t>
  </si>
  <si>
    <t>213265</t>
  </si>
  <si>
    <t>Biweekly</t>
  </si>
  <si>
    <t>Full Time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</si>
  <si>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</si>
  <si>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</si>
  <si>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</si>
  <si>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</si>
  <si>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</si>
  <si>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</si>
  <si>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</si>
  <si>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</si>
  <si>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S10</t>
  </si>
  <si>
    <t>FMG-S10</t>
  </si>
  <si>
    <t>V0U</t>
  </si>
  <si>
    <t>Timothy</t>
  </si>
  <si>
    <t>E</t>
  </si>
  <si>
    <t>Clifton</t>
  </si>
  <si>
    <t/>
  </si>
  <si>
    <t/>
  </si>
  <si>
    <t/>
  </si>
  <si>
    <t/>
  </si>
  <si>
    <t>tclifton1@onebarnes.com</t>
  </si>
  <si>
    <t>clifford43431t@yahoo.com</t>
  </si>
  <si>
    <t>Tech, Quality I</t>
  </si>
  <si>
    <t>Terminated</t>
  </si>
  <si>
    <t>213265</t>
  </si>
  <si>
    <t>Monthly</t>
  </si>
  <si>
    <t>Full Time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</si>
  <si>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</si>
  <si>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</si>
  <si>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</si>
  <si>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</si>
  <si>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</si>
  <si>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</si>
  <si>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</si>
  <si>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</si>
  <si>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S10</t>
  </si>
  <si>
    <t>FMG-S10</t>
  </si>
  <si>
    <t>KSY</t>
  </si>
  <si>
    <t>Andrew</t>
  </si>
  <si>
    <t>J</t>
  </si>
  <si>
    <t>Creager</t>
  </si>
  <si>
    <t/>
  </si>
  <si>
    <t/>
  </si>
  <si>
    <t>Bailey, Jason</t>
  </si>
  <si>
    <t>KSY211766</t>
  </si>
  <si>
    <t>acreager@onebarnes.com</t>
  </si>
  <si>
    <t/>
  </si>
  <si>
    <t>Mgr, Supply Chain III</t>
  </si>
  <si>
    <t>Active</t>
  </si>
  <si>
    <t>212699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</si>
  <si>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</si>
  <si>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</si>
  <si>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</si>
  <si>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</si>
  <si>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</si>
  <si>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</si>
  <si>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</si>
  <si>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</si>
  <si>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</si>
  <si>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</si>
  <si>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S17</t>
  </si>
  <si>
    <t>FMG-S17</t>
  </si>
  <si>
    <t>KSY</t>
  </si>
  <si>
    <t>Carla</t>
  </si>
  <si>
    <t>J</t>
  </si>
  <si>
    <t>Cunningham</t>
  </si>
  <si>
    <t/>
  </si>
  <si>
    <t/>
  </si>
  <si>
    <t/>
  </si>
  <si>
    <t/>
  </si>
  <si>
    <t>ccunningham@onebarnes.com</t>
  </si>
  <si>
    <t>springgirl3@sbcglobal.net</t>
  </si>
  <si>
    <t/>
  </si>
  <si>
    <t>Terminated</t>
  </si>
  <si>
    <t>007633</t>
  </si>
  <si>
    <t>Monthly</t>
  </si>
  <si>
    <t>Full Time</t>
  </si>
  <si>
    <t/>
  </si>
  <si>
    <t/>
  </si>
  <si>
    <t/>
  </si>
  <si>
    <t xml:space="preserve"> </t>
  </si>
  <si>
    <t>AS Raymond</t>
  </si>
  <si>
    <t/>
  </si>
  <si>
    <t/>
  </si>
  <si>
    <t>USA</t>
  </si>
  <si>
    <t/>
  </si>
  <si>
    <t/>
  </si>
  <si>
    <t/>
  </si>
  <si>
    <t>Carla</t>
  </si>
  <si>
    <t>J</t>
  </si>
  <si>
    <t>Cunningham</t>
  </si>
  <si>
    <t/>
  </si>
  <si>
    <t/>
  </si>
  <si>
    <t/>
  </si>
  <si>
    <t/>
  </si>
  <si>
    <t>ccunningham@onebarnes.com</t>
  </si>
  <si>
    <t>springgirl3@sbcglobal.net</t>
  </si>
  <si>
    <t/>
  </si>
  <si>
    <t>Terminated</t>
  </si>
  <si>
    <t/>
  </si>
  <si>
    <t>Weekly</t>
  </si>
  <si>
    <t/>
  </si>
  <si>
    <t/>
  </si>
  <si>
    <t/>
  </si>
  <si>
    <t/>
  </si>
  <si>
    <t xml:space="preserve"> </t>
  </si>
  <si>
    <t/>
  </si>
  <si>
    <t/>
  </si>
  <si>
    <t/>
  </si>
  <si>
    <t>USA</t>
  </si>
  <si>
    <t/>
  </si>
  <si>
    <t/>
  </si>
  <si>
    <t>KSX</t>
  </si>
  <si>
    <t>Brenda</t>
  </si>
  <si>
    <t>J</t>
  </si>
  <si>
    <t>Daniel</t>
  </si>
  <si>
    <t/>
  </si>
  <si>
    <t/>
  </si>
  <si>
    <t/>
  </si>
  <si>
    <t>KSY202533</t>
  </si>
  <si>
    <t/>
  </si>
  <si>
    <t>brendajdaniel@gmail.com</t>
  </si>
  <si>
    <t>Rep, Customer Service I</t>
  </si>
  <si>
    <t>Terminated</t>
  </si>
  <si>
    <t>213236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</si>
  <si>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</si>
  <si>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</si>
  <si>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</si>
  <si>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</si>
  <si>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</si>
  <si>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</si>
  <si>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</si>
  <si>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</si>
  <si>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</si>
  <si>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</si>
  <si>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S08</t>
  </si>
  <si>
    <t>FMG-S08</t>
  </si>
  <si>
    <t>V0U</t>
  </si>
  <si>
    <t>Demetrius</t>
  </si>
  <si>
    <t>A</t>
  </si>
  <si>
    <t>Daniels</t>
  </si>
  <si>
    <t/>
  </si>
  <si>
    <t/>
  </si>
  <si>
    <t/>
  </si>
  <si>
    <t/>
  </si>
  <si>
    <t>ddaniels@kaller.com</t>
  </si>
  <si>
    <t>mrtruth75@gmail.com</t>
  </si>
  <si>
    <t>Rep, Customer Service II</t>
  </si>
  <si>
    <t>Terminated</t>
  </si>
  <si>
    <t>006774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</si>
  <si>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</si>
  <si>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</si>
  <si>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</si>
  <si>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</si>
  <si>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</si>
  <si>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</si>
  <si>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</si>
  <si>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</si>
  <si>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</si>
  <si>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</si>
  <si>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</si>
  <si>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</si>
  <si>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</si>
  <si>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Demetrius</t>
  </si>
  <si>
    <t>A</t>
  </si>
  <si>
    <t>Daniels</t>
  </si>
  <si>
    <t/>
  </si>
  <si>
    <t/>
  </si>
  <si>
    <t/>
  </si>
  <si>
    <t/>
  </si>
  <si>
    <t>ddaniels@kaller.com</t>
  </si>
  <si>
    <t>mrtruth75@gmail.com</t>
  </si>
  <si>
    <t>Rep, Customer Service II</t>
  </si>
  <si>
    <t>Terminated</t>
  </si>
  <si>
    <t>006774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</si>
  <si>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</si>
  <si>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</si>
  <si>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</si>
  <si>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</si>
  <si>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</si>
  <si>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</si>
  <si>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</si>
  <si>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</si>
  <si>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</si>
  <si>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</si>
  <si>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</si>
  <si>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</si>
  <si>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KSW</t>
  </si>
  <si>
    <t>Demetrius</t>
  </si>
  <si>
    <t>A</t>
  </si>
  <si>
    <t>Daniels</t>
  </si>
  <si>
    <t/>
  </si>
  <si>
    <t/>
  </si>
  <si>
    <t>Wallace, Derron</t>
  </si>
  <si>
    <t>V0U211998</t>
  </si>
  <si>
    <t>ddaniels@kaller.com</t>
  </si>
  <si>
    <t>mrtruth75@gmail.com</t>
  </si>
  <si>
    <t>Rep, Customer Service II</t>
  </si>
  <si>
    <t>Active</t>
  </si>
  <si>
    <t>006774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</si>
  <si>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</si>
  <si>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</si>
  <si>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</si>
  <si>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</si>
  <si>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</si>
  <si>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</si>
  <si>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</si>
  <si>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</si>
  <si>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</si>
  <si>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</si>
  <si>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</si>
  <si>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</si>
  <si>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KSX</t>
  </si>
  <si>
    <t>Crystal</t>
  </si>
  <si>
    <t/>
  </si>
  <si>
    <t>Dedes</t>
  </si>
  <si>
    <t/>
  </si>
  <si>
    <t/>
  </si>
  <si>
    <t>LaPlante, Derek</t>
  </si>
  <si>
    <t>KSY211736</t>
  </si>
  <si>
    <t>cdedes@onebarnes.com</t>
  </si>
  <si>
    <t>criss4200@yahoo.com</t>
  </si>
  <si>
    <t>Assistant, Warehouse II</t>
  </si>
  <si>
    <t>Active</t>
  </si>
  <si>
    <t>207391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</si>
  <si>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</si>
  <si>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</si>
  <si>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</si>
  <si>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</si>
  <si>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</si>
  <si>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</si>
  <si>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</si>
  <si>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</si>
  <si>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</si>
  <si>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</si>
  <si>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</si>
  <si>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</si>
  <si>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KSW</t>
  </si>
  <si>
    <t>Anthony</t>
  </si>
  <si>
    <t/>
  </si>
  <si>
    <t>Desillas</t>
  </si>
  <si>
    <t/>
  </si>
  <si>
    <t/>
  </si>
  <si>
    <t/>
  </si>
  <si>
    <t/>
  </si>
  <si>
    <t/>
  </si>
  <si>
    <t>desillasa@yahoo.com</t>
  </si>
  <si>
    <t>Lathe Operator</t>
  </si>
  <si>
    <t>Terminated</t>
  </si>
  <si>
    <t>212244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</si>
  <si>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</si>
  <si>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</si>
  <si>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</si>
  <si>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</si>
  <si>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</si>
  <si>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</si>
  <si>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</si>
  <si>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</si>
  <si>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</si>
  <si>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</si>
  <si>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H07</t>
  </si>
  <si>
    <t>FMG-H07</t>
  </si>
  <si>
    <t>KSX</t>
  </si>
  <si>
    <t>Amir</t>
  </si>
  <si>
    <t/>
  </si>
  <si>
    <t>Dillard</t>
  </si>
  <si>
    <t/>
  </si>
  <si>
    <t/>
  </si>
  <si>
    <t>Burchell, Mathew</t>
  </si>
  <si>
    <t>KSY211756</t>
  </si>
  <si>
    <t>adillard1@onebarnes.com</t>
  </si>
  <si>
    <t>amirdillard4@gmail.com</t>
  </si>
  <si>
    <t>Assistant, Warehouse II</t>
  </si>
  <si>
    <t>Active</t>
  </si>
  <si>
    <t>211895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</si>
  <si>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</si>
  <si>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</si>
  <si>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</si>
  <si>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</si>
  <si>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</si>
  <si>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</si>
  <si>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</si>
  <si>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</si>
  <si>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</si>
  <si>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</si>
  <si>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</si>
  <si>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</si>
  <si>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KSW</t>
  </si>
  <si>
    <t>David</t>
  </si>
  <si>
    <t>A</t>
  </si>
  <si>
    <t>Dixon</t>
  </si>
  <si>
    <t/>
  </si>
  <si>
    <t/>
  </si>
  <si>
    <t>Steen, Michael</t>
  </si>
  <si>
    <t>V0U211062</t>
  </si>
  <si>
    <t/>
  </si>
  <si>
    <t>chevelle2212@aol.com</t>
  </si>
  <si>
    <t>Machinist A</t>
  </si>
  <si>
    <t>Active</t>
  </si>
  <si>
    <t>004330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</si>
  <si>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</si>
  <si>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</si>
  <si>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</si>
  <si>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</si>
  <si>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</si>
  <si>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</si>
  <si>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</si>
  <si>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</si>
  <si>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</si>
  <si>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</si>
  <si>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H08</t>
  </si>
  <si>
    <t>FMG-H08</t>
  </si>
  <si>
    <t>KSW</t>
  </si>
  <si>
    <t>Michael</t>
  </si>
  <si>
    <t>D</t>
  </si>
  <si>
    <t>Ellison</t>
  </si>
  <si>
    <t/>
  </si>
  <si>
    <t/>
  </si>
  <si>
    <t>Wallace, Derron</t>
  </si>
  <si>
    <t>V0U211998</t>
  </si>
  <si>
    <t/>
  </si>
  <si>
    <t>ellison.d.mike.me@gmail.com</t>
  </si>
  <si>
    <t>Assembler C</t>
  </si>
  <si>
    <t>Active</t>
  </si>
  <si>
    <t>212072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</si>
  <si>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</si>
  <si>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</si>
  <si>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</si>
  <si>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</si>
  <si>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</si>
  <si>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</si>
  <si>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</si>
  <si>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</si>
  <si>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</si>
  <si>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</si>
  <si>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</si>
  <si>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</si>
  <si>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KSX</t>
  </si>
  <si>
    <t>John</t>
  </si>
  <si>
    <t/>
  </si>
  <si>
    <t>Eward</t>
  </si>
  <si>
    <t/>
  </si>
  <si>
    <t/>
  </si>
  <si>
    <t>Rogers, Wayne</t>
  </si>
  <si>
    <t>KSY207487</t>
  </si>
  <si>
    <t>jeward@onebarnes.com</t>
  </si>
  <si>
    <t>johneward88@gmail.com</t>
  </si>
  <si>
    <t>Coord, Inventory Ctrl I</t>
  </si>
  <si>
    <t>Active</t>
  </si>
  <si>
    <t>212921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</si>
  <si>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</si>
  <si>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</si>
  <si>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</si>
  <si>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</si>
  <si>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</si>
  <si>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</si>
  <si>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</si>
  <si>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</si>
  <si>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</si>
  <si>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</si>
  <si>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S08</t>
  </si>
  <si>
    <t>FMG-S08</t>
  </si>
  <si>
    <t>V0U</t>
  </si>
  <si>
    <t>Donald</t>
  </si>
  <si>
    <t>C</t>
  </si>
  <si>
    <t>Felts</t>
  </si>
  <si>
    <t/>
  </si>
  <si>
    <t/>
  </si>
  <si>
    <t>Wilkins, William</t>
  </si>
  <si>
    <t>V0U901934</t>
  </si>
  <si>
    <t>cfelts@onebarnes.com</t>
  </si>
  <si>
    <t>dcfelts@comcast.net</t>
  </si>
  <si>
    <t xml:space="preserve">Mgr, Sales </t>
  </si>
  <si>
    <t>Active</t>
  </si>
  <si>
    <t>201958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</si>
  <si>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</si>
  <si>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</si>
  <si>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</si>
  <si>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</si>
  <si>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</si>
  <si>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</si>
  <si>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</si>
  <si>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</si>
  <si>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</si>
  <si>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</si>
  <si>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S15</t>
  </si>
  <si>
    <t>FMG-S15</t>
  </si>
  <si>
    <t>KSY</t>
  </si>
  <si>
    <t>Jeffrey</t>
  </si>
  <si>
    <t>L</t>
  </si>
  <si>
    <t>Finch</t>
  </si>
  <si>
    <t/>
  </si>
  <si>
    <t/>
  </si>
  <si>
    <t>Erdogan, Mehmet</t>
  </si>
  <si>
    <t/>
  </si>
  <si>
    <t>Jfinch@onebarnes.com</t>
  </si>
  <si>
    <t>jefffinch@bex.net</t>
  </si>
  <si>
    <t>Mgr, IT I</t>
  </si>
  <si>
    <t>Active</t>
  </si>
  <si>
    <t>900848</t>
  </si>
  <si>
    <t>Monthly</t>
  </si>
  <si>
    <t>Full Time</t>
  </si>
  <si>
    <t>088</t>
  </si>
  <si>
    <t>088-AS Raymond</t>
  </si>
  <si>
    <t>Business Applications</t>
  </si>
  <si>
    <t>009150</t>
  </si>
  <si>
    <t>AS Raymond</t>
  </si>
  <si>
    <t/>
  </si>
  <si>
    <t/>
  </si>
  <si>
    <t>USA</t>
  </si>
  <si>
    <t>S15</t>
  </si>
  <si>
    <t>FMG-S15</t>
  </si>
  <si>
    <t>V0U</t>
  </si>
  <si>
    <t>John</t>
  </si>
  <si>
    <t/>
  </si>
  <si>
    <t>Foisel</t>
  </si>
  <si>
    <t/>
  </si>
  <si>
    <t/>
  </si>
  <si>
    <t>Wilkins, William</t>
  </si>
  <si>
    <t>V0U901934</t>
  </si>
  <si>
    <t>jfoisel@onebarnes.com</t>
  </si>
  <si>
    <t>Jfoisel1@att.net</t>
  </si>
  <si>
    <t>Mgr, Sales II</t>
  </si>
  <si>
    <t>Active</t>
  </si>
  <si>
    <t>007863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</si>
  <si>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</si>
  <si>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</si>
  <si>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</si>
  <si>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</si>
  <si>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</si>
  <si>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</si>
  <si>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</si>
  <si>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</si>
  <si>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</si>
  <si>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</si>
  <si>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S17</t>
  </si>
  <si>
    <t>FMG-S17</t>
  </si>
  <si>
    <t>KSX</t>
  </si>
  <si>
    <t>Conner</t>
  </si>
  <si>
    <t>J</t>
  </si>
  <si>
    <t>Frankforther</t>
  </si>
  <si>
    <t/>
  </si>
  <si>
    <t/>
  </si>
  <si>
    <t>Burchell, Mathew</t>
  </si>
  <si>
    <t>KSY211756</t>
  </si>
  <si>
    <t>cfrankforther@onebarnes.com</t>
  </si>
  <si>
    <t>frankfortherconner@gmail.com</t>
  </si>
  <si>
    <t>Assistant, Warehouse II</t>
  </si>
  <si>
    <t>Active</t>
  </si>
  <si>
    <t>212151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</si>
  <si>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</si>
  <si>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</si>
  <si>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</si>
  <si>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</si>
  <si>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</si>
  <si>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</si>
  <si>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</si>
  <si>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</si>
  <si>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</si>
  <si>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</si>
  <si>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</si>
  <si>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</si>
  <si>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</si>
  <si>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Dillon</t>
  </si>
  <si>
    <t>M</t>
  </si>
  <si>
    <t>Frankforther</t>
  </si>
  <si>
    <t/>
  </si>
  <si>
    <t/>
  </si>
  <si>
    <t>LaPlante, Derek</t>
  </si>
  <si>
    <t>KSY211736</t>
  </si>
  <si>
    <t>dfrankforther@onebarnes.com</t>
  </si>
  <si>
    <t>frankfortherdillon@gmail.com</t>
  </si>
  <si>
    <t>Assistant, Warehouse II</t>
  </si>
  <si>
    <t>Active</t>
  </si>
  <si>
    <t>211779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</si>
  <si>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</si>
  <si>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</si>
  <si>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</si>
  <si>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</si>
  <si>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</si>
  <si>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</si>
  <si>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</si>
  <si>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</si>
  <si>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</si>
  <si>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</si>
  <si>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</si>
  <si>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</si>
  <si>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KSW</t>
  </si>
  <si>
    <t>Anthony</t>
  </si>
  <si>
    <t>J</t>
  </si>
  <si>
    <t>Frimel</t>
  </si>
  <si>
    <t/>
  </si>
  <si>
    <t/>
  </si>
  <si>
    <t>Steen, Michael</t>
  </si>
  <si>
    <t>V0U211062</t>
  </si>
  <si>
    <t>afrimel@onebarnes.com</t>
  </si>
  <si>
    <t>tfrimel@att.net</t>
  </si>
  <si>
    <t>Tech, Manufacturing A</t>
  </si>
  <si>
    <t>Active</t>
  </si>
  <si>
    <t>004352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</si>
  <si>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</si>
  <si>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</si>
  <si>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</si>
  <si>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</si>
  <si>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</si>
  <si>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</si>
  <si>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</si>
  <si>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</si>
  <si>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</si>
  <si>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</si>
  <si>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H08</t>
  </si>
  <si>
    <t>FMG-H08</t>
  </si>
  <si>
    <t>V0U</t>
  </si>
  <si>
    <t>Terry</t>
  </si>
  <si>
    <t>L</t>
  </si>
  <si>
    <t>Gang</t>
  </si>
  <si>
    <t/>
  </si>
  <si>
    <t/>
  </si>
  <si>
    <t>Bate, Natalie</t>
  </si>
  <si>
    <t>V0U213037</t>
  </si>
  <si>
    <t>TGang@onebarnes.com</t>
  </si>
  <si>
    <t>Terrygang1987@gmail.com</t>
  </si>
  <si>
    <t>Mgr, Engineering II</t>
  </si>
  <si>
    <t>Active</t>
  </si>
  <si>
    <t>006780</t>
  </si>
  <si>
    <t>Monthly</t>
  </si>
  <si>
    <t>Full Time</t>
  </si>
  <si>
    <t>025</t>
  </si>
  <si>
    <t>025-NGP Hyson Products</t>
  </si>
  <si>
    <t>Warehouse</t>
  </si>
  <si>
    <t>000555</t>
  </si>
  <si>
    <t>Hyson Products</t>
  </si>
  <si>
    <t/>
  </si>
  <si>
    <t/>
  </si>
  <si>
    <t>USA</t>
  </si>
  <si>
    <t>S17</t>
  </si>
  <si>
    <t>FMG-S17</t>
  </si>
  <si>
    <t>V0U</t>
  </si>
  <si>
    <t>Anne</t>
  </si>
  <si>
    <t>M</t>
  </si>
  <si>
    <t>Garber</t>
  </si>
  <si>
    <t/>
  </si>
  <si>
    <t/>
  </si>
  <si>
    <t>Bate, Natalie</t>
  </si>
  <si>
    <t/>
  </si>
  <si>
    <t>agarber@onebarnes.com</t>
  </si>
  <si>
    <t>anne.michael00@gmail.com</t>
  </si>
  <si>
    <t>Mgr, Program</t>
  </si>
  <si>
    <t>Active</t>
  </si>
  <si>
    <t>902627</t>
  </si>
  <si>
    <t>Monthly</t>
  </si>
  <si>
    <t>Full Time</t>
  </si>
  <si>
    <t>025</t>
  </si>
  <si>
    <t>025-NGP Hyson Products</t>
  </si>
  <si>
    <t>Administration</t>
  </si>
  <si>
    <t>000917</t>
  </si>
  <si>
    <t>Hyson Products</t>
  </si>
  <si>
    <t/>
  </si>
  <si>
    <t/>
  </si>
  <si>
    <t>USA</t>
  </si>
  <si>
    <t>S17</t>
  </si>
  <si>
    <t>FMG-S17</t>
  </si>
  <si>
    <t>KSX</t>
  </si>
  <si>
    <t>Evelyn</t>
  </si>
  <si>
    <t/>
  </si>
  <si>
    <t>Gonzalez</t>
  </si>
  <si>
    <t/>
  </si>
  <si>
    <t/>
  </si>
  <si>
    <t/>
  </si>
  <si>
    <t/>
  </si>
  <si>
    <t>EGonzalez@onebarnes.com</t>
  </si>
  <si>
    <t/>
  </si>
  <si>
    <t>Assistant, Warehouse II</t>
  </si>
  <si>
    <t>Terminated</t>
  </si>
  <si>
    <t>209540</t>
  </si>
  <si>
    <t>Biweekly</t>
  </si>
  <si>
    <t>Full Time</t>
  </si>
  <si>
    <t>088</t>
  </si>
  <si>
    <t>088-AS Raymond</t>
  </si>
  <si>
    <t>Supply Chain</t>
  </si>
  <si>
    <t>000004</t>
  </si>
  <si>
    <t>AS Raymond</t>
  </si>
  <si>
    <t/>
  </si>
  <si>
    <t/>
  </si>
  <si>
    <t>USA</t>
  </si>
  <si>
    <t>S05</t>
  </si>
  <si>
    <t>FMG-S05</t>
  </si>
  <si>
    <t>KSX</t>
  </si>
  <si>
    <t>Cristel</t>
  </si>
  <si>
    <t/>
  </si>
  <si>
    <t>Grandowicz</t>
  </si>
  <si>
    <t/>
  </si>
  <si>
    <t/>
  </si>
  <si>
    <t>Burchell, Mathew</t>
  </si>
  <si>
    <t>KSY211756</t>
  </si>
  <si>
    <t>cgrandowicz@onebarnes.com</t>
  </si>
  <si>
    <t>grandowicz.cristel@gmail.com</t>
  </si>
  <si>
    <t>Assistant, Warehouse II</t>
  </si>
  <si>
    <t>Active</t>
  </si>
  <si>
    <t>211991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</si>
  <si>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</si>
  <si>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</si>
  <si>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</si>
  <si>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</si>
  <si>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</si>
  <si>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</si>
  <si>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</si>
  <si>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</si>
  <si>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</si>
  <si>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</si>
  <si>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</si>
  <si>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</si>
  <si>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</si>
  <si>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Ivy</t>
  </si>
  <si>
    <t>J</t>
  </si>
  <si>
    <t>Grant</t>
  </si>
  <si>
    <t/>
  </si>
  <si>
    <t/>
  </si>
  <si>
    <t>Warner, Dwight</t>
  </si>
  <si>
    <t>V0U008750</t>
  </si>
  <si>
    <t>igrant1@onebarnes.com</t>
  </si>
  <si>
    <t>igrant1453@yahoo.com</t>
  </si>
  <si>
    <t>Spec, Accounts Rec III</t>
  </si>
  <si>
    <t>Active</t>
  </si>
  <si>
    <t>209642</t>
  </si>
  <si>
    <t>Biweekly</t>
  </si>
  <si>
    <t>Full Time</t>
  </si>
  <si>
    <t>088</t>
  </si>
  <si>
    <t>088-AS Raymond</t>
  </si>
  <si>
    <t>Finance General</t>
  </si>
  <si>
    <t>009100</t>
  </si>
  <si>
    <t>Work from home - Virginia</t>
  </si>
  <si>
    <t/>
  </si>
  <si>
    <t/>
  </si>
  <si>
    <t>USA</t>
  </si>
  <si>
    <t>S10</t>
  </si>
  <si>
    <t>FMG-S10</t>
  </si>
  <si>
    <t>KSW</t>
  </si>
  <si>
    <t>Michael</t>
  </si>
  <si>
    <t>W</t>
  </si>
  <si>
    <t>Haas</t>
  </si>
  <si>
    <t/>
  </si>
  <si>
    <t/>
  </si>
  <si>
    <t/>
  </si>
  <si>
    <t/>
  </si>
  <si>
    <t>MHaas@onebarnes.com</t>
  </si>
  <si>
    <t/>
  </si>
  <si>
    <t>Mechanic, Maintenance A</t>
  </si>
  <si>
    <t>Retired</t>
  </si>
  <si>
    <t>006785</t>
  </si>
  <si>
    <t>Biweekly</t>
  </si>
  <si>
    <t>Full Time</t>
  </si>
  <si>
    <t>025</t>
  </si>
  <si>
    <t>025-NGP Hyson Products</t>
  </si>
  <si>
    <t>Maintenance-Hyson</t>
  </si>
  <si>
    <t>000450</t>
  </si>
  <si>
    <t>Hyson Products</t>
  </si>
  <si>
    <t/>
  </si>
  <si>
    <t/>
  </si>
  <si>
    <t>USA</t>
  </si>
  <si>
    <t>H08</t>
  </si>
  <si>
    <t>FMG-H08</t>
  </si>
  <si>
    <t>KSX</t>
  </si>
  <si>
    <t>Tirani</t>
  </si>
  <si>
    <t>J</t>
  </si>
  <si>
    <t>Hague</t>
  </si>
  <si>
    <t/>
  </si>
  <si>
    <t/>
  </si>
  <si>
    <t>Rafferty, Jonathan</t>
  </si>
  <si>
    <t>KSY211131</t>
  </si>
  <si>
    <t/>
  </si>
  <si>
    <t>tirani.hague@gmail.com</t>
  </si>
  <si>
    <t>Rep, Customer Service III</t>
  </si>
  <si>
    <t>Active</t>
  </si>
  <si>
    <t>213224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</si>
  <si>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</si>
  <si>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</si>
  <si>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</si>
  <si>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</si>
  <si>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</si>
  <si>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</si>
  <si>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</si>
  <si>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</si>
  <si>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</si>
  <si>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</si>
  <si>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</si>
  <si>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</si>
  <si>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KSX</t>
  </si>
  <si>
    <t>Kimberly</t>
  </si>
  <si>
    <t/>
  </si>
  <si>
    <t>Hall</t>
  </si>
  <si>
    <t/>
  </si>
  <si>
    <t/>
  </si>
  <si>
    <t>Alexander, Thomas</t>
  </si>
  <si>
    <t>KSY210892</t>
  </si>
  <si>
    <t>KHall@onebarnes.com</t>
  </si>
  <si>
    <t/>
  </si>
  <si>
    <t>Tech, Quality I</t>
  </si>
  <si>
    <t>Active</t>
  </si>
  <si>
    <t>206228</t>
  </si>
  <si>
    <t>Biweekly</t>
  </si>
  <si>
    <t>Full Time</t>
  </si>
  <si>
    <t>088</t>
  </si>
  <si>
    <t>088-AS Raymond</t>
  </si>
  <si>
    <t>Admin-Quality</t>
  </si>
  <si>
    <t>009500</t>
  </si>
  <si>
    <t>AS Raymond</t>
  </si>
  <si>
    <t/>
  </si>
  <si>
    <t/>
  </si>
  <si>
    <t>USA</t>
  </si>
  <si>
    <t>S10</t>
  </si>
  <si>
    <t>FMG-S10</t>
  </si>
  <si>
    <t>KSY</t>
  </si>
  <si>
    <t>Emma</t>
  </si>
  <si>
    <t/>
  </si>
  <si>
    <t>Halpin</t>
  </si>
  <si>
    <t/>
  </si>
  <si>
    <t/>
  </si>
  <si>
    <t>Kemenah, Greg</t>
  </si>
  <si>
    <t>KSY211766</t>
  </si>
  <si>
    <t>ehalpin@onebarnes.com</t>
  </si>
  <si>
    <t>sampson.emma17@gmail.com</t>
  </si>
  <si>
    <t>Mgr, Product III</t>
  </si>
  <si>
    <t>Active</t>
  </si>
  <si>
    <t>211489</t>
  </si>
  <si>
    <t>Monthly</t>
  </si>
  <si>
    <t>Full Time</t>
  </si>
  <si>
    <t>088</t>
  </si>
  <si>
    <t>088-AS Raymond</t>
  </si>
  <si>
    <t>Marketing</t>
  </si>
  <si>
    <t>008300</t>
  </si>
  <si>
    <t>AS Raymond</t>
  </si>
  <si>
    <t/>
  </si>
  <si>
    <t/>
  </si>
  <si>
    <t>USA</t>
  </si>
  <si>
    <t>S16</t>
  </si>
  <si>
    <t>FMG-S16</t>
  </si>
  <si>
    <t>KSW</t>
  </si>
  <si>
    <t>Michael</t>
  </si>
  <si>
    <t>J</t>
  </si>
  <si>
    <t>Hamar</t>
  </si>
  <si>
    <t/>
  </si>
  <si>
    <t/>
  </si>
  <si>
    <t>Wallace, Derron</t>
  </si>
  <si>
    <t>V0U211998</t>
  </si>
  <si>
    <t>mhamar@onebarnes.com</t>
  </si>
  <si>
    <t/>
  </si>
  <si>
    <t>Shipping/Receiving ClerkB</t>
  </si>
  <si>
    <t>Active</t>
  </si>
  <si>
    <t>901454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</si>
  <si>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</si>
  <si>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</si>
  <si>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</si>
  <si>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</si>
  <si>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</si>
  <si>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</si>
  <si>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</si>
  <si>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</si>
  <si>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</si>
  <si>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</si>
  <si>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H06</t>
  </si>
  <si>
    <t>FMG-H06</t>
  </si>
  <si>
    <t>KSX</t>
  </si>
  <si>
    <t>Patsy</t>
  </si>
  <si>
    <t/>
  </si>
  <si>
    <t>Hamby</t>
  </si>
  <si>
    <t/>
  </si>
  <si>
    <t/>
  </si>
  <si>
    <t>Burchell, Mathew</t>
  </si>
  <si>
    <t>KSY211756</t>
  </si>
  <si>
    <t>PHamby@onebarnes.com</t>
  </si>
  <si>
    <t>phamby456@gmail.com</t>
  </si>
  <si>
    <t>Assistant, Warehouse II</t>
  </si>
  <si>
    <t>Active</t>
  </si>
  <si>
    <t>209425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</si>
  <si>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</si>
  <si>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</si>
  <si>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</si>
  <si>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</si>
  <si>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</si>
  <si>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</si>
  <si>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</si>
  <si>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</si>
  <si>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</si>
  <si>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</si>
  <si>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</si>
  <si>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</si>
  <si>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V0U</t>
  </si>
  <si>
    <t>Jon</t>
  </si>
  <si>
    <t/>
  </si>
  <si>
    <t>Hartman</t>
  </si>
  <si>
    <t/>
  </si>
  <si>
    <t/>
  </si>
  <si>
    <t/>
  </si>
  <si>
    <t>V0U901934</t>
  </si>
  <si>
    <t>jhartman@onebarnes.com</t>
  </si>
  <si>
    <t>jhartman8890@gmail.com</t>
  </si>
  <si>
    <t>Mgr, Sales I</t>
  </si>
  <si>
    <t>Terminated</t>
  </si>
  <si>
    <t>211045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</si>
  <si>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</si>
  <si>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</si>
  <si>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</si>
  <si>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</si>
  <si>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</si>
  <si>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</si>
  <si>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</si>
  <si>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</si>
  <si>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</si>
  <si>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</si>
  <si>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S16</t>
  </si>
  <si>
    <t>FMG-S16</t>
  </si>
  <si>
    <t>KSW</t>
  </si>
  <si>
    <t>Cherie</t>
  </si>
  <si>
    <t/>
  </si>
  <si>
    <t>Hassey</t>
  </si>
  <si>
    <t/>
  </si>
  <si>
    <t/>
  </si>
  <si>
    <t>Wallace, Derron</t>
  </si>
  <si>
    <t>V0U211998</t>
  </si>
  <si>
    <t>chassey@onebarnes.com</t>
  </si>
  <si>
    <t>c.hassey@att.net</t>
  </si>
  <si>
    <t>Rep, Customer Service II</t>
  </si>
  <si>
    <t>Active</t>
  </si>
  <si>
    <t>213144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</si>
  <si>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</si>
  <si>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</si>
  <si>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</si>
  <si>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</si>
  <si>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</si>
  <si>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</si>
  <si>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</si>
  <si>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</si>
  <si>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</si>
  <si>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</si>
  <si>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</si>
  <si>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</si>
  <si>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</si>
  <si>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Cherie</t>
  </si>
  <si>
    <t/>
  </si>
  <si>
    <t>Hassey</t>
  </si>
  <si>
    <t/>
  </si>
  <si>
    <t/>
  </si>
  <si>
    <t/>
  </si>
  <si>
    <t/>
  </si>
  <si>
    <t>chassey@onebarnes.com</t>
  </si>
  <si>
    <t>c.hassey@att.net</t>
  </si>
  <si>
    <t>Rep, Customer Service II</t>
  </si>
  <si>
    <t>Terminated</t>
  </si>
  <si>
    <t>213144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</si>
  <si>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</si>
  <si>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</si>
  <si>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</si>
  <si>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</si>
  <si>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</si>
  <si>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</si>
  <si>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</si>
  <si>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</si>
  <si>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</si>
  <si>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</si>
  <si>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</si>
  <si>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</si>
  <si>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KSX</t>
  </si>
  <si>
    <t>Karla</t>
  </si>
  <si>
    <t/>
  </si>
  <si>
    <t>Hershberger</t>
  </si>
  <si>
    <t/>
  </si>
  <si>
    <t/>
  </si>
  <si>
    <t>Burchell, Mathew</t>
  </si>
  <si>
    <t>KSY211756</t>
  </si>
  <si>
    <t>khershberger@onebarnes.com</t>
  </si>
  <si>
    <t>karhershy14@gmail.com</t>
  </si>
  <si>
    <t>Assistant, Warehouse II</t>
  </si>
  <si>
    <t>Active</t>
  </si>
  <si>
    <t>209424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</si>
  <si>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</si>
  <si>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</si>
  <si>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</si>
  <si>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</si>
  <si>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</si>
  <si>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</si>
  <si>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</si>
  <si>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</si>
  <si>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</si>
  <si>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</si>
  <si>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</si>
  <si>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</si>
  <si>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</si>
  <si>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Brandon</t>
  </si>
  <si>
    <t/>
  </si>
  <si>
    <t>Hibbitts</t>
  </si>
  <si>
    <t/>
  </si>
  <si>
    <t/>
  </si>
  <si>
    <t/>
  </si>
  <si>
    <t>KSY900848</t>
  </si>
  <si>
    <t>bhibbitts@onebarnes.com</t>
  </si>
  <si>
    <t>hibbitts.brandon@gmail.com</t>
  </si>
  <si>
    <t>Intern, IT Indirect</t>
  </si>
  <si>
    <t>Terminated</t>
  </si>
  <si>
    <t>211181</t>
  </si>
  <si>
    <t>Biweekly</t>
  </si>
  <si>
    <t>Part Time</t>
  </si>
  <si>
    <t>088</t>
  </si>
  <si>
    <t>088-AS Raymond</t>
  </si>
  <si>
    <t>Business Applications</t>
  </si>
  <si>
    <t>009150</t>
  </si>
  <si>
    <t>AS Raymond</t>
  </si>
  <si>
    <t/>
  </si>
  <si>
    <t/>
  </si>
  <si>
    <t>USA</t>
  </si>
  <si>
    <t>H05</t>
  </si>
  <si>
    <t>FMG-H05</t>
  </si>
  <si>
    <t>KSY</t>
  </si>
  <si>
    <t>Brandon</t>
  </si>
  <si>
    <t/>
  </si>
  <si>
    <t>Hibbitts</t>
  </si>
  <si>
    <t/>
  </si>
  <si>
    <t/>
  </si>
  <si>
    <t>Erdogan, Mehmet</t>
  </si>
  <si>
    <t>000207199N</t>
  </si>
  <si>
    <t>bhibbitts@onebarnes.com</t>
  </si>
  <si>
    <t>hibbitts.brandon@gmail.com</t>
  </si>
  <si>
    <t>Analyst, Help Desk II</t>
  </si>
  <si>
    <t>Active</t>
  </si>
  <si>
    <t>211181</t>
  </si>
  <si>
    <t>Monthly</t>
  </si>
  <si>
    <t>Full Time</t>
  </si>
  <si>
    <t>088</t>
  </si>
  <si>
    <t>088-AS Raymond</t>
  </si>
  <si>
    <t>Business Applications</t>
  </si>
  <si>
    <t>009150</t>
  </si>
  <si>
    <t>AS Raymond</t>
  </si>
  <si>
    <t/>
  </si>
  <si>
    <t/>
  </si>
  <si>
    <t>USA</t>
  </si>
  <si>
    <t>S12</t>
  </si>
  <si>
    <t>FMG-S12</t>
  </si>
  <si>
    <t>KSW</t>
  </si>
  <si>
    <t>Bobby</t>
  </si>
  <si>
    <t/>
  </si>
  <si>
    <t>Hicks</t>
  </si>
  <si>
    <t/>
  </si>
  <si>
    <t/>
  </si>
  <si>
    <t>Wallace, Derron</t>
  </si>
  <si>
    <t>V0U211998</t>
  </si>
  <si>
    <t>bhicks@onebarnes.com</t>
  </si>
  <si>
    <t>bhicks1@me.com</t>
  </si>
  <si>
    <t>Lead, Unit Team</t>
  </si>
  <si>
    <t>Active</t>
  </si>
  <si>
    <t>211145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</si>
  <si>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</si>
  <si>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</si>
  <si>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</si>
  <si>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</si>
  <si>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</si>
  <si>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</si>
  <si>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</si>
  <si>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</si>
  <si>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</si>
  <si>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</si>
  <si>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H08</t>
  </si>
  <si>
    <t>FMG-H08</t>
  </si>
  <si>
    <t>KSW</t>
  </si>
  <si>
    <t>Darin</t>
  </si>
  <si>
    <t/>
  </si>
  <si>
    <t>Hitti</t>
  </si>
  <si>
    <t/>
  </si>
  <si>
    <t/>
  </si>
  <si>
    <t>Gang, Terry</t>
  </si>
  <si>
    <t>V0U006780</t>
  </si>
  <si>
    <t>DHitti@onebarnes.com</t>
  </si>
  <si>
    <t/>
  </si>
  <si>
    <t>Mechanic, Maintenance A</t>
  </si>
  <si>
    <t>Active</t>
  </si>
  <si>
    <t>006792</t>
  </si>
  <si>
    <t>Biweekly</t>
  </si>
  <si>
    <t>Full Time</t>
  </si>
  <si>
    <t>025</t>
  </si>
  <si>
    <t>025-NGP Hyson Products</t>
  </si>
  <si>
    <t>Maintenance-Hyson</t>
  </si>
  <si>
    <t>000450</t>
  </si>
  <si>
    <t>Hyson Products</t>
  </si>
  <si>
    <t/>
  </si>
  <si>
    <t/>
  </si>
  <si>
    <t>USA</t>
  </si>
  <si>
    <t>H08</t>
  </si>
  <si>
    <t>FMG-H08</t>
  </si>
  <si>
    <t>KSW</t>
  </si>
  <si>
    <t>Mason</t>
  </si>
  <si>
    <t/>
  </si>
  <si>
    <t>Hitti</t>
  </si>
  <si>
    <t/>
  </si>
  <si>
    <t/>
  </si>
  <si>
    <t/>
  </si>
  <si>
    <t>V0U211062</t>
  </si>
  <si>
    <t/>
  </si>
  <si>
    <t>hittimason4@gmail.com</t>
  </si>
  <si>
    <t xml:space="preserve">Machinist, CNC </t>
  </si>
  <si>
    <t>Terminated</t>
  </si>
  <si>
    <t/>
  </si>
  <si>
    <t>Biweekly</t>
  </si>
  <si>
    <t>Temporary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</si>
  <si>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</si>
  <si>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</si>
  <si>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</si>
  <si>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</si>
  <si>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</si>
  <si>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</si>
  <si>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</si>
  <si>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</si>
  <si>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H04</t>
  </si>
  <si>
    <t>FMG-H04</t>
  </si>
  <si>
    <t>KSY</t>
  </si>
  <si>
    <t>Carrie</t>
  </si>
  <si>
    <t>M</t>
  </si>
  <si>
    <t>Hoffman</t>
  </si>
  <si>
    <t/>
  </si>
  <si>
    <t/>
  </si>
  <si>
    <t>Oleksa, Laura</t>
  </si>
  <si>
    <t>V0U209181</t>
  </si>
  <si>
    <t>choffman@onebarnes.com</t>
  </si>
  <si>
    <t>Carriehoffman89@gmail.com</t>
  </si>
  <si>
    <t>HR Coordinator</t>
  </si>
  <si>
    <t>Active</t>
  </si>
  <si>
    <t>902349</t>
  </si>
  <si>
    <t>Monthly</t>
  </si>
  <si>
    <t>Full Time</t>
  </si>
  <si>
    <t>088</t>
  </si>
  <si>
    <t>088-AS Raymond</t>
  </si>
  <si>
    <t>HR General</t>
  </si>
  <si>
    <t>009200</t>
  </si>
  <si>
    <t>AS Raymond</t>
  </si>
  <si>
    <t/>
  </si>
  <si>
    <t/>
  </si>
  <si>
    <t>USA</t>
  </si>
  <si>
    <t>S11</t>
  </si>
  <si>
    <t>FMG-S11</t>
  </si>
  <si>
    <t>KSX</t>
  </si>
  <si>
    <t>LaMarr</t>
  </si>
  <si>
    <t/>
  </si>
  <si>
    <t>Hogue</t>
  </si>
  <si>
    <t/>
  </si>
  <si>
    <t/>
  </si>
  <si>
    <t>Rogers, Wayne</t>
  </si>
  <si>
    <t>KSY207487</t>
  </si>
  <si>
    <t/>
  </si>
  <si>
    <t>lamarr.hogue@gmail.com</t>
  </si>
  <si>
    <t>Assistant, Warehouse II</t>
  </si>
  <si>
    <t>Active</t>
  </si>
  <si>
    <t>212966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</si>
  <si>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</si>
  <si>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</si>
  <si>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</si>
  <si>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</si>
  <si>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</si>
  <si>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</si>
  <si>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</si>
  <si>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</si>
  <si>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</si>
  <si>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</si>
  <si>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</si>
  <si>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</si>
  <si>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KSX</t>
  </si>
  <si>
    <t>Richard</t>
  </si>
  <si>
    <t>W</t>
  </si>
  <si>
    <t>Hutt</t>
  </si>
  <si>
    <t/>
  </si>
  <si>
    <t/>
  </si>
  <si>
    <t>LaPlante, Derek</t>
  </si>
  <si>
    <t>KSY211736</t>
  </si>
  <si>
    <t>rhutt@onebarnes.com</t>
  </si>
  <si>
    <t>richard.hutt95@gmail.com</t>
  </si>
  <si>
    <t>Coord, Logistics I</t>
  </si>
  <si>
    <t>Active</t>
  </si>
  <si>
    <t>211932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</si>
  <si>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</si>
  <si>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</si>
  <si>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</si>
  <si>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</si>
  <si>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</si>
  <si>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</si>
  <si>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</si>
  <si>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</si>
  <si>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</si>
  <si>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</si>
  <si>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S06</t>
  </si>
  <si>
    <t>FMG-S06</t>
  </si>
  <si>
    <t>KSW</t>
  </si>
  <si>
    <t>Frank</t>
  </si>
  <si>
    <t/>
  </si>
  <si>
    <t>Izzo</t>
  </si>
  <si>
    <t/>
  </si>
  <si>
    <t/>
  </si>
  <si>
    <t>Valetta, David</t>
  </si>
  <si>
    <t>V0U211601</t>
  </si>
  <si>
    <t>FIzzo@onebarnes.com</t>
  </si>
  <si>
    <t/>
  </si>
  <si>
    <t>Mgr, Finance II</t>
  </si>
  <si>
    <t>Active</t>
  </si>
  <si>
    <t>206442</t>
  </si>
  <si>
    <t>Biweekly</t>
  </si>
  <si>
    <t>Part Time Long Term EE</t>
  </si>
  <si>
    <t>025</t>
  </si>
  <si>
    <t>025-NGP Hyson Products</t>
  </si>
  <si>
    <t>Project Management</t>
  </si>
  <si>
    <t>000801</t>
  </si>
  <si>
    <t>Hyson Products</t>
  </si>
  <si>
    <t/>
  </si>
  <si>
    <t/>
  </si>
  <si>
    <t>USA</t>
  </si>
  <si>
    <t>S16</t>
  </si>
  <si>
    <t>FMG-S16</t>
  </si>
  <si>
    <t>V0U</t>
  </si>
  <si>
    <t>Frank</t>
  </si>
  <si>
    <t/>
  </si>
  <si>
    <t>Izzo</t>
  </si>
  <si>
    <t/>
  </si>
  <si>
    <t/>
  </si>
  <si>
    <t/>
  </si>
  <si>
    <t>V0U211601</t>
  </si>
  <si>
    <t>FIzzo@onebarnes.com</t>
  </si>
  <si>
    <t/>
  </si>
  <si>
    <t>Mgr, Finance II</t>
  </si>
  <si>
    <t>Terminated</t>
  </si>
  <si>
    <t>206442</t>
  </si>
  <si>
    <t>Monthly</t>
  </si>
  <si>
    <t>Full Time</t>
  </si>
  <si>
    <t>025</t>
  </si>
  <si>
    <t>025-NGP Hyson Products</t>
  </si>
  <si>
    <t>Project Management</t>
  </si>
  <si>
    <t>000801</t>
  </si>
  <si>
    <t>Hyson Products</t>
  </si>
  <si>
    <t/>
  </si>
  <si>
    <t/>
  </si>
  <si>
    <t>USA</t>
  </si>
  <si>
    <t>S16</t>
  </si>
  <si>
    <t>FMG-S16</t>
  </si>
  <si>
    <t>KSY</t>
  </si>
  <si>
    <t>Christopher</t>
  </si>
  <si>
    <t>G</t>
  </si>
  <si>
    <t>Jablonsky</t>
  </si>
  <si>
    <t/>
  </si>
  <si>
    <t/>
  </si>
  <si>
    <t/>
  </si>
  <si>
    <t/>
  </si>
  <si>
    <t>cjablonsky@onebarnes.com</t>
  </si>
  <si>
    <t/>
  </si>
  <si>
    <t xml:space="preserve">Mgr, Sales </t>
  </si>
  <si>
    <t>Terminated</t>
  </si>
  <si>
    <t>212479</t>
  </si>
  <si>
    <t>Monthly</t>
  </si>
  <si>
    <t>Full Time</t>
  </si>
  <si>
    <t>088</t>
  </si>
  <si>
    <t>088-AS Raymond</t>
  </si>
  <si>
    <t>Outside Sales</t>
  </si>
  <si>
    <t>008200</t>
  </si>
  <si>
    <t>Work from home - Ohio - New</t>
  </si>
  <si>
    <t/>
  </si>
  <si>
    <t/>
  </si>
  <si>
    <t>USA</t>
  </si>
  <si>
    <t>S16</t>
  </si>
  <si>
    <t>FMG-S16</t>
  </si>
  <si>
    <t>KSW</t>
  </si>
  <si>
    <t>Jordan</t>
  </si>
  <si>
    <t/>
  </si>
  <si>
    <t>James</t>
  </si>
  <si>
    <t/>
  </si>
  <si>
    <t/>
  </si>
  <si>
    <t>Steen, Michael</t>
  </si>
  <si>
    <t>V0U211062</t>
  </si>
  <si>
    <t/>
  </si>
  <si>
    <t>jrdnjms18@gmail.com</t>
  </si>
  <si>
    <t>Assembler C</t>
  </si>
  <si>
    <t>Active</t>
  </si>
  <si>
    <t>211943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</si>
  <si>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</si>
  <si>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</si>
  <si>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</si>
  <si>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</si>
  <si>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</si>
  <si>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</si>
  <si>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</si>
  <si>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</si>
  <si>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</si>
  <si>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</si>
  <si>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</si>
  <si>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</si>
  <si>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KSX</t>
  </si>
  <si>
    <t>Keith</t>
  </si>
  <si>
    <t>L</t>
  </si>
  <si>
    <t>James</t>
  </si>
  <si>
    <t/>
  </si>
  <si>
    <t/>
  </si>
  <si>
    <t>Rogers, Wayne</t>
  </si>
  <si>
    <t>KSY207487</t>
  </si>
  <si>
    <t>kjames@onebarnes.com</t>
  </si>
  <si>
    <t>myzonkj87@gmail.com</t>
  </si>
  <si>
    <t>Assistant, Warehouse II</t>
  </si>
  <si>
    <t>Active</t>
  </si>
  <si>
    <t>902026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</si>
  <si>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</si>
  <si>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</si>
  <si>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</si>
  <si>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</si>
  <si>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</si>
  <si>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</si>
  <si>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</si>
  <si>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</si>
  <si>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</si>
  <si>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</si>
  <si>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</si>
  <si>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</si>
  <si>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</si>
  <si>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Michael</t>
  </si>
  <si>
    <t/>
  </si>
  <si>
    <t>Jones</t>
  </si>
  <si>
    <t/>
  </si>
  <si>
    <t/>
  </si>
  <si>
    <t>Rodriguez, Siobhan</t>
  </si>
  <si>
    <t>V0U207588</t>
  </si>
  <si>
    <t>mjones@onebarnes.com</t>
  </si>
  <si>
    <t>MIKEJONES6085@GMAIL.COM</t>
  </si>
  <si>
    <t xml:space="preserve">Mgr, Sales </t>
  </si>
  <si>
    <t>Active</t>
  </si>
  <si>
    <t>212418</t>
  </si>
  <si>
    <t>Monthly</t>
  </si>
  <si>
    <t>Full Time</t>
  </si>
  <si>
    <t>088</t>
  </si>
  <si>
    <t>088-AS Raymond</t>
  </si>
  <si>
    <t>Outside Sales</t>
  </si>
  <si>
    <t>008200</t>
  </si>
  <si>
    <t>Works from home - Ohio</t>
  </si>
  <si>
    <t/>
  </si>
  <si>
    <t/>
  </si>
  <si>
    <t>USA</t>
  </si>
  <si>
    <t>S16</t>
  </si>
  <si>
    <t>FMG-S16</t>
  </si>
  <si>
    <t>KSX</t>
  </si>
  <si>
    <t>Shelleion</t>
  </si>
  <si>
    <t/>
  </si>
  <si>
    <t>Jones</t>
  </si>
  <si>
    <t/>
  </si>
  <si>
    <t/>
  </si>
  <si>
    <t>Williams, Rachel</t>
  </si>
  <si>
    <t>KSY202533</t>
  </si>
  <si>
    <t>sjones@onebarnes.con</t>
  </si>
  <si>
    <t>shelleionj@gmail.com</t>
  </si>
  <si>
    <t>Rep, Customer Service III</t>
  </si>
  <si>
    <t>Active</t>
  </si>
  <si>
    <t/>
  </si>
  <si>
    <t>Biweekly</t>
  </si>
  <si>
    <t>Temporary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</si>
  <si>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</si>
  <si>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</si>
  <si>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</si>
  <si>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</si>
  <si>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</si>
  <si>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</si>
  <si>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</si>
  <si>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</si>
  <si>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</si>
  <si>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</si>
  <si>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KSX</t>
  </si>
  <si>
    <t>Brandon</t>
  </si>
  <si>
    <t/>
  </si>
  <si>
    <t>Kelly</t>
  </si>
  <si>
    <t/>
  </si>
  <si>
    <t/>
  </si>
  <si>
    <t>Alexander, Thomas</t>
  </si>
  <si>
    <t>KSY210892</t>
  </si>
  <si>
    <t/>
  </si>
  <si>
    <t>bkelly8@rockets.utoledo.edu</t>
  </si>
  <si>
    <t>Intern, Operations Direct</t>
  </si>
  <si>
    <t>Terminated</t>
  </si>
  <si>
    <t>213235</t>
  </si>
  <si>
    <t>Biweekly</t>
  </si>
  <si>
    <t>Intern</t>
  </si>
  <si>
    <t>088</t>
  </si>
  <si>
    <t>088-AS Raymond</t>
  </si>
  <si>
    <t>Admin-Quality</t>
  </si>
  <si>
    <t>009500</t>
  </si>
  <si>
    <t>AS Raymond</t>
  </si>
  <si>
    <t/>
  </si>
  <si>
    <t/>
  </si>
  <si>
    <t>USA</t>
  </si>
  <si>
    <t>H05</t>
  </si>
  <si>
    <t>FMG-H05</t>
  </si>
  <si>
    <t>KSW</t>
  </si>
  <si>
    <t>Mason</t>
  </si>
  <si>
    <t>R</t>
  </si>
  <si>
    <t>Kelly</t>
  </si>
  <si>
    <t/>
  </si>
  <si>
    <t/>
  </si>
  <si>
    <t>Steen, Michael</t>
  </si>
  <si>
    <t>V0U211062</t>
  </si>
  <si>
    <t/>
  </si>
  <si>
    <t>kuhlma03335@gmail.com</t>
  </si>
  <si>
    <t xml:space="preserve">Machinist, CNC </t>
  </si>
  <si>
    <t>Active</t>
  </si>
  <si>
    <t>206680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</si>
  <si>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</si>
  <si>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</si>
  <si>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</si>
  <si>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</si>
  <si>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</si>
  <si>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</si>
  <si>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</si>
  <si>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</si>
  <si>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</si>
  <si>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</si>
  <si>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H04</t>
  </si>
  <si>
    <t>FMG-H04</t>
  </si>
  <si>
    <t>KSY</t>
  </si>
  <si>
    <t>Greg</t>
  </si>
  <si>
    <t/>
  </si>
  <si>
    <t>Kemenah</t>
  </si>
  <si>
    <t/>
  </si>
  <si>
    <t/>
  </si>
  <si>
    <t>Bair, Teresa</t>
  </si>
  <si>
    <t>KSY207709</t>
  </si>
  <si>
    <t>gkemenah@onebarnes.com</t>
  </si>
  <si>
    <t>kemenah@live.com</t>
  </si>
  <si>
    <t>Mgr, General I</t>
  </si>
  <si>
    <t>Active</t>
  </si>
  <si>
    <t>211766</t>
  </si>
  <si>
    <t>Monthly</t>
  </si>
  <si>
    <t>Full Time</t>
  </si>
  <si>
    <t>088</t>
  </si>
  <si>
    <t>088-AS Raymond</t>
  </si>
  <si>
    <t>Admin-Engineering</t>
  </si>
  <si>
    <t>009450</t>
  </si>
  <si>
    <t>AS Raymond</t>
  </si>
  <si>
    <t/>
  </si>
  <si>
    <t/>
  </si>
  <si>
    <t>USA</t>
  </si>
  <si>
    <t>S19</t>
  </si>
  <si>
    <t>FMG-S19</t>
  </si>
  <si>
    <t>KSX</t>
  </si>
  <si>
    <t>Jacob</t>
  </si>
  <si>
    <t>A</t>
  </si>
  <si>
    <t>Kemenah</t>
  </si>
  <si>
    <t/>
  </si>
  <si>
    <t/>
  </si>
  <si>
    <t>Warner, Dwight</t>
  </si>
  <si>
    <t>V0U008750</t>
  </si>
  <si>
    <t/>
  </si>
  <si>
    <t>jkemenah@outlook.com</t>
  </si>
  <si>
    <t>Intern, Finance Indirect</t>
  </si>
  <si>
    <t>Terminated</t>
  </si>
  <si>
    <t>213229</t>
  </si>
  <si>
    <t>Biweekly</t>
  </si>
  <si>
    <t>Intern</t>
  </si>
  <si>
    <t>088</t>
  </si>
  <si>
    <t>088-AS Raymond</t>
  </si>
  <si>
    <t>Finance General</t>
  </si>
  <si>
    <t>009100</t>
  </si>
  <si>
    <t>AS Raymond</t>
  </si>
  <si>
    <t/>
  </si>
  <si>
    <t/>
  </si>
  <si>
    <t>USA</t>
  </si>
  <si>
    <t>H05</t>
  </si>
  <si>
    <t>FMG-H05</t>
  </si>
  <si>
    <t>KSY</t>
  </si>
  <si>
    <t>Sai Anusha</t>
  </si>
  <si>
    <t/>
  </si>
  <si>
    <t>Kodali</t>
  </si>
  <si>
    <t/>
  </si>
  <si>
    <t/>
  </si>
  <si>
    <t>Kemenah, Greg</t>
  </si>
  <si>
    <t>KSY211766</t>
  </si>
  <si>
    <t>skodalii@onebarnes.com</t>
  </si>
  <si>
    <t>ksaianusha.2@gmail.com</t>
  </si>
  <si>
    <t>Spec, Marketing I</t>
  </si>
  <si>
    <t>Leave</t>
  </si>
  <si>
    <t>211085</t>
  </si>
  <si>
    <t>Monthly</t>
  </si>
  <si>
    <t>Full Time</t>
  </si>
  <si>
    <t>088</t>
  </si>
  <si>
    <t>088-AS Raymond</t>
  </si>
  <si>
    <t>Marketing</t>
  </si>
  <si>
    <t>008300</t>
  </si>
  <si>
    <t>AS Raymond</t>
  </si>
  <si>
    <t/>
  </si>
  <si>
    <t/>
  </si>
  <si>
    <t>USA</t>
  </si>
  <si>
    <t>S12</t>
  </si>
  <si>
    <t>FMG-S12</t>
  </si>
  <si>
    <t>KSW</t>
  </si>
  <si>
    <t>Christopher</t>
  </si>
  <si>
    <t>J</t>
  </si>
  <si>
    <t>Kostohryz</t>
  </si>
  <si>
    <t/>
  </si>
  <si>
    <t/>
  </si>
  <si>
    <t>Steen, Michael</t>
  </si>
  <si>
    <t>V0U211062</t>
  </si>
  <si>
    <t/>
  </si>
  <si>
    <t>cjkgoat@cox.net</t>
  </si>
  <si>
    <t>Machinist B</t>
  </si>
  <si>
    <t>Active</t>
  </si>
  <si>
    <t>006805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</si>
  <si>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</si>
  <si>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</si>
  <si>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</si>
  <si>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</si>
  <si>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</si>
  <si>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</si>
  <si>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</si>
  <si>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</si>
  <si>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</si>
  <si>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</si>
  <si>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H07</t>
  </si>
  <si>
    <t>FMG-H07</t>
  </si>
  <si>
    <t>KSX</t>
  </si>
  <si>
    <t>Wendy</t>
  </si>
  <si>
    <t/>
  </si>
  <si>
    <t>Kozicki</t>
  </si>
  <si>
    <t/>
  </si>
  <si>
    <t/>
  </si>
  <si>
    <t>Williams, Rachel</t>
  </si>
  <si>
    <t>KSY202533</t>
  </si>
  <si>
    <t>wkozicki@onebarnes.com</t>
  </si>
  <si>
    <t/>
  </si>
  <si>
    <t>Rep, Customer Service I</t>
  </si>
  <si>
    <t>Active</t>
  </si>
  <si>
    <t>213298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</si>
  <si>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</si>
  <si>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</si>
  <si>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</si>
  <si>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</si>
  <si>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</si>
  <si>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</si>
  <si>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</si>
  <si>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</si>
  <si>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</si>
  <si>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</si>
  <si>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S08</t>
  </si>
  <si>
    <t>FMG-S08</t>
  </si>
  <si>
    <t>KSX</t>
  </si>
  <si>
    <t>Mitchell</t>
  </si>
  <si>
    <t/>
  </si>
  <si>
    <t>Kuhlman</t>
  </si>
  <si>
    <t/>
  </si>
  <si>
    <t/>
  </si>
  <si>
    <t>LaPlante, Derek</t>
  </si>
  <si>
    <t>KSY211736</t>
  </si>
  <si>
    <t/>
  </si>
  <si>
    <t>mkuhlman61@gmail.com</t>
  </si>
  <si>
    <t>Assistant, Warehouse II</t>
  </si>
  <si>
    <t>Active</t>
  </si>
  <si>
    <t>212177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</si>
  <si>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</si>
  <si>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</si>
  <si>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</si>
  <si>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</si>
  <si>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</si>
  <si>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</si>
  <si>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</si>
  <si>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</si>
  <si>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</si>
  <si>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</si>
  <si>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</si>
  <si>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</si>
  <si>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</si>
  <si>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Derek</t>
  </si>
  <si>
    <t/>
  </si>
  <si>
    <t>LaPlante</t>
  </si>
  <si>
    <t/>
  </si>
  <si>
    <t/>
  </si>
  <si>
    <t>Bailey, Jason</t>
  </si>
  <si>
    <t>KSY211464</t>
  </si>
  <si>
    <t>dlaplante@onebarnes.com</t>
  </si>
  <si>
    <t/>
  </si>
  <si>
    <t>Supv, Warehouse I</t>
  </si>
  <si>
    <t>Active</t>
  </si>
  <si>
    <t>211736</t>
  </si>
  <si>
    <t>Monthly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</si>
  <si>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</si>
  <si>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</si>
  <si>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</si>
  <si>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</si>
  <si>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</si>
  <si>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</si>
  <si>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</si>
  <si>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</si>
  <si>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</si>
  <si>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S11</t>
  </si>
  <si>
    <t>FMG-S11</t>
  </si>
  <si>
    <t>KSX</t>
  </si>
  <si>
    <t>Moulay Abdellah</t>
  </si>
  <si>
    <t/>
  </si>
  <si>
    <t>Lamini</t>
  </si>
  <si>
    <t/>
  </si>
  <si>
    <t/>
  </si>
  <si>
    <t>Burchell, Mathew</t>
  </si>
  <si>
    <t>KSY211756</t>
  </si>
  <si>
    <t/>
  </si>
  <si>
    <t>moulayabdellahlamini@gmail.com</t>
  </si>
  <si>
    <t>Assistant, Warehouse II</t>
  </si>
  <si>
    <t>Active</t>
  </si>
  <si>
    <t>210371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</si>
  <si>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</si>
  <si>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</si>
  <si>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</si>
  <si>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</si>
  <si>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</si>
  <si>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</si>
  <si>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</si>
  <si>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</si>
  <si>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</si>
  <si>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</si>
  <si>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</si>
  <si>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</si>
  <si>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V0U</t>
  </si>
  <si>
    <t>Wayne</t>
  </si>
  <si>
    <t/>
  </si>
  <si>
    <t>Leftrict</t>
  </si>
  <si>
    <t/>
  </si>
  <si>
    <t/>
  </si>
  <si>
    <t>Bate, Natalie</t>
  </si>
  <si>
    <t>V0U213037</t>
  </si>
  <si>
    <t>wleftrict@onebarnes.com</t>
  </si>
  <si>
    <t>leftrictwayne@gmail.com</t>
  </si>
  <si>
    <t>Mgr, Quality II</t>
  </si>
  <si>
    <t>Active</t>
  </si>
  <si>
    <t>210910</t>
  </si>
  <si>
    <t>Monthly</t>
  </si>
  <si>
    <t>Full Time</t>
  </si>
  <si>
    <t>025</t>
  </si>
  <si>
    <t>025-NGP Hyson Products</t>
  </si>
  <si>
    <t>Warehouse</t>
  </si>
  <si>
    <t>000555</t>
  </si>
  <si>
    <t>Hyson Products</t>
  </si>
  <si>
    <t/>
  </si>
  <si>
    <t/>
  </si>
  <si>
    <t>USA</t>
  </si>
  <si>
    <t>S16</t>
  </si>
  <si>
    <t>FMG-S16</t>
  </si>
  <si>
    <t>KSY</t>
  </si>
  <si>
    <t>Tamara</t>
  </si>
  <si>
    <t>K</t>
  </si>
  <si>
    <t>Lipp</t>
  </si>
  <si>
    <t/>
  </si>
  <si>
    <t/>
  </si>
  <si>
    <t>Oleksa, Laura</t>
  </si>
  <si>
    <t>V0U209181</t>
  </si>
  <si>
    <t>tlipp@onebarnes.com</t>
  </si>
  <si>
    <t/>
  </si>
  <si>
    <t>Generalist, HR III</t>
  </si>
  <si>
    <t>Active</t>
  </si>
  <si>
    <t>212990</t>
  </si>
  <si>
    <t>Monthly</t>
  </si>
  <si>
    <t>Full Time</t>
  </si>
  <si>
    <t>088</t>
  </si>
  <si>
    <t>088-AS Raymond</t>
  </si>
  <si>
    <t>HR General</t>
  </si>
  <si>
    <t>009200</t>
  </si>
  <si>
    <t>AS Raymond</t>
  </si>
  <si>
    <t/>
  </si>
  <si>
    <t/>
  </si>
  <si>
    <t>USA</t>
  </si>
  <si>
    <t>S14</t>
  </si>
  <si>
    <t>FMG-S14</t>
  </si>
  <si>
    <t>V0U</t>
  </si>
  <si>
    <t>Joseph</t>
  </si>
  <si>
    <t>M</t>
  </si>
  <si>
    <t>Lorenz</t>
  </si>
  <si>
    <t/>
  </si>
  <si>
    <t/>
  </si>
  <si>
    <t/>
  </si>
  <si>
    <t/>
  </si>
  <si>
    <t>Jlorenz@onebarnes.com</t>
  </si>
  <si>
    <t>jlorenz66@yahoo.com</t>
  </si>
  <si>
    <t>Rep, Customer Service II</t>
  </si>
  <si>
    <t>Terminated</t>
  </si>
  <si>
    <t>212598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</si>
  <si>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</si>
  <si>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</si>
  <si>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</si>
  <si>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</si>
  <si>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</si>
  <si>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</si>
  <si>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</si>
  <si>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</si>
  <si>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</si>
  <si>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</si>
  <si>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</si>
  <si>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</si>
  <si>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</si>
  <si>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Joseph</t>
  </si>
  <si>
    <t>M</t>
  </si>
  <si>
    <t>Lorenz</t>
  </si>
  <si>
    <t/>
  </si>
  <si>
    <t/>
  </si>
  <si>
    <t/>
  </si>
  <si>
    <t/>
  </si>
  <si>
    <t>Jlorenz@onebarnes.com</t>
  </si>
  <si>
    <t>jlorenz66@yahoo.com</t>
  </si>
  <si>
    <t>Rep, Customer Service II</t>
  </si>
  <si>
    <t>Terminated</t>
  </si>
  <si>
    <t>212598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</si>
  <si>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</si>
  <si>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</si>
  <si>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</si>
  <si>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</si>
  <si>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</si>
  <si>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</si>
  <si>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</si>
  <si>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</si>
  <si>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</si>
  <si>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</si>
  <si>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</si>
  <si>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</si>
  <si>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KSW</t>
  </si>
  <si>
    <t>Joseph</t>
  </si>
  <si>
    <t>M</t>
  </si>
  <si>
    <t>Lorenz</t>
  </si>
  <si>
    <t/>
  </si>
  <si>
    <t/>
  </si>
  <si>
    <t>Wallace, Derron</t>
  </si>
  <si>
    <t>V0U211998</t>
  </si>
  <si>
    <t>Jlorenz@onebarnes.com</t>
  </si>
  <si>
    <t>jlorenz66@yahoo.com</t>
  </si>
  <si>
    <t>Rep, Customer Service II</t>
  </si>
  <si>
    <t>Active</t>
  </si>
  <si>
    <t>212598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</si>
  <si>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</si>
  <si>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</si>
  <si>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</si>
  <si>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</si>
  <si>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</si>
  <si>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</si>
  <si>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</si>
  <si>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</si>
  <si>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</si>
  <si>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</si>
  <si>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</si>
  <si>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</si>
  <si>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KSX</t>
  </si>
  <si>
    <t>Abdellatef</t>
  </si>
  <si>
    <t>M</t>
  </si>
  <si>
    <t>Mahmoud</t>
  </si>
  <si>
    <t/>
  </si>
  <si>
    <t/>
  </si>
  <si>
    <t>Burchell, Mathew</t>
  </si>
  <si>
    <t>KSY211756</t>
  </si>
  <si>
    <t/>
  </si>
  <si>
    <t>oomer77@yahoo.com</t>
  </si>
  <si>
    <t>Assistant, Warehouse II</t>
  </si>
  <si>
    <t>Active</t>
  </si>
  <si>
    <t>210316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</si>
  <si>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</si>
  <si>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</si>
  <si>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</si>
  <si>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</si>
  <si>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</si>
  <si>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</si>
  <si>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</si>
  <si>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</si>
  <si>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</si>
  <si>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</si>
  <si>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</si>
  <si>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</si>
  <si>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KSY</t>
  </si>
  <si>
    <t>Jason</t>
  </si>
  <si>
    <t/>
  </si>
  <si>
    <t>Majewski</t>
  </si>
  <si>
    <t/>
  </si>
  <si>
    <t/>
  </si>
  <si>
    <t>Creager, Andrew</t>
  </si>
  <si>
    <t>KSY212699</t>
  </si>
  <si>
    <t>JMajewski@onebarnes.com</t>
  </si>
  <si>
    <t>jmajewski06@yahoo.com</t>
  </si>
  <si>
    <t>Mgr, Materials</t>
  </si>
  <si>
    <t>Active</t>
  </si>
  <si>
    <t>006809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</si>
  <si>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</si>
  <si>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</si>
  <si>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</si>
  <si>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</si>
  <si>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</si>
  <si>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</si>
  <si>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</si>
  <si>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</si>
  <si>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</si>
  <si>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</si>
  <si>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S17</t>
  </si>
  <si>
    <t>FMG-S17</t>
  </si>
  <si>
    <t>V0U</t>
  </si>
  <si>
    <t>Jason</t>
  </si>
  <si>
    <t/>
  </si>
  <si>
    <t>Majewski</t>
  </si>
  <si>
    <t/>
  </si>
  <si>
    <t/>
  </si>
  <si>
    <t>Bate, Natalie</t>
  </si>
  <si>
    <t>V0U213037</t>
  </si>
  <si>
    <t>JMajewski@onebarnes.com</t>
  </si>
  <si>
    <t>jmajewski06@yahoo.com</t>
  </si>
  <si>
    <t>Mgr, Purchasing III</t>
  </si>
  <si>
    <t>Terminated</t>
  </si>
  <si>
    <t>006809</t>
  </si>
  <si>
    <t>Monthly</t>
  </si>
  <si>
    <t>Full Time</t>
  </si>
  <si>
    <t>025</t>
  </si>
  <si>
    <t>025-NGP Hyson Products</t>
  </si>
  <si>
    <t>Warehouse</t>
  </si>
  <si>
    <t>000555</t>
  </si>
  <si>
    <t>Hyson Products</t>
  </si>
  <si>
    <t/>
  </si>
  <si>
    <t/>
  </si>
  <si>
    <t>USA</t>
  </si>
  <si>
    <t>S17</t>
  </si>
  <si>
    <t>FMG-S17</t>
  </si>
  <si>
    <t>V0U</t>
  </si>
  <si>
    <t>Chris</t>
  </si>
  <si>
    <t>F</t>
  </si>
  <si>
    <t>Martin</t>
  </si>
  <si>
    <t/>
  </si>
  <si>
    <t/>
  </si>
  <si>
    <t>Leftrict, Wayne</t>
  </si>
  <si>
    <t>V0U210910</t>
  </si>
  <si>
    <t>cmartin@onebarnes.com</t>
  </si>
  <si>
    <t>3martmojo@gmail.com</t>
  </si>
  <si>
    <t>Coord, Quality &amp; Environ</t>
  </si>
  <si>
    <t>Active</t>
  </si>
  <si>
    <t>202609</t>
  </si>
  <si>
    <t>Monthly</t>
  </si>
  <si>
    <t>Full Time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</si>
  <si>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</si>
  <si>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</si>
  <si>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</si>
  <si>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</si>
  <si>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</si>
  <si>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</si>
  <si>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</si>
  <si>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</si>
  <si>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S15</t>
  </si>
  <si>
    <t>FMG-S15</t>
  </si>
  <si>
    <t>KSX</t>
  </si>
  <si>
    <t>Martin</t>
  </si>
  <si>
    <t/>
  </si>
  <si>
    <t>Martinez</t>
  </si>
  <si>
    <t/>
  </si>
  <si>
    <t/>
  </si>
  <si>
    <t>Burchell, Mathew</t>
  </si>
  <si>
    <t>KSY211756</t>
  </si>
  <si>
    <t>martinezmartin161@gmail.com</t>
  </si>
  <si>
    <t>porkchops2581@gmail.com</t>
  </si>
  <si>
    <t>Assistant, Warehouse II</t>
  </si>
  <si>
    <t>Active</t>
  </si>
  <si>
    <t>902563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</si>
  <si>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</si>
  <si>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</si>
  <si>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</si>
  <si>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</si>
  <si>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</si>
  <si>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</si>
  <si>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</si>
  <si>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</si>
  <si>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</si>
  <si>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</si>
  <si>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</si>
  <si>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</si>
  <si>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KSY</t>
  </si>
  <si>
    <t>Bradley</t>
  </si>
  <si>
    <t/>
  </si>
  <si>
    <t>Masters</t>
  </si>
  <si>
    <t>Brad</t>
  </si>
  <si>
    <t>Masters</t>
  </si>
  <si>
    <t>Rodriguez, Siobhan</t>
  </si>
  <si>
    <t>V0U207588</t>
  </si>
  <si>
    <t>bmasters@onebarnes.com</t>
  </si>
  <si>
    <t>brad.a.masters@gmail.com</t>
  </si>
  <si>
    <t xml:space="preserve">Mgr, Sales </t>
  </si>
  <si>
    <t>Active</t>
  </si>
  <si>
    <t>902437</t>
  </si>
  <si>
    <t>Monthly</t>
  </si>
  <si>
    <t>Full Time</t>
  </si>
  <si>
    <t>088</t>
  </si>
  <si>
    <t>088-AS Raymond</t>
  </si>
  <si>
    <t>Outside Sales</t>
  </si>
  <si>
    <t>008200</t>
  </si>
  <si>
    <t>Works from home - Ohio</t>
  </si>
  <si>
    <t/>
  </si>
  <si>
    <t/>
  </si>
  <si>
    <t>USA</t>
  </si>
  <si>
    <t>S16</t>
  </si>
  <si>
    <t>FMG-S16</t>
  </si>
  <si>
    <t>KSX</t>
  </si>
  <si>
    <t>Craig</t>
  </si>
  <si>
    <t/>
  </si>
  <si>
    <t>Mata</t>
  </si>
  <si>
    <t/>
  </si>
  <si>
    <t/>
  </si>
  <si>
    <t>LaPlante, Derek</t>
  </si>
  <si>
    <t>KSY211736</t>
  </si>
  <si>
    <t>cmata@onebarnes.com</t>
  </si>
  <si>
    <t>CRAIGMATA51@YAHOO.COM</t>
  </si>
  <si>
    <t>Assistant, Warehouse II</t>
  </si>
  <si>
    <t>Active</t>
  </si>
  <si>
    <t>201343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</si>
  <si>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</si>
  <si>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</si>
  <si>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</si>
  <si>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</si>
  <si>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</si>
  <si>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</si>
  <si>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</si>
  <si>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</si>
  <si>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</si>
  <si>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</si>
  <si>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</si>
  <si>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</si>
  <si>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KSX</t>
  </si>
  <si>
    <t>Scott</t>
  </si>
  <si>
    <t>T</t>
  </si>
  <si>
    <t>Mazzei</t>
  </si>
  <si>
    <t/>
  </si>
  <si>
    <t/>
  </si>
  <si>
    <t>Burchell, Mathew</t>
  </si>
  <si>
    <t>KSY211756</t>
  </si>
  <si>
    <t>SMazzei@onebarnes.com</t>
  </si>
  <si>
    <t>smazzei426@gmail.com</t>
  </si>
  <si>
    <t>Assistant, Warehouse</t>
  </si>
  <si>
    <t>Active</t>
  </si>
  <si>
    <t>662995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</si>
  <si>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</si>
  <si>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</si>
  <si>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</si>
  <si>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</si>
  <si>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</si>
  <si>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</si>
  <si>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</si>
  <si>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</si>
  <si>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</si>
  <si>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</si>
  <si>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S08</t>
  </si>
  <si>
    <t>FMG-S08</t>
  </si>
  <si>
    <t>KSW</t>
  </si>
  <si>
    <t>James</t>
  </si>
  <si>
    <t/>
  </si>
  <si>
    <t>McConnell</t>
  </si>
  <si>
    <t/>
  </si>
  <si>
    <t/>
  </si>
  <si>
    <t>Steen, Michael</t>
  </si>
  <si>
    <t>V0U211062</t>
  </si>
  <si>
    <t/>
  </si>
  <si>
    <t>nonyiot2.0@yahoo.com</t>
  </si>
  <si>
    <t>Machinist B</t>
  </si>
  <si>
    <t>Active</t>
  </si>
  <si>
    <t>006811</t>
  </si>
  <si>
    <t>Biweekly</t>
  </si>
  <si>
    <t>Full Time</t>
  </si>
  <si>
    <t>025</t>
  </si>
  <si>
    <t>025-NGP Hyson Products</t>
  </si>
  <si>
    <t>Edgework- Hyson</t>
  </si>
  <si>
    <t>000350</t>
  </si>
  <si>
    <t>Hyson Products</t>
  </si>
  <si>
    <t/>
  </si>
  <si>
    <t/>
  </si>
  <si>
    <t>USA</t>
  </si>
  <si>
    <t>H07</t>
  </si>
  <si>
    <t>FMG-H07</t>
  </si>
  <si>
    <t>KSY</t>
  </si>
  <si>
    <t>Joel</t>
  </si>
  <si>
    <t>E</t>
  </si>
  <si>
    <t>McCoy</t>
  </si>
  <si>
    <t/>
  </si>
  <si>
    <t/>
  </si>
  <si>
    <t>Kemenah, Greg</t>
  </si>
  <si>
    <t>KSY211766</t>
  </si>
  <si>
    <t>jmccoy@onebarnes.com</t>
  </si>
  <si>
    <t>joelmccoy@hotmail.com</t>
  </si>
  <si>
    <t>Engineer, Product III</t>
  </si>
  <si>
    <t>Active</t>
  </si>
  <si>
    <t>901213</t>
  </si>
  <si>
    <t>Monthly</t>
  </si>
  <si>
    <t>Full Time</t>
  </si>
  <si>
    <t>088</t>
  </si>
  <si>
    <t>088-AS Raymond</t>
  </si>
  <si>
    <t>Admin-Engineering</t>
  </si>
  <si>
    <t>009450</t>
  </si>
  <si>
    <t>AS Raymond</t>
  </si>
  <si>
    <t/>
  </si>
  <si>
    <t/>
  </si>
  <si>
    <t>USA</t>
  </si>
  <si>
    <t>S15</t>
  </si>
  <si>
    <t>FMG-S15</t>
  </si>
  <si>
    <t>KSW</t>
  </si>
  <si>
    <t>Charles</t>
  </si>
  <si>
    <t/>
  </si>
  <si>
    <t>McDavid</t>
  </si>
  <si>
    <t/>
  </si>
  <si>
    <t/>
  </si>
  <si>
    <t/>
  </si>
  <si>
    <t>V0U211062</t>
  </si>
  <si>
    <t/>
  </si>
  <si>
    <t>chuckmcdavid1999@icloud.com</t>
  </si>
  <si>
    <t>Lathe Operator</t>
  </si>
  <si>
    <t>Active</t>
  </si>
  <si>
    <t>213332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</si>
  <si>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</si>
  <si>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</si>
  <si>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</si>
  <si>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</si>
  <si>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</si>
  <si>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</si>
  <si>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</si>
  <si>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</si>
  <si>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</si>
  <si>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</si>
  <si>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H07</t>
  </si>
  <si>
    <t>FMG-H07</t>
  </si>
  <si>
    <t>V0U</t>
  </si>
  <si>
    <t>Amy</t>
  </si>
  <si>
    <t>C</t>
  </si>
  <si>
    <t>McGuire</t>
  </si>
  <si>
    <t/>
  </si>
  <si>
    <t/>
  </si>
  <si>
    <t>Warner, Dwight</t>
  </si>
  <si>
    <t>V0U008750</t>
  </si>
  <si>
    <t>AMcGuire@onebarnes.com</t>
  </si>
  <si>
    <t>RedAmyMcG@gmail.com</t>
  </si>
  <si>
    <t>Accountant III</t>
  </si>
  <si>
    <t>Active</t>
  </si>
  <si>
    <t>007861</t>
  </si>
  <si>
    <t>Monthly</t>
  </si>
  <si>
    <t>Full Time</t>
  </si>
  <si>
    <t>025</t>
  </si>
  <si>
    <t>025-NGP Hyson Products</t>
  </si>
  <si>
    <t>Finance</t>
  </si>
  <si>
    <t>000910</t>
  </si>
  <si>
    <t>Hyson Products</t>
  </si>
  <si>
    <t/>
  </si>
  <si>
    <t/>
  </si>
  <si>
    <t>USA</t>
  </si>
  <si>
    <t>S13</t>
  </si>
  <si>
    <t>FMG-S13</t>
  </si>
  <si>
    <t>KSW</t>
  </si>
  <si>
    <t>Jermey</t>
  </si>
  <si>
    <t/>
  </si>
  <si>
    <t>McKinney</t>
  </si>
  <si>
    <t/>
  </si>
  <si>
    <t/>
  </si>
  <si>
    <t/>
  </si>
  <si>
    <t>V0U211998</t>
  </si>
  <si>
    <t/>
  </si>
  <si>
    <t>jeremyy92600@gmail.com</t>
  </si>
  <si>
    <t>Assembler C</t>
  </si>
  <si>
    <t>Terminated</t>
  </si>
  <si>
    <t/>
  </si>
  <si>
    <t>Biweekly</t>
  </si>
  <si>
    <t>Temporary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</si>
  <si>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</si>
  <si>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</si>
  <si>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</si>
  <si>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</si>
  <si>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</si>
  <si>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</si>
  <si>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</si>
  <si>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</si>
  <si>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</si>
  <si>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</si>
  <si>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KSW</t>
  </si>
  <si>
    <t>Mitchell</t>
  </si>
  <si>
    <t>C</t>
  </si>
  <si>
    <t>McLaughlin</t>
  </si>
  <si>
    <t/>
  </si>
  <si>
    <t/>
  </si>
  <si>
    <t/>
  </si>
  <si>
    <t>V0U211062</t>
  </si>
  <si>
    <t/>
  </si>
  <si>
    <t>mcmclaughlin2025@gmail.com</t>
  </si>
  <si>
    <t xml:space="preserve">Machinist, CNC </t>
  </si>
  <si>
    <t>Terminated</t>
  </si>
  <si>
    <t>211905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</si>
  <si>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</si>
  <si>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</si>
  <si>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</si>
  <si>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</si>
  <si>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</si>
  <si>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</si>
  <si>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</si>
  <si>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</si>
  <si>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</si>
  <si>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</si>
  <si>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H04</t>
  </si>
  <si>
    <t>FMG-H04</t>
  </si>
  <si>
    <t>KSX</t>
  </si>
  <si>
    <t>Shawnta</t>
  </si>
  <si>
    <t/>
  </si>
  <si>
    <t>Mcglory</t>
  </si>
  <si>
    <t/>
  </si>
  <si>
    <t/>
  </si>
  <si>
    <t>Burchell, Mathew</t>
  </si>
  <si>
    <t>KSY211756</t>
  </si>
  <si>
    <t>smcglory@onebarnes.com</t>
  </si>
  <si>
    <t>shawntamcglory58@gmail.com</t>
  </si>
  <si>
    <t>Assistant, Warehouse II</t>
  </si>
  <si>
    <t>Active</t>
  </si>
  <si>
    <t>211456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</si>
  <si>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</si>
  <si>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</si>
  <si>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</si>
  <si>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</si>
  <si>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</si>
  <si>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</si>
  <si>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</si>
  <si>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</si>
  <si>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</si>
  <si>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</si>
  <si>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</si>
  <si>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</si>
  <si>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</si>
  <si>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Kyle</t>
  </si>
  <si>
    <t>J</t>
  </si>
  <si>
    <t>Mickens</t>
  </si>
  <si>
    <t/>
  </si>
  <si>
    <t/>
  </si>
  <si>
    <t/>
  </si>
  <si>
    <t/>
  </si>
  <si>
    <t>kmickens@onebarnes.com</t>
  </si>
  <si>
    <t/>
  </si>
  <si>
    <t>Assistant, Warehouse II</t>
  </si>
  <si>
    <t>Terminated</t>
  </si>
  <si>
    <t>210134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</si>
  <si>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</si>
  <si>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</si>
  <si>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</si>
  <si>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</si>
  <si>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</si>
  <si>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</si>
  <si>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</si>
  <si>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</si>
  <si>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</si>
  <si>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</si>
  <si>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</si>
  <si>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</si>
  <si>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V0U</t>
  </si>
  <si>
    <t>Anthony</t>
  </si>
  <si>
    <t>J</t>
  </si>
  <si>
    <t>Moavero</t>
  </si>
  <si>
    <t/>
  </si>
  <si>
    <t/>
  </si>
  <si>
    <t>Brower, James</t>
  </si>
  <si>
    <t/>
  </si>
  <si>
    <t>amoavero1@onebarnes.com</t>
  </si>
  <si>
    <t/>
  </si>
  <si>
    <t>Intern, Engineering Indir</t>
  </si>
  <si>
    <t>Terminated</t>
  </si>
  <si>
    <t>212052</t>
  </si>
  <si>
    <t>Monthly</t>
  </si>
  <si>
    <t>Intern</t>
  </si>
  <si>
    <t>025</t>
  </si>
  <si>
    <t>025-NGP Hyson Products</t>
  </si>
  <si>
    <t>Sustaining Engineering</t>
  </si>
  <si>
    <t>000900</t>
  </si>
  <si>
    <t>Hyson Products</t>
  </si>
  <si>
    <t/>
  </si>
  <si>
    <t/>
  </si>
  <si>
    <t>USA</t>
  </si>
  <si>
    <t>H05</t>
  </si>
  <si>
    <t>FMG-H05</t>
  </si>
  <si>
    <t>KSX</t>
  </si>
  <si>
    <t>Anthony</t>
  </si>
  <si>
    <t>J</t>
  </si>
  <si>
    <t>Moavero</t>
  </si>
  <si>
    <t/>
  </si>
  <si>
    <t/>
  </si>
  <si>
    <t/>
  </si>
  <si>
    <t/>
  </si>
  <si>
    <t>amoavero1@onebarnes.com</t>
  </si>
  <si>
    <t/>
  </si>
  <si>
    <t/>
  </si>
  <si>
    <t>Terminated</t>
  </si>
  <si>
    <t>212052</t>
  </si>
  <si>
    <t>Biweekly</t>
  </si>
  <si>
    <t>Full Time</t>
  </si>
  <si>
    <t/>
  </si>
  <si>
    <t/>
  </si>
  <si>
    <t/>
  </si>
  <si>
    <t xml:space="preserve"> </t>
  </si>
  <si>
    <t>AS Raymond</t>
  </si>
  <si>
    <t/>
  </si>
  <si>
    <t/>
  </si>
  <si>
    <t>USA</t>
  </si>
  <si>
    <t/>
  </si>
  <si>
    <t/>
  </si>
  <si>
    <t>KSW</t>
  </si>
  <si>
    <t>Anthony</t>
  </si>
  <si>
    <t>J</t>
  </si>
  <si>
    <t>Moavero</t>
  </si>
  <si>
    <t/>
  </si>
  <si>
    <t/>
  </si>
  <si>
    <t>Brower, James</t>
  </si>
  <si>
    <t>V0U006769</t>
  </si>
  <si>
    <t>amoavero1@onebarnes.com</t>
  </si>
  <si>
    <t/>
  </si>
  <si>
    <t>Intern, Engineering Indir</t>
  </si>
  <si>
    <t>Terminated</t>
  </si>
  <si>
    <t>212052</t>
  </si>
  <si>
    <t>Biweekly</t>
  </si>
  <si>
    <t>Intern</t>
  </si>
  <si>
    <t>025</t>
  </si>
  <si>
    <t>025-NGP Hyson Products</t>
  </si>
  <si>
    <t>Sustaining Engineering</t>
  </si>
  <si>
    <t>000900</t>
  </si>
  <si>
    <t>Hyson Products</t>
  </si>
  <si>
    <t/>
  </si>
  <si>
    <t/>
  </si>
  <si>
    <t>USA</t>
  </si>
  <si>
    <t>H05</t>
  </si>
  <si>
    <t>FMG-H05</t>
  </si>
  <si>
    <t>V0U</t>
  </si>
  <si>
    <t>Anthony</t>
  </si>
  <si>
    <t>J</t>
  </si>
  <si>
    <t>Moavero</t>
  </si>
  <si>
    <t/>
  </si>
  <si>
    <t/>
  </si>
  <si>
    <t>Brower, James</t>
  </si>
  <si>
    <t/>
  </si>
  <si>
    <t>amoavero1@onebarnes.com</t>
  </si>
  <si>
    <t/>
  </si>
  <si>
    <t>Intern, Engineering Indir</t>
  </si>
  <si>
    <t>Terminated</t>
  </si>
  <si>
    <t>212052</t>
  </si>
  <si>
    <t>Biweekly</t>
  </si>
  <si>
    <t>Intern</t>
  </si>
  <si>
    <t>025</t>
  </si>
  <si>
    <t>025-NGP Hyson Products</t>
  </si>
  <si>
    <t>Sustaining Engineering</t>
  </si>
  <si>
    <t>000900</t>
  </si>
  <si>
    <t>Hyson Products</t>
  </si>
  <si>
    <t/>
  </si>
  <si>
    <t/>
  </si>
  <si>
    <t>USA</t>
  </si>
  <si>
    <t>H05</t>
  </si>
  <si>
    <t>FMG-H05</t>
  </si>
  <si>
    <t>KSX</t>
  </si>
  <si>
    <t>Michael</t>
  </si>
  <si>
    <t/>
  </si>
  <si>
    <t>Molnar</t>
  </si>
  <si>
    <t/>
  </si>
  <si>
    <t/>
  </si>
  <si>
    <t>Rafferty, Jonathan</t>
  </si>
  <si>
    <t>KSY211131</t>
  </si>
  <si>
    <t>Mmolnar@onebarnes.com</t>
  </si>
  <si>
    <t>michaelmolnar419@gmail.com</t>
  </si>
  <si>
    <t>Rep, Customer Service III</t>
  </si>
  <si>
    <t>Active</t>
  </si>
  <si>
    <t>209746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</si>
  <si>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</si>
  <si>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</si>
  <si>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</si>
  <si>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</si>
  <si>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</si>
  <si>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</si>
  <si>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</si>
  <si>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</si>
  <si>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</si>
  <si>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</si>
  <si>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</si>
  <si>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</si>
  <si>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KSX</t>
  </si>
  <si>
    <t>Michael</t>
  </si>
  <si>
    <t/>
  </si>
  <si>
    <t>Molnar</t>
  </si>
  <si>
    <t/>
  </si>
  <si>
    <t/>
  </si>
  <si>
    <t>Rafferty, Jonathan</t>
  </si>
  <si>
    <t>KSY211131</t>
  </si>
  <si>
    <t>Mmolnar@onebarnes.com</t>
  </si>
  <si>
    <t>michaelmolnar419@gmail.com</t>
  </si>
  <si>
    <t>Rep, Customer Service III</t>
  </si>
  <si>
    <t>Active</t>
  </si>
  <si>
    <t>209746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</si>
  <si>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</si>
  <si>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</si>
  <si>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</si>
  <si>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</si>
  <si>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</si>
  <si>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</si>
  <si>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</si>
  <si>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</si>
  <si>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</si>
  <si>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</si>
  <si>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</si>
  <si>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</si>
  <si>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KSY</t>
  </si>
  <si>
    <t>Michael</t>
  </si>
  <si>
    <t/>
  </si>
  <si>
    <t>Molnar</t>
  </si>
  <si>
    <t/>
  </si>
  <si>
    <t/>
  </si>
  <si>
    <t/>
  </si>
  <si>
    <t/>
  </si>
  <si>
    <t>Mmolnar@onebarnes.com</t>
  </si>
  <si>
    <t>michaelmolnar419@gmail.com</t>
  </si>
  <si>
    <t>Rep, Customer Service III</t>
  </si>
  <si>
    <t>Terminated</t>
  </si>
  <si>
    <t>209746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</si>
  <si>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</si>
  <si>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</si>
  <si>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</si>
  <si>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</si>
  <si>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</si>
  <si>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</si>
  <si>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</si>
  <si>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</si>
  <si>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</si>
  <si>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</si>
  <si>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</si>
  <si>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</si>
  <si>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KSX</t>
  </si>
  <si>
    <t>Candi</t>
  </si>
  <si>
    <t>M</t>
  </si>
  <si>
    <t>Morales</t>
  </si>
  <si>
    <t/>
  </si>
  <si>
    <t/>
  </si>
  <si>
    <t>Alexander, Thomas</t>
  </si>
  <si>
    <t>KSY210892</t>
  </si>
  <si>
    <t>cburris@onebarnes.com</t>
  </si>
  <si>
    <t>cmorales6132015@gmail.com</t>
  </si>
  <si>
    <t>Admin, Document Control</t>
  </si>
  <si>
    <t>Active</t>
  </si>
  <si>
    <t>007630</t>
  </si>
  <si>
    <t>Biweekly</t>
  </si>
  <si>
    <t>Full Time</t>
  </si>
  <si>
    <t>088</t>
  </si>
  <si>
    <t>088-AS Raymond</t>
  </si>
  <si>
    <t>Admin-Quality</t>
  </si>
  <si>
    <t>009500</t>
  </si>
  <si>
    <t>AS Raymond</t>
  </si>
  <si>
    <t/>
  </si>
  <si>
    <t/>
  </si>
  <si>
    <t>USA</t>
  </si>
  <si>
    <t>S10</t>
  </si>
  <si>
    <t>FMG-S10</t>
  </si>
  <si>
    <t>KSX</t>
  </si>
  <si>
    <t>Peter</t>
  </si>
  <si>
    <t/>
  </si>
  <si>
    <t>Morgan</t>
  </si>
  <si>
    <t/>
  </si>
  <si>
    <t/>
  </si>
  <si>
    <t>Rafferty, Jonathan</t>
  </si>
  <si>
    <t>KSY211131</t>
  </si>
  <si>
    <t>pmorgan@onebarnes.com</t>
  </si>
  <si>
    <t>pete.petemorgan@gmail.com</t>
  </si>
  <si>
    <t>Rep, Customer Service III</t>
  </si>
  <si>
    <t>Active</t>
  </si>
  <si>
    <t>213225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</si>
  <si>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</si>
  <si>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</si>
  <si>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</si>
  <si>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</si>
  <si>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</si>
  <si>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</si>
  <si>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</si>
  <si>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</si>
  <si>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</si>
  <si>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</si>
  <si>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</si>
  <si>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</si>
  <si>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KSX</t>
  </si>
  <si>
    <t>Angela</t>
  </si>
  <si>
    <t/>
  </si>
  <si>
    <t>Myers</t>
  </si>
  <si>
    <t/>
  </si>
  <si>
    <t/>
  </si>
  <si>
    <t>Burchell, Mathew</t>
  </si>
  <si>
    <t>KSY211756</t>
  </si>
  <si>
    <t/>
  </si>
  <si>
    <t>amm823@bex.net</t>
  </si>
  <si>
    <t>Assistant, Warehouse II</t>
  </si>
  <si>
    <t>Active</t>
  </si>
  <si>
    <t>212349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</si>
  <si>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</si>
  <si>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</si>
  <si>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</si>
  <si>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</si>
  <si>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</si>
  <si>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</si>
  <si>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</si>
  <si>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</si>
  <si>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</si>
  <si>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</si>
  <si>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</si>
  <si>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</si>
  <si>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KSY</t>
  </si>
  <si>
    <t>Rachel</t>
  </si>
  <si>
    <t>E</t>
  </si>
  <si>
    <t>Neri</t>
  </si>
  <si>
    <t/>
  </si>
  <si>
    <t/>
  </si>
  <si>
    <t>Kemenah, Greg</t>
  </si>
  <si>
    <t>KSY211766</t>
  </si>
  <si>
    <t>rneri@onebarnes.com</t>
  </si>
  <si>
    <t>neri.rachel14@gmail.com</t>
  </si>
  <si>
    <t>Supv, CI</t>
  </si>
  <si>
    <t>Active</t>
  </si>
  <si>
    <t>212129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</si>
  <si>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</si>
  <si>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</si>
  <si>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</si>
  <si>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</si>
  <si>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</si>
  <si>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</si>
  <si>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</si>
  <si>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</si>
  <si>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</si>
  <si>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</si>
  <si>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S15</t>
  </si>
  <si>
    <t>FMG-S15</t>
  </si>
  <si>
    <t>KSX</t>
  </si>
  <si>
    <t>Shannon</t>
  </si>
  <si>
    <t>K</t>
  </si>
  <si>
    <t>O'Day</t>
  </si>
  <si>
    <t/>
  </si>
  <si>
    <t/>
  </si>
  <si>
    <t>Burchell, Mathew</t>
  </si>
  <si>
    <t>KSY211756</t>
  </si>
  <si>
    <t>soday@onebarnes.com</t>
  </si>
  <si>
    <t>shannonod68@gmail.com</t>
  </si>
  <si>
    <t>Assistant, Warehouse II</t>
  </si>
  <si>
    <t>Active</t>
  </si>
  <si>
    <t>663830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</si>
  <si>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</si>
  <si>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</si>
  <si>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</si>
  <si>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</si>
  <si>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</si>
  <si>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</si>
  <si>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</si>
  <si>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</si>
  <si>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</si>
  <si>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</si>
  <si>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</si>
  <si>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</si>
  <si>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V0U</t>
  </si>
  <si>
    <t>Kevin</t>
  </si>
  <si>
    <t>D</t>
  </si>
  <si>
    <t>OConnor</t>
  </si>
  <si>
    <t/>
  </si>
  <si>
    <t/>
  </si>
  <si>
    <t>Wilkins, William</t>
  </si>
  <si>
    <t>V0U901934</t>
  </si>
  <si>
    <t>koconnor@onebarnes.com</t>
  </si>
  <si>
    <t>koconnor2020@gmail.com</t>
  </si>
  <si>
    <t>Mgr, Account Sls/Serv II</t>
  </si>
  <si>
    <t>Active</t>
  </si>
  <si>
    <t>212678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</si>
  <si>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</si>
  <si>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</si>
  <si>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</si>
  <si>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</si>
  <si>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</si>
  <si>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</si>
  <si>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</si>
  <si>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</si>
  <si>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</si>
  <si>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</si>
  <si>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S16</t>
  </si>
  <si>
    <t>FMG-S16</t>
  </si>
  <si>
    <t>V0U</t>
  </si>
  <si>
    <t>Laura</t>
  </si>
  <si>
    <t>Z</t>
  </si>
  <si>
    <t>Oleksa</t>
  </si>
  <si>
    <t/>
  </si>
  <si>
    <t/>
  </si>
  <si>
    <t>Adewalure, Babatunde</t>
  </si>
  <si>
    <t/>
  </si>
  <si>
    <t>LOleksa@onebarnes.com</t>
  </si>
  <si>
    <t>lzoleksa13@gmail.com</t>
  </si>
  <si>
    <t>Mgr, HR III</t>
  </si>
  <si>
    <t>Active</t>
  </si>
  <si>
    <t>209181</t>
  </si>
  <si>
    <t>Monthly</t>
  </si>
  <si>
    <t>Full Time</t>
  </si>
  <si>
    <t>025</t>
  </si>
  <si>
    <t>025-NGP Hyson Products</t>
  </si>
  <si>
    <t>Human Resources 9210 9210</t>
  </si>
  <si>
    <t>000920</t>
  </si>
  <si>
    <t>Hyson Products</t>
  </si>
  <si>
    <t/>
  </si>
  <si>
    <t/>
  </si>
  <si>
    <t>USA</t>
  </si>
  <si>
    <t>S17</t>
  </si>
  <si>
    <t>FMG-S17</t>
  </si>
  <si>
    <t>KSY</t>
  </si>
  <si>
    <t>Kyle</t>
  </si>
  <si>
    <t/>
  </si>
  <si>
    <t>Outhouse</t>
  </si>
  <si>
    <t/>
  </si>
  <si>
    <t/>
  </si>
  <si>
    <t/>
  </si>
  <si>
    <t>KSY212699</t>
  </si>
  <si>
    <t>KOuthouse@onebarnes.com</t>
  </si>
  <si>
    <t/>
  </si>
  <si>
    <t>Mgr, Purchasing I</t>
  </si>
  <si>
    <t>Terminated</t>
  </si>
  <si>
    <t>209634</t>
  </si>
  <si>
    <t>Monthly</t>
  </si>
  <si>
    <t>Full Time</t>
  </si>
  <si>
    <t>088</t>
  </si>
  <si>
    <t>088-AS Raymond</t>
  </si>
  <si>
    <t>Admin-Material Management</t>
  </si>
  <si>
    <t>009400</t>
  </si>
  <si>
    <t>Work from home - Iowa</t>
  </si>
  <si>
    <t/>
  </si>
  <si>
    <t/>
  </si>
  <si>
    <t>USA</t>
  </si>
  <si>
    <t>S15</t>
  </si>
  <si>
    <t>FMG-S15</t>
  </si>
  <si>
    <t>KSX</t>
  </si>
  <si>
    <t>David</t>
  </si>
  <si>
    <t>J</t>
  </si>
  <si>
    <t>Page</t>
  </si>
  <si>
    <t/>
  </si>
  <si>
    <t/>
  </si>
  <si>
    <t>Bate, Natalie</t>
  </si>
  <si>
    <t>V0U213037</t>
  </si>
  <si>
    <t>dpage@onebarnes.com</t>
  </si>
  <si>
    <t>davidjpage@sbcglobal.net</t>
  </si>
  <si>
    <t>Mgr, Project II</t>
  </si>
  <si>
    <t>Active</t>
  </si>
  <si>
    <t>212725</t>
  </si>
  <si>
    <t>Biweekly</t>
  </si>
  <si>
    <t>Part Time</t>
  </si>
  <si>
    <t>088</t>
  </si>
  <si>
    <t>088-AS Raymond</t>
  </si>
  <si>
    <t>Admin-Engineering</t>
  </si>
  <si>
    <t>009450</t>
  </si>
  <si>
    <t>AS Raymond</t>
  </si>
  <si>
    <t/>
  </si>
  <si>
    <t/>
  </si>
  <si>
    <t>USA</t>
  </si>
  <si>
    <t>S16</t>
  </si>
  <si>
    <t>FMG-S16</t>
  </si>
  <si>
    <t>KSY</t>
  </si>
  <si>
    <t>Alex</t>
  </si>
  <si>
    <t/>
  </si>
  <si>
    <t>Palicki</t>
  </si>
  <si>
    <t/>
  </si>
  <si>
    <t/>
  </si>
  <si>
    <t>Creager, Andrew</t>
  </si>
  <si>
    <t>KSY212699</t>
  </si>
  <si>
    <t>apalicki@onebarnes.com</t>
  </si>
  <si>
    <t>alexpalicki4@gmail.com</t>
  </si>
  <si>
    <t>Buyer III</t>
  </si>
  <si>
    <t>Active</t>
  </si>
  <si>
    <t>212119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</si>
  <si>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</si>
  <si>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</si>
  <si>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</si>
  <si>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</si>
  <si>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</si>
  <si>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</si>
  <si>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</si>
  <si>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</si>
  <si>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</si>
  <si>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</si>
  <si>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S13</t>
  </si>
  <si>
    <t>FMG-S13</t>
  </si>
  <si>
    <t>KSX</t>
  </si>
  <si>
    <t>Linette</t>
  </si>
  <si>
    <t>W</t>
  </si>
  <si>
    <t>Parks</t>
  </si>
  <si>
    <t/>
  </si>
  <si>
    <t/>
  </si>
  <si>
    <t>Rafferty, Jonathan</t>
  </si>
  <si>
    <t>KSY211131</t>
  </si>
  <si>
    <t>Lparks@onebarnes.com</t>
  </si>
  <si>
    <t>linetteparks914@gmail.com</t>
  </si>
  <si>
    <t>Rep, Customer Service III</t>
  </si>
  <si>
    <t>Active</t>
  </si>
  <si>
    <t>902690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</si>
  <si>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</si>
  <si>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</si>
  <si>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</si>
  <si>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</si>
  <si>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</si>
  <si>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</si>
  <si>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</si>
  <si>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</si>
  <si>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</si>
  <si>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</si>
  <si>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</si>
  <si>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</si>
  <si>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KSY</t>
  </si>
  <si>
    <t>Shivam</t>
  </si>
  <si>
    <t/>
  </si>
  <si>
    <t>Patel</t>
  </si>
  <si>
    <t/>
  </si>
  <si>
    <t/>
  </si>
  <si>
    <t>Creager, Andrew</t>
  </si>
  <si>
    <t>KSY212699</t>
  </si>
  <si>
    <t>spatel@onebarnes.com</t>
  </si>
  <si>
    <t>patel.shivam2511@gmail.com</t>
  </si>
  <si>
    <t>Buyer II</t>
  </si>
  <si>
    <t>Active</t>
  </si>
  <si>
    <t>201903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</si>
  <si>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</si>
  <si>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</si>
  <si>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</si>
  <si>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</si>
  <si>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</si>
  <si>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</si>
  <si>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</si>
  <si>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</si>
  <si>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</si>
  <si>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</si>
  <si>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S12</t>
  </si>
  <si>
    <t>FMG-S12</t>
  </si>
  <si>
    <t>KSW</t>
  </si>
  <si>
    <t>Shawn</t>
  </si>
  <si>
    <t/>
  </si>
  <si>
    <t>Patterson</t>
  </si>
  <si>
    <t/>
  </si>
  <si>
    <t/>
  </si>
  <si>
    <t>Steen, Michael</t>
  </si>
  <si>
    <t>V0U211062</t>
  </si>
  <si>
    <t/>
  </si>
  <si>
    <t>shawndpatterson@yahoo.com</t>
  </si>
  <si>
    <t>Machinist B</t>
  </si>
  <si>
    <t>Active</t>
  </si>
  <si>
    <t>006820</t>
  </si>
  <si>
    <t>Biweekly</t>
  </si>
  <si>
    <t>Full Time</t>
  </si>
  <si>
    <t>025</t>
  </si>
  <si>
    <t>025-NGP Hyson Products</t>
  </si>
  <si>
    <t>Edgework- Hyson</t>
  </si>
  <si>
    <t>000350</t>
  </si>
  <si>
    <t>Hyson Products</t>
  </si>
  <si>
    <t/>
  </si>
  <si>
    <t/>
  </si>
  <si>
    <t>USA</t>
  </si>
  <si>
    <t>H07</t>
  </si>
  <si>
    <t>FMG-H07</t>
  </si>
  <si>
    <t>KSX</t>
  </si>
  <si>
    <t>Joshua</t>
  </si>
  <si>
    <t>S</t>
  </si>
  <si>
    <t>Paulsen</t>
  </si>
  <si>
    <t/>
  </si>
  <si>
    <t/>
  </si>
  <si>
    <t>LaPlante, Derek</t>
  </si>
  <si>
    <t>KSY211736</t>
  </si>
  <si>
    <t>jpaulsen@onebarnes.com</t>
  </si>
  <si>
    <t>tagjosh36@gmail.com</t>
  </si>
  <si>
    <t>Assistant, Warehouse II</t>
  </si>
  <si>
    <t>Active</t>
  </si>
  <si>
    <t>900851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</si>
  <si>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</si>
  <si>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</si>
  <si>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</si>
  <si>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</si>
  <si>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</si>
  <si>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</si>
  <si>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</si>
  <si>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</si>
  <si>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</si>
  <si>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</si>
  <si>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</si>
  <si>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</si>
  <si>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</si>
  <si>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Carol</t>
  </si>
  <si>
    <t/>
  </si>
  <si>
    <t>Phillips</t>
  </si>
  <si>
    <t/>
  </si>
  <si>
    <t/>
  </si>
  <si>
    <t>Rodriguez, Siobhan</t>
  </si>
  <si>
    <t>V0U207588</t>
  </si>
  <si>
    <t>cphillips1@onebarnes.com</t>
  </si>
  <si>
    <t>cphillips1226@icloud.com</t>
  </si>
  <si>
    <t xml:space="preserve">Mgr, Sales </t>
  </si>
  <si>
    <t>Active</t>
  </si>
  <si>
    <t>212478</t>
  </si>
  <si>
    <t>Monthly</t>
  </si>
  <si>
    <t>Full Time</t>
  </si>
  <si>
    <t>088</t>
  </si>
  <si>
    <t>088-AS Raymond</t>
  </si>
  <si>
    <t>Outside Sales</t>
  </si>
  <si>
    <t>008200</t>
  </si>
  <si>
    <t>Works from home - Ohio</t>
  </si>
  <si>
    <t/>
  </si>
  <si>
    <t/>
  </si>
  <si>
    <t>USA</t>
  </si>
  <si>
    <t>S16</t>
  </si>
  <si>
    <t>FMG-S16</t>
  </si>
  <si>
    <t>V0U</t>
  </si>
  <si>
    <t>Chad</t>
  </si>
  <si>
    <t/>
  </si>
  <si>
    <t>Phillips</t>
  </si>
  <si>
    <t/>
  </si>
  <si>
    <t/>
  </si>
  <si>
    <t>Wilkins, William</t>
  </si>
  <si>
    <t>V0U901934</t>
  </si>
  <si>
    <t>cphillips@onebarnes.com</t>
  </si>
  <si>
    <t>phillipsx2@verizon.net</t>
  </si>
  <si>
    <t xml:space="preserve">Mgr, Sales </t>
  </si>
  <si>
    <t>Terminated</t>
  </si>
  <si>
    <t>210402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</si>
  <si>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</si>
  <si>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</si>
  <si>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</si>
  <si>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</si>
  <si>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</si>
  <si>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</si>
  <si>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</si>
  <si>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</si>
  <si>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</si>
  <si>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</si>
  <si>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S15</t>
  </si>
  <si>
    <t>FMG-S15</t>
  </si>
  <si>
    <t>KSX</t>
  </si>
  <si>
    <t>William</t>
  </si>
  <si>
    <t/>
  </si>
  <si>
    <t>Phoenix</t>
  </si>
  <si>
    <t/>
  </si>
  <si>
    <t/>
  </si>
  <si>
    <t>LaPlante, Derek</t>
  </si>
  <si>
    <t>KSY211736</t>
  </si>
  <si>
    <t>wphoenix1@onebarnes.com</t>
  </si>
  <si>
    <t>w.phoenix365@gmail.com</t>
  </si>
  <si>
    <t>Assistant, Warehouse II</t>
  </si>
  <si>
    <t>Active</t>
  </si>
  <si>
    <t>211531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</si>
  <si>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</si>
  <si>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</si>
  <si>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</si>
  <si>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</si>
  <si>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</si>
  <si>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</si>
  <si>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</si>
  <si>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</si>
  <si>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</si>
  <si>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</si>
  <si>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</si>
  <si>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</si>
  <si>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</si>
  <si>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Zachary</t>
  </si>
  <si>
    <t/>
  </si>
  <si>
    <t>Plotts</t>
  </si>
  <si>
    <t/>
  </si>
  <si>
    <t/>
  </si>
  <si>
    <t>Creager, Andrew</t>
  </si>
  <si>
    <t>KSY212699</t>
  </si>
  <si>
    <t>zplotts@onebarnes.com</t>
  </si>
  <si>
    <t>zplotts2017@gmail.com</t>
  </si>
  <si>
    <t>Buyer III</t>
  </si>
  <si>
    <t>Active</t>
  </si>
  <si>
    <t>201895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</si>
  <si>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</si>
  <si>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</si>
  <si>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</si>
  <si>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</si>
  <si>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</si>
  <si>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</si>
  <si>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</si>
  <si>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</si>
  <si>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</si>
  <si>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</si>
  <si>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S13</t>
  </si>
  <si>
    <t>FMG-S13</t>
  </si>
  <si>
    <t>V0U</t>
  </si>
  <si>
    <t>Robert</t>
  </si>
  <si>
    <t/>
  </si>
  <si>
    <t>Prosowski</t>
  </si>
  <si>
    <t/>
  </si>
  <si>
    <t/>
  </si>
  <si>
    <t>Bate, Natalie</t>
  </si>
  <si>
    <t>V0U213037</t>
  </si>
  <si>
    <t>rprosowski@onebarnes.com</t>
  </si>
  <si>
    <t/>
  </si>
  <si>
    <t>Engineer, Design II</t>
  </si>
  <si>
    <t>Active</t>
  </si>
  <si>
    <t>206738</t>
  </si>
  <si>
    <t>Monthly</t>
  </si>
  <si>
    <t>Full Time</t>
  </si>
  <si>
    <t>025</t>
  </si>
  <si>
    <t>025-NGP Hyson Products</t>
  </si>
  <si>
    <t>Engineering</t>
  </si>
  <si>
    <t>000718</t>
  </si>
  <si>
    <t>Hyson Products</t>
  </si>
  <si>
    <t/>
  </si>
  <si>
    <t/>
  </si>
  <si>
    <t>USA</t>
  </si>
  <si>
    <t>S13</t>
  </si>
  <si>
    <t>FMG-S13</t>
  </si>
  <si>
    <t>KSY</t>
  </si>
  <si>
    <t>Jeff</t>
  </si>
  <si>
    <t/>
  </si>
  <si>
    <t>Raese</t>
  </si>
  <si>
    <t/>
  </si>
  <si>
    <t/>
  </si>
  <si>
    <t>Rodriguez, Siobhan</t>
  </si>
  <si>
    <t>V0U207588</t>
  </si>
  <si>
    <t>jraese@onebarnes.com</t>
  </si>
  <si>
    <t>jraese@hotmail.com</t>
  </si>
  <si>
    <t xml:space="preserve">Mgr, Sales I </t>
  </si>
  <si>
    <t>Active</t>
  </si>
  <si>
    <t>210018</t>
  </si>
  <si>
    <t>Monthly</t>
  </si>
  <si>
    <t>Full Time</t>
  </si>
  <si>
    <t>088</t>
  </si>
  <si>
    <t>088-AS Raymond</t>
  </si>
  <si>
    <t>Outside Sales</t>
  </si>
  <si>
    <t>008200</t>
  </si>
  <si>
    <t>Works from home - Ohio</t>
  </si>
  <si>
    <t/>
  </si>
  <si>
    <t/>
  </si>
  <si>
    <t>USA</t>
  </si>
  <si>
    <t>S16</t>
  </si>
  <si>
    <t>FMG-S16</t>
  </si>
  <si>
    <t>V0U</t>
  </si>
  <si>
    <t>Jonathan</t>
  </si>
  <si>
    <t/>
  </si>
  <si>
    <t>Rafferty</t>
  </si>
  <si>
    <t/>
  </si>
  <si>
    <t/>
  </si>
  <si>
    <t/>
  </si>
  <si>
    <t/>
  </si>
  <si>
    <t>jrafferty@onebarnes.com</t>
  </si>
  <si>
    <t/>
  </si>
  <si>
    <t>Mgr, Customer Service III</t>
  </si>
  <si>
    <t>Terminated</t>
  </si>
  <si>
    <t>211131</t>
  </si>
  <si>
    <t>Monthly</t>
  </si>
  <si>
    <t>Full Time</t>
  </si>
  <si>
    <t>088</t>
  </si>
  <si>
    <t>088-AS Raymond</t>
  </si>
  <si>
    <t>Customer Service</t>
  </si>
  <si>
    <t>000002</t>
  </si>
  <si>
    <t>AS Raymond</t>
  </si>
  <si>
    <t/>
  </si>
  <si>
    <t/>
  </si>
  <si>
    <t>USA</t>
  </si>
  <si>
    <t>S16</t>
  </si>
  <si>
    <t>FMG-S16</t>
  </si>
  <si>
    <t>KSY</t>
  </si>
  <si>
    <t>Jonathan</t>
  </si>
  <si>
    <t/>
  </si>
  <si>
    <t>Rafferty</t>
  </si>
  <si>
    <t/>
  </si>
  <si>
    <t/>
  </si>
  <si>
    <t>Kemenah, Greg</t>
  </si>
  <si>
    <t>KSY211766</t>
  </si>
  <si>
    <t>jrafferty@onebarnes.com</t>
  </si>
  <si>
    <t/>
  </si>
  <si>
    <t>Mgr, Customer Service III</t>
  </si>
  <si>
    <t>Active</t>
  </si>
  <si>
    <t>211131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</si>
  <si>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</si>
  <si>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</si>
  <si>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</si>
  <si>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</si>
  <si>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</si>
  <si>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</si>
  <si>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</si>
  <si>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</si>
  <si>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</si>
  <si>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</si>
  <si>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S16</t>
  </si>
  <si>
    <t>FMG-S16</t>
  </si>
  <si>
    <t>KSX</t>
  </si>
  <si>
    <t>Jacqueline</t>
  </si>
  <si>
    <t>M</t>
  </si>
  <si>
    <t>Reed</t>
  </si>
  <si>
    <t/>
  </si>
  <si>
    <t/>
  </si>
  <si>
    <t>LaPlante, Derek</t>
  </si>
  <si>
    <t>KSY211736</t>
  </si>
  <si>
    <t>jfoggyrobinson@onebarnes.com</t>
  </si>
  <si>
    <t>shower781@yahoo.com</t>
  </si>
  <si>
    <t>Assistant, Warehouse II</t>
  </si>
  <si>
    <t>Active</t>
  </si>
  <si>
    <t>210035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</si>
  <si>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</si>
  <si>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</si>
  <si>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</si>
  <si>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</si>
  <si>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</si>
  <si>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</si>
  <si>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</si>
  <si>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</si>
  <si>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</si>
  <si>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</si>
  <si>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</si>
  <si>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</si>
  <si>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KSX</t>
  </si>
  <si>
    <t>Johnny</t>
  </si>
  <si>
    <t>A</t>
  </si>
  <si>
    <t>Reyes</t>
  </si>
  <si>
    <t/>
  </si>
  <si>
    <t/>
  </si>
  <si>
    <t>Burchell, Mathew</t>
  </si>
  <si>
    <t>KSY211756</t>
  </si>
  <si>
    <t>jreyes@onebarnes.com</t>
  </si>
  <si>
    <t>jerfy9901@gmail.com</t>
  </si>
  <si>
    <t>Assistant, Warehouse II</t>
  </si>
  <si>
    <t>Active</t>
  </si>
  <si>
    <t>212074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</si>
  <si>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</si>
  <si>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</si>
  <si>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</si>
  <si>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</si>
  <si>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</si>
  <si>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</si>
  <si>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</si>
  <si>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</si>
  <si>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</si>
  <si>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</si>
  <si>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</si>
  <si>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</si>
  <si>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</si>
  <si>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Cassandra</t>
  </si>
  <si>
    <t>G</t>
  </si>
  <si>
    <t>Richards</t>
  </si>
  <si>
    <t/>
  </si>
  <si>
    <t/>
  </si>
  <si>
    <t>LaPlante, Derek</t>
  </si>
  <si>
    <t>KSY211736</t>
  </si>
  <si>
    <t>crichards@onebarnes.com</t>
  </si>
  <si>
    <t>cassandrarichards13@gmail.com</t>
  </si>
  <si>
    <t>Assistant, Warehouse II</t>
  </si>
  <si>
    <t>Terminated</t>
  </si>
  <si>
    <t>210727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</si>
  <si>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</si>
  <si>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</si>
  <si>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</si>
  <si>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</si>
  <si>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</si>
  <si>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</si>
  <si>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</si>
  <si>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</si>
  <si>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</si>
  <si>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</si>
  <si>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</si>
  <si>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</si>
  <si>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/>
  </si>
  <si>
    <t>Jill</t>
  </si>
  <si>
    <t/>
  </si>
  <si>
    <t>Rockow</t>
  </si>
  <si>
    <t/>
  </si>
  <si>
    <t/>
  </si>
  <si>
    <t/>
  </si>
  <si>
    <t/>
  </si>
  <si>
    <t/>
  </si>
  <si>
    <t>JMROCKOW@YAHOO.COM</t>
  </si>
  <si>
    <t/>
  </si>
  <si>
    <t>Terminated</t>
  </si>
  <si>
    <t/>
  </si>
  <si>
    <t>Weekly</t>
  </si>
  <si>
    <t/>
  </si>
  <si>
    <t/>
  </si>
  <si>
    <t/>
  </si>
  <si>
    <t/>
  </si>
  <si>
    <t xml:space="preserve"> </t>
  </si>
  <si>
    <t/>
  </si>
  <si>
    <t/>
  </si>
  <si>
    <t/>
  </si>
  <si>
    <t>USA</t>
  </si>
  <si>
    <t/>
  </si>
  <si>
    <t/>
  </si>
  <si>
    <t>KSW</t>
  </si>
  <si>
    <t>Ramon</t>
  </si>
  <si>
    <t>A</t>
  </si>
  <si>
    <t>Rodriguez</t>
  </si>
  <si>
    <t/>
  </si>
  <si>
    <t/>
  </si>
  <si>
    <t>Wallace, Derron</t>
  </si>
  <si>
    <t>V0U211998</t>
  </si>
  <si>
    <t/>
  </si>
  <si>
    <t>ramonrodriguez153@yahoo.com</t>
  </si>
  <si>
    <t>Assembler C</t>
  </si>
  <si>
    <t>Leave</t>
  </si>
  <si>
    <t>212338</t>
  </si>
  <si>
    <t>Biweekly</t>
  </si>
  <si>
    <t>Full Time</t>
  </si>
  <si>
    <t>025</t>
  </si>
  <si>
    <t>025-NGP Hyson Products</t>
  </si>
  <si>
    <t>Assembly Hyson</t>
  </si>
  <si>
    <t>000200</t>
  </si>
  <si>
    <t>Hyson Products</t>
  </si>
  <si>
    <t/>
  </si>
  <si>
    <t/>
  </si>
  <si>
    <t>USA</t>
  </si>
  <si>
    <t>H05</t>
  </si>
  <si>
    <t>FMG-H05</t>
  </si>
  <si>
    <t>V0U</t>
  </si>
  <si>
    <t>Siobhan</t>
  </si>
  <si>
    <t/>
  </si>
  <si>
    <t>Rodriguez</t>
  </si>
  <si>
    <t/>
  </si>
  <si>
    <t/>
  </si>
  <si>
    <t>Bair, Teresa</t>
  </si>
  <si>
    <t>KSY207709</t>
  </si>
  <si>
    <t>srodriguez@onebarnes.com</t>
  </si>
  <si>
    <t>siobhan3528@gmail.com</t>
  </si>
  <si>
    <t>Dir, Sales I</t>
  </si>
  <si>
    <t>Active</t>
  </si>
  <si>
    <t>207588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</si>
  <si>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</si>
  <si>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</si>
  <si>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</si>
  <si>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</si>
  <si>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</si>
  <si>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</si>
  <si>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</si>
  <si>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</si>
  <si>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</si>
  <si>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</si>
  <si>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S18</t>
  </si>
  <si>
    <t>FMG-S18</t>
  </si>
  <si>
    <t>KSY</t>
  </si>
  <si>
    <t>Wayne</t>
  </si>
  <si>
    <t>A</t>
  </si>
  <si>
    <t>Rogers</t>
  </si>
  <si>
    <t/>
  </si>
  <si>
    <t/>
  </si>
  <si>
    <t>Bailey, Jason</t>
  </si>
  <si>
    <t>KSY211464</t>
  </si>
  <si>
    <t>wrogers@onebarnes.com</t>
  </si>
  <si>
    <t>Supv, Warehouse I</t>
  </si>
  <si>
    <t>Active</t>
  </si>
  <si>
    <t>207487</t>
  </si>
  <si>
    <t>Monthly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</si>
  <si>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</si>
  <si>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</si>
  <si>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</si>
  <si>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</si>
  <si>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</si>
  <si>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</si>
  <si>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</si>
  <si>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</si>
  <si>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</si>
  <si>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S11</t>
  </si>
  <si>
    <t>FMG-S11</t>
  </si>
  <si>
    <t>KSX</t>
  </si>
  <si>
    <t>DayShawn</t>
  </si>
  <si>
    <t/>
  </si>
  <si>
    <t>Rome</t>
  </si>
  <si>
    <t/>
  </si>
  <si>
    <t/>
  </si>
  <si>
    <t/>
  </si>
  <si>
    <t>KSY207487</t>
  </si>
  <si>
    <t/>
  </si>
  <si>
    <t>dayshawnrome16@yahoo.com</t>
  </si>
  <si>
    <t>Assistant, Warehouse II</t>
  </si>
  <si>
    <t>Terminated</t>
  </si>
  <si>
    <t/>
  </si>
  <si>
    <t>Biweekly</t>
  </si>
  <si>
    <t>Temporary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</si>
  <si>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</si>
  <si>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</si>
  <si>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</si>
  <si>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</si>
  <si>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</si>
  <si>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</si>
  <si>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</si>
  <si>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</si>
  <si>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</si>
  <si>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</si>
  <si>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</si>
  <si>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Gwendolyn</t>
  </si>
  <si>
    <t>L</t>
  </si>
  <si>
    <t>Rome</t>
  </si>
  <si>
    <t/>
  </si>
  <si>
    <t/>
  </si>
  <si>
    <t>Warner, Dwight</t>
  </si>
  <si>
    <t>V0U008750</t>
  </si>
  <si>
    <t>grome@onebarnes.com</t>
  </si>
  <si>
    <t>gwenlr2013@gmail.com</t>
  </si>
  <si>
    <t>Analyst, Shared Services</t>
  </si>
  <si>
    <t>Active</t>
  </si>
  <si>
    <t>007647</t>
  </si>
  <si>
    <t>Monthly</t>
  </si>
  <si>
    <t>Full Time</t>
  </si>
  <si>
    <t>088</t>
  </si>
  <si>
    <t>088-AS Raymond</t>
  </si>
  <si>
    <t>Finance General</t>
  </si>
  <si>
    <t>009100</t>
  </si>
  <si>
    <t>AS Raymond</t>
  </si>
  <si>
    <t/>
  </si>
  <si>
    <t/>
  </si>
  <si>
    <t>USA</t>
  </si>
  <si>
    <t>S11</t>
  </si>
  <si>
    <t>FMG-S11</t>
  </si>
  <si>
    <t>KSW</t>
  </si>
  <si>
    <t>Matthew</t>
  </si>
  <si>
    <t>J</t>
  </si>
  <si>
    <t>Said</t>
  </si>
  <si>
    <t/>
  </si>
  <si>
    <t/>
  </si>
  <si>
    <t>Steen, Michael</t>
  </si>
  <si>
    <t>V0U211062</t>
  </si>
  <si>
    <t/>
  </si>
  <si>
    <t>mrvarsity78@gmail.com</t>
  </si>
  <si>
    <t>Machinist B</t>
  </si>
  <si>
    <t>Active</t>
  </si>
  <si>
    <t>004374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</si>
  <si>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</si>
  <si>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</si>
  <si>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</si>
  <si>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</si>
  <si>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</si>
  <si>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</si>
  <si>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</si>
  <si>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</si>
  <si>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</si>
  <si>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</si>
  <si>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H06</t>
  </si>
  <si>
    <t>FMG-H06</t>
  </si>
  <si>
    <t>KSX</t>
  </si>
  <si>
    <t>Christopher</t>
  </si>
  <si>
    <t>D</t>
  </si>
  <si>
    <t>Sanderson</t>
  </si>
  <si>
    <t/>
  </si>
  <si>
    <t/>
  </si>
  <si>
    <t>Rogers, Wayne</t>
  </si>
  <si>
    <t>KSY207487</t>
  </si>
  <si>
    <t/>
  </si>
  <si>
    <t>sandecd@gmail.com</t>
  </si>
  <si>
    <t>Assistant, Warehouse II</t>
  </si>
  <si>
    <t>Active</t>
  </si>
  <si>
    <t>213091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</si>
  <si>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</si>
  <si>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</si>
  <si>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</si>
  <si>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</si>
  <si>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</si>
  <si>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</si>
  <si>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</si>
  <si>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</si>
  <si>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</si>
  <si>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</si>
  <si>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</si>
  <si>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</si>
  <si>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V0U</t>
  </si>
  <si>
    <t>Richard</t>
  </si>
  <si>
    <t/>
  </si>
  <si>
    <t>Sasak</t>
  </si>
  <si>
    <t/>
  </si>
  <si>
    <t/>
  </si>
  <si>
    <t>Bate, Natalie</t>
  </si>
  <si>
    <t>V0U213037</t>
  </si>
  <si>
    <t>RXSasak@onebarnes.com</t>
  </si>
  <si>
    <t/>
  </si>
  <si>
    <t>Engineer, Application II</t>
  </si>
  <si>
    <t>Active</t>
  </si>
  <si>
    <t>900439</t>
  </si>
  <si>
    <t>Monthly</t>
  </si>
  <si>
    <t>Full Time</t>
  </si>
  <si>
    <t>025</t>
  </si>
  <si>
    <t>025-NGP Hyson Products</t>
  </si>
  <si>
    <t>Engineering</t>
  </si>
  <si>
    <t>000718</t>
  </si>
  <si>
    <t>Hyson Products</t>
  </si>
  <si>
    <t/>
  </si>
  <si>
    <t/>
  </si>
  <si>
    <t>USA</t>
  </si>
  <si>
    <t>S14</t>
  </si>
  <si>
    <t>FMG-S14</t>
  </si>
  <si>
    <t>KSX</t>
  </si>
  <si>
    <t>Heather</t>
  </si>
  <si>
    <t>A</t>
  </si>
  <si>
    <t>Schmidt</t>
  </si>
  <si>
    <t/>
  </si>
  <si>
    <t/>
  </si>
  <si>
    <t>LaPlante, Derek</t>
  </si>
  <si>
    <t>KSY211736</t>
  </si>
  <si>
    <t>hschmidt2@onebarnes.com</t>
  </si>
  <si>
    <t/>
  </si>
  <si>
    <t>Assistant, Warehouse</t>
  </si>
  <si>
    <t>Active</t>
  </si>
  <si>
    <t>210127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</si>
  <si>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</si>
  <si>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</si>
  <si>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</si>
  <si>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</si>
  <si>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</si>
  <si>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</si>
  <si>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</si>
  <si>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</si>
  <si>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</si>
  <si>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</si>
  <si>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S08</t>
  </si>
  <si>
    <t>FMG-S08</t>
  </si>
  <si>
    <t>KSY</t>
  </si>
  <si>
    <t>Timothy</t>
  </si>
  <si>
    <t>R</t>
  </si>
  <si>
    <t>Seksinsky</t>
  </si>
  <si>
    <t/>
  </si>
  <si>
    <t/>
  </si>
  <si>
    <t/>
  </si>
  <si>
    <t/>
  </si>
  <si>
    <t>tseksinsky@onebarnes.com</t>
  </si>
  <si>
    <t/>
  </si>
  <si>
    <t xml:space="preserve">Mgr, Sales </t>
  </si>
  <si>
    <t>Terminated</t>
  </si>
  <si>
    <t>212421</t>
  </si>
  <si>
    <t>Monthly</t>
  </si>
  <si>
    <t>Full Time</t>
  </si>
  <si>
    <t>088</t>
  </si>
  <si>
    <t>088-AS Raymond</t>
  </si>
  <si>
    <t>Outside Sales</t>
  </si>
  <si>
    <t>008200</t>
  </si>
  <si>
    <t>Work from home -North Carolina</t>
  </si>
  <si>
    <t/>
  </si>
  <si>
    <t/>
  </si>
  <si>
    <t>USA</t>
  </si>
  <si>
    <t>S16</t>
  </si>
  <si>
    <t>FMG-S16</t>
  </si>
  <si>
    <t>KSX</t>
  </si>
  <si>
    <t>Asia</t>
  </si>
  <si>
    <t/>
  </si>
  <si>
    <t>Sexton</t>
  </si>
  <si>
    <t/>
  </si>
  <si>
    <t/>
  </si>
  <si>
    <t>Burchell, Mathew</t>
  </si>
  <si>
    <t>KSY211756</t>
  </si>
  <si>
    <t/>
  </si>
  <si>
    <t>asexton@yahoo.com</t>
  </si>
  <si>
    <t>Assistant, Warehouse II</t>
  </si>
  <si>
    <t>Terminated</t>
  </si>
  <si>
    <t/>
  </si>
  <si>
    <t>Biweekly</t>
  </si>
  <si>
    <t>Temporary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</si>
  <si>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</si>
  <si>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</si>
  <si>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</si>
  <si>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</si>
  <si>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</si>
  <si>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</si>
  <si>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</si>
  <si>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</si>
  <si>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</si>
  <si>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</si>
  <si>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</si>
  <si>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Roger</t>
  </si>
  <si>
    <t>l</t>
  </si>
  <si>
    <t>Shook</t>
  </si>
  <si>
    <t/>
  </si>
  <si>
    <t/>
  </si>
  <si>
    <t>Burchell, Mathew</t>
  </si>
  <si>
    <t>KSY211756</t>
  </si>
  <si>
    <t>rshook@onebarnes.com</t>
  </si>
  <si>
    <t>rls151@aol.com</t>
  </si>
  <si>
    <t>Assistant, Warehouse II</t>
  </si>
  <si>
    <t>Leave</t>
  </si>
  <si>
    <t>207466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</si>
  <si>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</si>
  <si>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</si>
  <si>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</si>
  <si>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</si>
  <si>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</si>
  <si>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</si>
  <si>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</si>
  <si>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</si>
  <si>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</si>
  <si>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</si>
  <si>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</si>
  <si>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</si>
  <si>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KSX</t>
  </si>
  <si>
    <t>Momika</t>
  </si>
  <si>
    <t/>
  </si>
  <si>
    <t>Smith</t>
  </si>
  <si>
    <t/>
  </si>
  <si>
    <t/>
  </si>
  <si>
    <t>LaPlante, Derek</t>
  </si>
  <si>
    <t>KSY211736</t>
  </si>
  <si>
    <t>msmith@onebarnes.com</t>
  </si>
  <si>
    <t>momika1@gmx.com</t>
  </si>
  <si>
    <t>Assistant, Warehouse II</t>
  </si>
  <si>
    <t>Active</t>
  </si>
  <si>
    <t>210281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</si>
  <si>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</si>
  <si>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</si>
  <si>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</si>
  <si>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</si>
  <si>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</si>
  <si>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</si>
  <si>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</si>
  <si>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</si>
  <si>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</si>
  <si>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</si>
  <si>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</si>
  <si>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</si>
  <si>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V0U</t>
  </si>
  <si>
    <t>Michael</t>
  </si>
  <si>
    <t/>
  </si>
  <si>
    <t>Steen</t>
  </si>
  <si>
    <t/>
  </si>
  <si>
    <t/>
  </si>
  <si>
    <t>Gang, Terry</t>
  </si>
  <si>
    <t>V0U006780</t>
  </si>
  <si>
    <t>msteen@onebarnes.com</t>
  </si>
  <si>
    <t>Steener1964@gmail.com</t>
  </si>
  <si>
    <t>Supv, Production III</t>
  </si>
  <si>
    <t>Active</t>
  </si>
  <si>
    <t>211062</t>
  </si>
  <si>
    <t>Monthly</t>
  </si>
  <si>
    <t>Full Time</t>
  </si>
  <si>
    <t>025</t>
  </si>
  <si>
    <t>025-NGP Hyson Products</t>
  </si>
  <si>
    <t>Factory Super-Hyson</t>
  </si>
  <si>
    <t>000515</t>
  </si>
  <si>
    <t>Hyson Products</t>
  </si>
  <si>
    <t/>
  </si>
  <si>
    <t/>
  </si>
  <si>
    <t>USA</t>
  </si>
  <si>
    <t>S14</t>
  </si>
  <si>
    <t>FMG-S14</t>
  </si>
  <si>
    <t>KSY</t>
  </si>
  <si>
    <t>James</t>
  </si>
  <si>
    <t/>
  </si>
  <si>
    <t>Stefancin</t>
  </si>
  <si>
    <t/>
  </si>
  <si>
    <t/>
  </si>
  <si>
    <t>Valetta, David</t>
  </si>
  <si>
    <t>V0U211601</t>
  </si>
  <si>
    <t>jstefancin@onebarnes.com</t>
  </si>
  <si>
    <t>jimstefancin@gmail.com</t>
  </si>
  <si>
    <t>Mgr, Supply Chain III</t>
  </si>
  <si>
    <t>Terminated</t>
  </si>
  <si>
    <t>212191</t>
  </si>
  <si>
    <t>Monthly</t>
  </si>
  <si>
    <t>Full Time</t>
  </si>
  <si>
    <t>088</t>
  </si>
  <si>
    <t>088-AS Raymond</t>
  </si>
  <si>
    <t>Admin-Material Management</t>
  </si>
  <si>
    <t>009400</t>
  </si>
  <si>
    <t>Work from home - Ohio - New</t>
  </si>
  <si>
    <t/>
  </si>
  <si>
    <t/>
  </si>
  <si>
    <t>USA</t>
  </si>
  <si>
    <t>S17</t>
  </si>
  <si>
    <t>FMG-S17</t>
  </si>
  <si>
    <t>V0U</t>
  </si>
  <si>
    <t>James</t>
  </si>
  <si>
    <t/>
  </si>
  <si>
    <t>Stefancin</t>
  </si>
  <si>
    <t/>
  </si>
  <si>
    <t/>
  </si>
  <si>
    <t>Bate, Natalie</t>
  </si>
  <si>
    <t>V0U213037</t>
  </si>
  <si>
    <t>jstefancin@onebarnes.com</t>
  </si>
  <si>
    <t>jimstefancin@gmail.com</t>
  </si>
  <si>
    <t>Mgr, Supply Chain III</t>
  </si>
  <si>
    <t>Active</t>
  </si>
  <si>
    <t>212191</t>
  </si>
  <si>
    <t>Monthly</t>
  </si>
  <si>
    <t>Full Time</t>
  </si>
  <si>
    <t>025</t>
  </si>
  <si>
    <t>025-NGP Hyson Products</t>
  </si>
  <si>
    <t>Administration</t>
  </si>
  <si>
    <t>000917</t>
  </si>
  <si>
    <t>Works from home - Ohio</t>
  </si>
  <si>
    <t/>
  </si>
  <si>
    <t/>
  </si>
  <si>
    <t>USA</t>
  </si>
  <si>
    <t>S17</t>
  </si>
  <si>
    <t>FMG-S17</t>
  </si>
  <si>
    <t>KSW</t>
  </si>
  <si>
    <t>Marvin</t>
  </si>
  <si>
    <t/>
  </si>
  <si>
    <t>Stone</t>
  </si>
  <si>
    <t/>
  </si>
  <si>
    <t/>
  </si>
  <si>
    <t>Steen, Michael</t>
  </si>
  <si>
    <t>V0U211062</t>
  </si>
  <si>
    <t/>
  </si>
  <si>
    <t>skipstone20201@gmail.com</t>
  </si>
  <si>
    <t>Machinist B</t>
  </si>
  <si>
    <t>Active</t>
  </si>
  <si>
    <t>004382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</si>
  <si>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</si>
  <si>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</si>
  <si>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</si>
  <si>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</si>
  <si>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</si>
  <si>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</si>
  <si>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</si>
  <si>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</si>
  <si>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</si>
  <si>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</si>
  <si>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H07</t>
  </si>
  <si>
    <t>FMG-H07</t>
  </si>
  <si>
    <t>KSY</t>
  </si>
  <si>
    <t>Benjamin</t>
  </si>
  <si>
    <t/>
  </si>
  <si>
    <t>Sullivan</t>
  </si>
  <si>
    <t/>
  </si>
  <si>
    <t/>
  </si>
  <si>
    <t>Creager, Andrew</t>
  </si>
  <si>
    <t>KSY212699</t>
  </si>
  <si>
    <t>bsullivan@onebarnes.com</t>
  </si>
  <si>
    <t/>
  </si>
  <si>
    <t>Planner, Production II</t>
  </si>
  <si>
    <t>Active</t>
  </si>
  <si>
    <t>210103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</si>
  <si>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</si>
  <si>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</si>
  <si>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</si>
  <si>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</si>
  <si>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</si>
  <si>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</si>
  <si>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</si>
  <si>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</si>
  <si>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</si>
  <si>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</si>
  <si>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S12</t>
  </si>
  <si>
    <t>FMG-S12</t>
  </si>
  <si>
    <t>KSY</t>
  </si>
  <si>
    <t>Joyce</t>
  </si>
  <si>
    <t>L</t>
  </si>
  <si>
    <t>Szpila</t>
  </si>
  <si>
    <t/>
  </si>
  <si>
    <t/>
  </si>
  <si>
    <t>Warner, Dwight</t>
  </si>
  <si>
    <t>V0U008750</t>
  </si>
  <si>
    <t>jszpila@onebarnes.com</t>
  </si>
  <si>
    <t>joyceszpila@yahoo.com</t>
  </si>
  <si>
    <t>Accounting Analyst</t>
  </si>
  <si>
    <t>Active</t>
  </si>
  <si>
    <t>212146</t>
  </si>
  <si>
    <t>Monthly</t>
  </si>
  <si>
    <t>Full Time</t>
  </si>
  <si>
    <t>088</t>
  </si>
  <si>
    <t>088-AS Raymond</t>
  </si>
  <si>
    <t>Finance General</t>
  </si>
  <si>
    <t>009100</t>
  </si>
  <si>
    <t>AS Raymond</t>
  </si>
  <si>
    <t/>
  </si>
  <si>
    <t/>
  </si>
  <si>
    <t>USA</t>
  </si>
  <si>
    <t>S11</t>
  </si>
  <si>
    <t>FMG-S11</t>
  </si>
  <si>
    <t>KSW</t>
  </si>
  <si>
    <t>Isaak</t>
  </si>
  <si>
    <t>R</t>
  </si>
  <si>
    <t>Taiclet</t>
  </si>
  <si>
    <t/>
  </si>
  <si>
    <t/>
  </si>
  <si>
    <t>Leftrict, Wayne</t>
  </si>
  <si>
    <t>V0U210910</t>
  </si>
  <si>
    <t>itaiclet@onebarnes.com</t>
  </si>
  <si>
    <t/>
  </si>
  <si>
    <t>Intern, Engineering Indir</t>
  </si>
  <si>
    <t>Terminated</t>
  </si>
  <si>
    <t>213227</t>
  </si>
  <si>
    <t>Biweekly</t>
  </si>
  <si>
    <t>Intern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</si>
  <si>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</si>
  <si>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</si>
  <si>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</si>
  <si>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</si>
  <si>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</si>
  <si>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</si>
  <si>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</si>
  <si>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</si>
  <si>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H05</t>
  </si>
  <si>
    <t>FMG-H05</t>
  </si>
  <si>
    <t>V0U</t>
  </si>
  <si>
    <t>Isaak</t>
  </si>
  <si>
    <t>R</t>
  </si>
  <si>
    <t>Taiclet</t>
  </si>
  <si>
    <t/>
  </si>
  <si>
    <t/>
  </si>
  <si>
    <t/>
  </si>
  <si>
    <t/>
  </si>
  <si>
    <t>itaiclet@onebarnes.com</t>
  </si>
  <si>
    <t/>
  </si>
  <si>
    <t>Intern, Engineering Indir</t>
  </si>
  <si>
    <t>Terminated</t>
  </si>
  <si>
    <t>213227</t>
  </si>
  <si>
    <t>Biweekly</t>
  </si>
  <si>
    <t>Intern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</si>
  <si>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</si>
  <si>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</si>
  <si>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</si>
  <si>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</si>
  <si>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</si>
  <si>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</si>
  <si>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</si>
  <si>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</si>
  <si>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H05</t>
  </si>
  <si>
    <t>FMG-H05</t>
  </si>
  <si>
    <t>V0U</t>
  </si>
  <si>
    <t>Isaak</t>
  </si>
  <si>
    <t>R</t>
  </si>
  <si>
    <t>Taiclet</t>
  </si>
  <si>
    <t/>
  </si>
  <si>
    <t/>
  </si>
  <si>
    <t/>
  </si>
  <si>
    <t/>
  </si>
  <si>
    <t>itaiclet@onebarnes.com</t>
  </si>
  <si>
    <t/>
  </si>
  <si>
    <t>Intern, Engineering Indir</t>
  </si>
  <si>
    <t>Terminated</t>
  </si>
  <si>
    <t>213227</t>
  </si>
  <si>
    <t>Monthly</t>
  </si>
  <si>
    <t>Intern</t>
  </si>
  <si>
    <t>025</t>
  </si>
  <si>
    <t>025-NGP Hyson Products</t>
  </si>
  <si>
    <t>Quality</t>
  </si>
  <si>
    <t>000500</t>
  </si>
  <si>
    <t>Hyson Products</t>
  </si>
  <si>
    <t/>
  </si>
  <si>
    <t/>
  </si>
  <si>
    <t>USA</t>
  </si>
  <si>
    <t>H05</t>
  </si>
  <si>
    <t>FMG-H05</t>
  </si>
  <si>
    <t>V0U</t>
  </si>
  <si>
    <t>Richard</t>
  </si>
  <si>
    <t>E</t>
  </si>
  <si>
    <t>Taiclet</t>
  </si>
  <si>
    <t/>
  </si>
  <si>
    <t/>
  </si>
  <si>
    <t>Warner, Dwight</t>
  </si>
  <si>
    <t>V0U008750</t>
  </si>
  <si>
    <t>RTaiclet@onebarnes.com</t>
  </si>
  <si>
    <t>rtlefty@yahoo.com</t>
  </si>
  <si>
    <t xml:space="preserve">Controller, Asst </t>
  </si>
  <si>
    <t>Active</t>
  </si>
  <si>
    <t>901943</t>
  </si>
  <si>
    <t>Monthly</t>
  </si>
  <si>
    <t>Full Time</t>
  </si>
  <si>
    <t>025</t>
  </si>
  <si>
    <t>025-NGP Hyson Products</t>
  </si>
  <si>
    <t>Finance</t>
  </si>
  <si>
    <t>000910</t>
  </si>
  <si>
    <t>Hyson Products</t>
  </si>
  <si>
    <t/>
  </si>
  <si>
    <t/>
  </si>
  <si>
    <t>USA</t>
  </si>
  <si>
    <t>S14</t>
  </si>
  <si>
    <t>FMG-S14</t>
  </si>
  <si>
    <t>KSX</t>
  </si>
  <si>
    <t>Kevin</t>
  </si>
  <si>
    <t/>
  </si>
  <si>
    <t>Thaboun</t>
  </si>
  <si>
    <t/>
  </si>
  <si>
    <t/>
  </si>
  <si>
    <t>LaPlante, Derek</t>
  </si>
  <si>
    <t>KSY211736</t>
  </si>
  <si>
    <t>kthaboun1@onebarnes.com</t>
  </si>
  <si>
    <t>kthabound45@gmail.com</t>
  </si>
  <si>
    <t>Assistant, Warehouse II</t>
  </si>
  <si>
    <t>Active</t>
  </si>
  <si>
    <t>211521</t>
  </si>
  <si>
    <t>Biweekly</t>
  </si>
  <si>
    <t>Full Time</t>
  </si>
  <si>
    <t>088</t>
  </si>
  <si>
    <t>088-AS Raymond</t>
  </si>
  <si>
    <t>FG Warehouse</t>
  </si>
  <si>
    <t>005200</t>
  </si>
  <si>
    <t>AS Raymond</t>
  </si>
  <si>
    <t/>
  </si>
  <si>
    <t/>
  </si>
  <si>
    <t>USA</t>
  </si>
  <si>
    <t>S05</t>
  </si>
  <si>
    <t>FMG-S05</t>
  </si>
  <si>
    <t>KSY</t>
  </si>
  <si>
    <t>Kugagini</t>
  </si>
  <si>
    <t/>
  </si>
  <si>
    <t>Thineshkumar</t>
  </si>
  <si>
    <t/>
  </si>
  <si>
    <t/>
  </si>
  <si>
    <t>Warner, Dwight</t>
  </si>
  <si>
    <t>V0U008750</t>
  </si>
  <si>
    <t>Kthineshkumar@onebarnes.com</t>
  </si>
  <si>
    <t/>
  </si>
  <si>
    <t>Analyst, Shared Services</t>
  </si>
  <si>
    <t>Active</t>
  </si>
  <si>
    <t>902013</t>
  </si>
  <si>
    <t>Monthly</t>
  </si>
  <si>
    <t>Full Time</t>
  </si>
  <si>
    <t>088</t>
  </si>
  <si>
    <t>088-AS Raymond</t>
  </si>
  <si>
    <t>Finance General</t>
  </si>
  <si>
    <t>009100</t>
  </si>
  <si>
    <t>Work from home - Connecticut</t>
  </si>
  <si>
    <t>Tamil</t>
  </si>
  <si>
    <t>24</t>
  </si>
  <si>
    <t>USA</t>
  </si>
  <si>
    <t>S11</t>
  </si>
  <si>
    <t>FMG-S11</t>
  </si>
  <si>
    <t>KSX</t>
  </si>
  <si>
    <t>Tadeyshia</t>
  </si>
  <si>
    <t/>
  </si>
  <si>
    <t>Toney</t>
  </si>
  <si>
    <t/>
  </si>
  <si>
    <t/>
  </si>
  <si>
    <t>Rafferty, Jonathan</t>
  </si>
  <si>
    <t>KSY211131</t>
  </si>
  <si>
    <t>ttoney@onebarnes.com</t>
  </si>
  <si>
    <t/>
  </si>
  <si>
    <t>Rep, Customer Service III</t>
  </si>
  <si>
    <t>Active</t>
  </si>
  <si>
    <t>213241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</si>
  <si>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</si>
  <si>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</si>
  <si>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</si>
  <si>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</si>
  <si>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</si>
  <si>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</si>
  <si>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</si>
  <si>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</si>
  <si>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</si>
  <si>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</si>
  <si>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</si>
  <si>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</si>
  <si>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KSY</t>
  </si>
  <si>
    <t>Macy</t>
  </si>
  <si>
    <t>J</t>
  </si>
  <si>
    <t>Tudor</t>
  </si>
  <si>
    <t/>
  </si>
  <si>
    <t/>
  </si>
  <si>
    <t>Creager, Andrew</t>
  </si>
  <si>
    <t>KSY212699</t>
  </si>
  <si>
    <t>mtudor@onebarnes.com</t>
  </si>
  <si>
    <t/>
  </si>
  <si>
    <t>Business System Analyst</t>
  </si>
  <si>
    <t>Active</t>
  </si>
  <si>
    <t>206638</t>
  </si>
  <si>
    <t>Monthly</t>
  </si>
  <si>
    <t>Full Time</t>
  </si>
  <si>
    <t>088</t>
  </si>
  <si>
    <t>088-AS Raymond</t>
  </si>
  <si>
    <t>Admin-Material Management</t>
  </si>
  <si>
    <t>009400</t>
  </si>
  <si>
    <t>AS Raymond</t>
  </si>
  <si>
    <t/>
  </si>
  <si>
    <t/>
  </si>
  <si>
    <t>USA</t>
  </si>
  <si>
    <t>S13</t>
  </si>
  <si>
    <t>FMG-S13</t>
  </si>
  <si>
    <t>KSY</t>
  </si>
  <si>
    <t>Daniel</t>
  </si>
  <si>
    <t>P</t>
  </si>
  <si>
    <t>Tuller</t>
  </si>
  <si>
    <t/>
  </si>
  <si>
    <t/>
  </si>
  <si>
    <t/>
  </si>
  <si>
    <t>V0U008750</t>
  </si>
  <si>
    <t>dtuller@onebarnes.com</t>
  </si>
  <si>
    <t>dptuller@gmail.com</t>
  </si>
  <si>
    <t>Controller, Division II</t>
  </si>
  <si>
    <t>Terminated</t>
  </si>
  <si>
    <t>210339</t>
  </si>
  <si>
    <t>Monthly</t>
  </si>
  <si>
    <t>Full Time</t>
  </si>
  <si>
    <t>088</t>
  </si>
  <si>
    <t>088-AS Raymond</t>
  </si>
  <si>
    <t>Finance General</t>
  </si>
  <si>
    <t>009100</t>
  </si>
  <si>
    <t>AS Raymond</t>
  </si>
  <si>
    <t/>
  </si>
  <si>
    <t/>
  </si>
  <si>
    <t>USA</t>
  </si>
  <si>
    <t>S17</t>
  </si>
  <si>
    <t>FMG-S17</t>
  </si>
  <si>
    <t>KSW</t>
  </si>
  <si>
    <t>Duane</t>
  </si>
  <si>
    <t>A</t>
  </si>
  <si>
    <t>Turner</t>
  </si>
  <si>
    <t/>
  </si>
  <si>
    <t/>
  </si>
  <si>
    <t>Steen, Michael</t>
  </si>
  <si>
    <t>V0U211062</t>
  </si>
  <si>
    <t/>
  </si>
  <si>
    <t>ugkone10@yahoo.com</t>
  </si>
  <si>
    <t>Machinist B</t>
  </si>
  <si>
    <t>Active</t>
  </si>
  <si>
    <t>206110</t>
  </si>
  <si>
    <t>Biweekly</t>
  </si>
  <si>
    <t>Full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</si>
  <si>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</si>
  <si>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</si>
  <si>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</si>
  <si>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</si>
  <si>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</si>
  <si>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</si>
  <si>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</si>
  <si>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</si>
  <si>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H07</t>
  </si>
  <si>
    <t>FMG-H07</t>
  </si>
  <si>
    <t>KSX</t>
  </si>
  <si>
    <t>Benjamin</t>
  </si>
  <si>
    <t>D</t>
  </si>
  <si>
    <t>Uncapher</t>
  </si>
  <si>
    <t/>
  </si>
  <si>
    <t/>
  </si>
  <si>
    <t>Rafferty, Jonathan</t>
  </si>
  <si>
    <t>KSY211131</t>
  </si>
  <si>
    <t>buncapher@onebarnes.com</t>
  </si>
  <si>
    <t/>
  </si>
  <si>
    <t>Rep, Customer Service III</t>
  </si>
  <si>
    <t>Active</t>
  </si>
  <si>
    <t>212254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</si>
  <si>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</si>
  <si>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</si>
  <si>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</si>
  <si>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</si>
  <si>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</si>
  <si>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</si>
  <si>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</si>
  <si>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</si>
  <si>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</si>
  <si>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</si>
  <si>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</si>
  <si>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</si>
  <si>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KSY</t>
  </si>
  <si>
    <t>Benjamin</t>
  </si>
  <si>
    <t>D</t>
  </si>
  <si>
    <t>Uncapher</t>
  </si>
  <si>
    <t/>
  </si>
  <si>
    <t/>
  </si>
  <si>
    <t/>
  </si>
  <si>
    <t/>
  </si>
  <si>
    <t>buncapher@onebarnes.com</t>
  </si>
  <si>
    <t/>
  </si>
  <si>
    <t>Rep, Customer Service III</t>
  </si>
  <si>
    <t>Terminated</t>
  </si>
  <si>
    <t>212254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</si>
  <si>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</si>
  <si>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</si>
  <si>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</si>
  <si>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</si>
  <si>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</si>
  <si>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</si>
  <si>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</si>
  <si>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</si>
  <si>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</si>
  <si>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</si>
  <si>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S11</t>
  </si>
  <si>
    <t>FMG-S11</t>
  </si>
  <si>
    <t>V0U</t>
  </si>
  <si>
    <t>David</t>
  </si>
  <si>
    <t/>
  </si>
  <si>
    <t>Valetta</t>
  </si>
  <si>
    <t/>
  </si>
  <si>
    <t/>
  </si>
  <si>
    <t>Bair, Teresa</t>
  </si>
  <si>
    <t>KSY207709</t>
  </si>
  <si>
    <t>dvaletta@onebarnes.com</t>
  </si>
  <si>
    <t>dval8200@yahoo.com</t>
  </si>
  <si>
    <t>Dir, Pricing</t>
  </si>
  <si>
    <t>Active</t>
  </si>
  <si>
    <t>211601</t>
  </si>
  <si>
    <t>Monthly</t>
  </si>
  <si>
    <t>Full Time</t>
  </si>
  <si>
    <t>025</t>
  </si>
  <si>
    <t>025-NGP Hyson Products</t>
  </si>
  <si>
    <t>Outside Sales</t>
  </si>
  <si>
    <t>000820</t>
  </si>
  <si>
    <t>Works from home - Ohio</t>
  </si>
  <si>
    <t/>
  </si>
  <si>
    <t/>
  </si>
  <si>
    <t>USA</t>
  </si>
  <si>
    <t>S19</t>
  </si>
  <si>
    <t>FMG-S19</t>
  </si>
  <si>
    <t>KSW</t>
  </si>
  <si>
    <t>Brennen</t>
  </si>
  <si>
    <t>G</t>
  </si>
  <si>
    <t>Valley</t>
  </si>
  <si>
    <t/>
  </si>
  <si>
    <t/>
  </si>
  <si>
    <t>Steen, Michael</t>
  </si>
  <si>
    <t>V0U211062</t>
  </si>
  <si>
    <t>bvalley@onebarnes.com</t>
  </si>
  <si>
    <t/>
  </si>
  <si>
    <t xml:space="preserve">Machinist, CNC </t>
  </si>
  <si>
    <t>Active</t>
  </si>
  <si>
    <t>206287</t>
  </si>
  <si>
    <t>Biweekly</t>
  </si>
  <si>
    <t>Part Time</t>
  </si>
  <si>
    <t>025</t>
  </si>
  <si>
    <t>025-NGP Hyson Products</t>
  </si>
  <si>
    <t>CNC Lathe Hyson</t>
  </si>
  <si>
    <t>000100</t>
  </si>
  <si>
    <t>Hyson Products</t>
  </si>
  <si>
    <t/>
  </si>
  <si>
    <t/>
  </si>
  <si>
    <t>USA</t>
  </si>
  <si>
    <t>H04</t>
  </si>
  <si>
    <t>FMG-H04</t>
  </si>
  <si>
    <t>KSY</t>
  </si>
  <si>
    <t>Brittany</t>
  </si>
  <si>
    <t>M</t>
  </si>
  <si>
    <t>Velner</t>
  </si>
  <si>
    <t/>
  </si>
  <si>
    <t/>
  </si>
  <si>
    <t/>
  </si>
  <si>
    <t/>
  </si>
  <si>
    <t>bvelner@onebarnes.com</t>
  </si>
  <si>
    <t/>
  </si>
  <si>
    <t xml:space="preserve">Lead, Cust Serv </t>
  </si>
  <si>
    <t>Terminated</t>
  </si>
  <si>
    <t>212687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</si>
  <si>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</si>
  <si>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</si>
  <si>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</si>
  <si>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</si>
  <si>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</si>
  <si>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</si>
  <si>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</si>
  <si>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</si>
  <si>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</si>
  <si>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</si>
  <si>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S12</t>
  </si>
  <si>
    <t>FMG-S12</t>
  </si>
  <si>
    <t>KSX</t>
  </si>
  <si>
    <t>Craig</t>
  </si>
  <si>
    <t/>
  </si>
  <si>
    <t>Wagner</t>
  </si>
  <si>
    <t/>
  </si>
  <si>
    <t/>
  </si>
  <si>
    <t>Burchell, Mathew</t>
  </si>
  <si>
    <t>KSY211756</t>
  </si>
  <si>
    <t>cwagner@onebarnes.com</t>
  </si>
  <si>
    <t>mich_n_trum84@yahoo.com</t>
  </si>
  <si>
    <t>Assistant, Warehouse</t>
  </si>
  <si>
    <t>Active</t>
  </si>
  <si>
    <t>206272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</si>
  <si>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</si>
  <si>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</si>
  <si>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</si>
  <si>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</si>
  <si>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</si>
  <si>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</si>
  <si>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</si>
  <si>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</si>
  <si>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</si>
  <si>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</si>
  <si>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S08</t>
  </si>
  <si>
    <t>FMG-S08</t>
  </si>
  <si>
    <t>V0U</t>
  </si>
  <si>
    <t>Terry</t>
  </si>
  <si>
    <t/>
  </si>
  <si>
    <t>Wagner</t>
  </si>
  <si>
    <t/>
  </si>
  <si>
    <t/>
  </si>
  <si>
    <t/>
  </si>
  <si>
    <t/>
  </si>
  <si>
    <t>Twagner@onebarnes.com</t>
  </si>
  <si>
    <t>Twag137@yahoo.com</t>
  </si>
  <si>
    <t>Rep, Customer Service III</t>
  </si>
  <si>
    <t>Terminated</t>
  </si>
  <si>
    <t>211022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</si>
  <si>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</si>
  <si>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</si>
  <si>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</si>
  <si>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</si>
  <si>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</si>
  <si>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</si>
  <si>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</si>
  <si>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</si>
  <si>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</si>
  <si>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</si>
  <si>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S11</t>
  </si>
  <si>
    <t>FMG-S11</t>
  </si>
  <si>
    <t>V0U</t>
  </si>
  <si>
    <t>Terry</t>
  </si>
  <si>
    <t/>
  </si>
  <si>
    <t>Wagner</t>
  </si>
  <si>
    <t/>
  </si>
  <si>
    <t/>
  </si>
  <si>
    <t/>
  </si>
  <si>
    <t/>
  </si>
  <si>
    <t>Twagner@onebarnes.com</t>
  </si>
  <si>
    <t>Twag137@yahoo.com</t>
  </si>
  <si>
    <t>Rep, Customer Service III</t>
  </si>
  <si>
    <t>Terminated</t>
  </si>
  <si>
    <t>211022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</si>
  <si>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</si>
  <si>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</si>
  <si>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</si>
  <si>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</si>
  <si>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</si>
  <si>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</si>
  <si>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</si>
  <si>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</si>
  <si>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</si>
  <si>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</si>
  <si>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S11</t>
  </si>
  <si>
    <t>FMG-S11</t>
  </si>
  <si>
    <t>KSW</t>
  </si>
  <si>
    <t>Terry</t>
  </si>
  <si>
    <t/>
  </si>
  <si>
    <t>Wagner</t>
  </si>
  <si>
    <t/>
  </si>
  <si>
    <t/>
  </si>
  <si>
    <t>Wallace, Derron</t>
  </si>
  <si>
    <t>V0U211998</t>
  </si>
  <si>
    <t>Twagner@onebarnes.com</t>
  </si>
  <si>
    <t>Twag137@yahoo.com</t>
  </si>
  <si>
    <t>Rep, Customer Service III</t>
  </si>
  <si>
    <t>Active</t>
  </si>
  <si>
    <t>211022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</si>
  <si>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</si>
  <si>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</si>
  <si>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</si>
  <si>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</si>
  <si>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</si>
  <si>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</si>
  <si>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</si>
  <si>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</si>
  <si>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</si>
  <si>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</si>
  <si>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S11</t>
  </si>
  <si>
    <t>FMG-S11</t>
  </si>
  <si>
    <t>V0U</t>
  </si>
  <si>
    <t>Derron</t>
  </si>
  <si>
    <t/>
  </si>
  <si>
    <t>Wallace</t>
  </si>
  <si>
    <t/>
  </si>
  <si>
    <t/>
  </si>
  <si>
    <t>Bate, Natalie</t>
  </si>
  <si>
    <t>V0U213037</t>
  </si>
  <si>
    <t>dwallace@onebarnes.com</t>
  </si>
  <si>
    <t>derronw@gmail.com</t>
  </si>
  <si>
    <t>Mgr, Cust Srvc, Assembly</t>
  </si>
  <si>
    <t>Active</t>
  </si>
  <si>
    <t>211998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</si>
  <si>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</si>
  <si>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</si>
  <si>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</si>
  <si>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</si>
  <si>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</si>
  <si>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</si>
  <si>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</si>
  <si>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</si>
  <si>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</si>
  <si>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</si>
  <si>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S15</t>
  </si>
  <si>
    <t>FMG-S15</t>
  </si>
  <si>
    <t>V0U</t>
  </si>
  <si>
    <t>Dwight</t>
  </si>
  <si>
    <t>A</t>
  </si>
  <si>
    <t>Warner</t>
  </si>
  <si>
    <t/>
  </si>
  <si>
    <t/>
  </si>
  <si>
    <t>Bair, Teresa</t>
  </si>
  <si>
    <t>KSY207709</t>
  </si>
  <si>
    <t>DWarner@onebarnes.com</t>
  </si>
  <si>
    <t/>
  </si>
  <si>
    <t>Dir, Finance I</t>
  </si>
  <si>
    <t>Active</t>
  </si>
  <si>
    <t>008750</t>
  </si>
  <si>
    <t>Monthly</t>
  </si>
  <si>
    <t>Full Time</t>
  </si>
  <si>
    <t>025</t>
  </si>
  <si>
    <t>025-NGP Hyson Products</t>
  </si>
  <si>
    <t>Finance</t>
  </si>
  <si>
    <t>000910</t>
  </si>
  <si>
    <t>Hyson Products</t>
  </si>
  <si>
    <t/>
  </si>
  <si>
    <t/>
  </si>
  <si>
    <t>USA</t>
  </si>
  <si>
    <t>S18</t>
  </si>
  <si>
    <t>FMG-S18</t>
  </si>
  <si>
    <t>KSY</t>
  </si>
  <si>
    <t>Bonnetta</t>
  </si>
  <si>
    <t>D</t>
  </si>
  <si>
    <t>Warren</t>
  </si>
  <si>
    <t/>
  </si>
  <si>
    <t/>
  </si>
  <si>
    <t>Oleksa, Laura</t>
  </si>
  <si>
    <t>V0U209181</t>
  </si>
  <si>
    <t>bwarren@onebarnes.com</t>
  </si>
  <si>
    <t/>
  </si>
  <si>
    <t>Mgr, HR I</t>
  </si>
  <si>
    <t>Active</t>
  </si>
  <si>
    <t>212705</t>
  </si>
  <si>
    <t>Monthly</t>
  </si>
  <si>
    <t>Full Time</t>
  </si>
  <si>
    <t>088</t>
  </si>
  <si>
    <t>088-AS Raymond</t>
  </si>
  <si>
    <t>HR CU</t>
  </si>
  <si>
    <t>009210</t>
  </si>
  <si>
    <t>Works from home - Ohio</t>
  </si>
  <si>
    <t/>
  </si>
  <si>
    <t/>
  </si>
  <si>
    <t>USA</t>
  </si>
  <si>
    <t>S15</t>
  </si>
  <si>
    <t>FMG-S15</t>
  </si>
  <si>
    <t>KSX</t>
  </si>
  <si>
    <t>Latasha</t>
  </si>
  <si>
    <t>C</t>
  </si>
  <si>
    <t>Watkins</t>
  </si>
  <si>
    <t/>
  </si>
  <si>
    <t/>
  </si>
  <si>
    <t/>
  </si>
  <si>
    <t>KSY202533</t>
  </si>
  <si>
    <t/>
  </si>
  <si>
    <t>lwatkins656@gmail.com</t>
  </si>
  <si>
    <t>Rep, Customer Service I</t>
  </si>
  <si>
    <t>Terminated</t>
  </si>
  <si>
    <t>213286</t>
  </si>
  <si>
    <t>Biweekly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</si>
  <si>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</si>
  <si>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</si>
  <si>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</si>
  <si>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</si>
  <si>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</si>
  <si>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</si>
  <si>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</si>
  <si>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</si>
  <si>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</si>
  <si>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S08</t>
  </si>
  <si>
    <t>FMG-S08</t>
  </si>
  <si>
    <t>V0U</t>
  </si>
  <si>
    <t>Russell</t>
  </si>
  <si>
    <t>L</t>
  </si>
  <si>
    <t>Weaver</t>
  </si>
  <si>
    <t/>
  </si>
  <si>
    <t/>
  </si>
  <si>
    <t>Bate, Natalie</t>
  </si>
  <si>
    <t>V0U213037</t>
  </si>
  <si>
    <t>RLWeaver@onebarnes.com</t>
  </si>
  <si>
    <t>therawsoulweaver@gmail.com</t>
  </si>
  <si>
    <t>Engineer, Application II</t>
  </si>
  <si>
    <t>Active</t>
  </si>
  <si>
    <t>901090</t>
  </si>
  <si>
    <t>Monthly</t>
  </si>
  <si>
    <t>Full Time</t>
  </si>
  <si>
    <t>025</t>
  </si>
  <si>
    <t>025-NGP Hyson Products</t>
  </si>
  <si>
    <t>R&amp;D</t>
  </si>
  <si>
    <t>000713</t>
  </si>
  <si>
    <t>Hyson Products</t>
  </si>
  <si>
    <t/>
  </si>
  <si>
    <t/>
  </si>
  <si>
    <t>USA</t>
  </si>
  <si>
    <t>S14</t>
  </si>
  <si>
    <t>FMG-S14</t>
  </si>
  <si>
    <t>KSX</t>
  </si>
  <si>
    <t>Joann</t>
  </si>
  <si>
    <t/>
  </si>
  <si>
    <t>Whaley</t>
  </si>
  <si>
    <t/>
  </si>
  <si>
    <t/>
  </si>
  <si>
    <t>Valetta, David</t>
  </si>
  <si>
    <t>V0U211601</t>
  </si>
  <si>
    <t/>
  </si>
  <si>
    <t>subjetta@icloud.com</t>
  </si>
  <si>
    <t>Admin, Sales Support II</t>
  </si>
  <si>
    <t>Active</t>
  </si>
  <si>
    <t>207850</t>
  </si>
  <si>
    <t>Biweekly</t>
  </si>
  <si>
    <t>Full Time</t>
  </si>
  <si>
    <t>088</t>
  </si>
  <si>
    <t>088-AS Raymond</t>
  </si>
  <si>
    <t>Outside Sales</t>
  </si>
  <si>
    <t>008200</t>
  </si>
  <si>
    <t>AS Raymond</t>
  </si>
  <si>
    <t/>
  </si>
  <si>
    <t/>
  </si>
  <si>
    <t>USA</t>
  </si>
  <si>
    <t>S10</t>
  </si>
  <si>
    <t>FMG-S10</t>
  </si>
  <si>
    <t>KSW</t>
  </si>
  <si>
    <t>Daniel</t>
  </si>
  <si>
    <t/>
  </si>
  <si>
    <t>White</t>
  </si>
  <si>
    <t/>
  </si>
  <si>
    <t/>
  </si>
  <si>
    <t>Wallace, Derron</t>
  </si>
  <si>
    <t>V0U211998</t>
  </si>
  <si>
    <t>dwhite@onebarnes.com</t>
  </si>
  <si>
    <t>tntwhite33@aol.com</t>
  </si>
  <si>
    <t>Rep, Customer Service II</t>
  </si>
  <si>
    <t>Active</t>
  </si>
  <si>
    <t>211939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</si>
  <si>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</si>
  <si>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</si>
  <si>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</si>
  <si>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</si>
  <si>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</si>
  <si>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</si>
  <si>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</si>
  <si>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</si>
  <si>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</si>
  <si>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</si>
  <si>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</si>
  <si>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</si>
  <si>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</si>
  <si>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Daniel</t>
  </si>
  <si>
    <t/>
  </si>
  <si>
    <t>White</t>
  </si>
  <si>
    <t/>
  </si>
  <si>
    <t/>
  </si>
  <si>
    <t/>
  </si>
  <si>
    <t/>
  </si>
  <si>
    <t>dwhite@onebarnes.com</t>
  </si>
  <si>
    <t>tntwhite33@aol.com</t>
  </si>
  <si>
    <t>Rep, Customer Service II</t>
  </si>
  <si>
    <t>Terminated</t>
  </si>
  <si>
    <t>211939</t>
  </si>
  <si>
    <t>Biweekly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</si>
  <si>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</si>
  <si>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</si>
  <si>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</si>
  <si>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</si>
  <si>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</si>
  <si>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</si>
  <si>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</si>
  <si>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</si>
  <si>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</si>
  <si>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</si>
  <si>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</si>
  <si>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</si>
  <si>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Daniel</t>
  </si>
  <si>
    <t/>
  </si>
  <si>
    <t>White</t>
  </si>
  <si>
    <t/>
  </si>
  <si>
    <t/>
  </si>
  <si>
    <t/>
  </si>
  <si>
    <t/>
  </si>
  <si>
    <t>dwhite@onebarnes.com</t>
  </si>
  <si>
    <t>tntwhite33@aol.com</t>
  </si>
  <si>
    <t>Rep, Customer Service II</t>
  </si>
  <si>
    <t>Terminated</t>
  </si>
  <si>
    <t>211939</t>
  </si>
  <si>
    <t>Monthly</t>
  </si>
  <si>
    <t>Full Time</t>
  </si>
  <si>
    <t>025</t>
  </si>
  <si>
    <t>025-NGP Hyson Products</t>
  </si>
  <si>
    <t>Inside Sales</t>
  </si>
  <si>
    <t>000850</t>
  </si>
  <si>
    <t>Hyson Products</t>
  </si>
  <si>
    <t/>
  </si>
  <si>
    <t/>
  </si>
  <si>
    <t>USA</t>
  </si>
  <si>
    <t>S10</t>
  </si>
  <si>
    <t>FMG-S10</t>
  </si>
  <si>
    <t>V0U</t>
  </si>
  <si>
    <t>William</t>
  </si>
  <si>
    <t>M</t>
  </si>
  <si>
    <t>Wilkins</t>
  </si>
  <si>
    <t/>
  </si>
  <si>
    <t/>
  </si>
  <si>
    <t>Rodriguez, Siobhan</t>
  </si>
  <si>
    <t>V0U207588</t>
  </si>
  <si>
    <t>wwilkins@onebarnes.com</t>
  </si>
  <si>
    <t>corvid777@outlook.com</t>
  </si>
  <si>
    <t>Mgr, Sales II</t>
  </si>
  <si>
    <t>Active</t>
  </si>
  <si>
    <t>901934</t>
  </si>
  <si>
    <t>Monthly</t>
  </si>
  <si>
    <t>Full Time</t>
  </si>
  <si>
    <t>025</t>
  </si>
  <si>
    <t>025-NGP Hyson Products</t>
  </si>
  <si>
    <t>Outside Sales</t>
  </si>
  <si>
    <t>000820</t>
  </si>
  <si>
    <t>Hyson Products</t>
  </si>
  <si>
    <t/>
  </si>
  <si>
    <t/>
  </si>
  <si>
    <t>USA</t>
  </si>
  <si>
    <t>S17</t>
  </si>
  <si>
    <t>FMG-S17</t>
  </si>
  <si>
    <t>KSX</t>
  </si>
  <si>
    <t>Barbara</t>
  </si>
  <si>
    <t>C</t>
  </si>
  <si>
    <t>Wilkinson</t>
  </si>
  <si>
    <t/>
  </si>
  <si>
    <t/>
  </si>
  <si>
    <t>Burchell, Mathew</t>
  </si>
  <si>
    <t>KSY211756</t>
  </si>
  <si>
    <t/>
  </si>
  <si>
    <t>wilkinsonb518@gmail.com</t>
  </si>
  <si>
    <t>Assistant, Warehouse II</t>
  </si>
  <si>
    <t>Active</t>
  </si>
  <si>
    <t>209539</t>
  </si>
  <si>
    <t>Biweekly</t>
  </si>
  <si>
    <t>Full Time</t>
  </si>
  <si>
    <t>088</t>
  </si>
  <si>
    <t>088-AS Raymond</t>
  </si>
  <si>
    <t>Assembly</t>
  </si>
  <si>
    <t>005100</t>
  </si>
  <si>
    <t>AS Raymond</t>
  </si>
  <si>
    <t/>
  </si>
  <si>
    <t/>
  </si>
  <si>
    <t>USA</t>
  </si>
  <si>
    <t>S05</t>
  </si>
  <si>
    <t>FMG-S05</t>
  </si>
  <si>
    <t>KSY</t>
  </si>
  <si>
    <t>Rachel</t>
  </si>
  <si>
    <t>L</t>
  </si>
  <si>
    <t>Williams</t>
  </si>
  <si>
    <t/>
  </si>
  <si>
    <t/>
  </si>
  <si>
    <t>Kemenah, Greg</t>
  </si>
  <si>
    <t>KSY211766</t>
  </si>
  <si>
    <t>rmarchyok@onebarnes.com</t>
  </si>
  <si>
    <t>rachel.marchyok@gmail.com</t>
  </si>
  <si>
    <t>Mgr, Customer Service I</t>
  </si>
  <si>
    <t>Active</t>
  </si>
  <si>
    <t>202533</t>
  </si>
  <si>
    <t>Monthly</t>
  </si>
  <si>
    <t>Full Time</t>
  </si>
  <si>
    <t>088</t>
  </si>
  <si>
    <t>088-AS Raymond</t>
  </si>
  <si>
    <t>Inside Sales</t>
  </si>
  <si>
    <t>008100</t>
  </si>
  <si>
    <t>AS Raymond</t>
  </si>
  <si>
    <t/>
  </si>
  <si>
    <t/>
  </si>
  <si>
    <t>USA</t>
  </si>
  <si>
    <t>S14</t>
  </si>
  <si>
    <t>FMG-S14</t>
  </si>
  <si>
    <t>KSY</t>
  </si>
  <si>
    <t>Shelly</t>
  </si>
  <si>
    <t>R</t>
  </si>
  <si>
    <t>Willis-Garza</t>
  </si>
  <si>
    <t/>
  </si>
  <si>
    <t/>
  </si>
  <si>
    <t>Creager, Andrew</t>
  </si>
  <si>
    <t>KSY212699</t>
  </si>
  <si>
    <t>swillis-garza@onebarnes.com</t>
  </si>
  <si>
    <t/>
  </si>
  <si>
    <t>Buyer II</t>
  </si>
  <si>
    <t>Active</t>
  </si>
  <si>
    <t>206672</t>
  </si>
  <si>
    <t>Monthly</t>
  </si>
  <si>
    <t>Full Time</t>
  </si>
  <si>
    <t>088</t>
  </si>
  <si>
    <t>088-AS Raymond</t>
  </si>
  <si>
    <t>Admin-Material Management</t>
  </si>
  <si>
    <t>009400</t>
  </si>
  <si>
    <t>Work from home - Texas</t>
  </si>
  <si>
    <t/>
  </si>
  <si>
    <t/>
  </si>
  <si>
    <t>USA</t>
  </si>
  <si>
    <t>S12</t>
  </si>
  <si>
    <t>FMG-S12</t>
  </si>
  <si>
    <t>KSY</t>
  </si>
  <si>
    <t>David</t>
  </si>
  <si>
    <t/>
  </si>
  <si>
    <t>Wilson</t>
  </si>
  <si>
    <t/>
  </si>
  <si>
    <t/>
  </si>
  <si>
    <t>Alexander, Thomas</t>
  </si>
  <si>
    <t>KSY210892</t>
  </si>
  <si>
    <t>dwilson@onebarnes.com</t>
  </si>
  <si>
    <t/>
  </si>
  <si>
    <t>Tech, Quality III</t>
  </si>
  <si>
    <t>Active</t>
  </si>
  <si>
    <t>207809</t>
  </si>
  <si>
    <t>Monthly</t>
  </si>
  <si>
    <t>Full Time</t>
  </si>
  <si>
    <t>088</t>
  </si>
  <si>
    <t>088-AS Raymond</t>
  </si>
  <si>
    <t>Admin-Quality</t>
  </si>
  <si>
    <t>009500</t>
  </si>
  <si>
    <t>AS Raymond</t>
  </si>
  <si>
    <t/>
  </si>
  <si>
    <t/>
  </si>
  <si>
    <t>USA</t>
  </si>
  <si>
    <t>S12</t>
  </si>
  <si>
    <t>FMG-S12</t>
  </si>
  <si>
    <t>KSW</t>
  </si>
  <si>
    <t>Richard</t>
  </si>
  <si>
    <t>M</t>
  </si>
  <si>
    <t>Wright</t>
  </si>
  <si>
    <t>Max</t>
  </si>
  <si>
    <t>Wright</t>
  </si>
  <si>
    <t>Gang, Terry</t>
  </si>
  <si>
    <t>V0U006780</t>
  </si>
  <si>
    <t>mwright@onebarnes.com</t>
  </si>
  <si>
    <t/>
  </si>
  <si>
    <t>Mechanic, Maintenance A</t>
  </si>
  <si>
    <t>Active</t>
  </si>
  <si>
    <t>212100</t>
  </si>
  <si>
    <t>Biweekly</t>
  </si>
  <si>
    <t>Full Time</t>
  </si>
  <si>
    <t>025</t>
  </si>
  <si>
    <t>025-NGP Hyson Products</t>
  </si>
  <si>
    <t>Maintenance-Hyson</t>
  </si>
  <si>
    <t>000450</t>
  </si>
  <si>
    <t>Hyson Products</t>
  </si>
  <si>
    <t/>
  </si>
  <si>
    <t/>
  </si>
  <si>
    <t>USA</t>
  </si>
  <si>
    <t>H08</t>
  </si>
  <si>
    <t>FMG-H08</t>
  </si>
  <si>
    <t>Missing work email address</t>
  </si>
  <si>
    <t>Non US Temp Employee</t>
  </si>
  <si>
    <t>Missing Supervisor</t>
  </si>
  <si>
    <t>Top of food chain</t>
  </si>
  <si>
    <t>Map and Filter</t>
  </si>
  <si>
    <t>Map based on ERP length</t>
  </si>
  <si>
    <t>Will be filled in</t>
  </si>
  <si>
    <t>SupervisorID Formatted</t>
  </si>
  <si>
    <t>Org Unit 1</t>
  </si>
  <si>
    <t>Org Unit 2</t>
  </si>
  <si>
    <t>Concur Profile</t>
  </si>
  <si>
    <t>0096</t>
  </si>
  <si>
    <t>0088</t>
  </si>
  <si>
    <t>0002</t>
  </si>
  <si>
    <t>0004</t>
  </si>
  <si>
    <t>0007</t>
  </si>
  <si>
    <t>Concur Org 1 (and others)</t>
  </si>
  <si>
    <t>Concur / ERP Code Org 2</t>
  </si>
  <si>
    <t>Trx Type (305)</t>
  </si>
  <si>
    <t xml:space="preserve">First Name </t>
  </si>
  <si>
    <r>
      <rPr>
        <b/>
        <sz val="9"/>
        <rFont val="Arial"/>
        <family val="2"/>
      </rPr>
      <t xml:space="preserve">Middle Name </t>
    </r>
    <r>
      <rPr>
        <sz val="8"/>
        <color indexed="16"/>
        <rFont val="Arial"/>
        <family val="2"/>
      </rPr>
      <t>(required for travel ONLY if on traveler's ID)</t>
    </r>
  </si>
  <si>
    <t>Last Name</t>
  </si>
  <si>
    <r>
      <t xml:space="preserve">Employee  ID
</t>
    </r>
    <r>
      <rPr>
        <sz val="8"/>
        <color indexed="16"/>
        <rFont val="Arial"/>
        <family val="2"/>
      </rPr>
      <t>(Cannot be changed using this record - reference 320)</t>
    </r>
  </si>
  <si>
    <r>
      <t xml:space="preserve">Login ID 
</t>
    </r>
    <r>
      <rPr>
        <sz val="8"/>
        <color indexed="16"/>
        <rFont val="Arial"/>
        <family val="2"/>
      </rPr>
      <t>(Cannot be changed using this record - reference 320)</t>
    </r>
  </si>
  <si>
    <r>
      <t>Password</t>
    </r>
    <r>
      <rPr>
        <sz val="9"/>
        <color indexed="16"/>
        <rFont val="Arial"/>
        <family val="2"/>
      </rPr>
      <t xml:space="preserve"> 
</t>
    </r>
    <r>
      <rPr>
        <sz val="8"/>
        <color indexed="16"/>
        <rFont val="Arial"/>
        <family val="2"/>
      </rPr>
      <t>(only required if Password Gen in 100 = TEXT)</t>
    </r>
  </si>
  <si>
    <r>
      <t xml:space="preserve">Email Address </t>
    </r>
    <r>
      <rPr>
        <sz val="8"/>
        <color indexed="16"/>
        <rFont val="Arial"/>
        <family val="2"/>
      </rPr>
      <t>(required for Concur Travel &amp; Expense)</t>
    </r>
  </si>
  <si>
    <t>Locale Code</t>
  </si>
  <si>
    <t>Ctry Code</t>
  </si>
  <si>
    <t>Ctry Sub Code</t>
  </si>
  <si>
    <t>Ledger Code</t>
  </si>
  <si>
    <t>Reimbursement CRN Code</t>
  </si>
  <si>
    <t>Cash Advance Account Code</t>
  </si>
  <si>
    <t>Active
(Y/N)</t>
  </si>
  <si>
    <t>Org Unit 3</t>
  </si>
  <si>
    <t>Org Unit 4</t>
  </si>
  <si>
    <t>Org Unit 5</t>
  </si>
  <si>
    <t>Org Unit 6</t>
  </si>
  <si>
    <t>Custom 1</t>
  </si>
  <si>
    <t>Custom 4</t>
  </si>
  <si>
    <t>Custom 6</t>
  </si>
  <si>
    <t>Custom 9</t>
  </si>
  <si>
    <r>
      <t>Custom 10</t>
    </r>
    <r>
      <rPr>
        <b/>
        <sz val="8"/>
        <rFont val="Arial"/>
        <family val="2"/>
      </rPr>
      <t xml:space="preserve"> </t>
    </r>
  </si>
  <si>
    <t>Custom 11</t>
  </si>
  <si>
    <t>Custom 12</t>
  </si>
  <si>
    <t>Custom 13</t>
  </si>
  <si>
    <t>Custom 14</t>
  </si>
  <si>
    <t>Custom 15</t>
  </si>
  <si>
    <t>Custom 16</t>
  </si>
  <si>
    <r>
      <rPr>
        <b/>
        <sz val="9"/>
        <color indexed="62"/>
        <rFont val="Arial"/>
        <family val="2"/>
      </rPr>
      <t>Custom 17</t>
    </r>
    <r>
      <rPr>
        <b/>
        <sz val="9"/>
        <rFont val="Arial"/>
        <family val="2"/>
      </rPr>
      <t xml:space="preserve">
</t>
    </r>
    <r>
      <rPr>
        <b/>
        <sz val="9"/>
        <color indexed="62"/>
        <rFont val="Arial"/>
        <family val="2"/>
      </rPr>
      <t>(AP Vendor ID)</t>
    </r>
  </si>
  <si>
    <t>Custom 18</t>
  </si>
  <si>
    <t>Custom 19</t>
  </si>
  <si>
    <t>Custom 20</t>
  </si>
  <si>
    <r>
      <t xml:space="preserve">Custom 21 </t>
    </r>
    <r>
      <rPr>
        <b/>
        <sz val="8"/>
        <color indexed="16"/>
        <rFont val="Arial"/>
        <family val="2"/>
      </rPr>
      <t>Concur Expense Group Hierarchy</t>
    </r>
  </si>
  <si>
    <t>Send email when the cash advance status changes</t>
  </si>
  <si>
    <t>Send email when a cash advance is awaiting approval</t>
  </si>
  <si>
    <t>Send email when the report status changes</t>
  </si>
  <si>
    <t>Send email when a report is awaiting approval</t>
  </si>
  <si>
    <t>Prompt for approver when submitting a report</t>
  </si>
  <si>
    <t>Send email when the travel request status changes</t>
  </si>
  <si>
    <t>Send email when a travel request is awaiting approval</t>
  </si>
  <si>
    <t>Prompt for approver when submitting a travel request</t>
  </si>
  <si>
    <t>Send email when the payment status changes</t>
  </si>
  <si>
    <t>Send email when a payment is awaiting approval</t>
  </si>
  <si>
    <t>Prompt for approver when submitting a payment</t>
  </si>
  <si>
    <t>Prompt to add company card transactions to report</t>
  </si>
  <si>
    <t>Send email when new company card transactions arrive</t>
  </si>
  <si>
    <t>Send email when faxed receipts received</t>
  </si>
  <si>
    <t>Display instructional help on the application pages</t>
  </si>
  <si>
    <t>Display imaging introduction page</t>
  </si>
  <si>
    <t>Employee ID of the Expense Report Approver</t>
  </si>
  <si>
    <t xml:space="preserve">Employee ID of the Cash Advance Approver </t>
  </si>
  <si>
    <t xml:space="preserve">Employee ID of the Request Approver </t>
  </si>
  <si>
    <t xml:space="preserve">Employee ID of the Invoice Approver </t>
  </si>
  <si>
    <t>Expense User (Y/N)</t>
  </si>
  <si>
    <t>Expense and/or Cash Advance Approver (Y/N)</t>
  </si>
  <si>
    <t>Company Card Admin</t>
  </si>
  <si>
    <t>Future Use</t>
  </si>
  <si>
    <t>Receipt Processor</t>
  </si>
  <si>
    <t>Import/Extract Monitor</t>
  </si>
  <si>
    <t>Company Info Admin</t>
  </si>
  <si>
    <t>Offline User</t>
  </si>
  <si>
    <t>Reporting Config Admin</t>
  </si>
  <si>
    <t>Invoice User</t>
  </si>
  <si>
    <t>Invoice Approver</t>
  </si>
  <si>
    <t>Invoice Vendor Manager</t>
  </si>
  <si>
    <t>Expense Audit
Required</t>
  </si>
  <si>
    <t>BI Manager Employee ID</t>
  </si>
  <si>
    <t>Request
User
(Y/N)</t>
  </si>
  <si>
    <t>Request
Approver
(Y/N)</t>
  </si>
  <si>
    <t>Expense Report Approver Employee ID 2</t>
  </si>
  <si>
    <t>A Payment Request has been Assigned</t>
  </si>
  <si>
    <t>Future Use 1</t>
  </si>
  <si>
    <t>Future Use 2</t>
  </si>
  <si>
    <t>Tax
Administrator</t>
  </si>
  <si>
    <t>FBT
Administrator</t>
  </si>
  <si>
    <r>
      <t xml:space="preserve">Travel Wizard User </t>
    </r>
    <r>
      <rPr>
        <b/>
        <sz val="9"/>
        <color indexed="62"/>
        <rFont val="Arial"/>
        <family val="2"/>
      </rPr>
      <t>(Y/N where Y grants access to Travel component of Concur Travel &amp; Expense)</t>
    </r>
  </si>
  <si>
    <t>Custom 22 Concur Invoice Group Hierarchy</t>
  </si>
  <si>
    <t>Request Approver Employee ID 2</t>
  </si>
  <si>
    <t>Is Non Employee (Y/N)</t>
  </si>
  <si>
    <t>Reimbursement Type</t>
  </si>
  <si>
    <t>ADP Employee ID</t>
  </si>
  <si>
    <t>ADP Company Code</t>
  </si>
  <si>
    <t>ADP Deduction Code</t>
  </si>
  <si>
    <t>Budget Manager Employee ID</t>
  </si>
  <si>
    <t>Budget Owner</t>
  </si>
  <si>
    <t>Budget Viewer</t>
  </si>
  <si>
    <t>Budget Approver</t>
  </si>
  <si>
    <t>Budget Admin</t>
  </si>
  <si>
    <t>Future Use 12</t>
  </si>
  <si>
    <t>Future Use 13</t>
  </si>
  <si>
    <t>Future Use 14</t>
  </si>
  <si>
    <t>Future Use 15</t>
  </si>
  <si>
    <t>Future Use 16</t>
  </si>
  <si>
    <t>Future Use 17</t>
  </si>
  <si>
    <t>Future Use 18</t>
  </si>
  <si>
    <t>Future Use 19</t>
  </si>
  <si>
    <t>Future Use 20</t>
  </si>
  <si>
    <t>Future Use 21</t>
  </si>
  <si>
    <t>Future Use 22</t>
  </si>
  <si>
    <t>Future Use 23</t>
  </si>
  <si>
    <t>Future Use 24</t>
  </si>
  <si>
    <t>Future Use 25</t>
  </si>
  <si>
    <t>Future Use 26</t>
  </si>
  <si>
    <t>Future Use 27</t>
  </si>
  <si>
    <t>Future Use 28</t>
  </si>
  <si>
    <t>Future Use 29</t>
  </si>
  <si>
    <t>Future Use 30</t>
  </si>
  <si>
    <t>Future Use 31</t>
  </si>
  <si>
    <t>Future Use 32</t>
  </si>
  <si>
    <t>Future Use 33</t>
  </si>
  <si>
    <t>Future Use 34</t>
  </si>
  <si>
    <t>Future Use 35</t>
  </si>
  <si>
    <t>Future Use 36</t>
  </si>
  <si>
    <t>Future Use 37</t>
  </si>
  <si>
    <t>Future Use 38</t>
  </si>
  <si>
    <t>Future Use 39</t>
  </si>
  <si>
    <t>Future Use 40</t>
  </si>
  <si>
    <t>Future Use 41</t>
  </si>
  <si>
    <t>Future Use 42</t>
  </si>
  <si>
    <t>Future Use 43</t>
  </si>
  <si>
    <t>Future Use 44</t>
  </si>
  <si>
    <t>Future Use 45</t>
  </si>
  <si>
    <t>Future Use 46</t>
  </si>
  <si>
    <t>Future Use 47</t>
  </si>
  <si>
    <t>Future Use 48</t>
  </si>
  <si>
    <t>Future Use 49</t>
  </si>
  <si>
    <t>Future Use 50</t>
  </si>
  <si>
    <t>N</t>
  </si>
  <si>
    <t>Grade 20</t>
  </si>
  <si>
    <t>S24</t>
  </si>
  <si>
    <t>S23</t>
  </si>
  <si>
    <t>FMG-S20</t>
  </si>
  <si>
    <t>FMG-S21</t>
  </si>
  <si>
    <t>FMG-S23</t>
  </si>
  <si>
    <t>FMG-S24</t>
  </si>
  <si>
    <t>Officers</t>
  </si>
  <si>
    <t>S21</t>
  </si>
  <si>
    <t>S20</t>
  </si>
  <si>
    <t>Default</t>
  </si>
  <si>
    <t>Expense Map</t>
  </si>
  <si>
    <t>Travel Map</t>
  </si>
  <si>
    <t>Language</t>
  </si>
  <si>
    <t>ADP Language</t>
  </si>
  <si>
    <t>en_US</t>
  </si>
  <si>
    <t>Exception Employee Id</t>
  </si>
  <si>
    <t>Exception Employee Name</t>
  </si>
  <si>
    <t>Supervisor Employee Name</t>
  </si>
  <si>
    <t>English (Australia)</t>
  </si>
  <si>
    <t>en_AU</t>
  </si>
  <si>
    <t>English (Canada)</t>
  </si>
  <si>
    <t>en_CA</t>
  </si>
  <si>
    <t>English (United Kingdom)</t>
  </si>
  <si>
    <t>en_GB</t>
  </si>
  <si>
    <t>English (Ireland)</t>
  </si>
  <si>
    <t>en_IE</t>
  </si>
  <si>
    <t>English (India)</t>
  </si>
  <si>
    <t>en_IN</t>
  </si>
  <si>
    <t>English (New Zealand)</t>
  </si>
  <si>
    <t>en_NZ</t>
  </si>
  <si>
    <t>English (United States)</t>
  </si>
  <si>
    <t>English (South Africa)</t>
  </si>
  <si>
    <t>en_ZA</t>
  </si>
  <si>
    <t>Bulgarian (Bulgaria)</t>
  </si>
  <si>
    <t>bg_BG</t>
  </si>
  <si>
    <t>Chinese (China)</t>
  </si>
  <si>
    <t>zh_CN</t>
  </si>
  <si>
    <t>Chinese (Hong Kong, China)</t>
  </si>
  <si>
    <t>zh_HK</t>
  </si>
  <si>
    <t>Chinese (Taiwan, China)</t>
  </si>
  <si>
    <t>zh_TW</t>
  </si>
  <si>
    <t>Croatian (Croatia)</t>
  </si>
  <si>
    <t>hr_HR</t>
  </si>
  <si>
    <t>Czech (Czech Republic)</t>
  </si>
  <si>
    <t>cs_CZ</t>
  </si>
  <si>
    <t>Danish (Denmark)</t>
  </si>
  <si>
    <t>da_DK</t>
  </si>
  <si>
    <t>Dutch (Belgium)</t>
  </si>
  <si>
    <t>nl_BE</t>
  </si>
  <si>
    <t>Dutch (Netherlands)</t>
  </si>
  <si>
    <t>nl_NL</t>
  </si>
  <si>
    <t>Finnish (Finland)</t>
  </si>
  <si>
    <t>fi_FI</t>
  </si>
  <si>
    <t>French (Belgium)</t>
  </si>
  <si>
    <t>fr_BE</t>
  </si>
  <si>
    <t>French (Canada)</t>
  </si>
  <si>
    <t>fr_CA</t>
  </si>
  <si>
    <t>French (France)</t>
  </si>
  <si>
    <t>fr_FR</t>
  </si>
  <si>
    <t>French (Luxembourg)</t>
  </si>
  <si>
    <t>fr_LU</t>
  </si>
  <si>
    <t>French (Switzerland)</t>
  </si>
  <si>
    <t>fr_CH</t>
  </si>
  <si>
    <t>German (Austria)</t>
  </si>
  <si>
    <t>de_AT</t>
  </si>
  <si>
    <t>German (Germany)</t>
  </si>
  <si>
    <t>de_DE</t>
  </si>
  <si>
    <t>German (Luxembourg)</t>
  </si>
  <si>
    <t>de_LU</t>
  </si>
  <si>
    <t>German (Switzerland)</t>
  </si>
  <si>
    <t>de_CH</t>
  </si>
  <si>
    <t>Greek (Greece)</t>
  </si>
  <si>
    <t>el_GR</t>
  </si>
  <si>
    <t>Hungarian (Hungary)</t>
  </si>
  <si>
    <t>hu_HU</t>
  </si>
  <si>
    <t>Indonesian (Indonesia)</t>
  </si>
  <si>
    <t>id_ID</t>
  </si>
  <si>
    <t>Italian (Italy)</t>
  </si>
  <si>
    <t>it_IT</t>
  </si>
  <si>
    <t>Italian (Switzerland)</t>
  </si>
  <si>
    <t>it_CH</t>
  </si>
  <si>
    <t>Japanese (Japan)</t>
  </si>
  <si>
    <t>ja_JP</t>
  </si>
  <si>
    <t>Korean (North Korea)</t>
  </si>
  <si>
    <t>ko_KP</t>
  </si>
  <si>
    <t>Korean (South Korea)</t>
  </si>
  <si>
    <t>ko_KR</t>
  </si>
  <si>
    <t>Malay (Malaysia)</t>
  </si>
  <si>
    <t>ms_MY</t>
  </si>
  <si>
    <t>Norwegian (Norway)</t>
  </si>
  <si>
    <t>no_NO</t>
  </si>
  <si>
    <t>Polish (Poland)</t>
  </si>
  <si>
    <t>pl_PL</t>
  </si>
  <si>
    <t>Portuguese (Brazil)</t>
  </si>
  <si>
    <t>pt_BR</t>
  </si>
  <si>
    <t>Romanian (Romania)</t>
  </si>
  <si>
    <t>ro_RO</t>
  </si>
  <si>
    <t>Russian (Russian Federation)</t>
  </si>
  <si>
    <t>ru_RU</t>
  </si>
  <si>
    <t>Slovak (Slovakia)</t>
  </si>
  <si>
    <t>sk_SK</t>
  </si>
  <si>
    <t>Slovenian (Slovenia)</t>
  </si>
  <si>
    <t>sl_SI</t>
  </si>
  <si>
    <t>Spanish (Argentina)</t>
  </si>
  <si>
    <t>es_AR</t>
  </si>
  <si>
    <t>Spanish (Bolivia)</t>
  </si>
  <si>
    <t>es_BO</t>
  </si>
  <si>
    <t>Spanish (Chile)</t>
  </si>
  <si>
    <t>es_CL</t>
  </si>
  <si>
    <t>Spanish (Colombia)</t>
  </si>
  <si>
    <t>es_CO</t>
  </si>
  <si>
    <t>Spanish (Costa Rica)</t>
  </si>
  <si>
    <t>es_CR</t>
  </si>
  <si>
    <t>Spanish (Dominican Republic)</t>
  </si>
  <si>
    <t>es_DO</t>
  </si>
  <si>
    <t>Spanish (Ecuador)</t>
  </si>
  <si>
    <t>es_EC</t>
  </si>
  <si>
    <t>Spanish (El Salvador)</t>
  </si>
  <si>
    <t>es_SV</t>
  </si>
  <si>
    <t>Spanish (Guatemala)</t>
  </si>
  <si>
    <t>es_GT</t>
  </si>
  <si>
    <t>Spanish (Honduras)</t>
  </si>
  <si>
    <t>es_HN</t>
  </si>
  <si>
    <t>Spanish (Mexico)</t>
  </si>
  <si>
    <t>es_MX</t>
  </si>
  <si>
    <t>Spanish (Nicaragua)</t>
  </si>
  <si>
    <t>es_NI</t>
  </si>
  <si>
    <t>Spanish (Panama)</t>
  </si>
  <si>
    <t>es_PA</t>
  </si>
  <si>
    <t>Spanish (Paraguay)</t>
  </si>
  <si>
    <t>es_PY</t>
  </si>
  <si>
    <t>Spanish (Peru)</t>
  </si>
  <si>
    <t>es_PE</t>
  </si>
  <si>
    <t>Spanish (Puerto Rico)</t>
  </si>
  <si>
    <t>es_PR</t>
  </si>
  <si>
    <t>Spanish (Spain)</t>
  </si>
  <si>
    <t>es_ES</t>
  </si>
  <si>
    <t>Spanish (Uruguay)</t>
  </si>
  <si>
    <t>es_UY</t>
  </si>
  <si>
    <t>Spanish (Venezuela)</t>
  </si>
  <si>
    <t>es_VE</t>
  </si>
  <si>
    <t>Swedish (Sweden)</t>
  </si>
  <si>
    <t>sv_SE</t>
  </si>
  <si>
    <t>Thai (Thailand)</t>
  </si>
  <si>
    <t>th_TH</t>
  </si>
  <si>
    <t>Turkish (Turkey)</t>
  </si>
  <si>
    <t>tr_TR</t>
  </si>
  <si>
    <t>Ukrainian (Ukraine)</t>
  </si>
  <si>
    <t>uk_UA</t>
  </si>
  <si>
    <t>Vietnamese (Vietnam)</t>
  </si>
  <si>
    <t>vi_VN</t>
  </si>
  <si>
    <t>en_</t>
  </si>
  <si>
    <t>Chinese</t>
  </si>
  <si>
    <t>Bulgarian</t>
  </si>
  <si>
    <t>bg_</t>
  </si>
  <si>
    <t>zh_</t>
  </si>
  <si>
    <t>Croatian</t>
  </si>
  <si>
    <t>hr_</t>
  </si>
  <si>
    <t>Czech</t>
  </si>
  <si>
    <t>cs_</t>
  </si>
  <si>
    <t>Danish</t>
  </si>
  <si>
    <t>da_</t>
  </si>
  <si>
    <t>Dutch</t>
  </si>
  <si>
    <t>nl_</t>
  </si>
  <si>
    <t>Finnish</t>
  </si>
  <si>
    <t>fi_</t>
  </si>
  <si>
    <t>French</t>
  </si>
  <si>
    <t>fr_</t>
  </si>
  <si>
    <t>German</t>
  </si>
  <si>
    <t>de_</t>
  </si>
  <si>
    <t>Greek</t>
  </si>
  <si>
    <t>el_</t>
  </si>
  <si>
    <t>Hungarian</t>
  </si>
  <si>
    <t>hu_</t>
  </si>
  <si>
    <t>Indonesian</t>
  </si>
  <si>
    <t>id_</t>
  </si>
  <si>
    <t>Italian</t>
  </si>
  <si>
    <t>it_</t>
  </si>
  <si>
    <t>Japanese</t>
  </si>
  <si>
    <t>ja_</t>
  </si>
  <si>
    <t>Korean</t>
  </si>
  <si>
    <t>ko_</t>
  </si>
  <si>
    <t>Malay</t>
  </si>
  <si>
    <t>ms_</t>
  </si>
  <si>
    <t>Norwegian</t>
  </si>
  <si>
    <t>no_</t>
  </si>
  <si>
    <t>Polish</t>
  </si>
  <si>
    <t>pl_</t>
  </si>
  <si>
    <t>Portuguese</t>
  </si>
  <si>
    <t>pt_</t>
  </si>
  <si>
    <t>Romanian</t>
  </si>
  <si>
    <t>ro_</t>
  </si>
  <si>
    <t>Russian</t>
  </si>
  <si>
    <t>ru_</t>
  </si>
  <si>
    <t>Slovak</t>
  </si>
  <si>
    <t>sk_</t>
  </si>
  <si>
    <t>Slovenian</t>
  </si>
  <si>
    <t>sl_</t>
  </si>
  <si>
    <t>Spanish</t>
  </si>
  <si>
    <t>es_</t>
  </si>
  <si>
    <t>Swedish</t>
  </si>
  <si>
    <t>sv_</t>
  </si>
  <si>
    <t>Thai</t>
  </si>
  <si>
    <t>th_</t>
  </si>
  <si>
    <t>Turkish</t>
  </si>
  <si>
    <t>tr_</t>
  </si>
  <si>
    <t>Ukrainian</t>
  </si>
  <si>
    <t>uk_</t>
  </si>
  <si>
    <t>Vietnamese</t>
  </si>
  <si>
    <t>vi_</t>
  </si>
  <si>
    <t>ADP Country</t>
  </si>
  <si>
    <t>US</t>
  </si>
  <si>
    <t>Barry, Kirsten</t>
  </si>
  <si>
    <t>Finch, Jeffrey</t>
  </si>
  <si>
    <t>Garber, Anne</t>
  </si>
  <si>
    <t>Moavero, Anthony</t>
  </si>
  <si>
    <t>207199</t>
  </si>
  <si>
    <t>Top of food chain - blank supervisor</t>
  </si>
  <si>
    <t>Travel Profile</t>
  </si>
  <si>
    <t>Legal Country</t>
  </si>
  <si>
    <t>Local Code</t>
  </si>
  <si>
    <t>VIP</t>
  </si>
  <si>
    <t>Senior Leadership</t>
  </si>
  <si>
    <t>General</t>
  </si>
  <si>
    <t>Default Org Language</t>
  </si>
  <si>
    <t>305</t>
  </si>
  <si>
    <t>Y</t>
  </si>
  <si>
    <t>Reimbursement Currency</t>
  </si>
  <si>
    <t>USD</t>
  </si>
  <si>
    <t>Custom 2 Salary Code</t>
  </si>
  <si>
    <t>Custom 3 Expense Profie</t>
  </si>
  <si>
    <t>Custom 5 Department</t>
  </si>
  <si>
    <t>Custom 7 Term Date</t>
  </si>
  <si>
    <t>Custom 8 Preferred Name</t>
  </si>
  <si>
    <t>Welcome01</t>
  </si>
  <si>
    <t>Reumbursement Currency</t>
  </si>
  <si>
    <t>Perferred Name</t>
  </si>
  <si>
    <t>Status</t>
  </si>
  <si>
    <t>Concur Status</t>
  </si>
  <si>
    <t>Term Date</t>
  </si>
  <si>
    <t>All fields must be represented. Fields with dark red text are system-required.  Other fields may be required by your company's configuration.</t>
  </si>
  <si>
    <t>Trx Type (350)</t>
  </si>
  <si>
    <t>Employee ID</t>
  </si>
  <si>
    <t>Name Prefix</t>
  </si>
  <si>
    <t>Name Suffix</t>
  </si>
  <si>
    <t>Nick Name</t>
  </si>
  <si>
    <t>Redress Number</t>
  </si>
  <si>
    <t>Gender</t>
  </si>
  <si>
    <t>Date of Birth</t>
  </si>
  <si>
    <t>Employee ID of the Travel Approver</t>
  </si>
  <si>
    <t>Job Title</t>
  </si>
  <si>
    <t>Work Phone</t>
  </si>
  <si>
    <t>Work Phone Extension</t>
  </si>
  <si>
    <t>Work Fax</t>
  </si>
  <si>
    <t>Home Phone</t>
  </si>
  <si>
    <t>Cell Phone</t>
  </si>
  <si>
    <t>Pager Phone</t>
  </si>
  <si>
    <t>Travel Name Remark</t>
  </si>
  <si>
    <t>Travel Class Name
***CA should convert to US***
•If employee salary level is H00 to Salary 19 then General xx (xx is 2 digit Country code).
•If employee salary level is Salary 20 to Salary 23 then Senior Leadership xx (xx is 2 digit Country code).
•If employee salary level is Salary 24 or greater than  VIP xx (xx is 2 digit Country code).- exclude ELT ID's
•If employee ID is listed below  than ELT xx (xx is 2 digit Country code).</t>
  </si>
  <si>
    <t>GDS Profile Name</t>
  </si>
  <si>
    <t>Org Unit/Division (Equals division code from 305 file, site location from UKG) except UK = Division Name</t>
  </si>
  <si>
    <t>Home Street Address</t>
  </si>
  <si>
    <t>Home City</t>
  </si>
  <si>
    <t>Home State</t>
  </si>
  <si>
    <t>Home Postal Code</t>
  </si>
  <si>
    <t>Home Country</t>
  </si>
  <si>
    <t>Work Street Address</t>
  </si>
  <si>
    <t>Work City</t>
  </si>
  <si>
    <t>Work State</t>
  </si>
  <si>
    <t>Work Postal Code</t>
  </si>
  <si>
    <t>Work Country</t>
  </si>
  <si>
    <t>Email 2</t>
  </si>
  <si>
    <t>Email 3</t>
  </si>
  <si>
    <r>
      <t xml:space="preserve">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</si>
  <si>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</si>
  <si>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 3 (Country of Employement) 
Format: COUNTRY_CODE=</t>
    </r>
    <r>
      <rPr>
        <b/>
        <i/>
        <sz val="9"/>
        <rFont val="Arial"/>
        <family val="2"/>
      </rPr>
      <t>2 letter country code</t>
    </r>
    <r>
      <rPr>
        <b/>
        <sz val="9"/>
        <rFont val="Arial"/>
        <family val="2"/>
      </rPr>
      <t xml:space="preserve">
Can come from Column 10 Ctry Code from 305 file.</t>
    </r>
  </si>
  <si>
    <t>Custom  4</t>
  </si>
  <si>
    <t>Custom  5</t>
  </si>
  <si>
    <t>Custom  6</t>
  </si>
  <si>
    <t>Custom  7</t>
  </si>
  <si>
    <t>Custom  8</t>
  </si>
  <si>
    <t>Custom  9</t>
  </si>
  <si>
    <t>Custom  10</t>
  </si>
  <si>
    <t>Custom  11</t>
  </si>
  <si>
    <t>Custom  12</t>
  </si>
  <si>
    <t>Custom  13</t>
  </si>
  <si>
    <t>Custom  14</t>
  </si>
  <si>
    <t>Custom  15</t>
  </si>
  <si>
    <t>Custom  16</t>
  </si>
  <si>
    <t>Custom  17</t>
  </si>
  <si>
    <t>Custom  18</t>
  </si>
  <si>
    <t>Custom  19</t>
  </si>
  <si>
    <t>Custom  20</t>
  </si>
  <si>
    <t>Custom  21</t>
  </si>
  <si>
    <t>Custom  22</t>
  </si>
  <si>
    <t>Custom  23</t>
  </si>
  <si>
    <t>Custom  24</t>
  </si>
  <si>
    <t>Custom  25</t>
  </si>
  <si>
    <t>XML Profile Synchronization ID</t>
  </si>
  <si>
    <t>Profile User Permission</t>
  </si>
  <si>
    <t>Amadeus User Permission</t>
  </si>
  <si>
    <t>Open Booking User Permission</t>
  </si>
  <si>
    <t>Future Use 5</t>
  </si>
  <si>
    <t>Future Use 6</t>
  </si>
  <si>
    <t>Future Use 7</t>
  </si>
  <si>
    <t>Future Use 8</t>
  </si>
  <si>
    <t>Future Use 9</t>
  </si>
  <si>
    <t>Future Use 10</t>
  </si>
  <si>
    <t>350</t>
  </si>
  <si>
    <t>Trx Type (360)</t>
  </si>
  <si>
    <t>Invoice User Role</t>
  </si>
  <si>
    <t>Invoice Approver Role</t>
  </si>
  <si>
    <t>Invoice Vendor Approver Role</t>
  </si>
  <si>
    <t>Invoice AP User Role</t>
  </si>
  <si>
    <t>Invoice Payment Manager Role</t>
  </si>
  <si>
    <t>Invoice Purchasing Role</t>
  </si>
  <si>
    <t>Purchase Request User</t>
  </si>
  <si>
    <t>Purchase Request Approver</t>
  </si>
  <si>
    <t>Future Use 3</t>
  </si>
  <si>
    <t>Future Use 4</t>
  </si>
  <si>
    <t>Send E-Mail When the Purchase Request Status Changes</t>
  </si>
  <si>
    <t>Send E-Mail When the Purchase Request Is Awaiting Approval</t>
  </si>
  <si>
    <t>Default Purchase Request Approver Employee ID</t>
  </si>
  <si>
    <t>Payment Approver Employee ID</t>
  </si>
  <si>
    <t>Send E-Mail When the Payment Status Changes</t>
  </si>
  <si>
    <t>Send E-Mail When A Payment Is Awaiting Approval</t>
  </si>
  <si>
    <t>Prompt For Approver When Submitting a Payment</t>
  </si>
  <si>
    <t>Send E-Mail When The Payment Request Is Assigned To A User</t>
  </si>
  <si>
    <t>Send E-Mail When Request Is Assigned To Purchasing</t>
  </si>
  <si>
    <t>Send E-Mail When A Request Is Sent Back From Purchasing</t>
  </si>
  <si>
    <t>Send email when a fax image is available for a payment request</t>
  </si>
  <si>
    <t>Prompt a user with a window to create new line items when creating a new payment request</t>
  </si>
  <si>
    <t>Default Shipping Address</t>
  </si>
  <si>
    <t>Display Image In-line</t>
  </si>
  <si>
    <t>Auto Open Image</t>
  </si>
  <si>
    <t>360</t>
  </si>
  <si>
    <t>Do we want to filter here</t>
  </si>
  <si>
    <t>Ricardo</t>
  </si>
  <si>
    <t>Joaquin</t>
  </si>
  <si>
    <t>Juan Carlos</t>
  </si>
  <si>
    <t>Dante</t>
  </si>
  <si>
    <t>Manuel</t>
  </si>
  <si>
    <t>Alfonso</t>
  </si>
  <si>
    <t>Hector</t>
  </si>
  <si>
    <t>Eduardo</t>
  </si>
  <si>
    <t>Douglas</t>
  </si>
  <si>
    <t>Theresa</t>
  </si>
  <si>
    <t>Severine</t>
  </si>
  <si>
    <t>Dean</t>
  </si>
  <si>
    <t>Rebecca</t>
  </si>
  <si>
    <t>Karen</t>
  </si>
  <si>
    <t>Colin</t>
  </si>
  <si>
    <t>Jean-Philippe</t>
  </si>
  <si>
    <t>Mark</t>
  </si>
  <si>
    <t>Linda</t>
  </si>
  <si>
    <t>Wenjun</t>
  </si>
  <si>
    <t>Xiaoqin</t>
  </si>
  <si>
    <t>Cui</t>
  </si>
  <si>
    <t>Shiqi</t>
  </si>
  <si>
    <t>Meining</t>
  </si>
  <si>
    <t>Man</t>
  </si>
  <si>
    <t>Zhenxuan</t>
  </si>
  <si>
    <t>Jun Tao</t>
  </si>
  <si>
    <t>Lei</t>
  </si>
  <si>
    <t>Hong</t>
  </si>
  <si>
    <t>Puwen</t>
  </si>
  <si>
    <t>Bing</t>
  </si>
  <si>
    <t>Benny</t>
  </si>
  <si>
    <t>Clive</t>
  </si>
  <si>
    <t>Yuanyuan</t>
  </si>
  <si>
    <t>Jinkai</t>
  </si>
  <si>
    <t>Yingying</t>
  </si>
  <si>
    <t>Fang</t>
  </si>
  <si>
    <t>Yifan</t>
  </si>
  <si>
    <t>Lingzhen</t>
  </si>
  <si>
    <t>Jiaqing</t>
  </si>
  <si>
    <t>Shanhui</t>
  </si>
  <si>
    <t>HanBing</t>
  </si>
  <si>
    <t>ZongJie</t>
  </si>
  <si>
    <t>Hao</t>
  </si>
  <si>
    <t>Guojun</t>
  </si>
  <si>
    <t>Sandip</t>
  </si>
  <si>
    <t>Akash</t>
  </si>
  <si>
    <t>Teng</t>
  </si>
  <si>
    <t>Byoungwook</t>
  </si>
  <si>
    <t>Yungsek</t>
  </si>
  <si>
    <t>Young-El</t>
  </si>
  <si>
    <t>YongJun</t>
  </si>
  <si>
    <t>Sungjae</t>
  </si>
  <si>
    <t>Raul</t>
  </si>
  <si>
    <t>Victoria</t>
  </si>
  <si>
    <t>Rizwan</t>
  </si>
  <si>
    <t>Stephen</t>
  </si>
  <si>
    <t>Tong</t>
  </si>
  <si>
    <t>Fengyue</t>
  </si>
  <si>
    <t>Wade</t>
  </si>
  <si>
    <t>Sarvijith</t>
  </si>
  <si>
    <t>VICTOR</t>
  </si>
  <si>
    <t>Joao</t>
  </si>
  <si>
    <t>JOSE DANIEL</t>
  </si>
  <si>
    <t>Bryn</t>
  </si>
  <si>
    <t>Monika</t>
  </si>
  <si>
    <t>ISMAEL</t>
  </si>
  <si>
    <t>Harriet</t>
  </si>
  <si>
    <t>JUAN EDUARDO</t>
  </si>
  <si>
    <t>Lee</t>
  </si>
  <si>
    <t>Wei Zhang</t>
  </si>
  <si>
    <t>Fernando</t>
  </si>
  <si>
    <t>Priyanka</t>
  </si>
  <si>
    <t>Carrillo Hinojosa</t>
  </si>
  <si>
    <t>Villarreal</t>
  </si>
  <si>
    <t>Marin Lara</t>
  </si>
  <si>
    <t>Gonzalez Sanchez</t>
  </si>
  <si>
    <t>Castorena García</t>
  </si>
  <si>
    <t>Reyes Lopez</t>
  </si>
  <si>
    <t>Martinez Garza</t>
  </si>
  <si>
    <t>Carrizales</t>
  </si>
  <si>
    <t>McNeilly</t>
  </si>
  <si>
    <t>Hanks</t>
  </si>
  <si>
    <t>Jean-Theodore</t>
  </si>
  <si>
    <t>Lewis</t>
  </si>
  <si>
    <t>Bishop</t>
  </si>
  <si>
    <t>Birch</t>
  </si>
  <si>
    <t>Luchini</t>
  </si>
  <si>
    <t>Duvillard</t>
  </si>
  <si>
    <t>Bryant</t>
  </si>
  <si>
    <t>Streeter</t>
  </si>
  <si>
    <t>Childs</t>
  </si>
  <si>
    <t>Yu</t>
  </si>
  <si>
    <t>Liu</t>
  </si>
  <si>
    <t>Yang</t>
  </si>
  <si>
    <t>Tian</t>
  </si>
  <si>
    <t>Li</t>
  </si>
  <si>
    <t>Zhang</t>
  </si>
  <si>
    <t>Hu</t>
  </si>
  <si>
    <t>Nie</t>
  </si>
  <si>
    <t>Song</t>
  </si>
  <si>
    <t>Hou</t>
  </si>
  <si>
    <t>Wang</t>
  </si>
  <si>
    <t>Ye</t>
  </si>
  <si>
    <t>Zhao</t>
  </si>
  <si>
    <t>Dong</t>
  </si>
  <si>
    <t>Zhu</t>
  </si>
  <si>
    <t>Xu</t>
  </si>
  <si>
    <t>Shi</t>
  </si>
  <si>
    <t>Wu</t>
  </si>
  <si>
    <t>Nikam</t>
  </si>
  <si>
    <t>Deshmukh</t>
  </si>
  <si>
    <t>Lim</t>
  </si>
  <si>
    <t>Chon</t>
  </si>
  <si>
    <t>Jung</t>
  </si>
  <si>
    <t>Kwon</t>
  </si>
  <si>
    <t>Yoon</t>
  </si>
  <si>
    <t>Lu</t>
  </si>
  <si>
    <t>Toroczkai</t>
  </si>
  <si>
    <t>Goodworth</t>
  </si>
  <si>
    <t>Cuthbert</t>
  </si>
  <si>
    <t>Qayyum</t>
  </si>
  <si>
    <t>Luo</t>
  </si>
  <si>
    <t>Guo</t>
  </si>
  <si>
    <t>Overton</t>
  </si>
  <si>
    <t>Sarvothayakumar</t>
  </si>
  <si>
    <t>HILLEL</t>
  </si>
  <si>
    <t>Alves</t>
  </si>
  <si>
    <t>JIMENEZ</t>
  </si>
  <si>
    <t>Duncan</t>
  </si>
  <si>
    <t>Demange</t>
  </si>
  <si>
    <t>VAZQUEZ</t>
  </si>
  <si>
    <t>Nevin</t>
  </si>
  <si>
    <t>MEJORADO</t>
  </si>
  <si>
    <t>Wong</t>
  </si>
  <si>
    <t>Moreno</t>
  </si>
  <si>
    <t>Saha_NGP</t>
  </si>
  <si>
    <t>202181</t>
  </si>
  <si>
    <t>202182</t>
  </si>
  <si>
    <t>202183</t>
  </si>
  <si>
    <t>202184</t>
  </si>
  <si>
    <t>202212</t>
  </si>
  <si>
    <t>202213</t>
  </si>
  <si>
    <t>202218</t>
  </si>
  <si>
    <t>202219</t>
  </si>
  <si>
    <t>203007</t>
  </si>
  <si>
    <t>203009</t>
  </si>
  <si>
    <t>203012</t>
  </si>
  <si>
    <t>203013</t>
  </si>
  <si>
    <t>203016</t>
  </si>
  <si>
    <t>203017</t>
  </si>
  <si>
    <t>203034</t>
  </si>
  <si>
    <t>203036</t>
  </si>
  <si>
    <t>203038</t>
  </si>
  <si>
    <t>203042</t>
  </si>
  <si>
    <t>203046</t>
  </si>
  <si>
    <t>203049</t>
  </si>
  <si>
    <t>204377</t>
  </si>
  <si>
    <t>204378</t>
  </si>
  <si>
    <t>204379</t>
  </si>
  <si>
    <t>204380</t>
  </si>
  <si>
    <t>204381</t>
  </si>
  <si>
    <t>204382</t>
  </si>
  <si>
    <t>204383</t>
  </si>
  <si>
    <t>204853</t>
  </si>
  <si>
    <t>204854</t>
  </si>
  <si>
    <t>204855</t>
  </si>
  <si>
    <t>204856</t>
  </si>
  <si>
    <t>204857</t>
  </si>
  <si>
    <t>204858</t>
  </si>
  <si>
    <t>204859</t>
  </si>
  <si>
    <t>204860</t>
  </si>
  <si>
    <t>204861</t>
  </si>
  <si>
    <t>204862</t>
  </si>
  <si>
    <t>204869</t>
  </si>
  <si>
    <t>204877</t>
  </si>
  <si>
    <t>204878</t>
  </si>
  <si>
    <t>206236</t>
  </si>
  <si>
    <t>206237</t>
  </si>
  <si>
    <t>206238</t>
  </si>
  <si>
    <t>206239</t>
  </si>
  <si>
    <t>206240</t>
  </si>
  <si>
    <t>206241</t>
  </si>
  <si>
    <t>206252</t>
  </si>
  <si>
    <t>206253</t>
  </si>
  <si>
    <t>206256</t>
  </si>
  <si>
    <t>206503</t>
  </si>
  <si>
    <t>206504</t>
  </si>
  <si>
    <t>206507</t>
  </si>
  <si>
    <t>206508</t>
  </si>
  <si>
    <t>206509</t>
  </si>
  <si>
    <t>206559</t>
  </si>
  <si>
    <t>206686</t>
  </si>
  <si>
    <t>206690</t>
  </si>
  <si>
    <t>206691</t>
  </si>
  <si>
    <t>206835</t>
  </si>
  <si>
    <t>207473</t>
  </si>
  <si>
    <t>207477</t>
  </si>
  <si>
    <t>207492</t>
  </si>
  <si>
    <t>207493</t>
  </si>
  <si>
    <t>207559</t>
  </si>
  <si>
    <t>207560</t>
  </si>
  <si>
    <t>207883</t>
  </si>
  <si>
    <t>209278</t>
  </si>
  <si>
    <t>209317</t>
  </si>
  <si>
    <t>209529</t>
  </si>
  <si>
    <t>209532</t>
  </si>
  <si>
    <t>209533</t>
  </si>
  <si>
    <t>209552</t>
  </si>
  <si>
    <t>209574</t>
  </si>
  <si>
    <t>210004</t>
  </si>
  <si>
    <t>210868</t>
  </si>
  <si>
    <t>211599</t>
  </si>
  <si>
    <t>211686</t>
  </si>
  <si>
    <t>Guest013</t>
  </si>
  <si>
    <t>PSAHA_Genpact_NG</t>
  </si>
  <si>
    <t>RCarrillo@onebarnes.com</t>
  </si>
  <si>
    <t>jvillarreal@onebarnes.com</t>
  </si>
  <si>
    <t>JMarin@onebarnes.com</t>
  </si>
  <si>
    <t>DGonzalez@onebarnes.com</t>
  </si>
  <si>
    <t>MCastorena@onebarnes.com</t>
  </si>
  <si>
    <t>AReyes@onebarnes.com</t>
  </si>
  <si>
    <t>HMartinez@onebarnes.com</t>
  </si>
  <si>
    <t>ecarrizales@onebarnes.com</t>
  </si>
  <si>
    <t>dmcneilly@onebarnes.com</t>
  </si>
  <si>
    <t>thanks@assocspring.co.uk</t>
  </si>
  <si>
    <t>sjeantheodore@assocspring.co.uk</t>
  </si>
  <si>
    <t>dlewis@onebarnes.com</t>
  </si>
  <si>
    <t>rbishop@onebarnes.com</t>
  </si>
  <si>
    <t>kbirch@assocspring.co.uk</t>
  </si>
  <si>
    <t>CLuchini@onebarnes.com</t>
  </si>
  <si>
    <t>jduvillard@onebarnes.com</t>
  </si>
  <si>
    <t>MBryant@onebarnes.com</t>
  </si>
  <si>
    <t>linda.joseph@igsltd.co.uk</t>
  </si>
  <si>
    <t>KStreeter@onebarnes.com</t>
  </si>
  <si>
    <t>BChilds@onebarnes.com</t>
  </si>
  <si>
    <t>jacky.yu@asbg.com.cn</t>
  </si>
  <si>
    <t>lliu@onebarnes.com</t>
  </si>
  <si>
    <t>CYang@onebarnes.com</t>
  </si>
  <si>
    <t>qtian@onebarnes.com</t>
  </si>
  <si>
    <t>meliu@onebarnes.com</t>
  </si>
  <si>
    <t>MLi@onebarnes.com</t>
  </si>
  <si>
    <t>ZZhang@onebarnes.com</t>
  </si>
  <si>
    <t>juntao.hu@asbg.com.cn</t>
  </si>
  <si>
    <t>lenie@onebarnes.com</t>
  </si>
  <si>
    <t>hosong@onebarnes.com</t>
  </si>
  <si>
    <t>PHou@onebarnes.com</t>
  </si>
  <si>
    <t>biwang@onebarnes.com</t>
  </si>
  <si>
    <t>beyang@onebarnes.com</t>
  </si>
  <si>
    <t>CYe@onebarnes.com</t>
  </si>
  <si>
    <t>yzhao@onebarnes.com</t>
  </si>
  <si>
    <t>kawang@onebarnes.com</t>
  </si>
  <si>
    <t>Ycui@onebarnes.com</t>
  </si>
  <si>
    <t>fadong@onebarnes.com</t>
  </si>
  <si>
    <t>YHou@onebarnes.com</t>
  </si>
  <si>
    <t>jan.wang@asbg.com.cn</t>
  </si>
  <si>
    <t>jzhu@onebarnes.com</t>
  </si>
  <si>
    <t>sxu2@onebarnes.com</t>
  </si>
  <si>
    <t>SShi@onebarnes.com</t>
  </si>
  <si>
    <t>ZJWang@onebarnes.com</t>
  </si>
  <si>
    <t>hwu@onebarnes.com</t>
  </si>
  <si>
    <t>gsong@onebarnes.com</t>
  </si>
  <si>
    <t>sandip.nikam@bginc.com</t>
  </si>
  <si>
    <t>akash.deshmukh@bginc.com</t>
  </si>
  <si>
    <t>elim@raymondasia.com</t>
  </si>
  <si>
    <t>chon@kaller.com</t>
  </si>
  <si>
    <t>jung@kaller.com</t>
  </si>
  <si>
    <t>young-el.kwon@kaller.com</t>
  </si>
  <si>
    <t>lee@kaller.com</t>
  </si>
  <si>
    <t>seoungjae.yoon@kaller.com</t>
  </si>
  <si>
    <t>YLu@onebarnes.com</t>
  </si>
  <si>
    <t>cwhite@onebarnes.com</t>
  </si>
  <si>
    <t>rtoroczkai@onebarnes.com</t>
  </si>
  <si>
    <t>Vicky.goodworth@igsltd.co.uk</t>
  </si>
  <si>
    <t>tcuthbert@onebarnes.com</t>
  </si>
  <si>
    <t>RQayyum@onebarnes.com</t>
  </si>
  <si>
    <t>sjames@onebarnes.com</t>
  </si>
  <si>
    <t>ltong@onebarnes.com</t>
  </si>
  <si>
    <t>FGuo@onebarnes.com</t>
  </si>
  <si>
    <t>WOverton@onebarnes.com</t>
  </si>
  <si>
    <t>SSarvothayakumar@onebarnes.com</t>
  </si>
  <si>
    <t>VHillel@onebarnes.com</t>
  </si>
  <si>
    <t>JAlves@onebarnes.com</t>
  </si>
  <si>
    <t>JJimenez@onebarnes.com</t>
  </si>
  <si>
    <t>mark.duncan@kaller.com</t>
  </si>
  <si>
    <t>bryn.jones@kaller.com</t>
  </si>
  <si>
    <t>monika.demange@kaller.com</t>
  </si>
  <si>
    <t>ivazquez@onebarnes.com</t>
  </si>
  <si>
    <t>hnevin@assocspring.co.uk</t>
  </si>
  <si>
    <t>Eflores@onebarnes.com</t>
  </si>
  <si>
    <t>ladams@onebarnes.com</t>
  </si>
  <si>
    <t>wwong@onebarnes.com</t>
  </si>
  <si>
    <t>FMORENO@ONEBARNES.COM</t>
  </si>
  <si>
    <t>gqnbeasley@icloud.com</t>
  </si>
  <si>
    <t>psaha1@onebarnes.com</t>
  </si>
  <si>
    <t>Welcome02</t>
  </si>
  <si>
    <t>Welcome03</t>
  </si>
  <si>
    <t>Welcome04</t>
  </si>
  <si>
    <t>Welcome05</t>
  </si>
  <si>
    <t>Welcome06</t>
  </si>
  <si>
    <t>Welcome07</t>
  </si>
  <si>
    <t>Welcome08</t>
  </si>
  <si>
    <t>Welcome09</t>
  </si>
  <si>
    <t>Welcome10</t>
  </si>
  <si>
    <t>Welcome11</t>
  </si>
  <si>
    <t>Welcome12</t>
  </si>
  <si>
    <t>Welcome13</t>
  </si>
  <si>
    <t>Welcome14</t>
  </si>
  <si>
    <t>Welcome15</t>
  </si>
  <si>
    <t>Welcome16</t>
  </si>
  <si>
    <t>Welcome17</t>
  </si>
  <si>
    <t>Welcome18</t>
  </si>
  <si>
    <t>Welcome19</t>
  </si>
  <si>
    <t>Welcome20</t>
  </si>
  <si>
    <t>Welcome21</t>
  </si>
  <si>
    <t>Welcome22</t>
  </si>
  <si>
    <t>Welcome23</t>
  </si>
  <si>
    <t>Welcome24</t>
  </si>
  <si>
    <t>Welcome25</t>
  </si>
  <si>
    <t>Welcome26</t>
  </si>
  <si>
    <t>Welcome27</t>
  </si>
  <si>
    <t>Welcome28</t>
  </si>
  <si>
    <t>Welcome29</t>
  </si>
  <si>
    <t>Welcome30</t>
  </si>
  <si>
    <t>Welcome31</t>
  </si>
  <si>
    <t>Welcome32</t>
  </si>
  <si>
    <t>Welcome33</t>
  </si>
  <si>
    <t>Welcome34</t>
  </si>
  <si>
    <t>Welcome35</t>
  </si>
  <si>
    <t>Welcome36</t>
  </si>
  <si>
    <t>Welcome37</t>
  </si>
  <si>
    <t>Welcome38</t>
  </si>
  <si>
    <t>Welcome39</t>
  </si>
  <si>
    <t>Welcome40</t>
  </si>
  <si>
    <t>Welcome41</t>
  </si>
  <si>
    <t>Welcome42</t>
  </si>
  <si>
    <t>Welcome43</t>
  </si>
  <si>
    <t>Welcome44</t>
  </si>
  <si>
    <t>Welcome45</t>
  </si>
  <si>
    <t>Welcome46</t>
  </si>
  <si>
    <t>Welcome47</t>
  </si>
  <si>
    <t>Welcome48</t>
  </si>
  <si>
    <t>Welcome49</t>
  </si>
  <si>
    <t>Welcome50</t>
  </si>
  <si>
    <t>Welcome51</t>
  </si>
  <si>
    <t>Welcome52</t>
  </si>
  <si>
    <t>Welcome53</t>
  </si>
  <si>
    <t>Welcome54</t>
  </si>
  <si>
    <t>Welcome55</t>
  </si>
  <si>
    <t>Welcome56</t>
  </si>
  <si>
    <t>Welcome57</t>
  </si>
  <si>
    <t>Welcome58</t>
  </si>
  <si>
    <t>Welcome59</t>
  </si>
  <si>
    <t>Welcome60</t>
  </si>
  <si>
    <t>Welcome61</t>
  </si>
  <si>
    <t>Welcome62</t>
  </si>
  <si>
    <t>Welcome63</t>
  </si>
  <si>
    <t>Welcome64</t>
  </si>
  <si>
    <t>Welcome65</t>
  </si>
  <si>
    <t>Welcome66</t>
  </si>
  <si>
    <t>Welcome67</t>
  </si>
  <si>
    <t>Welcome68</t>
  </si>
  <si>
    <t>Welcome69</t>
  </si>
  <si>
    <t>Welcome70</t>
  </si>
  <si>
    <t>Welcome71</t>
  </si>
  <si>
    <t>Welcome72</t>
  </si>
  <si>
    <t>Welcome73</t>
  </si>
  <si>
    <t>Welcome74</t>
  </si>
  <si>
    <t>Welcome75</t>
  </si>
  <si>
    <t>Welcome76</t>
  </si>
  <si>
    <t>Welcome77</t>
  </si>
  <si>
    <t>Welcome78</t>
  </si>
  <si>
    <t>Welcome79</t>
  </si>
  <si>
    <t>MX</t>
  </si>
  <si>
    <t>GB</t>
  </si>
  <si>
    <t>CN</t>
  </si>
  <si>
    <t>IN</t>
  </si>
  <si>
    <t>SG</t>
  </si>
  <si>
    <t>KR</t>
  </si>
  <si>
    <t>Locale Code (Formula)</t>
  </si>
  <si>
    <t>0084</t>
  </si>
  <si>
    <t>0075</t>
  </si>
  <si>
    <t>0035</t>
  </si>
  <si>
    <t>0218</t>
  </si>
  <si>
    <t>219</t>
  </si>
  <si>
    <t>0079</t>
  </si>
  <si>
    <t>0083</t>
  </si>
  <si>
    <t>26</t>
  </si>
  <si>
    <t>0057</t>
  </si>
  <si>
    <t>34</t>
  </si>
  <si>
    <t>Currency</t>
  </si>
  <si>
    <t>Country Code</t>
  </si>
  <si>
    <t>Country</t>
  </si>
  <si>
    <t>Currency Code</t>
  </si>
  <si>
    <t>Mexico</t>
  </si>
  <si>
    <t>MXN</t>
  </si>
  <si>
    <t>Mexican Peso</t>
  </si>
  <si>
    <t>United Kingdom</t>
  </si>
  <si>
    <t>GBP</t>
  </si>
  <si>
    <t>Pound Sterling</t>
  </si>
  <si>
    <t>United States</t>
  </si>
  <si>
    <t>US Dollar</t>
  </si>
  <si>
    <t>China</t>
  </si>
  <si>
    <t>CNY</t>
  </si>
  <si>
    <t>Chinese Yuan (Renminbi)</t>
  </si>
  <si>
    <t>India</t>
  </si>
  <si>
    <t>INR</t>
  </si>
  <si>
    <t>Indian Rupee</t>
  </si>
  <si>
    <t>Singapore</t>
  </si>
  <si>
    <t>SGD</t>
  </si>
  <si>
    <t>Singapore Dollar</t>
  </si>
  <si>
    <t>South Korea</t>
  </si>
  <si>
    <t>KRW</t>
  </si>
  <si>
    <t>South Korean Won</t>
  </si>
  <si>
    <t>84RDM</t>
  </si>
  <si>
    <t>SALES</t>
  </si>
  <si>
    <t>Production</t>
  </si>
  <si>
    <t>G&amp;A</t>
  </si>
  <si>
    <t>Selling</t>
  </si>
  <si>
    <t>Sales</t>
  </si>
  <si>
    <t>Human Resources</t>
  </si>
  <si>
    <t>H0000</t>
  </si>
  <si>
    <t>Reimbursement CRN Code (formula)</t>
  </si>
  <si>
    <t>Custom 3 Expense Profie (Formula)</t>
  </si>
  <si>
    <t>Org Unit 1  (Formula)</t>
  </si>
  <si>
    <t>Custom 5 Department  (Formula)</t>
  </si>
  <si>
    <r>
      <t xml:space="preserve">Custom 21 </t>
    </r>
    <r>
      <rPr>
        <b/>
        <sz val="8"/>
        <color indexed="16"/>
        <rFont val="Arial"/>
        <family val="2"/>
      </rPr>
      <t>Concur Expense Group Hierarchy</t>
    </r>
    <r>
      <rPr>
        <b/>
        <sz val="9"/>
        <color indexed="16"/>
        <rFont val="Arial"/>
        <family val="2"/>
      </rPr>
      <t xml:space="preserve"> (Formula)</t>
    </r>
  </si>
  <si>
    <t>FMG</t>
  </si>
  <si>
    <t>205067</t>
  </si>
  <si>
    <t>209364</t>
  </si>
  <si>
    <t>209365</t>
  </si>
  <si>
    <t>203041</t>
  </si>
  <si>
    <t>007183</t>
  </si>
  <si>
    <t>901838</t>
  </si>
  <si>
    <t>205389</t>
  </si>
  <si>
    <t>211175</t>
  </si>
  <si>
    <t>205373</t>
  </si>
  <si>
    <t>207472</t>
  </si>
  <si>
    <t>205948</t>
  </si>
  <si>
    <t>Babatunde</t>
  </si>
  <si>
    <t>Adewalure</t>
  </si>
  <si>
    <t>203011</t>
  </si>
  <si>
    <t>TAdewalure@onebarnes.com</t>
  </si>
  <si>
    <t>jwannstrom1@onebarnes.com</t>
  </si>
  <si>
    <t>Welcome80</t>
  </si>
  <si>
    <t>Welcome81</t>
  </si>
  <si>
    <t>Jenny</t>
  </si>
  <si>
    <t>Wannstrom</t>
  </si>
  <si>
    <t>SE</t>
  </si>
  <si>
    <t>Mehmet</t>
  </si>
  <si>
    <t>Erdogan</t>
  </si>
  <si>
    <t>DE</t>
  </si>
  <si>
    <t>Germany</t>
  </si>
  <si>
    <t>EUR</t>
  </si>
  <si>
    <t>Euro</t>
  </si>
  <si>
    <t>Sweden</t>
  </si>
  <si>
    <t>SEK</t>
  </si>
  <si>
    <t>Swedish Krona</t>
  </si>
  <si>
    <t>FR</t>
  </si>
  <si>
    <t>France</t>
  </si>
  <si>
    <t>TKlohn@onebarnes.com</t>
  </si>
  <si>
    <t>Timo</t>
  </si>
  <si>
    <t>Klohn</t>
  </si>
  <si>
    <t>MErdogan@onebarnes.com</t>
  </si>
  <si>
    <t>Welcome82</t>
  </si>
  <si>
    <t>Welcome83</t>
  </si>
  <si>
    <t>0077</t>
  </si>
  <si>
    <t>990</t>
  </si>
  <si>
    <t>Schortz</t>
  </si>
  <si>
    <t>rschortz@onebarnes.com</t>
  </si>
  <si>
    <r>
      <t xml:space="preserve">Login ID 
</t>
    </r>
    <r>
      <rPr>
        <sz val="8"/>
        <color indexed="16"/>
        <rFont val="Arial"/>
        <family val="2"/>
      </rPr>
      <t>(Cannot be changed using this record - reference 320)</t>
    </r>
    <r>
      <rPr>
        <b/>
        <sz val="9"/>
        <color indexed="16"/>
        <rFont val="Arial"/>
        <family val="2"/>
      </rPr>
      <t>. Formula for UAT ONLY</t>
    </r>
  </si>
  <si>
    <t>Move to inside sales</t>
  </si>
  <si>
    <t>Move to material management</t>
  </si>
  <si>
    <t>Move to FG Warehouse</t>
  </si>
  <si>
    <t>Name</t>
  </si>
  <si>
    <t>SupervisorLastName</t>
  </si>
  <si>
    <t>Lookup Supervisor ID</t>
  </si>
  <si>
    <t>SupervisorName=Supervisor ID</t>
  </si>
  <si>
    <t>Row Labels</t>
  </si>
  <si>
    <t>Grand Total</t>
  </si>
  <si>
    <t>AbdellatefMMahmoud</t>
  </si>
  <si>
    <t>AlexPalicki</t>
  </si>
  <si>
    <t>AmirDillard</t>
  </si>
  <si>
    <t>AmyCMcGuire</t>
  </si>
  <si>
    <t>AndrewJCreager</t>
  </si>
  <si>
    <t>AngelaMyers</t>
  </si>
  <si>
    <t>AnneMGarber</t>
  </si>
  <si>
    <t>AnthonyDesillas</t>
  </si>
  <si>
    <t>AnthonyJFrimel</t>
  </si>
  <si>
    <t>AnthonyJMoavero</t>
  </si>
  <si>
    <t>AsiaSexton</t>
  </si>
  <si>
    <t>AydrianMAhrens</t>
  </si>
  <si>
    <t>BarbaraCWilkinson</t>
  </si>
  <si>
    <t>BenjaminDUncapher</t>
  </si>
  <si>
    <t>BenjaminSullivan</t>
  </si>
  <si>
    <t>BobbyHicks</t>
  </si>
  <si>
    <t>BonnettaDWarren</t>
  </si>
  <si>
    <t>BradleyMasters</t>
  </si>
  <si>
    <t>BrandonHibbitts</t>
  </si>
  <si>
    <t>BrandonKelly</t>
  </si>
  <si>
    <t>BrendaBixler</t>
  </si>
  <si>
    <t>BrendaJDaniel</t>
  </si>
  <si>
    <t>BrennenGValley</t>
  </si>
  <si>
    <t>BrittanyMVelner</t>
  </si>
  <si>
    <t>CandiMMorales</t>
  </si>
  <si>
    <t>CarlaJCunningham</t>
  </si>
  <si>
    <t>CarolPhillips</t>
  </si>
  <si>
    <t>CarrieMHoffman</t>
  </si>
  <si>
    <t>CassandraGRichards</t>
  </si>
  <si>
    <t>ChadPhillips</t>
  </si>
  <si>
    <t>CharlesMcDavid</t>
  </si>
  <si>
    <t>CherieHassey</t>
  </si>
  <si>
    <t>ChrisFMartin</t>
  </si>
  <si>
    <t>ChristopherDSanderson</t>
  </si>
  <si>
    <t>ChristopherGJablonsky</t>
  </si>
  <si>
    <t>ChristopherJKostohryz</t>
  </si>
  <si>
    <t>ConnerJFrankforther</t>
  </si>
  <si>
    <t>CraigMata</t>
  </si>
  <si>
    <t>CraigWagner</t>
  </si>
  <si>
    <t>CristelGrandowicz</t>
  </si>
  <si>
    <t>CrystalDedes</t>
  </si>
  <si>
    <t>DanielPTuller</t>
  </si>
  <si>
    <t>DanielWhite</t>
  </si>
  <si>
    <t>DarinHitti</t>
  </si>
  <si>
    <t>DavidADixon</t>
  </si>
  <si>
    <t>DavidJPage</t>
  </si>
  <si>
    <t>DavidValetta</t>
  </si>
  <si>
    <t>DavidWilson</t>
  </si>
  <si>
    <t>DayShawnRome</t>
  </si>
  <si>
    <t>DemetriusADaniels</t>
  </si>
  <si>
    <t>DerekLaPlante</t>
  </si>
  <si>
    <t>DerronWallace</t>
  </si>
  <si>
    <t>DillonMFrankforther</t>
  </si>
  <si>
    <t>DonaldCFelts</t>
  </si>
  <si>
    <t>DuaneATurner</t>
  </si>
  <si>
    <t>DwightAWarner</t>
  </si>
  <si>
    <t>Ella RenaeEBeatrice</t>
  </si>
  <si>
    <t>EmmaHalpin</t>
  </si>
  <si>
    <t>EvelynGonzalez</t>
  </si>
  <si>
    <t>FrankIzzo</t>
  </si>
  <si>
    <t>GregKemenah</t>
  </si>
  <si>
    <t>GregorySAdams</t>
  </si>
  <si>
    <t>GwendolynLRome</t>
  </si>
  <si>
    <t>HeatherASchmidt</t>
  </si>
  <si>
    <t>IsaakRTaiclet</t>
  </si>
  <si>
    <t>IvyJGrant</t>
  </si>
  <si>
    <t>JackOBradford</t>
  </si>
  <si>
    <t>JacobAKemenah</t>
  </si>
  <si>
    <t>JacquelineMReed</t>
  </si>
  <si>
    <t>JamesBiss</t>
  </si>
  <si>
    <t>JamesBrower</t>
  </si>
  <si>
    <t>JamesMcConnell</t>
  </si>
  <si>
    <t>JamesStefancin</t>
  </si>
  <si>
    <t>JasonJBailey</t>
  </si>
  <si>
    <t>JasonMajewski</t>
  </si>
  <si>
    <t>JeffRaese</t>
  </si>
  <si>
    <t>JeffreyLFinch</t>
  </si>
  <si>
    <t>JermeyMcKinney</t>
  </si>
  <si>
    <t>JillRockow</t>
  </si>
  <si>
    <t>JoannWhaley</t>
  </si>
  <si>
    <t>JoelEMcCoy</t>
  </si>
  <si>
    <t>JohnBentz</t>
  </si>
  <si>
    <t>JohnBrewer</t>
  </si>
  <si>
    <t>JohnEward</t>
  </si>
  <si>
    <t>JohnFoisel</t>
  </si>
  <si>
    <t>JohnnyAReyes</t>
  </si>
  <si>
    <t>JonathanCarter</t>
  </si>
  <si>
    <t>JonathanRafferty</t>
  </si>
  <si>
    <t>JonHartman</t>
  </si>
  <si>
    <t>JordanJames</t>
  </si>
  <si>
    <t>JosephMLorenz</t>
  </si>
  <si>
    <t>JoshuaSPaulsen</t>
  </si>
  <si>
    <t>JoyceLSzpila</t>
  </si>
  <si>
    <t>KarlaHershberger</t>
  </si>
  <si>
    <t>KeithLJames</t>
  </si>
  <si>
    <t>KennethDButler</t>
  </si>
  <si>
    <t>KevinDOConnor</t>
  </si>
  <si>
    <t>KevinThaboun</t>
  </si>
  <si>
    <t>KimberlyAshley</t>
  </si>
  <si>
    <t>KimberlyHall</t>
  </si>
  <si>
    <t>KirstenVBarry</t>
  </si>
  <si>
    <t>KrystleAgler</t>
  </si>
  <si>
    <t>KugaginiThineshkumar</t>
  </si>
  <si>
    <t>KyleJMickens</t>
  </si>
  <si>
    <t>KyleOuthouse</t>
  </si>
  <si>
    <t>LaMarrHogue</t>
  </si>
  <si>
    <t>LatashaCWatkins</t>
  </si>
  <si>
    <t>LauraZOleksa</t>
  </si>
  <si>
    <t>LinetteWParks</t>
  </si>
  <si>
    <t>MacyJTudor</t>
  </si>
  <si>
    <t>MartinMartinez</t>
  </si>
  <si>
    <t>MarvinStone</t>
  </si>
  <si>
    <t>MasonHitti</t>
  </si>
  <si>
    <t>MasonRKelly</t>
  </si>
  <si>
    <t>MathewABurchell</t>
  </si>
  <si>
    <t>MatthewAhrens</t>
  </si>
  <si>
    <t>MatthewJSaid</t>
  </si>
  <si>
    <t>MichaelBiniecki</t>
  </si>
  <si>
    <t>MichaelDEllison</t>
  </si>
  <si>
    <t>MichaelJBeasley</t>
  </si>
  <si>
    <t>MichaelJHamar</t>
  </si>
  <si>
    <t>MichaelJones</t>
  </si>
  <si>
    <t>MichaelMolnar</t>
  </si>
  <si>
    <t>MichaelSteen</t>
  </si>
  <si>
    <t>MichaelWHaas</t>
  </si>
  <si>
    <t>MitchellCMcLaughlin</t>
  </si>
  <si>
    <t>MitchellKuhlman</t>
  </si>
  <si>
    <t>MomikaSmith</t>
  </si>
  <si>
    <t>Moulay AbdellahLamini</t>
  </si>
  <si>
    <t>NatalieBate</t>
  </si>
  <si>
    <t>NathanBird</t>
  </si>
  <si>
    <t>PatsyHamby</t>
  </si>
  <si>
    <t>PeterMorgan</t>
  </si>
  <si>
    <t>RachelENeri</t>
  </si>
  <si>
    <t>RachelLWilliams</t>
  </si>
  <si>
    <t>RamonARodriguez</t>
  </si>
  <si>
    <t>RichardETaiclet</t>
  </si>
  <si>
    <t>RichardMWright</t>
  </si>
  <si>
    <t>RichardSasak</t>
  </si>
  <si>
    <t>RichardWHutt</t>
  </si>
  <si>
    <t>RobertBordner</t>
  </si>
  <si>
    <t>RobertProsowski</t>
  </si>
  <si>
    <t>RogerlShook</t>
  </si>
  <si>
    <t>RTBrown</t>
  </si>
  <si>
    <t>RussellLWeaver</t>
  </si>
  <si>
    <t>Sai AnushaKodali</t>
  </si>
  <si>
    <t>ScottTMazzei</t>
  </si>
  <si>
    <t>ShannonKO'Day</t>
  </si>
  <si>
    <t>ShawnPatterson</t>
  </si>
  <si>
    <t>ShawntaMcglory</t>
  </si>
  <si>
    <t>ShelleionJones</t>
  </si>
  <si>
    <t>ShellyRWillis-Garza</t>
  </si>
  <si>
    <t>ShivamPatel</t>
  </si>
  <si>
    <t>SiobhanRodriguez</t>
  </si>
  <si>
    <t>TadeyshiaToney</t>
  </si>
  <si>
    <t>TamaraKLipp</t>
  </si>
  <si>
    <t>TammieAbitua</t>
  </si>
  <si>
    <t>TeresaBair</t>
  </si>
  <si>
    <t>TerryLGang</t>
  </si>
  <si>
    <t>TerryWagner</t>
  </si>
  <si>
    <t>ThomasEAlexander</t>
  </si>
  <si>
    <t>TimothyDCarmichael</t>
  </si>
  <si>
    <t>TimothyEClifton</t>
  </si>
  <si>
    <t>TimothyRSeksinsky</t>
  </si>
  <si>
    <t>TinaMAllen</t>
  </si>
  <si>
    <t>TiraniJHague</t>
  </si>
  <si>
    <t>TrevorBunch</t>
  </si>
  <si>
    <t>TylerCler</t>
  </si>
  <si>
    <t>WayneARogers</t>
  </si>
  <si>
    <t>WayneLeftrict</t>
  </si>
  <si>
    <t>WendyKozicki</t>
  </si>
  <si>
    <t>WilliamMWilkins</t>
  </si>
  <si>
    <t>WilliamPhoenix</t>
  </si>
  <si>
    <t>ZacharyPlotts</t>
  </si>
  <si>
    <t>Count of Payroll Company Code</t>
  </si>
  <si>
    <t>7/20/26</t>
  </si>
  <si>
    <t>20260124</t>
  </si>
  <si>
    <t>Exclude record termination over 45 days ago</t>
  </si>
  <si>
    <t>No Reports to Name</t>
  </si>
  <si>
    <t>20260603</t>
  </si>
  <si>
    <t>Fix and Include Record</t>
  </si>
  <si>
    <t>BU Description Not Mapped</t>
  </si>
  <si>
    <t>Home Department Code Not Mapped</t>
  </si>
  <si>
    <t>Salary Code Not Mapped</t>
  </si>
  <si>
    <t>ADP and BU Language Code Not MappedUS</t>
  </si>
  <si>
    <t>BU Currency Not Mapped</t>
  </si>
  <si>
    <t>20250809</t>
  </si>
  <si>
    <t>20260814</t>
  </si>
  <si>
    <t>20260817</t>
  </si>
  <si>
    <t>20260602</t>
  </si>
  <si>
    <t>Brad Masters</t>
  </si>
  <si>
    <t>20260630</t>
  </si>
  <si>
    <t>20260608</t>
  </si>
  <si>
    <t>20260424</t>
  </si>
  <si>
    <t>20251231</t>
  </si>
  <si>
    <t>20260101</t>
  </si>
  <si>
    <t>20260828</t>
  </si>
  <si>
    <t>20260410</t>
  </si>
  <si>
    <t>20260724</t>
  </si>
  <si>
    <t>20260702</t>
  </si>
  <si>
    <t>20260506</t>
  </si>
  <si>
    <t>20260701</t>
  </si>
  <si>
    <t>20260821</t>
  </si>
  <si>
    <t>20260807</t>
  </si>
  <si>
    <t>20260801</t>
  </si>
  <si>
    <t>20260731</t>
  </si>
  <si>
    <t>20260201</t>
  </si>
  <si>
    <t>Legal Country Not Mapped</t>
  </si>
  <si>
    <t>ADP and BU Language Code Not MappedLegal Country Not Mapped</t>
  </si>
  <si>
    <t>20260610</t>
  </si>
  <si>
    <t>20260710</t>
  </si>
  <si>
    <t>20260730</t>
  </si>
  <si>
    <t>20260609</t>
  </si>
  <si>
    <t>20260105</t>
  </si>
  <si>
    <t>Max Wright</t>
  </si>
  <si>
    <t>20260109</t>
  </si>
  <si>
    <t>Details for Count of Payroll Company Code</t>
  </si>
  <si>
    <t>Where false validate the actual supervisor id is correct</t>
  </si>
  <si>
    <t>Fix Supervisor ID</t>
  </si>
  <si>
    <t>Fix to valid GL Company codes</t>
  </si>
  <si>
    <t>Assign an Org correctly</t>
  </si>
  <si>
    <t>Assign Salary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</si>
</sst>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3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color rgb="FFFFFFFF"/>
      <name val="Arial"/>
      <family val="2"/>
    </font>
    <font>
      <sz val="10"/>
      <color rgb="FF1A0D47"/>
      <name val="Arial"/>
      <family val="2"/>
    </font>
    <font>
      <b/>
      <sz val="10"/>
      <color rgb="FFFFFFFF"/>
      <name val="Arial"/>
      <family val="2"/>
    </font>
    <font>
      <b/>
      <sz val="9"/>
      <color indexed="16"/>
      <name val="Arial"/>
      <family val="2"/>
    </font>
    <font>
      <b/>
      <sz val="9"/>
      <name val="Arial"/>
      <family val="2"/>
    </font>
    <font>
      <sz val="8"/>
      <color indexed="16"/>
      <name val="Arial"/>
      <family val="2"/>
    </font>
    <font>
      <sz val="9"/>
      <color indexed="16"/>
      <name val="Arial"/>
      <family val="2"/>
    </font>
    <font>
      <b/>
      <sz val="9"/>
      <color theme="4"/>
      <name val="Arial"/>
      <family val="2"/>
    </font>
    <font>
      <b/>
      <sz val="8"/>
      <name val="Arial"/>
      <family val="2"/>
    </font>
    <font>
      <b/>
      <sz val="9"/>
      <color indexed="62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16"/>
      <color rgb="FF223548"/>
      <name val="Arial"/>
      <family val="2"/>
    </font>
    <font>
      <sz val="10"/>
      <color indexed="16"/>
      <name val="Arial"/>
      <family val="2"/>
    </font>
    <font>
      <b/>
      <i/>
      <sz val="9"/>
      <name val="Arial"/>
      <family val="2"/>
    </font>
    <font>
      <sz val="8"/>
      <color theme="1"/>
      <name val="Andale WT"/>
      <family val="2"/>
    </font>
    <font>
      <u/>
      <sz val="11"/>
      <color theme="10"/>
      <name val="Calibri"/>
      <family val="2"/>
    </font>
    <font>
      <b/>
      <sz val="11"/>
      <name val="Segoe UI"/>
    </font>
    <font>
      <sz val="11"/>
      <name val="Segoe UI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417C"/>
        <bgColor indexed="64"/>
      </patternFill>
    </fill>
    <fill>
      <patternFill patternType="solid">
        <fgColor rgb="FFFE5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E417C"/>
      </left>
      <right/>
      <top style="thin">
        <color rgb="FF1E417C"/>
      </top>
      <bottom style="thin">
        <color rgb="FF1E417C"/>
      </bottom>
      <diagonal/>
    </border>
    <border>
      <left/>
      <right/>
      <top style="thin">
        <color rgb="FF1E417C"/>
      </top>
      <bottom style="thin">
        <color rgb="FF1E417C"/>
      </bottom>
      <diagonal/>
    </border>
    <border>
      <left/>
      <right style="thin">
        <color rgb="FF1E417C"/>
      </right>
      <top style="thin">
        <color rgb="FF1E417C"/>
      </top>
      <bottom style="thin">
        <color rgb="FF1E417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0" fillId="0" borderId="0" applyNumberFormat="0" applyFill="0" applyBorder="0" applyAlignment="0" applyProtection="0"/>
  </cellStyleXfs>
  <cellXfs count="10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164" fontId="14" fillId="0" borderId="14" xfId="0" applyNumberFormat="1" applyFont="1" applyBorder="1" applyAlignment="1">
      <alignment horizontal="left"/>
    </xf>
    <xf numFmtId="164" fontId="15" fillId="0" borderId="15" xfId="0" applyNumberFormat="1" applyFont="1" applyBorder="1" applyAlignment="1">
      <alignment horizontal="left"/>
    </xf>
    <xf numFmtId="164" fontId="16" fillId="0" borderId="16" xfId="0" applyNumberFormat="1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20" fillId="0" borderId="20" xfId="0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22" fillId="0" borderId="22" xfId="0" applyFont="1" applyBorder="1" applyAlignment="1">
      <alignment horizontal="left"/>
    </xf>
    <xf numFmtId="0" fontId="23" fillId="0" borderId="23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25" fillId="0" borderId="25" xfId="0" applyFont="1" applyBorder="1" applyAlignment="1">
      <alignment horizontal="left"/>
    </xf>
    <xf numFmtId="0" fontId="26" fillId="0" borderId="26" xfId="0" applyFont="1" applyBorder="1" applyAlignment="1">
      <alignment horizontal="left"/>
    </xf>
    <xf numFmtId="0" fontId="27" fillId="0" borderId="27" xfId="0" applyFont="1" applyBorder="1" applyAlignment="1">
      <alignment horizontal="left"/>
    </xf>
    <xf numFmtId="0" fontId="28" fillId="0" borderId="28" xfId="0" applyFont="1" applyBorder="1" applyAlignment="1">
      <alignment horizontal="left"/>
    </xf>
    <xf numFmtId="0" fontId="29" fillId="0" borderId="29" xfId="0" applyFont="1" applyBorder="1" applyAlignment="1">
      <alignment horizontal="left"/>
    </xf>
    <xf numFmtId="0" fontId="30" fillId="0" borderId="30" xfId="0" applyFont="1" applyBorder="1" applyAlignment="1">
      <alignment horizontal="left"/>
    </xf>
    <xf numFmtId="0" fontId="11" fillId="2" borderId="11" xfId="0" applyFont="1" applyFill="1" applyBorder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10" fillId="4" borderId="10" xfId="0" applyFont="1" applyFill="1" applyBorder="1" applyAlignment="1">
      <alignment horizontal="left"/>
    </xf>
    <xf numFmtId="0" fontId="10" fillId="6" borderId="10" xfId="0" applyFont="1" applyFill="1" applyBorder="1" applyAlignment="1">
      <alignment horizontal="left"/>
    </xf>
    <xf numFmtId="0" fontId="2" fillId="7" borderId="2" xfId="0" applyFont="1" applyFill="1" applyBorder="1"/>
    <xf numFmtId="0" fontId="3" fillId="0" borderId="0" xfId="0" applyFont="1"/>
    <xf numFmtId="0" fontId="31" fillId="8" borderId="31" xfId="0" applyFont="1" applyFill="1" applyBorder="1"/>
    <xf numFmtId="0" fontId="33" fillId="0" borderId="32" xfId="0" applyFont="1" applyBorder="1" applyAlignment="1">
      <alignment horizontal="left" wrapText="1" readingOrder="1"/>
    </xf>
    <xf numFmtId="0" fontId="33" fillId="0" borderId="33" xfId="0" applyFont="1" applyBorder="1" applyAlignment="1">
      <alignment horizontal="left" wrapText="1" readingOrder="1"/>
    </xf>
    <xf numFmtId="0" fontId="33" fillId="0" borderId="33" xfId="0" quotePrefix="1" applyFont="1" applyBorder="1" applyAlignment="1">
      <alignment horizontal="left" wrapText="1" readingOrder="1"/>
    </xf>
    <xf numFmtId="0" fontId="33" fillId="0" borderId="34" xfId="0" applyFont="1" applyBorder="1" applyAlignment="1">
      <alignment horizontal="left" wrapText="1" readingOrder="1"/>
    </xf>
    <xf numFmtId="0" fontId="32" fillId="10" borderId="34" xfId="0" quotePrefix="1" applyFont="1" applyFill="1" applyBorder="1" applyAlignment="1">
      <alignment horizontal="left" wrapText="1" readingOrder="1"/>
    </xf>
    <xf numFmtId="0" fontId="34" fillId="9" borderId="32" xfId="0" applyFont="1" applyFill="1" applyBorder="1" applyAlignment="1">
      <alignment horizontal="left" wrapText="1" readingOrder="1"/>
    </xf>
    <xf numFmtId="0" fontId="34" fillId="9" borderId="33" xfId="0" applyFont="1" applyFill="1" applyBorder="1" applyAlignment="1">
      <alignment horizontal="left" wrapText="1" readingOrder="1"/>
    </xf>
    <xf numFmtId="0" fontId="34" fillId="9" borderId="34" xfId="0" applyFont="1" applyFill="1" applyBorder="1" applyAlignment="1">
      <alignment horizontal="left" wrapText="1" readingOrder="1"/>
    </xf>
    <xf numFmtId="0" fontId="0" fillId="0" borderId="29" xfId="0" applyBorder="1"/>
    <xf numFmtId="0" fontId="0" fillId="0" borderId="30" xfId="0" applyBorder="1"/>
    <xf numFmtId="0" fontId="35" fillId="11" borderId="35" xfId="0" applyFont="1" applyFill="1" applyBorder="1" applyAlignment="1">
      <alignment horizontal="center" vertical="center" wrapText="1"/>
    </xf>
    <xf numFmtId="0" fontId="36" fillId="11" borderId="35" xfId="0" applyFont="1" applyFill="1" applyBorder="1" applyAlignment="1">
      <alignment horizontal="center" vertical="center" wrapText="1"/>
    </xf>
    <xf numFmtId="0" fontId="39" fillId="11" borderId="35" xfId="0" applyFont="1" applyFill="1" applyBorder="1" applyAlignment="1">
      <alignment horizontal="center" vertical="center" wrapText="1"/>
    </xf>
    <xf numFmtId="0" fontId="36" fillId="12" borderId="35" xfId="0" applyFont="1" applyFill="1" applyBorder="1" applyAlignment="1">
      <alignment horizontal="center" vertical="center" wrapText="1"/>
    </xf>
    <xf numFmtId="0" fontId="43" fillId="0" borderId="0" xfId="0" applyFont="1" applyAlignment="1">
      <alignment wrapText="1"/>
    </xf>
    <xf numFmtId="0" fontId="44" fillId="11" borderId="35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1" fillId="0" borderId="0" xfId="0" applyFont="1"/>
    <xf numFmtId="0" fontId="46" fillId="0" borderId="0" xfId="0" applyFont="1"/>
    <xf numFmtId="0" fontId="3" fillId="0" borderId="0" xfId="0" quotePrefix="1" applyFont="1"/>
    <xf numFmtId="0" fontId="3" fillId="0" borderId="31" xfId="0" quotePrefix="1" applyFont="1" applyBorder="1" applyAlignment="1">
      <alignment horizontal="left"/>
    </xf>
    <xf numFmtId="0" fontId="34" fillId="9" borderId="31" xfId="0" applyFont="1" applyFill="1" applyBorder="1" applyAlignment="1">
      <alignment horizontal="left" wrapText="1" readingOrder="1"/>
    </xf>
    <xf numFmtId="0" fontId="33" fillId="0" borderId="31" xfId="0" applyFont="1" applyBorder="1" applyAlignment="1">
      <alignment horizontal="left" wrapText="1" readingOrder="1"/>
    </xf>
    <xf numFmtId="0" fontId="35" fillId="0" borderId="31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2" fillId="7" borderId="0" xfId="0" applyFont="1" applyFill="1"/>
    <xf numFmtId="0" fontId="17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14" fontId="0" fillId="0" borderId="0" xfId="0" applyNumberFormat="1"/>
    <xf numFmtId="0" fontId="47" fillId="0" borderId="0" xfId="0" applyFont="1"/>
    <xf numFmtId="0" fontId="47" fillId="11" borderId="35" xfId="0" applyFont="1" applyFill="1" applyBorder="1" applyAlignment="1">
      <alignment horizontal="center" vertical="center" wrapText="1"/>
    </xf>
    <xf numFmtId="0" fontId="0" fillId="13" borderId="0" xfId="0" applyFill="1"/>
    <xf numFmtId="0" fontId="49" fillId="0" borderId="36" xfId="0" applyFont="1" applyBorder="1" applyAlignment="1">
      <alignment horizontal="left" vertical="top"/>
    </xf>
    <xf numFmtId="0" fontId="49" fillId="13" borderId="36" xfId="0" applyFont="1" applyFill="1" applyBorder="1" applyAlignment="1">
      <alignment horizontal="left" vertical="top"/>
    </xf>
    <xf numFmtId="0" fontId="3" fillId="13" borderId="0" xfId="0" applyFont="1" applyFill="1"/>
    <xf numFmtId="0" fontId="49" fillId="0" borderId="37" xfId="0" applyFont="1" applyBorder="1" applyAlignment="1">
      <alignment horizontal="left" vertical="top"/>
    </xf>
    <xf numFmtId="0" fontId="35" fillId="7" borderId="35" xfId="0" applyFont="1" applyFill="1" applyBorder="1" applyAlignment="1">
      <alignment horizontal="center" vertical="center" wrapText="1"/>
    </xf>
    <xf numFmtId="0" fontId="51" fillId="0" borderId="0" xfId="0" applyFont="1"/>
    <xf numFmtId="0" fontId="52" fillId="0" borderId="0" xfId="0" applyFont="1"/>
    <xf numFmtId="0" fontId="0" fillId="0" borderId="36" xfId="0" applyBorder="1"/>
    <xf numFmtId="0" fontId="3" fillId="7" borderId="0" xfId="0" applyFont="1" applyFill="1"/>
    <xf numFmtId="0" fontId="0" fillId="2" borderId="0" xfId="0" applyFill="1"/>
    <xf numFmtId="0" fontId="3" fillId="14" borderId="0" xfId="0" quotePrefix="1" applyFont="1" applyFill="1"/>
    <xf numFmtId="0" fontId="49" fillId="14" borderId="36" xfId="0" applyFont="1" applyFill="1" applyBorder="1" applyAlignment="1">
      <alignment horizontal="left" vertical="top"/>
    </xf>
    <xf numFmtId="0" fontId="0" fillId="14" borderId="0" xfId="0" applyFill="1"/>
    <xf numFmtId="0" fontId="3" fillId="14" borderId="0" xfId="0" applyFont="1" applyFill="1"/>
    <xf numFmtId="0" fontId="0" fillId="14" borderId="36" xfId="0" applyFill="1" applyBorder="1"/>
    <xf numFmtId="0" fontId="49" fillId="15" borderId="36" xfId="0" applyFont="1" applyFill="1" applyBorder="1" applyAlignment="1">
      <alignment horizontal="left" vertical="top"/>
    </xf>
    <xf numFmtId="0" fontId="0" fillId="16" borderId="0" xfId="0" applyFill="1"/>
    <xf numFmtId="0" fontId="50" fillId="0" borderId="0" xfId="1"/>
    <xf numFmtId="0" fontId="49" fillId="0" borderId="31" xfId="0" quotePrefix="1" applyFont="1" applyBorder="1" applyAlignment="1">
      <alignment horizontal="left" vertical="top"/>
    </xf>
    <xf numFmtId="0" fontId="35" fillId="17" borderId="35" xfId="0" applyFont="1" applyFill="1" applyBorder="1" applyAlignment="1">
      <alignment horizontal="center" vertical="center" wrapText="1"/>
    </xf>
    <xf numFmtId="0" fontId="3" fillId="18" borderId="0" xfId="0" quotePrefix="1" applyFont="1" applyFill="1"/>
    <xf numFmtId="0" fontId="49" fillId="0" borderId="36" xfId="0" quotePrefix="1" applyFont="1" applyBorder="1" applyAlignment="1">
      <alignment horizontal="left" vertical="top"/>
    </xf>
    <xf numFmtId="0" fontId="3" fillId="0" borderId="0" xfId="0" quotePrefix="1" applyFont="1" applyFill="1"/>
    <xf numFmtId="0" fontId="3" fillId="0" borderId="36" xfId="0" applyFont="1" applyBorder="1"/>
    <xf numFmtId="0" fontId="3" fillId="2" borderId="0" xfId="0" quotePrefix="1" applyFont="1" applyFill="1"/>
    <xf numFmtId="0" fontId="3" fillId="0" borderId="10" xfId="0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8.566422685188" createdVersion="8" refreshedVersion="8" minRefreshableVersion="3" recordCount="199" xr:uid="{D5849FE5-7679-3B49-BF36-B216352BC6E9}">
  <cacheSource type="worksheet">
    <worksheetSource ref="A4:AR203" sheet="1"/>
  </cacheSource>
  <cacheFields count="44">
    <cacheField name="Payroll Company Code" numFmtId="0">
      <sharedItems/>
    </cacheField>
    <cacheField name="Legal First Name" numFmtId="0">
      <sharedItems/>
    </cacheField>
    <cacheField name="Middle Initial" numFmtId="0">
      <sharedItems/>
    </cacheField>
    <cacheField name="Legal Last Name" numFmtId="0">
      <sharedItems/>
    </cacheField>
    <cacheField name="Preferred or Chosen First Name" numFmtId="0">
      <sharedItems containsBlank="1"/>
    </cacheField>
    <cacheField name="Preferred or Chosen Last Name" numFmtId="0">
      <sharedItems containsBlank="1"/>
    </cacheField>
    <cacheField name="Reports To Legal Name" numFmtId="0">
      <sharedItems/>
    </cacheField>
    <cacheField name="Supervisor ID" numFmtId="0">
      <sharedItems/>
    </cacheField>
    <cacheField name="Work Contact: Work Email" numFmtId="0">
      <sharedItems/>
    </cacheField>
    <cacheField name="Personal Contact: Personal Email" numFmtId="0">
      <sharedItems/>
    </cacheField>
    <cacheField name="Job Title Description" numFmtId="0">
      <sharedItems/>
    </cacheField>
    <cacheField name="Hire Date" numFmtId="164">
      <sharedItems containsSemiMixedTypes="0" containsNonDate="0" containsDate="1" containsString="0" minDate="1985-01-02T00:00:00" maxDate="2026-09-01T00:00:00"/>
    </cacheField>
    <cacheField name="Termination Date" numFmtId="164">
      <sharedItems containsNonDate="0" containsDate="1" containsString="0" containsBlank="1" minDate="2025-08-09T00:00:00" maxDate="2026-08-29T00:00:00"/>
    </cacheField>
    <cacheField name="Rehire Date" numFmtId="164">
      <sharedItems containsNonDate="0" containsDate="1" containsString="0" containsBlank="1" minDate="2026-04-07T00:00:00" maxDate="2026-06-03T00:00:00"/>
    </cacheField>
    <cacheField name="Position Status" numFmtId="0">
      <sharedItems/>
    </cacheField>
    <cacheField name="File Number" numFmtId="0">
      <sharedItems/>
    </cacheField>
    <cacheField name="Pay Frequency" numFmtId="0">
      <sharedItems/>
    </cacheField>
    <cacheField name="Employee Type" numFmtId="0">
      <sharedItems/>
    </cacheField>
    <cacheField name="Business Unit Code" numFmtId="0">
      <sharedItems/>
    </cacheField>
    <cacheField name="Business Unit Description" numFmtId="0">
      <sharedItems/>
    </cacheField>
    <cacheField name="Home Department Description" numFmtId="0">
      <sharedItems/>
    </cacheField>
    <cacheField name="Home Department Code" numFmtId="0">
      <sharedItems/>
    </cacheField>
    <cacheField name="Location Description" numFmtId="0">
      <sharedItems/>
    </cacheField>
    <cacheField name="Language Description" numFmtId="0">
      <sharedItems/>
    </cacheField>
    <cacheField name="Language Code" numFmtId="0">
      <sharedItems/>
    </cacheField>
    <cacheField name="Legal / Preferred Address: Country Code" numFmtId="0">
      <sharedItems/>
    </cacheField>
    <cacheField name="Pay Grade Code" numFmtId="0">
      <sharedItems/>
    </cacheField>
    <cacheField name="Pay Grade Description" numFmtId="0">
      <sharedItems/>
    </cacheField>
    <cacheField name="SupervisorID Formatted" numFmtId="0">
      <sharedItems/>
    </cacheField>
    <cacheField name="Org Unit 1" numFmtId="0">
      <sharedItems/>
    </cacheField>
    <cacheField name="Org Unit 2" numFmtId="0">
      <sharedItems containsMixedTypes="1" containsNumber="1" containsInteger="1" minValue="100" maxValue="9500"/>
    </cacheField>
    <cacheField name="Concur Profile" numFmtId="0">
      <sharedItems/>
    </cacheField>
    <cacheField name="Travel Profile" numFmtId="0">
      <sharedItems/>
    </cacheField>
    <cacheField name="Legal Country" numFmtId="0">
      <sharedItems/>
    </cacheField>
    <cacheField name="Local Code" numFmtId="0">
      <sharedItems/>
    </cacheField>
    <cacheField name="Reumbursement Currency" numFmtId="0">
      <sharedItems/>
    </cacheField>
    <cacheField name="Perferred Name" numFmtId="0">
      <sharedItems/>
    </cacheField>
    <cacheField name="Status" numFmtId="0">
      <sharedItems/>
    </cacheField>
    <cacheField name="Term Date" numFmtId="0">
      <sharedItems/>
    </cacheField>
    <cacheField name="7/20/26" numFmtId="0">
      <sharedItems containsBlank="1"/>
    </cacheField>
    <cacheField name="Name" numFmtId="0">
      <sharedItems count="174">
        <s v="TammieAbitua"/>
        <s v="GregorySAdams"/>
        <s v="KrystleAgler"/>
        <s v="AydrianMAhrens"/>
        <s v="MatthewAhrens"/>
        <s v="ThomasEAlexander"/>
        <s v="TinaMAllen"/>
        <s v="KimberlyAshley"/>
        <s v="JasonJBailey"/>
        <s v="TeresaBair"/>
        <s v="KirstenVBarry"/>
        <s v="NatalieBate"/>
        <s v="MichaelJBeasley"/>
        <s v="Ella RenaeEBeatrice"/>
        <s v="JohnBentz"/>
        <s v="MichaelBiniecki"/>
        <s v="NathanBird"/>
        <s v="JamesBiss"/>
        <s v="BrendaBixler"/>
        <s v="RobertBordner"/>
        <s v="JackOBradford"/>
        <s v="JohnBrewer"/>
        <s v="JamesBrower"/>
        <s v="RTBrown"/>
        <s v="TrevorBunch"/>
        <s v="MathewABurchell"/>
        <s v="KennethDButler"/>
        <s v="TimothyDCarmichael"/>
        <s v="JonathanCarter"/>
        <s v="TylerCler"/>
        <s v="TimothyEClifton"/>
        <s v="AndrewJCreager"/>
        <s v="CarlaJCunningham"/>
        <s v="BrendaJDaniel"/>
        <s v="DemetriusADaniels"/>
        <s v="CrystalDedes"/>
        <s v="AnthonyDesillas"/>
        <s v="AmirDillard"/>
        <s v="DavidADixon"/>
        <s v="MichaelDEllison"/>
        <s v="JohnEward"/>
        <s v="DonaldCFelts"/>
        <s v="JeffreyLFinch"/>
        <s v="JohnFoisel"/>
        <s v="ConnerJFrankforther"/>
        <s v="DillonMFrankforther"/>
        <s v="AnthonyJFrimel"/>
        <s v="TerryLGang"/>
        <s v="AnneMGarber"/>
        <s v="EvelynGonzalez"/>
        <s v="CristelGrandowicz"/>
        <s v="IvyJGrant"/>
        <s v="MichaelWHaas"/>
        <s v="TiraniJHague"/>
        <s v="KimberlyHall"/>
        <s v="EmmaHalpin"/>
        <s v="MichaelJHamar"/>
        <s v="PatsyHamby"/>
        <s v="JonHartman"/>
        <s v="CherieHassey"/>
        <s v="KarlaHershberger"/>
        <s v="BrandonHibbitts"/>
        <s v="BobbyHicks"/>
        <s v="DarinHitti"/>
        <s v="MasonHitti"/>
        <s v="CarrieMHoffman"/>
        <s v="LaMarrHogue"/>
        <s v="RichardWHutt"/>
        <s v="FrankIzzo"/>
        <s v="ChristopherGJablonsky"/>
        <s v="JordanJames"/>
        <s v="KeithLJames"/>
        <s v="MichaelJones"/>
        <s v="ShelleionJones"/>
        <s v="BrandonKelly"/>
        <s v="MasonRKelly"/>
        <s v="GregKemenah"/>
        <s v="JacobAKemenah"/>
        <s v="Sai AnushaKodali"/>
        <s v="ChristopherJKostohryz"/>
        <s v="WendyKozicki"/>
        <s v="MitchellKuhlman"/>
        <s v="DerekLaPlante"/>
        <s v="Moulay AbdellahLamini"/>
        <s v="WayneLeftrict"/>
        <s v="TamaraKLipp"/>
        <s v="JosephMLorenz"/>
        <s v="AbdellatefMMahmoud"/>
        <s v="JasonMajewski"/>
        <s v="ChrisFMartin"/>
        <s v="MartinMartinez"/>
        <s v="BradleyMasters"/>
        <s v="CraigMata"/>
        <s v="ScottTMazzei"/>
        <s v="JamesMcConnell"/>
        <s v="JoelEMcCoy"/>
        <s v="CharlesMcDavid"/>
        <s v="AmyCMcGuire"/>
        <s v="JermeyMcKinney"/>
        <s v="MitchellCMcLaughlin"/>
        <s v="ShawntaMcglory"/>
        <s v="KyleJMickens"/>
        <s v="AnthonyJMoavero"/>
        <s v="MichaelMolnar"/>
        <s v="CandiMMorales"/>
        <s v="PeterMorgan"/>
        <s v="AngelaMyers"/>
        <s v="RachelENeri"/>
        <s v="ShannonKO'Day"/>
        <s v="KevinDOConnor"/>
        <s v="LauraZOleksa"/>
        <s v="KyleOuthouse"/>
        <s v="DavidJPage"/>
        <s v="AlexPalicki"/>
        <s v="LinetteWParks"/>
        <s v="ShivamPatel"/>
        <s v="ShawnPatterson"/>
        <s v="JoshuaSPaulsen"/>
        <s v="CarolPhillips"/>
        <s v="ChadPhillips"/>
        <s v="WilliamPhoenix"/>
        <s v="ZacharyPlotts"/>
        <s v="RobertProsowski"/>
        <s v="JeffRaese"/>
        <s v="JonathanRafferty"/>
        <s v="JacquelineMReed"/>
        <s v="JohnnyAReyes"/>
        <s v="CassandraGRichards"/>
        <s v="JillRockow"/>
        <s v="RamonARodriguez"/>
        <s v="SiobhanRodriguez"/>
        <s v="WayneARogers"/>
        <s v="DayShawnRome"/>
        <s v="GwendolynLRome"/>
        <s v="MatthewJSaid"/>
        <s v="ChristopherDSanderson"/>
        <s v="RichardSasak"/>
        <s v="HeatherASchmidt"/>
        <s v="TimothyRSeksinsky"/>
        <s v="AsiaSexton"/>
        <s v="RogerlShook"/>
        <s v="MomikaSmith"/>
        <s v="MichaelSteen"/>
        <s v="JamesStefancin"/>
        <s v="MarvinStone"/>
        <s v="BenjaminSullivan"/>
        <s v="JoyceLSzpila"/>
        <s v="IsaakRTaiclet"/>
        <s v="RichardETaiclet"/>
        <s v="KevinThaboun"/>
        <s v="KugaginiThineshkumar"/>
        <s v="TadeyshiaToney"/>
        <s v="MacyJTudor"/>
        <s v="DanielPTuller"/>
        <s v="DuaneATurner"/>
        <s v="BenjaminDUncapher"/>
        <s v="DavidValetta"/>
        <s v="BrennenGValley"/>
        <s v="BrittanyMVelner"/>
        <s v="CraigWagner"/>
        <s v="TerryWagner"/>
        <s v="DerronWallace"/>
        <s v="DwightAWarner"/>
        <s v="BonnettaDWarren"/>
        <s v="LatashaCWatkins"/>
        <s v="RussellLWeaver"/>
        <s v="JoannWhaley"/>
        <s v="DanielWhite"/>
        <s v="WilliamMWilkins"/>
        <s v="BarbaraCWilkinson"/>
        <s v="RachelLWilliams"/>
        <s v="ShellyRWillis-Garza"/>
        <s v="DavidWilson"/>
        <s v="RichardMWright"/>
      </sharedItems>
    </cacheField>
    <cacheField name="SupervisorLastName" numFmtId="0">
      <sharedItems count="25">
        <s v="Burchell"/>
        <s v="Rodriguez"/>
        <s v="Kemenah"/>
        <s v="LaPlante"/>
        <s v="Warner"/>
        <e v="#VALUE!"/>
        <s v="Bair"/>
        <s v="Bailey"/>
        <s v="Wilkins"/>
        <s v="Steen"/>
        <s v="Halpin"/>
        <s v="Bate"/>
        <s v="Valetta"/>
        <s v="Leftrict"/>
        <s v="Wallace"/>
        <s v="Rogers"/>
        <s v="Erdogan"/>
        <s v="Rafferty"/>
        <s v="Alexander"/>
        <s v="Gang"/>
        <s v="Oleksa"/>
        <s v="Williams"/>
        <s v="Creager"/>
        <s v="Brower"/>
        <s v="Adewalure"/>
      </sharedItems>
    </cacheField>
    <cacheField name="Lookup Supervisor ID" numFmtId="0">
      <sharedItems/>
    </cacheField>
    <cacheField name="SupervisorName=Superviso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s v="KSX"/>
    <s v="Tammie"/>
    <s v=""/>
    <s v="Abitua"/>
    <m/>
    <m/>
    <s v="Burchell, Mathew"/>
    <s v="KSY211756"/>
    <s v="tabitua1@onebarnes.com"/>
    <s v="abituatammie@gmail.com"/>
    <s v="Assistant, Warehouse II"/>
    <d v="2025-03-17T00:00:00"/>
    <m/>
    <m/>
    <s v="Active"/>
    <s v="211837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0"/>
    <x v="0"/>
    <s v="211756"/>
    <b v="1"/>
  </r>
  <r>
    <s v="KSY"/>
    <s v="Gregory"/>
    <s v="S"/>
    <s v="Adams"/>
    <s v=""/>
    <s v=""/>
    <s v="Rodriguez, Siobhan"/>
    <s v="V0U207588"/>
    <s v="gadams@onebarnes.com"/>
    <s v="gdsad.adams@cox.net"/>
    <s v="Mgr, Sales "/>
    <d v="2026-06-15T00:00:00"/>
    <m/>
    <m/>
    <s v="Active"/>
    <s v="213331"/>
    <s v="Monthly"/>
    <s v="Full Time"/>
    <s v="088"/>
    <s v="088-AS Raymond"/>
    <s v="Outside Sales"/>
    <s v="008200"/>
    <s v="Work from home - Connecticut"/>
    <s v=""/>
    <s v=""/>
    <s v="USA"/>
    <s v="S16"/>
    <s v="FMG-S16"/>
    <s v="207588"/>
    <s v="0088"/>
    <n v="8200"/>
    <s v="Default"/>
    <s v="General"/>
    <s v="US"/>
    <s v="en_US"/>
    <s v="USD"/>
    <s v=""/>
    <s v="Y"/>
    <s v=""/>
    <m/>
    <x v="1"/>
    <x v="1"/>
    <s v="212338"/>
    <b v="0"/>
  </r>
  <r>
    <s v="KSY"/>
    <s v="Krystle"/>
    <s v=""/>
    <s v="Agler"/>
    <s v=""/>
    <s v=""/>
    <s v="Kemenah, Greg"/>
    <s v="KSY211766"/>
    <s v=""/>
    <s v="krystle.agler@gmail.com"/>
    <s v="Mgr, Marketing II"/>
    <d v="2026-05-18T00:00:00"/>
    <m/>
    <m/>
    <s v="Active"/>
    <s v="213226"/>
    <s v="Monthly"/>
    <s v="Full Time"/>
    <s v="088"/>
    <s v="088-AS Raymond"/>
    <s v="Marketing"/>
    <s v="008300"/>
    <s v="AS Raymond"/>
    <s v=""/>
    <s v=""/>
    <s v="USA"/>
    <s v="S16"/>
    <s v="FMG-S16"/>
    <s v="211766"/>
    <s v="0088"/>
    <n v="8300"/>
    <s v="Default"/>
    <s v="General"/>
    <s v="US"/>
    <s v="en_US"/>
    <s v="USD"/>
    <s v=""/>
    <s v="Y"/>
    <s v=""/>
    <m/>
    <x v="2"/>
    <x v="2"/>
    <s v="211766"/>
    <b v="1"/>
  </r>
  <r>
    <s v="KSX"/>
    <s v="Aydrian"/>
    <s v="M"/>
    <s v="Ahrens"/>
    <s v=""/>
    <s v=""/>
    <s v="Burchell, Mathew"/>
    <s v="KSY211756"/>
    <s v=""/>
    <s v="aydrian0323@yahoo.com"/>
    <s v="Assistant, Warehouse II"/>
    <d v="2025-04-07T00:00:00"/>
    <m/>
    <m/>
    <s v="Active"/>
    <s v="211901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3"/>
    <x v="0"/>
    <s v="211756"/>
    <b v="1"/>
  </r>
  <r>
    <s v="KSX"/>
    <s v="Matthew"/>
    <s v=""/>
    <s v="Ahrens"/>
    <s v=""/>
    <s v=""/>
    <s v="Burchell, Mathew"/>
    <s v="KSY211756"/>
    <s v=""/>
    <s v="mattcjahrens89@yahoo.com"/>
    <s v="Assistant, Warehouse II"/>
    <d v="2026-06-03T00:00:00"/>
    <d v="2026-06-09T00:00:00"/>
    <m/>
    <s v="Terminated"/>
    <s v="213306"/>
    <s v="Biweekly"/>
    <s v="Full Time"/>
    <s v="088"/>
    <s v="088-AS Raymond"/>
    <s v="WH Material Management"/>
    <s v="005300"/>
    <s v="AS Raymond"/>
    <s v=""/>
    <s v=""/>
    <s v="USA"/>
    <s v="S05"/>
    <s v="FMG-S05"/>
    <s v="211756"/>
    <s v="0088"/>
    <n v="5300"/>
    <s v="Default"/>
    <s v="General"/>
    <s v="US"/>
    <s v="en_US"/>
    <s v="USD"/>
    <s v=""/>
    <s v="N"/>
    <s v="20260609"/>
    <s v="Exclude record termination over 45 days ago"/>
    <x v="4"/>
    <x v="0"/>
    <s v="211756"/>
    <b v="1"/>
  </r>
  <r>
    <s v="KSY"/>
    <s v="Thomas"/>
    <s v="E"/>
    <s v="Alexander"/>
    <s v=""/>
    <s v=""/>
    <s v="Kemenah, Greg"/>
    <s v="KSY211766"/>
    <s v="talexander@onebarnes.com"/>
    <s v="tom5683alexander@gmail.com"/>
    <s v="Mgr, Quality II"/>
    <d v="2024-04-10T00:00:00"/>
    <m/>
    <m/>
    <s v="Active"/>
    <s v="210892"/>
    <s v="Monthly"/>
    <s v="Full Time"/>
    <s v="088"/>
    <s v="088-AS Raymond"/>
    <s v="Admin-Quality"/>
    <s v="009500"/>
    <s v="AS Raymond"/>
    <s v=""/>
    <s v=""/>
    <s v="USA"/>
    <s v="S16"/>
    <s v="FMG-S16"/>
    <s v="211766"/>
    <s v="0088"/>
    <n v="9500"/>
    <s v="Default"/>
    <s v="General"/>
    <s v="US"/>
    <s v="en_US"/>
    <s v="USD"/>
    <s v=""/>
    <s v="Y"/>
    <s v=""/>
    <m/>
    <x v="5"/>
    <x v="2"/>
    <s v="211766"/>
    <b v="1"/>
  </r>
  <r>
    <s v="KSX"/>
    <s v="Tina"/>
    <s v="M"/>
    <s v="Allen"/>
    <s v=""/>
    <s v=""/>
    <s v="LaPlante, Derek"/>
    <s v="KSY211736"/>
    <s v="TAllen2@onebarnes.com"/>
    <s v="tinaallen908@gmail.com"/>
    <s v="Assistant, Warehouse II"/>
    <d v="2021-12-20T00:00:00"/>
    <m/>
    <m/>
    <s v="Active"/>
    <s v="206848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6"/>
    <x v="3"/>
    <s v="211736"/>
    <b v="1"/>
  </r>
  <r>
    <s v="KSY"/>
    <s v="Kimberly"/>
    <s v=""/>
    <s v="Ashley"/>
    <s v=""/>
    <s v=""/>
    <s v="Warner, Dwight"/>
    <s v="V0U008750"/>
    <s v="KAshley@onebarnes.com"/>
    <s v=""/>
    <s v="Accountant III"/>
    <d v="2019-09-02T00:00:00"/>
    <m/>
    <m/>
    <s v="Active"/>
    <s v="201688"/>
    <s v="Monthly"/>
    <s v="Full Time"/>
    <s v="088"/>
    <s v="088-AS Raymond"/>
    <s v="Finance General"/>
    <s v="009100"/>
    <s v="Work from home - Connecticut"/>
    <s v=""/>
    <s v=""/>
    <s v="USA"/>
    <s v="S13"/>
    <s v="FMG-S13"/>
    <s v="008750"/>
    <s v="0088"/>
    <n v="9100"/>
    <s v="Default"/>
    <s v="General"/>
    <s v="US"/>
    <s v="en_US"/>
    <s v="USD"/>
    <s v=""/>
    <s v="Y"/>
    <s v=""/>
    <m/>
    <x v="7"/>
    <x v="4"/>
    <s v="008750"/>
    <b v="1"/>
  </r>
  <r>
    <s v="KSY"/>
    <s v="Jason"/>
    <s v="J"/>
    <s v="Bailey"/>
    <s v=""/>
    <s v=""/>
    <s v="Kemenah, Greg"/>
    <s v=""/>
    <s v="jbailey@onebarnes.com"/>
    <s v="jjbailey08@gmail.com"/>
    <s v="Senior Mgr, Operations"/>
    <d v="2026-08-24T00:00:00"/>
    <m/>
    <m/>
    <s v="Active"/>
    <s v="902688"/>
    <s v="Monthly"/>
    <s v="Full Time"/>
    <s v="088"/>
    <s v="088-AS Raymond"/>
    <s v="Operations 5200 5200"/>
    <s v="000007"/>
    <s v="AS Raymond"/>
    <s v=""/>
    <s v=""/>
    <s v="USA"/>
    <s v="S18"/>
    <s v="FMG-S18"/>
    <s v=""/>
    <s v="0088"/>
    <s v="Home Department Code Not Mapped"/>
    <s v="Default"/>
    <s v="General"/>
    <s v="US"/>
    <s v="en_US"/>
    <s v="USD"/>
    <s v=""/>
    <s v="Y"/>
    <s v=""/>
    <m/>
    <x v="8"/>
    <x v="2"/>
    <s v="211766"/>
    <b v="0"/>
  </r>
  <r>
    <s v="KSY"/>
    <s v="Teresa"/>
    <s v=""/>
    <s v="Bair"/>
    <s v=""/>
    <s v=""/>
    <s v=""/>
    <s v=""/>
    <s v="TBair@onebarnes.com"/>
    <s v=""/>
    <s v="President, SBU II"/>
    <d v="2022-06-20T00:00:00"/>
    <m/>
    <m/>
    <s v="Active"/>
    <s v="207709"/>
    <s v="Monthly"/>
    <s v="Full Time"/>
    <s v="088"/>
    <s v="088-AS Raymond"/>
    <s v="Bus Execs CU"/>
    <s v="009310"/>
    <s v="AS Raymond"/>
    <s v=""/>
    <s v=""/>
    <s v="USA"/>
    <s v="S22"/>
    <s v="FMG-S22"/>
    <s v=""/>
    <s v="0088"/>
    <n v="9310"/>
    <s v="Grade 20"/>
    <s v="Senior Leadership"/>
    <s v="US"/>
    <s v="en_US"/>
    <s v="USD"/>
    <s v=""/>
    <s v="Y"/>
    <s v=""/>
    <m/>
    <x v="9"/>
    <x v="5"/>
    <s v="No Reports to Name"/>
    <b v="0"/>
  </r>
  <r>
    <s v="V0U"/>
    <s v="Kirsten"/>
    <s v="V"/>
    <s v="Barry"/>
    <s v=""/>
    <s v=""/>
    <s v="Rodriguez, Siobhan"/>
    <s v=""/>
    <s v="kbarry@onebarnes.com"/>
    <s v=""/>
    <s v="Mgr, Project I"/>
    <d v="2023-01-23T00:00:00"/>
    <m/>
    <m/>
    <s v="Active"/>
    <s v="209579"/>
    <s v="Monthly"/>
    <s v="Full Time"/>
    <s v="025"/>
    <s v="025-NGP Hyson Products"/>
    <s v="Outside Sales"/>
    <s v="000820"/>
    <s v="Hyson Products"/>
    <s v=""/>
    <s v=""/>
    <s v="USA"/>
    <s v="S15"/>
    <s v="FMG-S15"/>
    <s v=""/>
    <s v="0096"/>
    <n v="820"/>
    <s v="Default"/>
    <s v="General"/>
    <s v="US"/>
    <s v="en_US"/>
    <s v="USD"/>
    <s v=""/>
    <s v="Y"/>
    <s v=""/>
    <m/>
    <x v="10"/>
    <x v="1"/>
    <s v="212338"/>
    <b v="0"/>
  </r>
  <r>
    <s v="V0U"/>
    <s v="Natalie"/>
    <s v=""/>
    <s v="Bate"/>
    <s v=""/>
    <s v=""/>
    <s v="Bair, Teresa"/>
    <s v="KSY207709"/>
    <s v="nbate@onebarnes.com"/>
    <s v="natalie.m.bate@gmail.com"/>
    <s v="Mgr, Division II"/>
    <d v="2026-03-02T00:00:00"/>
    <m/>
    <m/>
    <s v="Active"/>
    <s v="213037"/>
    <s v="Monthly"/>
    <s v="Full Time"/>
    <s v="025"/>
    <s v="025-NGP Hyson Products"/>
    <s v="Administration"/>
    <s v="000917"/>
    <s v="Hyson Products"/>
    <s v=""/>
    <s v=""/>
    <s v="USA"/>
    <s v="S19"/>
    <s v="FMG-S19"/>
    <s v="207709"/>
    <s v="0096"/>
    <s v="0007"/>
    <s v="Default"/>
    <s v="General"/>
    <s v="US"/>
    <s v="en_US"/>
    <s v="USD"/>
    <s v=""/>
    <s v="Y"/>
    <s v=""/>
    <m/>
    <x v="11"/>
    <x v="6"/>
    <s v="207709"/>
    <b v="1"/>
  </r>
  <r>
    <s v="KSY"/>
    <s v="Michael"/>
    <s v="J"/>
    <s v="Beasley"/>
    <s v=""/>
    <s v=""/>
    <s v="Rodriguez, Siobhan"/>
    <s v="V0U207588"/>
    <s v="mbeasley@onebarnes.com"/>
    <s v="gqnbeasley@comcast.net"/>
    <s v="Mgr, Sales "/>
    <d v="2026-06-29T00:00:00"/>
    <m/>
    <m/>
    <s v="Active"/>
    <s v="213333"/>
    <s v="Monthly"/>
    <s v="Full Time"/>
    <s v="088"/>
    <s v="088-AS Raymond"/>
    <s v="Outside Sales"/>
    <s v="008200"/>
    <s v="Work from home - Washington"/>
    <s v=""/>
    <s v=""/>
    <s v="USA"/>
    <s v="S16"/>
    <s v="FMG-S16"/>
    <s v="207588"/>
    <s v="0088"/>
    <n v="8200"/>
    <s v="Default"/>
    <s v="General"/>
    <s v="US"/>
    <s v="en_US"/>
    <s v="USD"/>
    <s v=""/>
    <s v="Y"/>
    <s v=""/>
    <m/>
    <x v="12"/>
    <x v="1"/>
    <s v="212338"/>
    <b v="0"/>
  </r>
  <r>
    <s v="KSX"/>
    <s v="Ella Renae"/>
    <s v="E"/>
    <s v="Beatrice"/>
    <s v=""/>
    <s v=""/>
    <s v="LaPlante, Derek"/>
    <s v="KSY211736"/>
    <s v="ebeatrice@onebarnes.com"/>
    <s v="thatellachick@gmail.com"/>
    <s v="Assistant, Warehouse II"/>
    <d v="2025-09-29T00:00:00"/>
    <m/>
    <m/>
    <s v="Active"/>
    <s v="212626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13"/>
    <x v="3"/>
    <s v="211736"/>
    <b v="1"/>
  </r>
  <r>
    <s v="KSX"/>
    <s v="John"/>
    <s v=""/>
    <s v="Bentz"/>
    <s v=""/>
    <s v=""/>
    <s v="LaPlante, Derek"/>
    <s v="KSY211736"/>
    <s v="jbentz@onebarnes.com"/>
    <s v="xjbm13@yahoo.com"/>
    <s v="Assistant, Warehouse II"/>
    <d v="2025-10-07T00:00:00"/>
    <m/>
    <m/>
    <s v="Active"/>
    <s v="212639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14"/>
    <x v="3"/>
    <s v="211736"/>
    <b v="1"/>
  </r>
  <r>
    <s v="KSY"/>
    <s v="Michael"/>
    <s v=""/>
    <s v="Biniecki"/>
    <s v=""/>
    <s v=""/>
    <s v="Bailey, Jason"/>
    <s v="KSY211766"/>
    <s v="mbiniecki@onebarnes.com"/>
    <s v="mbineck@frontier.com"/>
    <s v="Supv, CI"/>
    <d v="2024-09-30T00:00:00"/>
    <m/>
    <m/>
    <s v="Active"/>
    <s v="211464"/>
    <s v="Monthly"/>
    <s v="Full Time"/>
    <s v="088"/>
    <s v="088-AS Raymond"/>
    <s v="FG Warehouse"/>
    <s v="005200"/>
    <s v="AS Raymond"/>
    <s v=""/>
    <s v=""/>
    <s v="USA"/>
    <s v="S16"/>
    <s v="FMG-S16"/>
    <s v="211766"/>
    <s v="0088"/>
    <n v="5200"/>
    <s v="Default"/>
    <s v="General"/>
    <s v="US"/>
    <s v="en_US"/>
    <s v="USD"/>
    <s v=""/>
    <s v="Y"/>
    <s v=""/>
    <m/>
    <x v="15"/>
    <x v="7"/>
    <s v="902688"/>
    <b v="0"/>
  </r>
  <r>
    <s v="V0U"/>
    <s v="Nathan"/>
    <s v=""/>
    <s v="Bird"/>
    <s v=""/>
    <s v=""/>
    <s v="Wilkins, William"/>
    <s v="V0U901934"/>
    <s v="nbird@onebarnes.com"/>
    <s v="bird.nathan@icloud.com"/>
    <s v="Mgr, Sales "/>
    <d v="2023-07-24T00:00:00"/>
    <m/>
    <m/>
    <s v="Active"/>
    <s v="210102"/>
    <s v="Monthly"/>
    <s v="Full Time"/>
    <s v="025"/>
    <s v="025-NGP Hyson Products"/>
    <s v="Outside Sales"/>
    <s v="000820"/>
    <s v="Work from home - Arizona"/>
    <s v=""/>
    <s v=""/>
    <s v="USA"/>
    <s v="S15"/>
    <s v="FMG-S15"/>
    <s v="901934"/>
    <s v="0096"/>
    <n v="820"/>
    <s v="Default"/>
    <s v="General"/>
    <s v="US"/>
    <s v="en_US"/>
    <s v="USD"/>
    <s v=""/>
    <s v="Y"/>
    <s v=""/>
    <m/>
    <x v="16"/>
    <x v="8"/>
    <s v="901934"/>
    <b v="1"/>
  </r>
  <r>
    <s v="KSW"/>
    <s v="James"/>
    <s v=""/>
    <s v="Biss"/>
    <s v=""/>
    <s v=""/>
    <s v="Steen, Michael"/>
    <s v="V0U211062"/>
    <s v=""/>
    <s v="jlbjr7784@gmail.com"/>
    <s v="Assembler B"/>
    <d v="2023-11-02T00:00:00"/>
    <m/>
    <m/>
    <s v="Active"/>
    <s v="210375"/>
    <s v="Biweekly"/>
    <s v="Full Time"/>
    <s v="025"/>
    <s v="025-NGP Hyson Products"/>
    <s v="Assembly Hyson"/>
    <s v="000200"/>
    <s v="Hyson Products"/>
    <s v=""/>
    <s v=""/>
    <s v="USA"/>
    <s v="H05"/>
    <s v="FMG-H05"/>
    <s v="211062"/>
    <s v="0096"/>
    <n v="200"/>
    <s v="Default"/>
    <s v="General"/>
    <s v="US"/>
    <s v="en_US"/>
    <s v="USD"/>
    <s v=""/>
    <s v="Y"/>
    <s v=""/>
    <m/>
    <x v="17"/>
    <x v="9"/>
    <s v="211062"/>
    <b v="1"/>
  </r>
  <r>
    <s v="KSX"/>
    <s v="Brenda"/>
    <s v=""/>
    <s v="Bixler"/>
    <s v=""/>
    <s v=""/>
    <s v="LaPlante, Derek"/>
    <s v="KSY211736"/>
    <s v="bbixler@onebarnes.com"/>
    <s v="beebix911@gmail.com"/>
    <s v="Expeditor, Warehouse"/>
    <d v="2024-07-29T00:00:00"/>
    <m/>
    <m/>
    <s v="Active"/>
    <s v="211174"/>
    <s v="Biweekly"/>
    <s v="Full Time"/>
    <s v="088"/>
    <s v="088-AS Raymond"/>
    <s v="FG Warehouse"/>
    <s v="005200"/>
    <s v="AS Raymond"/>
    <s v=""/>
    <s v=""/>
    <s v="USA"/>
    <s v="S06"/>
    <s v="FMG-S06"/>
    <s v="211736"/>
    <s v="0088"/>
    <n v="5200"/>
    <s v="Default"/>
    <s v="General"/>
    <s v="US"/>
    <s v="en_US"/>
    <s v="USD"/>
    <s v=""/>
    <s v="Y"/>
    <s v=""/>
    <m/>
    <x v="18"/>
    <x v="3"/>
    <s v="211736"/>
    <b v="1"/>
  </r>
  <r>
    <s v="KSX"/>
    <s v="Robert"/>
    <s v=""/>
    <s v="Bordner"/>
    <s v=""/>
    <s v=""/>
    <s v="Burchell, Mathew"/>
    <s v="KSY211756"/>
    <s v=""/>
    <s v="robertbordner@gmail.com"/>
    <s v="Assistant, Warehouse II"/>
    <d v="2026-06-17T00:00:00"/>
    <m/>
    <m/>
    <s v="Active"/>
    <s v=""/>
    <s v="Biweekly"/>
    <s v="Temporary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19"/>
    <x v="0"/>
    <s v="211756"/>
    <b v="1"/>
  </r>
  <r>
    <s v="KSX"/>
    <s v="Jack"/>
    <s v="O"/>
    <s v="Bradford"/>
    <s v=""/>
    <s v=""/>
    <s v="Halpin, Emma"/>
    <s v="KSY211489"/>
    <s v=""/>
    <s v="jb7222222@gmail.com"/>
    <s v="Intern, Project Mgr Indir"/>
    <d v="2026-05-11T00:00:00"/>
    <d v="2026-08-07T00:00:00"/>
    <m/>
    <s v="Terminated"/>
    <s v="213234"/>
    <s v="Biweekly"/>
    <s v="Intern"/>
    <s v="088"/>
    <s v="088-AS Raymond"/>
    <s v="Marketing"/>
    <s v="008300"/>
    <s v="AS Raymond"/>
    <s v=""/>
    <s v=""/>
    <s v="USA"/>
    <s v="H05"/>
    <s v="FMG-H05"/>
    <s v="211489"/>
    <s v="0088"/>
    <n v="8300"/>
    <s v="Default"/>
    <s v="General"/>
    <s v="US"/>
    <s v="en_US"/>
    <s v="USD"/>
    <s v=""/>
    <s v="N"/>
    <s v="20260807"/>
    <s v="Fix and Include Record"/>
    <x v="20"/>
    <x v="10"/>
    <s v="211489"/>
    <b v="1"/>
  </r>
  <r>
    <s v="KSW"/>
    <s v="John"/>
    <s v=""/>
    <s v="Brewer"/>
    <s v=""/>
    <s v=""/>
    <s v="Steen, Michael"/>
    <s v="V0U211062"/>
    <s v=""/>
    <s v="maddenbeast09@gmail.com"/>
    <s v="Boring Mill Operator"/>
    <d v="2026-07-27T00:00:00"/>
    <m/>
    <m/>
    <s v="Active"/>
    <s v=""/>
    <s v="Biweekly"/>
    <s v="Temporary"/>
    <s v=""/>
    <s v=""/>
    <s v=""/>
    <s v=" "/>
    <s v=""/>
    <s v=""/>
    <s v=""/>
    <s v=""/>
    <s v="H07"/>
    <s v="FMG-H07"/>
    <s v="211062"/>
    <s v="BU Description Not Mapped"/>
    <s v="Home Department Code Not Mapped"/>
    <s v="Default"/>
    <s v="General"/>
    <s v="Legal Country Not Mapped"/>
    <s v="ADP and BU Language Code Not MappedLegal Country Not Mapped"/>
    <s v="BU Currency Not Mapped"/>
    <s v=""/>
    <s v="Y"/>
    <s v=""/>
    <m/>
    <x v="21"/>
    <x v="9"/>
    <s v="211062"/>
    <b v="1"/>
  </r>
  <r>
    <s v="V0U"/>
    <s v="James"/>
    <s v=""/>
    <s v="Brower"/>
    <s v=""/>
    <s v=""/>
    <s v="Bate, Natalie"/>
    <s v="V0U213037"/>
    <s v="JBrower@onebarnes.com"/>
    <s v="browerj@cox.net"/>
    <s v="Engineer, Application III"/>
    <d v="1995-02-06T00:00:00"/>
    <m/>
    <m/>
    <s v="Active"/>
    <s v="006769"/>
    <s v="Monthly"/>
    <s v="Full Time"/>
    <s v="025"/>
    <s v="025-NGP Hyson Products"/>
    <s v="Engineering"/>
    <s v="000718"/>
    <s v="Hyson Products"/>
    <s v=""/>
    <s v=""/>
    <s v="USA"/>
    <s v="S15"/>
    <s v="FMG-S15"/>
    <s v="213037"/>
    <s v="0096"/>
    <n v="718"/>
    <s v="Default"/>
    <s v="General"/>
    <s v="US"/>
    <s v="en_US"/>
    <s v="USD"/>
    <s v=""/>
    <s v="Y"/>
    <s v=""/>
    <m/>
    <x v="22"/>
    <x v="11"/>
    <s v="213037"/>
    <b v="1"/>
  </r>
  <r>
    <s v="KSW"/>
    <s v="R"/>
    <s v="T"/>
    <s v="Brown"/>
    <s v=""/>
    <s v=""/>
    <s v=""/>
    <s v=""/>
    <s v=""/>
    <s v="rtaeveis@gmail.com"/>
    <s v="Assembler C"/>
    <d v="2025-08-18T00:00:00"/>
    <d v="2026-01-09T00:00:00"/>
    <m/>
    <s v="Terminated"/>
    <s v="212370"/>
    <s v="Biweekly"/>
    <s v="Full Time"/>
    <s v="025"/>
    <s v="025-NGP Hyson Products"/>
    <s v="Assembly Hyson"/>
    <s v="000200"/>
    <s v="Hyson Products"/>
    <s v=""/>
    <s v=""/>
    <s v="USA"/>
    <s v="H05"/>
    <s v="FMG-H05"/>
    <s v=""/>
    <s v="0096"/>
    <n v="200"/>
    <s v="Default"/>
    <s v="General"/>
    <s v="US"/>
    <s v="en_US"/>
    <s v="USD"/>
    <s v=""/>
    <s v="N"/>
    <s v="20260109"/>
    <s v="Fix and Include Record"/>
    <x v="23"/>
    <x v="5"/>
    <s v="No Reports to Name"/>
    <b v="0"/>
  </r>
  <r>
    <s v="KSY"/>
    <s v="Trevor"/>
    <s v=""/>
    <s v="Bunch"/>
    <s v=""/>
    <s v=""/>
    <s v="Valetta, David"/>
    <s v="V0U211601"/>
    <s v="Tbunch@onebarnes.com"/>
    <s v=""/>
    <s v="Analyst, Pricing"/>
    <d v="2023-04-17T00:00:00"/>
    <m/>
    <m/>
    <s v="Active"/>
    <s v="209735"/>
    <s v="Monthly"/>
    <s v="Full Time"/>
    <s v="088"/>
    <s v="088-AS Raymond"/>
    <s v="Marketing"/>
    <s v="008300"/>
    <s v="AS Raymond"/>
    <s v=""/>
    <s v=""/>
    <s v="USA"/>
    <s v="S13"/>
    <s v="FMG-S13"/>
    <s v="211601"/>
    <s v="0088"/>
    <n v="8300"/>
    <s v="Default"/>
    <s v="General"/>
    <s v="US"/>
    <s v="en_US"/>
    <s v="USD"/>
    <s v=""/>
    <s v="Y"/>
    <s v=""/>
    <m/>
    <x v="24"/>
    <x v="12"/>
    <s v="211601"/>
    <b v="1"/>
  </r>
  <r>
    <s v="KSY"/>
    <s v="Mathew"/>
    <s v="A"/>
    <s v="Burchell"/>
    <s v=""/>
    <s v=""/>
    <s v="Bailey, Jason"/>
    <s v="KSY211464"/>
    <s v="mburchell@onebarnes.com"/>
    <s v="mathew121709@outlook.com"/>
    <s v="Supv, Warehouse I"/>
    <d v="2025-03-03T00:00:00"/>
    <m/>
    <m/>
    <s v="Active"/>
    <s v="211756"/>
    <s v="Monthly"/>
    <s v="Full Time"/>
    <s v="088"/>
    <s v="088-AS Raymond"/>
    <s v="Assembly"/>
    <s v="005100"/>
    <s v="AS Raymond"/>
    <s v=""/>
    <s v=""/>
    <s v="USA"/>
    <s v="S11"/>
    <s v="FMG-S11"/>
    <s v="211464"/>
    <s v="0088"/>
    <n v="5100"/>
    <s v="Default"/>
    <s v="General"/>
    <s v="US"/>
    <s v="en_US"/>
    <s v="USD"/>
    <s v=""/>
    <s v="Y"/>
    <s v=""/>
    <m/>
    <x v="25"/>
    <x v="7"/>
    <s v="902688"/>
    <b v="0"/>
  </r>
  <r>
    <s v="KSW"/>
    <s v="Kenneth"/>
    <s v="D"/>
    <s v="Butler"/>
    <s v=""/>
    <s v=""/>
    <s v="Steen, Michael"/>
    <s v="V0U211062"/>
    <s v=""/>
    <s v="kennethbutler6459@yahoo.com"/>
    <s v="Coord, Material B"/>
    <d v="2021-11-29T00:00:00"/>
    <m/>
    <m/>
    <s v="Active"/>
    <s v="206741"/>
    <s v="Biweekly"/>
    <s v="Full Time"/>
    <s v="025"/>
    <s v="025-NGP Hyson Products"/>
    <s v="Indirect General -Hyson"/>
    <s v="000400"/>
    <s v="Hyson Products"/>
    <s v=""/>
    <s v=""/>
    <s v="USA"/>
    <s v="H05"/>
    <s v="FMG-H05"/>
    <s v="211062"/>
    <s v="0096"/>
    <n v="400"/>
    <s v="Default"/>
    <s v="General"/>
    <s v="US"/>
    <s v="en_US"/>
    <s v="USD"/>
    <s v=""/>
    <s v="Y"/>
    <s v=""/>
    <m/>
    <x v="26"/>
    <x v="9"/>
    <s v="211062"/>
    <b v="1"/>
  </r>
  <r>
    <s v="V0U"/>
    <s v="Timothy"/>
    <s v="D"/>
    <s v="Carmichael"/>
    <s v=""/>
    <s v=""/>
    <s v="Valetta, David"/>
    <s v="V0U211601"/>
    <s v="TCarmichael@onebarnes.com"/>
    <s v="tritectim@yahoo.com"/>
    <s v="Analyst, Pricing"/>
    <d v="2013-04-22T00:00:00"/>
    <m/>
    <m/>
    <s v="Active"/>
    <s v="900826"/>
    <s v="Monthly"/>
    <s v="Full Time"/>
    <s v="025"/>
    <s v="025-NGP Hyson Products"/>
    <s v="Inside Sales"/>
    <s v="000850"/>
    <s v="Hyson Products"/>
    <s v=""/>
    <s v=""/>
    <s v="USA"/>
    <s v="S13"/>
    <s v="FMG-S13"/>
    <s v="211601"/>
    <s v="0096"/>
    <n v="850"/>
    <s v="Default"/>
    <s v="General"/>
    <s v="US"/>
    <s v="en_US"/>
    <s v="USD"/>
    <s v=""/>
    <s v="Y"/>
    <s v=""/>
    <m/>
    <x v="27"/>
    <x v="12"/>
    <s v="211601"/>
    <b v="1"/>
  </r>
  <r>
    <s v="V0U"/>
    <s v="Jonathan"/>
    <s v=""/>
    <s v="Carter"/>
    <s v=""/>
    <s v=""/>
    <s v="Bate, Natalie"/>
    <s v="V0U213037"/>
    <s v="jcarter@onebarnes.com"/>
    <s v="Jonathancarter201157@gmail.com"/>
    <s v="Engineer, Production II"/>
    <d v="2025-11-10T00:00:00"/>
    <m/>
    <m/>
    <s v="Active"/>
    <s v="212737"/>
    <s v="Monthly"/>
    <s v="Full Time"/>
    <s v="025"/>
    <s v="025-NGP Hyson Products"/>
    <s v="Engineering"/>
    <s v="000718"/>
    <s v="Hyson Products"/>
    <s v=""/>
    <s v=""/>
    <s v="USA"/>
    <s v="S14"/>
    <s v="FMG-S14"/>
    <s v="213037"/>
    <s v="0096"/>
    <n v="718"/>
    <s v="Default"/>
    <s v="General"/>
    <s v="US"/>
    <s v="en_US"/>
    <s v="USD"/>
    <s v=""/>
    <s v="Y"/>
    <s v=""/>
    <m/>
    <x v="28"/>
    <x v="11"/>
    <s v="213037"/>
    <b v="1"/>
  </r>
  <r>
    <s v="KSY"/>
    <s v="Tyler"/>
    <s v=""/>
    <s v="Cler"/>
    <s v=""/>
    <s v=""/>
    <s v="Kemenah, Greg"/>
    <s v="KSY211766"/>
    <s v="tcler@onebarnes.com"/>
    <s v="tyler.cler@gmail.com"/>
    <s v="Engineer, Production II"/>
    <d v="2018-04-02T00:00:00"/>
    <m/>
    <m/>
    <s v="Active"/>
    <s v="902435"/>
    <s v="Monthly"/>
    <s v="Full Time"/>
    <s v="088"/>
    <s v="088-AS Raymond"/>
    <s v="Admin-Engineering"/>
    <s v="009450"/>
    <s v="AS Raymond"/>
    <s v="English"/>
    <s v="4"/>
    <s v="USA"/>
    <s v="S14"/>
    <s v="FMG-S14"/>
    <s v="211766"/>
    <s v="0088"/>
    <n v="9450"/>
    <s v="Default"/>
    <s v="General"/>
    <s v="US"/>
    <s v="en_US"/>
    <s v="USD"/>
    <s v=""/>
    <s v="Y"/>
    <s v=""/>
    <m/>
    <x v="29"/>
    <x v="2"/>
    <s v="211766"/>
    <b v="1"/>
  </r>
  <r>
    <s v="V0U"/>
    <s v="Timothy"/>
    <s v="E"/>
    <s v="Clifton"/>
    <s v=""/>
    <s v=""/>
    <s v=""/>
    <s v=""/>
    <s v="tclifton1@onebarnes.com"/>
    <s v="clifford43431t@yahoo.com"/>
    <s v="Tech, Quality I"/>
    <d v="2026-05-18T00:00:00"/>
    <d v="2026-06-03T00:00:00"/>
    <m/>
    <s v="Terminated"/>
    <s v="213265"/>
    <s v="Biweekly"/>
    <s v="Full Time"/>
    <s v="025"/>
    <s v="025-NGP Hyson Products"/>
    <s v="Quality"/>
    <s v="000500"/>
    <s v="Hyson Products"/>
    <s v=""/>
    <s v=""/>
    <s v="USA"/>
    <s v="S10"/>
    <s v="FMG-S10"/>
    <s v=""/>
    <s v="0096"/>
    <n v="500"/>
    <s v="Default"/>
    <s v="General"/>
    <s v="US"/>
    <s v="en_US"/>
    <s v="USD"/>
    <s v=""/>
    <s v="N"/>
    <s v="20260603"/>
    <s v="Fix and Include Record"/>
    <x v="30"/>
    <x v="5"/>
    <s v="No Reports to Name"/>
    <b v="0"/>
  </r>
  <r>
    <s v="KSW"/>
    <s v="Timothy"/>
    <s v="E"/>
    <s v="Clifton"/>
    <s v=""/>
    <s v=""/>
    <s v="Leftrict, Wayne"/>
    <s v="V0U210910"/>
    <s v="tclifton1@onebarnes.com"/>
    <s v="clifford43431t@yahoo.com"/>
    <s v="Tech, Quality I"/>
    <d v="2026-05-18T00:00:00"/>
    <m/>
    <m/>
    <s v="Active"/>
    <s v="213265"/>
    <s v="Biweekly"/>
    <s v="Full Time"/>
    <s v="025"/>
    <s v="025-NGP Hyson Products"/>
    <s v="Quality"/>
    <s v="000500"/>
    <s v="Hyson Products"/>
    <s v=""/>
    <s v=""/>
    <s v="USA"/>
    <s v="S10"/>
    <s v="FMG-S10"/>
    <s v="210910"/>
    <s v="0096"/>
    <n v="500"/>
    <s v="Default"/>
    <s v="General"/>
    <s v="US"/>
    <s v="en_US"/>
    <s v="USD"/>
    <s v=""/>
    <s v="Y"/>
    <s v=""/>
    <m/>
    <x v="30"/>
    <x v="13"/>
    <s v="210910"/>
    <b v="1"/>
  </r>
  <r>
    <s v="V0U"/>
    <s v="Timothy"/>
    <s v="E"/>
    <s v="Clifton"/>
    <s v=""/>
    <s v=""/>
    <s v=""/>
    <s v=""/>
    <s v="tclifton1@onebarnes.com"/>
    <s v="clifford43431t@yahoo.com"/>
    <s v="Tech, Quality I"/>
    <d v="2026-05-18T00:00:00"/>
    <d v="2026-06-03T00:00:00"/>
    <m/>
    <s v="Terminated"/>
    <s v="213265"/>
    <s v="Monthly"/>
    <s v="Full Time"/>
    <s v="025"/>
    <s v="025-NGP Hyson Products"/>
    <s v="Quality"/>
    <s v="000500"/>
    <s v="Hyson Products"/>
    <s v=""/>
    <s v=""/>
    <s v="USA"/>
    <s v="S10"/>
    <s v="FMG-S10"/>
    <s v=""/>
    <s v="0096"/>
    <n v="500"/>
    <s v="Default"/>
    <s v="General"/>
    <s v="US"/>
    <s v="en_US"/>
    <s v="USD"/>
    <s v=""/>
    <s v="N"/>
    <s v="20260603"/>
    <s v="Fix and Include Record"/>
    <x v="30"/>
    <x v="5"/>
    <s v="No Reports to Name"/>
    <b v="0"/>
  </r>
  <r>
    <s v="KSY"/>
    <s v="Andrew"/>
    <s v="J"/>
    <s v="Creager"/>
    <s v=""/>
    <s v=""/>
    <s v="Bailey, Jason"/>
    <s v="KSY211766"/>
    <s v="acreager@onebarnes.com"/>
    <s v=""/>
    <s v="Mgr, Supply Chain III"/>
    <d v="2025-10-27T00:00:00"/>
    <m/>
    <m/>
    <s v="Active"/>
    <s v="212699"/>
    <s v="Monthly"/>
    <s v="Full Time"/>
    <s v="088"/>
    <s v="088-AS Raymond"/>
    <s v="Admin-Material Management"/>
    <s v="009400"/>
    <s v="AS Raymond"/>
    <s v=""/>
    <s v=""/>
    <s v="USA"/>
    <s v="S17"/>
    <s v="FMG-S17"/>
    <s v="211766"/>
    <s v="0088"/>
    <n v="9400"/>
    <s v="Default"/>
    <s v="General"/>
    <s v="US"/>
    <s v="en_US"/>
    <s v="USD"/>
    <s v=""/>
    <s v="Y"/>
    <s v=""/>
    <m/>
    <x v="31"/>
    <x v="7"/>
    <s v="902688"/>
    <b v="0"/>
  </r>
  <r>
    <s v="KSY"/>
    <s v="Carla"/>
    <s v="J"/>
    <s v="Cunningham"/>
    <s v=""/>
    <s v=""/>
    <s v=""/>
    <s v=""/>
    <s v="ccunningham@onebarnes.com"/>
    <s v="springgirl3@sbcglobal.net"/>
    <s v=""/>
    <d v="2025-12-31T00:00:00"/>
    <d v="2025-12-31T00:00:00"/>
    <m/>
    <s v="Terminated"/>
    <s v="007633"/>
    <s v="Monthly"/>
    <s v="Full Time"/>
    <s v=""/>
    <s v=""/>
    <s v=""/>
    <s v=" "/>
    <s v="AS Raymond"/>
    <s v=""/>
    <s v=""/>
    <s v="USA"/>
    <s v=""/>
    <s v=""/>
    <s v=""/>
    <s v="BU Description Not Mapped"/>
    <s v="Home Department Code Not Mapped"/>
    <s v="Salary Code Not Mapped"/>
    <s v="Salary Code Not Mapped"/>
    <s v="US"/>
    <s v="ADP and BU Language Code Not MappedUS"/>
    <s v="BU Currency Not Mapped"/>
    <s v=""/>
    <s v="N"/>
    <s v="20251231"/>
    <s v="Fix and Include Record"/>
    <x v="32"/>
    <x v="5"/>
    <s v="No Reports to Name"/>
    <b v="0"/>
  </r>
  <r>
    <s v=""/>
    <s v="Carla"/>
    <s v="J"/>
    <s v="Cunningham"/>
    <s v=""/>
    <s v=""/>
    <s v=""/>
    <s v=""/>
    <s v="ccunningham@onebarnes.com"/>
    <s v="springgirl3@sbcglobal.net"/>
    <s v=""/>
    <d v="2025-12-31T00:00:00"/>
    <d v="2026-01-01T00:00:00"/>
    <m/>
    <s v="Terminated"/>
    <s v=""/>
    <s v="Weekly"/>
    <s v=""/>
    <s v=""/>
    <s v=""/>
    <s v=""/>
    <s v=" "/>
    <s v=""/>
    <s v=""/>
    <s v=""/>
    <s v="USA"/>
    <s v=""/>
    <s v=""/>
    <s v=""/>
    <s v="BU Description Not Mapped"/>
    <s v="Home Department Code Not Mapped"/>
    <s v="Salary Code Not Mapped"/>
    <s v="Salary Code Not Mapped"/>
    <s v="US"/>
    <s v="ADP and BU Language Code Not MappedUS"/>
    <s v="BU Currency Not Mapped"/>
    <s v=""/>
    <s v="N"/>
    <s v="20260101"/>
    <s v="Exclude record termination over 45 days ago"/>
    <x v="32"/>
    <x v="5"/>
    <s v="No Reports to Name"/>
    <b v="0"/>
  </r>
  <r>
    <s v="KSX"/>
    <s v="Brenda"/>
    <s v="J"/>
    <s v="Daniel"/>
    <s v=""/>
    <s v=""/>
    <s v=""/>
    <s v="KSY202533"/>
    <s v=""/>
    <s v="brendajdaniel@gmail.com"/>
    <s v="Rep, Customer Service I"/>
    <d v="2026-05-18T00:00:00"/>
    <d v="2026-06-08T00:00:00"/>
    <m/>
    <s v="Terminated"/>
    <s v="213236"/>
    <s v="Biweekly"/>
    <s v="Full Time"/>
    <s v="088"/>
    <s v="088-AS Raymond"/>
    <s v="Inside Sales"/>
    <s v="008100"/>
    <s v="AS Raymond"/>
    <s v=""/>
    <s v=""/>
    <s v="USA"/>
    <s v="S08"/>
    <s v="FMG-S08"/>
    <s v="202533"/>
    <s v="0088"/>
    <n v="8100"/>
    <s v="Default"/>
    <s v="General"/>
    <s v="US"/>
    <s v="en_US"/>
    <s v="USD"/>
    <s v=""/>
    <s v="N"/>
    <s v="20260608"/>
    <s v="Fix and Include Record"/>
    <x v="33"/>
    <x v="5"/>
    <s v="No Reports to Name"/>
    <b v="0"/>
  </r>
  <r>
    <s v="V0U"/>
    <s v="Demetrius"/>
    <s v="A"/>
    <s v="Daniels"/>
    <s v=""/>
    <s v=""/>
    <s v=""/>
    <s v=""/>
    <s v="ddaniels@kaller.com"/>
    <s v="mrtruth75@gmail.com"/>
    <s v="Rep, Customer Service II"/>
    <d v="2002-06-17T00:00:00"/>
    <d v="2026-06-02T00:00:00"/>
    <m/>
    <s v="Terminated"/>
    <s v="006774"/>
    <s v="Biweekly"/>
    <s v="Full Time"/>
    <s v="025"/>
    <s v="025-NGP Hyson Products"/>
    <s v="Inside Sales"/>
    <s v="000850"/>
    <s v="Hyson Products"/>
    <s v=""/>
    <s v=""/>
    <s v="USA"/>
    <s v="S10"/>
    <s v="FMG-S10"/>
    <s v=""/>
    <s v="0096"/>
    <n v="850"/>
    <s v="Default"/>
    <s v="General"/>
    <s v="US"/>
    <s v="en_US"/>
    <s v="USD"/>
    <s v=""/>
    <s v="N"/>
    <s v="20260602"/>
    <s v="Exclude record termination over 45 days ago"/>
    <x v="34"/>
    <x v="5"/>
    <s v="No Reports to Name"/>
    <b v="0"/>
  </r>
  <r>
    <s v="V0U"/>
    <s v="Demetrius"/>
    <s v="A"/>
    <s v="Daniels"/>
    <s v=""/>
    <s v=""/>
    <s v=""/>
    <s v=""/>
    <s v="ddaniels@kaller.com"/>
    <s v="mrtruth75@gmail.com"/>
    <s v="Rep, Customer Service II"/>
    <d v="2002-06-17T00:00:00"/>
    <d v="2026-06-02T00:00:00"/>
    <m/>
    <s v="Terminated"/>
    <s v="006774"/>
    <s v="Monthly"/>
    <s v="Full Time"/>
    <s v="025"/>
    <s v="025-NGP Hyson Products"/>
    <s v="Inside Sales"/>
    <s v="000850"/>
    <s v="Hyson Products"/>
    <s v=""/>
    <s v=""/>
    <s v="USA"/>
    <s v="S10"/>
    <s v="FMG-S10"/>
    <s v=""/>
    <s v="0096"/>
    <n v="850"/>
    <s v="Default"/>
    <s v="General"/>
    <s v="US"/>
    <s v="en_US"/>
    <s v="USD"/>
    <s v=""/>
    <s v="N"/>
    <s v="20260602"/>
    <s v="Fix and Include Record"/>
    <x v="34"/>
    <x v="5"/>
    <s v="No Reports to Name"/>
    <b v="0"/>
  </r>
  <r>
    <s v="KSW"/>
    <s v="Demetrius"/>
    <s v="A"/>
    <s v="Daniels"/>
    <s v=""/>
    <s v=""/>
    <s v="Wallace, Derron"/>
    <s v="V0U211998"/>
    <s v="ddaniels@kaller.com"/>
    <s v="mrtruth75@gmail.com"/>
    <s v="Rep, Customer Service II"/>
    <d v="2002-06-17T00:00:00"/>
    <m/>
    <m/>
    <s v="Active"/>
    <s v="006774"/>
    <s v="Biweekly"/>
    <s v="Full Time"/>
    <s v="025"/>
    <s v="025-NGP Hyson Products"/>
    <s v="Inside Sales"/>
    <s v="000850"/>
    <s v="Hyson Products"/>
    <s v=""/>
    <s v=""/>
    <s v="USA"/>
    <s v="S10"/>
    <s v="FMG-S10"/>
    <s v="211998"/>
    <s v="0096"/>
    <n v="850"/>
    <s v="Default"/>
    <s v="General"/>
    <s v="US"/>
    <s v="en_US"/>
    <s v="USD"/>
    <s v=""/>
    <s v="Y"/>
    <s v=""/>
    <m/>
    <x v="34"/>
    <x v="14"/>
    <s v="211998"/>
    <b v="1"/>
  </r>
  <r>
    <s v="KSX"/>
    <s v="Crystal"/>
    <s v=""/>
    <s v="Dedes"/>
    <s v=""/>
    <s v=""/>
    <s v="LaPlante, Derek"/>
    <s v="KSY211736"/>
    <s v="cdedes@onebarnes.com"/>
    <s v="criss4200@yahoo.com"/>
    <s v="Assistant, Warehouse II"/>
    <d v="2022-02-28T00:00:00"/>
    <m/>
    <m/>
    <s v="Active"/>
    <s v="207391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35"/>
    <x v="3"/>
    <s v="211736"/>
    <b v="1"/>
  </r>
  <r>
    <s v="KSW"/>
    <s v="Anthony"/>
    <s v=""/>
    <s v="Desillas"/>
    <s v=""/>
    <s v=""/>
    <s v=""/>
    <s v=""/>
    <s v=""/>
    <s v="desillasa@yahoo.com"/>
    <s v="Lathe Operator"/>
    <d v="2025-07-21T00:00:00"/>
    <d v="2026-01-24T00:00:00"/>
    <m/>
    <s v="Terminated"/>
    <s v="212244"/>
    <s v="Biweekly"/>
    <s v="Full Time"/>
    <s v="025"/>
    <s v="025-NGP Hyson Products"/>
    <s v="CNC Lathe Hyson"/>
    <s v="000100"/>
    <s v="Hyson Products"/>
    <s v=""/>
    <s v=""/>
    <s v="USA"/>
    <s v="H07"/>
    <s v="FMG-H07"/>
    <s v=""/>
    <s v="0096"/>
    <n v="100"/>
    <s v="Default"/>
    <s v="General"/>
    <s v="US"/>
    <s v="en_US"/>
    <s v="USD"/>
    <s v=""/>
    <s v="N"/>
    <s v="20260124"/>
    <s v="Exclude record termination over 45 days ago"/>
    <x v="36"/>
    <x v="5"/>
    <s v="No Reports to Name"/>
    <b v="0"/>
  </r>
  <r>
    <s v="KSX"/>
    <s v="Amir"/>
    <s v=""/>
    <s v="Dillard"/>
    <s v=""/>
    <s v=""/>
    <s v="Burchell, Mathew"/>
    <s v="KSY211756"/>
    <s v="adillard1@onebarnes.com"/>
    <s v="amirdillard4@gmail.com"/>
    <s v="Assistant, Warehouse II"/>
    <d v="2025-04-07T00:00:00"/>
    <m/>
    <m/>
    <s v="Active"/>
    <s v="211895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37"/>
    <x v="0"/>
    <s v="211756"/>
    <b v="1"/>
  </r>
  <r>
    <s v="KSW"/>
    <s v="David"/>
    <s v="A"/>
    <s v="Dixon"/>
    <s v=""/>
    <s v=""/>
    <s v="Steen, Michael"/>
    <s v="V0U211062"/>
    <s v=""/>
    <s v="chevelle2212@aol.com"/>
    <s v="Machinist A"/>
    <d v="1997-06-23T00:00:00"/>
    <m/>
    <m/>
    <s v="Active"/>
    <s v="004330"/>
    <s v="Biweekly"/>
    <s v="Full Time"/>
    <s v="025"/>
    <s v="025-NGP Hyson Products"/>
    <s v="CNC Lathe Hyson"/>
    <s v="000100"/>
    <s v="Hyson Products"/>
    <s v=""/>
    <s v=""/>
    <s v="USA"/>
    <s v="H08"/>
    <s v="FMG-H08"/>
    <s v="211062"/>
    <s v="0096"/>
    <n v="100"/>
    <s v="Default"/>
    <s v="General"/>
    <s v="US"/>
    <s v="en_US"/>
    <s v="USD"/>
    <s v=""/>
    <s v="Y"/>
    <s v=""/>
    <m/>
    <x v="38"/>
    <x v="9"/>
    <s v="211062"/>
    <b v="1"/>
  </r>
  <r>
    <s v="KSW"/>
    <s v="Michael"/>
    <s v="D"/>
    <s v="Ellison"/>
    <s v=""/>
    <s v=""/>
    <s v="Wallace, Derron"/>
    <s v="V0U211998"/>
    <s v=""/>
    <s v="ellison.d.mike.me@gmail.com"/>
    <s v="Assembler C"/>
    <d v="2025-05-29T00:00:00"/>
    <m/>
    <m/>
    <s v="Active"/>
    <s v="212072"/>
    <s v="Biweekly"/>
    <s v="Full Time"/>
    <s v="025"/>
    <s v="025-NGP Hyson Products"/>
    <s v="Assembly Hyson"/>
    <s v="000200"/>
    <s v="Hyson Products"/>
    <s v=""/>
    <s v=""/>
    <s v="USA"/>
    <s v="H05"/>
    <s v="FMG-H05"/>
    <s v="211998"/>
    <s v="0096"/>
    <n v="200"/>
    <s v="Default"/>
    <s v="General"/>
    <s v="US"/>
    <s v="en_US"/>
    <s v="USD"/>
    <s v=""/>
    <s v="Y"/>
    <s v=""/>
    <m/>
    <x v="39"/>
    <x v="14"/>
    <s v="211998"/>
    <b v="1"/>
  </r>
  <r>
    <s v="KSX"/>
    <s v="John"/>
    <s v=""/>
    <s v="Eward"/>
    <s v=""/>
    <s v=""/>
    <s v="Rogers, Wayne"/>
    <s v="KSY207487"/>
    <s v="jeward@onebarnes.com"/>
    <s v="johneward88@gmail.com"/>
    <s v="Coord, Inventory Ctrl I"/>
    <d v="2026-01-12T00:00:00"/>
    <m/>
    <m/>
    <s v="Active"/>
    <s v="212921"/>
    <s v="Biweekly"/>
    <s v="Full Time"/>
    <s v="088"/>
    <s v="088-AS Raymond"/>
    <s v="FG Warehouse"/>
    <s v="005200"/>
    <s v="AS Raymond"/>
    <s v=""/>
    <s v=""/>
    <s v="USA"/>
    <s v="S08"/>
    <s v="FMG-S08"/>
    <s v="207487"/>
    <s v="0088"/>
    <n v="5200"/>
    <s v="Default"/>
    <s v="General"/>
    <s v="US"/>
    <s v="en_US"/>
    <s v="USD"/>
    <s v=""/>
    <s v="Y"/>
    <s v=""/>
    <m/>
    <x v="40"/>
    <x v="15"/>
    <s v="207487"/>
    <b v="1"/>
  </r>
  <r>
    <s v="V0U"/>
    <s v="Donald"/>
    <s v="C"/>
    <s v="Felts"/>
    <s v=""/>
    <s v=""/>
    <s v="Wilkins, William"/>
    <s v="V0U901934"/>
    <s v="cfelts@onebarnes.com"/>
    <s v="dcfelts@comcast.net"/>
    <s v="Mgr, Sales "/>
    <d v="2020-02-24T00:00:00"/>
    <m/>
    <m/>
    <s v="Active"/>
    <s v="201958"/>
    <s v="Monthly"/>
    <s v="Full Time"/>
    <s v="025"/>
    <s v="025-NGP Hyson Products"/>
    <s v="Outside Sales"/>
    <s v="000820"/>
    <s v="Hyson Products"/>
    <s v=""/>
    <s v=""/>
    <s v="USA"/>
    <s v="S15"/>
    <s v="FMG-S15"/>
    <s v="901934"/>
    <s v="0096"/>
    <n v="820"/>
    <s v="Default"/>
    <s v="General"/>
    <s v="US"/>
    <s v="en_US"/>
    <s v="USD"/>
    <s v=""/>
    <s v="Y"/>
    <s v=""/>
    <m/>
    <x v="41"/>
    <x v="8"/>
    <s v="901934"/>
    <b v="1"/>
  </r>
  <r>
    <s v="KSY"/>
    <s v="Jeffrey"/>
    <s v="L"/>
    <s v="Finch"/>
    <s v=""/>
    <s v=""/>
    <s v="Erdogan, Mehmet"/>
    <s v=""/>
    <s v="Jfinch@onebarnes.com"/>
    <s v="jefffinch@bex.net"/>
    <s v="Mgr, IT I"/>
    <d v="2013-05-28T00:00:00"/>
    <m/>
    <m/>
    <s v="Active"/>
    <s v="900848"/>
    <s v="Monthly"/>
    <s v="Full Time"/>
    <s v="088"/>
    <s v="088-AS Raymond"/>
    <s v="Business Applications"/>
    <s v="009150"/>
    <s v="AS Raymond"/>
    <s v=""/>
    <s v=""/>
    <s v="USA"/>
    <s v="S15"/>
    <s v="FMG-S15"/>
    <s v=""/>
    <s v="0088"/>
    <n v="9150"/>
    <s v="Default"/>
    <s v="General"/>
    <s v="US"/>
    <s v="en_US"/>
    <s v="USD"/>
    <s v=""/>
    <s v="Y"/>
    <s v=""/>
    <m/>
    <x v="42"/>
    <x v="16"/>
    <s v="No Reports to Name"/>
    <b v="0"/>
  </r>
  <r>
    <s v="V0U"/>
    <s v="John"/>
    <s v=""/>
    <s v="Foisel"/>
    <s v=""/>
    <s v=""/>
    <s v="Wilkins, William"/>
    <s v="V0U901934"/>
    <s v="jfoisel@onebarnes.com"/>
    <s v="Jfoisel1@att.net"/>
    <s v="Mgr, Sales II"/>
    <d v="2002-12-09T00:00:00"/>
    <m/>
    <m/>
    <s v="Active"/>
    <s v="007863"/>
    <s v="Monthly"/>
    <s v="Full Time"/>
    <s v="025"/>
    <s v="025-NGP Hyson Products"/>
    <s v="Outside Sales"/>
    <s v="000820"/>
    <s v="Hyson Products"/>
    <s v=""/>
    <s v=""/>
    <s v="USA"/>
    <s v="S17"/>
    <s v="FMG-S17"/>
    <s v="901934"/>
    <s v="0096"/>
    <n v="820"/>
    <s v="Default"/>
    <s v="General"/>
    <s v="US"/>
    <s v="en_US"/>
    <s v="USD"/>
    <s v=""/>
    <s v="Y"/>
    <s v=""/>
    <m/>
    <x v="43"/>
    <x v="8"/>
    <s v="901934"/>
    <b v="1"/>
  </r>
  <r>
    <s v="KSX"/>
    <s v="Conner"/>
    <s v="J"/>
    <s v="Frankforther"/>
    <s v=""/>
    <s v=""/>
    <s v="Burchell, Mathew"/>
    <s v="KSY211756"/>
    <s v="cfrankforther@onebarnes.com"/>
    <s v="frankfortherconner@gmail.com"/>
    <s v="Assistant, Warehouse II"/>
    <d v="2025-06-30T00:00:00"/>
    <m/>
    <m/>
    <s v="Active"/>
    <s v="212151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44"/>
    <x v="0"/>
    <s v="211756"/>
    <b v="1"/>
  </r>
  <r>
    <s v="KSX"/>
    <s v="Dillon"/>
    <s v="M"/>
    <s v="Frankforther"/>
    <s v=""/>
    <s v=""/>
    <s v="LaPlante, Derek"/>
    <s v="KSY211736"/>
    <s v="dfrankforther@onebarnes.com"/>
    <s v="frankfortherdillon@gmail.com"/>
    <s v="Assistant, Warehouse II"/>
    <d v="2025-03-03T00:00:00"/>
    <m/>
    <m/>
    <s v="Active"/>
    <s v="211779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45"/>
    <x v="3"/>
    <s v="211736"/>
    <b v="1"/>
  </r>
  <r>
    <s v="KSW"/>
    <s v="Anthony"/>
    <s v="J"/>
    <s v="Frimel"/>
    <s v=""/>
    <s v=""/>
    <s v="Steen, Michael"/>
    <s v="V0U211062"/>
    <s v="afrimel@onebarnes.com"/>
    <s v="tfrimel@att.net"/>
    <s v="Tech, Manufacturing A"/>
    <d v="2002-06-03T00:00:00"/>
    <m/>
    <m/>
    <s v="Active"/>
    <s v="004352"/>
    <s v="Biweekly"/>
    <s v="Full Time"/>
    <s v="025"/>
    <s v="025-NGP Hyson Products"/>
    <s v="CNC Lathe Hyson"/>
    <s v="000100"/>
    <s v="Hyson Products"/>
    <s v=""/>
    <s v=""/>
    <s v="USA"/>
    <s v="H08"/>
    <s v="FMG-H08"/>
    <s v="211062"/>
    <s v="0096"/>
    <n v="100"/>
    <s v="Default"/>
    <s v="General"/>
    <s v="US"/>
    <s v="en_US"/>
    <s v="USD"/>
    <s v=""/>
    <s v="Y"/>
    <s v=""/>
    <m/>
    <x v="46"/>
    <x v="9"/>
    <s v="211062"/>
    <b v="1"/>
  </r>
  <r>
    <s v="V0U"/>
    <s v="Terry"/>
    <s v="L"/>
    <s v="Gang"/>
    <s v=""/>
    <s v=""/>
    <s v="Bate, Natalie"/>
    <s v="V0U213037"/>
    <s v="TGang@onebarnes.com"/>
    <s v="Terrygang1987@gmail.com"/>
    <s v="Mgr, Engineering II"/>
    <d v="2003-03-24T00:00:00"/>
    <m/>
    <m/>
    <s v="Active"/>
    <s v="006780"/>
    <s v="Monthly"/>
    <s v="Full Time"/>
    <s v="025"/>
    <s v="025-NGP Hyson Products"/>
    <s v="Warehouse"/>
    <s v="000555"/>
    <s v="Hyson Products"/>
    <s v=""/>
    <s v=""/>
    <s v="USA"/>
    <s v="S17"/>
    <s v="FMG-S17"/>
    <s v="213037"/>
    <s v="0096"/>
    <n v="555"/>
    <s v="Default"/>
    <s v="General"/>
    <s v="US"/>
    <s v="en_US"/>
    <s v="USD"/>
    <s v=""/>
    <s v="Y"/>
    <s v=""/>
    <m/>
    <x v="47"/>
    <x v="11"/>
    <s v="213037"/>
    <b v="1"/>
  </r>
  <r>
    <s v="V0U"/>
    <s v="Anne"/>
    <s v="M"/>
    <s v="Garber"/>
    <s v=""/>
    <s v=""/>
    <s v="Bate, Natalie"/>
    <s v=""/>
    <s v="agarber@onebarnes.com"/>
    <s v="anne.michael00@gmail.com"/>
    <s v="Mgr, Program"/>
    <d v="2026-08-31T00:00:00"/>
    <m/>
    <m/>
    <s v="Active"/>
    <s v="902627"/>
    <s v="Monthly"/>
    <s v="Full Time"/>
    <s v="025"/>
    <s v="025-NGP Hyson Products"/>
    <s v="Administration"/>
    <s v="000917"/>
    <s v="Hyson Products"/>
    <s v=""/>
    <s v=""/>
    <s v="USA"/>
    <s v="S17"/>
    <s v="FMG-S17"/>
    <s v=""/>
    <s v="0096"/>
    <s v="0007"/>
    <s v="Default"/>
    <s v="General"/>
    <s v="US"/>
    <s v="en_US"/>
    <s v="USD"/>
    <s v=""/>
    <s v="Y"/>
    <s v=""/>
    <m/>
    <x v="48"/>
    <x v="11"/>
    <s v="213037"/>
    <b v="0"/>
  </r>
  <r>
    <s v="KSX"/>
    <s v="Evelyn"/>
    <s v=""/>
    <s v="Gonzalez"/>
    <s v=""/>
    <s v=""/>
    <s v=""/>
    <s v=""/>
    <s v="EGonzalez@onebarnes.com"/>
    <s v=""/>
    <s v="Assistant, Warehouse II"/>
    <d v="2023-01-16T00:00:00"/>
    <d v="2026-05-06T00:00:00"/>
    <m/>
    <s v="Terminated"/>
    <s v="209540"/>
    <s v="Biweekly"/>
    <s v="Full Time"/>
    <s v="088"/>
    <s v="088-AS Raymond"/>
    <s v="Supply Chain"/>
    <s v="000004"/>
    <s v="AS Raymond"/>
    <s v=""/>
    <s v=""/>
    <s v="USA"/>
    <s v="S05"/>
    <s v="FMG-S05"/>
    <s v=""/>
    <s v="0088"/>
    <s v="Home Department Code Not Mapped"/>
    <s v="Default"/>
    <s v="General"/>
    <s v="US"/>
    <s v="en_US"/>
    <s v="USD"/>
    <s v=""/>
    <s v="N"/>
    <s v="20260506"/>
    <s v="Fix and Include Record"/>
    <x v="49"/>
    <x v="5"/>
    <s v="No Reports to Name"/>
    <b v="0"/>
  </r>
  <r>
    <s v="KSX"/>
    <s v="Cristel"/>
    <s v=""/>
    <s v="Grandowicz"/>
    <s v=""/>
    <s v=""/>
    <s v="Burchell, Mathew"/>
    <s v="KSY211756"/>
    <s v="cgrandowicz@onebarnes.com"/>
    <s v="grandowicz.cristel@gmail.com"/>
    <s v="Assistant, Warehouse II"/>
    <d v="2025-05-12T00:00:00"/>
    <m/>
    <m/>
    <s v="Active"/>
    <s v="211991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50"/>
    <x v="0"/>
    <s v="211756"/>
    <b v="1"/>
  </r>
  <r>
    <s v="KSX"/>
    <s v="Ivy"/>
    <s v="J"/>
    <s v="Grant"/>
    <s v=""/>
    <s v=""/>
    <s v="Warner, Dwight"/>
    <s v="V0U008750"/>
    <s v="igrant1@onebarnes.com"/>
    <s v="igrant1453@yahoo.com"/>
    <s v="Spec, Accounts Rec III"/>
    <d v="2026-06-08T00:00:00"/>
    <m/>
    <m/>
    <s v="Active"/>
    <s v="209642"/>
    <s v="Biweekly"/>
    <s v="Full Time"/>
    <s v="088"/>
    <s v="088-AS Raymond"/>
    <s v="Finance General"/>
    <s v="009100"/>
    <s v="Work from home - Virginia"/>
    <s v=""/>
    <s v=""/>
    <s v="USA"/>
    <s v="S10"/>
    <s v="FMG-S10"/>
    <s v="008750"/>
    <s v="0088"/>
    <n v="9100"/>
    <s v="Default"/>
    <s v="General"/>
    <s v="US"/>
    <s v="en_US"/>
    <s v="USD"/>
    <s v=""/>
    <s v="Y"/>
    <s v=""/>
    <m/>
    <x v="51"/>
    <x v="4"/>
    <s v="008750"/>
    <b v="1"/>
  </r>
  <r>
    <s v="KSW"/>
    <s v="Michael"/>
    <s v="W"/>
    <s v="Haas"/>
    <s v=""/>
    <s v=""/>
    <s v=""/>
    <s v=""/>
    <s v="MHaas@onebarnes.com"/>
    <s v=""/>
    <s v="Mechanic, Maintenance A"/>
    <d v="1992-05-18T00:00:00"/>
    <d v="2026-01-05T00:00:00"/>
    <m/>
    <s v="Retired"/>
    <s v="006785"/>
    <s v="Biweekly"/>
    <s v="Full Time"/>
    <s v="025"/>
    <s v="025-NGP Hyson Products"/>
    <s v="Maintenance-Hyson"/>
    <s v="000450"/>
    <s v="Hyson Products"/>
    <s v=""/>
    <s v=""/>
    <s v="USA"/>
    <s v="H08"/>
    <s v="FMG-H08"/>
    <s v=""/>
    <s v="0096"/>
    <n v="450"/>
    <s v="Default"/>
    <s v="General"/>
    <s v="US"/>
    <s v="en_US"/>
    <s v="USD"/>
    <s v=""/>
    <s v="N"/>
    <s v="20260105"/>
    <s v="Fix and Include Record"/>
    <x v="52"/>
    <x v="5"/>
    <s v="No Reports to Name"/>
    <b v="0"/>
  </r>
  <r>
    <s v="KSX"/>
    <s v="Tirani"/>
    <s v="J"/>
    <s v="Hague"/>
    <s v=""/>
    <s v=""/>
    <s v="Rafferty, Jonathan"/>
    <s v="KSY211131"/>
    <s v=""/>
    <s v="tirani.hague@gmail.com"/>
    <s v="Rep, Customer Service III"/>
    <d v="2026-05-11T00:00:00"/>
    <m/>
    <m/>
    <s v="Active"/>
    <s v="213224"/>
    <s v="Biweekly"/>
    <s v="Full Time"/>
    <s v="088"/>
    <s v="088-AS Raymond"/>
    <s v="Inside Sales"/>
    <s v="008100"/>
    <s v="AS Raymond"/>
    <s v=""/>
    <s v=""/>
    <s v="USA"/>
    <s v="S11"/>
    <s v="FMG-S11"/>
    <s v="211131"/>
    <s v="0088"/>
    <n v="8100"/>
    <s v="Default"/>
    <s v="General"/>
    <s v="US"/>
    <s v="en_US"/>
    <s v="USD"/>
    <s v=""/>
    <s v="Y"/>
    <s v=""/>
    <m/>
    <x v="53"/>
    <x v="17"/>
    <s v="211131"/>
    <b v="1"/>
  </r>
  <r>
    <s v="KSX"/>
    <s v="Kimberly"/>
    <s v=""/>
    <s v="Hall"/>
    <s v=""/>
    <s v=""/>
    <s v="Alexander, Thomas"/>
    <s v="KSY210892"/>
    <s v="KHall@onebarnes.com"/>
    <s v=""/>
    <s v="Tech, Quality I"/>
    <d v="2021-05-17T00:00:00"/>
    <m/>
    <m/>
    <s v="Active"/>
    <s v="206228"/>
    <s v="Biweekly"/>
    <s v="Full Time"/>
    <s v="088"/>
    <s v="088-AS Raymond"/>
    <s v="Admin-Quality"/>
    <s v="009500"/>
    <s v="AS Raymond"/>
    <s v=""/>
    <s v=""/>
    <s v="USA"/>
    <s v="S10"/>
    <s v="FMG-S10"/>
    <s v="210892"/>
    <s v="0088"/>
    <n v="9500"/>
    <s v="Default"/>
    <s v="General"/>
    <s v="US"/>
    <s v="en_US"/>
    <s v="USD"/>
    <s v=""/>
    <s v="Y"/>
    <s v=""/>
    <m/>
    <x v="54"/>
    <x v="18"/>
    <s v="210892"/>
    <b v="1"/>
  </r>
  <r>
    <s v="KSY"/>
    <s v="Emma"/>
    <s v=""/>
    <s v="Halpin"/>
    <s v=""/>
    <s v=""/>
    <s v="Kemenah, Greg"/>
    <s v="KSY211766"/>
    <s v="ehalpin@onebarnes.com"/>
    <s v="sampson.emma17@gmail.com"/>
    <s v="Mgr, Product III"/>
    <d v="2024-10-01T00:00:00"/>
    <m/>
    <m/>
    <s v="Active"/>
    <s v="211489"/>
    <s v="Monthly"/>
    <s v="Full Time"/>
    <s v="088"/>
    <s v="088-AS Raymond"/>
    <s v="Marketing"/>
    <s v="008300"/>
    <s v="AS Raymond"/>
    <s v=""/>
    <s v=""/>
    <s v="USA"/>
    <s v="S16"/>
    <s v="FMG-S16"/>
    <s v="211766"/>
    <s v="0088"/>
    <n v="8300"/>
    <s v="Default"/>
    <s v="General"/>
    <s v="US"/>
    <s v="en_US"/>
    <s v="USD"/>
    <s v=""/>
    <s v="Y"/>
    <s v=""/>
    <m/>
    <x v="55"/>
    <x v="2"/>
    <s v="211766"/>
    <b v="1"/>
  </r>
  <r>
    <s v="KSW"/>
    <s v="Michael"/>
    <s v="J"/>
    <s v="Hamar"/>
    <s v=""/>
    <s v=""/>
    <s v="Wallace, Derron"/>
    <s v="V0U211998"/>
    <s v="mhamar@onebarnes.com"/>
    <s v=""/>
    <s v="Shipping/Receiving ClerkB"/>
    <d v="2015-03-09T00:00:00"/>
    <m/>
    <m/>
    <s v="Active"/>
    <s v="901454"/>
    <s v="Biweekly"/>
    <s v="Full Time"/>
    <s v="025"/>
    <s v="025-NGP Hyson Products"/>
    <s v="Assembly Hyson"/>
    <s v="000200"/>
    <s v="Hyson Products"/>
    <s v=""/>
    <s v=""/>
    <s v="USA"/>
    <s v="H06"/>
    <s v="FMG-H06"/>
    <s v="211998"/>
    <s v="0096"/>
    <n v="200"/>
    <s v="Default"/>
    <s v="General"/>
    <s v="US"/>
    <s v="en_US"/>
    <s v="USD"/>
    <s v=""/>
    <s v="Y"/>
    <s v=""/>
    <m/>
    <x v="56"/>
    <x v="14"/>
    <s v="211998"/>
    <b v="1"/>
  </r>
  <r>
    <s v="KSX"/>
    <s v="Patsy"/>
    <s v=""/>
    <s v="Hamby"/>
    <s v=""/>
    <s v=""/>
    <s v="Burchell, Mathew"/>
    <s v="KSY211756"/>
    <s v="PHamby@onebarnes.com"/>
    <s v="phamby456@gmail.com"/>
    <s v="Assistant, Warehouse II"/>
    <d v="2022-11-28T00:00:00"/>
    <m/>
    <m/>
    <s v="Active"/>
    <s v="209425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57"/>
    <x v="0"/>
    <s v="211756"/>
    <b v="1"/>
  </r>
  <r>
    <s v="V0U"/>
    <s v="Jon"/>
    <s v=""/>
    <s v="Hartman"/>
    <s v=""/>
    <s v=""/>
    <s v=""/>
    <s v="V0U901934"/>
    <s v="jhartman@onebarnes.com"/>
    <s v="jhartman8890@gmail.com"/>
    <s v="Mgr, Sales I"/>
    <d v="2024-05-30T00:00:00"/>
    <d v="2026-06-10T00:00:00"/>
    <m/>
    <s v="Terminated"/>
    <s v="211045"/>
    <s v="Monthly"/>
    <s v="Full Time"/>
    <s v="025"/>
    <s v="025-NGP Hyson Products"/>
    <s v="Outside Sales"/>
    <s v="000820"/>
    <s v="Hyson Products"/>
    <s v=""/>
    <s v=""/>
    <s v="USA"/>
    <s v="S16"/>
    <s v="FMG-S16"/>
    <s v="901934"/>
    <s v="0096"/>
    <n v="820"/>
    <s v="Default"/>
    <s v="General"/>
    <s v="US"/>
    <s v="en_US"/>
    <s v="USD"/>
    <s v=""/>
    <s v="N"/>
    <s v="20260610"/>
    <s v="Fix and Include Record"/>
    <x v="58"/>
    <x v="5"/>
    <s v="No Reports to Name"/>
    <b v="0"/>
  </r>
  <r>
    <s v="KSW"/>
    <s v="Cherie"/>
    <s v=""/>
    <s v="Hassey"/>
    <s v=""/>
    <s v=""/>
    <s v="Wallace, Derron"/>
    <s v="V0U211998"/>
    <s v="chassey@onebarnes.com"/>
    <s v="c.hassey@att.net"/>
    <s v="Rep, Customer Service II"/>
    <d v="2026-04-13T00:00:00"/>
    <m/>
    <m/>
    <s v="Active"/>
    <s v="213144"/>
    <s v="Biweekly"/>
    <s v="Full Time"/>
    <s v="025"/>
    <s v="025-NGP Hyson Products"/>
    <s v="Inside Sales"/>
    <s v="000850"/>
    <s v="Hyson Products"/>
    <s v=""/>
    <s v=""/>
    <s v="USA"/>
    <s v="S10"/>
    <s v="FMG-S10"/>
    <s v="211998"/>
    <s v="0096"/>
    <n v="850"/>
    <s v="Default"/>
    <s v="General"/>
    <s v="US"/>
    <s v="en_US"/>
    <s v="USD"/>
    <s v=""/>
    <s v="Y"/>
    <s v=""/>
    <m/>
    <x v="59"/>
    <x v="14"/>
    <s v="211998"/>
    <b v="1"/>
  </r>
  <r>
    <s v="V0U"/>
    <s v="Cherie"/>
    <s v=""/>
    <s v="Hassey"/>
    <s v=""/>
    <s v=""/>
    <s v=""/>
    <s v=""/>
    <s v="chassey@onebarnes.com"/>
    <s v="c.hassey@att.net"/>
    <s v="Rep, Customer Service II"/>
    <d v="2026-04-13T00:00:00"/>
    <d v="2026-06-03T00:00:00"/>
    <m/>
    <s v="Terminated"/>
    <s v="213144"/>
    <s v="Biweekly"/>
    <s v="Full Time"/>
    <s v="025"/>
    <s v="025-NGP Hyson Products"/>
    <s v="Inside Sales"/>
    <s v="000850"/>
    <s v="Hyson Products"/>
    <s v=""/>
    <s v=""/>
    <s v="USA"/>
    <s v="S10"/>
    <s v="FMG-S10"/>
    <s v=""/>
    <s v="0096"/>
    <n v="850"/>
    <s v="Default"/>
    <s v="General"/>
    <s v="US"/>
    <s v="en_US"/>
    <s v="USD"/>
    <s v=""/>
    <s v="N"/>
    <s v="20260603"/>
    <s v="Fix and Include Record"/>
    <x v="59"/>
    <x v="5"/>
    <s v="No Reports to Name"/>
    <b v="0"/>
  </r>
  <r>
    <s v="KSX"/>
    <s v="Karla"/>
    <s v=""/>
    <s v="Hershberger"/>
    <s v=""/>
    <s v=""/>
    <s v="Burchell, Mathew"/>
    <s v="KSY211756"/>
    <s v="khershberger@onebarnes.com"/>
    <s v="karhershy14@gmail.com"/>
    <s v="Assistant, Warehouse II"/>
    <d v="2022-11-28T00:00:00"/>
    <m/>
    <m/>
    <s v="Active"/>
    <s v="209424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60"/>
    <x v="0"/>
    <s v="211756"/>
    <b v="1"/>
  </r>
  <r>
    <s v="KSX"/>
    <s v="Brandon"/>
    <s v=""/>
    <s v="Hibbitts"/>
    <s v=""/>
    <s v=""/>
    <s v=""/>
    <s v="KSY900848"/>
    <s v="bhibbitts@onebarnes.com"/>
    <s v="hibbitts.brandon@gmail.com"/>
    <s v="Intern, IT Indirect"/>
    <d v="2024-07-29T00:00:00"/>
    <d v="2026-06-30T00:00:00"/>
    <m/>
    <s v="Terminated"/>
    <s v="211181"/>
    <s v="Biweekly"/>
    <s v="Part Time"/>
    <s v="088"/>
    <s v="088-AS Raymond"/>
    <s v="Business Applications"/>
    <s v="009150"/>
    <s v="AS Raymond"/>
    <s v=""/>
    <s v=""/>
    <s v="USA"/>
    <s v="H05"/>
    <s v="FMG-H05"/>
    <s v="900848"/>
    <s v="0088"/>
    <n v="9150"/>
    <s v="Default"/>
    <s v="General"/>
    <s v="US"/>
    <s v="en_US"/>
    <s v="USD"/>
    <s v=""/>
    <s v="N"/>
    <s v="20260630"/>
    <s v="Fix and Include Record"/>
    <x v="61"/>
    <x v="5"/>
    <s v="No Reports to Name"/>
    <b v="0"/>
  </r>
  <r>
    <s v="KSY"/>
    <s v="Brandon"/>
    <s v=""/>
    <s v="Hibbitts"/>
    <s v=""/>
    <s v=""/>
    <s v="Erdogan, Mehmet"/>
    <s v="000207199N"/>
    <s v="bhibbitts@onebarnes.com"/>
    <s v="hibbitts.brandon@gmail.com"/>
    <s v="Analyst, Help Desk II"/>
    <d v="2024-07-29T00:00:00"/>
    <m/>
    <m/>
    <s v="Active"/>
    <s v="211181"/>
    <s v="Monthly"/>
    <s v="Full Time"/>
    <s v="088"/>
    <s v="088-AS Raymond"/>
    <s v="Business Applications"/>
    <s v="009150"/>
    <s v="AS Raymond"/>
    <s v=""/>
    <s v=""/>
    <s v="USA"/>
    <s v="S12"/>
    <s v="FMG-S12"/>
    <s v="207199"/>
    <s v="0088"/>
    <n v="9150"/>
    <s v="Default"/>
    <s v="General"/>
    <s v="US"/>
    <s v="en_US"/>
    <s v="USD"/>
    <s v=""/>
    <s v="Y"/>
    <s v=""/>
    <m/>
    <x v="61"/>
    <x v="16"/>
    <s v="No Reports to Name"/>
    <b v="0"/>
  </r>
  <r>
    <s v="KSW"/>
    <s v="Bobby"/>
    <s v=""/>
    <s v="Hicks"/>
    <s v=""/>
    <s v=""/>
    <s v="Wallace, Derron"/>
    <s v="V0U211998"/>
    <s v="bhicks@onebarnes.com"/>
    <s v="bhicks1@me.com"/>
    <s v="Lead, Unit Team"/>
    <d v="2024-07-08T00:00:00"/>
    <m/>
    <m/>
    <s v="Active"/>
    <s v="211145"/>
    <s v="Biweekly"/>
    <s v="Full Time"/>
    <s v="025"/>
    <s v="025-NGP Hyson Products"/>
    <s v="Assembly Hyson"/>
    <s v="000200"/>
    <s v="Hyson Products"/>
    <s v=""/>
    <s v=""/>
    <s v="USA"/>
    <s v="H08"/>
    <s v="FMG-H08"/>
    <s v="211998"/>
    <s v="0096"/>
    <n v="200"/>
    <s v="Default"/>
    <s v="General"/>
    <s v="US"/>
    <s v="en_US"/>
    <s v="USD"/>
    <s v=""/>
    <s v="Y"/>
    <s v=""/>
    <m/>
    <x v="62"/>
    <x v="14"/>
    <s v="211998"/>
    <b v="1"/>
  </r>
  <r>
    <s v="KSW"/>
    <s v="Darin"/>
    <s v=""/>
    <s v="Hitti"/>
    <s v=""/>
    <s v=""/>
    <s v="Gang, Terry"/>
    <s v="V0U006780"/>
    <s v="DHitti@onebarnes.com"/>
    <s v=""/>
    <s v="Mechanic, Maintenance A"/>
    <d v="1985-01-02T00:00:00"/>
    <m/>
    <m/>
    <s v="Active"/>
    <s v="006792"/>
    <s v="Biweekly"/>
    <s v="Full Time"/>
    <s v="025"/>
    <s v="025-NGP Hyson Products"/>
    <s v="Maintenance-Hyson"/>
    <s v="000450"/>
    <s v="Hyson Products"/>
    <s v=""/>
    <s v=""/>
    <s v="USA"/>
    <s v="H08"/>
    <s v="FMG-H08"/>
    <s v="006780"/>
    <s v="0096"/>
    <n v="450"/>
    <s v="Default"/>
    <s v="General"/>
    <s v="US"/>
    <s v="en_US"/>
    <s v="USD"/>
    <s v=""/>
    <s v="Y"/>
    <s v=""/>
    <m/>
    <x v="63"/>
    <x v="19"/>
    <s v="006780"/>
    <b v="1"/>
  </r>
  <r>
    <s v="KSW"/>
    <s v="Mason"/>
    <s v=""/>
    <s v="Hitti"/>
    <s v=""/>
    <s v=""/>
    <s v=""/>
    <s v="V0U211062"/>
    <s v=""/>
    <s v="hittimason4@gmail.com"/>
    <s v="Machinist, CNC "/>
    <d v="2026-06-17T00:00:00"/>
    <d v="2026-07-30T00:00:00"/>
    <m/>
    <s v="Terminated"/>
    <s v=""/>
    <s v="Biweekly"/>
    <s v="Temporary"/>
    <s v="025"/>
    <s v="025-NGP Hyson Products"/>
    <s v="CNC Lathe Hyson"/>
    <s v="000100"/>
    <s v="Hyson Products"/>
    <s v=""/>
    <s v=""/>
    <s v="USA"/>
    <s v="H04"/>
    <s v="FMG-H04"/>
    <s v="211062"/>
    <s v="0096"/>
    <n v="100"/>
    <s v="Default"/>
    <s v="General"/>
    <s v="US"/>
    <s v="en_US"/>
    <s v="USD"/>
    <s v=""/>
    <s v="N"/>
    <s v="20260730"/>
    <s v="Fix and Include Record"/>
    <x v="64"/>
    <x v="5"/>
    <s v="No Reports to Name"/>
    <b v="0"/>
  </r>
  <r>
    <s v="KSY"/>
    <s v="Carrie"/>
    <s v="M"/>
    <s v="Hoffman"/>
    <s v=""/>
    <s v=""/>
    <s v="Oleksa, Laura"/>
    <s v="V0U209181"/>
    <s v="choffman@onebarnes.com"/>
    <s v="Carriehoffman89@gmail.com"/>
    <s v="HR Coordinator"/>
    <d v="2018-01-01T00:00:00"/>
    <m/>
    <m/>
    <s v="Active"/>
    <s v="902349"/>
    <s v="Monthly"/>
    <s v="Full Time"/>
    <s v="088"/>
    <s v="088-AS Raymond"/>
    <s v="HR General"/>
    <s v="009200"/>
    <s v="AS Raymond"/>
    <s v=""/>
    <s v=""/>
    <s v="USA"/>
    <s v="S11"/>
    <s v="FMG-S11"/>
    <s v="209181"/>
    <s v="0088"/>
    <n v="9200"/>
    <s v="Default"/>
    <s v="General"/>
    <s v="US"/>
    <s v="en_US"/>
    <s v="USD"/>
    <s v=""/>
    <s v="Y"/>
    <s v=""/>
    <m/>
    <x v="65"/>
    <x v="20"/>
    <s v="209181"/>
    <b v="1"/>
  </r>
  <r>
    <s v="KSX"/>
    <s v="LaMarr"/>
    <s v=""/>
    <s v="Hogue"/>
    <s v=""/>
    <s v=""/>
    <s v="Rogers, Wayne"/>
    <s v="KSY207487"/>
    <s v=""/>
    <s v="lamarr.hogue@gmail.com"/>
    <s v="Assistant, Warehouse II"/>
    <d v="2026-02-09T00:00:00"/>
    <m/>
    <m/>
    <s v="Active"/>
    <s v="212966"/>
    <s v="Biweekly"/>
    <s v="Full Time"/>
    <s v="088"/>
    <s v="088-AS Raymond"/>
    <s v="FG Warehouse"/>
    <s v="005200"/>
    <s v="AS Raymond"/>
    <s v=""/>
    <s v=""/>
    <s v="USA"/>
    <s v="S05"/>
    <s v="FMG-S05"/>
    <s v="207487"/>
    <s v="0088"/>
    <n v="5200"/>
    <s v="Default"/>
    <s v="General"/>
    <s v="US"/>
    <s v="en_US"/>
    <s v="USD"/>
    <s v=""/>
    <s v="Y"/>
    <s v=""/>
    <m/>
    <x v="66"/>
    <x v="15"/>
    <s v="207487"/>
    <b v="1"/>
  </r>
  <r>
    <s v="KSX"/>
    <s v="Richard"/>
    <s v="W"/>
    <s v="Hutt"/>
    <s v=""/>
    <s v=""/>
    <s v="LaPlante, Derek"/>
    <s v="KSY211736"/>
    <s v="rhutt@onebarnes.com"/>
    <s v="richard.hutt95@gmail.com"/>
    <s v="Coord, Logistics I"/>
    <d v="2025-04-21T00:00:00"/>
    <m/>
    <m/>
    <s v="Active"/>
    <s v="211932"/>
    <s v="Biweekly"/>
    <s v="Full Time"/>
    <s v="088"/>
    <s v="088-AS Raymond"/>
    <s v="FG Warehouse"/>
    <s v="005200"/>
    <s v="AS Raymond"/>
    <s v=""/>
    <s v=""/>
    <s v="USA"/>
    <s v="S06"/>
    <s v="FMG-S06"/>
    <s v="211736"/>
    <s v="0088"/>
    <n v="5200"/>
    <s v="Default"/>
    <s v="General"/>
    <s v="US"/>
    <s v="en_US"/>
    <s v="USD"/>
    <s v=""/>
    <s v="Y"/>
    <s v=""/>
    <m/>
    <x v="67"/>
    <x v="3"/>
    <s v="211736"/>
    <b v="1"/>
  </r>
  <r>
    <s v="KSW"/>
    <s v="Frank"/>
    <s v=""/>
    <s v="Izzo"/>
    <s v=""/>
    <s v=""/>
    <s v="Valetta, David"/>
    <s v="V0U211601"/>
    <s v="FIzzo@onebarnes.com"/>
    <s v=""/>
    <s v="Mgr, Finance II"/>
    <d v="2021-08-02T00:00:00"/>
    <m/>
    <m/>
    <s v="Active"/>
    <s v="206442"/>
    <s v="Biweekly"/>
    <s v="Part Time Long Term EE"/>
    <s v="025"/>
    <s v="025-NGP Hyson Products"/>
    <s v="Project Management"/>
    <s v="000801"/>
    <s v="Hyson Products"/>
    <s v=""/>
    <s v=""/>
    <s v="USA"/>
    <s v="S16"/>
    <s v="FMG-S16"/>
    <s v="211601"/>
    <s v="0096"/>
    <n v="801"/>
    <s v="Default"/>
    <s v="General"/>
    <s v="US"/>
    <s v="en_US"/>
    <s v="USD"/>
    <s v=""/>
    <s v="Y"/>
    <s v=""/>
    <m/>
    <x v="68"/>
    <x v="12"/>
    <s v="211601"/>
    <b v="1"/>
  </r>
  <r>
    <s v="V0U"/>
    <s v="Frank"/>
    <s v=""/>
    <s v="Izzo"/>
    <s v=""/>
    <s v=""/>
    <s v=""/>
    <s v="V0U211601"/>
    <s v="FIzzo@onebarnes.com"/>
    <s v=""/>
    <s v="Mgr, Finance II"/>
    <d v="2021-08-02T00:00:00"/>
    <d v="2026-07-01T00:00:00"/>
    <m/>
    <s v="Terminated"/>
    <s v="206442"/>
    <s v="Monthly"/>
    <s v="Full Time"/>
    <s v="025"/>
    <s v="025-NGP Hyson Products"/>
    <s v="Project Management"/>
    <s v="000801"/>
    <s v="Hyson Products"/>
    <s v=""/>
    <s v=""/>
    <s v="USA"/>
    <s v="S16"/>
    <s v="FMG-S16"/>
    <s v="211601"/>
    <s v="0096"/>
    <n v="801"/>
    <s v="Default"/>
    <s v="General"/>
    <s v="US"/>
    <s v="en_US"/>
    <s v="USD"/>
    <s v=""/>
    <s v="N"/>
    <s v="20260701"/>
    <s v="Exclude record termination over 45 days ago"/>
    <x v="68"/>
    <x v="5"/>
    <s v="No Reports to Name"/>
    <b v="0"/>
  </r>
  <r>
    <s v="KSY"/>
    <s v="Christopher"/>
    <s v="G"/>
    <s v="Jablonsky"/>
    <s v=""/>
    <s v=""/>
    <s v=""/>
    <s v=""/>
    <s v="cjablonsky@onebarnes.com"/>
    <s v=""/>
    <s v="Mgr, Sales "/>
    <d v="2025-09-15T00:00:00"/>
    <d v="2026-04-10T00:00:00"/>
    <m/>
    <s v="Terminated"/>
    <s v="212479"/>
    <s v="Monthly"/>
    <s v="Full Time"/>
    <s v="088"/>
    <s v="088-AS Raymond"/>
    <s v="Outside Sales"/>
    <s v="008200"/>
    <s v="Work from home - Ohio - New"/>
    <s v=""/>
    <s v=""/>
    <s v="USA"/>
    <s v="S16"/>
    <s v="FMG-S16"/>
    <s v=""/>
    <s v="0088"/>
    <n v="8200"/>
    <s v="Default"/>
    <s v="General"/>
    <s v="US"/>
    <s v="en_US"/>
    <s v="USD"/>
    <s v=""/>
    <s v="N"/>
    <s v="20260410"/>
    <s v="Fix and Include Record"/>
    <x v="69"/>
    <x v="5"/>
    <s v="No Reports to Name"/>
    <b v="0"/>
  </r>
  <r>
    <s v="KSW"/>
    <s v="Jordan"/>
    <s v=""/>
    <s v="James"/>
    <s v=""/>
    <s v=""/>
    <s v="Steen, Michael"/>
    <s v="V0U211062"/>
    <s v=""/>
    <s v="jrdnjms18@gmail.com"/>
    <s v="Assembler C"/>
    <d v="2025-04-24T00:00:00"/>
    <m/>
    <m/>
    <s v="Active"/>
    <s v="211943"/>
    <s v="Biweekly"/>
    <s v="Full Time"/>
    <s v="025"/>
    <s v="025-NGP Hyson Products"/>
    <s v="Assembly Hyson"/>
    <s v="000200"/>
    <s v="Hyson Products"/>
    <s v=""/>
    <s v=""/>
    <s v="USA"/>
    <s v="H05"/>
    <s v="FMG-H05"/>
    <s v="211062"/>
    <s v="0096"/>
    <n v="200"/>
    <s v="Default"/>
    <s v="General"/>
    <s v="US"/>
    <s v="en_US"/>
    <s v="USD"/>
    <s v=""/>
    <s v="Y"/>
    <s v=""/>
    <m/>
    <x v="70"/>
    <x v="9"/>
    <s v="211062"/>
    <b v="1"/>
  </r>
  <r>
    <s v="KSX"/>
    <s v="Keith"/>
    <s v="L"/>
    <s v="James"/>
    <s v=""/>
    <s v=""/>
    <s v="Rogers, Wayne"/>
    <s v="KSY207487"/>
    <s v="kjames@onebarnes.com"/>
    <s v="myzonkj87@gmail.com"/>
    <s v="Assistant, Warehouse II"/>
    <d v="2017-04-03T00:00:00"/>
    <m/>
    <m/>
    <s v="Active"/>
    <s v="902026"/>
    <s v="Biweekly"/>
    <s v="Full Time"/>
    <s v="088"/>
    <s v="088-AS Raymond"/>
    <s v="FG Warehouse"/>
    <s v="005200"/>
    <s v="AS Raymond"/>
    <s v=""/>
    <s v=""/>
    <s v="USA"/>
    <s v="S05"/>
    <s v="FMG-S05"/>
    <s v="207487"/>
    <s v="0088"/>
    <n v="5200"/>
    <s v="Default"/>
    <s v="General"/>
    <s v="US"/>
    <s v="en_US"/>
    <s v="USD"/>
    <s v=""/>
    <s v="Y"/>
    <s v=""/>
    <m/>
    <x v="71"/>
    <x v="15"/>
    <s v="207487"/>
    <b v="1"/>
  </r>
  <r>
    <s v="KSY"/>
    <s v="Michael"/>
    <s v=""/>
    <s v="Jones"/>
    <s v=""/>
    <s v=""/>
    <s v="Rodriguez, Siobhan"/>
    <s v="V0U207588"/>
    <s v="mjones@onebarnes.com"/>
    <s v="MIKEJONES6085@GMAIL.COM"/>
    <s v="Mgr, Sales "/>
    <d v="2025-08-26T00:00:00"/>
    <m/>
    <m/>
    <s v="Active"/>
    <s v="212418"/>
    <s v="Monthly"/>
    <s v="Full Time"/>
    <s v="088"/>
    <s v="088-AS Raymond"/>
    <s v="Outside Sales"/>
    <s v="008200"/>
    <s v="Works from home - Ohio"/>
    <s v=""/>
    <s v=""/>
    <s v="USA"/>
    <s v="S16"/>
    <s v="FMG-S16"/>
    <s v="207588"/>
    <s v="0088"/>
    <n v="8200"/>
    <s v="Default"/>
    <s v="General"/>
    <s v="US"/>
    <s v="en_US"/>
    <s v="USD"/>
    <s v=""/>
    <s v="Y"/>
    <s v=""/>
    <m/>
    <x v="72"/>
    <x v="1"/>
    <s v="212338"/>
    <b v="0"/>
  </r>
  <r>
    <s v="KSX"/>
    <s v="Shelleion"/>
    <s v=""/>
    <s v="Jones"/>
    <s v=""/>
    <s v=""/>
    <s v="Williams, Rachel"/>
    <s v="KSY202533"/>
    <s v="sjones@onebarnes.con"/>
    <s v="shelleionj@gmail.com"/>
    <s v="Rep, Customer Service III"/>
    <d v="2026-01-27T00:00:00"/>
    <m/>
    <m/>
    <s v="Active"/>
    <s v=""/>
    <s v="Biweekly"/>
    <s v="Temporary"/>
    <s v="088"/>
    <s v="088-AS Raymond"/>
    <s v="Inside Sales"/>
    <s v="008100"/>
    <s v="AS Raymond"/>
    <s v=""/>
    <s v=""/>
    <s v="USA"/>
    <s v="S11"/>
    <s v="FMG-S11"/>
    <s v="202533"/>
    <s v="0088"/>
    <n v="8100"/>
    <s v="Default"/>
    <s v="General"/>
    <s v="US"/>
    <s v="en_US"/>
    <s v="USD"/>
    <s v=""/>
    <s v="Y"/>
    <s v=""/>
    <m/>
    <x v="73"/>
    <x v="21"/>
    <s v="202533"/>
    <b v="1"/>
  </r>
  <r>
    <s v="KSX"/>
    <s v="Brandon"/>
    <s v=""/>
    <s v="Kelly"/>
    <s v=""/>
    <s v=""/>
    <s v="Alexander, Thomas"/>
    <s v="KSY210892"/>
    <s v=""/>
    <s v="bkelly8@rockets.utoledo.edu"/>
    <s v="Intern, Operations Direct"/>
    <d v="2026-05-13T00:00:00"/>
    <d v="2026-08-14T00:00:00"/>
    <m/>
    <s v="Terminated"/>
    <s v="213235"/>
    <s v="Biweekly"/>
    <s v="Intern"/>
    <s v="088"/>
    <s v="088-AS Raymond"/>
    <s v="Admin-Quality"/>
    <s v="009500"/>
    <s v="AS Raymond"/>
    <s v=""/>
    <s v=""/>
    <s v="USA"/>
    <s v="H05"/>
    <s v="FMG-H05"/>
    <s v="210892"/>
    <s v="0088"/>
    <n v="9500"/>
    <s v="Default"/>
    <s v="General"/>
    <s v="US"/>
    <s v="en_US"/>
    <s v="USD"/>
    <s v=""/>
    <s v="N"/>
    <s v="20260814"/>
    <s v="Exclude record termination over 45 days ago"/>
    <x v="74"/>
    <x v="18"/>
    <s v="210892"/>
    <b v="1"/>
  </r>
  <r>
    <s v="KSW"/>
    <s v="Mason"/>
    <s v="R"/>
    <s v="Kelly"/>
    <s v=""/>
    <s v=""/>
    <s v="Steen, Michael"/>
    <s v="V0U211062"/>
    <s v=""/>
    <s v="kuhlma03335@gmail.com"/>
    <s v="Machinist, CNC "/>
    <d v="2021-10-11T00:00:00"/>
    <m/>
    <m/>
    <s v="Active"/>
    <s v="206680"/>
    <s v="Biweekly"/>
    <s v="Full Time"/>
    <s v="025"/>
    <s v="025-NGP Hyson Products"/>
    <s v="CNC Lathe Hyson"/>
    <s v="000100"/>
    <s v="Hyson Products"/>
    <s v=""/>
    <s v=""/>
    <s v="USA"/>
    <s v="H04"/>
    <s v="FMG-H04"/>
    <s v="211062"/>
    <s v="0096"/>
    <n v="100"/>
    <s v="Default"/>
    <s v="General"/>
    <s v="US"/>
    <s v="en_US"/>
    <s v="USD"/>
    <s v=""/>
    <s v="Y"/>
    <s v=""/>
    <m/>
    <x v="75"/>
    <x v="9"/>
    <s v="211062"/>
    <b v="1"/>
  </r>
  <r>
    <s v="KSY"/>
    <s v="Greg"/>
    <s v=""/>
    <s v="Kemenah"/>
    <s v=""/>
    <s v=""/>
    <s v="Bair, Teresa"/>
    <s v="KSY207709"/>
    <s v="gkemenah@onebarnes.com"/>
    <s v="kemenah@live.com"/>
    <s v="Mgr, General I"/>
    <d v="2025-02-24T00:00:00"/>
    <m/>
    <m/>
    <s v="Active"/>
    <s v="211766"/>
    <s v="Monthly"/>
    <s v="Full Time"/>
    <s v="088"/>
    <s v="088-AS Raymond"/>
    <s v="Admin-Engineering"/>
    <s v="009450"/>
    <s v="AS Raymond"/>
    <s v=""/>
    <s v=""/>
    <s v="USA"/>
    <s v="S19"/>
    <s v="FMG-S19"/>
    <s v="207709"/>
    <s v="0088"/>
    <n v="9450"/>
    <s v="Default"/>
    <s v="General"/>
    <s v="US"/>
    <s v="en_US"/>
    <s v="USD"/>
    <s v=""/>
    <s v="Y"/>
    <s v=""/>
    <m/>
    <x v="76"/>
    <x v="6"/>
    <s v="207709"/>
    <b v="1"/>
  </r>
  <r>
    <s v="KSX"/>
    <s v="Jacob"/>
    <s v="A"/>
    <s v="Kemenah"/>
    <s v=""/>
    <s v=""/>
    <s v="Warner, Dwight"/>
    <s v="V0U008750"/>
    <s v=""/>
    <s v="jkemenah@outlook.com"/>
    <s v="Intern, Finance Indirect"/>
    <d v="2026-05-11T00:00:00"/>
    <d v="2026-08-14T00:00:00"/>
    <m/>
    <s v="Terminated"/>
    <s v="213229"/>
    <s v="Biweekly"/>
    <s v="Intern"/>
    <s v="088"/>
    <s v="088-AS Raymond"/>
    <s v="Finance General"/>
    <s v="009100"/>
    <s v="AS Raymond"/>
    <s v=""/>
    <s v=""/>
    <s v="USA"/>
    <s v="H05"/>
    <s v="FMG-H05"/>
    <s v="008750"/>
    <s v="0088"/>
    <n v="9100"/>
    <s v="Default"/>
    <s v="General"/>
    <s v="US"/>
    <s v="en_US"/>
    <s v="USD"/>
    <s v=""/>
    <s v="N"/>
    <s v="20260814"/>
    <s v="Fix and Include Record"/>
    <x v="77"/>
    <x v="4"/>
    <s v="008750"/>
    <b v="1"/>
  </r>
  <r>
    <s v="KSY"/>
    <s v="Sai Anusha"/>
    <s v=""/>
    <s v="Kodali"/>
    <s v=""/>
    <s v=""/>
    <s v="Kemenah, Greg"/>
    <s v="KSY211766"/>
    <s v="skodalii@onebarnes.com"/>
    <s v="ksaianusha.2@gmail.com"/>
    <s v="Spec, Marketing I"/>
    <d v="2024-06-18T00:00:00"/>
    <m/>
    <m/>
    <s v="Leave"/>
    <s v="211085"/>
    <s v="Monthly"/>
    <s v="Full Time"/>
    <s v="088"/>
    <s v="088-AS Raymond"/>
    <s v="Marketing"/>
    <s v="008300"/>
    <s v="AS Raymond"/>
    <s v=""/>
    <s v=""/>
    <s v="USA"/>
    <s v="S12"/>
    <s v="FMG-S12"/>
    <s v="211766"/>
    <s v="0088"/>
    <n v="8300"/>
    <s v="Default"/>
    <s v="General"/>
    <s v="US"/>
    <s v="en_US"/>
    <s v="USD"/>
    <s v=""/>
    <s v="Y"/>
    <s v=""/>
    <m/>
    <x v="78"/>
    <x v="2"/>
    <s v="211766"/>
    <b v="1"/>
  </r>
  <r>
    <s v="KSW"/>
    <s v="Christopher"/>
    <s v="J"/>
    <s v="Kostohryz"/>
    <s v=""/>
    <s v=""/>
    <s v="Steen, Michael"/>
    <s v="V0U211062"/>
    <s v=""/>
    <s v="cjkgoat@cox.net"/>
    <s v="Machinist B"/>
    <d v="1988-09-19T00:00:00"/>
    <m/>
    <m/>
    <s v="Active"/>
    <s v="006805"/>
    <s v="Biweekly"/>
    <s v="Full Time"/>
    <s v="025"/>
    <s v="025-NGP Hyson Products"/>
    <s v="CNC Lathe Hyson"/>
    <s v="000100"/>
    <s v="Hyson Products"/>
    <s v=""/>
    <s v=""/>
    <s v="USA"/>
    <s v="H07"/>
    <s v="FMG-H07"/>
    <s v="211062"/>
    <s v="0096"/>
    <n v="100"/>
    <s v="Default"/>
    <s v="General"/>
    <s v="US"/>
    <s v="en_US"/>
    <s v="USD"/>
    <s v=""/>
    <s v="Y"/>
    <s v=""/>
    <m/>
    <x v="79"/>
    <x v="9"/>
    <s v="211062"/>
    <b v="1"/>
  </r>
  <r>
    <s v="KSX"/>
    <s v="Wendy"/>
    <s v=""/>
    <s v="Kozicki"/>
    <s v=""/>
    <s v=""/>
    <s v="Williams, Rachel"/>
    <s v="KSY202533"/>
    <s v="wkozicki@onebarnes.com"/>
    <s v=""/>
    <s v="Rep, Customer Service I"/>
    <d v="2026-06-01T00:00:00"/>
    <m/>
    <m/>
    <s v="Active"/>
    <s v="213298"/>
    <s v="Biweekly"/>
    <s v="Full Time"/>
    <s v="088"/>
    <s v="088-AS Raymond"/>
    <s v="Inside Sales"/>
    <s v="008100"/>
    <s v="AS Raymond"/>
    <s v=""/>
    <s v=""/>
    <s v="USA"/>
    <s v="S08"/>
    <s v="FMG-S08"/>
    <s v="202533"/>
    <s v="0088"/>
    <n v="8100"/>
    <s v="Default"/>
    <s v="General"/>
    <s v="US"/>
    <s v="en_US"/>
    <s v="USD"/>
    <s v=""/>
    <s v="Y"/>
    <s v=""/>
    <m/>
    <x v="80"/>
    <x v="21"/>
    <s v="202533"/>
    <b v="1"/>
  </r>
  <r>
    <s v="KSX"/>
    <s v="Mitchell"/>
    <s v=""/>
    <s v="Kuhlman"/>
    <s v=""/>
    <s v=""/>
    <s v="LaPlante, Derek"/>
    <s v="KSY211736"/>
    <s v=""/>
    <s v="mkuhlman61@gmail.com"/>
    <s v="Assistant, Warehouse II"/>
    <d v="2025-06-23T00:00:00"/>
    <m/>
    <m/>
    <s v="Active"/>
    <s v="212177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81"/>
    <x v="3"/>
    <s v="211736"/>
    <b v="1"/>
  </r>
  <r>
    <s v="KSY"/>
    <s v="Derek"/>
    <s v=""/>
    <s v="LaPlante"/>
    <s v=""/>
    <s v=""/>
    <s v="Bailey, Jason"/>
    <s v="KSY211464"/>
    <s v="dlaplante@onebarnes.com"/>
    <s v=""/>
    <s v="Supv, Warehouse I"/>
    <d v="2025-02-17T00:00:00"/>
    <m/>
    <m/>
    <s v="Active"/>
    <s v="211736"/>
    <s v="Monthly"/>
    <s v="Full Time"/>
    <s v="088"/>
    <s v="088-AS Raymond"/>
    <s v="FG Warehouse"/>
    <s v="005200"/>
    <s v="AS Raymond"/>
    <s v=""/>
    <s v=""/>
    <s v="USA"/>
    <s v="S11"/>
    <s v="FMG-S11"/>
    <s v="211464"/>
    <s v="0088"/>
    <n v="5200"/>
    <s v="Default"/>
    <s v="General"/>
    <s v="US"/>
    <s v="en_US"/>
    <s v="USD"/>
    <s v=""/>
    <s v="Y"/>
    <s v=""/>
    <m/>
    <x v="82"/>
    <x v="7"/>
    <s v="902688"/>
    <b v="0"/>
  </r>
  <r>
    <s v="KSX"/>
    <s v="Moulay Abdellah"/>
    <s v=""/>
    <s v="Lamini"/>
    <s v=""/>
    <s v=""/>
    <s v="Burchell, Mathew"/>
    <s v="KSY211756"/>
    <s v=""/>
    <s v="moulayabdellahlamini@gmail.com"/>
    <s v="Assistant, Warehouse II"/>
    <d v="2023-10-30T00:00:00"/>
    <m/>
    <m/>
    <s v="Active"/>
    <s v="210371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83"/>
    <x v="0"/>
    <s v="211756"/>
    <b v="1"/>
  </r>
  <r>
    <s v="V0U"/>
    <s v="Wayne"/>
    <s v=""/>
    <s v="Leftrict"/>
    <s v=""/>
    <s v=""/>
    <s v="Bate, Natalie"/>
    <s v="V0U213037"/>
    <s v="wleftrict@onebarnes.com"/>
    <s v="leftrictwayne@gmail.com"/>
    <s v="Mgr, Quality II"/>
    <d v="2024-04-15T00:00:00"/>
    <m/>
    <m/>
    <s v="Active"/>
    <s v="210910"/>
    <s v="Monthly"/>
    <s v="Full Time"/>
    <s v="025"/>
    <s v="025-NGP Hyson Products"/>
    <s v="Warehouse"/>
    <s v="000555"/>
    <s v="Hyson Products"/>
    <s v=""/>
    <s v=""/>
    <s v="USA"/>
    <s v="S16"/>
    <s v="FMG-S16"/>
    <s v="213037"/>
    <s v="0096"/>
    <n v="555"/>
    <s v="Default"/>
    <s v="General"/>
    <s v="US"/>
    <s v="en_US"/>
    <s v="USD"/>
    <s v=""/>
    <s v="Y"/>
    <s v=""/>
    <m/>
    <x v="84"/>
    <x v="11"/>
    <s v="213037"/>
    <b v="1"/>
  </r>
  <r>
    <s v="KSY"/>
    <s v="Tamara"/>
    <s v="K"/>
    <s v="Lipp"/>
    <s v=""/>
    <s v=""/>
    <s v="Oleksa, Laura"/>
    <s v="V0U209181"/>
    <s v="tlipp@onebarnes.com"/>
    <s v=""/>
    <s v="Generalist, HR III"/>
    <d v="2026-02-25T00:00:00"/>
    <m/>
    <m/>
    <s v="Active"/>
    <s v="212990"/>
    <s v="Monthly"/>
    <s v="Full Time"/>
    <s v="088"/>
    <s v="088-AS Raymond"/>
    <s v="HR General"/>
    <s v="009200"/>
    <s v="AS Raymond"/>
    <s v=""/>
    <s v=""/>
    <s v="USA"/>
    <s v="S14"/>
    <s v="FMG-S14"/>
    <s v="209181"/>
    <s v="0088"/>
    <n v="9200"/>
    <s v="Default"/>
    <s v="General"/>
    <s v="US"/>
    <s v="en_US"/>
    <s v="USD"/>
    <s v=""/>
    <s v="Y"/>
    <s v=""/>
    <m/>
    <x v="85"/>
    <x v="20"/>
    <s v="209181"/>
    <b v="1"/>
  </r>
  <r>
    <s v="V0U"/>
    <s v="Joseph"/>
    <s v="M"/>
    <s v="Lorenz"/>
    <s v=""/>
    <s v=""/>
    <s v=""/>
    <s v=""/>
    <s v="Jlorenz@onebarnes.com"/>
    <s v="jlorenz66@yahoo.com"/>
    <s v="Rep, Customer Service II"/>
    <d v="2025-09-23T00:00:00"/>
    <d v="2026-06-03T00:00:00"/>
    <m/>
    <s v="Terminated"/>
    <s v="212598"/>
    <s v="Monthly"/>
    <s v="Full Time"/>
    <s v="025"/>
    <s v="025-NGP Hyson Products"/>
    <s v="Inside Sales"/>
    <s v="000850"/>
    <s v="Hyson Products"/>
    <s v=""/>
    <s v=""/>
    <s v="USA"/>
    <s v="S10"/>
    <s v="FMG-S10"/>
    <s v=""/>
    <s v="0096"/>
    <n v="850"/>
    <s v="Default"/>
    <s v="General"/>
    <s v="US"/>
    <s v="en_US"/>
    <s v="USD"/>
    <s v=""/>
    <s v="N"/>
    <s v="20260603"/>
    <s v="Fix and Include Record"/>
    <x v="86"/>
    <x v="5"/>
    <s v="No Reports to Name"/>
    <b v="0"/>
  </r>
  <r>
    <s v="V0U"/>
    <s v="Joseph"/>
    <s v="M"/>
    <s v="Lorenz"/>
    <s v=""/>
    <s v=""/>
    <s v=""/>
    <s v=""/>
    <s v="Jlorenz@onebarnes.com"/>
    <s v="jlorenz66@yahoo.com"/>
    <s v="Rep, Customer Service II"/>
    <d v="2025-09-23T00:00:00"/>
    <d v="2026-06-03T00:00:00"/>
    <m/>
    <s v="Terminated"/>
    <s v="212598"/>
    <s v="Biweekly"/>
    <s v="Full Time"/>
    <s v="025"/>
    <s v="025-NGP Hyson Products"/>
    <s v="Inside Sales"/>
    <s v="000850"/>
    <s v="Hyson Products"/>
    <s v=""/>
    <s v=""/>
    <s v="USA"/>
    <s v="S10"/>
    <s v="FMG-S10"/>
    <s v=""/>
    <s v="0096"/>
    <n v="850"/>
    <s v="Default"/>
    <s v="General"/>
    <s v="US"/>
    <s v="en_US"/>
    <s v="USD"/>
    <s v=""/>
    <s v="N"/>
    <s v="20260603"/>
    <s v="Fix and Include Record"/>
    <x v="86"/>
    <x v="5"/>
    <s v="No Reports to Name"/>
    <b v="0"/>
  </r>
  <r>
    <s v="KSW"/>
    <s v="Joseph"/>
    <s v="M"/>
    <s v="Lorenz"/>
    <s v=""/>
    <s v=""/>
    <s v="Wallace, Derron"/>
    <s v="V0U211998"/>
    <s v="Jlorenz@onebarnes.com"/>
    <s v="jlorenz66@yahoo.com"/>
    <s v="Rep, Customer Service II"/>
    <d v="2025-09-23T00:00:00"/>
    <m/>
    <m/>
    <s v="Active"/>
    <s v="212598"/>
    <s v="Biweekly"/>
    <s v="Full Time"/>
    <s v="025"/>
    <s v="025-NGP Hyson Products"/>
    <s v="Inside Sales"/>
    <s v="000850"/>
    <s v="Hyson Products"/>
    <s v=""/>
    <s v=""/>
    <s v="USA"/>
    <s v="S10"/>
    <s v="FMG-S10"/>
    <s v="211998"/>
    <s v="0096"/>
    <n v="850"/>
    <s v="Default"/>
    <s v="General"/>
    <s v="US"/>
    <s v="en_US"/>
    <s v="USD"/>
    <s v=""/>
    <s v="Y"/>
    <s v=""/>
    <m/>
    <x v="86"/>
    <x v="14"/>
    <s v="211998"/>
    <b v="1"/>
  </r>
  <r>
    <s v="KSX"/>
    <s v="Abdellatef"/>
    <s v="M"/>
    <s v="Mahmoud"/>
    <s v=""/>
    <s v=""/>
    <s v="Burchell, Mathew"/>
    <s v="KSY211756"/>
    <s v=""/>
    <s v="oomer77@yahoo.com"/>
    <s v="Assistant, Warehouse II"/>
    <d v="2023-10-09T00:00:00"/>
    <m/>
    <m/>
    <s v="Active"/>
    <s v="210316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87"/>
    <x v="0"/>
    <s v="211756"/>
    <b v="1"/>
  </r>
  <r>
    <s v="KSY"/>
    <s v="Jason"/>
    <s v=""/>
    <s v="Majewski"/>
    <s v=""/>
    <s v=""/>
    <s v="Creager, Andrew"/>
    <s v="KSY212699"/>
    <s v="JMajewski@onebarnes.com"/>
    <s v="jmajewski06@yahoo.com"/>
    <s v="Mgr, Materials"/>
    <d v="1995-06-19T00:00:00"/>
    <m/>
    <m/>
    <s v="Active"/>
    <s v="006809"/>
    <s v="Monthly"/>
    <s v="Full Time"/>
    <s v="088"/>
    <s v="088-AS Raymond"/>
    <s v="Admin-Material Management"/>
    <s v="009400"/>
    <s v="AS Raymond"/>
    <s v=""/>
    <s v=""/>
    <s v="USA"/>
    <s v="S17"/>
    <s v="FMG-S17"/>
    <s v="212699"/>
    <s v="0088"/>
    <n v="9400"/>
    <s v="Default"/>
    <s v="General"/>
    <s v="US"/>
    <s v="en_US"/>
    <s v="USD"/>
    <s v=""/>
    <s v="Y"/>
    <s v=""/>
    <m/>
    <x v="88"/>
    <x v="22"/>
    <s v="212699"/>
    <b v="1"/>
  </r>
  <r>
    <s v="V0U"/>
    <s v="Jason"/>
    <s v=""/>
    <s v="Majewski"/>
    <s v=""/>
    <s v=""/>
    <s v="Bate, Natalie"/>
    <s v="V0U213037"/>
    <s v="JMajewski@onebarnes.com"/>
    <s v="jmajewski06@yahoo.com"/>
    <s v="Mgr, Purchasing III"/>
    <d v="1995-06-19T00:00:00"/>
    <d v="2026-08-01T00:00:00"/>
    <m/>
    <s v="Terminated"/>
    <s v="006809"/>
    <s v="Monthly"/>
    <s v="Full Time"/>
    <s v="025"/>
    <s v="025-NGP Hyson Products"/>
    <s v="Warehouse"/>
    <s v="000555"/>
    <s v="Hyson Products"/>
    <s v=""/>
    <s v=""/>
    <s v="USA"/>
    <s v="S17"/>
    <s v="FMG-S17"/>
    <s v="213037"/>
    <s v="0096"/>
    <n v="555"/>
    <s v="Default"/>
    <s v="General"/>
    <s v="US"/>
    <s v="en_US"/>
    <s v="USD"/>
    <s v=""/>
    <s v="N"/>
    <s v="20260801"/>
    <s v="Exclude record termination over 45 days ago"/>
    <x v="88"/>
    <x v="11"/>
    <s v="213037"/>
    <b v="1"/>
  </r>
  <r>
    <s v="V0U"/>
    <s v="Chris"/>
    <s v="F"/>
    <s v="Martin"/>
    <s v=""/>
    <s v=""/>
    <s v="Leftrict, Wayne"/>
    <s v="V0U210910"/>
    <s v="cmartin@onebarnes.com"/>
    <s v="3martmojo@gmail.com"/>
    <s v="Coord, Quality &amp; Environ"/>
    <d v="2021-03-15T00:00:00"/>
    <m/>
    <m/>
    <s v="Active"/>
    <s v="202609"/>
    <s v="Monthly"/>
    <s v="Full Time"/>
    <s v="025"/>
    <s v="025-NGP Hyson Products"/>
    <s v="Quality"/>
    <s v="000500"/>
    <s v="Hyson Products"/>
    <s v=""/>
    <s v=""/>
    <s v="USA"/>
    <s v="S15"/>
    <s v="FMG-S15"/>
    <s v="210910"/>
    <s v="0096"/>
    <n v="500"/>
    <s v="Default"/>
    <s v="General"/>
    <s v="US"/>
    <s v="en_US"/>
    <s v="USD"/>
    <s v=""/>
    <s v="Y"/>
    <s v=""/>
    <m/>
    <x v="89"/>
    <x v="13"/>
    <s v="210910"/>
    <b v="1"/>
  </r>
  <r>
    <s v="KSX"/>
    <s v="Martin"/>
    <s v=""/>
    <s v="Martinez"/>
    <s v=""/>
    <s v=""/>
    <s v="Burchell, Mathew"/>
    <s v="KSY211756"/>
    <s v="martinezmartin161@gmail.com"/>
    <s v="porkchops2581@gmail.com"/>
    <s v="Assistant, Warehouse II"/>
    <d v="2018-07-02T00:00:00"/>
    <m/>
    <m/>
    <s v="Active"/>
    <s v="902563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90"/>
    <x v="0"/>
    <s v="211756"/>
    <b v="1"/>
  </r>
  <r>
    <s v="KSY"/>
    <s v="Bradley"/>
    <s v=""/>
    <s v="Masters"/>
    <s v="Brad"/>
    <s v="Masters"/>
    <s v="Rodriguez, Siobhan"/>
    <s v="V0U207588"/>
    <s v="bmasters@onebarnes.com"/>
    <s v="brad.a.masters@gmail.com"/>
    <s v="Mgr, Sales "/>
    <d v="2026-07-20T00:00:00"/>
    <m/>
    <m/>
    <s v="Active"/>
    <s v="902437"/>
    <s v="Monthly"/>
    <s v="Full Time"/>
    <s v="088"/>
    <s v="088-AS Raymond"/>
    <s v="Outside Sales"/>
    <s v="008200"/>
    <s v="Works from home - Ohio"/>
    <s v=""/>
    <s v=""/>
    <s v="USA"/>
    <s v="S16"/>
    <s v="FMG-S16"/>
    <s v="207588"/>
    <s v="0088"/>
    <n v="8200"/>
    <s v="Default"/>
    <s v="General"/>
    <s v="US"/>
    <s v="en_US"/>
    <s v="USD"/>
    <s v="Brad Masters"/>
    <s v="Y"/>
    <s v=""/>
    <m/>
    <x v="91"/>
    <x v="1"/>
    <s v="212338"/>
    <b v="0"/>
  </r>
  <r>
    <s v="KSX"/>
    <s v="Craig"/>
    <s v=""/>
    <s v="Mata"/>
    <s v=""/>
    <s v=""/>
    <s v="LaPlante, Derek"/>
    <s v="KSY211736"/>
    <s v="cmata@onebarnes.com"/>
    <s v="CRAIGMATA51@YAHOO.COM"/>
    <s v="Assistant, Warehouse II"/>
    <d v="2018-10-15T00:00:00"/>
    <m/>
    <m/>
    <s v="Active"/>
    <s v="201343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92"/>
    <x v="3"/>
    <s v="211736"/>
    <b v="1"/>
  </r>
  <r>
    <s v="KSX"/>
    <s v="Scott"/>
    <s v="T"/>
    <s v="Mazzei"/>
    <s v=""/>
    <s v=""/>
    <s v="Burchell, Mathew"/>
    <s v="KSY211756"/>
    <s v="SMazzei@onebarnes.com"/>
    <s v="smazzei426@gmail.com"/>
    <s v="Assistant, Warehouse"/>
    <d v="2006-06-19T00:00:00"/>
    <m/>
    <m/>
    <s v="Active"/>
    <s v="662995"/>
    <s v="Biweekly"/>
    <s v="Full Time"/>
    <s v="088"/>
    <s v="088-AS Raymond"/>
    <s v="Assembly"/>
    <s v="005100"/>
    <s v="AS Raymond"/>
    <s v=""/>
    <s v=""/>
    <s v="USA"/>
    <s v="S08"/>
    <s v="FMG-S08"/>
    <s v="211756"/>
    <s v="0088"/>
    <n v="5100"/>
    <s v="Default"/>
    <s v="General"/>
    <s v="US"/>
    <s v="en_US"/>
    <s v="USD"/>
    <s v=""/>
    <s v="Y"/>
    <s v=""/>
    <m/>
    <x v="93"/>
    <x v="0"/>
    <s v="211756"/>
    <b v="1"/>
  </r>
  <r>
    <s v="KSW"/>
    <s v="James"/>
    <s v=""/>
    <s v="McConnell"/>
    <s v=""/>
    <s v=""/>
    <s v="Steen, Michael"/>
    <s v="V0U211062"/>
    <s v=""/>
    <s v="nonyiot2.0@yahoo.com"/>
    <s v="Machinist B"/>
    <d v="1985-03-24T00:00:00"/>
    <m/>
    <m/>
    <s v="Active"/>
    <s v="006811"/>
    <s v="Biweekly"/>
    <s v="Full Time"/>
    <s v="025"/>
    <s v="025-NGP Hyson Products"/>
    <s v="Edgework- Hyson"/>
    <s v="000350"/>
    <s v="Hyson Products"/>
    <s v=""/>
    <s v=""/>
    <s v="USA"/>
    <s v="H07"/>
    <s v="FMG-H07"/>
    <s v="211062"/>
    <s v="0096"/>
    <n v="350"/>
    <s v="Default"/>
    <s v="General"/>
    <s v="US"/>
    <s v="en_US"/>
    <s v="USD"/>
    <s v=""/>
    <s v="Y"/>
    <s v=""/>
    <m/>
    <x v="94"/>
    <x v="9"/>
    <s v="211062"/>
    <b v="1"/>
  </r>
  <r>
    <s v="KSY"/>
    <s v="Joel"/>
    <s v="E"/>
    <s v="McCoy"/>
    <s v=""/>
    <s v=""/>
    <s v="Kemenah, Greg"/>
    <s v="KSY211766"/>
    <s v="jmccoy@onebarnes.com"/>
    <s v="joelmccoy@hotmail.com"/>
    <s v="Engineer, Product III"/>
    <d v="2014-05-12T00:00:00"/>
    <m/>
    <m/>
    <s v="Active"/>
    <s v="901213"/>
    <s v="Monthly"/>
    <s v="Full Time"/>
    <s v="088"/>
    <s v="088-AS Raymond"/>
    <s v="Admin-Engineering"/>
    <s v="009450"/>
    <s v="AS Raymond"/>
    <s v=""/>
    <s v=""/>
    <s v="USA"/>
    <s v="S15"/>
    <s v="FMG-S15"/>
    <s v="211766"/>
    <s v="0088"/>
    <n v="9450"/>
    <s v="Default"/>
    <s v="General"/>
    <s v="US"/>
    <s v="en_US"/>
    <s v="USD"/>
    <s v=""/>
    <s v="Y"/>
    <s v=""/>
    <m/>
    <x v="95"/>
    <x v="2"/>
    <s v="211766"/>
    <b v="1"/>
  </r>
  <r>
    <s v="KSW"/>
    <s v="Charles"/>
    <s v=""/>
    <s v="McDavid"/>
    <s v=""/>
    <s v=""/>
    <s v=""/>
    <s v="V0U211062"/>
    <s v=""/>
    <s v="chuckmcdavid1999@icloud.com"/>
    <s v="Lathe Operator"/>
    <d v="2026-06-29T00:00:00"/>
    <m/>
    <m/>
    <s v="Active"/>
    <s v="213332"/>
    <s v="Biweekly"/>
    <s v="Full Time"/>
    <s v="025"/>
    <s v="025-NGP Hyson Products"/>
    <s v="CNC Lathe Hyson"/>
    <s v="000100"/>
    <s v="Hyson Products"/>
    <s v=""/>
    <s v=""/>
    <s v="USA"/>
    <s v="H07"/>
    <s v="FMG-H07"/>
    <s v="211062"/>
    <s v="0096"/>
    <n v="100"/>
    <s v="Default"/>
    <s v="General"/>
    <s v="US"/>
    <s v="en_US"/>
    <s v="USD"/>
    <s v=""/>
    <s v="Y"/>
    <s v=""/>
    <m/>
    <x v="96"/>
    <x v="5"/>
    <s v="No Reports to Name"/>
    <b v="0"/>
  </r>
  <r>
    <s v="V0U"/>
    <s v="Amy"/>
    <s v="C"/>
    <s v="McGuire"/>
    <s v=""/>
    <s v=""/>
    <s v="Warner, Dwight"/>
    <s v="V0U008750"/>
    <s v="AMcGuire@onebarnes.com"/>
    <s v="RedAmyMcG@gmail.com"/>
    <s v="Accountant III"/>
    <d v="1996-09-30T00:00:00"/>
    <m/>
    <m/>
    <s v="Active"/>
    <s v="007861"/>
    <s v="Monthly"/>
    <s v="Full Time"/>
    <s v="025"/>
    <s v="025-NGP Hyson Products"/>
    <s v="Finance"/>
    <s v="000910"/>
    <s v="Hyson Products"/>
    <s v=""/>
    <s v=""/>
    <s v="USA"/>
    <s v="S13"/>
    <s v="FMG-S13"/>
    <s v="008750"/>
    <s v="0096"/>
    <n v="910"/>
    <s v="Default"/>
    <s v="General"/>
    <s v="US"/>
    <s v="en_US"/>
    <s v="USD"/>
    <s v=""/>
    <s v="Y"/>
    <s v=""/>
    <m/>
    <x v="97"/>
    <x v="4"/>
    <s v="008750"/>
    <b v="1"/>
  </r>
  <r>
    <s v="KSW"/>
    <s v="Jermey"/>
    <s v=""/>
    <s v="McKinney"/>
    <s v=""/>
    <s v=""/>
    <s v=""/>
    <s v="V0U211998"/>
    <s v=""/>
    <s v="jeremyy92600@gmail.com"/>
    <s v="Assembler C"/>
    <d v="2026-06-17T00:00:00"/>
    <d v="2026-07-31T00:00:00"/>
    <m/>
    <s v="Terminated"/>
    <s v=""/>
    <s v="Biweekly"/>
    <s v="Temporary"/>
    <s v="025"/>
    <s v="025-NGP Hyson Products"/>
    <s v="Assembly Hyson"/>
    <s v="000200"/>
    <s v="Hyson Products"/>
    <s v=""/>
    <s v=""/>
    <s v="USA"/>
    <s v="H05"/>
    <s v="FMG-H05"/>
    <s v="211998"/>
    <s v="0096"/>
    <n v="200"/>
    <s v="Default"/>
    <s v="General"/>
    <s v="US"/>
    <s v="en_US"/>
    <s v="USD"/>
    <s v=""/>
    <s v="N"/>
    <s v="20260731"/>
    <s v="Fix and Include Record"/>
    <x v="98"/>
    <x v="5"/>
    <s v="No Reports to Name"/>
    <b v="0"/>
  </r>
  <r>
    <s v="KSW"/>
    <s v="Mitchell"/>
    <s v="C"/>
    <s v="McLaughlin"/>
    <s v=""/>
    <s v=""/>
    <s v=""/>
    <s v="V0U211062"/>
    <s v=""/>
    <s v="mcmclaughlin2025@gmail.com"/>
    <s v="Machinist, CNC "/>
    <d v="2025-04-08T00:00:00"/>
    <d v="2026-07-24T00:00:00"/>
    <m/>
    <s v="Terminated"/>
    <s v="211905"/>
    <s v="Biweekly"/>
    <s v="Full Time"/>
    <s v="025"/>
    <s v="025-NGP Hyson Products"/>
    <s v="CNC Lathe Hyson"/>
    <s v="000100"/>
    <s v="Hyson Products"/>
    <s v=""/>
    <s v=""/>
    <s v="USA"/>
    <s v="H04"/>
    <s v="FMG-H04"/>
    <s v="211062"/>
    <s v="0096"/>
    <n v="100"/>
    <s v="Default"/>
    <s v="General"/>
    <s v="US"/>
    <s v="en_US"/>
    <s v="USD"/>
    <s v=""/>
    <s v="N"/>
    <s v="20260724"/>
    <s v="Fix and Include Record"/>
    <x v="99"/>
    <x v="5"/>
    <s v="No Reports to Name"/>
    <b v="0"/>
  </r>
  <r>
    <s v="KSX"/>
    <s v="Shawnta"/>
    <s v=""/>
    <s v="Mcglory"/>
    <s v=""/>
    <s v=""/>
    <s v="Burchell, Mathew"/>
    <s v="KSY211756"/>
    <s v="smcglory@onebarnes.com"/>
    <s v="shawntamcglory58@gmail.com"/>
    <s v="Assistant, Warehouse II"/>
    <d v="2024-09-16T00:00:00"/>
    <m/>
    <m/>
    <s v="Active"/>
    <s v="211456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100"/>
    <x v="0"/>
    <s v="211756"/>
    <b v="1"/>
  </r>
  <r>
    <s v="KSX"/>
    <s v="Kyle"/>
    <s v="J"/>
    <s v="Mickens"/>
    <s v=""/>
    <s v=""/>
    <s v=""/>
    <s v=""/>
    <s v="kmickens@onebarnes.com"/>
    <s v=""/>
    <s v="Assistant, Warehouse II"/>
    <d v="2023-08-03T00:00:00"/>
    <d v="2026-05-06T00:00:00"/>
    <m/>
    <s v="Terminated"/>
    <s v="210134"/>
    <s v="Biweekly"/>
    <s v="Full Time"/>
    <s v="088"/>
    <s v="088-AS Raymond"/>
    <s v="Assembly"/>
    <s v="005100"/>
    <s v="AS Raymond"/>
    <s v=""/>
    <s v=""/>
    <s v="USA"/>
    <s v="S05"/>
    <s v="FMG-S05"/>
    <s v=""/>
    <s v="0088"/>
    <n v="5100"/>
    <s v="Default"/>
    <s v="General"/>
    <s v="US"/>
    <s v="en_US"/>
    <s v="USD"/>
    <s v=""/>
    <s v="N"/>
    <s v="20260506"/>
    <s v="Fix and Include Record"/>
    <x v="101"/>
    <x v="5"/>
    <s v="No Reports to Name"/>
    <b v="0"/>
  </r>
  <r>
    <s v="V0U"/>
    <s v="Anthony"/>
    <s v="J"/>
    <s v="Moavero"/>
    <s v=""/>
    <s v=""/>
    <s v="Brower, James"/>
    <s v=""/>
    <s v="amoavero1@onebarnes.com"/>
    <s v=""/>
    <s v="Intern, Engineering Indir"/>
    <d v="2025-06-02T00:00:00"/>
    <d v="2026-06-03T00:00:00"/>
    <m/>
    <s v="Terminated"/>
    <s v="212052"/>
    <s v="Monthly"/>
    <s v="Intern"/>
    <s v="025"/>
    <s v="025-NGP Hyson Products"/>
    <s v="Sustaining Engineering"/>
    <s v="000900"/>
    <s v="Hyson Products"/>
    <s v=""/>
    <s v=""/>
    <s v="USA"/>
    <s v="H05"/>
    <s v="FMG-H05"/>
    <s v=""/>
    <s v="0096"/>
    <n v="900"/>
    <s v="Default"/>
    <s v="General"/>
    <s v="US"/>
    <s v="en_US"/>
    <s v="USD"/>
    <s v=""/>
    <s v="N"/>
    <s v="20260603"/>
    <s v="Fix and Include Record"/>
    <x v="102"/>
    <x v="23"/>
    <s v="006769"/>
    <b v="0"/>
  </r>
  <r>
    <s v="KSX"/>
    <s v="Anthony"/>
    <s v="J"/>
    <s v="Moavero"/>
    <s v=""/>
    <s v=""/>
    <s v=""/>
    <s v=""/>
    <s v="amoavero1@onebarnes.com"/>
    <s v=""/>
    <s v=""/>
    <d v="2025-06-02T00:00:00"/>
    <d v="2025-08-09T00:00:00"/>
    <m/>
    <s v="Terminated"/>
    <s v="212052"/>
    <s v="Biweekly"/>
    <s v="Full Time"/>
    <s v=""/>
    <s v=""/>
    <s v=""/>
    <s v=" "/>
    <s v="AS Raymond"/>
    <s v=""/>
    <s v=""/>
    <s v="USA"/>
    <s v=""/>
    <s v=""/>
    <s v=""/>
    <s v="BU Description Not Mapped"/>
    <s v="Home Department Code Not Mapped"/>
    <s v="Salary Code Not Mapped"/>
    <s v="Salary Code Not Mapped"/>
    <s v="US"/>
    <s v="ADP and BU Language Code Not MappedUS"/>
    <s v="BU Currency Not Mapped"/>
    <s v=""/>
    <s v="N"/>
    <s v="20250809"/>
    <s v="Exclude record termination over 45 days ago"/>
    <x v="102"/>
    <x v="5"/>
    <s v="No Reports to Name"/>
    <b v="0"/>
  </r>
  <r>
    <s v="KSW"/>
    <s v="Anthony"/>
    <s v="J"/>
    <s v="Moavero"/>
    <s v=""/>
    <s v=""/>
    <s v="Brower, James"/>
    <s v="V0U006769"/>
    <s v="amoavero1@onebarnes.com"/>
    <s v=""/>
    <s v="Intern, Engineering Indir"/>
    <d v="2025-06-02T00:00:00"/>
    <d v="2026-08-14T00:00:00"/>
    <m/>
    <s v="Terminated"/>
    <s v="212052"/>
    <s v="Biweekly"/>
    <s v="Intern"/>
    <s v="025"/>
    <s v="025-NGP Hyson Products"/>
    <s v="Sustaining Engineering"/>
    <s v="000900"/>
    <s v="Hyson Products"/>
    <s v=""/>
    <s v=""/>
    <s v="USA"/>
    <s v="H05"/>
    <s v="FMG-H05"/>
    <s v="006769"/>
    <s v="0096"/>
    <n v="900"/>
    <s v="Default"/>
    <s v="General"/>
    <s v="US"/>
    <s v="en_US"/>
    <s v="USD"/>
    <s v=""/>
    <s v="N"/>
    <s v="20260814"/>
    <s v="Exclude record termination over 45 days ago"/>
    <x v="102"/>
    <x v="23"/>
    <s v="006769"/>
    <b v="1"/>
  </r>
  <r>
    <s v="V0U"/>
    <s v="Anthony"/>
    <s v="J"/>
    <s v="Moavero"/>
    <s v=""/>
    <s v=""/>
    <s v="Brower, James"/>
    <s v=""/>
    <s v="amoavero1@onebarnes.com"/>
    <s v=""/>
    <s v="Intern, Engineering Indir"/>
    <d v="2025-06-02T00:00:00"/>
    <d v="2026-06-03T00:00:00"/>
    <m/>
    <s v="Terminated"/>
    <s v="212052"/>
    <s v="Biweekly"/>
    <s v="Intern"/>
    <s v="025"/>
    <s v="025-NGP Hyson Products"/>
    <s v="Sustaining Engineering"/>
    <s v="000900"/>
    <s v="Hyson Products"/>
    <s v=""/>
    <s v=""/>
    <s v="USA"/>
    <s v="H05"/>
    <s v="FMG-H05"/>
    <s v=""/>
    <s v="0096"/>
    <n v="900"/>
    <s v="Default"/>
    <s v="General"/>
    <s v="US"/>
    <s v="en_US"/>
    <s v="USD"/>
    <s v=""/>
    <s v="N"/>
    <s v="20260603"/>
    <s v="Fix and Include Record"/>
    <x v="102"/>
    <x v="23"/>
    <s v="006769"/>
    <b v="0"/>
  </r>
  <r>
    <s v="KSX"/>
    <s v="Michael"/>
    <s v=""/>
    <s v="Molnar"/>
    <s v=""/>
    <s v=""/>
    <s v="Rafferty, Jonathan"/>
    <s v="KSY211131"/>
    <s v="Mmolnar@onebarnes.com"/>
    <s v="michaelmolnar419@gmail.com"/>
    <s v="Rep, Customer Service III"/>
    <d v="2023-04-24T00:00:00"/>
    <m/>
    <m/>
    <s v="Active"/>
    <s v="209746"/>
    <s v="Biweekly"/>
    <s v="Full Time"/>
    <s v="088"/>
    <s v="088-AS Raymond"/>
    <s v="Inside Sales"/>
    <s v="008100"/>
    <s v="AS Raymond"/>
    <s v=""/>
    <s v=""/>
    <s v="USA"/>
    <s v="S11"/>
    <s v="FMG-S11"/>
    <s v="211131"/>
    <s v="0088"/>
    <n v="8100"/>
    <s v="Default"/>
    <s v="General"/>
    <s v="US"/>
    <s v="en_US"/>
    <s v="USD"/>
    <s v=""/>
    <s v="Y"/>
    <s v=""/>
    <m/>
    <x v="103"/>
    <x v="17"/>
    <s v="211131"/>
    <b v="1"/>
  </r>
  <r>
    <s v="KSX"/>
    <s v="Michael"/>
    <s v=""/>
    <s v="Molnar"/>
    <s v=""/>
    <s v=""/>
    <s v="Rafferty, Jonathan"/>
    <s v="KSY211131"/>
    <s v="Mmolnar@onebarnes.com"/>
    <s v="michaelmolnar419@gmail.com"/>
    <s v="Rep, Customer Service III"/>
    <d v="2023-04-24T00:00:00"/>
    <m/>
    <m/>
    <s v="Active"/>
    <s v="209746"/>
    <s v="Monthly"/>
    <s v="Full Time"/>
    <s v="088"/>
    <s v="088-AS Raymond"/>
    <s v="Inside Sales"/>
    <s v="008100"/>
    <s v="AS Raymond"/>
    <s v=""/>
    <s v=""/>
    <s v="USA"/>
    <s v="S11"/>
    <s v="FMG-S11"/>
    <s v="211131"/>
    <s v="0088"/>
    <n v="8100"/>
    <s v="Default"/>
    <s v="General"/>
    <s v="US"/>
    <s v="en_US"/>
    <s v="USD"/>
    <s v=""/>
    <s v="Y"/>
    <s v=""/>
    <m/>
    <x v="103"/>
    <x v="17"/>
    <s v="211131"/>
    <b v="1"/>
  </r>
  <r>
    <s v="KSY"/>
    <s v="Michael"/>
    <s v=""/>
    <s v="Molnar"/>
    <s v=""/>
    <s v=""/>
    <s v=""/>
    <s v=""/>
    <s v="Mmolnar@onebarnes.com"/>
    <s v="michaelmolnar419@gmail.com"/>
    <s v="Rep, Customer Service III"/>
    <d v="2023-04-24T00:00:00"/>
    <d v="2026-06-02T00:00:00"/>
    <m/>
    <s v="Terminated"/>
    <s v="209746"/>
    <s v="Monthly"/>
    <s v="Full Time"/>
    <s v="088"/>
    <s v="088-AS Raymond"/>
    <s v="Inside Sales"/>
    <s v="008100"/>
    <s v="AS Raymond"/>
    <s v=""/>
    <s v=""/>
    <s v="USA"/>
    <s v="S11"/>
    <s v="FMG-S11"/>
    <s v=""/>
    <s v="0088"/>
    <n v="8100"/>
    <s v="Default"/>
    <s v="General"/>
    <s v="US"/>
    <s v="en_US"/>
    <s v="USD"/>
    <s v=""/>
    <s v="N"/>
    <s v="20260602"/>
    <s v="Exclude record termination over 45 days ago"/>
    <x v="103"/>
    <x v="5"/>
    <s v="No Reports to Name"/>
    <b v="0"/>
  </r>
  <r>
    <s v="KSX"/>
    <s v="Candi"/>
    <s v="M"/>
    <s v="Morales"/>
    <s v=""/>
    <s v=""/>
    <s v="Alexander, Thomas"/>
    <s v="KSY210892"/>
    <s v="cburris@onebarnes.com"/>
    <s v="cmorales6132015@gmail.com"/>
    <s v="Admin, Document Control"/>
    <d v="1998-06-01T00:00:00"/>
    <m/>
    <m/>
    <s v="Active"/>
    <s v="007630"/>
    <s v="Biweekly"/>
    <s v="Full Time"/>
    <s v="088"/>
    <s v="088-AS Raymond"/>
    <s v="Admin-Quality"/>
    <s v="009500"/>
    <s v="AS Raymond"/>
    <s v=""/>
    <s v=""/>
    <s v="USA"/>
    <s v="S10"/>
    <s v="FMG-S10"/>
    <s v="210892"/>
    <s v="0088"/>
    <n v="9500"/>
    <s v="Default"/>
    <s v="General"/>
    <s v="US"/>
    <s v="en_US"/>
    <s v="USD"/>
    <s v=""/>
    <s v="Y"/>
    <s v=""/>
    <m/>
    <x v="104"/>
    <x v="18"/>
    <s v="210892"/>
    <b v="1"/>
  </r>
  <r>
    <s v="KSX"/>
    <s v="Peter"/>
    <s v=""/>
    <s v="Morgan"/>
    <s v=""/>
    <s v=""/>
    <s v="Rafferty, Jonathan"/>
    <s v="KSY211131"/>
    <s v="pmorgan@onebarnes.com"/>
    <s v="pete.petemorgan@gmail.com"/>
    <s v="Rep, Customer Service III"/>
    <d v="2026-05-11T00:00:00"/>
    <m/>
    <m/>
    <s v="Active"/>
    <s v="213225"/>
    <s v="Biweekly"/>
    <s v="Full Time"/>
    <s v="088"/>
    <s v="088-AS Raymond"/>
    <s v="Inside Sales"/>
    <s v="008100"/>
    <s v="AS Raymond"/>
    <s v=""/>
    <s v=""/>
    <s v="USA"/>
    <s v="S11"/>
    <s v="FMG-S11"/>
    <s v="211131"/>
    <s v="0088"/>
    <n v="8100"/>
    <s v="Default"/>
    <s v="General"/>
    <s v="US"/>
    <s v="en_US"/>
    <s v="USD"/>
    <s v=""/>
    <s v="Y"/>
    <s v=""/>
    <m/>
    <x v="105"/>
    <x v="17"/>
    <s v="211131"/>
    <b v="1"/>
  </r>
  <r>
    <s v="KSX"/>
    <s v="Angela"/>
    <s v=""/>
    <s v="Myers"/>
    <s v=""/>
    <s v=""/>
    <s v="Burchell, Mathew"/>
    <s v="KSY211756"/>
    <s v=""/>
    <s v="amm823@bex.net"/>
    <s v="Assistant, Warehouse II"/>
    <d v="2025-08-12T00:00:00"/>
    <m/>
    <m/>
    <s v="Active"/>
    <s v="212349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106"/>
    <x v="0"/>
    <s v="211756"/>
    <b v="1"/>
  </r>
  <r>
    <s v="KSY"/>
    <s v="Rachel"/>
    <s v="E"/>
    <s v="Neri"/>
    <s v=""/>
    <s v=""/>
    <s v="Kemenah, Greg"/>
    <s v="KSY211766"/>
    <s v="rneri@onebarnes.com"/>
    <s v="neri.rachel14@gmail.com"/>
    <s v="Supv, CI"/>
    <d v="2025-06-24T00:00:00"/>
    <m/>
    <m/>
    <s v="Active"/>
    <s v="212129"/>
    <s v="Monthly"/>
    <s v="Full Time"/>
    <s v="088"/>
    <s v="088-AS Raymond"/>
    <s v="Inside Sales"/>
    <s v="008100"/>
    <s v="AS Raymond"/>
    <s v=""/>
    <s v=""/>
    <s v="USA"/>
    <s v="S15"/>
    <s v="FMG-S15"/>
    <s v="211766"/>
    <s v="0088"/>
    <n v="8100"/>
    <s v="Default"/>
    <s v="General"/>
    <s v="US"/>
    <s v="en_US"/>
    <s v="USD"/>
    <s v=""/>
    <s v="Y"/>
    <s v=""/>
    <m/>
    <x v="107"/>
    <x v="2"/>
    <s v="211766"/>
    <b v="1"/>
  </r>
  <r>
    <s v="KSX"/>
    <s v="Shannon"/>
    <s v="K"/>
    <s v="O'Day"/>
    <s v=""/>
    <s v=""/>
    <s v="Burchell, Mathew"/>
    <s v="KSY211756"/>
    <s v="soday@onebarnes.com"/>
    <s v="shannonod68@gmail.com"/>
    <s v="Assistant, Warehouse II"/>
    <d v="2007-09-04T00:00:00"/>
    <m/>
    <m/>
    <s v="Active"/>
    <s v="663830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108"/>
    <x v="0"/>
    <s v="211756"/>
    <b v="1"/>
  </r>
  <r>
    <s v="V0U"/>
    <s v="Kevin"/>
    <s v="D"/>
    <s v="OConnor"/>
    <s v=""/>
    <s v=""/>
    <s v="Wilkins, William"/>
    <s v="V0U901934"/>
    <s v="koconnor@onebarnes.com"/>
    <s v="koconnor2020@gmail.com"/>
    <s v="Mgr, Account Sls/Serv II"/>
    <d v="2025-10-23T00:00:00"/>
    <m/>
    <m/>
    <s v="Active"/>
    <s v="212678"/>
    <s v="Monthly"/>
    <s v="Full Time"/>
    <s v="025"/>
    <s v="025-NGP Hyson Products"/>
    <s v="Outside Sales"/>
    <s v="000820"/>
    <s v="Hyson Products"/>
    <s v=""/>
    <s v=""/>
    <s v="USA"/>
    <s v="S16"/>
    <s v="FMG-S16"/>
    <s v="901934"/>
    <s v="0096"/>
    <n v="820"/>
    <s v="Default"/>
    <s v="General"/>
    <s v="US"/>
    <s v="en_US"/>
    <s v="USD"/>
    <s v=""/>
    <s v="Y"/>
    <s v=""/>
    <m/>
    <x v="109"/>
    <x v="8"/>
    <s v="901934"/>
    <b v="1"/>
  </r>
  <r>
    <s v="V0U"/>
    <s v="Laura"/>
    <s v="Z"/>
    <s v="Oleksa"/>
    <s v=""/>
    <s v=""/>
    <s v="Adewalure, Babatunde"/>
    <s v=""/>
    <s v="LOleksa@onebarnes.com"/>
    <s v="lzoleksa13@gmail.com"/>
    <s v="Mgr, HR III"/>
    <d v="2022-10-03T00:00:00"/>
    <m/>
    <m/>
    <s v="Active"/>
    <s v="209181"/>
    <s v="Monthly"/>
    <s v="Full Time"/>
    <s v="025"/>
    <s v="025-NGP Hyson Products"/>
    <s v="Human Resources 9210 9210"/>
    <s v="000920"/>
    <s v="Hyson Products"/>
    <s v=""/>
    <s v=""/>
    <s v="USA"/>
    <s v="S17"/>
    <s v="FMG-S17"/>
    <s v=""/>
    <s v="0096"/>
    <s v="0007"/>
    <s v="Default"/>
    <s v="General"/>
    <s v="US"/>
    <s v="en_US"/>
    <s v="USD"/>
    <s v=""/>
    <s v="Y"/>
    <s v=""/>
    <m/>
    <x v="110"/>
    <x v="24"/>
    <s v="No Reports to Name"/>
    <b v="0"/>
  </r>
  <r>
    <s v="KSY"/>
    <s v="Kyle"/>
    <s v=""/>
    <s v="Outhouse"/>
    <s v=""/>
    <s v=""/>
    <s v=""/>
    <s v="KSY212699"/>
    <s v="KOuthouse@onebarnes.com"/>
    <s v=""/>
    <s v="Mgr, Purchasing I"/>
    <d v="2023-02-13T00:00:00"/>
    <d v="2026-07-10T00:00:00"/>
    <m/>
    <s v="Terminated"/>
    <s v="209634"/>
    <s v="Monthly"/>
    <s v="Full Time"/>
    <s v="088"/>
    <s v="088-AS Raymond"/>
    <s v="Admin-Material Management"/>
    <s v="009400"/>
    <s v="Work from home - Iowa"/>
    <s v=""/>
    <s v=""/>
    <s v="USA"/>
    <s v="S15"/>
    <s v="FMG-S15"/>
    <s v="212699"/>
    <s v="0088"/>
    <n v="9400"/>
    <s v="Default"/>
    <s v="General"/>
    <s v="US"/>
    <s v="en_US"/>
    <s v="USD"/>
    <s v=""/>
    <s v="N"/>
    <s v="20260710"/>
    <s v="Fix and Include Record"/>
    <x v="111"/>
    <x v="5"/>
    <s v="No Reports to Name"/>
    <b v="0"/>
  </r>
  <r>
    <s v="KSX"/>
    <s v="David"/>
    <s v="J"/>
    <s v="Page"/>
    <s v=""/>
    <s v=""/>
    <s v="Bate, Natalie"/>
    <s v="V0U213037"/>
    <s v="dpage@onebarnes.com"/>
    <s v="davidjpage@sbcglobal.net"/>
    <s v="Mgr, Project II"/>
    <d v="2025-11-03T00:00:00"/>
    <m/>
    <m/>
    <s v="Active"/>
    <s v="212725"/>
    <s v="Biweekly"/>
    <s v="Part Time"/>
    <s v="088"/>
    <s v="088-AS Raymond"/>
    <s v="Admin-Engineering"/>
    <s v="009450"/>
    <s v="AS Raymond"/>
    <s v=""/>
    <s v=""/>
    <s v="USA"/>
    <s v="S16"/>
    <s v="FMG-S16"/>
    <s v="213037"/>
    <s v="0088"/>
    <n v="9450"/>
    <s v="Default"/>
    <s v="General"/>
    <s v="US"/>
    <s v="en_US"/>
    <s v="USD"/>
    <s v=""/>
    <s v="Y"/>
    <s v=""/>
    <m/>
    <x v="112"/>
    <x v="11"/>
    <s v="213037"/>
    <b v="1"/>
  </r>
  <r>
    <s v="KSY"/>
    <s v="Alex"/>
    <s v=""/>
    <s v="Palicki"/>
    <s v=""/>
    <s v=""/>
    <s v="Creager, Andrew"/>
    <s v="KSY212699"/>
    <s v="apalicki@onebarnes.com"/>
    <s v="alexpalicki4@gmail.com"/>
    <s v="Buyer III"/>
    <d v="2025-06-23T00:00:00"/>
    <m/>
    <m/>
    <s v="Active"/>
    <s v="212119"/>
    <s v="Monthly"/>
    <s v="Full Time"/>
    <s v="088"/>
    <s v="088-AS Raymond"/>
    <s v="Admin-Material Management"/>
    <s v="009400"/>
    <s v="AS Raymond"/>
    <s v=""/>
    <s v=""/>
    <s v="USA"/>
    <s v="S13"/>
    <s v="FMG-S13"/>
    <s v="212699"/>
    <s v="0088"/>
    <n v="9400"/>
    <s v="Default"/>
    <s v="General"/>
    <s v="US"/>
    <s v="en_US"/>
    <s v="USD"/>
    <s v=""/>
    <s v="Y"/>
    <s v=""/>
    <m/>
    <x v="113"/>
    <x v="22"/>
    <s v="212699"/>
    <b v="1"/>
  </r>
  <r>
    <s v="KSX"/>
    <s v="Linette"/>
    <s v="W"/>
    <s v="Parks"/>
    <s v=""/>
    <s v=""/>
    <s v="Rafferty, Jonathan"/>
    <s v="KSY211131"/>
    <s v="Lparks@onebarnes.com"/>
    <s v="linetteparks914@gmail.com"/>
    <s v="Rep, Customer Service III"/>
    <d v="2026-08-03T00:00:00"/>
    <m/>
    <m/>
    <s v="Active"/>
    <s v="902690"/>
    <s v="Biweekly"/>
    <s v="Full Time"/>
    <s v="088"/>
    <s v="088-AS Raymond"/>
    <s v="Inside Sales"/>
    <s v="008100"/>
    <s v="AS Raymond"/>
    <s v=""/>
    <s v=""/>
    <s v="USA"/>
    <s v="S11"/>
    <s v="FMG-S11"/>
    <s v="211131"/>
    <s v="0088"/>
    <n v="8100"/>
    <s v="Default"/>
    <s v="General"/>
    <s v="US"/>
    <s v="en_US"/>
    <s v="USD"/>
    <s v=""/>
    <s v="Y"/>
    <s v=""/>
    <m/>
    <x v="114"/>
    <x v="17"/>
    <s v="211131"/>
    <b v="1"/>
  </r>
  <r>
    <s v="KSY"/>
    <s v="Shivam"/>
    <s v=""/>
    <s v="Patel"/>
    <s v=""/>
    <s v=""/>
    <s v="Creager, Andrew"/>
    <s v="KSY212699"/>
    <s v="spatel@onebarnes.com"/>
    <s v="patel.shivam2511@gmail.com"/>
    <s v="Buyer II"/>
    <d v="2020-01-06T00:00:00"/>
    <m/>
    <m/>
    <s v="Active"/>
    <s v="201903"/>
    <s v="Monthly"/>
    <s v="Full Time"/>
    <s v="088"/>
    <s v="088-AS Raymond"/>
    <s v="Admin-Material Management"/>
    <s v="009400"/>
    <s v="AS Raymond"/>
    <s v=""/>
    <s v=""/>
    <s v="USA"/>
    <s v="S12"/>
    <s v="FMG-S12"/>
    <s v="212699"/>
    <s v="0088"/>
    <n v="9400"/>
    <s v="Default"/>
    <s v="General"/>
    <s v="US"/>
    <s v="en_US"/>
    <s v="USD"/>
    <s v=""/>
    <s v="Y"/>
    <s v=""/>
    <m/>
    <x v="115"/>
    <x v="22"/>
    <s v="212699"/>
    <b v="1"/>
  </r>
  <r>
    <s v="KSW"/>
    <s v="Shawn"/>
    <s v=""/>
    <s v="Patterson"/>
    <s v=""/>
    <s v=""/>
    <s v="Steen, Michael"/>
    <s v="V0U211062"/>
    <s v=""/>
    <s v="shawndpatterson@yahoo.com"/>
    <s v="Machinist B"/>
    <d v="2002-02-05T00:00:00"/>
    <m/>
    <m/>
    <s v="Active"/>
    <s v="006820"/>
    <s v="Biweekly"/>
    <s v="Full Time"/>
    <s v="025"/>
    <s v="025-NGP Hyson Products"/>
    <s v="Edgework- Hyson"/>
    <s v="000350"/>
    <s v="Hyson Products"/>
    <s v=""/>
    <s v=""/>
    <s v="USA"/>
    <s v="H07"/>
    <s v="FMG-H07"/>
    <s v="211062"/>
    <s v="0096"/>
    <n v="350"/>
    <s v="Default"/>
    <s v="General"/>
    <s v="US"/>
    <s v="en_US"/>
    <s v="USD"/>
    <s v=""/>
    <s v="Y"/>
    <s v=""/>
    <m/>
    <x v="116"/>
    <x v="9"/>
    <s v="211062"/>
    <b v="1"/>
  </r>
  <r>
    <s v="KSX"/>
    <s v="Joshua"/>
    <s v="S"/>
    <s v="Paulsen"/>
    <s v=""/>
    <s v=""/>
    <s v="LaPlante, Derek"/>
    <s v="KSY211736"/>
    <s v="jpaulsen@onebarnes.com"/>
    <s v="tagjosh36@gmail.com"/>
    <s v="Assistant, Warehouse II"/>
    <d v="2013-05-13T00:00:00"/>
    <m/>
    <m/>
    <s v="Active"/>
    <s v="900851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117"/>
    <x v="3"/>
    <s v="211736"/>
    <b v="1"/>
  </r>
  <r>
    <s v="KSY"/>
    <s v="Carol"/>
    <s v=""/>
    <s v="Phillips"/>
    <s v=""/>
    <s v=""/>
    <s v="Rodriguez, Siobhan"/>
    <s v="V0U207588"/>
    <s v="cphillips1@onebarnes.com"/>
    <s v="cphillips1226@icloud.com"/>
    <s v="Mgr, Sales "/>
    <d v="2025-09-09T00:00:00"/>
    <m/>
    <m/>
    <s v="Active"/>
    <s v="212478"/>
    <s v="Monthly"/>
    <s v="Full Time"/>
    <s v="088"/>
    <s v="088-AS Raymond"/>
    <s v="Outside Sales"/>
    <s v="008200"/>
    <s v="Works from home - Ohio"/>
    <s v=""/>
    <s v=""/>
    <s v="USA"/>
    <s v="S16"/>
    <s v="FMG-S16"/>
    <s v="207588"/>
    <s v="0088"/>
    <n v="8200"/>
    <s v="Default"/>
    <s v="General"/>
    <s v="US"/>
    <s v="en_US"/>
    <s v="USD"/>
    <s v=""/>
    <s v="Y"/>
    <s v=""/>
    <m/>
    <x v="118"/>
    <x v="1"/>
    <s v="212338"/>
    <b v="0"/>
  </r>
  <r>
    <s v="V0U"/>
    <s v="Chad"/>
    <s v=""/>
    <s v="Phillips"/>
    <s v=""/>
    <s v=""/>
    <s v="Wilkins, William"/>
    <s v="V0U901934"/>
    <s v="cphillips@onebarnes.com"/>
    <s v="phillipsx2@verizon.net"/>
    <s v="Mgr, Sales "/>
    <d v="2023-11-13T00:00:00"/>
    <d v="2026-08-14T00:00:00"/>
    <m/>
    <s v="Terminated"/>
    <s v="210402"/>
    <s v="Monthly"/>
    <s v="Full Time"/>
    <s v="025"/>
    <s v="025-NGP Hyson Products"/>
    <s v="Outside Sales"/>
    <s v="000820"/>
    <s v="Hyson Products"/>
    <s v=""/>
    <s v=""/>
    <s v="USA"/>
    <s v="S15"/>
    <s v="FMG-S15"/>
    <s v="901934"/>
    <s v="0096"/>
    <n v="820"/>
    <s v="Default"/>
    <s v="General"/>
    <s v="US"/>
    <s v="en_US"/>
    <s v="USD"/>
    <s v=""/>
    <s v="N"/>
    <s v="20260814"/>
    <s v="Fix and Include Record"/>
    <x v="119"/>
    <x v="8"/>
    <s v="901934"/>
    <b v="1"/>
  </r>
  <r>
    <s v="KSX"/>
    <s v="William"/>
    <s v=""/>
    <s v="Phoenix"/>
    <s v=""/>
    <s v=""/>
    <s v="LaPlante, Derek"/>
    <s v="KSY211736"/>
    <s v="wphoenix1@onebarnes.com"/>
    <s v="w.phoenix365@gmail.com"/>
    <s v="Assistant, Warehouse II"/>
    <d v="2024-10-28T00:00:00"/>
    <m/>
    <m/>
    <s v="Active"/>
    <s v="211531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120"/>
    <x v="3"/>
    <s v="211736"/>
    <b v="1"/>
  </r>
  <r>
    <s v="KSY"/>
    <s v="Zachary"/>
    <s v=""/>
    <s v="Plotts"/>
    <s v=""/>
    <s v=""/>
    <s v="Creager, Andrew"/>
    <s v="KSY212699"/>
    <s v="zplotts@onebarnes.com"/>
    <s v="zplotts2017@gmail.com"/>
    <s v="Buyer III"/>
    <d v="2020-01-06T00:00:00"/>
    <m/>
    <m/>
    <s v="Active"/>
    <s v="201895"/>
    <s v="Monthly"/>
    <s v="Full Time"/>
    <s v="088"/>
    <s v="088-AS Raymond"/>
    <s v="Admin-Material Management"/>
    <s v="009400"/>
    <s v="AS Raymond"/>
    <s v=""/>
    <s v=""/>
    <s v="USA"/>
    <s v="S13"/>
    <s v="FMG-S13"/>
    <s v="212699"/>
    <s v="0088"/>
    <n v="9400"/>
    <s v="Default"/>
    <s v="General"/>
    <s v="US"/>
    <s v="en_US"/>
    <s v="USD"/>
    <s v=""/>
    <s v="Y"/>
    <s v=""/>
    <m/>
    <x v="121"/>
    <x v="22"/>
    <s v="212699"/>
    <b v="1"/>
  </r>
  <r>
    <s v="V0U"/>
    <s v="Robert"/>
    <s v=""/>
    <s v="Prosowski"/>
    <s v=""/>
    <s v=""/>
    <s v="Bate, Natalie"/>
    <s v="V0U213037"/>
    <s v="rprosowski@onebarnes.com"/>
    <s v=""/>
    <s v="Engineer, Design II"/>
    <d v="2021-11-29T00:00:00"/>
    <m/>
    <m/>
    <s v="Active"/>
    <s v="206738"/>
    <s v="Monthly"/>
    <s v="Full Time"/>
    <s v="025"/>
    <s v="025-NGP Hyson Products"/>
    <s v="Engineering"/>
    <s v="000718"/>
    <s v="Hyson Products"/>
    <s v=""/>
    <s v=""/>
    <s v="USA"/>
    <s v="S13"/>
    <s v="FMG-S13"/>
    <s v="213037"/>
    <s v="0096"/>
    <n v="718"/>
    <s v="Default"/>
    <s v="General"/>
    <s v="US"/>
    <s v="en_US"/>
    <s v="USD"/>
    <s v=""/>
    <s v="Y"/>
    <s v=""/>
    <m/>
    <x v="122"/>
    <x v="11"/>
    <s v="213037"/>
    <b v="1"/>
  </r>
  <r>
    <s v="KSY"/>
    <s v="Jeff"/>
    <s v=""/>
    <s v="Raese"/>
    <s v=""/>
    <s v=""/>
    <s v="Rodriguez, Siobhan"/>
    <s v="V0U207588"/>
    <s v="jraese@onebarnes.com"/>
    <s v="jraese@hotmail.com"/>
    <s v="Mgr, Sales I "/>
    <d v="2023-07-06T00:00:00"/>
    <m/>
    <m/>
    <s v="Active"/>
    <s v="210018"/>
    <s v="Monthly"/>
    <s v="Full Time"/>
    <s v="088"/>
    <s v="088-AS Raymond"/>
    <s v="Outside Sales"/>
    <s v="008200"/>
    <s v="Works from home - Ohio"/>
    <s v=""/>
    <s v=""/>
    <s v="USA"/>
    <s v="S16"/>
    <s v="FMG-S16"/>
    <s v="207588"/>
    <s v="0088"/>
    <n v="8200"/>
    <s v="Default"/>
    <s v="General"/>
    <s v="US"/>
    <s v="en_US"/>
    <s v="USD"/>
    <s v=""/>
    <s v="Y"/>
    <s v=""/>
    <m/>
    <x v="123"/>
    <x v="1"/>
    <s v="212338"/>
    <b v="0"/>
  </r>
  <r>
    <s v="V0U"/>
    <s v="Jonathan"/>
    <s v=""/>
    <s v="Rafferty"/>
    <s v=""/>
    <s v=""/>
    <s v=""/>
    <s v=""/>
    <s v="jrafferty@onebarnes.com"/>
    <s v=""/>
    <s v="Mgr, Customer Service III"/>
    <d v="2024-07-01T00:00:00"/>
    <d v="2026-06-02T00:00:00"/>
    <m/>
    <s v="Terminated"/>
    <s v="211131"/>
    <s v="Monthly"/>
    <s v="Full Time"/>
    <s v="088"/>
    <s v="088-AS Raymond"/>
    <s v="Customer Service"/>
    <s v="000002"/>
    <s v="AS Raymond"/>
    <s v=""/>
    <s v=""/>
    <s v="USA"/>
    <s v="S16"/>
    <s v="FMG-S16"/>
    <s v=""/>
    <s v="0088"/>
    <s v="Home Department Code Not Mapped"/>
    <s v="Default"/>
    <s v="General"/>
    <s v="US"/>
    <s v="en_US"/>
    <s v="USD"/>
    <s v=""/>
    <s v="N"/>
    <s v="20260602"/>
    <s v="Exclude record termination over 45 days ago"/>
    <x v="124"/>
    <x v="5"/>
    <s v="No Reports to Name"/>
    <b v="0"/>
  </r>
  <r>
    <s v="KSY"/>
    <s v="Jonathan"/>
    <s v=""/>
    <s v="Rafferty"/>
    <s v=""/>
    <s v=""/>
    <s v="Kemenah, Greg"/>
    <s v="KSY211766"/>
    <s v="jrafferty@onebarnes.com"/>
    <s v=""/>
    <s v="Mgr, Customer Service III"/>
    <d v="2024-07-01T00:00:00"/>
    <m/>
    <m/>
    <s v="Active"/>
    <s v="211131"/>
    <s v="Monthly"/>
    <s v="Full Time"/>
    <s v="088"/>
    <s v="088-AS Raymond"/>
    <s v="Inside Sales"/>
    <s v="008100"/>
    <s v="AS Raymond"/>
    <s v=""/>
    <s v=""/>
    <s v="USA"/>
    <s v="S16"/>
    <s v="FMG-S16"/>
    <s v="211766"/>
    <s v="0088"/>
    <n v="8100"/>
    <s v="Default"/>
    <s v="General"/>
    <s v="US"/>
    <s v="en_US"/>
    <s v="USD"/>
    <s v=""/>
    <s v="Y"/>
    <s v=""/>
    <m/>
    <x v="124"/>
    <x v="2"/>
    <s v="211766"/>
    <b v="1"/>
  </r>
  <r>
    <s v="KSX"/>
    <s v="Jacqueline"/>
    <s v="M"/>
    <s v="Reed"/>
    <s v=""/>
    <s v=""/>
    <s v="LaPlante, Derek"/>
    <s v="KSY211736"/>
    <s v="jfoggyrobinson@onebarnes.com"/>
    <s v="shower781@yahoo.com"/>
    <s v="Assistant, Warehouse II"/>
    <d v="2023-07-10T00:00:00"/>
    <m/>
    <m/>
    <s v="Active"/>
    <s v="210035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125"/>
    <x v="3"/>
    <s v="211736"/>
    <b v="1"/>
  </r>
  <r>
    <s v="KSX"/>
    <s v="Johnny"/>
    <s v="A"/>
    <s v="Reyes"/>
    <s v=""/>
    <s v=""/>
    <s v="Burchell, Mathew"/>
    <s v="KSY211756"/>
    <s v="jreyes@onebarnes.com"/>
    <s v="jerfy9901@gmail.com"/>
    <s v="Assistant, Warehouse II"/>
    <d v="2025-06-09T00:00:00"/>
    <m/>
    <m/>
    <s v="Active"/>
    <s v="212074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126"/>
    <x v="0"/>
    <s v="211756"/>
    <b v="1"/>
  </r>
  <r>
    <s v="KSX"/>
    <s v="Cassandra"/>
    <s v="G"/>
    <s v="Richards"/>
    <s v=""/>
    <s v=""/>
    <s v="LaPlante, Derek"/>
    <s v="KSY211736"/>
    <s v="crichards@onebarnes.com"/>
    <s v="cassandrarichards13@gmail.com"/>
    <s v="Assistant, Warehouse II"/>
    <d v="2024-02-12T00:00:00"/>
    <d v="2026-08-28T00:00:00"/>
    <m/>
    <s v="Terminated"/>
    <s v="210727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N"/>
    <s v="20260828"/>
    <s v="Fix and Include Record"/>
    <x v="127"/>
    <x v="3"/>
    <s v="211736"/>
    <b v="1"/>
  </r>
  <r>
    <s v=""/>
    <s v="Jill"/>
    <s v=""/>
    <s v="Rockow"/>
    <s v=""/>
    <s v=""/>
    <s v=""/>
    <s v=""/>
    <s v=""/>
    <s v="JMROCKOW@YAHOO.COM"/>
    <s v=""/>
    <d v="2026-01-31T00:00:00"/>
    <d v="2026-02-01T00:00:00"/>
    <m/>
    <s v="Terminated"/>
    <s v=""/>
    <s v="Weekly"/>
    <s v=""/>
    <s v=""/>
    <s v=""/>
    <s v=""/>
    <s v=" "/>
    <s v=""/>
    <s v=""/>
    <s v=""/>
    <s v="USA"/>
    <s v=""/>
    <s v=""/>
    <s v=""/>
    <s v="BU Description Not Mapped"/>
    <s v="Home Department Code Not Mapped"/>
    <s v="Salary Code Not Mapped"/>
    <s v="Salary Code Not Mapped"/>
    <s v="US"/>
    <s v="ADP and BU Language Code Not MappedUS"/>
    <s v="BU Currency Not Mapped"/>
    <s v=""/>
    <s v="N"/>
    <s v="20260201"/>
    <s v="Exclude record termination over 45 days ago"/>
    <x v="128"/>
    <x v="5"/>
    <s v="No Reports to Name"/>
    <b v="0"/>
  </r>
  <r>
    <s v="KSW"/>
    <s v="Ramon"/>
    <s v="A"/>
    <s v="Rodriguez"/>
    <s v=""/>
    <s v=""/>
    <s v="Wallace, Derron"/>
    <s v="V0U211998"/>
    <s v=""/>
    <s v="ramonrodriguez153@yahoo.com"/>
    <s v="Assembler C"/>
    <d v="2025-08-11T00:00:00"/>
    <m/>
    <m/>
    <s v="Leave"/>
    <s v="212338"/>
    <s v="Biweekly"/>
    <s v="Full Time"/>
    <s v="025"/>
    <s v="025-NGP Hyson Products"/>
    <s v="Assembly Hyson"/>
    <s v="000200"/>
    <s v="Hyson Products"/>
    <s v=""/>
    <s v=""/>
    <s v="USA"/>
    <s v="H05"/>
    <s v="FMG-H05"/>
    <s v="211998"/>
    <s v="0096"/>
    <n v="200"/>
    <s v="Default"/>
    <s v="General"/>
    <s v="US"/>
    <s v="en_US"/>
    <s v="USD"/>
    <s v=""/>
    <s v="Y"/>
    <s v=""/>
    <m/>
    <x v="129"/>
    <x v="14"/>
    <s v="211998"/>
    <b v="1"/>
  </r>
  <r>
    <s v="V0U"/>
    <s v="Siobhan"/>
    <s v=""/>
    <s v="Rodriguez"/>
    <s v=""/>
    <s v=""/>
    <s v="Bair, Teresa"/>
    <s v="KSY207709"/>
    <s v="srodriguez@onebarnes.com"/>
    <s v="siobhan3528@gmail.com"/>
    <s v="Dir, Sales I"/>
    <d v="2022-05-16T00:00:00"/>
    <m/>
    <m/>
    <s v="Active"/>
    <s v="207588"/>
    <s v="Monthly"/>
    <s v="Full Time"/>
    <s v="025"/>
    <s v="025-NGP Hyson Products"/>
    <s v="Outside Sales"/>
    <s v="000820"/>
    <s v="Hyson Products"/>
    <s v=""/>
    <s v=""/>
    <s v="USA"/>
    <s v="S18"/>
    <s v="FMG-S18"/>
    <s v="207709"/>
    <s v="0096"/>
    <n v="820"/>
    <s v="Default"/>
    <s v="General"/>
    <s v="US"/>
    <s v="en_US"/>
    <s v="USD"/>
    <s v=""/>
    <s v="Y"/>
    <s v=""/>
    <m/>
    <x v="130"/>
    <x v="6"/>
    <s v="207709"/>
    <b v="1"/>
  </r>
  <r>
    <s v="KSY"/>
    <s v="Wayne"/>
    <s v="A"/>
    <s v="Rogers"/>
    <s v=""/>
    <s v=""/>
    <s v="Bailey, Jason"/>
    <s v="KSY211464"/>
    <s v="wrogers@onebarnes.com"/>
    <s v="wrogers@onebarnes.com"/>
    <s v="Supv, Warehouse I"/>
    <d v="2022-04-04T00:00:00"/>
    <m/>
    <m/>
    <s v="Active"/>
    <s v="207487"/>
    <s v="Monthly"/>
    <s v="Full Time"/>
    <s v="088"/>
    <s v="088-AS Raymond"/>
    <s v="FG Warehouse"/>
    <s v="005200"/>
    <s v="AS Raymond"/>
    <s v=""/>
    <s v=""/>
    <s v="USA"/>
    <s v="S11"/>
    <s v="FMG-S11"/>
    <s v="211464"/>
    <s v="0088"/>
    <n v="5200"/>
    <s v="Default"/>
    <s v="General"/>
    <s v="US"/>
    <s v="en_US"/>
    <s v="USD"/>
    <s v=""/>
    <s v="Y"/>
    <s v=""/>
    <m/>
    <x v="131"/>
    <x v="7"/>
    <s v="902688"/>
    <b v="0"/>
  </r>
  <r>
    <s v="KSX"/>
    <s v="DayShawn"/>
    <s v=""/>
    <s v="Rome"/>
    <s v=""/>
    <s v=""/>
    <s v=""/>
    <s v="KSY207487"/>
    <s v=""/>
    <s v="dayshawnrome16@yahoo.com"/>
    <s v="Assistant, Warehouse II"/>
    <d v="2026-06-17T00:00:00"/>
    <d v="2026-07-02T00:00:00"/>
    <m/>
    <s v="Terminated"/>
    <s v=""/>
    <s v="Biweekly"/>
    <s v="Temporary"/>
    <s v="088"/>
    <s v="088-AS Raymond"/>
    <s v="FG Warehouse"/>
    <s v="005200"/>
    <s v="AS Raymond"/>
    <s v=""/>
    <s v=""/>
    <s v="USA"/>
    <s v="S05"/>
    <s v="FMG-S05"/>
    <s v="207487"/>
    <s v="0088"/>
    <n v="5200"/>
    <s v="Default"/>
    <s v="General"/>
    <s v="US"/>
    <s v="en_US"/>
    <s v="USD"/>
    <s v=""/>
    <s v="N"/>
    <s v="20260702"/>
    <s v="Exclude record termination over 45 days ago"/>
    <x v="132"/>
    <x v="5"/>
    <s v="No Reports to Name"/>
    <b v="0"/>
  </r>
  <r>
    <s v="KSY"/>
    <s v="Gwendolyn"/>
    <s v="L"/>
    <s v="Rome"/>
    <s v=""/>
    <s v=""/>
    <s v="Warner, Dwight"/>
    <s v="V0U008750"/>
    <s v="grome@onebarnes.com"/>
    <s v="gwenlr2013@gmail.com"/>
    <s v="Analyst, Shared Services"/>
    <d v="2000-01-10T00:00:00"/>
    <m/>
    <d v="2026-04-07T00:00:00"/>
    <s v="Active"/>
    <s v="007647"/>
    <s v="Monthly"/>
    <s v="Full Time"/>
    <s v="088"/>
    <s v="088-AS Raymond"/>
    <s v="Finance General"/>
    <s v="009100"/>
    <s v="AS Raymond"/>
    <s v=""/>
    <s v=""/>
    <s v="USA"/>
    <s v="S11"/>
    <s v="FMG-S11"/>
    <s v="008750"/>
    <s v="0088"/>
    <n v="9100"/>
    <s v="Default"/>
    <s v="General"/>
    <s v="US"/>
    <s v="en_US"/>
    <s v="USD"/>
    <s v=""/>
    <s v="Y"/>
    <s v=""/>
    <m/>
    <x v="133"/>
    <x v="4"/>
    <s v="008750"/>
    <b v="1"/>
  </r>
  <r>
    <s v="KSW"/>
    <s v="Matthew"/>
    <s v="J"/>
    <s v="Said"/>
    <s v=""/>
    <s v=""/>
    <s v="Steen, Michael"/>
    <s v="V0U211062"/>
    <s v=""/>
    <s v="mrvarsity78@gmail.com"/>
    <s v="Machinist B"/>
    <d v="2004-06-01T00:00:00"/>
    <m/>
    <m/>
    <s v="Active"/>
    <s v="004374"/>
    <s v="Biweekly"/>
    <s v="Full Time"/>
    <s v="025"/>
    <s v="025-NGP Hyson Products"/>
    <s v="CNC Lathe Hyson"/>
    <s v="000100"/>
    <s v="Hyson Products"/>
    <s v=""/>
    <s v=""/>
    <s v="USA"/>
    <s v="H06"/>
    <s v="FMG-H06"/>
    <s v="211062"/>
    <s v="0096"/>
    <n v="100"/>
    <s v="Default"/>
    <s v="General"/>
    <s v="US"/>
    <s v="en_US"/>
    <s v="USD"/>
    <s v=""/>
    <s v="Y"/>
    <s v=""/>
    <m/>
    <x v="134"/>
    <x v="9"/>
    <s v="211062"/>
    <b v="1"/>
  </r>
  <r>
    <s v="KSX"/>
    <s v="Christopher"/>
    <s v="D"/>
    <s v="Sanderson"/>
    <s v=""/>
    <s v=""/>
    <s v="Rogers, Wayne"/>
    <s v="KSY207487"/>
    <s v=""/>
    <s v="sandecd@gmail.com"/>
    <s v="Assistant, Warehouse II"/>
    <d v="2026-03-23T00:00:00"/>
    <m/>
    <m/>
    <s v="Active"/>
    <s v="213091"/>
    <s v="Biweekly"/>
    <s v="Full Time"/>
    <s v="088"/>
    <s v="088-AS Raymond"/>
    <s v="FG Warehouse"/>
    <s v="005200"/>
    <s v="AS Raymond"/>
    <s v=""/>
    <s v=""/>
    <s v="USA"/>
    <s v="S05"/>
    <s v="FMG-S05"/>
    <s v="207487"/>
    <s v="0088"/>
    <n v="5200"/>
    <s v="Default"/>
    <s v="General"/>
    <s v="US"/>
    <s v="en_US"/>
    <s v="USD"/>
    <s v=""/>
    <s v="Y"/>
    <s v=""/>
    <m/>
    <x v="135"/>
    <x v="15"/>
    <s v="207487"/>
    <b v="1"/>
  </r>
  <r>
    <s v="V0U"/>
    <s v="Richard"/>
    <s v=""/>
    <s v="Sasak"/>
    <s v=""/>
    <s v=""/>
    <s v="Bate, Natalie"/>
    <s v="V0U213037"/>
    <s v="RXSasak@onebarnes.com"/>
    <s v=""/>
    <s v="Engineer, Application II"/>
    <d v="2012-05-23T00:00:00"/>
    <m/>
    <m/>
    <s v="Active"/>
    <s v="900439"/>
    <s v="Monthly"/>
    <s v="Full Time"/>
    <s v="025"/>
    <s v="025-NGP Hyson Products"/>
    <s v="Engineering"/>
    <s v="000718"/>
    <s v="Hyson Products"/>
    <s v=""/>
    <s v=""/>
    <s v="USA"/>
    <s v="S14"/>
    <s v="FMG-S14"/>
    <s v="213037"/>
    <s v="0096"/>
    <n v="718"/>
    <s v="Default"/>
    <s v="General"/>
    <s v="US"/>
    <s v="en_US"/>
    <s v="USD"/>
    <s v=""/>
    <s v="Y"/>
    <s v=""/>
    <m/>
    <x v="136"/>
    <x v="11"/>
    <s v="213037"/>
    <b v="1"/>
  </r>
  <r>
    <s v="KSX"/>
    <s v="Heather"/>
    <s v="A"/>
    <s v="Schmidt"/>
    <s v=""/>
    <s v=""/>
    <s v="LaPlante, Derek"/>
    <s v="KSY211736"/>
    <s v="hschmidt2@onebarnes.com"/>
    <s v=""/>
    <s v="Assistant, Warehouse"/>
    <d v="2023-07-31T00:00:00"/>
    <m/>
    <m/>
    <s v="Active"/>
    <s v="210127"/>
    <s v="Biweekly"/>
    <s v="Full Time"/>
    <s v="088"/>
    <s v="088-AS Raymond"/>
    <s v="FG Warehouse"/>
    <s v="005200"/>
    <s v="AS Raymond"/>
    <s v=""/>
    <s v=""/>
    <s v="USA"/>
    <s v="S08"/>
    <s v="FMG-S08"/>
    <s v="211736"/>
    <s v="0088"/>
    <n v="5200"/>
    <s v="Default"/>
    <s v="General"/>
    <s v="US"/>
    <s v="en_US"/>
    <s v="USD"/>
    <s v=""/>
    <s v="Y"/>
    <s v=""/>
    <m/>
    <x v="137"/>
    <x v="3"/>
    <s v="211736"/>
    <b v="1"/>
  </r>
  <r>
    <s v="KSY"/>
    <s v="Timothy"/>
    <s v="R"/>
    <s v="Seksinsky"/>
    <s v=""/>
    <s v=""/>
    <s v=""/>
    <s v=""/>
    <s v="tseksinsky@onebarnes.com"/>
    <s v=""/>
    <s v="Mgr, Sales "/>
    <d v="2025-08-26T00:00:00"/>
    <d v="2026-06-02T00:00:00"/>
    <d v="2026-06-02T00:00:00"/>
    <s v="Terminated"/>
    <s v="212421"/>
    <s v="Monthly"/>
    <s v="Full Time"/>
    <s v="088"/>
    <s v="088-AS Raymond"/>
    <s v="Outside Sales"/>
    <s v="008200"/>
    <s v="Work from home -North Carolina"/>
    <s v=""/>
    <s v=""/>
    <s v="USA"/>
    <s v="S16"/>
    <s v="FMG-S16"/>
    <s v=""/>
    <s v="0088"/>
    <n v="8200"/>
    <s v="Default"/>
    <s v="General"/>
    <s v="US"/>
    <s v="en_US"/>
    <s v="USD"/>
    <s v=""/>
    <s v="N"/>
    <s v="20260602"/>
    <s v="Fix and Include Record"/>
    <x v="138"/>
    <x v="5"/>
    <s v="No Reports to Name"/>
    <b v="0"/>
  </r>
  <r>
    <s v="KSX"/>
    <s v="Asia"/>
    <s v=""/>
    <s v="Sexton"/>
    <s v=""/>
    <s v=""/>
    <s v="Burchell, Mathew"/>
    <s v="KSY211756"/>
    <s v=""/>
    <s v="asexton@yahoo.com"/>
    <s v="Assistant, Warehouse II"/>
    <d v="2026-06-17T00:00:00"/>
    <d v="2026-08-17T00:00:00"/>
    <m/>
    <s v="Terminated"/>
    <s v=""/>
    <s v="Biweekly"/>
    <s v="Temporary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N"/>
    <s v="20260817"/>
    <s v="Fix and Include Record"/>
    <x v="139"/>
    <x v="0"/>
    <s v="211756"/>
    <b v="1"/>
  </r>
  <r>
    <s v="KSX"/>
    <s v="Roger"/>
    <s v="L"/>
    <s v="Shook"/>
    <s v=""/>
    <s v=""/>
    <s v="Burchell, Mathew"/>
    <s v="KSY211756"/>
    <s v="rshook@onebarnes.com"/>
    <s v="rls151@aol.com"/>
    <s v="Assistant, Warehouse II"/>
    <d v="2022-03-28T00:00:00"/>
    <m/>
    <m/>
    <s v="Leave"/>
    <s v="207466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140"/>
    <x v="0"/>
    <s v="211756"/>
    <b v="1"/>
  </r>
  <r>
    <s v="KSX"/>
    <s v="Momika"/>
    <s v=""/>
    <s v="Smith"/>
    <s v=""/>
    <s v=""/>
    <s v="LaPlante, Derek"/>
    <s v="KSY211736"/>
    <s v="msmith@onebarnes.com"/>
    <s v="momika1@gmx.com"/>
    <s v="Assistant, Warehouse II"/>
    <d v="2023-09-18T00:00:00"/>
    <m/>
    <m/>
    <s v="Active"/>
    <s v="210281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141"/>
    <x v="3"/>
    <s v="211736"/>
    <b v="1"/>
  </r>
  <r>
    <s v="V0U"/>
    <s v="Michael"/>
    <s v=""/>
    <s v="Steen"/>
    <s v=""/>
    <s v=""/>
    <s v="Gang, Terry"/>
    <s v="V0U006780"/>
    <s v="msteen@onebarnes.com"/>
    <s v="Steener1964@gmail.com"/>
    <s v="Supv, Production III"/>
    <d v="2024-06-10T00:00:00"/>
    <m/>
    <m/>
    <s v="Active"/>
    <s v="211062"/>
    <s v="Monthly"/>
    <s v="Full Time"/>
    <s v="025"/>
    <s v="025-NGP Hyson Products"/>
    <s v="Factory Super-Hyson"/>
    <s v="000515"/>
    <s v="Hyson Products"/>
    <s v=""/>
    <s v=""/>
    <s v="USA"/>
    <s v="S14"/>
    <s v="FMG-S14"/>
    <s v="006780"/>
    <s v="0096"/>
    <n v="515"/>
    <s v="Default"/>
    <s v="General"/>
    <s v="US"/>
    <s v="en_US"/>
    <s v="USD"/>
    <s v=""/>
    <s v="Y"/>
    <s v=""/>
    <m/>
    <x v="142"/>
    <x v="19"/>
    <s v="006780"/>
    <b v="1"/>
  </r>
  <r>
    <s v="KSY"/>
    <s v="James"/>
    <s v=""/>
    <s v="Stefancin"/>
    <s v=""/>
    <s v=""/>
    <s v="Valetta, David"/>
    <s v="V0U211601"/>
    <s v="jstefancin@onebarnes.com"/>
    <s v="jimstefancin@gmail.com"/>
    <s v="Mgr, Supply Chain III"/>
    <d v="2025-07-02T00:00:00"/>
    <d v="2026-08-01T00:00:00"/>
    <m/>
    <s v="Terminated"/>
    <s v="212191"/>
    <s v="Monthly"/>
    <s v="Full Time"/>
    <s v="088"/>
    <s v="088-AS Raymond"/>
    <s v="Admin-Material Management"/>
    <s v="009400"/>
    <s v="Work from home - Ohio - New"/>
    <s v=""/>
    <s v=""/>
    <s v="USA"/>
    <s v="S17"/>
    <s v="FMG-S17"/>
    <s v="211601"/>
    <s v="0088"/>
    <n v="9400"/>
    <s v="Default"/>
    <s v="General"/>
    <s v="US"/>
    <s v="en_US"/>
    <s v="USD"/>
    <s v=""/>
    <s v="N"/>
    <s v="20260801"/>
    <s v="Exclude record termination over 45 days ago"/>
    <x v="143"/>
    <x v="12"/>
    <s v="211601"/>
    <b v="1"/>
  </r>
  <r>
    <s v="V0U"/>
    <s v="James"/>
    <s v=""/>
    <s v="Stefancin"/>
    <s v=""/>
    <s v=""/>
    <s v="Bate, Natalie"/>
    <s v="V0U213037"/>
    <s v="jstefancin@onebarnes.com"/>
    <s v="jimstefancin@gmail.com"/>
    <s v="Mgr, Supply Chain III"/>
    <d v="2025-07-02T00:00:00"/>
    <m/>
    <m/>
    <s v="Active"/>
    <s v="212191"/>
    <s v="Monthly"/>
    <s v="Full Time"/>
    <s v="025"/>
    <s v="025-NGP Hyson Products"/>
    <s v="Administration"/>
    <s v="000917"/>
    <s v="Works from home - Ohio"/>
    <s v=""/>
    <s v=""/>
    <s v="USA"/>
    <s v="S17"/>
    <s v="FMG-S17"/>
    <s v="213037"/>
    <s v="0096"/>
    <s v="0007"/>
    <s v="Default"/>
    <s v="General"/>
    <s v="US"/>
    <s v="en_US"/>
    <s v="USD"/>
    <s v=""/>
    <s v="Y"/>
    <s v=""/>
    <m/>
    <x v="143"/>
    <x v="11"/>
    <s v="213037"/>
    <b v="1"/>
  </r>
  <r>
    <s v="KSW"/>
    <s v="Marvin"/>
    <s v=""/>
    <s v="Stone"/>
    <s v=""/>
    <s v=""/>
    <s v="Steen, Michael"/>
    <s v="V0U211062"/>
    <s v=""/>
    <s v="skipstone20201@gmail.com"/>
    <s v="Machinist B"/>
    <d v="2002-02-05T00:00:00"/>
    <m/>
    <m/>
    <s v="Active"/>
    <s v="004382"/>
    <s v="Biweekly"/>
    <s v="Full Time"/>
    <s v="025"/>
    <s v="025-NGP Hyson Products"/>
    <s v="CNC Lathe Hyson"/>
    <s v="000100"/>
    <s v="Hyson Products"/>
    <s v=""/>
    <s v=""/>
    <s v="USA"/>
    <s v="H07"/>
    <s v="FMG-H07"/>
    <s v="211062"/>
    <s v="0096"/>
    <n v="100"/>
    <s v="Default"/>
    <s v="General"/>
    <s v="US"/>
    <s v="en_US"/>
    <s v="USD"/>
    <s v=""/>
    <s v="Y"/>
    <s v=""/>
    <m/>
    <x v="144"/>
    <x v="9"/>
    <s v="211062"/>
    <b v="1"/>
  </r>
  <r>
    <s v="KSY"/>
    <s v="Benjamin"/>
    <s v=""/>
    <s v="Sullivan"/>
    <s v=""/>
    <s v=""/>
    <s v="Creager, Andrew"/>
    <s v="KSY212699"/>
    <s v="bsullivan@onebarnes.com"/>
    <s v=""/>
    <s v="Planner, Production II"/>
    <d v="2023-07-24T00:00:00"/>
    <m/>
    <m/>
    <s v="Active"/>
    <s v="210103"/>
    <s v="Monthly"/>
    <s v="Full Time"/>
    <s v="088"/>
    <s v="088-AS Raymond"/>
    <s v="Admin-Material Management"/>
    <s v="009400"/>
    <s v="AS Raymond"/>
    <s v=""/>
    <s v=""/>
    <s v="USA"/>
    <s v="S12"/>
    <s v="FMG-S12"/>
    <s v="212699"/>
    <s v="0088"/>
    <n v="9400"/>
    <s v="Default"/>
    <s v="General"/>
    <s v="US"/>
    <s v="en_US"/>
    <s v="USD"/>
    <s v=""/>
    <s v="Y"/>
    <s v=""/>
    <m/>
    <x v="145"/>
    <x v="22"/>
    <s v="212699"/>
    <b v="1"/>
  </r>
  <r>
    <s v="KSY"/>
    <s v="Joyce"/>
    <s v="L"/>
    <s v="Szpila"/>
    <s v=""/>
    <s v=""/>
    <s v="Warner, Dwight"/>
    <s v="V0U008750"/>
    <s v="jszpila@onebarnes.com"/>
    <s v="joyceszpila@yahoo.com"/>
    <s v="Accounting Analyst"/>
    <d v="2025-06-30T00:00:00"/>
    <m/>
    <m/>
    <s v="Active"/>
    <s v="212146"/>
    <s v="Monthly"/>
    <s v="Full Time"/>
    <s v="088"/>
    <s v="088-AS Raymond"/>
    <s v="Finance General"/>
    <s v="009100"/>
    <s v="AS Raymond"/>
    <s v=""/>
    <s v=""/>
    <s v="USA"/>
    <s v="S11"/>
    <s v="FMG-S11"/>
    <s v="008750"/>
    <s v="0088"/>
    <n v="9100"/>
    <s v="Default"/>
    <s v="General"/>
    <s v="US"/>
    <s v="en_US"/>
    <s v="USD"/>
    <s v=""/>
    <s v="Y"/>
    <s v=""/>
    <m/>
    <x v="146"/>
    <x v="4"/>
    <s v="008750"/>
    <b v="1"/>
  </r>
  <r>
    <s v="KSW"/>
    <s v="Isaak"/>
    <s v="R"/>
    <s v="Taiclet"/>
    <s v=""/>
    <s v=""/>
    <s v="Leftrict, Wayne"/>
    <s v="V0U210910"/>
    <s v="itaiclet@onebarnes.com"/>
    <s v=""/>
    <s v="Intern, Engineering Indir"/>
    <d v="2026-05-11T00:00:00"/>
    <d v="2026-08-21T00:00:00"/>
    <m/>
    <s v="Terminated"/>
    <s v="213227"/>
    <s v="Biweekly"/>
    <s v="Intern"/>
    <s v="025"/>
    <s v="025-NGP Hyson Products"/>
    <s v="Quality"/>
    <s v="000500"/>
    <s v="Hyson Products"/>
    <s v=""/>
    <s v=""/>
    <s v="USA"/>
    <s v="H05"/>
    <s v="FMG-H05"/>
    <s v="210910"/>
    <s v="0096"/>
    <n v="500"/>
    <s v="Default"/>
    <s v="General"/>
    <s v="US"/>
    <s v="en_US"/>
    <s v="USD"/>
    <s v=""/>
    <s v="N"/>
    <s v="20260821"/>
    <s v="Exclude record termination over 45 days ago"/>
    <x v="147"/>
    <x v="13"/>
    <s v="210910"/>
    <b v="1"/>
  </r>
  <r>
    <s v="V0U"/>
    <s v="Isaak"/>
    <s v="R"/>
    <s v="Taiclet"/>
    <s v=""/>
    <s v=""/>
    <s v=""/>
    <s v=""/>
    <s v="itaiclet@onebarnes.com"/>
    <s v=""/>
    <s v="Intern, Engineering Indir"/>
    <d v="2026-05-11T00:00:00"/>
    <d v="2026-06-03T00:00:00"/>
    <m/>
    <s v="Terminated"/>
    <s v="213227"/>
    <s v="Biweekly"/>
    <s v="Intern"/>
    <s v="025"/>
    <s v="025-NGP Hyson Products"/>
    <s v="Quality"/>
    <s v="000500"/>
    <s v="Hyson Products"/>
    <s v=""/>
    <s v=""/>
    <s v="USA"/>
    <s v="H05"/>
    <s v="FMG-H05"/>
    <s v=""/>
    <s v="0096"/>
    <n v="500"/>
    <s v="Default"/>
    <s v="General"/>
    <s v="US"/>
    <s v="en_US"/>
    <s v="USD"/>
    <s v=""/>
    <s v="N"/>
    <s v="20260603"/>
    <s v="Fix and Include Record"/>
    <x v="147"/>
    <x v="5"/>
    <s v="No Reports to Name"/>
    <b v="0"/>
  </r>
  <r>
    <s v="V0U"/>
    <s v="Isaak"/>
    <s v="R"/>
    <s v="Taiclet"/>
    <s v=""/>
    <s v=""/>
    <s v=""/>
    <s v=""/>
    <s v="itaiclet@onebarnes.com"/>
    <s v=""/>
    <s v="Intern, Engineering Indir"/>
    <d v="2026-05-11T00:00:00"/>
    <d v="2026-06-03T00:00:00"/>
    <m/>
    <s v="Terminated"/>
    <s v="213227"/>
    <s v="Monthly"/>
    <s v="Intern"/>
    <s v="025"/>
    <s v="025-NGP Hyson Products"/>
    <s v="Quality"/>
    <s v="000500"/>
    <s v="Hyson Products"/>
    <s v=""/>
    <s v=""/>
    <s v="USA"/>
    <s v="H05"/>
    <s v="FMG-H05"/>
    <s v=""/>
    <s v="0096"/>
    <n v="500"/>
    <s v="Default"/>
    <s v="General"/>
    <s v="US"/>
    <s v="en_US"/>
    <s v="USD"/>
    <s v=""/>
    <s v="N"/>
    <s v="20260603"/>
    <s v="Fix and Include Record"/>
    <x v="147"/>
    <x v="5"/>
    <s v="No Reports to Name"/>
    <b v="0"/>
  </r>
  <r>
    <s v="V0U"/>
    <s v="Richard"/>
    <s v="E"/>
    <s v="Taiclet"/>
    <s v=""/>
    <s v=""/>
    <s v="Warner, Dwight"/>
    <s v="V0U008750"/>
    <s v="RTaiclet@onebarnes.com"/>
    <s v="rtlefty@yahoo.com"/>
    <s v="Controller, Asst "/>
    <d v="2017-02-20T00:00:00"/>
    <m/>
    <m/>
    <s v="Active"/>
    <s v="901943"/>
    <s v="Monthly"/>
    <s v="Full Time"/>
    <s v="025"/>
    <s v="025-NGP Hyson Products"/>
    <s v="Finance"/>
    <s v="000910"/>
    <s v="Hyson Products"/>
    <s v=""/>
    <s v=""/>
    <s v="USA"/>
    <s v="S14"/>
    <s v="FMG-S14"/>
    <s v="008750"/>
    <s v="0096"/>
    <n v="910"/>
    <s v="Default"/>
    <s v="General"/>
    <s v="US"/>
    <s v="en_US"/>
    <s v="USD"/>
    <s v=""/>
    <s v="Y"/>
    <s v=""/>
    <m/>
    <x v="148"/>
    <x v="4"/>
    <s v="008750"/>
    <b v="1"/>
  </r>
  <r>
    <s v="KSX"/>
    <s v="Kevin"/>
    <s v=""/>
    <s v="Thaboun"/>
    <s v=""/>
    <s v=""/>
    <s v="LaPlante, Derek"/>
    <s v="KSY211736"/>
    <s v="kthaboun1@onebarnes.com"/>
    <s v="kthabound45@gmail.com"/>
    <s v="Assistant, Warehouse II"/>
    <d v="2024-10-21T00:00:00"/>
    <m/>
    <m/>
    <s v="Active"/>
    <s v="211521"/>
    <s v="Biweekly"/>
    <s v="Full Time"/>
    <s v="088"/>
    <s v="088-AS Raymond"/>
    <s v="FG Warehouse"/>
    <s v="005200"/>
    <s v="AS Raymond"/>
    <s v=""/>
    <s v=""/>
    <s v="USA"/>
    <s v="S05"/>
    <s v="FMG-S05"/>
    <s v="211736"/>
    <s v="0088"/>
    <n v="5200"/>
    <s v="Default"/>
    <s v="General"/>
    <s v="US"/>
    <s v="en_US"/>
    <s v="USD"/>
    <s v=""/>
    <s v="Y"/>
    <s v=""/>
    <m/>
    <x v="149"/>
    <x v="3"/>
    <s v="211736"/>
    <b v="1"/>
  </r>
  <r>
    <s v="KSY"/>
    <s v="Kugagini"/>
    <s v=""/>
    <s v="Thineshkumar"/>
    <s v=""/>
    <s v=""/>
    <s v="Warner, Dwight"/>
    <s v="V0U008750"/>
    <s v="Kthineshkumar@onebarnes.com"/>
    <s v=""/>
    <s v="Analyst, Shared Services"/>
    <d v="2017-04-10T00:00:00"/>
    <m/>
    <d v="2026-05-04T00:00:00"/>
    <s v="Active"/>
    <s v="902013"/>
    <s v="Monthly"/>
    <s v="Full Time"/>
    <s v="088"/>
    <s v="088-AS Raymond"/>
    <s v="Finance General"/>
    <s v="009100"/>
    <s v="Work from home - Connecticut"/>
    <s v="Tamil"/>
    <s v="24"/>
    <s v="USA"/>
    <s v="S11"/>
    <s v="FMG-S11"/>
    <s v="008750"/>
    <s v="0088"/>
    <n v="9100"/>
    <s v="Default"/>
    <s v="General"/>
    <s v="US"/>
    <s v="en_US"/>
    <s v="USD"/>
    <s v=""/>
    <s v="Y"/>
    <s v=""/>
    <m/>
    <x v="150"/>
    <x v="4"/>
    <s v="008750"/>
    <b v="1"/>
  </r>
  <r>
    <s v="KSX"/>
    <s v="Tadeyshia"/>
    <s v=""/>
    <s v="Toney"/>
    <s v=""/>
    <s v=""/>
    <s v="Rafferty, Jonathan"/>
    <s v="KSY211131"/>
    <s v="ttoney@onebarnes.com"/>
    <s v=""/>
    <s v="Rep, Customer Service III"/>
    <d v="2026-05-18T00:00:00"/>
    <m/>
    <m/>
    <s v="Active"/>
    <s v="213241"/>
    <s v="Biweekly"/>
    <s v="Full Time"/>
    <s v="088"/>
    <s v="088-AS Raymond"/>
    <s v="Inside Sales"/>
    <s v="008100"/>
    <s v="AS Raymond"/>
    <s v=""/>
    <s v=""/>
    <s v="USA"/>
    <s v="S11"/>
    <s v="FMG-S11"/>
    <s v="211131"/>
    <s v="0088"/>
    <n v="8100"/>
    <s v="Default"/>
    <s v="General"/>
    <s v="US"/>
    <s v="en_US"/>
    <s v="USD"/>
    <s v=""/>
    <s v="Y"/>
    <s v=""/>
    <m/>
    <x v="151"/>
    <x v="17"/>
    <s v="211131"/>
    <b v="1"/>
  </r>
  <r>
    <s v="KSY"/>
    <s v="Macy"/>
    <s v="J"/>
    <s v="Tudor"/>
    <s v=""/>
    <s v=""/>
    <s v="Creager, Andrew"/>
    <s v="KSY212699"/>
    <s v="mtudor@onebarnes.com"/>
    <s v=""/>
    <s v="Business System Analyst"/>
    <d v="2021-09-27T00:00:00"/>
    <m/>
    <m/>
    <s v="Active"/>
    <s v="206638"/>
    <s v="Monthly"/>
    <s v="Full Time"/>
    <s v="088"/>
    <s v="088-AS Raymond"/>
    <s v="Admin-Material Management"/>
    <s v="009400"/>
    <s v="AS Raymond"/>
    <s v=""/>
    <s v=""/>
    <s v="USA"/>
    <s v="S13"/>
    <s v="FMG-S13"/>
    <s v="212699"/>
    <s v="0088"/>
    <n v="9400"/>
    <s v="Default"/>
    <s v="General"/>
    <s v="US"/>
    <s v="en_US"/>
    <s v="USD"/>
    <s v=""/>
    <s v="Y"/>
    <s v=""/>
    <m/>
    <x v="152"/>
    <x v="22"/>
    <s v="212699"/>
    <b v="1"/>
  </r>
  <r>
    <s v="KSY"/>
    <s v="Daniel"/>
    <s v="P"/>
    <s v="Tuller"/>
    <s v=""/>
    <s v=""/>
    <s v=""/>
    <s v="V0U008750"/>
    <s v="dtuller@onebarnes.com"/>
    <s v="dptuller@gmail.com"/>
    <s v="Controller, Division II"/>
    <d v="2023-10-09T00:00:00"/>
    <d v="2026-07-24T00:00:00"/>
    <m/>
    <s v="Terminated"/>
    <s v="210339"/>
    <s v="Monthly"/>
    <s v="Full Time"/>
    <s v="088"/>
    <s v="088-AS Raymond"/>
    <s v="Finance General"/>
    <s v="009100"/>
    <s v="AS Raymond"/>
    <s v=""/>
    <s v=""/>
    <s v="USA"/>
    <s v="S17"/>
    <s v="FMG-S17"/>
    <s v="008750"/>
    <s v="0088"/>
    <n v="9100"/>
    <s v="Default"/>
    <s v="General"/>
    <s v="US"/>
    <s v="en_US"/>
    <s v="USD"/>
    <s v=""/>
    <s v="N"/>
    <s v="20260724"/>
    <s v="Fix and Include Record"/>
    <x v="153"/>
    <x v="5"/>
    <s v="No Reports to Name"/>
    <b v="0"/>
  </r>
  <r>
    <s v="KSW"/>
    <s v="Duane"/>
    <s v="A"/>
    <s v="Turner"/>
    <s v=""/>
    <s v=""/>
    <s v="Steen, Michael"/>
    <s v="V0U211062"/>
    <s v=""/>
    <s v="ugkone10@yahoo.com"/>
    <s v="Machinist B"/>
    <d v="2021-04-26T00:00:00"/>
    <m/>
    <m/>
    <s v="Active"/>
    <s v="206110"/>
    <s v="Biweekly"/>
    <s v="Full Time"/>
    <s v="025"/>
    <s v="025-NGP Hyson Products"/>
    <s v="CNC Lathe Hyson"/>
    <s v="000100"/>
    <s v="Hyson Products"/>
    <s v=""/>
    <s v=""/>
    <s v="USA"/>
    <s v="H07"/>
    <s v="FMG-H07"/>
    <s v="211062"/>
    <s v="0096"/>
    <n v="100"/>
    <s v="Default"/>
    <s v="General"/>
    <s v="US"/>
    <s v="en_US"/>
    <s v="USD"/>
    <s v=""/>
    <s v="Y"/>
    <s v=""/>
    <m/>
    <x v="154"/>
    <x v="9"/>
    <s v="211062"/>
    <b v="1"/>
  </r>
  <r>
    <s v="KSX"/>
    <s v="Benjamin"/>
    <s v="D"/>
    <s v="Uncapher"/>
    <s v=""/>
    <s v=""/>
    <s v="Rafferty, Jonathan"/>
    <s v="KSY211131"/>
    <s v="buncapher@onebarnes.com"/>
    <s v=""/>
    <s v="Rep, Customer Service III"/>
    <d v="2025-07-29T00:00:00"/>
    <m/>
    <m/>
    <s v="Active"/>
    <s v="212254"/>
    <s v="Biweekly"/>
    <s v="Full Time"/>
    <s v="088"/>
    <s v="088-AS Raymond"/>
    <s v="Inside Sales"/>
    <s v="008100"/>
    <s v="AS Raymond"/>
    <s v=""/>
    <s v=""/>
    <s v="USA"/>
    <s v="S11"/>
    <s v="FMG-S11"/>
    <s v="211131"/>
    <s v="0088"/>
    <n v="8100"/>
    <s v="Default"/>
    <s v="General"/>
    <s v="US"/>
    <s v="en_US"/>
    <s v="USD"/>
    <s v=""/>
    <s v="Y"/>
    <s v=""/>
    <m/>
    <x v="155"/>
    <x v="17"/>
    <s v="211131"/>
    <b v="1"/>
  </r>
  <r>
    <s v="KSY"/>
    <s v="Benjamin"/>
    <s v="D"/>
    <s v="Uncapher"/>
    <s v=""/>
    <s v=""/>
    <s v=""/>
    <s v=""/>
    <s v="buncapher@onebarnes.com"/>
    <s v=""/>
    <s v="Rep, Customer Service III"/>
    <d v="2025-07-29T00:00:00"/>
    <d v="2026-06-02T00:00:00"/>
    <m/>
    <s v="Terminated"/>
    <s v="212254"/>
    <s v="Monthly"/>
    <s v="Full Time"/>
    <s v="088"/>
    <s v="088-AS Raymond"/>
    <s v="Inside Sales"/>
    <s v="008100"/>
    <s v="AS Raymond"/>
    <s v=""/>
    <s v=""/>
    <s v="USA"/>
    <s v="S11"/>
    <s v="FMG-S11"/>
    <s v=""/>
    <s v="0088"/>
    <n v="8100"/>
    <s v="Default"/>
    <s v="General"/>
    <s v="US"/>
    <s v="en_US"/>
    <s v="USD"/>
    <s v=""/>
    <s v="N"/>
    <s v="20260602"/>
    <s v="Fix and Include Record"/>
    <x v="155"/>
    <x v="5"/>
    <s v="No Reports to Name"/>
    <b v="0"/>
  </r>
  <r>
    <s v="V0U"/>
    <s v="David"/>
    <s v=""/>
    <s v="Valetta"/>
    <s v=""/>
    <s v=""/>
    <s v="Bair, Teresa"/>
    <s v="KSY207709"/>
    <s v="dvaletta@onebarnes.com"/>
    <s v="dval8200@yahoo.com"/>
    <s v="Dir, Pricing"/>
    <d v="2024-12-16T00:00:00"/>
    <m/>
    <m/>
    <s v="Active"/>
    <s v="211601"/>
    <s v="Monthly"/>
    <s v="Full Time"/>
    <s v="025"/>
    <s v="025-NGP Hyson Products"/>
    <s v="Outside Sales"/>
    <s v="000820"/>
    <s v="Works from home - Ohio"/>
    <s v=""/>
    <s v=""/>
    <s v="USA"/>
    <s v="S19"/>
    <s v="FMG-S19"/>
    <s v="207709"/>
    <s v="0096"/>
    <n v="820"/>
    <s v="Default"/>
    <s v="General"/>
    <s v="US"/>
    <s v="en_US"/>
    <s v="USD"/>
    <s v=""/>
    <s v="Y"/>
    <s v=""/>
    <m/>
    <x v="156"/>
    <x v="6"/>
    <s v="207709"/>
    <b v="1"/>
  </r>
  <r>
    <s v="KSW"/>
    <s v="Brennen"/>
    <s v="G"/>
    <s v="Valley"/>
    <s v=""/>
    <s v=""/>
    <s v="Steen, Michael"/>
    <s v="V0U211062"/>
    <s v="bvalley@onebarnes.com"/>
    <s v=""/>
    <s v="Machinist, CNC "/>
    <d v="2021-06-14T00:00:00"/>
    <m/>
    <m/>
    <s v="Active"/>
    <s v="206287"/>
    <s v="Biweekly"/>
    <s v="Part Time"/>
    <s v="025"/>
    <s v="025-NGP Hyson Products"/>
    <s v="CNC Lathe Hyson"/>
    <s v="000100"/>
    <s v="Hyson Products"/>
    <s v=""/>
    <s v=""/>
    <s v="USA"/>
    <s v="H04"/>
    <s v="FMG-H04"/>
    <s v="211062"/>
    <s v="0096"/>
    <n v="100"/>
    <s v="Default"/>
    <s v="General"/>
    <s v="US"/>
    <s v="en_US"/>
    <s v="USD"/>
    <s v=""/>
    <s v="Y"/>
    <s v=""/>
    <m/>
    <x v="157"/>
    <x v="9"/>
    <s v="211062"/>
    <b v="1"/>
  </r>
  <r>
    <s v="KSY"/>
    <s v="Brittany"/>
    <s v="M"/>
    <s v="Velner"/>
    <s v=""/>
    <s v=""/>
    <s v=""/>
    <s v=""/>
    <s v="bvelner@onebarnes.com"/>
    <s v=""/>
    <s v="Lead, Cust Serv "/>
    <d v="2025-10-21T00:00:00"/>
    <d v="2026-04-24T00:00:00"/>
    <m/>
    <s v="Terminated"/>
    <s v="212687"/>
    <s v="Monthly"/>
    <s v="Full Time"/>
    <s v="088"/>
    <s v="088-AS Raymond"/>
    <s v="Inside Sales"/>
    <s v="008100"/>
    <s v="AS Raymond"/>
    <s v=""/>
    <s v=""/>
    <s v="USA"/>
    <s v="S12"/>
    <s v="FMG-S12"/>
    <s v=""/>
    <s v="0088"/>
    <n v="8100"/>
    <s v="Default"/>
    <s v="General"/>
    <s v="US"/>
    <s v="en_US"/>
    <s v="USD"/>
    <s v=""/>
    <s v="N"/>
    <s v="20260424"/>
    <s v="Fix and Include Record"/>
    <x v="158"/>
    <x v="5"/>
    <s v="No Reports to Name"/>
    <b v="0"/>
  </r>
  <r>
    <s v="KSX"/>
    <s v="Craig"/>
    <s v=""/>
    <s v="Wagner"/>
    <s v=""/>
    <s v=""/>
    <s v="Burchell, Mathew"/>
    <s v="KSY211756"/>
    <s v="cwagner@onebarnes.com"/>
    <s v="mich_n_trum84@yahoo.com"/>
    <s v="Assistant, Warehouse"/>
    <d v="2021-06-01T00:00:00"/>
    <m/>
    <m/>
    <s v="Active"/>
    <s v="206272"/>
    <s v="Biweekly"/>
    <s v="Full Time"/>
    <s v="088"/>
    <s v="088-AS Raymond"/>
    <s v="Assembly"/>
    <s v="005100"/>
    <s v="AS Raymond"/>
    <s v=""/>
    <s v=""/>
    <s v="USA"/>
    <s v="S08"/>
    <s v="FMG-S08"/>
    <s v="211756"/>
    <s v="0088"/>
    <n v="5100"/>
    <s v="Default"/>
    <s v="General"/>
    <s v="US"/>
    <s v="en_US"/>
    <s v="USD"/>
    <s v=""/>
    <s v="Y"/>
    <s v=""/>
    <m/>
    <x v="159"/>
    <x v="0"/>
    <s v="211756"/>
    <b v="1"/>
  </r>
  <r>
    <s v="V0U"/>
    <s v="Terry"/>
    <s v=""/>
    <s v="Wagner"/>
    <s v=""/>
    <s v=""/>
    <s v=""/>
    <s v=""/>
    <s v="Twagner@onebarnes.com"/>
    <s v="Twag137@yahoo.com"/>
    <s v="Rep, Customer Service III"/>
    <d v="2024-05-28T00:00:00"/>
    <d v="2026-06-02T00:00:00"/>
    <m/>
    <s v="Terminated"/>
    <s v="211022"/>
    <s v="Monthly"/>
    <s v="Full Time"/>
    <s v="025"/>
    <s v="025-NGP Hyson Products"/>
    <s v="Inside Sales"/>
    <s v="000850"/>
    <s v="Hyson Products"/>
    <s v=""/>
    <s v=""/>
    <s v="USA"/>
    <s v="S11"/>
    <s v="FMG-S11"/>
    <s v=""/>
    <s v="0096"/>
    <n v="850"/>
    <s v="Default"/>
    <s v="General"/>
    <s v="US"/>
    <s v="en_US"/>
    <s v="USD"/>
    <s v=""/>
    <s v="N"/>
    <s v="20260602"/>
    <s v="Exclude record termination over 45 days ago"/>
    <x v="160"/>
    <x v="5"/>
    <s v="No Reports to Name"/>
    <b v="0"/>
  </r>
  <r>
    <s v="V0U"/>
    <s v="Terry"/>
    <s v=""/>
    <s v="Wagner"/>
    <s v=""/>
    <s v=""/>
    <s v=""/>
    <s v=""/>
    <s v="Twagner@onebarnes.com"/>
    <s v="Twag137@yahoo.com"/>
    <s v="Rep, Customer Service III"/>
    <d v="2024-05-28T00:00:00"/>
    <d v="2026-06-02T00:00:00"/>
    <m/>
    <s v="Terminated"/>
    <s v="211022"/>
    <s v="Biweekly"/>
    <s v="Full Time"/>
    <s v="025"/>
    <s v="025-NGP Hyson Products"/>
    <s v="Inside Sales"/>
    <s v="000850"/>
    <s v="Hyson Products"/>
    <s v=""/>
    <s v=""/>
    <s v="USA"/>
    <s v="S11"/>
    <s v="FMG-S11"/>
    <s v=""/>
    <s v="0096"/>
    <n v="850"/>
    <s v="Default"/>
    <s v="General"/>
    <s v="US"/>
    <s v="en_US"/>
    <s v="USD"/>
    <s v=""/>
    <s v="N"/>
    <s v="20260602"/>
    <s v="Fix and Include Record"/>
    <x v="160"/>
    <x v="5"/>
    <s v="No Reports to Name"/>
    <b v="0"/>
  </r>
  <r>
    <s v="KSW"/>
    <s v="Terry"/>
    <s v=""/>
    <s v="Wagner"/>
    <s v=""/>
    <s v=""/>
    <s v="Wallace, Derron"/>
    <s v="V0U211998"/>
    <s v="Twagner@onebarnes.com"/>
    <s v="Twag137@yahoo.com"/>
    <s v="Rep, Customer Service III"/>
    <d v="2024-05-28T00:00:00"/>
    <m/>
    <m/>
    <s v="Active"/>
    <s v="211022"/>
    <s v="Biweekly"/>
    <s v="Full Time"/>
    <s v="025"/>
    <s v="025-NGP Hyson Products"/>
    <s v="Inside Sales"/>
    <s v="000850"/>
    <s v="Hyson Products"/>
    <s v=""/>
    <s v=""/>
    <s v="USA"/>
    <s v="S11"/>
    <s v="FMG-S11"/>
    <s v="211998"/>
    <s v="0096"/>
    <n v="850"/>
    <s v="Default"/>
    <s v="General"/>
    <s v="US"/>
    <s v="en_US"/>
    <s v="USD"/>
    <s v=""/>
    <s v="Y"/>
    <s v=""/>
    <m/>
    <x v="160"/>
    <x v="14"/>
    <s v="211998"/>
    <b v="1"/>
  </r>
  <r>
    <s v="V0U"/>
    <s v="Derron"/>
    <s v=""/>
    <s v="Wallace"/>
    <s v=""/>
    <s v=""/>
    <s v="Bate, Natalie"/>
    <s v="V0U213037"/>
    <s v="dwallace@onebarnes.com"/>
    <s v="derronw@gmail.com"/>
    <s v="Mgr, Cust Srvc, Assembly"/>
    <d v="2025-05-12T00:00:00"/>
    <m/>
    <m/>
    <s v="Active"/>
    <s v="211998"/>
    <s v="Monthly"/>
    <s v="Full Time"/>
    <s v="025"/>
    <s v="025-NGP Hyson Products"/>
    <s v="Inside Sales"/>
    <s v="000850"/>
    <s v="Hyson Products"/>
    <s v=""/>
    <s v=""/>
    <s v="USA"/>
    <s v="S15"/>
    <s v="FMG-S15"/>
    <s v="213037"/>
    <s v="0096"/>
    <n v="850"/>
    <s v="Default"/>
    <s v="General"/>
    <s v="US"/>
    <s v="en_US"/>
    <s v="USD"/>
    <s v=""/>
    <s v="Y"/>
    <s v=""/>
    <m/>
    <x v="161"/>
    <x v="11"/>
    <s v="213037"/>
    <b v="1"/>
  </r>
  <r>
    <s v="V0U"/>
    <s v="Dwight"/>
    <s v="A"/>
    <s v="Warner"/>
    <s v=""/>
    <s v=""/>
    <s v="Bair, Teresa"/>
    <s v="KSY207709"/>
    <s v="DWarner@onebarnes.com"/>
    <s v=""/>
    <s v="Dir, Finance I"/>
    <d v="2005-12-05T00:00:00"/>
    <m/>
    <m/>
    <s v="Active"/>
    <s v="008750"/>
    <s v="Monthly"/>
    <s v="Full Time"/>
    <s v="025"/>
    <s v="025-NGP Hyson Products"/>
    <s v="Finance"/>
    <s v="000910"/>
    <s v="Hyson Products"/>
    <s v=""/>
    <s v=""/>
    <s v="USA"/>
    <s v="S18"/>
    <s v="FMG-S18"/>
    <s v="207709"/>
    <s v="0096"/>
    <n v="910"/>
    <s v="Default"/>
    <s v="General"/>
    <s v="US"/>
    <s v="en_US"/>
    <s v="USD"/>
    <s v=""/>
    <s v="Y"/>
    <s v=""/>
    <m/>
    <x v="162"/>
    <x v="6"/>
    <s v="207709"/>
    <b v="1"/>
  </r>
  <r>
    <s v="KSY"/>
    <s v="Bonnetta"/>
    <s v="D"/>
    <s v="Warren"/>
    <s v=""/>
    <s v=""/>
    <s v="Oleksa, Laura"/>
    <s v="V0U209181"/>
    <s v="bwarren@onebarnes.com"/>
    <s v=""/>
    <s v="Mgr, HR I"/>
    <d v="2025-10-28T00:00:00"/>
    <m/>
    <m/>
    <s v="Active"/>
    <s v="212705"/>
    <s v="Monthly"/>
    <s v="Full Time"/>
    <s v="088"/>
    <s v="088-AS Raymond"/>
    <s v="HR CU"/>
    <s v="009210"/>
    <s v="Works from home - Ohio"/>
    <s v=""/>
    <s v=""/>
    <s v="USA"/>
    <s v="S15"/>
    <s v="FMG-S15"/>
    <s v="209181"/>
    <s v="0088"/>
    <n v="9210"/>
    <s v="Default"/>
    <s v="General"/>
    <s v="US"/>
    <s v="en_US"/>
    <s v="USD"/>
    <s v=""/>
    <s v="Y"/>
    <s v=""/>
    <m/>
    <x v="163"/>
    <x v="20"/>
    <s v="209181"/>
    <b v="1"/>
  </r>
  <r>
    <s v="KSX"/>
    <s v="Latasha"/>
    <s v="C"/>
    <s v="Watkins"/>
    <s v=""/>
    <s v=""/>
    <s v=""/>
    <s v="KSY202533"/>
    <s v=""/>
    <s v="lwatkins656@gmail.com"/>
    <s v="Rep, Customer Service I"/>
    <d v="2026-05-27T00:00:00"/>
    <d v="2026-06-10T00:00:00"/>
    <m/>
    <s v="Terminated"/>
    <s v="213286"/>
    <s v="Biweekly"/>
    <s v="Full Time"/>
    <s v="088"/>
    <s v="088-AS Raymond"/>
    <s v="Inside Sales"/>
    <s v="008100"/>
    <s v="AS Raymond"/>
    <s v=""/>
    <s v=""/>
    <s v="USA"/>
    <s v="S08"/>
    <s v="FMG-S08"/>
    <s v="202533"/>
    <s v="0088"/>
    <n v="8100"/>
    <s v="Default"/>
    <s v="General"/>
    <s v="US"/>
    <s v="en_US"/>
    <s v="USD"/>
    <s v=""/>
    <s v="N"/>
    <s v="20260610"/>
    <s v="Exclude record termination over 45 days ago"/>
    <x v="164"/>
    <x v="5"/>
    <s v="No Reports to Name"/>
    <b v="0"/>
  </r>
  <r>
    <s v="V0U"/>
    <s v="Russell"/>
    <s v="L"/>
    <s v="Weaver"/>
    <s v=""/>
    <s v=""/>
    <s v="Bate, Natalie"/>
    <s v="V0U213037"/>
    <s v="RLWeaver@onebarnes.com"/>
    <s v="therawsoulweaver@gmail.com"/>
    <s v="Engineer, Application II"/>
    <d v="2014-01-02T00:00:00"/>
    <m/>
    <m/>
    <s v="Active"/>
    <s v="901090"/>
    <s v="Monthly"/>
    <s v="Full Time"/>
    <s v="025"/>
    <s v="025-NGP Hyson Products"/>
    <s v="R&amp;D"/>
    <s v="000713"/>
    <s v="Hyson Products"/>
    <s v=""/>
    <s v=""/>
    <s v="USA"/>
    <s v="S14"/>
    <s v="FMG-S14"/>
    <s v="213037"/>
    <s v="0096"/>
    <n v="713"/>
    <s v="Default"/>
    <s v="General"/>
    <s v="US"/>
    <s v="en_US"/>
    <s v="USD"/>
    <s v=""/>
    <s v="Y"/>
    <s v=""/>
    <m/>
    <x v="165"/>
    <x v="11"/>
    <s v="213037"/>
    <b v="1"/>
  </r>
  <r>
    <s v="KSX"/>
    <s v="Joann"/>
    <s v=""/>
    <s v="Whaley"/>
    <s v=""/>
    <s v=""/>
    <s v="Valetta, David"/>
    <s v="V0U211601"/>
    <s v=""/>
    <s v="subjetta@icloud.com"/>
    <s v="Admin, Sales Support II"/>
    <d v="2022-08-03T00:00:00"/>
    <m/>
    <m/>
    <s v="Active"/>
    <s v="207850"/>
    <s v="Biweekly"/>
    <s v="Full Time"/>
    <s v="088"/>
    <s v="088-AS Raymond"/>
    <s v="Outside Sales"/>
    <s v="008200"/>
    <s v="AS Raymond"/>
    <s v=""/>
    <s v=""/>
    <s v="USA"/>
    <s v="S10"/>
    <s v="FMG-S10"/>
    <s v="211601"/>
    <s v="0088"/>
    <n v="8200"/>
    <s v="Default"/>
    <s v="General"/>
    <s v="US"/>
    <s v="en_US"/>
    <s v="USD"/>
    <s v=""/>
    <s v="Y"/>
    <s v=""/>
    <m/>
    <x v="166"/>
    <x v="12"/>
    <s v="211601"/>
    <b v="1"/>
  </r>
  <r>
    <s v="KSW"/>
    <s v="Daniel"/>
    <s v=""/>
    <s v="White"/>
    <s v=""/>
    <s v=""/>
    <s v="Wallace, Derron"/>
    <s v="V0U211998"/>
    <s v="dwhite@onebarnes.com"/>
    <s v="tntwhite33@aol.com"/>
    <s v="Rep, Customer Service II"/>
    <d v="2025-04-22T00:00:00"/>
    <m/>
    <m/>
    <s v="Active"/>
    <s v="211939"/>
    <s v="Biweekly"/>
    <s v="Full Time"/>
    <s v="025"/>
    <s v="025-NGP Hyson Products"/>
    <s v="Inside Sales"/>
    <s v="000850"/>
    <s v="Hyson Products"/>
    <s v=""/>
    <s v=""/>
    <s v="USA"/>
    <s v="S10"/>
    <s v="FMG-S10"/>
    <s v="211998"/>
    <s v="0096"/>
    <n v="850"/>
    <s v="Default"/>
    <s v="General"/>
    <s v="US"/>
    <s v="en_US"/>
    <s v="USD"/>
    <s v=""/>
    <s v="Y"/>
    <s v=""/>
    <m/>
    <x v="167"/>
    <x v="14"/>
    <s v="211998"/>
    <b v="1"/>
  </r>
  <r>
    <s v="V0U"/>
    <s v="Daniel"/>
    <s v=""/>
    <s v="White"/>
    <s v=""/>
    <s v=""/>
    <s v=""/>
    <s v=""/>
    <s v="dwhite@onebarnes.com"/>
    <s v="tntwhite33@aol.com"/>
    <s v="Rep, Customer Service II"/>
    <d v="2025-04-22T00:00:00"/>
    <d v="2026-06-02T00:00:00"/>
    <m/>
    <s v="Terminated"/>
    <s v="211939"/>
    <s v="Biweekly"/>
    <s v="Full Time"/>
    <s v="025"/>
    <s v="025-NGP Hyson Products"/>
    <s v="Inside Sales"/>
    <s v="000850"/>
    <s v="Hyson Products"/>
    <s v=""/>
    <s v=""/>
    <s v="USA"/>
    <s v="S10"/>
    <s v="FMG-S10"/>
    <s v=""/>
    <s v="0096"/>
    <n v="850"/>
    <s v="Default"/>
    <s v="General"/>
    <s v="US"/>
    <s v="en_US"/>
    <s v="USD"/>
    <s v=""/>
    <s v="N"/>
    <s v="20260602"/>
    <s v="Fix and Include Record"/>
    <x v="167"/>
    <x v="5"/>
    <s v="No Reports to Name"/>
    <b v="0"/>
  </r>
  <r>
    <s v="V0U"/>
    <s v="Daniel"/>
    <s v=""/>
    <s v="White"/>
    <s v=""/>
    <s v=""/>
    <s v=""/>
    <s v=""/>
    <s v="dwhite@onebarnes.com"/>
    <s v="tntwhite33@aol.com"/>
    <s v="Rep, Customer Service II"/>
    <d v="2025-04-22T00:00:00"/>
    <d v="2026-06-02T00:00:00"/>
    <m/>
    <s v="Terminated"/>
    <s v="211939"/>
    <s v="Monthly"/>
    <s v="Full Time"/>
    <s v="025"/>
    <s v="025-NGP Hyson Products"/>
    <s v="Inside Sales"/>
    <s v="000850"/>
    <s v="Hyson Products"/>
    <s v=""/>
    <s v=""/>
    <s v="USA"/>
    <s v="S10"/>
    <s v="FMG-S10"/>
    <s v=""/>
    <s v="0096"/>
    <n v="850"/>
    <s v="Default"/>
    <s v="General"/>
    <s v="US"/>
    <s v="en_US"/>
    <s v="USD"/>
    <s v=""/>
    <s v="N"/>
    <s v="20260602"/>
    <s v="Exclude record termination over 45 days ago"/>
    <x v="167"/>
    <x v="5"/>
    <s v="No Reports to Name"/>
    <b v="0"/>
  </r>
  <r>
    <s v="V0U"/>
    <s v="William"/>
    <s v="M"/>
    <s v="Wilkins"/>
    <s v=""/>
    <s v=""/>
    <s v="Rodriguez, Siobhan"/>
    <s v="V0U207588"/>
    <s v="wwilkins@onebarnes.com"/>
    <s v="corvid777@outlook.com"/>
    <s v="Mgr, Sales II"/>
    <d v="2017-02-06T00:00:00"/>
    <m/>
    <m/>
    <s v="Active"/>
    <s v="901934"/>
    <s v="Monthly"/>
    <s v="Full Time"/>
    <s v="025"/>
    <s v="025-NGP Hyson Products"/>
    <s v="Outside Sales"/>
    <s v="000820"/>
    <s v="Hyson Products"/>
    <s v=""/>
    <s v=""/>
    <s v="USA"/>
    <s v="S17"/>
    <s v="FMG-S17"/>
    <s v="207588"/>
    <s v="0096"/>
    <n v="820"/>
    <s v="Default"/>
    <s v="General"/>
    <s v="US"/>
    <s v="en_US"/>
    <s v="USD"/>
    <s v=""/>
    <s v="Y"/>
    <s v=""/>
    <m/>
    <x v="168"/>
    <x v="1"/>
    <s v="212338"/>
    <b v="0"/>
  </r>
  <r>
    <s v="KSX"/>
    <s v="Barbara"/>
    <s v="C"/>
    <s v="Wilkinson"/>
    <s v=""/>
    <s v=""/>
    <s v="Burchell, Mathew"/>
    <s v="KSY211756"/>
    <s v=""/>
    <s v="wilkinsonb518@gmail.com"/>
    <s v="Assistant, Warehouse II"/>
    <d v="2023-01-16T00:00:00"/>
    <m/>
    <m/>
    <s v="Active"/>
    <s v="209539"/>
    <s v="Biweekly"/>
    <s v="Full Time"/>
    <s v="088"/>
    <s v="088-AS Raymond"/>
    <s v="Assembly"/>
    <s v="005100"/>
    <s v="AS Raymond"/>
    <s v=""/>
    <s v=""/>
    <s v="USA"/>
    <s v="S05"/>
    <s v="FMG-S05"/>
    <s v="211756"/>
    <s v="0088"/>
    <n v="5100"/>
    <s v="Default"/>
    <s v="General"/>
    <s v="US"/>
    <s v="en_US"/>
    <s v="USD"/>
    <s v=""/>
    <s v="Y"/>
    <s v=""/>
    <m/>
    <x v="169"/>
    <x v="0"/>
    <s v="211756"/>
    <b v="1"/>
  </r>
  <r>
    <s v="KSY"/>
    <s v="Rachel"/>
    <s v="L"/>
    <s v="Williams"/>
    <s v=""/>
    <s v=""/>
    <s v="Kemenah, Greg"/>
    <s v="KSY211766"/>
    <s v="rmarchyok@onebarnes.com"/>
    <s v="rachel.marchyok@gmail.com"/>
    <s v="Mgr, Customer Service I"/>
    <d v="2021-01-12T00:00:00"/>
    <m/>
    <m/>
    <s v="Active"/>
    <s v="202533"/>
    <s v="Monthly"/>
    <s v="Full Time"/>
    <s v="088"/>
    <s v="088-AS Raymond"/>
    <s v="Inside Sales"/>
    <s v="008100"/>
    <s v="AS Raymond"/>
    <s v=""/>
    <s v=""/>
    <s v="USA"/>
    <s v="S14"/>
    <s v="FMG-S14"/>
    <s v="211766"/>
    <s v="0088"/>
    <n v="8100"/>
    <s v="Default"/>
    <s v="General"/>
    <s v="US"/>
    <s v="en_US"/>
    <s v="USD"/>
    <s v=""/>
    <s v="Y"/>
    <s v=""/>
    <m/>
    <x v="170"/>
    <x v="2"/>
    <s v="211766"/>
    <b v="1"/>
  </r>
  <r>
    <s v="KSY"/>
    <s v="Shelly"/>
    <s v="R"/>
    <s v="Willis-Garza"/>
    <s v=""/>
    <s v=""/>
    <s v="Creager, Andrew"/>
    <s v="KSY212699"/>
    <s v="swillis-garza@onebarnes.com"/>
    <s v=""/>
    <s v="Buyer II"/>
    <d v="2021-10-06T00:00:00"/>
    <m/>
    <m/>
    <s v="Active"/>
    <s v="206672"/>
    <s v="Monthly"/>
    <s v="Full Time"/>
    <s v="088"/>
    <s v="088-AS Raymond"/>
    <s v="Admin-Material Management"/>
    <s v="009400"/>
    <s v="Work from home - Texas"/>
    <s v=""/>
    <s v=""/>
    <s v="USA"/>
    <s v="S12"/>
    <s v="FMG-S12"/>
    <s v="212699"/>
    <s v="0088"/>
    <n v="9400"/>
    <s v="Default"/>
    <s v="General"/>
    <s v="US"/>
    <s v="en_US"/>
    <s v="USD"/>
    <s v=""/>
    <s v="Y"/>
    <s v=""/>
    <m/>
    <x v="171"/>
    <x v="22"/>
    <s v="212699"/>
    <b v="1"/>
  </r>
  <r>
    <s v="KSY"/>
    <s v="David"/>
    <s v=""/>
    <s v="Wilson"/>
    <s v=""/>
    <s v=""/>
    <s v="Alexander, Thomas"/>
    <s v="KSY210892"/>
    <s v="dwilson@onebarnes.com"/>
    <s v=""/>
    <s v="Tech, Quality III"/>
    <d v="2022-07-25T00:00:00"/>
    <m/>
    <m/>
    <s v="Active"/>
    <s v="207809"/>
    <s v="Monthly"/>
    <s v="Full Time"/>
    <s v="088"/>
    <s v="088-AS Raymond"/>
    <s v="Admin-Quality"/>
    <s v="009500"/>
    <s v="AS Raymond"/>
    <s v=""/>
    <s v=""/>
    <s v="USA"/>
    <s v="S12"/>
    <s v="FMG-S12"/>
    <s v="210892"/>
    <s v="0088"/>
    <n v="9500"/>
    <s v="Default"/>
    <s v="General"/>
    <s v="US"/>
    <s v="en_US"/>
    <s v="USD"/>
    <s v=""/>
    <s v="Y"/>
    <s v=""/>
    <m/>
    <x v="172"/>
    <x v="18"/>
    <s v="210892"/>
    <b v="1"/>
  </r>
  <r>
    <s v="KSW"/>
    <s v="Richard"/>
    <s v="M"/>
    <s v="Wright"/>
    <s v="Max"/>
    <s v="Wright"/>
    <s v="Gang, Terry"/>
    <s v="V0U006780"/>
    <s v="mwright@onebarnes.com"/>
    <s v=""/>
    <s v="Mechanic, Maintenance A"/>
    <d v="2025-06-09T00:00:00"/>
    <m/>
    <m/>
    <s v="Active"/>
    <s v="212100"/>
    <s v="Biweekly"/>
    <s v="Full Time"/>
    <s v="025"/>
    <s v="025-NGP Hyson Products"/>
    <s v="Maintenance-Hyson"/>
    <s v="000450"/>
    <s v="Hyson Products"/>
    <s v=""/>
    <s v=""/>
    <s v="USA"/>
    <s v="H08"/>
    <s v="FMG-H08"/>
    <s v="006780"/>
    <s v="0096"/>
    <n v="450"/>
    <s v="Default"/>
    <s v="General"/>
    <s v="US"/>
    <s v="en_US"/>
    <s v="USD"/>
    <s v="Max Wright"/>
    <s v="Y"/>
    <s v=""/>
    <m/>
    <x v="173"/>
    <x v="19"/>
    <s v="006780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C10ED-A22C-3548-B229-2E4A0EC325B9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4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75">
        <item x="87"/>
        <item x="113"/>
        <item x="37"/>
        <item x="97"/>
        <item x="31"/>
        <item x="106"/>
        <item x="48"/>
        <item x="36"/>
        <item x="46"/>
        <item x="102"/>
        <item x="139"/>
        <item x="3"/>
        <item x="169"/>
        <item x="155"/>
        <item x="145"/>
        <item x="62"/>
        <item x="163"/>
        <item x="91"/>
        <item x="61"/>
        <item x="74"/>
        <item x="18"/>
        <item x="33"/>
        <item x="157"/>
        <item x="158"/>
        <item x="104"/>
        <item x="32"/>
        <item x="118"/>
        <item x="65"/>
        <item x="127"/>
        <item x="119"/>
        <item x="96"/>
        <item x="59"/>
        <item x="89"/>
        <item x="135"/>
        <item x="69"/>
        <item x="79"/>
        <item x="44"/>
        <item x="92"/>
        <item x="159"/>
        <item x="50"/>
        <item x="35"/>
        <item x="153"/>
        <item x="167"/>
        <item x="63"/>
        <item x="38"/>
        <item x="112"/>
        <item x="156"/>
        <item x="172"/>
        <item x="132"/>
        <item x="34"/>
        <item x="82"/>
        <item x="161"/>
        <item x="45"/>
        <item x="41"/>
        <item x="154"/>
        <item x="162"/>
        <item x="13"/>
        <item x="55"/>
        <item x="49"/>
        <item x="68"/>
        <item x="76"/>
        <item x="1"/>
        <item x="133"/>
        <item x="137"/>
        <item x="147"/>
        <item x="51"/>
        <item x="20"/>
        <item x="77"/>
        <item x="125"/>
        <item x="17"/>
        <item x="22"/>
        <item x="94"/>
        <item x="143"/>
        <item x="8"/>
        <item x="88"/>
        <item x="123"/>
        <item x="42"/>
        <item x="98"/>
        <item x="128"/>
        <item x="166"/>
        <item x="95"/>
        <item x="14"/>
        <item x="21"/>
        <item x="40"/>
        <item x="43"/>
        <item x="126"/>
        <item x="28"/>
        <item x="124"/>
        <item x="58"/>
        <item x="70"/>
        <item x="86"/>
        <item x="117"/>
        <item x="146"/>
        <item x="60"/>
        <item x="71"/>
        <item x="26"/>
        <item x="109"/>
        <item x="149"/>
        <item x="7"/>
        <item x="54"/>
        <item x="10"/>
        <item x="2"/>
        <item x="150"/>
        <item x="101"/>
        <item x="111"/>
        <item x="66"/>
        <item x="164"/>
        <item x="110"/>
        <item x="114"/>
        <item x="152"/>
        <item x="90"/>
        <item x="144"/>
        <item x="64"/>
        <item x="75"/>
        <item x="25"/>
        <item x="4"/>
        <item x="134"/>
        <item x="15"/>
        <item x="39"/>
        <item x="12"/>
        <item x="56"/>
        <item x="72"/>
        <item x="103"/>
        <item x="142"/>
        <item x="52"/>
        <item x="99"/>
        <item x="81"/>
        <item x="141"/>
        <item x="83"/>
        <item x="11"/>
        <item x="16"/>
        <item x="57"/>
        <item x="105"/>
        <item x="107"/>
        <item x="170"/>
        <item x="129"/>
        <item x="148"/>
        <item x="173"/>
        <item x="136"/>
        <item x="67"/>
        <item x="19"/>
        <item x="122"/>
        <item x="140"/>
        <item x="23"/>
        <item x="165"/>
        <item x="78"/>
        <item x="93"/>
        <item x="108"/>
        <item x="116"/>
        <item x="100"/>
        <item x="73"/>
        <item x="171"/>
        <item x="115"/>
        <item x="130"/>
        <item x="151"/>
        <item x="85"/>
        <item x="0"/>
        <item x="9"/>
        <item x="47"/>
        <item x="160"/>
        <item x="5"/>
        <item x="27"/>
        <item x="30"/>
        <item x="138"/>
        <item x="6"/>
        <item x="53"/>
        <item x="24"/>
        <item x="29"/>
        <item x="131"/>
        <item x="84"/>
        <item x="80"/>
        <item x="168"/>
        <item x="120"/>
        <item x="1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6">
        <item x="24"/>
        <item x="18"/>
        <item x="7"/>
        <item x="6"/>
        <item x="11"/>
        <item x="23"/>
        <item x="0"/>
        <item x="22"/>
        <item x="16"/>
        <item x="19"/>
        <item x="10"/>
        <item x="2"/>
        <item x="3"/>
        <item x="13"/>
        <item x="20"/>
        <item x="17"/>
        <item x="1"/>
        <item x="15"/>
        <item x="9"/>
        <item x="12"/>
        <item x="14"/>
        <item x="4"/>
        <item x="8"/>
        <item x="21"/>
        <item x="5"/>
        <item t="default"/>
      </items>
    </pivotField>
    <pivotField showAll="0"/>
    <pivotField showAll="0"/>
  </pivotFields>
  <rowFields count="1">
    <field x="40"/>
  </rowFields>
  <rowItems count="17">
    <i>
      <x v="9"/>
    </i>
    <i>
      <x v="64"/>
    </i>
    <i>
      <x v="122"/>
    </i>
    <i>
      <x v="90"/>
    </i>
    <i>
      <x v="42"/>
    </i>
    <i>
      <x v="159"/>
    </i>
    <i>
      <x v="49"/>
    </i>
    <i>
      <x v="162"/>
    </i>
    <i>
      <x v="31"/>
    </i>
    <i>
      <x v="25"/>
    </i>
    <i>
      <x v="18"/>
    </i>
    <i>
      <x v="72"/>
    </i>
    <i>
      <x v="13"/>
    </i>
    <i>
      <x v="74"/>
    </i>
    <i>
      <x v="87"/>
    </i>
    <i>
      <x v="59"/>
    </i>
    <i t="grand">
      <x/>
    </i>
  </rowItems>
  <colItems count="1">
    <i/>
  </colItems>
  <dataFields count="1">
    <dataField name="Count of Payroll Company Code" fld="0" subtotal="count" baseField="0" baseItem="0"/>
  </dataFields>
  <pivotTableStyleInfo name="PivotStyleLight16" showRowHeaders="1" showColHeaders="1" showRowStripes="0" showColStripes="0" showLastColumn="1"/>
  <filters count="1">
    <filter fld="40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80C-1666-B044-9A7D-107F6D5C708C}" name="Table1" displayName="Table1" ref="A3:AR202" totalsRowShown="0">
  <autoFilter ref="A3:AR202" xr:uid="{3207180C-1666-B044-9A7D-107F6D5C708C}"/>
  <tableColumns count="44">
    <tableColumn id="1" xr3:uid="{49DB6B22-FB7D-894E-90BA-8DBCF4B6AFFC}" name="Payroll Company Code"/>
    <tableColumn id="2" xr3:uid="{B58A10EE-E785-B14C-9A67-CBE5DC95D9EF}" name="Legal First Name"/>
    <tableColumn id="3" xr3:uid="{BE03AA64-6F40-004B-BA5B-F3AEF30D5B48}" name="Middle Initial"/>
    <tableColumn id="4" xr3:uid="{62F2DB78-C7B4-0341-8222-272EEFEF2529}" name="Legal Last Name"/>
    <tableColumn id="5" xr3:uid="{5B065AA3-1ED9-BD45-A36E-45452CC7EAE7}" name="Preferred or Chosen First Name"/>
    <tableColumn id="6" xr3:uid="{95CF769D-D53D-C444-980E-A8C7AD7F4E89}" name="Preferred or Chosen Last Name"/>
    <tableColumn id="7" xr3:uid="{38F40299-FFCE-DF40-BBD3-4E1CC5327FF9}" name="Reports To Legal Name"/>
    <tableColumn id="8" xr3:uid="{C0F33710-A436-8F46-94DF-AE5542525CEB}" name="Supervisor ID"/>
    <tableColumn id="9" xr3:uid="{BA86BC9B-4CA4-4341-870C-9B4A34A6B369}" name="Work Contact: Work Email"/>
    <tableColumn id="10" xr3:uid="{494F3CD7-AB35-9344-BD34-EFB478C12F1E}" name="Personal Contact: Personal Email"/>
    <tableColumn id="11" xr3:uid="{213351FC-D9E7-BC46-8C14-FE9B2AAAE9C0}" name="Job Title Description"/>
    <tableColumn id="12" xr3:uid="{DBEC9978-52E2-A442-A1FD-89B60B953328}" name="Hire Date" dataDxfId="0"/>
    <tableColumn id="13" xr3:uid="{8C1095B5-F6B1-064B-9377-918339BBB85D}" name="Termination Date"/>
    <tableColumn id="14" xr3:uid="{5AC40B01-6C2F-FF40-B8F7-514974513BE8}" name="Rehire Date"/>
    <tableColumn id="15" xr3:uid="{02CC2EC6-3502-C940-95B6-BB702169F897}" name="Position Status"/>
    <tableColumn id="16" xr3:uid="{DDF7430E-47A9-CE45-83B6-256CF2E5F09B}" name="File Number"/>
    <tableColumn id="17" xr3:uid="{7DA6D4BD-5A69-734F-845D-C5CC7D174411}" name="Pay Frequency"/>
    <tableColumn id="18" xr3:uid="{55447AAD-D36A-C540-8881-4807E298946C}" name="Employee Type"/>
    <tableColumn id="19" xr3:uid="{6C02E4DD-C425-E441-81F8-EE39151AE78B}" name="Business Unit Code"/>
    <tableColumn id="20" xr3:uid="{FD209453-CD33-9043-BC11-4321D49E6256}" name="Business Unit Description"/>
    <tableColumn id="21" xr3:uid="{694CC237-D2E1-3D45-8E81-73353EF607F3}" name="Home Department Description"/>
    <tableColumn id="22" xr3:uid="{21DB9379-FAAC-4C41-A100-DA779A4AB760}" name="Home Department Code"/>
    <tableColumn id="23" xr3:uid="{4C861FCF-D0F0-B249-AA6C-4D940722AC69}" name="Location Description"/>
    <tableColumn id="24" xr3:uid="{4C8CBD18-DBA3-5542-B1C0-341F099186BD}" name="Language Description"/>
    <tableColumn id="25" xr3:uid="{A1FE20E1-1D90-D74B-931F-94E62B52E87D}" name="Language Code"/>
    <tableColumn id="26" xr3:uid="{2865EE6D-9D61-CF4F-83D9-5A88454BC80F}" name="Legal / Preferred Address: Country Code"/>
    <tableColumn id="27" xr3:uid="{0F70FFA7-F2E4-424C-80C9-E12B4AC8AC94}" name="Pay Grade Code"/>
    <tableColumn id="28" xr3:uid="{31094BC1-0974-6642-ABC3-123695599B28}" name="Pay Grade Description"/>
    <tableColumn id="29" xr3:uid="{D9E5CF7D-E83F-854F-9A4D-577287F228DA}" name="SupervisorID Formatted"/>
    <tableColumn id="30" xr3:uid="{728DFA50-0566-AF48-9DC8-2186DADD35F5}" name="Org Unit 1"/>
    <tableColumn id="31" xr3:uid="{02701CB1-84CA-8340-9F3D-A6A8BB7D9B89}" name="Org Unit 2"/>
    <tableColumn id="32" xr3:uid="{88E29AD9-8B67-774E-B3C9-08D8A6A1BCF6}" name="Concur Profile"/>
    <tableColumn id="33" xr3:uid="{9D377C69-4E8F-3642-B315-C40877A236CA}" name="Travel Profile"/>
    <tableColumn id="34" xr3:uid="{1250D322-D7FF-1145-BBCF-5CEC8973A536}" name="Legal Country"/>
    <tableColumn id="35" xr3:uid="{62A2677C-9695-544D-BF51-850CF2EC4479}" name="Local Code"/>
    <tableColumn id="36" xr3:uid="{A641213E-27C1-C745-9FDE-5A69FD918D80}" name="Reumbursement Currency"/>
    <tableColumn id="37" xr3:uid="{045975E8-D563-AA45-A289-073682E360EC}" name="Perferred Name"/>
    <tableColumn id="38" xr3:uid="{52FF71E0-73D3-D740-A6F5-AE52DE387DBA}" name="Status"/>
    <tableColumn id="39" xr3:uid="{66800C93-4264-E749-8A6E-A66CBBD88323}" name="Term Date"/>
    <tableColumn id="40" xr3:uid="{A754EA3E-B128-6644-8248-6A353D6A9460}" name="7/20/26"/>
    <tableColumn id="41" xr3:uid="{22CC8C50-322A-3248-ACCC-DD3E7F123BA1}" name="Name"/>
    <tableColumn id="42" xr3:uid="{5D9A184D-06A3-8C42-AD76-80B500281DCD}" name="SupervisorLastName"/>
    <tableColumn id="43" xr3:uid="{6461E6CB-7DF4-CF4A-AEA7-DF789E369B48}" name="Lookup Supervisor ID"/>
    <tableColumn id="44" xr3:uid="{4371F9B3-06ED-3B4E-984A-407B9B9C225E}" name="SupervisorName=Superviso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TKlohn@onebar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046C-A2C1-174A-9ABC-781211E9119C}">
  <sheetPr>
    <tabColor theme="5"/>
  </sheetPr>
  <dimension ref="A1:AR202"/>
  <sheetViews>
    <sheetView workbookViewId="0">
      <selection activeCell="A3" sqref="A3:AR202"/>
    </sheetView>
  </sheetViews>
  <sheetFormatPr baseColWidth="10" defaultRowHeight="15"/>
  <cols>
    <col min="1" max="1" width="21" bestFit="1" customWidth="1"/>
    <col min="2" max="2" width="16.1640625" bestFit="1" customWidth="1"/>
    <col min="3" max="3" width="14.1640625" bestFit="1" customWidth="1"/>
    <col min="4" max="4" width="15.83203125" bestFit="1" customWidth="1"/>
    <col min="5" max="5" width="28" bestFit="1" customWidth="1"/>
    <col min="6" max="6" width="27.6640625" bestFit="1" customWidth="1"/>
    <col min="7" max="7" width="21.1640625" bestFit="1" customWidth="1"/>
    <col min="8" max="8" width="13.83203125" bestFit="1" customWidth="1"/>
    <col min="9" max="9" width="26.33203125" bestFit="1" customWidth="1"/>
    <col min="10" max="10" width="29.1640625" bestFit="1" customWidth="1"/>
    <col min="11" max="11" width="21.5" bestFit="1" customWidth="1"/>
    <col min="12" max="12" width="11" bestFit="1" customWidth="1"/>
    <col min="13" max="13" width="17.1640625" bestFit="1" customWidth="1"/>
    <col min="14" max="14" width="12.83203125" bestFit="1" customWidth="1"/>
    <col min="15" max="15" width="15" bestFit="1" customWidth="1"/>
    <col min="16" max="16" width="13.1640625" bestFit="1" customWidth="1"/>
    <col min="17" max="17" width="14.83203125" bestFit="1" customWidth="1"/>
    <col min="18" max="18" width="18.6640625" bestFit="1" customWidth="1"/>
    <col min="19" max="19" width="18.1640625" bestFit="1" customWidth="1"/>
    <col min="20" max="20" width="23.33203125" bestFit="1" customWidth="1"/>
    <col min="21" max="21" width="27.83203125" bestFit="1" customWidth="1"/>
    <col min="22" max="22" width="22.6640625" bestFit="1" customWidth="1"/>
    <col min="23" max="23" width="26.33203125" bestFit="1" customWidth="1"/>
    <col min="24" max="24" width="20.33203125" bestFit="1" customWidth="1"/>
    <col min="25" max="25" width="15.1640625" bestFit="1" customWidth="1"/>
    <col min="26" max="26" width="35.1640625" bestFit="1" customWidth="1"/>
    <col min="27" max="27" width="15.6640625" bestFit="1" customWidth="1"/>
    <col min="28" max="28" width="20.83203125" bestFit="1" customWidth="1"/>
    <col min="29" max="29" width="22.1640625" bestFit="1" customWidth="1"/>
    <col min="30" max="30" width="22.5" bestFit="1" customWidth="1"/>
    <col min="31" max="31" width="29.5" bestFit="1" customWidth="1"/>
    <col min="32" max="33" width="19.6640625" bestFit="1" customWidth="1"/>
    <col min="34" max="34" width="21.5" bestFit="1" customWidth="1"/>
    <col min="35" max="35" width="52.5" bestFit="1" customWidth="1"/>
    <col min="36" max="36" width="24.33203125" bestFit="1" customWidth="1"/>
    <col min="37" max="37" width="16" bestFit="1" customWidth="1"/>
    <col min="38" max="38" width="11" bestFit="1" customWidth="1"/>
    <col min="39" max="39" width="11.6640625" bestFit="1" customWidth="1"/>
    <col min="40" max="40" width="35.1640625" bestFit="1" customWidth="1"/>
    <col min="41" max="41" width="19.33203125" bestFit="1" customWidth="1"/>
    <col min="42" max="42" width="19.5" bestFit="1" customWidth="1"/>
    <col min="43" max="43" width="20" bestFit="1" customWidth="1"/>
    <col min="44" max="44" width="27.6640625" bestFit="1" customWidth="1"/>
  </cols>
  <sheetData>
    <row r="1" spans="1:44">
      <c r="A1" s="60" t="s">
        <v>6187</v>
      </c>
    </row>
    <row r="3" spans="1:44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5013</v>
      </c>
      <c r="AD3" t="s">
        <v>5014</v>
      </c>
      <c r="AE3" t="s">
        <v>5015</v>
      </c>
      <c r="AF3" t="s">
        <v>5016</v>
      </c>
      <c r="AG3" t="s">
        <v>5373</v>
      </c>
      <c r="AH3" t="s">
        <v>5374</v>
      </c>
      <c r="AI3" t="s">
        <v>5375</v>
      </c>
      <c r="AJ3" t="s">
        <v>5390</v>
      </c>
      <c r="AK3" t="s">
        <v>5391</v>
      </c>
      <c r="AL3" t="s">
        <v>5392</v>
      </c>
      <c r="AM3" t="s">
        <v>5394</v>
      </c>
      <c r="AN3" t="s">
        <v>6146</v>
      </c>
      <c r="AO3" t="s">
        <v>5965</v>
      </c>
      <c r="AP3" t="s">
        <v>5966</v>
      </c>
      <c r="AQ3" t="s">
        <v>5967</v>
      </c>
      <c r="AR3" t="s">
        <v>5968</v>
      </c>
    </row>
    <row r="4" spans="1:44">
      <c r="A4" t="s">
        <v>34</v>
      </c>
      <c r="B4" t="s">
        <v>2458</v>
      </c>
      <c r="C4" t="s">
        <v>109</v>
      </c>
      <c r="D4" t="s">
        <v>2460</v>
      </c>
      <c r="E4" t="s">
        <v>36</v>
      </c>
      <c r="F4" t="s">
        <v>36</v>
      </c>
      <c r="G4" t="s">
        <v>38</v>
      </c>
      <c r="H4" t="s">
        <v>39</v>
      </c>
      <c r="I4" t="s">
        <v>36</v>
      </c>
      <c r="J4" t="s">
        <v>2466</v>
      </c>
      <c r="K4" t="s">
        <v>42</v>
      </c>
      <c r="L4" s="74">
        <v>45208</v>
      </c>
      <c r="O4" t="s">
        <v>43</v>
      </c>
      <c r="P4" t="s">
        <v>2469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36</v>
      </c>
      <c r="Y4" t="s">
        <v>36</v>
      </c>
      <c r="Z4" t="s">
        <v>54</v>
      </c>
      <c r="AA4" t="s">
        <v>55</v>
      </c>
      <c r="AB4" t="s">
        <v>56</v>
      </c>
      <c r="AC4" t="s">
        <v>669</v>
      </c>
      <c r="AD4" t="s">
        <v>5018</v>
      </c>
      <c r="AE4">
        <v>5100</v>
      </c>
      <c r="AF4" t="s">
        <v>5164</v>
      </c>
      <c r="AG4" t="s">
        <v>5378</v>
      </c>
      <c r="AH4" t="s">
        <v>5366</v>
      </c>
      <c r="AI4" t="s">
        <v>5169</v>
      </c>
      <c r="AJ4" t="s">
        <v>5383</v>
      </c>
      <c r="AK4" t="s">
        <v>36</v>
      </c>
      <c r="AL4" t="s">
        <v>5381</v>
      </c>
      <c r="AM4" t="s">
        <v>36</v>
      </c>
      <c r="AO4" t="s">
        <v>5971</v>
      </c>
      <c r="AP4" t="s">
        <v>660</v>
      </c>
      <c r="AQ4" t="s">
        <v>669</v>
      </c>
      <c r="AR4" t="b">
        <v>1</v>
      </c>
    </row>
    <row r="5" spans="1:44">
      <c r="A5" t="s">
        <v>57</v>
      </c>
      <c r="B5" t="s">
        <v>3258</v>
      </c>
      <c r="C5" t="s">
        <v>36</v>
      </c>
      <c r="D5" t="s">
        <v>3260</v>
      </c>
      <c r="E5" t="s">
        <v>36</v>
      </c>
      <c r="F5" t="s">
        <v>36</v>
      </c>
      <c r="G5" t="s">
        <v>2488</v>
      </c>
      <c r="H5" t="s">
        <v>2489</v>
      </c>
      <c r="I5" t="s">
        <v>3265</v>
      </c>
      <c r="J5" t="s">
        <v>3266</v>
      </c>
      <c r="K5" t="s">
        <v>3267</v>
      </c>
      <c r="L5" s="74">
        <v>45831</v>
      </c>
      <c r="O5" t="s">
        <v>43</v>
      </c>
      <c r="P5" t="s">
        <v>3269</v>
      </c>
      <c r="Q5" t="s">
        <v>70</v>
      </c>
      <c r="R5" t="s">
        <v>46</v>
      </c>
      <c r="S5" t="s">
        <v>47</v>
      </c>
      <c r="T5" t="s">
        <v>48</v>
      </c>
      <c r="U5" t="s">
        <v>874</v>
      </c>
      <c r="V5" t="s">
        <v>875</v>
      </c>
      <c r="W5" t="s">
        <v>51</v>
      </c>
      <c r="X5" t="s">
        <v>36</v>
      </c>
      <c r="Y5" t="s">
        <v>36</v>
      </c>
      <c r="Z5" t="s">
        <v>54</v>
      </c>
      <c r="AA5" t="s">
        <v>230</v>
      </c>
      <c r="AB5" t="s">
        <v>231</v>
      </c>
      <c r="AC5" t="s">
        <v>869</v>
      </c>
      <c r="AD5" t="s">
        <v>5018</v>
      </c>
      <c r="AE5">
        <v>9400</v>
      </c>
      <c r="AF5" t="s">
        <v>5164</v>
      </c>
      <c r="AG5" t="s">
        <v>5378</v>
      </c>
      <c r="AH5" t="s">
        <v>5366</v>
      </c>
      <c r="AI5" t="s">
        <v>5169</v>
      </c>
      <c r="AJ5" t="s">
        <v>5383</v>
      </c>
      <c r="AK5" t="s">
        <v>36</v>
      </c>
      <c r="AL5" t="s">
        <v>5381</v>
      </c>
      <c r="AM5" t="s">
        <v>36</v>
      </c>
      <c r="AO5" t="s">
        <v>5972</v>
      </c>
      <c r="AP5" t="s">
        <v>860</v>
      </c>
      <c r="AQ5" t="s">
        <v>869</v>
      </c>
      <c r="AR5" t="b">
        <v>1</v>
      </c>
    </row>
    <row r="6" spans="1:44">
      <c r="A6" t="s">
        <v>34</v>
      </c>
      <c r="B6" t="s">
        <v>1083</v>
      </c>
      <c r="C6" t="s">
        <v>36</v>
      </c>
      <c r="D6" t="s">
        <v>1085</v>
      </c>
      <c r="E6" t="s">
        <v>36</v>
      </c>
      <c r="F6" t="s">
        <v>36</v>
      </c>
      <c r="G6" t="s">
        <v>38</v>
      </c>
      <c r="H6" t="s">
        <v>39</v>
      </c>
      <c r="I6" t="s">
        <v>1090</v>
      </c>
      <c r="J6" t="s">
        <v>1091</v>
      </c>
      <c r="K6" t="s">
        <v>42</v>
      </c>
      <c r="L6" s="74">
        <v>45754</v>
      </c>
      <c r="O6" t="s">
        <v>43</v>
      </c>
      <c r="P6" t="s">
        <v>1094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36</v>
      </c>
      <c r="Y6" t="s">
        <v>36</v>
      </c>
      <c r="Z6" t="s">
        <v>54</v>
      </c>
      <c r="AA6" t="s">
        <v>55</v>
      </c>
      <c r="AB6" t="s">
        <v>56</v>
      </c>
      <c r="AC6" t="s">
        <v>669</v>
      </c>
      <c r="AD6" t="s">
        <v>5018</v>
      </c>
      <c r="AE6">
        <v>5100</v>
      </c>
      <c r="AF6" t="s">
        <v>5164</v>
      </c>
      <c r="AG6" t="s">
        <v>5378</v>
      </c>
      <c r="AH6" t="s">
        <v>5366</v>
      </c>
      <c r="AI6" t="s">
        <v>5169</v>
      </c>
      <c r="AJ6" t="s">
        <v>5383</v>
      </c>
      <c r="AK6" t="s">
        <v>36</v>
      </c>
      <c r="AL6" t="s">
        <v>5381</v>
      </c>
      <c r="AM6" t="s">
        <v>36</v>
      </c>
      <c r="AO6" t="s">
        <v>5973</v>
      </c>
      <c r="AP6" t="s">
        <v>660</v>
      </c>
      <c r="AQ6" t="s">
        <v>669</v>
      </c>
      <c r="AR6" t="b">
        <v>1</v>
      </c>
    </row>
    <row r="7" spans="1:44">
      <c r="A7" t="s">
        <v>282</v>
      </c>
      <c r="B7" t="s">
        <v>2733</v>
      </c>
      <c r="C7" t="s">
        <v>1184</v>
      </c>
      <c r="D7" t="s">
        <v>2735</v>
      </c>
      <c r="E7" t="s">
        <v>36</v>
      </c>
      <c r="F7" t="s">
        <v>36</v>
      </c>
      <c r="G7" t="s">
        <v>213</v>
      </c>
      <c r="H7" t="s">
        <v>214</v>
      </c>
      <c r="I7" t="s">
        <v>2740</v>
      </c>
      <c r="J7" t="s">
        <v>2741</v>
      </c>
      <c r="K7" t="s">
        <v>217</v>
      </c>
      <c r="L7" s="74">
        <v>35338</v>
      </c>
      <c r="O7" t="s">
        <v>43</v>
      </c>
      <c r="P7" t="s">
        <v>2744</v>
      </c>
      <c r="Q7" t="s">
        <v>70</v>
      </c>
      <c r="R7" t="s">
        <v>46</v>
      </c>
      <c r="S7" t="s">
        <v>297</v>
      </c>
      <c r="T7" t="s">
        <v>298</v>
      </c>
      <c r="U7" t="s">
        <v>2749</v>
      </c>
      <c r="V7" t="s">
        <v>2750</v>
      </c>
      <c r="W7" t="s">
        <v>301</v>
      </c>
      <c r="X7" t="s">
        <v>36</v>
      </c>
      <c r="Y7" t="s">
        <v>36</v>
      </c>
      <c r="Z7" t="s">
        <v>54</v>
      </c>
      <c r="AA7" t="s">
        <v>230</v>
      </c>
      <c r="AB7" t="s">
        <v>231</v>
      </c>
      <c r="AC7" t="s">
        <v>4668</v>
      </c>
      <c r="AD7" t="s">
        <v>5017</v>
      </c>
      <c r="AE7">
        <v>910</v>
      </c>
      <c r="AF7" t="s">
        <v>5164</v>
      </c>
      <c r="AG7" t="s">
        <v>5378</v>
      </c>
      <c r="AH7" t="s">
        <v>5366</v>
      </c>
      <c r="AI7" t="s">
        <v>5169</v>
      </c>
      <c r="AJ7" t="s">
        <v>5383</v>
      </c>
      <c r="AK7" t="s">
        <v>36</v>
      </c>
      <c r="AL7" t="s">
        <v>5381</v>
      </c>
      <c r="AM7" t="s">
        <v>36</v>
      </c>
      <c r="AO7" t="s">
        <v>5974</v>
      </c>
      <c r="AP7" t="s">
        <v>4659</v>
      </c>
      <c r="AQ7" t="s">
        <v>4668</v>
      </c>
      <c r="AR7" t="b">
        <v>1</v>
      </c>
    </row>
    <row r="8" spans="1:44">
      <c r="A8" t="s">
        <v>57</v>
      </c>
      <c r="B8" t="s">
        <v>858</v>
      </c>
      <c r="C8" t="s">
        <v>234</v>
      </c>
      <c r="D8" t="s">
        <v>860</v>
      </c>
      <c r="E8" t="s">
        <v>36</v>
      </c>
      <c r="F8" t="s">
        <v>36</v>
      </c>
      <c r="G8" t="s">
        <v>413</v>
      </c>
      <c r="H8" t="s">
        <v>89</v>
      </c>
      <c r="I8" t="s">
        <v>865</v>
      </c>
      <c r="J8" t="s">
        <v>36</v>
      </c>
      <c r="K8" t="s">
        <v>867</v>
      </c>
      <c r="L8" s="74">
        <v>45957</v>
      </c>
      <c r="O8" t="s">
        <v>43</v>
      </c>
      <c r="P8" t="s">
        <v>869</v>
      </c>
      <c r="Q8" t="s">
        <v>70</v>
      </c>
      <c r="R8" t="s">
        <v>46</v>
      </c>
      <c r="S8" t="s">
        <v>47</v>
      </c>
      <c r="T8" t="s">
        <v>48</v>
      </c>
      <c r="U8" t="s">
        <v>874</v>
      </c>
      <c r="V8" t="s">
        <v>875</v>
      </c>
      <c r="W8" t="s">
        <v>51</v>
      </c>
      <c r="X8" t="s">
        <v>36</v>
      </c>
      <c r="Y8" t="s">
        <v>36</v>
      </c>
      <c r="Z8" t="s">
        <v>54</v>
      </c>
      <c r="AA8" t="s">
        <v>880</v>
      </c>
      <c r="AB8" t="s">
        <v>881</v>
      </c>
      <c r="AC8" t="s">
        <v>2144</v>
      </c>
      <c r="AD8" t="s">
        <v>5018</v>
      </c>
      <c r="AE8">
        <v>9400</v>
      </c>
      <c r="AF8" t="s">
        <v>5164</v>
      </c>
      <c r="AG8" t="s">
        <v>5378</v>
      </c>
      <c r="AH8" t="s">
        <v>5366</v>
      </c>
      <c r="AI8" t="s">
        <v>5169</v>
      </c>
      <c r="AJ8" t="s">
        <v>5383</v>
      </c>
      <c r="AK8" t="s">
        <v>36</v>
      </c>
      <c r="AL8" t="s">
        <v>5381</v>
      </c>
      <c r="AM8" t="s">
        <v>36</v>
      </c>
      <c r="AO8" t="s">
        <v>5975</v>
      </c>
      <c r="AP8" t="s">
        <v>235</v>
      </c>
      <c r="AQ8" t="s">
        <v>244</v>
      </c>
      <c r="AR8" t="b">
        <v>0</v>
      </c>
    </row>
    <row r="9" spans="1:44">
      <c r="A9" t="s">
        <v>34</v>
      </c>
      <c r="B9" t="s">
        <v>3083</v>
      </c>
      <c r="C9" t="s">
        <v>36</v>
      </c>
      <c r="D9" t="s">
        <v>3085</v>
      </c>
      <c r="E9" t="s">
        <v>36</v>
      </c>
      <c r="F9" t="s">
        <v>36</v>
      </c>
      <c r="G9" t="s">
        <v>38</v>
      </c>
      <c r="H9" t="s">
        <v>39</v>
      </c>
      <c r="I9" t="s">
        <v>36</v>
      </c>
      <c r="J9" t="s">
        <v>3091</v>
      </c>
      <c r="K9" t="s">
        <v>42</v>
      </c>
      <c r="L9" s="74">
        <v>45881</v>
      </c>
      <c r="O9" t="s">
        <v>43</v>
      </c>
      <c r="P9" t="s">
        <v>3094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51</v>
      </c>
      <c r="X9" t="s">
        <v>36</v>
      </c>
      <c r="Y9" t="s">
        <v>36</v>
      </c>
      <c r="Z9" t="s">
        <v>54</v>
      </c>
      <c r="AA9" t="s">
        <v>55</v>
      </c>
      <c r="AB9" t="s">
        <v>56</v>
      </c>
      <c r="AC9" t="s">
        <v>669</v>
      </c>
      <c r="AD9" t="s">
        <v>5018</v>
      </c>
      <c r="AE9">
        <v>5100</v>
      </c>
      <c r="AF9" t="s">
        <v>5164</v>
      </c>
      <c r="AG9" t="s">
        <v>5378</v>
      </c>
      <c r="AH9" t="s">
        <v>5366</v>
      </c>
      <c r="AI9" t="s">
        <v>5169</v>
      </c>
      <c r="AJ9" t="s">
        <v>5383</v>
      </c>
      <c r="AK9" t="s">
        <v>36</v>
      </c>
      <c r="AL9" t="s">
        <v>5381</v>
      </c>
      <c r="AM9" t="s">
        <v>36</v>
      </c>
      <c r="AO9" t="s">
        <v>5976</v>
      </c>
      <c r="AP9" t="s">
        <v>660</v>
      </c>
      <c r="AQ9" t="s">
        <v>669</v>
      </c>
      <c r="AR9" t="b">
        <v>1</v>
      </c>
    </row>
    <row r="10" spans="1:44">
      <c r="A10" t="s">
        <v>282</v>
      </c>
      <c r="B10" t="s">
        <v>1358</v>
      </c>
      <c r="C10" t="s">
        <v>109</v>
      </c>
      <c r="D10" t="s">
        <v>1360</v>
      </c>
      <c r="E10" t="s">
        <v>36</v>
      </c>
      <c r="F10" t="s">
        <v>36</v>
      </c>
      <c r="G10" t="s">
        <v>588</v>
      </c>
      <c r="H10" t="s">
        <v>36</v>
      </c>
      <c r="I10" t="s">
        <v>1365</v>
      </c>
      <c r="J10" t="s">
        <v>1366</v>
      </c>
      <c r="K10" t="s">
        <v>1367</v>
      </c>
      <c r="L10" s="74">
        <v>46265</v>
      </c>
      <c r="O10" t="s">
        <v>43</v>
      </c>
      <c r="P10" t="s">
        <v>1369</v>
      </c>
      <c r="Q10" t="s">
        <v>70</v>
      </c>
      <c r="R10" t="s">
        <v>46</v>
      </c>
      <c r="S10" t="s">
        <v>297</v>
      </c>
      <c r="T10" t="s">
        <v>298</v>
      </c>
      <c r="U10" t="s">
        <v>324</v>
      </c>
      <c r="V10" t="s">
        <v>325</v>
      </c>
      <c r="W10" t="s">
        <v>301</v>
      </c>
      <c r="X10" t="s">
        <v>36</v>
      </c>
      <c r="Y10" t="s">
        <v>36</v>
      </c>
      <c r="Z10" t="s">
        <v>54</v>
      </c>
      <c r="AA10" t="s">
        <v>880</v>
      </c>
      <c r="AB10" t="s">
        <v>881</v>
      </c>
      <c r="AC10" t="s">
        <v>36</v>
      </c>
      <c r="AD10" t="s">
        <v>5017</v>
      </c>
      <c r="AE10" t="s">
        <v>5021</v>
      </c>
      <c r="AF10" t="s">
        <v>5164</v>
      </c>
      <c r="AG10" t="s">
        <v>5378</v>
      </c>
      <c r="AH10" t="s">
        <v>5366</v>
      </c>
      <c r="AI10" t="s">
        <v>5169</v>
      </c>
      <c r="AJ10" t="s">
        <v>5383</v>
      </c>
      <c r="AK10" t="s">
        <v>36</v>
      </c>
      <c r="AL10" t="s">
        <v>5381</v>
      </c>
      <c r="AM10" t="s">
        <v>36</v>
      </c>
      <c r="AO10" t="s">
        <v>5977</v>
      </c>
      <c r="AP10" t="s">
        <v>310</v>
      </c>
      <c r="AQ10" t="s">
        <v>319</v>
      </c>
      <c r="AR10" t="b">
        <v>0</v>
      </c>
    </row>
    <row r="11" spans="1:44">
      <c r="A11" t="s">
        <v>457</v>
      </c>
      <c r="B11" t="s">
        <v>1058</v>
      </c>
      <c r="C11" t="s">
        <v>36</v>
      </c>
      <c r="D11" t="s">
        <v>1060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1066</v>
      </c>
      <c r="K11" t="s">
        <v>1067</v>
      </c>
      <c r="L11" s="74">
        <v>45859</v>
      </c>
      <c r="M11" s="74">
        <v>46046</v>
      </c>
      <c r="O11" t="s">
        <v>143</v>
      </c>
      <c r="P11" t="s">
        <v>1069</v>
      </c>
      <c r="Q11" t="s">
        <v>45</v>
      </c>
      <c r="R11" t="s">
        <v>46</v>
      </c>
      <c r="S11" t="s">
        <v>297</v>
      </c>
      <c r="T11" t="s">
        <v>298</v>
      </c>
      <c r="U11" t="s">
        <v>1074</v>
      </c>
      <c r="V11" t="s">
        <v>1075</v>
      </c>
      <c r="W11" t="s">
        <v>301</v>
      </c>
      <c r="X11" t="s">
        <v>36</v>
      </c>
      <c r="Y11" t="s">
        <v>36</v>
      </c>
      <c r="Z11" t="s">
        <v>54</v>
      </c>
      <c r="AA11" t="s">
        <v>580</v>
      </c>
      <c r="AB11" t="s">
        <v>581</v>
      </c>
      <c r="AC11" t="s">
        <v>36</v>
      </c>
      <c r="AD11" t="s">
        <v>5017</v>
      </c>
      <c r="AE11">
        <v>100</v>
      </c>
      <c r="AF11" t="s">
        <v>5164</v>
      </c>
      <c r="AG11" t="s">
        <v>5378</v>
      </c>
      <c r="AH11" t="s">
        <v>5366</v>
      </c>
      <c r="AI11" t="s">
        <v>5169</v>
      </c>
      <c r="AJ11" t="s">
        <v>5383</v>
      </c>
      <c r="AK11" t="s">
        <v>36</v>
      </c>
      <c r="AL11" t="s">
        <v>5153</v>
      </c>
      <c r="AM11" t="s">
        <v>6147</v>
      </c>
      <c r="AN11" t="s">
        <v>6148</v>
      </c>
      <c r="AO11" t="s">
        <v>5978</v>
      </c>
      <c r="AP11" t="e">
        <v>#VALUE!</v>
      </c>
      <c r="AQ11" t="s">
        <v>6149</v>
      </c>
      <c r="AR11" t="b">
        <v>0</v>
      </c>
    </row>
    <row r="12" spans="1:44">
      <c r="A12" t="s">
        <v>457</v>
      </c>
      <c r="B12" t="s">
        <v>1058</v>
      </c>
      <c r="C12" t="s">
        <v>234</v>
      </c>
      <c r="D12" t="s">
        <v>1310</v>
      </c>
      <c r="E12" t="s">
        <v>36</v>
      </c>
      <c r="F12" t="s">
        <v>36</v>
      </c>
      <c r="G12" t="s">
        <v>463</v>
      </c>
      <c r="H12" t="s">
        <v>464</v>
      </c>
      <c r="I12" t="s">
        <v>1315</v>
      </c>
      <c r="J12" t="s">
        <v>1316</v>
      </c>
      <c r="K12" t="s">
        <v>1317</v>
      </c>
      <c r="L12" s="74">
        <v>37410</v>
      </c>
      <c r="O12" t="s">
        <v>43</v>
      </c>
      <c r="P12" t="s">
        <v>1319</v>
      </c>
      <c r="Q12" t="s">
        <v>45</v>
      </c>
      <c r="R12" t="s">
        <v>46</v>
      </c>
      <c r="S12" t="s">
        <v>297</v>
      </c>
      <c r="T12" t="s">
        <v>298</v>
      </c>
      <c r="U12" t="s">
        <v>1074</v>
      </c>
      <c r="V12" t="s">
        <v>1075</v>
      </c>
      <c r="W12" t="s">
        <v>301</v>
      </c>
      <c r="X12" t="s">
        <v>36</v>
      </c>
      <c r="Y12" t="s">
        <v>36</v>
      </c>
      <c r="Z12" t="s">
        <v>54</v>
      </c>
      <c r="AA12" t="s">
        <v>1130</v>
      </c>
      <c r="AB12" t="s">
        <v>1131</v>
      </c>
      <c r="AC12" t="s">
        <v>4018</v>
      </c>
      <c r="AD12" t="s">
        <v>5017</v>
      </c>
      <c r="AE12">
        <v>100</v>
      </c>
      <c r="AF12" t="s">
        <v>5164</v>
      </c>
      <c r="AG12" t="s">
        <v>5378</v>
      </c>
      <c r="AH12" t="s">
        <v>5366</v>
      </c>
      <c r="AI12" t="s">
        <v>5169</v>
      </c>
      <c r="AJ12" t="s">
        <v>5383</v>
      </c>
      <c r="AK12" t="s">
        <v>36</v>
      </c>
      <c r="AL12" t="s">
        <v>5381</v>
      </c>
      <c r="AM12" t="s">
        <v>36</v>
      </c>
      <c r="AO12" t="s">
        <v>5979</v>
      </c>
      <c r="AP12" t="s">
        <v>4009</v>
      </c>
      <c r="AQ12" t="s">
        <v>4018</v>
      </c>
      <c r="AR12" t="b">
        <v>1</v>
      </c>
    </row>
    <row r="13" spans="1:44">
      <c r="A13" t="s">
        <v>282</v>
      </c>
      <c r="B13" t="s">
        <v>1058</v>
      </c>
      <c r="C13" t="s">
        <v>234</v>
      </c>
      <c r="D13" t="s">
        <v>2860</v>
      </c>
      <c r="E13" t="s">
        <v>36</v>
      </c>
      <c r="F13" t="s">
        <v>36</v>
      </c>
      <c r="G13" t="s">
        <v>2863</v>
      </c>
      <c r="H13" t="s">
        <v>36</v>
      </c>
      <c r="I13" t="s">
        <v>2865</v>
      </c>
      <c r="J13" t="s">
        <v>36</v>
      </c>
      <c r="K13" t="s">
        <v>2867</v>
      </c>
      <c r="L13" s="74">
        <v>45810</v>
      </c>
      <c r="M13" s="74">
        <v>46176</v>
      </c>
      <c r="O13" t="s">
        <v>143</v>
      </c>
      <c r="P13" t="s">
        <v>2869</v>
      </c>
      <c r="Q13" t="s">
        <v>70</v>
      </c>
      <c r="R13" t="s">
        <v>546</v>
      </c>
      <c r="S13" t="s">
        <v>297</v>
      </c>
      <c r="T13" t="s">
        <v>298</v>
      </c>
      <c r="U13" t="s">
        <v>2874</v>
      </c>
      <c r="V13" t="s">
        <v>2875</v>
      </c>
      <c r="W13" t="s">
        <v>301</v>
      </c>
      <c r="X13" t="s">
        <v>36</v>
      </c>
      <c r="Y13" t="s">
        <v>36</v>
      </c>
      <c r="Z13" t="s">
        <v>54</v>
      </c>
      <c r="AA13" t="s">
        <v>480</v>
      </c>
      <c r="AB13" t="s">
        <v>481</v>
      </c>
      <c r="AC13" t="s">
        <v>36</v>
      </c>
      <c r="AD13" t="s">
        <v>5017</v>
      </c>
      <c r="AE13">
        <v>900</v>
      </c>
      <c r="AF13" t="s">
        <v>5164</v>
      </c>
      <c r="AG13" t="s">
        <v>5378</v>
      </c>
      <c r="AH13" t="s">
        <v>5366</v>
      </c>
      <c r="AI13" t="s">
        <v>5169</v>
      </c>
      <c r="AJ13" t="s">
        <v>5383</v>
      </c>
      <c r="AK13" t="s">
        <v>36</v>
      </c>
      <c r="AL13" t="s">
        <v>5153</v>
      </c>
      <c r="AM13" t="s">
        <v>6150</v>
      </c>
      <c r="AN13" t="s">
        <v>6151</v>
      </c>
      <c r="AO13" t="s">
        <v>5980</v>
      </c>
      <c r="AP13" t="s">
        <v>585</v>
      </c>
      <c r="AQ13" t="s">
        <v>594</v>
      </c>
      <c r="AR13" t="b">
        <v>0</v>
      </c>
    </row>
    <row r="14" spans="1:44">
      <c r="A14" t="s">
        <v>34</v>
      </c>
      <c r="B14" t="s">
        <v>1058</v>
      </c>
      <c r="C14" t="s">
        <v>234</v>
      </c>
      <c r="D14" t="s">
        <v>2860</v>
      </c>
      <c r="E14" t="s">
        <v>36</v>
      </c>
      <c r="F14" t="s">
        <v>36</v>
      </c>
      <c r="G14" t="s">
        <v>36</v>
      </c>
      <c r="H14" t="s">
        <v>36</v>
      </c>
      <c r="I14" t="s">
        <v>2865</v>
      </c>
      <c r="J14" t="s">
        <v>36</v>
      </c>
      <c r="K14" t="s">
        <v>36</v>
      </c>
      <c r="L14" s="74">
        <v>45810</v>
      </c>
      <c r="M14" s="74">
        <v>45878</v>
      </c>
      <c r="O14" t="s">
        <v>143</v>
      </c>
      <c r="P14" t="s">
        <v>2869</v>
      </c>
      <c r="Q14" t="s">
        <v>45</v>
      </c>
      <c r="R14" t="s">
        <v>46</v>
      </c>
      <c r="S14" t="s">
        <v>36</v>
      </c>
      <c r="T14" t="s">
        <v>36</v>
      </c>
      <c r="U14" t="s">
        <v>36</v>
      </c>
      <c r="V14" t="s">
        <v>575</v>
      </c>
      <c r="W14" t="s">
        <v>51</v>
      </c>
      <c r="X14" t="s">
        <v>36</v>
      </c>
      <c r="Y14" t="s">
        <v>36</v>
      </c>
      <c r="Z14" t="s">
        <v>54</v>
      </c>
      <c r="AA14" t="s">
        <v>36</v>
      </c>
      <c r="AB14" t="s">
        <v>36</v>
      </c>
      <c r="AC14" t="s">
        <v>36</v>
      </c>
      <c r="AD14" t="s">
        <v>6152</v>
      </c>
      <c r="AE14" t="s">
        <v>6153</v>
      </c>
      <c r="AF14" t="s">
        <v>6154</v>
      </c>
      <c r="AG14" t="s">
        <v>6154</v>
      </c>
      <c r="AH14" t="s">
        <v>5366</v>
      </c>
      <c r="AI14" t="s">
        <v>6155</v>
      </c>
      <c r="AJ14" t="s">
        <v>6156</v>
      </c>
      <c r="AK14" t="s">
        <v>36</v>
      </c>
      <c r="AL14" t="s">
        <v>5153</v>
      </c>
      <c r="AM14" t="s">
        <v>6157</v>
      </c>
      <c r="AN14" t="s">
        <v>6148</v>
      </c>
      <c r="AO14" t="s">
        <v>5980</v>
      </c>
      <c r="AP14" t="e">
        <v>#VALUE!</v>
      </c>
      <c r="AQ14" t="s">
        <v>6149</v>
      </c>
      <c r="AR14" t="b">
        <v>0</v>
      </c>
    </row>
    <row r="15" spans="1:44">
      <c r="A15" t="s">
        <v>457</v>
      </c>
      <c r="B15" t="s">
        <v>1058</v>
      </c>
      <c r="C15" t="s">
        <v>234</v>
      </c>
      <c r="D15" t="s">
        <v>2860</v>
      </c>
      <c r="E15" t="s">
        <v>36</v>
      </c>
      <c r="F15" t="s">
        <v>36</v>
      </c>
      <c r="G15" t="s">
        <v>2863</v>
      </c>
      <c r="H15" t="s">
        <v>2914</v>
      </c>
      <c r="I15" t="s">
        <v>2865</v>
      </c>
      <c r="J15" t="s">
        <v>36</v>
      </c>
      <c r="K15" t="s">
        <v>2867</v>
      </c>
      <c r="L15" s="74">
        <v>45810</v>
      </c>
      <c r="M15" s="74">
        <v>46248</v>
      </c>
      <c r="O15" t="s">
        <v>143</v>
      </c>
      <c r="P15" t="s">
        <v>2869</v>
      </c>
      <c r="Q15" t="s">
        <v>45</v>
      </c>
      <c r="R15" t="s">
        <v>546</v>
      </c>
      <c r="S15" t="s">
        <v>297</v>
      </c>
      <c r="T15" t="s">
        <v>298</v>
      </c>
      <c r="U15" t="s">
        <v>2874</v>
      </c>
      <c r="V15" t="s">
        <v>2875</v>
      </c>
      <c r="W15" t="s">
        <v>301</v>
      </c>
      <c r="X15" t="s">
        <v>36</v>
      </c>
      <c r="Y15" t="s">
        <v>36</v>
      </c>
      <c r="Z15" t="s">
        <v>54</v>
      </c>
      <c r="AA15" t="s">
        <v>480</v>
      </c>
      <c r="AB15" t="s">
        <v>481</v>
      </c>
      <c r="AC15" t="s">
        <v>594</v>
      </c>
      <c r="AD15" t="s">
        <v>5017</v>
      </c>
      <c r="AE15">
        <v>900</v>
      </c>
      <c r="AF15" t="s">
        <v>5164</v>
      </c>
      <c r="AG15" t="s">
        <v>5378</v>
      </c>
      <c r="AH15" t="s">
        <v>5366</v>
      </c>
      <c r="AI15" t="s">
        <v>5169</v>
      </c>
      <c r="AJ15" t="s">
        <v>5383</v>
      </c>
      <c r="AK15" t="s">
        <v>36</v>
      </c>
      <c r="AL15" t="s">
        <v>5153</v>
      </c>
      <c r="AM15" t="s">
        <v>6158</v>
      </c>
      <c r="AN15" t="s">
        <v>6148</v>
      </c>
      <c r="AO15" t="s">
        <v>5980</v>
      </c>
      <c r="AP15" t="s">
        <v>585</v>
      </c>
      <c r="AQ15" t="s">
        <v>594</v>
      </c>
      <c r="AR15" t="b">
        <v>1</v>
      </c>
    </row>
    <row r="16" spans="1:44">
      <c r="A16" t="s">
        <v>282</v>
      </c>
      <c r="B16" t="s">
        <v>1058</v>
      </c>
      <c r="C16" t="s">
        <v>234</v>
      </c>
      <c r="D16" t="s">
        <v>2860</v>
      </c>
      <c r="E16" t="s">
        <v>36</v>
      </c>
      <c r="F16" t="s">
        <v>36</v>
      </c>
      <c r="G16" t="s">
        <v>2863</v>
      </c>
      <c r="H16" t="s">
        <v>36</v>
      </c>
      <c r="I16" t="s">
        <v>2865</v>
      </c>
      <c r="J16" t="s">
        <v>36</v>
      </c>
      <c r="K16" t="s">
        <v>2867</v>
      </c>
      <c r="L16" s="74">
        <v>45810</v>
      </c>
      <c r="M16" s="74">
        <v>46176</v>
      </c>
      <c r="O16" t="s">
        <v>143</v>
      </c>
      <c r="P16" t="s">
        <v>2869</v>
      </c>
      <c r="Q16" t="s">
        <v>45</v>
      </c>
      <c r="R16" t="s">
        <v>546</v>
      </c>
      <c r="S16" t="s">
        <v>297</v>
      </c>
      <c r="T16" t="s">
        <v>298</v>
      </c>
      <c r="U16" t="s">
        <v>2874</v>
      </c>
      <c r="V16" t="s">
        <v>2875</v>
      </c>
      <c r="W16" t="s">
        <v>301</v>
      </c>
      <c r="X16" t="s">
        <v>36</v>
      </c>
      <c r="Y16" t="s">
        <v>36</v>
      </c>
      <c r="Z16" t="s">
        <v>54</v>
      </c>
      <c r="AA16" t="s">
        <v>480</v>
      </c>
      <c r="AB16" t="s">
        <v>481</v>
      </c>
      <c r="AC16" t="s">
        <v>36</v>
      </c>
      <c r="AD16" t="s">
        <v>5017</v>
      </c>
      <c r="AE16">
        <v>900</v>
      </c>
      <c r="AF16" t="s">
        <v>5164</v>
      </c>
      <c r="AG16" t="s">
        <v>5378</v>
      </c>
      <c r="AH16" t="s">
        <v>5366</v>
      </c>
      <c r="AI16" t="s">
        <v>5169</v>
      </c>
      <c r="AJ16" t="s">
        <v>5383</v>
      </c>
      <c r="AK16" t="s">
        <v>36</v>
      </c>
      <c r="AL16" t="s">
        <v>5153</v>
      </c>
      <c r="AM16" t="s">
        <v>6150</v>
      </c>
      <c r="AN16" t="s">
        <v>6151</v>
      </c>
      <c r="AO16" t="s">
        <v>5980</v>
      </c>
      <c r="AP16" t="s">
        <v>585</v>
      </c>
      <c r="AQ16" t="s">
        <v>594</v>
      </c>
      <c r="AR16" t="b">
        <v>0</v>
      </c>
    </row>
    <row r="17" spans="1:44">
      <c r="A17" t="s">
        <v>34</v>
      </c>
      <c r="B17" t="s">
        <v>3932</v>
      </c>
      <c r="C17" t="s">
        <v>36</v>
      </c>
      <c r="D17" t="s">
        <v>3934</v>
      </c>
      <c r="E17" t="s">
        <v>36</v>
      </c>
      <c r="F17" t="s">
        <v>36</v>
      </c>
      <c r="G17" t="s">
        <v>38</v>
      </c>
      <c r="H17" t="s">
        <v>39</v>
      </c>
      <c r="I17" t="s">
        <v>36</v>
      </c>
      <c r="J17" t="s">
        <v>3940</v>
      </c>
      <c r="K17" t="s">
        <v>42</v>
      </c>
      <c r="L17" s="74">
        <v>46190</v>
      </c>
      <c r="M17" s="74">
        <v>46251</v>
      </c>
      <c r="O17" t="s">
        <v>143</v>
      </c>
      <c r="P17" t="s">
        <v>36</v>
      </c>
      <c r="Q17" t="s">
        <v>45</v>
      </c>
      <c r="R17" t="s">
        <v>521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36</v>
      </c>
      <c r="Y17" t="s">
        <v>36</v>
      </c>
      <c r="Z17" t="s">
        <v>54</v>
      </c>
      <c r="AA17" t="s">
        <v>55</v>
      </c>
      <c r="AB17" t="s">
        <v>56</v>
      </c>
      <c r="AC17" t="s">
        <v>669</v>
      </c>
      <c r="AD17" t="s">
        <v>5018</v>
      </c>
      <c r="AE17">
        <v>5100</v>
      </c>
      <c r="AF17" t="s">
        <v>5164</v>
      </c>
      <c r="AG17" t="s">
        <v>5378</v>
      </c>
      <c r="AH17" t="s">
        <v>5366</v>
      </c>
      <c r="AI17" t="s">
        <v>5169</v>
      </c>
      <c r="AJ17" t="s">
        <v>5383</v>
      </c>
      <c r="AK17" t="s">
        <v>36</v>
      </c>
      <c r="AL17" t="s">
        <v>5153</v>
      </c>
      <c r="AM17" t="s">
        <v>6159</v>
      </c>
      <c r="AN17" t="s">
        <v>6151</v>
      </c>
      <c r="AO17" t="s">
        <v>5981</v>
      </c>
      <c r="AP17" t="s">
        <v>660</v>
      </c>
      <c r="AQ17" t="s">
        <v>669</v>
      </c>
      <c r="AR17" t="b">
        <v>1</v>
      </c>
    </row>
    <row r="18" spans="1:44">
      <c r="A18" t="s">
        <v>34</v>
      </c>
      <c r="B18" t="s">
        <v>108</v>
      </c>
      <c r="C18" t="s">
        <v>109</v>
      </c>
      <c r="D18" t="s">
        <v>110</v>
      </c>
      <c r="E18" t="s">
        <v>36</v>
      </c>
      <c r="F18" t="s">
        <v>36</v>
      </c>
      <c r="G18" t="s">
        <v>38</v>
      </c>
      <c r="H18" t="s">
        <v>39</v>
      </c>
      <c r="I18" t="s">
        <v>36</v>
      </c>
      <c r="J18" t="s">
        <v>116</v>
      </c>
      <c r="K18" t="s">
        <v>42</v>
      </c>
      <c r="L18" s="74">
        <v>45754</v>
      </c>
      <c r="O18" t="s">
        <v>43</v>
      </c>
      <c r="P18" t="s">
        <v>119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  <c r="V18" t="s">
        <v>50</v>
      </c>
      <c r="W18" t="s">
        <v>51</v>
      </c>
      <c r="X18" t="s">
        <v>36</v>
      </c>
      <c r="Y18" t="s">
        <v>36</v>
      </c>
      <c r="Z18" t="s">
        <v>54</v>
      </c>
      <c r="AA18" t="s">
        <v>55</v>
      </c>
      <c r="AB18" t="s">
        <v>56</v>
      </c>
      <c r="AC18" t="s">
        <v>669</v>
      </c>
      <c r="AD18" t="s">
        <v>5018</v>
      </c>
      <c r="AE18">
        <v>5100</v>
      </c>
      <c r="AF18" t="s">
        <v>5164</v>
      </c>
      <c r="AG18" t="s">
        <v>5378</v>
      </c>
      <c r="AH18" t="s">
        <v>5366</v>
      </c>
      <c r="AI18" t="s">
        <v>5169</v>
      </c>
      <c r="AJ18" t="s">
        <v>5383</v>
      </c>
      <c r="AK18" t="s">
        <v>36</v>
      </c>
      <c r="AL18" t="s">
        <v>5381</v>
      </c>
      <c r="AM18" t="s">
        <v>36</v>
      </c>
      <c r="AO18" t="s">
        <v>5982</v>
      </c>
      <c r="AP18" t="s">
        <v>660</v>
      </c>
      <c r="AQ18" t="s">
        <v>669</v>
      </c>
      <c r="AR18" t="b">
        <v>1</v>
      </c>
    </row>
    <row r="19" spans="1:44">
      <c r="A19" t="s">
        <v>34</v>
      </c>
      <c r="B19" t="s">
        <v>4882</v>
      </c>
      <c r="C19" t="s">
        <v>1184</v>
      </c>
      <c r="D19" t="s">
        <v>4884</v>
      </c>
      <c r="E19" t="s">
        <v>36</v>
      </c>
      <c r="F19" t="s">
        <v>36</v>
      </c>
      <c r="G19" t="s">
        <v>38</v>
      </c>
      <c r="H19" t="s">
        <v>39</v>
      </c>
      <c r="I19" t="s">
        <v>36</v>
      </c>
      <c r="J19" t="s">
        <v>4890</v>
      </c>
      <c r="K19" t="s">
        <v>42</v>
      </c>
      <c r="L19" s="74">
        <v>44942</v>
      </c>
      <c r="O19" t="s">
        <v>43</v>
      </c>
      <c r="P19" t="s">
        <v>4893</v>
      </c>
      <c r="Q19" t="s">
        <v>45</v>
      </c>
      <c r="R19" t="s">
        <v>46</v>
      </c>
      <c r="S19" t="s">
        <v>47</v>
      </c>
      <c r="T19" t="s">
        <v>48</v>
      </c>
      <c r="U19" t="s">
        <v>49</v>
      </c>
      <c r="V19" t="s">
        <v>50</v>
      </c>
      <c r="W19" t="s">
        <v>51</v>
      </c>
      <c r="X19" t="s">
        <v>36</v>
      </c>
      <c r="Y19" t="s">
        <v>36</v>
      </c>
      <c r="Z19" t="s">
        <v>54</v>
      </c>
      <c r="AA19" t="s">
        <v>55</v>
      </c>
      <c r="AB19" t="s">
        <v>56</v>
      </c>
      <c r="AC19" t="s">
        <v>669</v>
      </c>
      <c r="AD19" t="s">
        <v>5018</v>
      </c>
      <c r="AE19">
        <v>5100</v>
      </c>
      <c r="AF19" t="s">
        <v>5164</v>
      </c>
      <c r="AG19" t="s">
        <v>5378</v>
      </c>
      <c r="AH19" t="s">
        <v>5366</v>
      </c>
      <c r="AI19" t="s">
        <v>5169</v>
      </c>
      <c r="AJ19" t="s">
        <v>5383</v>
      </c>
      <c r="AK19" t="s">
        <v>36</v>
      </c>
      <c r="AL19" t="s">
        <v>5381</v>
      </c>
      <c r="AM19" t="s">
        <v>36</v>
      </c>
      <c r="AO19" t="s">
        <v>5983</v>
      </c>
      <c r="AP19" t="s">
        <v>660</v>
      </c>
      <c r="AQ19" t="s">
        <v>669</v>
      </c>
      <c r="AR19" t="b">
        <v>1</v>
      </c>
    </row>
    <row r="20" spans="1:44">
      <c r="A20" t="s">
        <v>34</v>
      </c>
      <c r="B20" t="s">
        <v>4107</v>
      </c>
      <c r="C20" t="s">
        <v>684</v>
      </c>
      <c r="D20" t="s">
        <v>4409</v>
      </c>
      <c r="E20" t="s">
        <v>36</v>
      </c>
      <c r="F20" t="s">
        <v>36</v>
      </c>
      <c r="G20" t="s">
        <v>1488</v>
      </c>
      <c r="H20" t="s">
        <v>1489</v>
      </c>
      <c r="I20" t="s">
        <v>4414</v>
      </c>
      <c r="J20" t="s">
        <v>36</v>
      </c>
      <c r="K20" t="s">
        <v>1492</v>
      </c>
      <c r="L20" s="74">
        <v>45867</v>
      </c>
      <c r="O20" t="s">
        <v>43</v>
      </c>
      <c r="P20" t="s">
        <v>4418</v>
      </c>
      <c r="Q20" t="s">
        <v>45</v>
      </c>
      <c r="R20" t="s">
        <v>46</v>
      </c>
      <c r="S20" t="s">
        <v>47</v>
      </c>
      <c r="T20" t="s">
        <v>48</v>
      </c>
      <c r="U20" t="s">
        <v>724</v>
      </c>
      <c r="V20" t="s">
        <v>950</v>
      </c>
      <c r="W20" t="s">
        <v>51</v>
      </c>
      <c r="X20" t="s">
        <v>36</v>
      </c>
      <c r="Y20" t="s">
        <v>36</v>
      </c>
      <c r="Z20" t="s">
        <v>54</v>
      </c>
      <c r="AA20" t="s">
        <v>680</v>
      </c>
      <c r="AB20" t="s">
        <v>681</v>
      </c>
      <c r="AC20" t="s">
        <v>3544</v>
      </c>
      <c r="AD20" t="s">
        <v>5018</v>
      </c>
      <c r="AE20">
        <v>8100</v>
      </c>
      <c r="AF20" t="s">
        <v>5164</v>
      </c>
      <c r="AG20" t="s">
        <v>5378</v>
      </c>
      <c r="AH20" t="s">
        <v>5366</v>
      </c>
      <c r="AI20" t="s">
        <v>5169</v>
      </c>
      <c r="AJ20" t="s">
        <v>5383</v>
      </c>
      <c r="AK20" t="s">
        <v>36</v>
      </c>
      <c r="AL20" t="s">
        <v>5381</v>
      </c>
      <c r="AM20" t="s">
        <v>36</v>
      </c>
      <c r="AO20" t="s">
        <v>5984</v>
      </c>
      <c r="AP20" t="s">
        <v>3535</v>
      </c>
      <c r="AQ20" t="s">
        <v>3544</v>
      </c>
      <c r="AR20" t="b">
        <v>1</v>
      </c>
    </row>
    <row r="21" spans="1:44">
      <c r="A21" t="s">
        <v>57</v>
      </c>
      <c r="B21" t="s">
        <v>4107</v>
      </c>
      <c r="C21" t="s">
        <v>684</v>
      </c>
      <c r="D21" t="s">
        <v>4409</v>
      </c>
      <c r="E21" t="s">
        <v>36</v>
      </c>
      <c r="F21" t="s">
        <v>36</v>
      </c>
      <c r="G21" t="s">
        <v>36</v>
      </c>
      <c r="H21" t="s">
        <v>36</v>
      </c>
      <c r="I21" t="s">
        <v>4414</v>
      </c>
      <c r="J21" t="s">
        <v>36</v>
      </c>
      <c r="K21" t="s">
        <v>1492</v>
      </c>
      <c r="L21" s="74">
        <v>45867</v>
      </c>
      <c r="M21" s="74">
        <v>46175</v>
      </c>
      <c r="O21" t="s">
        <v>143</v>
      </c>
      <c r="P21" t="s">
        <v>4418</v>
      </c>
      <c r="Q21" t="s">
        <v>70</v>
      </c>
      <c r="R21" t="s">
        <v>46</v>
      </c>
      <c r="S21" t="s">
        <v>47</v>
      </c>
      <c r="T21" t="s">
        <v>48</v>
      </c>
      <c r="U21" t="s">
        <v>724</v>
      </c>
      <c r="V21" t="s">
        <v>950</v>
      </c>
      <c r="W21" t="s">
        <v>51</v>
      </c>
      <c r="X21" t="s">
        <v>36</v>
      </c>
      <c r="Y21" t="s">
        <v>36</v>
      </c>
      <c r="Z21" t="s">
        <v>54</v>
      </c>
      <c r="AA21" t="s">
        <v>680</v>
      </c>
      <c r="AB21" t="s">
        <v>681</v>
      </c>
      <c r="AC21" t="s">
        <v>36</v>
      </c>
      <c r="AD21" t="s">
        <v>5018</v>
      </c>
      <c r="AE21">
        <v>8100</v>
      </c>
      <c r="AF21" t="s">
        <v>5164</v>
      </c>
      <c r="AG21" t="s">
        <v>5378</v>
      </c>
      <c r="AH21" t="s">
        <v>5366</v>
      </c>
      <c r="AI21" t="s">
        <v>5169</v>
      </c>
      <c r="AJ21" t="s">
        <v>5383</v>
      </c>
      <c r="AK21" t="s">
        <v>36</v>
      </c>
      <c r="AL21" t="s">
        <v>5153</v>
      </c>
      <c r="AM21" t="s">
        <v>6160</v>
      </c>
      <c r="AN21" t="s">
        <v>6151</v>
      </c>
      <c r="AO21" t="s">
        <v>5984</v>
      </c>
      <c r="AP21" t="e">
        <v>#VALUE!</v>
      </c>
      <c r="AQ21" t="s">
        <v>6149</v>
      </c>
      <c r="AR21" t="b">
        <v>0</v>
      </c>
    </row>
    <row r="22" spans="1:44">
      <c r="A22" t="s">
        <v>57</v>
      </c>
      <c r="B22" t="s">
        <v>4107</v>
      </c>
      <c r="C22" t="s">
        <v>36</v>
      </c>
      <c r="D22" t="s">
        <v>4109</v>
      </c>
      <c r="E22" t="s">
        <v>36</v>
      </c>
      <c r="F22" t="s">
        <v>36</v>
      </c>
      <c r="G22" t="s">
        <v>2488</v>
      </c>
      <c r="H22" t="s">
        <v>2489</v>
      </c>
      <c r="I22" t="s">
        <v>4114</v>
      </c>
      <c r="J22" t="s">
        <v>36</v>
      </c>
      <c r="K22" t="s">
        <v>4116</v>
      </c>
      <c r="L22" s="74">
        <v>45131</v>
      </c>
      <c r="O22" t="s">
        <v>43</v>
      </c>
      <c r="P22" t="s">
        <v>4118</v>
      </c>
      <c r="Q22" t="s">
        <v>70</v>
      </c>
      <c r="R22" t="s">
        <v>46</v>
      </c>
      <c r="S22" t="s">
        <v>47</v>
      </c>
      <c r="T22" t="s">
        <v>48</v>
      </c>
      <c r="U22" t="s">
        <v>874</v>
      </c>
      <c r="V22" t="s">
        <v>875</v>
      </c>
      <c r="W22" t="s">
        <v>51</v>
      </c>
      <c r="X22" t="s">
        <v>36</v>
      </c>
      <c r="Y22" t="s">
        <v>36</v>
      </c>
      <c r="Z22" t="s">
        <v>54</v>
      </c>
      <c r="AA22" t="s">
        <v>1755</v>
      </c>
      <c r="AB22" t="s">
        <v>1756</v>
      </c>
      <c r="AC22" t="s">
        <v>869</v>
      </c>
      <c r="AD22" t="s">
        <v>5018</v>
      </c>
      <c r="AE22">
        <v>9400</v>
      </c>
      <c r="AF22" t="s">
        <v>5164</v>
      </c>
      <c r="AG22" t="s">
        <v>5378</v>
      </c>
      <c r="AH22" t="s">
        <v>5366</v>
      </c>
      <c r="AI22" t="s">
        <v>5169</v>
      </c>
      <c r="AJ22" t="s">
        <v>5383</v>
      </c>
      <c r="AK22" t="s">
        <v>36</v>
      </c>
      <c r="AL22" t="s">
        <v>5381</v>
      </c>
      <c r="AM22" t="s">
        <v>36</v>
      </c>
      <c r="AO22" t="s">
        <v>5985</v>
      </c>
      <c r="AP22" t="s">
        <v>860</v>
      </c>
      <c r="AQ22" t="s">
        <v>869</v>
      </c>
      <c r="AR22" t="b">
        <v>1</v>
      </c>
    </row>
    <row r="23" spans="1:44">
      <c r="A23" t="s">
        <v>457</v>
      </c>
      <c r="B23" t="s">
        <v>1758</v>
      </c>
      <c r="C23" t="s">
        <v>36</v>
      </c>
      <c r="D23" t="s">
        <v>1760</v>
      </c>
      <c r="E23" t="s">
        <v>36</v>
      </c>
      <c r="F23" t="s">
        <v>36</v>
      </c>
      <c r="G23" t="s">
        <v>1013</v>
      </c>
      <c r="H23" t="s">
        <v>1014</v>
      </c>
      <c r="I23" t="s">
        <v>1765</v>
      </c>
      <c r="J23" t="s">
        <v>1766</v>
      </c>
      <c r="K23" t="s">
        <v>1767</v>
      </c>
      <c r="L23" s="74">
        <v>45481</v>
      </c>
      <c r="O23" t="s">
        <v>43</v>
      </c>
      <c r="P23" t="s">
        <v>1769</v>
      </c>
      <c r="Q23" t="s">
        <v>45</v>
      </c>
      <c r="R23" t="s">
        <v>46</v>
      </c>
      <c r="S23" t="s">
        <v>297</v>
      </c>
      <c r="T23" t="s">
        <v>298</v>
      </c>
      <c r="U23" t="s">
        <v>474</v>
      </c>
      <c r="V23" t="s">
        <v>475</v>
      </c>
      <c r="W23" t="s">
        <v>301</v>
      </c>
      <c r="X23" t="s">
        <v>36</v>
      </c>
      <c r="Y23" t="s">
        <v>36</v>
      </c>
      <c r="Z23" t="s">
        <v>54</v>
      </c>
      <c r="AA23" t="s">
        <v>1130</v>
      </c>
      <c r="AB23" t="s">
        <v>1131</v>
      </c>
      <c r="AC23" t="s">
        <v>4643</v>
      </c>
      <c r="AD23" t="s">
        <v>5017</v>
      </c>
      <c r="AE23">
        <v>200</v>
      </c>
      <c r="AF23" t="s">
        <v>5164</v>
      </c>
      <c r="AG23" t="s">
        <v>5378</v>
      </c>
      <c r="AH23" t="s">
        <v>5366</v>
      </c>
      <c r="AI23" t="s">
        <v>5169</v>
      </c>
      <c r="AJ23" t="s">
        <v>5383</v>
      </c>
      <c r="AK23" t="s">
        <v>36</v>
      </c>
      <c r="AL23" t="s">
        <v>5381</v>
      </c>
      <c r="AM23" t="s">
        <v>36</v>
      </c>
      <c r="AO23" t="s">
        <v>5986</v>
      </c>
      <c r="AP23" t="s">
        <v>4634</v>
      </c>
      <c r="AQ23" t="s">
        <v>4643</v>
      </c>
      <c r="AR23" t="b">
        <v>1</v>
      </c>
    </row>
    <row r="24" spans="1:44">
      <c r="A24" t="s">
        <v>57</v>
      </c>
      <c r="B24" t="s">
        <v>4682</v>
      </c>
      <c r="C24" t="s">
        <v>684</v>
      </c>
      <c r="D24" t="s">
        <v>4684</v>
      </c>
      <c r="E24" t="s">
        <v>36</v>
      </c>
      <c r="F24" t="s">
        <v>36</v>
      </c>
      <c r="G24" t="s">
        <v>1838</v>
      </c>
      <c r="H24" t="s">
        <v>1839</v>
      </c>
      <c r="I24" t="s">
        <v>4689</v>
      </c>
      <c r="J24" t="s">
        <v>36</v>
      </c>
      <c r="K24" t="s">
        <v>4691</v>
      </c>
      <c r="L24" s="74">
        <v>45958</v>
      </c>
      <c r="O24" t="s">
        <v>43</v>
      </c>
      <c r="P24" t="s">
        <v>4693</v>
      </c>
      <c r="Q24" t="s">
        <v>70</v>
      </c>
      <c r="R24" t="s">
        <v>46</v>
      </c>
      <c r="S24" t="s">
        <v>47</v>
      </c>
      <c r="T24" t="s">
        <v>48</v>
      </c>
      <c r="U24" t="s">
        <v>4698</v>
      </c>
      <c r="V24" t="s">
        <v>4699</v>
      </c>
      <c r="W24" t="s">
        <v>2051</v>
      </c>
      <c r="X24" t="s">
        <v>36</v>
      </c>
      <c r="Y24" t="s">
        <v>36</v>
      </c>
      <c r="Z24" t="s">
        <v>54</v>
      </c>
      <c r="AA24" t="s">
        <v>305</v>
      </c>
      <c r="AB24" t="s">
        <v>306</v>
      </c>
      <c r="AC24" t="s">
        <v>3194</v>
      </c>
      <c r="AD24" t="s">
        <v>5018</v>
      </c>
      <c r="AE24">
        <v>9210</v>
      </c>
      <c r="AF24" t="s">
        <v>5164</v>
      </c>
      <c r="AG24" t="s">
        <v>5378</v>
      </c>
      <c r="AH24" t="s">
        <v>5366</v>
      </c>
      <c r="AI24" t="s">
        <v>5169</v>
      </c>
      <c r="AJ24" t="s">
        <v>5383</v>
      </c>
      <c r="AK24" t="s">
        <v>36</v>
      </c>
      <c r="AL24" t="s">
        <v>5381</v>
      </c>
      <c r="AM24" t="s">
        <v>36</v>
      </c>
      <c r="AO24" t="s">
        <v>5987</v>
      </c>
      <c r="AP24" t="s">
        <v>3185</v>
      </c>
      <c r="AQ24" t="s">
        <v>3194</v>
      </c>
      <c r="AR24" t="b">
        <v>1</v>
      </c>
    </row>
    <row r="25" spans="1:44">
      <c r="A25" t="s">
        <v>57</v>
      </c>
      <c r="B25" t="s">
        <v>2583</v>
      </c>
      <c r="C25" t="s">
        <v>36</v>
      </c>
      <c r="D25" t="s">
        <v>2585</v>
      </c>
      <c r="E25" t="s">
        <v>2586</v>
      </c>
      <c r="F25" t="s">
        <v>2585</v>
      </c>
      <c r="G25" t="s">
        <v>63</v>
      </c>
      <c r="H25" t="s">
        <v>64</v>
      </c>
      <c r="I25" t="s">
        <v>2590</v>
      </c>
      <c r="J25" t="s">
        <v>2591</v>
      </c>
      <c r="K25" t="s">
        <v>67</v>
      </c>
      <c r="L25" s="74">
        <v>46223</v>
      </c>
      <c r="O25" t="s">
        <v>43</v>
      </c>
      <c r="P25" t="s">
        <v>2594</v>
      </c>
      <c r="Q25" t="s">
        <v>70</v>
      </c>
      <c r="R25" t="s">
        <v>46</v>
      </c>
      <c r="S25" t="s">
        <v>47</v>
      </c>
      <c r="T25" t="s">
        <v>48</v>
      </c>
      <c r="U25" t="s">
        <v>74</v>
      </c>
      <c r="V25" t="s">
        <v>75</v>
      </c>
      <c r="W25" t="s">
        <v>2051</v>
      </c>
      <c r="X25" t="s">
        <v>36</v>
      </c>
      <c r="Y25" t="s">
        <v>36</v>
      </c>
      <c r="Z25" t="s">
        <v>54</v>
      </c>
      <c r="AA25" t="s">
        <v>80</v>
      </c>
      <c r="AB25" t="s">
        <v>81</v>
      </c>
      <c r="AC25" t="s">
        <v>3719</v>
      </c>
      <c r="AD25" t="s">
        <v>5018</v>
      </c>
      <c r="AE25">
        <v>8200</v>
      </c>
      <c r="AF25" t="s">
        <v>5164</v>
      </c>
      <c r="AG25" t="s">
        <v>5378</v>
      </c>
      <c r="AH25" t="s">
        <v>5366</v>
      </c>
      <c r="AI25" t="s">
        <v>5169</v>
      </c>
      <c r="AJ25" t="s">
        <v>5383</v>
      </c>
      <c r="AK25" t="s">
        <v>6161</v>
      </c>
      <c r="AL25" t="s">
        <v>5381</v>
      </c>
      <c r="AM25" t="s">
        <v>36</v>
      </c>
      <c r="AO25" t="s">
        <v>5988</v>
      </c>
      <c r="AP25" t="s">
        <v>3685</v>
      </c>
      <c r="AQ25" t="s">
        <v>3694</v>
      </c>
      <c r="AR25" t="b">
        <v>0</v>
      </c>
    </row>
    <row r="26" spans="1:44">
      <c r="A26" t="s">
        <v>34</v>
      </c>
      <c r="B26" t="s">
        <v>1708</v>
      </c>
      <c r="C26" t="s">
        <v>36</v>
      </c>
      <c r="D26" t="s">
        <v>1710</v>
      </c>
      <c r="E26" t="s">
        <v>36</v>
      </c>
      <c r="F26" t="s">
        <v>36</v>
      </c>
      <c r="G26" t="s">
        <v>36</v>
      </c>
      <c r="H26" t="s">
        <v>1714</v>
      </c>
      <c r="I26" t="s">
        <v>1715</v>
      </c>
      <c r="J26" t="s">
        <v>1716</v>
      </c>
      <c r="K26" t="s">
        <v>1717</v>
      </c>
      <c r="L26" s="74">
        <v>45502</v>
      </c>
      <c r="M26" s="74">
        <v>46203</v>
      </c>
      <c r="O26" t="s">
        <v>143</v>
      </c>
      <c r="P26" t="s">
        <v>1719</v>
      </c>
      <c r="Q26" t="s">
        <v>45</v>
      </c>
      <c r="R26" t="s">
        <v>1721</v>
      </c>
      <c r="S26" t="s">
        <v>47</v>
      </c>
      <c r="T26" t="s">
        <v>48</v>
      </c>
      <c r="U26" t="s">
        <v>1224</v>
      </c>
      <c r="V26" t="s">
        <v>1225</v>
      </c>
      <c r="W26" t="s">
        <v>51</v>
      </c>
      <c r="X26" t="s">
        <v>36</v>
      </c>
      <c r="Y26" t="s">
        <v>36</v>
      </c>
      <c r="Z26" t="s">
        <v>54</v>
      </c>
      <c r="AA26" t="s">
        <v>480</v>
      </c>
      <c r="AB26" t="s">
        <v>481</v>
      </c>
      <c r="AC26" t="s">
        <v>1219</v>
      </c>
      <c r="AD26" t="s">
        <v>5018</v>
      </c>
      <c r="AE26">
        <v>9150</v>
      </c>
      <c r="AF26" t="s">
        <v>5164</v>
      </c>
      <c r="AG26" t="s">
        <v>5378</v>
      </c>
      <c r="AH26" t="s">
        <v>5366</v>
      </c>
      <c r="AI26" t="s">
        <v>5169</v>
      </c>
      <c r="AJ26" t="s">
        <v>5383</v>
      </c>
      <c r="AK26" t="s">
        <v>36</v>
      </c>
      <c r="AL26" t="s">
        <v>5153</v>
      </c>
      <c r="AM26" t="s">
        <v>6162</v>
      </c>
      <c r="AN26" t="s">
        <v>6151</v>
      </c>
      <c r="AO26" t="s">
        <v>5989</v>
      </c>
      <c r="AP26" t="e">
        <v>#VALUE!</v>
      </c>
      <c r="AQ26" t="s">
        <v>6149</v>
      </c>
      <c r="AR26" t="b">
        <v>0</v>
      </c>
    </row>
    <row r="27" spans="1:44">
      <c r="A27" t="s">
        <v>57</v>
      </c>
      <c r="B27" t="s">
        <v>1708</v>
      </c>
      <c r="C27" t="s">
        <v>36</v>
      </c>
      <c r="D27" t="s">
        <v>1710</v>
      </c>
      <c r="E27" t="s">
        <v>36</v>
      </c>
      <c r="F27" t="s">
        <v>36</v>
      </c>
      <c r="G27" t="s">
        <v>1213</v>
      </c>
      <c r="H27" t="s">
        <v>1739</v>
      </c>
      <c r="I27" t="s">
        <v>1715</v>
      </c>
      <c r="J27" t="s">
        <v>1716</v>
      </c>
      <c r="K27" t="s">
        <v>1742</v>
      </c>
      <c r="L27" s="74">
        <v>45502</v>
      </c>
      <c r="O27" t="s">
        <v>43</v>
      </c>
      <c r="P27" t="s">
        <v>1719</v>
      </c>
      <c r="Q27" t="s">
        <v>70</v>
      </c>
      <c r="R27" t="s">
        <v>46</v>
      </c>
      <c r="S27" t="s">
        <v>47</v>
      </c>
      <c r="T27" t="s">
        <v>48</v>
      </c>
      <c r="U27" t="s">
        <v>1224</v>
      </c>
      <c r="V27" t="s">
        <v>1225</v>
      </c>
      <c r="W27" t="s">
        <v>51</v>
      </c>
      <c r="X27" t="s">
        <v>36</v>
      </c>
      <c r="Y27" t="s">
        <v>36</v>
      </c>
      <c r="Z27" t="s">
        <v>54</v>
      </c>
      <c r="AA27" t="s">
        <v>1755</v>
      </c>
      <c r="AB27" t="s">
        <v>1756</v>
      </c>
      <c r="AC27" t="s">
        <v>5371</v>
      </c>
      <c r="AD27" t="s">
        <v>5018</v>
      </c>
      <c r="AE27">
        <v>9150</v>
      </c>
      <c r="AF27" t="s">
        <v>5164</v>
      </c>
      <c r="AG27" t="s">
        <v>5378</v>
      </c>
      <c r="AH27" t="s">
        <v>5366</v>
      </c>
      <c r="AI27" t="s">
        <v>5169</v>
      </c>
      <c r="AJ27" t="s">
        <v>5383</v>
      </c>
      <c r="AK27" t="s">
        <v>36</v>
      </c>
      <c r="AL27" t="s">
        <v>5381</v>
      </c>
      <c r="AM27" t="s">
        <v>36</v>
      </c>
      <c r="AO27" t="s">
        <v>5989</v>
      </c>
      <c r="AP27" t="s">
        <v>5941</v>
      </c>
      <c r="AQ27" t="s">
        <v>6149</v>
      </c>
      <c r="AR27" t="b">
        <v>0</v>
      </c>
    </row>
    <row r="28" spans="1:44">
      <c r="A28" t="s">
        <v>34</v>
      </c>
      <c r="B28" t="s">
        <v>1708</v>
      </c>
      <c r="C28" t="s">
        <v>36</v>
      </c>
      <c r="D28" t="s">
        <v>2085</v>
      </c>
      <c r="E28" t="s">
        <v>36</v>
      </c>
      <c r="F28" t="s">
        <v>36</v>
      </c>
      <c r="G28" t="s">
        <v>1513</v>
      </c>
      <c r="H28" t="s">
        <v>1514</v>
      </c>
      <c r="I28" t="s">
        <v>36</v>
      </c>
      <c r="J28" t="s">
        <v>2091</v>
      </c>
      <c r="K28" t="s">
        <v>2092</v>
      </c>
      <c r="L28" s="74">
        <v>46155</v>
      </c>
      <c r="M28" s="74">
        <v>46248</v>
      </c>
      <c r="O28" t="s">
        <v>143</v>
      </c>
      <c r="P28" t="s">
        <v>2094</v>
      </c>
      <c r="Q28" t="s">
        <v>45</v>
      </c>
      <c r="R28" t="s">
        <v>546</v>
      </c>
      <c r="S28" t="s">
        <v>47</v>
      </c>
      <c r="T28" t="s">
        <v>48</v>
      </c>
      <c r="U28" t="s">
        <v>174</v>
      </c>
      <c r="V28" t="s">
        <v>175</v>
      </c>
      <c r="W28" t="s">
        <v>51</v>
      </c>
      <c r="X28" t="s">
        <v>36</v>
      </c>
      <c r="Y28" t="s">
        <v>36</v>
      </c>
      <c r="Z28" t="s">
        <v>54</v>
      </c>
      <c r="AA28" t="s">
        <v>480</v>
      </c>
      <c r="AB28" t="s">
        <v>481</v>
      </c>
      <c r="AC28" t="s">
        <v>169</v>
      </c>
      <c r="AD28" t="s">
        <v>5018</v>
      </c>
      <c r="AE28">
        <v>9500</v>
      </c>
      <c r="AF28" t="s">
        <v>5164</v>
      </c>
      <c r="AG28" t="s">
        <v>5378</v>
      </c>
      <c r="AH28" t="s">
        <v>5366</v>
      </c>
      <c r="AI28" t="s">
        <v>5169</v>
      </c>
      <c r="AJ28" t="s">
        <v>5383</v>
      </c>
      <c r="AK28" t="s">
        <v>36</v>
      </c>
      <c r="AL28" t="s">
        <v>5153</v>
      </c>
      <c r="AM28" t="s">
        <v>6158</v>
      </c>
      <c r="AN28" t="s">
        <v>6148</v>
      </c>
      <c r="AO28" t="s">
        <v>5990</v>
      </c>
      <c r="AP28" t="s">
        <v>160</v>
      </c>
      <c r="AQ28" t="s">
        <v>169</v>
      </c>
      <c r="AR28" t="b">
        <v>1</v>
      </c>
    </row>
    <row r="29" spans="1:44">
      <c r="A29" t="s">
        <v>34</v>
      </c>
      <c r="B29" t="s">
        <v>483</v>
      </c>
      <c r="C29" t="s">
        <v>36</v>
      </c>
      <c r="D29" t="s">
        <v>485</v>
      </c>
      <c r="E29" t="s">
        <v>36</v>
      </c>
      <c r="F29" t="s">
        <v>36</v>
      </c>
      <c r="G29" t="s">
        <v>188</v>
      </c>
      <c r="H29" t="s">
        <v>189</v>
      </c>
      <c r="I29" t="s">
        <v>490</v>
      </c>
      <c r="J29" t="s">
        <v>491</v>
      </c>
      <c r="K29" t="s">
        <v>492</v>
      </c>
      <c r="L29" s="74">
        <v>45502</v>
      </c>
      <c r="O29" t="s">
        <v>43</v>
      </c>
      <c r="P29" t="s">
        <v>494</v>
      </c>
      <c r="Q29" t="s">
        <v>45</v>
      </c>
      <c r="R29" t="s">
        <v>46</v>
      </c>
      <c r="S29" t="s">
        <v>47</v>
      </c>
      <c r="T29" t="s">
        <v>48</v>
      </c>
      <c r="U29" t="s">
        <v>199</v>
      </c>
      <c r="V29" t="s">
        <v>200</v>
      </c>
      <c r="W29" t="s">
        <v>51</v>
      </c>
      <c r="X29" t="s">
        <v>36</v>
      </c>
      <c r="Y29" t="s">
        <v>36</v>
      </c>
      <c r="Z29" t="s">
        <v>54</v>
      </c>
      <c r="AA29" t="s">
        <v>505</v>
      </c>
      <c r="AB29" t="s">
        <v>506</v>
      </c>
      <c r="AC29" t="s">
        <v>2294</v>
      </c>
      <c r="AD29" t="s">
        <v>5018</v>
      </c>
      <c r="AE29">
        <v>5200</v>
      </c>
      <c r="AF29" t="s">
        <v>5164</v>
      </c>
      <c r="AG29" t="s">
        <v>5378</v>
      </c>
      <c r="AH29" t="s">
        <v>5366</v>
      </c>
      <c r="AI29" t="s">
        <v>5169</v>
      </c>
      <c r="AJ29" t="s">
        <v>5383</v>
      </c>
      <c r="AK29" t="s">
        <v>36</v>
      </c>
      <c r="AL29" t="s">
        <v>5381</v>
      </c>
      <c r="AM29" t="s">
        <v>36</v>
      </c>
      <c r="AO29" t="s">
        <v>5991</v>
      </c>
      <c r="AP29" t="s">
        <v>2285</v>
      </c>
      <c r="AQ29" t="s">
        <v>2294</v>
      </c>
      <c r="AR29" t="b">
        <v>1</v>
      </c>
    </row>
    <row r="30" spans="1:44">
      <c r="A30" t="s">
        <v>34</v>
      </c>
      <c r="B30" t="s">
        <v>483</v>
      </c>
      <c r="C30" t="s">
        <v>234</v>
      </c>
      <c r="D30" t="s">
        <v>935</v>
      </c>
      <c r="E30" t="s">
        <v>36</v>
      </c>
      <c r="F30" t="s">
        <v>36</v>
      </c>
      <c r="G30" t="s">
        <v>36</v>
      </c>
      <c r="H30" t="s">
        <v>939</v>
      </c>
      <c r="I30" t="s">
        <v>36</v>
      </c>
      <c r="J30" t="s">
        <v>941</v>
      </c>
      <c r="K30" t="s">
        <v>942</v>
      </c>
      <c r="L30" s="74">
        <v>46160</v>
      </c>
      <c r="M30" s="74">
        <v>46181</v>
      </c>
      <c r="O30" t="s">
        <v>143</v>
      </c>
      <c r="P30" t="s">
        <v>944</v>
      </c>
      <c r="Q30" t="s">
        <v>45</v>
      </c>
      <c r="R30" t="s">
        <v>46</v>
      </c>
      <c r="S30" t="s">
        <v>47</v>
      </c>
      <c r="T30" t="s">
        <v>48</v>
      </c>
      <c r="U30" t="s">
        <v>724</v>
      </c>
      <c r="V30" t="s">
        <v>950</v>
      </c>
      <c r="W30" t="s">
        <v>51</v>
      </c>
      <c r="X30" t="s">
        <v>36</v>
      </c>
      <c r="Y30" t="s">
        <v>36</v>
      </c>
      <c r="Z30" t="s">
        <v>54</v>
      </c>
      <c r="AA30" t="s">
        <v>955</v>
      </c>
      <c r="AB30" t="s">
        <v>956</v>
      </c>
      <c r="AC30" t="s">
        <v>4918</v>
      </c>
      <c r="AD30" t="s">
        <v>5018</v>
      </c>
      <c r="AE30">
        <v>8100</v>
      </c>
      <c r="AF30" t="s">
        <v>5164</v>
      </c>
      <c r="AG30" t="s">
        <v>5378</v>
      </c>
      <c r="AH30" t="s">
        <v>5366</v>
      </c>
      <c r="AI30" t="s">
        <v>5169</v>
      </c>
      <c r="AJ30" t="s">
        <v>5383</v>
      </c>
      <c r="AK30" t="s">
        <v>36</v>
      </c>
      <c r="AL30" t="s">
        <v>5153</v>
      </c>
      <c r="AM30" t="s">
        <v>6163</v>
      </c>
      <c r="AN30" t="s">
        <v>6151</v>
      </c>
      <c r="AO30" t="s">
        <v>5992</v>
      </c>
      <c r="AP30" t="e">
        <v>#VALUE!</v>
      </c>
      <c r="AQ30" t="s">
        <v>6149</v>
      </c>
      <c r="AR30" t="b">
        <v>0</v>
      </c>
    </row>
    <row r="31" spans="1:44">
      <c r="A31" t="s">
        <v>457</v>
      </c>
      <c r="B31" t="s">
        <v>4482</v>
      </c>
      <c r="C31" t="s">
        <v>1959</v>
      </c>
      <c r="D31" t="s">
        <v>4484</v>
      </c>
      <c r="E31" t="s">
        <v>36</v>
      </c>
      <c r="F31" t="s">
        <v>36</v>
      </c>
      <c r="G31" t="s">
        <v>463</v>
      </c>
      <c r="H31" t="s">
        <v>464</v>
      </c>
      <c r="I31" t="s">
        <v>4489</v>
      </c>
      <c r="J31" t="s">
        <v>36</v>
      </c>
      <c r="K31" t="s">
        <v>1817</v>
      </c>
      <c r="L31" s="74">
        <v>44361</v>
      </c>
      <c r="O31" t="s">
        <v>43</v>
      </c>
      <c r="P31" t="s">
        <v>4493</v>
      </c>
      <c r="Q31" t="s">
        <v>45</v>
      </c>
      <c r="R31" t="s">
        <v>1721</v>
      </c>
      <c r="S31" t="s">
        <v>297</v>
      </c>
      <c r="T31" t="s">
        <v>298</v>
      </c>
      <c r="U31" t="s">
        <v>1074</v>
      </c>
      <c r="V31" t="s">
        <v>1075</v>
      </c>
      <c r="W31" t="s">
        <v>301</v>
      </c>
      <c r="X31" t="s">
        <v>36</v>
      </c>
      <c r="Y31" t="s">
        <v>36</v>
      </c>
      <c r="Z31" t="s">
        <v>54</v>
      </c>
      <c r="AA31" t="s">
        <v>1830</v>
      </c>
      <c r="AB31" t="s">
        <v>1831</v>
      </c>
      <c r="AC31" t="s">
        <v>4018</v>
      </c>
      <c r="AD31" t="s">
        <v>5017</v>
      </c>
      <c r="AE31">
        <v>100</v>
      </c>
      <c r="AF31" t="s">
        <v>5164</v>
      </c>
      <c r="AG31" t="s">
        <v>5378</v>
      </c>
      <c r="AH31" t="s">
        <v>5366</v>
      </c>
      <c r="AI31" t="s">
        <v>5169</v>
      </c>
      <c r="AJ31" t="s">
        <v>5383</v>
      </c>
      <c r="AK31" t="s">
        <v>36</v>
      </c>
      <c r="AL31" t="s">
        <v>5381</v>
      </c>
      <c r="AM31" t="s">
        <v>36</v>
      </c>
      <c r="AO31" t="s">
        <v>5993</v>
      </c>
      <c r="AP31" t="s">
        <v>4009</v>
      </c>
      <c r="AQ31" t="s">
        <v>4018</v>
      </c>
      <c r="AR31" t="b">
        <v>1</v>
      </c>
    </row>
    <row r="32" spans="1:44">
      <c r="A32" t="s">
        <v>57</v>
      </c>
      <c r="B32" t="s">
        <v>4507</v>
      </c>
      <c r="C32" t="s">
        <v>109</v>
      </c>
      <c r="D32" t="s">
        <v>4509</v>
      </c>
      <c r="E32" t="s">
        <v>36</v>
      </c>
      <c r="F32" t="s">
        <v>36</v>
      </c>
      <c r="G32" t="s">
        <v>36</v>
      </c>
      <c r="H32" t="s">
        <v>36</v>
      </c>
      <c r="I32" t="s">
        <v>4514</v>
      </c>
      <c r="J32" t="s">
        <v>36</v>
      </c>
      <c r="K32" t="s">
        <v>4516</v>
      </c>
      <c r="L32" s="74">
        <v>45951</v>
      </c>
      <c r="M32" s="74">
        <v>46136</v>
      </c>
      <c r="O32" t="s">
        <v>143</v>
      </c>
      <c r="P32" t="s">
        <v>4518</v>
      </c>
      <c r="Q32" t="s">
        <v>70</v>
      </c>
      <c r="R32" t="s">
        <v>46</v>
      </c>
      <c r="S32" t="s">
        <v>47</v>
      </c>
      <c r="T32" t="s">
        <v>48</v>
      </c>
      <c r="U32" t="s">
        <v>724</v>
      </c>
      <c r="V32" t="s">
        <v>950</v>
      </c>
      <c r="W32" t="s">
        <v>51</v>
      </c>
      <c r="X32" t="s">
        <v>36</v>
      </c>
      <c r="Y32" t="s">
        <v>36</v>
      </c>
      <c r="Z32" t="s">
        <v>54</v>
      </c>
      <c r="AA32" t="s">
        <v>1755</v>
      </c>
      <c r="AB32" t="s">
        <v>1756</v>
      </c>
      <c r="AC32" t="s">
        <v>36</v>
      </c>
      <c r="AD32" t="s">
        <v>5018</v>
      </c>
      <c r="AE32">
        <v>8100</v>
      </c>
      <c r="AF32" t="s">
        <v>5164</v>
      </c>
      <c r="AG32" t="s">
        <v>5378</v>
      </c>
      <c r="AH32" t="s">
        <v>5366</v>
      </c>
      <c r="AI32" t="s">
        <v>5169</v>
      </c>
      <c r="AJ32" t="s">
        <v>5383</v>
      </c>
      <c r="AK32" t="s">
        <v>36</v>
      </c>
      <c r="AL32" t="s">
        <v>5153</v>
      </c>
      <c r="AM32" t="s">
        <v>6164</v>
      </c>
      <c r="AN32" t="s">
        <v>6151</v>
      </c>
      <c r="AO32" t="s">
        <v>5994</v>
      </c>
      <c r="AP32" t="e">
        <v>#VALUE!</v>
      </c>
      <c r="AQ32" t="s">
        <v>6149</v>
      </c>
      <c r="AR32" t="b">
        <v>0</v>
      </c>
    </row>
    <row r="33" spans="1:44">
      <c r="A33" t="s">
        <v>34</v>
      </c>
      <c r="B33" t="s">
        <v>3033</v>
      </c>
      <c r="C33" t="s">
        <v>109</v>
      </c>
      <c r="D33" t="s">
        <v>3035</v>
      </c>
      <c r="E33" t="s">
        <v>36</v>
      </c>
      <c r="F33" t="s">
        <v>36</v>
      </c>
      <c r="G33" t="s">
        <v>1513</v>
      </c>
      <c r="H33" t="s">
        <v>1514</v>
      </c>
      <c r="I33" t="s">
        <v>3040</v>
      </c>
      <c r="J33" t="s">
        <v>3041</v>
      </c>
      <c r="K33" t="s">
        <v>3042</v>
      </c>
      <c r="L33" s="74">
        <v>35947</v>
      </c>
      <c r="O33" t="s">
        <v>43</v>
      </c>
      <c r="P33" t="s">
        <v>3044</v>
      </c>
      <c r="Q33" t="s">
        <v>45</v>
      </c>
      <c r="R33" t="s">
        <v>46</v>
      </c>
      <c r="S33" t="s">
        <v>47</v>
      </c>
      <c r="T33" t="s">
        <v>48</v>
      </c>
      <c r="U33" t="s">
        <v>174</v>
      </c>
      <c r="V33" t="s">
        <v>175</v>
      </c>
      <c r="W33" t="s">
        <v>51</v>
      </c>
      <c r="X33" t="s">
        <v>36</v>
      </c>
      <c r="Y33" t="s">
        <v>36</v>
      </c>
      <c r="Z33" t="s">
        <v>54</v>
      </c>
      <c r="AA33" t="s">
        <v>805</v>
      </c>
      <c r="AB33" t="s">
        <v>806</v>
      </c>
      <c r="AC33" t="s">
        <v>169</v>
      </c>
      <c r="AD33" t="s">
        <v>5018</v>
      </c>
      <c r="AE33">
        <v>9500</v>
      </c>
      <c r="AF33" t="s">
        <v>5164</v>
      </c>
      <c r="AG33" t="s">
        <v>5378</v>
      </c>
      <c r="AH33" t="s">
        <v>5366</v>
      </c>
      <c r="AI33" t="s">
        <v>5169</v>
      </c>
      <c r="AJ33" t="s">
        <v>5383</v>
      </c>
      <c r="AK33" t="s">
        <v>36</v>
      </c>
      <c r="AL33" t="s">
        <v>5381</v>
      </c>
      <c r="AM33" t="s">
        <v>36</v>
      </c>
      <c r="AO33" t="s">
        <v>5995</v>
      </c>
      <c r="AP33" t="s">
        <v>160</v>
      </c>
      <c r="AQ33" t="s">
        <v>169</v>
      </c>
      <c r="AR33" t="b">
        <v>1</v>
      </c>
    </row>
    <row r="34" spans="1:44">
      <c r="A34" t="s">
        <v>57</v>
      </c>
      <c r="B34" t="s">
        <v>883</v>
      </c>
      <c r="C34" t="s">
        <v>234</v>
      </c>
      <c r="D34" t="s">
        <v>885</v>
      </c>
      <c r="E34" t="s">
        <v>36</v>
      </c>
      <c r="F34" t="s">
        <v>36</v>
      </c>
      <c r="G34" t="s">
        <v>36</v>
      </c>
      <c r="H34" t="s">
        <v>36</v>
      </c>
      <c r="I34" t="s">
        <v>890</v>
      </c>
      <c r="J34" t="s">
        <v>891</v>
      </c>
      <c r="K34" t="s">
        <v>36</v>
      </c>
      <c r="L34" s="74">
        <v>46022</v>
      </c>
      <c r="M34" s="74">
        <v>46022</v>
      </c>
      <c r="O34" t="s">
        <v>143</v>
      </c>
      <c r="P34" t="s">
        <v>894</v>
      </c>
      <c r="Q34" t="s">
        <v>70</v>
      </c>
      <c r="R34" t="s">
        <v>46</v>
      </c>
      <c r="S34" t="s">
        <v>36</v>
      </c>
      <c r="T34" t="s">
        <v>36</v>
      </c>
      <c r="U34" t="s">
        <v>36</v>
      </c>
      <c r="V34" t="s">
        <v>575</v>
      </c>
      <c r="W34" t="s">
        <v>51</v>
      </c>
      <c r="X34" t="s">
        <v>36</v>
      </c>
      <c r="Y34" t="s">
        <v>36</v>
      </c>
      <c r="Z34" t="s">
        <v>54</v>
      </c>
      <c r="AA34" t="s">
        <v>36</v>
      </c>
      <c r="AB34" t="s">
        <v>36</v>
      </c>
      <c r="AC34" t="s">
        <v>36</v>
      </c>
      <c r="AD34" t="s">
        <v>6152</v>
      </c>
      <c r="AE34" t="s">
        <v>6153</v>
      </c>
      <c r="AF34" t="s">
        <v>6154</v>
      </c>
      <c r="AG34" t="s">
        <v>6154</v>
      </c>
      <c r="AH34" t="s">
        <v>5366</v>
      </c>
      <c r="AI34" t="s">
        <v>6155</v>
      </c>
      <c r="AJ34" t="s">
        <v>6156</v>
      </c>
      <c r="AK34" t="s">
        <v>36</v>
      </c>
      <c r="AL34" t="s">
        <v>5153</v>
      </c>
      <c r="AM34" t="s">
        <v>6165</v>
      </c>
      <c r="AN34" t="s">
        <v>6151</v>
      </c>
      <c r="AO34" t="s">
        <v>5996</v>
      </c>
      <c r="AP34" t="e">
        <v>#VALUE!</v>
      </c>
      <c r="AQ34" t="s">
        <v>6149</v>
      </c>
      <c r="AR34" t="b">
        <v>0</v>
      </c>
    </row>
    <row r="35" spans="1:44">
      <c r="A35" t="s">
        <v>36</v>
      </c>
      <c r="B35" t="s">
        <v>883</v>
      </c>
      <c r="C35" t="s">
        <v>234</v>
      </c>
      <c r="D35" t="s">
        <v>885</v>
      </c>
      <c r="E35" t="s">
        <v>36</v>
      </c>
      <c r="F35" t="s">
        <v>36</v>
      </c>
      <c r="G35" t="s">
        <v>36</v>
      </c>
      <c r="H35" t="s">
        <v>36</v>
      </c>
      <c r="I35" t="s">
        <v>890</v>
      </c>
      <c r="J35" t="s">
        <v>891</v>
      </c>
      <c r="K35" t="s">
        <v>36</v>
      </c>
      <c r="L35" s="74">
        <v>46022</v>
      </c>
      <c r="M35" s="74">
        <v>46023</v>
      </c>
      <c r="O35" t="s">
        <v>143</v>
      </c>
      <c r="P35" t="s">
        <v>36</v>
      </c>
      <c r="Q35" t="s">
        <v>920</v>
      </c>
      <c r="R35" t="s">
        <v>36</v>
      </c>
      <c r="S35" t="s">
        <v>36</v>
      </c>
      <c r="T35" t="s">
        <v>36</v>
      </c>
      <c r="U35" t="s">
        <v>36</v>
      </c>
      <c r="V35" t="s">
        <v>575</v>
      </c>
      <c r="W35" t="s">
        <v>36</v>
      </c>
      <c r="X35" t="s">
        <v>36</v>
      </c>
      <c r="Y35" t="s">
        <v>36</v>
      </c>
      <c r="Z35" t="s">
        <v>54</v>
      </c>
      <c r="AA35" t="s">
        <v>36</v>
      </c>
      <c r="AB35" t="s">
        <v>36</v>
      </c>
      <c r="AC35" t="s">
        <v>36</v>
      </c>
      <c r="AD35" t="s">
        <v>6152</v>
      </c>
      <c r="AE35" t="s">
        <v>6153</v>
      </c>
      <c r="AF35" t="s">
        <v>6154</v>
      </c>
      <c r="AG35" t="s">
        <v>6154</v>
      </c>
      <c r="AH35" t="s">
        <v>5366</v>
      </c>
      <c r="AI35" t="s">
        <v>6155</v>
      </c>
      <c r="AJ35" t="s">
        <v>6156</v>
      </c>
      <c r="AK35" t="s">
        <v>36</v>
      </c>
      <c r="AL35" t="s">
        <v>5153</v>
      </c>
      <c r="AM35" t="s">
        <v>6166</v>
      </c>
      <c r="AN35" t="s">
        <v>6148</v>
      </c>
      <c r="AO35" t="s">
        <v>5996</v>
      </c>
      <c r="AP35" t="e">
        <v>#VALUE!</v>
      </c>
      <c r="AQ35" t="s">
        <v>6149</v>
      </c>
      <c r="AR35" t="b">
        <v>0</v>
      </c>
    </row>
    <row r="36" spans="1:44">
      <c r="A36" t="s">
        <v>57</v>
      </c>
      <c r="B36" t="s">
        <v>3383</v>
      </c>
      <c r="C36" t="s">
        <v>36</v>
      </c>
      <c r="D36" t="s">
        <v>3385</v>
      </c>
      <c r="E36" t="s">
        <v>36</v>
      </c>
      <c r="F36" t="s">
        <v>36</v>
      </c>
      <c r="G36" t="s">
        <v>63</v>
      </c>
      <c r="H36" t="s">
        <v>64</v>
      </c>
      <c r="I36" t="s">
        <v>3390</v>
      </c>
      <c r="J36" t="s">
        <v>3391</v>
      </c>
      <c r="K36" t="s">
        <v>67</v>
      </c>
      <c r="L36" s="74">
        <v>45909</v>
      </c>
      <c r="O36" t="s">
        <v>43</v>
      </c>
      <c r="P36" t="s">
        <v>3394</v>
      </c>
      <c r="Q36" t="s">
        <v>70</v>
      </c>
      <c r="R36" t="s">
        <v>46</v>
      </c>
      <c r="S36" t="s">
        <v>47</v>
      </c>
      <c r="T36" t="s">
        <v>48</v>
      </c>
      <c r="U36" t="s">
        <v>74</v>
      </c>
      <c r="V36" t="s">
        <v>75</v>
      </c>
      <c r="W36" t="s">
        <v>2051</v>
      </c>
      <c r="X36" t="s">
        <v>36</v>
      </c>
      <c r="Y36" t="s">
        <v>36</v>
      </c>
      <c r="Z36" t="s">
        <v>54</v>
      </c>
      <c r="AA36" t="s">
        <v>80</v>
      </c>
      <c r="AB36" t="s">
        <v>81</v>
      </c>
      <c r="AC36" t="s">
        <v>3719</v>
      </c>
      <c r="AD36" t="s">
        <v>5018</v>
      </c>
      <c r="AE36">
        <v>8200</v>
      </c>
      <c r="AF36" t="s">
        <v>5164</v>
      </c>
      <c r="AG36" t="s">
        <v>5378</v>
      </c>
      <c r="AH36" t="s">
        <v>5366</v>
      </c>
      <c r="AI36" t="s">
        <v>5169</v>
      </c>
      <c r="AJ36" t="s">
        <v>5383</v>
      </c>
      <c r="AK36" t="s">
        <v>36</v>
      </c>
      <c r="AL36" t="s">
        <v>5381</v>
      </c>
      <c r="AM36" t="s">
        <v>36</v>
      </c>
      <c r="AO36" t="s">
        <v>5997</v>
      </c>
      <c r="AP36" t="s">
        <v>3685</v>
      </c>
      <c r="AQ36" t="s">
        <v>3694</v>
      </c>
      <c r="AR36" t="b">
        <v>0</v>
      </c>
    </row>
    <row r="37" spans="1:44">
      <c r="A37" t="s">
        <v>57</v>
      </c>
      <c r="B37" t="s">
        <v>1833</v>
      </c>
      <c r="C37" t="s">
        <v>109</v>
      </c>
      <c r="D37" t="s">
        <v>1835</v>
      </c>
      <c r="E37" t="s">
        <v>36</v>
      </c>
      <c r="F37" t="s">
        <v>36</v>
      </c>
      <c r="G37" t="s">
        <v>1838</v>
      </c>
      <c r="H37" t="s">
        <v>1839</v>
      </c>
      <c r="I37" t="s">
        <v>1840</v>
      </c>
      <c r="J37" t="s">
        <v>1841</v>
      </c>
      <c r="K37" t="s">
        <v>1842</v>
      </c>
      <c r="L37" s="74">
        <v>43101</v>
      </c>
      <c r="O37" t="s">
        <v>43</v>
      </c>
      <c r="P37" t="s">
        <v>1844</v>
      </c>
      <c r="Q37" t="s">
        <v>70</v>
      </c>
      <c r="R37" t="s">
        <v>46</v>
      </c>
      <c r="S37" t="s">
        <v>47</v>
      </c>
      <c r="T37" t="s">
        <v>48</v>
      </c>
      <c r="U37" t="s">
        <v>1849</v>
      </c>
      <c r="V37" t="s">
        <v>1850</v>
      </c>
      <c r="W37" t="s">
        <v>51</v>
      </c>
      <c r="X37" t="s">
        <v>36</v>
      </c>
      <c r="Y37" t="s">
        <v>36</v>
      </c>
      <c r="Z37" t="s">
        <v>54</v>
      </c>
      <c r="AA37" t="s">
        <v>680</v>
      </c>
      <c r="AB37" t="s">
        <v>681</v>
      </c>
      <c r="AC37" t="s">
        <v>3194</v>
      </c>
      <c r="AD37" t="s">
        <v>5018</v>
      </c>
      <c r="AE37">
        <v>9200</v>
      </c>
      <c r="AF37" t="s">
        <v>5164</v>
      </c>
      <c r="AG37" t="s">
        <v>5378</v>
      </c>
      <c r="AH37" t="s">
        <v>5366</v>
      </c>
      <c r="AI37" t="s">
        <v>5169</v>
      </c>
      <c r="AJ37" t="s">
        <v>5383</v>
      </c>
      <c r="AK37" t="s">
        <v>36</v>
      </c>
      <c r="AL37" t="s">
        <v>5381</v>
      </c>
      <c r="AM37" t="s">
        <v>36</v>
      </c>
      <c r="AO37" t="s">
        <v>5998</v>
      </c>
      <c r="AP37" t="s">
        <v>3185</v>
      </c>
      <c r="AQ37" t="s">
        <v>3194</v>
      </c>
      <c r="AR37" t="b">
        <v>1</v>
      </c>
    </row>
    <row r="38" spans="1:44">
      <c r="A38" t="s">
        <v>34</v>
      </c>
      <c r="B38" t="s">
        <v>3633</v>
      </c>
      <c r="C38" t="s">
        <v>1959</v>
      </c>
      <c r="D38" t="s">
        <v>3635</v>
      </c>
      <c r="E38" t="s">
        <v>36</v>
      </c>
      <c r="F38" t="s">
        <v>36</v>
      </c>
      <c r="G38" t="s">
        <v>188</v>
      </c>
      <c r="H38" t="s">
        <v>189</v>
      </c>
      <c r="I38" t="s">
        <v>3640</v>
      </c>
      <c r="J38" t="s">
        <v>3641</v>
      </c>
      <c r="K38" t="s">
        <v>42</v>
      </c>
      <c r="L38" s="74">
        <v>45334</v>
      </c>
      <c r="M38" s="74">
        <v>46262</v>
      </c>
      <c r="O38" t="s">
        <v>143</v>
      </c>
      <c r="P38" t="s">
        <v>3644</v>
      </c>
      <c r="Q38" t="s">
        <v>45</v>
      </c>
      <c r="R38" t="s">
        <v>46</v>
      </c>
      <c r="S38" t="s">
        <v>47</v>
      </c>
      <c r="T38" t="s">
        <v>48</v>
      </c>
      <c r="U38" t="s">
        <v>199</v>
      </c>
      <c r="V38" t="s">
        <v>200</v>
      </c>
      <c r="W38" t="s">
        <v>51</v>
      </c>
      <c r="X38" t="s">
        <v>36</v>
      </c>
      <c r="Y38" t="s">
        <v>36</v>
      </c>
      <c r="Z38" t="s">
        <v>54</v>
      </c>
      <c r="AA38" t="s">
        <v>55</v>
      </c>
      <c r="AB38" t="s">
        <v>56</v>
      </c>
      <c r="AC38" t="s">
        <v>2294</v>
      </c>
      <c r="AD38" t="s">
        <v>5018</v>
      </c>
      <c r="AE38">
        <v>5200</v>
      </c>
      <c r="AF38" t="s">
        <v>5164</v>
      </c>
      <c r="AG38" t="s">
        <v>5378</v>
      </c>
      <c r="AH38" t="s">
        <v>5366</v>
      </c>
      <c r="AI38" t="s">
        <v>5169</v>
      </c>
      <c r="AJ38" t="s">
        <v>5383</v>
      </c>
      <c r="AK38" t="s">
        <v>36</v>
      </c>
      <c r="AL38" t="s">
        <v>5153</v>
      </c>
      <c r="AM38" t="s">
        <v>6167</v>
      </c>
      <c r="AN38" t="s">
        <v>6151</v>
      </c>
      <c r="AO38" t="s">
        <v>5999</v>
      </c>
      <c r="AP38" t="s">
        <v>2285</v>
      </c>
      <c r="AQ38" t="s">
        <v>2294</v>
      </c>
      <c r="AR38" t="b">
        <v>1</v>
      </c>
    </row>
    <row r="39" spans="1:44">
      <c r="A39" t="s">
        <v>282</v>
      </c>
      <c r="B39" t="s">
        <v>3408</v>
      </c>
      <c r="C39" t="s">
        <v>36</v>
      </c>
      <c r="D39" t="s">
        <v>3385</v>
      </c>
      <c r="E39" t="s">
        <v>36</v>
      </c>
      <c r="F39" t="s">
        <v>36</v>
      </c>
      <c r="G39" t="s">
        <v>438</v>
      </c>
      <c r="H39" t="s">
        <v>439</v>
      </c>
      <c r="I39" t="s">
        <v>3415</v>
      </c>
      <c r="J39" t="s">
        <v>3416</v>
      </c>
      <c r="K39" t="s">
        <v>67</v>
      </c>
      <c r="L39" s="74">
        <v>45243</v>
      </c>
      <c r="M39" s="74">
        <v>46248</v>
      </c>
      <c r="O39" t="s">
        <v>143</v>
      </c>
      <c r="P39" t="s">
        <v>3419</v>
      </c>
      <c r="Q39" t="s">
        <v>70</v>
      </c>
      <c r="R39" t="s">
        <v>46</v>
      </c>
      <c r="S39" t="s">
        <v>297</v>
      </c>
      <c r="T39" t="s">
        <v>298</v>
      </c>
      <c r="U39" t="s">
        <v>74</v>
      </c>
      <c r="V39" t="s">
        <v>300</v>
      </c>
      <c r="W39" t="s">
        <v>301</v>
      </c>
      <c r="X39" t="s">
        <v>36</v>
      </c>
      <c r="Y39" t="s">
        <v>36</v>
      </c>
      <c r="Z39" t="s">
        <v>54</v>
      </c>
      <c r="AA39" t="s">
        <v>305</v>
      </c>
      <c r="AB39" t="s">
        <v>306</v>
      </c>
      <c r="AC39" t="s">
        <v>4868</v>
      </c>
      <c r="AD39" t="s">
        <v>5017</v>
      </c>
      <c r="AE39">
        <v>820</v>
      </c>
      <c r="AF39" t="s">
        <v>5164</v>
      </c>
      <c r="AG39" t="s">
        <v>5378</v>
      </c>
      <c r="AH39" t="s">
        <v>5366</v>
      </c>
      <c r="AI39" t="s">
        <v>5169</v>
      </c>
      <c r="AJ39" t="s">
        <v>5383</v>
      </c>
      <c r="AK39" t="s">
        <v>36</v>
      </c>
      <c r="AL39" t="s">
        <v>5153</v>
      </c>
      <c r="AM39" t="s">
        <v>6158</v>
      </c>
      <c r="AN39" t="s">
        <v>6151</v>
      </c>
      <c r="AO39" t="s">
        <v>6000</v>
      </c>
      <c r="AP39" t="s">
        <v>4859</v>
      </c>
      <c r="AQ39" t="s">
        <v>4868</v>
      </c>
      <c r="AR39" t="b">
        <v>1</v>
      </c>
    </row>
    <row r="40" spans="1:44">
      <c r="A40" t="s">
        <v>457</v>
      </c>
      <c r="B40" t="s">
        <v>2708</v>
      </c>
      <c r="C40" t="s">
        <v>36</v>
      </c>
      <c r="D40" t="s">
        <v>2710</v>
      </c>
      <c r="E40" t="s">
        <v>36</v>
      </c>
      <c r="F40" t="s">
        <v>36</v>
      </c>
      <c r="G40" t="s">
        <v>36</v>
      </c>
      <c r="H40" t="s">
        <v>464</v>
      </c>
      <c r="I40" t="s">
        <v>36</v>
      </c>
      <c r="J40" t="s">
        <v>2716</v>
      </c>
      <c r="K40" t="s">
        <v>1067</v>
      </c>
      <c r="L40" s="74">
        <v>46202</v>
      </c>
      <c r="O40" t="s">
        <v>43</v>
      </c>
      <c r="P40" t="s">
        <v>2719</v>
      </c>
      <c r="Q40" t="s">
        <v>45</v>
      </c>
      <c r="R40" t="s">
        <v>46</v>
      </c>
      <c r="S40" t="s">
        <v>297</v>
      </c>
      <c r="T40" t="s">
        <v>298</v>
      </c>
      <c r="U40" t="s">
        <v>1074</v>
      </c>
      <c r="V40" t="s">
        <v>1075</v>
      </c>
      <c r="W40" t="s">
        <v>301</v>
      </c>
      <c r="X40" t="s">
        <v>36</v>
      </c>
      <c r="Y40" t="s">
        <v>36</v>
      </c>
      <c r="Z40" t="s">
        <v>54</v>
      </c>
      <c r="AA40" t="s">
        <v>580</v>
      </c>
      <c r="AB40" t="s">
        <v>581</v>
      </c>
      <c r="AC40" t="s">
        <v>4018</v>
      </c>
      <c r="AD40" t="s">
        <v>5017</v>
      </c>
      <c r="AE40">
        <v>100</v>
      </c>
      <c r="AF40" t="s">
        <v>5164</v>
      </c>
      <c r="AG40" t="s">
        <v>5378</v>
      </c>
      <c r="AH40" t="s">
        <v>5366</v>
      </c>
      <c r="AI40" t="s">
        <v>5169</v>
      </c>
      <c r="AJ40" t="s">
        <v>5383</v>
      </c>
      <c r="AK40" t="s">
        <v>36</v>
      </c>
      <c r="AL40" t="s">
        <v>5381</v>
      </c>
      <c r="AM40" t="s">
        <v>36</v>
      </c>
      <c r="AO40" t="s">
        <v>6001</v>
      </c>
      <c r="AP40" t="e">
        <v>#VALUE!</v>
      </c>
      <c r="AQ40" t="s">
        <v>6149</v>
      </c>
      <c r="AR40" t="b">
        <v>0</v>
      </c>
    </row>
    <row r="41" spans="1:44">
      <c r="A41" t="s">
        <v>457</v>
      </c>
      <c r="B41" t="s">
        <v>1633</v>
      </c>
      <c r="C41" t="s">
        <v>36</v>
      </c>
      <c r="D41" t="s">
        <v>1635</v>
      </c>
      <c r="E41" t="s">
        <v>36</v>
      </c>
      <c r="F41" t="s">
        <v>36</v>
      </c>
      <c r="G41" t="s">
        <v>1013</v>
      </c>
      <c r="H41" t="s">
        <v>1014</v>
      </c>
      <c r="I41" t="s">
        <v>1640</v>
      </c>
      <c r="J41" t="s">
        <v>1641</v>
      </c>
      <c r="K41" t="s">
        <v>967</v>
      </c>
      <c r="L41" s="74">
        <v>46125</v>
      </c>
      <c r="O41" t="s">
        <v>43</v>
      </c>
      <c r="P41" t="s">
        <v>1644</v>
      </c>
      <c r="Q41" t="s">
        <v>45</v>
      </c>
      <c r="R41" t="s">
        <v>46</v>
      </c>
      <c r="S41" t="s">
        <v>297</v>
      </c>
      <c r="T41" t="s">
        <v>298</v>
      </c>
      <c r="U41" t="s">
        <v>724</v>
      </c>
      <c r="V41" t="s">
        <v>725</v>
      </c>
      <c r="W41" t="s">
        <v>301</v>
      </c>
      <c r="X41" t="s">
        <v>36</v>
      </c>
      <c r="Y41" t="s">
        <v>36</v>
      </c>
      <c r="Z41" t="s">
        <v>54</v>
      </c>
      <c r="AA41" t="s">
        <v>805</v>
      </c>
      <c r="AB41" t="s">
        <v>806</v>
      </c>
      <c r="AC41" t="s">
        <v>4643</v>
      </c>
      <c r="AD41" t="s">
        <v>5017</v>
      </c>
      <c r="AE41">
        <v>850</v>
      </c>
      <c r="AF41" t="s">
        <v>5164</v>
      </c>
      <c r="AG41" t="s">
        <v>5378</v>
      </c>
      <c r="AH41" t="s">
        <v>5366</v>
      </c>
      <c r="AI41" t="s">
        <v>5169</v>
      </c>
      <c r="AJ41" t="s">
        <v>5383</v>
      </c>
      <c r="AK41" t="s">
        <v>36</v>
      </c>
      <c r="AL41" t="s">
        <v>5381</v>
      </c>
      <c r="AM41" t="s">
        <v>36</v>
      </c>
      <c r="AO41" t="s">
        <v>6002</v>
      </c>
      <c r="AP41" t="s">
        <v>4634</v>
      </c>
      <c r="AQ41" t="s">
        <v>4643</v>
      </c>
      <c r="AR41" t="b">
        <v>1</v>
      </c>
    </row>
    <row r="42" spans="1:44">
      <c r="A42" t="s">
        <v>282</v>
      </c>
      <c r="B42" t="s">
        <v>1633</v>
      </c>
      <c r="C42" t="s">
        <v>36</v>
      </c>
      <c r="D42" t="s">
        <v>1635</v>
      </c>
      <c r="E42" t="s">
        <v>36</v>
      </c>
      <c r="F42" t="s">
        <v>36</v>
      </c>
      <c r="G42" t="s">
        <v>36</v>
      </c>
      <c r="H42" t="s">
        <v>36</v>
      </c>
      <c r="I42" t="s">
        <v>1640</v>
      </c>
      <c r="J42" t="s">
        <v>1641</v>
      </c>
      <c r="K42" t="s">
        <v>967</v>
      </c>
      <c r="L42" s="74">
        <v>46125</v>
      </c>
      <c r="M42" s="74">
        <v>46176</v>
      </c>
      <c r="O42" t="s">
        <v>143</v>
      </c>
      <c r="P42" t="s">
        <v>1644</v>
      </c>
      <c r="Q42" t="s">
        <v>45</v>
      </c>
      <c r="R42" t="s">
        <v>46</v>
      </c>
      <c r="S42" t="s">
        <v>297</v>
      </c>
      <c r="T42" t="s">
        <v>298</v>
      </c>
      <c r="U42" t="s">
        <v>724</v>
      </c>
      <c r="V42" t="s">
        <v>725</v>
      </c>
      <c r="W42" t="s">
        <v>301</v>
      </c>
      <c r="X42" t="s">
        <v>36</v>
      </c>
      <c r="Y42" t="s">
        <v>36</v>
      </c>
      <c r="Z42" t="s">
        <v>54</v>
      </c>
      <c r="AA42" t="s">
        <v>805</v>
      </c>
      <c r="AB42" t="s">
        <v>806</v>
      </c>
      <c r="AC42" t="s">
        <v>36</v>
      </c>
      <c r="AD42" t="s">
        <v>5017</v>
      </c>
      <c r="AE42">
        <v>850</v>
      </c>
      <c r="AF42" t="s">
        <v>5164</v>
      </c>
      <c r="AG42" t="s">
        <v>5378</v>
      </c>
      <c r="AH42" t="s">
        <v>5366</v>
      </c>
      <c r="AI42" t="s">
        <v>5169</v>
      </c>
      <c r="AJ42" t="s">
        <v>5383</v>
      </c>
      <c r="AK42" t="s">
        <v>36</v>
      </c>
      <c r="AL42" t="s">
        <v>5153</v>
      </c>
      <c r="AM42" t="s">
        <v>6150</v>
      </c>
      <c r="AN42" t="s">
        <v>6151</v>
      </c>
      <c r="AO42" t="s">
        <v>6002</v>
      </c>
      <c r="AP42" t="e">
        <v>#VALUE!</v>
      </c>
      <c r="AQ42" t="s">
        <v>6149</v>
      </c>
      <c r="AR42" t="b">
        <v>0</v>
      </c>
    </row>
    <row r="43" spans="1:44">
      <c r="A43" t="s">
        <v>282</v>
      </c>
      <c r="B43" t="s">
        <v>2533</v>
      </c>
      <c r="C43" t="s">
        <v>2534</v>
      </c>
      <c r="D43" t="s">
        <v>2535</v>
      </c>
      <c r="E43" t="s">
        <v>36</v>
      </c>
      <c r="F43" t="s">
        <v>36</v>
      </c>
      <c r="G43" t="s">
        <v>813</v>
      </c>
      <c r="H43" t="s">
        <v>814</v>
      </c>
      <c r="I43" t="s">
        <v>2540</v>
      </c>
      <c r="J43" t="s">
        <v>2541</v>
      </c>
      <c r="K43" t="s">
        <v>2542</v>
      </c>
      <c r="L43" s="74">
        <v>44270</v>
      </c>
      <c r="O43" t="s">
        <v>43</v>
      </c>
      <c r="P43" t="s">
        <v>2544</v>
      </c>
      <c r="Q43" t="s">
        <v>70</v>
      </c>
      <c r="R43" t="s">
        <v>46</v>
      </c>
      <c r="S43" t="s">
        <v>297</v>
      </c>
      <c r="T43" t="s">
        <v>298</v>
      </c>
      <c r="U43" t="s">
        <v>799</v>
      </c>
      <c r="V43" t="s">
        <v>800</v>
      </c>
      <c r="W43" t="s">
        <v>301</v>
      </c>
      <c r="X43" t="s">
        <v>36</v>
      </c>
      <c r="Y43" t="s">
        <v>36</v>
      </c>
      <c r="Z43" t="s">
        <v>54</v>
      </c>
      <c r="AA43" t="s">
        <v>305</v>
      </c>
      <c r="AB43" t="s">
        <v>306</v>
      </c>
      <c r="AC43" t="s">
        <v>2344</v>
      </c>
      <c r="AD43" t="s">
        <v>5017</v>
      </c>
      <c r="AE43">
        <v>500</v>
      </c>
      <c r="AF43" t="s">
        <v>5164</v>
      </c>
      <c r="AG43" t="s">
        <v>5378</v>
      </c>
      <c r="AH43" t="s">
        <v>5366</v>
      </c>
      <c r="AI43" t="s">
        <v>5169</v>
      </c>
      <c r="AJ43" t="s">
        <v>5383</v>
      </c>
      <c r="AK43" t="s">
        <v>36</v>
      </c>
      <c r="AL43" t="s">
        <v>5381</v>
      </c>
      <c r="AM43" t="s">
        <v>36</v>
      </c>
      <c r="AO43" t="s">
        <v>6003</v>
      </c>
      <c r="AP43" t="s">
        <v>2335</v>
      </c>
      <c r="AQ43" t="s">
        <v>2344</v>
      </c>
      <c r="AR43" t="b">
        <v>1</v>
      </c>
    </row>
    <row r="44" spans="1:44">
      <c r="A44" t="s">
        <v>34</v>
      </c>
      <c r="B44" t="s">
        <v>1958</v>
      </c>
      <c r="C44" t="s">
        <v>684</v>
      </c>
      <c r="D44" t="s">
        <v>3834</v>
      </c>
      <c r="E44" t="s">
        <v>36</v>
      </c>
      <c r="F44" t="s">
        <v>36</v>
      </c>
      <c r="G44" t="s">
        <v>1163</v>
      </c>
      <c r="H44" t="s">
        <v>1164</v>
      </c>
      <c r="I44" t="s">
        <v>36</v>
      </c>
      <c r="J44" t="s">
        <v>3840</v>
      </c>
      <c r="K44" t="s">
        <v>42</v>
      </c>
      <c r="L44" s="74">
        <v>46104</v>
      </c>
      <c r="O44" t="s">
        <v>43</v>
      </c>
      <c r="P44" t="s">
        <v>3843</v>
      </c>
      <c r="Q44" t="s">
        <v>45</v>
      </c>
      <c r="R44" t="s">
        <v>46</v>
      </c>
      <c r="S44" t="s">
        <v>47</v>
      </c>
      <c r="T44" t="s">
        <v>48</v>
      </c>
      <c r="U44" t="s">
        <v>199</v>
      </c>
      <c r="V44" t="s">
        <v>200</v>
      </c>
      <c r="W44" t="s">
        <v>51</v>
      </c>
      <c r="X44" t="s">
        <v>36</v>
      </c>
      <c r="Y44" t="s">
        <v>36</v>
      </c>
      <c r="Z44" t="s">
        <v>54</v>
      </c>
      <c r="AA44" t="s">
        <v>55</v>
      </c>
      <c r="AB44" t="s">
        <v>56</v>
      </c>
      <c r="AC44" t="s">
        <v>3743</v>
      </c>
      <c r="AD44" t="s">
        <v>5018</v>
      </c>
      <c r="AE44">
        <v>5200</v>
      </c>
      <c r="AF44" t="s">
        <v>5164</v>
      </c>
      <c r="AG44" t="s">
        <v>5378</v>
      </c>
      <c r="AH44" t="s">
        <v>5366</v>
      </c>
      <c r="AI44" t="s">
        <v>5169</v>
      </c>
      <c r="AJ44" t="s">
        <v>5383</v>
      </c>
      <c r="AK44" t="s">
        <v>36</v>
      </c>
      <c r="AL44" t="s">
        <v>5381</v>
      </c>
      <c r="AM44" t="s">
        <v>36</v>
      </c>
      <c r="AO44" t="s">
        <v>6004</v>
      </c>
      <c r="AP44" t="s">
        <v>3735</v>
      </c>
      <c r="AQ44" t="s">
        <v>3743</v>
      </c>
      <c r="AR44" t="b">
        <v>1</v>
      </c>
    </row>
    <row r="45" spans="1:44">
      <c r="A45" t="s">
        <v>57</v>
      </c>
      <c r="B45" t="s">
        <v>1958</v>
      </c>
      <c r="C45" t="s">
        <v>1959</v>
      </c>
      <c r="D45" t="s">
        <v>1960</v>
      </c>
      <c r="E45" t="s">
        <v>36</v>
      </c>
      <c r="F45" t="s">
        <v>36</v>
      </c>
      <c r="G45" t="s">
        <v>36</v>
      </c>
      <c r="H45" t="s">
        <v>36</v>
      </c>
      <c r="I45" t="s">
        <v>1965</v>
      </c>
      <c r="J45" t="s">
        <v>36</v>
      </c>
      <c r="K45" t="s">
        <v>67</v>
      </c>
      <c r="L45" s="74">
        <v>45915</v>
      </c>
      <c r="M45" s="74">
        <v>46122</v>
      </c>
      <c r="O45" t="s">
        <v>143</v>
      </c>
      <c r="P45" t="s">
        <v>1969</v>
      </c>
      <c r="Q45" t="s">
        <v>70</v>
      </c>
      <c r="R45" t="s">
        <v>46</v>
      </c>
      <c r="S45" t="s">
        <v>47</v>
      </c>
      <c r="T45" t="s">
        <v>48</v>
      </c>
      <c r="U45" t="s">
        <v>74</v>
      </c>
      <c r="V45" t="s">
        <v>75</v>
      </c>
      <c r="W45" t="s">
        <v>1976</v>
      </c>
      <c r="X45" t="s">
        <v>36</v>
      </c>
      <c r="Y45" t="s">
        <v>36</v>
      </c>
      <c r="Z45" t="s">
        <v>54</v>
      </c>
      <c r="AA45" t="s">
        <v>80</v>
      </c>
      <c r="AB45" t="s">
        <v>81</v>
      </c>
      <c r="AC45" t="s">
        <v>36</v>
      </c>
      <c r="AD45" t="s">
        <v>5018</v>
      </c>
      <c r="AE45">
        <v>8200</v>
      </c>
      <c r="AF45" t="s">
        <v>5164</v>
      </c>
      <c r="AG45" t="s">
        <v>5378</v>
      </c>
      <c r="AH45" t="s">
        <v>5366</v>
      </c>
      <c r="AI45" t="s">
        <v>5169</v>
      </c>
      <c r="AJ45" t="s">
        <v>5383</v>
      </c>
      <c r="AK45" t="s">
        <v>36</v>
      </c>
      <c r="AL45" t="s">
        <v>5153</v>
      </c>
      <c r="AM45" t="s">
        <v>6168</v>
      </c>
      <c r="AN45" t="s">
        <v>6151</v>
      </c>
      <c r="AO45" t="s">
        <v>6005</v>
      </c>
      <c r="AP45" t="e">
        <v>#VALUE!</v>
      </c>
      <c r="AQ45" t="s">
        <v>6149</v>
      </c>
      <c r="AR45" t="b">
        <v>0</v>
      </c>
    </row>
    <row r="46" spans="1:44">
      <c r="A46" t="s">
        <v>457</v>
      </c>
      <c r="B46" t="s">
        <v>1958</v>
      </c>
      <c r="C46" t="s">
        <v>234</v>
      </c>
      <c r="D46" t="s">
        <v>2210</v>
      </c>
      <c r="E46" t="s">
        <v>36</v>
      </c>
      <c r="F46" t="s">
        <v>36</v>
      </c>
      <c r="G46" t="s">
        <v>463</v>
      </c>
      <c r="H46" t="s">
        <v>464</v>
      </c>
      <c r="I46" t="s">
        <v>36</v>
      </c>
      <c r="J46" t="s">
        <v>2216</v>
      </c>
      <c r="K46" t="s">
        <v>2217</v>
      </c>
      <c r="L46" s="74">
        <v>32405</v>
      </c>
      <c r="O46" t="s">
        <v>43</v>
      </c>
      <c r="P46" t="s">
        <v>2219</v>
      </c>
      <c r="Q46" t="s">
        <v>45</v>
      </c>
      <c r="R46" t="s">
        <v>46</v>
      </c>
      <c r="S46" t="s">
        <v>297</v>
      </c>
      <c r="T46" t="s">
        <v>298</v>
      </c>
      <c r="U46" t="s">
        <v>1074</v>
      </c>
      <c r="V46" t="s">
        <v>1075</v>
      </c>
      <c r="W46" t="s">
        <v>301</v>
      </c>
      <c r="X46" t="s">
        <v>36</v>
      </c>
      <c r="Y46" t="s">
        <v>36</v>
      </c>
      <c r="Z46" t="s">
        <v>54</v>
      </c>
      <c r="AA46" t="s">
        <v>580</v>
      </c>
      <c r="AB46" t="s">
        <v>581</v>
      </c>
      <c r="AC46" t="s">
        <v>4018</v>
      </c>
      <c r="AD46" t="s">
        <v>5017</v>
      </c>
      <c r="AE46">
        <v>100</v>
      </c>
      <c r="AF46" t="s">
        <v>5164</v>
      </c>
      <c r="AG46" t="s">
        <v>5378</v>
      </c>
      <c r="AH46" t="s">
        <v>5366</v>
      </c>
      <c r="AI46" t="s">
        <v>5169</v>
      </c>
      <c r="AJ46" t="s">
        <v>5383</v>
      </c>
      <c r="AK46" t="s">
        <v>36</v>
      </c>
      <c r="AL46" t="s">
        <v>5381</v>
      </c>
      <c r="AM46" t="s">
        <v>36</v>
      </c>
      <c r="AO46" t="s">
        <v>6006</v>
      </c>
      <c r="AP46" t="s">
        <v>4009</v>
      </c>
      <c r="AQ46" t="s">
        <v>4018</v>
      </c>
      <c r="AR46" t="b">
        <v>1</v>
      </c>
    </row>
    <row r="47" spans="1:44">
      <c r="A47" t="s">
        <v>34</v>
      </c>
      <c r="B47" t="s">
        <v>1258</v>
      </c>
      <c r="C47" t="s">
        <v>234</v>
      </c>
      <c r="D47" t="s">
        <v>1260</v>
      </c>
      <c r="E47" t="s">
        <v>36</v>
      </c>
      <c r="F47" t="s">
        <v>36</v>
      </c>
      <c r="G47" t="s">
        <v>38</v>
      </c>
      <c r="H47" t="s">
        <v>39</v>
      </c>
      <c r="I47" t="s">
        <v>1265</v>
      </c>
      <c r="J47" t="s">
        <v>1266</v>
      </c>
      <c r="K47" t="s">
        <v>42</v>
      </c>
      <c r="L47" s="74">
        <v>45838</v>
      </c>
      <c r="O47" t="s">
        <v>43</v>
      </c>
      <c r="P47" t="s">
        <v>1269</v>
      </c>
      <c r="Q47" t="s">
        <v>45</v>
      </c>
      <c r="R47" t="s">
        <v>46</v>
      </c>
      <c r="S47" t="s">
        <v>47</v>
      </c>
      <c r="T47" t="s">
        <v>48</v>
      </c>
      <c r="U47" t="s">
        <v>49</v>
      </c>
      <c r="V47" t="s">
        <v>50</v>
      </c>
      <c r="W47" t="s">
        <v>51</v>
      </c>
      <c r="X47" t="s">
        <v>36</v>
      </c>
      <c r="Y47" t="s">
        <v>36</v>
      </c>
      <c r="Z47" t="s">
        <v>54</v>
      </c>
      <c r="AA47" t="s">
        <v>55</v>
      </c>
      <c r="AB47" t="s">
        <v>56</v>
      </c>
      <c r="AC47" t="s">
        <v>669</v>
      </c>
      <c r="AD47" t="s">
        <v>5018</v>
      </c>
      <c r="AE47">
        <v>5100</v>
      </c>
      <c r="AF47" t="s">
        <v>5164</v>
      </c>
      <c r="AG47" t="s">
        <v>5378</v>
      </c>
      <c r="AH47" t="s">
        <v>5366</v>
      </c>
      <c r="AI47" t="s">
        <v>5169</v>
      </c>
      <c r="AJ47" t="s">
        <v>5383</v>
      </c>
      <c r="AK47" t="s">
        <v>36</v>
      </c>
      <c r="AL47" t="s">
        <v>5381</v>
      </c>
      <c r="AM47" t="s">
        <v>36</v>
      </c>
      <c r="AO47" t="s">
        <v>6007</v>
      </c>
      <c r="AP47" t="s">
        <v>660</v>
      </c>
      <c r="AQ47" t="s">
        <v>669</v>
      </c>
      <c r="AR47" t="b">
        <v>1</v>
      </c>
    </row>
    <row r="48" spans="1:44">
      <c r="A48" t="s">
        <v>34</v>
      </c>
      <c r="B48" t="s">
        <v>2608</v>
      </c>
      <c r="C48" t="s">
        <v>36</v>
      </c>
      <c r="D48" t="s">
        <v>2610</v>
      </c>
      <c r="E48" t="s">
        <v>36</v>
      </c>
      <c r="F48" t="s">
        <v>36</v>
      </c>
      <c r="G48" t="s">
        <v>188</v>
      </c>
      <c r="H48" t="s">
        <v>189</v>
      </c>
      <c r="I48" t="s">
        <v>2615</v>
      </c>
      <c r="J48" t="s">
        <v>2616</v>
      </c>
      <c r="K48" t="s">
        <v>42</v>
      </c>
      <c r="L48" s="74">
        <v>43388</v>
      </c>
      <c r="O48" t="s">
        <v>43</v>
      </c>
      <c r="P48" t="s">
        <v>2619</v>
      </c>
      <c r="Q48" t="s">
        <v>45</v>
      </c>
      <c r="R48" t="s">
        <v>46</v>
      </c>
      <c r="S48" t="s">
        <v>47</v>
      </c>
      <c r="T48" t="s">
        <v>48</v>
      </c>
      <c r="U48" t="s">
        <v>199</v>
      </c>
      <c r="V48" t="s">
        <v>200</v>
      </c>
      <c r="W48" t="s">
        <v>51</v>
      </c>
      <c r="X48" t="s">
        <v>36</v>
      </c>
      <c r="Y48" t="s">
        <v>36</v>
      </c>
      <c r="Z48" t="s">
        <v>54</v>
      </c>
      <c r="AA48" t="s">
        <v>55</v>
      </c>
      <c r="AB48" t="s">
        <v>56</v>
      </c>
      <c r="AC48" t="s">
        <v>2294</v>
      </c>
      <c r="AD48" t="s">
        <v>5018</v>
      </c>
      <c r="AE48">
        <v>5200</v>
      </c>
      <c r="AF48" t="s">
        <v>5164</v>
      </c>
      <c r="AG48" t="s">
        <v>5378</v>
      </c>
      <c r="AH48" t="s">
        <v>5366</v>
      </c>
      <c r="AI48" t="s">
        <v>5169</v>
      </c>
      <c r="AJ48" t="s">
        <v>5383</v>
      </c>
      <c r="AK48" t="s">
        <v>36</v>
      </c>
      <c r="AL48" t="s">
        <v>5381</v>
      </c>
      <c r="AM48" t="s">
        <v>36</v>
      </c>
      <c r="AO48" t="s">
        <v>6008</v>
      </c>
      <c r="AP48" t="s">
        <v>2285</v>
      </c>
      <c r="AQ48" t="s">
        <v>2294</v>
      </c>
      <c r="AR48" t="b">
        <v>1</v>
      </c>
    </row>
    <row r="49" spans="1:44">
      <c r="A49" t="s">
        <v>34</v>
      </c>
      <c r="B49" t="s">
        <v>2608</v>
      </c>
      <c r="C49" t="s">
        <v>36</v>
      </c>
      <c r="D49" t="s">
        <v>4534</v>
      </c>
      <c r="E49" t="s">
        <v>36</v>
      </c>
      <c r="F49" t="s">
        <v>36</v>
      </c>
      <c r="G49" t="s">
        <v>38</v>
      </c>
      <c r="H49" t="s">
        <v>39</v>
      </c>
      <c r="I49" t="s">
        <v>4539</v>
      </c>
      <c r="J49" t="s">
        <v>4540</v>
      </c>
      <c r="K49" t="s">
        <v>2642</v>
      </c>
      <c r="L49" s="74">
        <v>44348</v>
      </c>
      <c r="O49" t="s">
        <v>43</v>
      </c>
      <c r="P49" t="s">
        <v>4543</v>
      </c>
      <c r="Q49" t="s">
        <v>45</v>
      </c>
      <c r="R49" t="s">
        <v>46</v>
      </c>
      <c r="S49" t="s">
        <v>47</v>
      </c>
      <c r="T49" t="s">
        <v>48</v>
      </c>
      <c r="U49" t="s">
        <v>49</v>
      </c>
      <c r="V49" t="s">
        <v>50</v>
      </c>
      <c r="W49" t="s">
        <v>51</v>
      </c>
      <c r="X49" t="s">
        <v>36</v>
      </c>
      <c r="Y49" t="s">
        <v>36</v>
      </c>
      <c r="Z49" t="s">
        <v>54</v>
      </c>
      <c r="AA49" t="s">
        <v>955</v>
      </c>
      <c r="AB49" t="s">
        <v>956</v>
      </c>
      <c r="AC49" t="s">
        <v>669</v>
      </c>
      <c r="AD49" t="s">
        <v>5018</v>
      </c>
      <c r="AE49">
        <v>5100</v>
      </c>
      <c r="AF49" t="s">
        <v>5164</v>
      </c>
      <c r="AG49" t="s">
        <v>5378</v>
      </c>
      <c r="AH49" t="s">
        <v>5366</v>
      </c>
      <c r="AI49" t="s">
        <v>5169</v>
      </c>
      <c r="AJ49" t="s">
        <v>5383</v>
      </c>
      <c r="AK49" t="s">
        <v>36</v>
      </c>
      <c r="AL49" t="s">
        <v>5381</v>
      </c>
      <c r="AM49" t="s">
        <v>36</v>
      </c>
      <c r="AO49" t="s">
        <v>6009</v>
      </c>
      <c r="AP49" t="s">
        <v>660</v>
      </c>
      <c r="AQ49" t="s">
        <v>669</v>
      </c>
      <c r="AR49" t="b">
        <v>1</v>
      </c>
    </row>
    <row r="50" spans="1:44">
      <c r="A50" t="s">
        <v>34</v>
      </c>
      <c r="B50" t="s">
        <v>1408</v>
      </c>
      <c r="C50" t="s">
        <v>36</v>
      </c>
      <c r="D50" t="s">
        <v>1410</v>
      </c>
      <c r="E50" t="s">
        <v>36</v>
      </c>
      <c r="F50" t="s">
        <v>36</v>
      </c>
      <c r="G50" t="s">
        <v>38</v>
      </c>
      <c r="H50" t="s">
        <v>39</v>
      </c>
      <c r="I50" t="s">
        <v>1415</v>
      </c>
      <c r="J50" t="s">
        <v>1416</v>
      </c>
      <c r="K50" t="s">
        <v>42</v>
      </c>
      <c r="L50" s="74">
        <v>45789</v>
      </c>
      <c r="O50" t="s">
        <v>43</v>
      </c>
      <c r="P50" t="s">
        <v>1419</v>
      </c>
      <c r="Q50" t="s">
        <v>45</v>
      </c>
      <c r="R50" t="s">
        <v>46</v>
      </c>
      <c r="S50" t="s">
        <v>47</v>
      </c>
      <c r="T50" t="s">
        <v>48</v>
      </c>
      <c r="U50" t="s">
        <v>49</v>
      </c>
      <c r="V50" t="s">
        <v>50</v>
      </c>
      <c r="W50" t="s">
        <v>51</v>
      </c>
      <c r="X50" t="s">
        <v>36</v>
      </c>
      <c r="Y50" t="s">
        <v>36</v>
      </c>
      <c r="Z50" t="s">
        <v>54</v>
      </c>
      <c r="AA50" t="s">
        <v>55</v>
      </c>
      <c r="AB50" t="s">
        <v>56</v>
      </c>
      <c r="AC50" t="s">
        <v>669</v>
      </c>
      <c r="AD50" t="s">
        <v>5018</v>
      </c>
      <c r="AE50">
        <v>5100</v>
      </c>
      <c r="AF50" t="s">
        <v>5164</v>
      </c>
      <c r="AG50" t="s">
        <v>5378</v>
      </c>
      <c r="AH50" t="s">
        <v>5366</v>
      </c>
      <c r="AI50" t="s">
        <v>5169</v>
      </c>
      <c r="AJ50" t="s">
        <v>5383</v>
      </c>
      <c r="AK50" t="s">
        <v>36</v>
      </c>
      <c r="AL50" t="s">
        <v>5381</v>
      </c>
      <c r="AM50" t="s">
        <v>36</v>
      </c>
      <c r="AO50" t="s">
        <v>6010</v>
      </c>
      <c r="AP50" t="s">
        <v>660</v>
      </c>
      <c r="AQ50" t="s">
        <v>669</v>
      </c>
      <c r="AR50" t="b">
        <v>1</v>
      </c>
    </row>
    <row r="51" spans="1:44">
      <c r="A51" t="s">
        <v>34</v>
      </c>
      <c r="B51" t="s">
        <v>1033</v>
      </c>
      <c r="C51" t="s">
        <v>36</v>
      </c>
      <c r="D51" t="s">
        <v>1035</v>
      </c>
      <c r="E51" t="s">
        <v>36</v>
      </c>
      <c r="F51" t="s">
        <v>36</v>
      </c>
      <c r="G51" t="s">
        <v>188</v>
      </c>
      <c r="H51" t="s">
        <v>189</v>
      </c>
      <c r="I51" t="s">
        <v>1040</v>
      </c>
      <c r="J51" t="s">
        <v>1041</v>
      </c>
      <c r="K51" t="s">
        <v>42</v>
      </c>
      <c r="L51" s="74">
        <v>44620</v>
      </c>
      <c r="O51" t="s">
        <v>43</v>
      </c>
      <c r="P51" t="s">
        <v>1044</v>
      </c>
      <c r="Q51" t="s">
        <v>45</v>
      </c>
      <c r="R51" t="s">
        <v>46</v>
      </c>
      <c r="S51" t="s">
        <v>47</v>
      </c>
      <c r="T51" t="s">
        <v>48</v>
      </c>
      <c r="U51" t="s">
        <v>199</v>
      </c>
      <c r="V51" t="s">
        <v>200</v>
      </c>
      <c r="W51" t="s">
        <v>51</v>
      </c>
      <c r="X51" t="s">
        <v>36</v>
      </c>
      <c r="Y51" t="s">
        <v>36</v>
      </c>
      <c r="Z51" t="s">
        <v>54</v>
      </c>
      <c r="AA51" t="s">
        <v>55</v>
      </c>
      <c r="AB51" t="s">
        <v>56</v>
      </c>
      <c r="AC51" t="s">
        <v>2294</v>
      </c>
      <c r="AD51" t="s">
        <v>5018</v>
      </c>
      <c r="AE51">
        <v>5200</v>
      </c>
      <c r="AF51" t="s">
        <v>5164</v>
      </c>
      <c r="AG51" t="s">
        <v>5378</v>
      </c>
      <c r="AH51" t="s">
        <v>5366</v>
      </c>
      <c r="AI51" t="s">
        <v>5169</v>
      </c>
      <c r="AJ51" t="s">
        <v>5383</v>
      </c>
      <c r="AK51" t="s">
        <v>36</v>
      </c>
      <c r="AL51" t="s">
        <v>5381</v>
      </c>
      <c r="AM51" t="s">
        <v>36</v>
      </c>
      <c r="AO51" t="s">
        <v>6011</v>
      </c>
      <c r="AP51" t="s">
        <v>2285</v>
      </c>
      <c r="AQ51" t="s">
        <v>2294</v>
      </c>
      <c r="AR51" t="b">
        <v>1</v>
      </c>
    </row>
    <row r="52" spans="1:44">
      <c r="A52" t="s">
        <v>57</v>
      </c>
      <c r="B52" t="s">
        <v>935</v>
      </c>
      <c r="C52" t="s">
        <v>4358</v>
      </c>
      <c r="D52" t="s">
        <v>4359</v>
      </c>
      <c r="E52" t="s">
        <v>36</v>
      </c>
      <c r="F52" t="s">
        <v>36</v>
      </c>
      <c r="G52" t="s">
        <v>36</v>
      </c>
      <c r="H52" t="s">
        <v>214</v>
      </c>
      <c r="I52" t="s">
        <v>4364</v>
      </c>
      <c r="J52" t="s">
        <v>4365</v>
      </c>
      <c r="K52" t="s">
        <v>4366</v>
      </c>
      <c r="L52" s="74">
        <v>45208</v>
      </c>
      <c r="M52" s="74">
        <v>46227</v>
      </c>
      <c r="O52" t="s">
        <v>143</v>
      </c>
      <c r="P52" t="s">
        <v>4368</v>
      </c>
      <c r="Q52" t="s">
        <v>70</v>
      </c>
      <c r="R52" t="s">
        <v>46</v>
      </c>
      <c r="S52" t="s">
        <v>47</v>
      </c>
      <c r="T52" t="s">
        <v>48</v>
      </c>
      <c r="U52" t="s">
        <v>224</v>
      </c>
      <c r="V52" t="s">
        <v>225</v>
      </c>
      <c r="W52" t="s">
        <v>51</v>
      </c>
      <c r="X52" t="s">
        <v>36</v>
      </c>
      <c r="Y52" t="s">
        <v>36</v>
      </c>
      <c r="Z52" t="s">
        <v>54</v>
      </c>
      <c r="AA52" t="s">
        <v>880</v>
      </c>
      <c r="AB52" t="s">
        <v>881</v>
      </c>
      <c r="AC52" t="s">
        <v>4668</v>
      </c>
      <c r="AD52" t="s">
        <v>5018</v>
      </c>
      <c r="AE52">
        <v>9100</v>
      </c>
      <c r="AF52" t="s">
        <v>5164</v>
      </c>
      <c r="AG52" t="s">
        <v>5378</v>
      </c>
      <c r="AH52" t="s">
        <v>5366</v>
      </c>
      <c r="AI52" t="s">
        <v>5169</v>
      </c>
      <c r="AJ52" t="s">
        <v>5383</v>
      </c>
      <c r="AK52" t="s">
        <v>36</v>
      </c>
      <c r="AL52" t="s">
        <v>5153</v>
      </c>
      <c r="AM52" t="s">
        <v>6169</v>
      </c>
      <c r="AN52" t="s">
        <v>6151</v>
      </c>
      <c r="AO52" t="s">
        <v>6012</v>
      </c>
      <c r="AP52" t="e">
        <v>#VALUE!</v>
      </c>
      <c r="AQ52" t="s">
        <v>6149</v>
      </c>
      <c r="AR52" t="b">
        <v>0</v>
      </c>
    </row>
    <row r="53" spans="1:44">
      <c r="A53" t="s">
        <v>457</v>
      </c>
      <c r="B53" t="s">
        <v>935</v>
      </c>
      <c r="C53" t="s">
        <v>36</v>
      </c>
      <c r="D53" t="s">
        <v>4784</v>
      </c>
      <c r="E53" t="s">
        <v>36</v>
      </c>
      <c r="F53" t="s">
        <v>36</v>
      </c>
      <c r="G53" t="s">
        <v>1013</v>
      </c>
      <c r="H53" t="s">
        <v>1014</v>
      </c>
      <c r="I53" t="s">
        <v>4789</v>
      </c>
      <c r="J53" t="s">
        <v>4790</v>
      </c>
      <c r="K53" t="s">
        <v>967</v>
      </c>
      <c r="L53" s="74">
        <v>45769</v>
      </c>
      <c r="O53" t="s">
        <v>43</v>
      </c>
      <c r="P53" t="s">
        <v>4793</v>
      </c>
      <c r="Q53" t="s">
        <v>45</v>
      </c>
      <c r="R53" t="s">
        <v>46</v>
      </c>
      <c r="S53" t="s">
        <v>297</v>
      </c>
      <c r="T53" t="s">
        <v>298</v>
      </c>
      <c r="U53" t="s">
        <v>724</v>
      </c>
      <c r="V53" t="s">
        <v>725</v>
      </c>
      <c r="W53" t="s">
        <v>301</v>
      </c>
      <c r="X53" t="s">
        <v>36</v>
      </c>
      <c r="Y53" t="s">
        <v>36</v>
      </c>
      <c r="Z53" t="s">
        <v>54</v>
      </c>
      <c r="AA53" t="s">
        <v>805</v>
      </c>
      <c r="AB53" t="s">
        <v>806</v>
      </c>
      <c r="AC53" t="s">
        <v>4643</v>
      </c>
      <c r="AD53" t="s">
        <v>5017</v>
      </c>
      <c r="AE53">
        <v>850</v>
      </c>
      <c r="AF53" t="s">
        <v>5164</v>
      </c>
      <c r="AG53" t="s">
        <v>5378</v>
      </c>
      <c r="AH53" t="s">
        <v>5366</v>
      </c>
      <c r="AI53" t="s">
        <v>5169</v>
      </c>
      <c r="AJ53" t="s">
        <v>5383</v>
      </c>
      <c r="AK53" t="s">
        <v>36</v>
      </c>
      <c r="AL53" t="s">
        <v>5381</v>
      </c>
      <c r="AM53" t="s">
        <v>36</v>
      </c>
      <c r="AO53" t="s">
        <v>6013</v>
      </c>
      <c r="AP53" t="s">
        <v>4634</v>
      </c>
      <c r="AQ53" t="s">
        <v>4643</v>
      </c>
      <c r="AR53" t="b">
        <v>1</v>
      </c>
    </row>
    <row r="54" spans="1:44">
      <c r="A54" t="s">
        <v>282</v>
      </c>
      <c r="B54" t="s">
        <v>935</v>
      </c>
      <c r="C54" t="s">
        <v>36</v>
      </c>
      <c r="D54" t="s">
        <v>4784</v>
      </c>
      <c r="E54" t="s">
        <v>36</v>
      </c>
      <c r="F54" t="s">
        <v>36</v>
      </c>
      <c r="G54" t="s">
        <v>36</v>
      </c>
      <c r="H54" t="s">
        <v>36</v>
      </c>
      <c r="I54" t="s">
        <v>4789</v>
      </c>
      <c r="J54" t="s">
        <v>4790</v>
      </c>
      <c r="K54" t="s">
        <v>967</v>
      </c>
      <c r="L54" s="74">
        <v>45769</v>
      </c>
      <c r="M54" s="74">
        <v>46175</v>
      </c>
      <c r="O54" t="s">
        <v>143</v>
      </c>
      <c r="P54" t="s">
        <v>4793</v>
      </c>
      <c r="Q54" t="s">
        <v>45</v>
      </c>
      <c r="R54" t="s">
        <v>46</v>
      </c>
      <c r="S54" t="s">
        <v>297</v>
      </c>
      <c r="T54" t="s">
        <v>298</v>
      </c>
      <c r="U54" t="s">
        <v>724</v>
      </c>
      <c r="V54" t="s">
        <v>725</v>
      </c>
      <c r="W54" t="s">
        <v>301</v>
      </c>
      <c r="X54" t="s">
        <v>36</v>
      </c>
      <c r="Y54" t="s">
        <v>36</v>
      </c>
      <c r="Z54" t="s">
        <v>54</v>
      </c>
      <c r="AA54" t="s">
        <v>805</v>
      </c>
      <c r="AB54" t="s">
        <v>806</v>
      </c>
      <c r="AC54" t="s">
        <v>36</v>
      </c>
      <c r="AD54" t="s">
        <v>5017</v>
      </c>
      <c r="AE54">
        <v>850</v>
      </c>
      <c r="AF54" t="s">
        <v>5164</v>
      </c>
      <c r="AG54" t="s">
        <v>5378</v>
      </c>
      <c r="AH54" t="s">
        <v>5366</v>
      </c>
      <c r="AI54" t="s">
        <v>5169</v>
      </c>
      <c r="AJ54" t="s">
        <v>5383</v>
      </c>
      <c r="AK54" t="s">
        <v>36</v>
      </c>
      <c r="AL54" t="s">
        <v>5153</v>
      </c>
      <c r="AM54" t="s">
        <v>6160</v>
      </c>
      <c r="AN54" t="s">
        <v>6151</v>
      </c>
      <c r="AO54" t="s">
        <v>6013</v>
      </c>
      <c r="AP54" t="e">
        <v>#VALUE!</v>
      </c>
      <c r="AQ54" t="s">
        <v>6149</v>
      </c>
      <c r="AR54" t="b">
        <v>0</v>
      </c>
    </row>
    <row r="55" spans="1:44">
      <c r="A55" t="s">
        <v>282</v>
      </c>
      <c r="B55" t="s">
        <v>935</v>
      </c>
      <c r="C55" t="s">
        <v>36</v>
      </c>
      <c r="D55" t="s">
        <v>4784</v>
      </c>
      <c r="E55" t="s">
        <v>36</v>
      </c>
      <c r="F55" t="s">
        <v>36</v>
      </c>
      <c r="G55" t="s">
        <v>36</v>
      </c>
      <c r="H55" t="s">
        <v>36</v>
      </c>
      <c r="I55" t="s">
        <v>4789</v>
      </c>
      <c r="J55" t="s">
        <v>4790</v>
      </c>
      <c r="K55" t="s">
        <v>967</v>
      </c>
      <c r="L55" s="74">
        <v>45769</v>
      </c>
      <c r="M55" s="74">
        <v>46175</v>
      </c>
      <c r="O55" t="s">
        <v>143</v>
      </c>
      <c r="P55" t="s">
        <v>4793</v>
      </c>
      <c r="Q55" t="s">
        <v>70</v>
      </c>
      <c r="R55" t="s">
        <v>46</v>
      </c>
      <c r="S55" t="s">
        <v>297</v>
      </c>
      <c r="T55" t="s">
        <v>298</v>
      </c>
      <c r="U55" t="s">
        <v>724</v>
      </c>
      <c r="V55" t="s">
        <v>725</v>
      </c>
      <c r="W55" t="s">
        <v>301</v>
      </c>
      <c r="X55" t="s">
        <v>36</v>
      </c>
      <c r="Y55" t="s">
        <v>36</v>
      </c>
      <c r="Z55" t="s">
        <v>54</v>
      </c>
      <c r="AA55" t="s">
        <v>805</v>
      </c>
      <c r="AB55" t="s">
        <v>806</v>
      </c>
      <c r="AC55" t="s">
        <v>36</v>
      </c>
      <c r="AD55" t="s">
        <v>5017</v>
      </c>
      <c r="AE55">
        <v>850</v>
      </c>
      <c r="AF55" t="s">
        <v>5164</v>
      </c>
      <c r="AG55" t="s">
        <v>5378</v>
      </c>
      <c r="AH55" t="s">
        <v>5366</v>
      </c>
      <c r="AI55" t="s">
        <v>5169</v>
      </c>
      <c r="AJ55" t="s">
        <v>5383</v>
      </c>
      <c r="AK55" t="s">
        <v>36</v>
      </c>
      <c r="AL55" t="s">
        <v>5153</v>
      </c>
      <c r="AM55" t="s">
        <v>6160</v>
      </c>
      <c r="AN55" t="s">
        <v>6148</v>
      </c>
      <c r="AO55" t="s">
        <v>6013</v>
      </c>
      <c r="AP55" t="e">
        <v>#VALUE!</v>
      </c>
      <c r="AQ55" t="s">
        <v>6149</v>
      </c>
      <c r="AR55" t="b">
        <v>0</v>
      </c>
    </row>
    <row r="56" spans="1:44">
      <c r="A56" t="s">
        <v>457</v>
      </c>
      <c r="B56" t="s">
        <v>1783</v>
      </c>
      <c r="C56" t="s">
        <v>36</v>
      </c>
      <c r="D56" t="s">
        <v>1785</v>
      </c>
      <c r="E56" t="s">
        <v>36</v>
      </c>
      <c r="F56" t="s">
        <v>36</v>
      </c>
      <c r="G56" t="s">
        <v>1788</v>
      </c>
      <c r="H56" t="s">
        <v>1789</v>
      </c>
      <c r="I56" t="s">
        <v>1790</v>
      </c>
      <c r="J56" t="s">
        <v>36</v>
      </c>
      <c r="K56" t="s">
        <v>1467</v>
      </c>
      <c r="L56" s="74">
        <v>31049</v>
      </c>
      <c r="O56" t="s">
        <v>43</v>
      </c>
      <c r="P56" t="s">
        <v>1794</v>
      </c>
      <c r="Q56" t="s">
        <v>45</v>
      </c>
      <c r="R56" t="s">
        <v>46</v>
      </c>
      <c r="S56" t="s">
        <v>297</v>
      </c>
      <c r="T56" t="s">
        <v>298</v>
      </c>
      <c r="U56" t="s">
        <v>1474</v>
      </c>
      <c r="V56" t="s">
        <v>1475</v>
      </c>
      <c r="W56" t="s">
        <v>301</v>
      </c>
      <c r="X56" t="s">
        <v>36</v>
      </c>
      <c r="Y56" t="s">
        <v>36</v>
      </c>
      <c r="Z56" t="s">
        <v>54</v>
      </c>
      <c r="AA56" t="s">
        <v>1130</v>
      </c>
      <c r="AB56" t="s">
        <v>1131</v>
      </c>
      <c r="AC56" t="s">
        <v>1344</v>
      </c>
      <c r="AD56" t="s">
        <v>5017</v>
      </c>
      <c r="AE56">
        <v>450</v>
      </c>
      <c r="AF56" t="s">
        <v>5164</v>
      </c>
      <c r="AG56" t="s">
        <v>5378</v>
      </c>
      <c r="AH56" t="s">
        <v>5366</v>
      </c>
      <c r="AI56" t="s">
        <v>5169</v>
      </c>
      <c r="AJ56" t="s">
        <v>5383</v>
      </c>
      <c r="AK56" t="s">
        <v>36</v>
      </c>
      <c r="AL56" t="s">
        <v>5381</v>
      </c>
      <c r="AM56" t="s">
        <v>36</v>
      </c>
      <c r="AO56" t="s">
        <v>6014</v>
      </c>
      <c r="AP56" t="s">
        <v>1335</v>
      </c>
      <c r="AQ56" t="s">
        <v>1344</v>
      </c>
      <c r="AR56" t="b">
        <v>1</v>
      </c>
    </row>
    <row r="57" spans="1:44">
      <c r="A57" t="s">
        <v>457</v>
      </c>
      <c r="B57" t="s">
        <v>1108</v>
      </c>
      <c r="C57" t="s">
        <v>659</v>
      </c>
      <c r="D57" t="s">
        <v>1110</v>
      </c>
      <c r="E57" t="s">
        <v>36</v>
      </c>
      <c r="F57" t="s">
        <v>36</v>
      </c>
      <c r="G57" t="s">
        <v>463</v>
      </c>
      <c r="H57" t="s">
        <v>464</v>
      </c>
      <c r="I57" t="s">
        <v>36</v>
      </c>
      <c r="J57" t="s">
        <v>1116</v>
      </c>
      <c r="K57" t="s">
        <v>1117</v>
      </c>
      <c r="L57" s="74">
        <v>35604</v>
      </c>
      <c r="O57" t="s">
        <v>43</v>
      </c>
      <c r="P57" t="s">
        <v>1119</v>
      </c>
      <c r="Q57" t="s">
        <v>45</v>
      </c>
      <c r="R57" t="s">
        <v>46</v>
      </c>
      <c r="S57" t="s">
        <v>297</v>
      </c>
      <c r="T57" t="s">
        <v>298</v>
      </c>
      <c r="U57" t="s">
        <v>1074</v>
      </c>
      <c r="V57" t="s">
        <v>1075</v>
      </c>
      <c r="W57" t="s">
        <v>301</v>
      </c>
      <c r="X57" t="s">
        <v>36</v>
      </c>
      <c r="Y57" t="s">
        <v>36</v>
      </c>
      <c r="Z57" t="s">
        <v>54</v>
      </c>
      <c r="AA57" t="s">
        <v>1130</v>
      </c>
      <c r="AB57" t="s">
        <v>1131</v>
      </c>
      <c r="AC57" t="s">
        <v>4018</v>
      </c>
      <c r="AD57" t="s">
        <v>5017</v>
      </c>
      <c r="AE57">
        <v>100</v>
      </c>
      <c r="AF57" t="s">
        <v>5164</v>
      </c>
      <c r="AG57" t="s">
        <v>5378</v>
      </c>
      <c r="AH57" t="s">
        <v>5366</v>
      </c>
      <c r="AI57" t="s">
        <v>5169</v>
      </c>
      <c r="AJ57" t="s">
        <v>5383</v>
      </c>
      <c r="AK57" t="s">
        <v>36</v>
      </c>
      <c r="AL57" t="s">
        <v>5381</v>
      </c>
      <c r="AM57" t="s">
        <v>36</v>
      </c>
      <c r="AO57" t="s">
        <v>6015</v>
      </c>
      <c r="AP57" t="s">
        <v>4009</v>
      </c>
      <c r="AQ57" t="s">
        <v>4018</v>
      </c>
      <c r="AR57" t="b">
        <v>1</v>
      </c>
    </row>
    <row r="58" spans="1:44">
      <c r="A58" t="s">
        <v>34</v>
      </c>
      <c r="B58" t="s">
        <v>1108</v>
      </c>
      <c r="C58" t="s">
        <v>234</v>
      </c>
      <c r="D58" t="s">
        <v>3235</v>
      </c>
      <c r="E58" t="s">
        <v>36</v>
      </c>
      <c r="F58" t="s">
        <v>36</v>
      </c>
      <c r="G58" t="s">
        <v>588</v>
      </c>
      <c r="H58" t="s">
        <v>589</v>
      </c>
      <c r="I58" t="s">
        <v>3240</v>
      </c>
      <c r="J58" t="s">
        <v>3241</v>
      </c>
      <c r="K58" t="s">
        <v>3242</v>
      </c>
      <c r="L58" s="74">
        <v>45964</v>
      </c>
      <c r="O58" t="s">
        <v>43</v>
      </c>
      <c r="P58" t="s">
        <v>3244</v>
      </c>
      <c r="Q58" t="s">
        <v>45</v>
      </c>
      <c r="R58" t="s">
        <v>1721</v>
      </c>
      <c r="S58" t="s">
        <v>47</v>
      </c>
      <c r="T58" t="s">
        <v>48</v>
      </c>
      <c r="U58" t="s">
        <v>774</v>
      </c>
      <c r="V58" t="s">
        <v>775</v>
      </c>
      <c r="W58" t="s">
        <v>51</v>
      </c>
      <c r="X58" t="s">
        <v>36</v>
      </c>
      <c r="Y58" t="s">
        <v>36</v>
      </c>
      <c r="Z58" t="s">
        <v>54</v>
      </c>
      <c r="AA58" t="s">
        <v>80</v>
      </c>
      <c r="AB58" t="s">
        <v>81</v>
      </c>
      <c r="AC58" t="s">
        <v>319</v>
      </c>
      <c r="AD58" t="s">
        <v>5018</v>
      </c>
      <c r="AE58">
        <v>9450</v>
      </c>
      <c r="AF58" t="s">
        <v>5164</v>
      </c>
      <c r="AG58" t="s">
        <v>5378</v>
      </c>
      <c r="AH58" t="s">
        <v>5366</v>
      </c>
      <c r="AI58" t="s">
        <v>5169</v>
      </c>
      <c r="AJ58" t="s">
        <v>5383</v>
      </c>
      <c r="AK58" t="s">
        <v>36</v>
      </c>
      <c r="AL58" t="s">
        <v>5381</v>
      </c>
      <c r="AM58" t="s">
        <v>36</v>
      </c>
      <c r="AO58" t="s">
        <v>6016</v>
      </c>
      <c r="AP58" t="s">
        <v>310</v>
      </c>
      <c r="AQ58" t="s">
        <v>319</v>
      </c>
      <c r="AR58" t="b">
        <v>1</v>
      </c>
    </row>
    <row r="59" spans="1:44">
      <c r="A59" t="s">
        <v>282</v>
      </c>
      <c r="B59" t="s">
        <v>1108</v>
      </c>
      <c r="C59" t="s">
        <v>36</v>
      </c>
      <c r="D59" t="s">
        <v>4459</v>
      </c>
      <c r="E59" t="s">
        <v>36</v>
      </c>
      <c r="F59" t="s">
        <v>36</v>
      </c>
      <c r="G59" t="s">
        <v>313</v>
      </c>
      <c r="H59" t="s">
        <v>314</v>
      </c>
      <c r="I59" t="s">
        <v>4464</v>
      </c>
      <c r="J59" t="s">
        <v>4465</v>
      </c>
      <c r="K59" t="s">
        <v>4466</v>
      </c>
      <c r="L59" s="74">
        <v>45642</v>
      </c>
      <c r="O59" t="s">
        <v>43</v>
      </c>
      <c r="P59" t="s">
        <v>4468</v>
      </c>
      <c r="Q59" t="s">
        <v>70</v>
      </c>
      <c r="R59" t="s">
        <v>46</v>
      </c>
      <c r="S59" t="s">
        <v>297</v>
      </c>
      <c r="T59" t="s">
        <v>298</v>
      </c>
      <c r="U59" t="s">
        <v>74</v>
      </c>
      <c r="V59" t="s">
        <v>300</v>
      </c>
      <c r="W59" t="s">
        <v>2051</v>
      </c>
      <c r="X59" t="s">
        <v>36</v>
      </c>
      <c r="Y59" t="s">
        <v>36</v>
      </c>
      <c r="Z59" t="s">
        <v>54</v>
      </c>
      <c r="AA59" t="s">
        <v>330</v>
      </c>
      <c r="AB59" t="s">
        <v>331</v>
      </c>
      <c r="AC59" t="s">
        <v>269</v>
      </c>
      <c r="AD59" t="s">
        <v>5017</v>
      </c>
      <c r="AE59">
        <v>820</v>
      </c>
      <c r="AF59" t="s">
        <v>5164</v>
      </c>
      <c r="AG59" t="s">
        <v>5378</v>
      </c>
      <c r="AH59" t="s">
        <v>5366</v>
      </c>
      <c r="AI59" t="s">
        <v>5169</v>
      </c>
      <c r="AJ59" t="s">
        <v>5383</v>
      </c>
      <c r="AK59" t="s">
        <v>36</v>
      </c>
      <c r="AL59" t="s">
        <v>5381</v>
      </c>
      <c r="AM59" t="s">
        <v>36</v>
      </c>
      <c r="AO59" t="s">
        <v>6017</v>
      </c>
      <c r="AP59" t="s">
        <v>260</v>
      </c>
      <c r="AQ59" t="s">
        <v>269</v>
      </c>
      <c r="AR59" t="b">
        <v>1</v>
      </c>
    </row>
    <row r="60" spans="1:44">
      <c r="A60" t="s">
        <v>57</v>
      </c>
      <c r="B60" t="s">
        <v>1108</v>
      </c>
      <c r="C60" t="s">
        <v>36</v>
      </c>
      <c r="D60" t="s">
        <v>4959</v>
      </c>
      <c r="E60" t="s">
        <v>36</v>
      </c>
      <c r="F60" t="s">
        <v>36</v>
      </c>
      <c r="G60" t="s">
        <v>1513</v>
      </c>
      <c r="H60" t="s">
        <v>1514</v>
      </c>
      <c r="I60" t="s">
        <v>4964</v>
      </c>
      <c r="J60" t="s">
        <v>36</v>
      </c>
      <c r="K60" t="s">
        <v>4966</v>
      </c>
      <c r="L60" s="74">
        <v>44767</v>
      </c>
      <c r="O60" t="s">
        <v>43</v>
      </c>
      <c r="P60" t="s">
        <v>4968</v>
      </c>
      <c r="Q60" t="s">
        <v>70</v>
      </c>
      <c r="R60" t="s">
        <v>46</v>
      </c>
      <c r="S60" t="s">
        <v>47</v>
      </c>
      <c r="T60" t="s">
        <v>48</v>
      </c>
      <c r="U60" t="s">
        <v>174</v>
      </c>
      <c r="V60" t="s">
        <v>175</v>
      </c>
      <c r="W60" t="s">
        <v>51</v>
      </c>
      <c r="X60" t="s">
        <v>36</v>
      </c>
      <c r="Y60" t="s">
        <v>36</v>
      </c>
      <c r="Z60" t="s">
        <v>54</v>
      </c>
      <c r="AA60" t="s">
        <v>1755</v>
      </c>
      <c r="AB60" t="s">
        <v>1756</v>
      </c>
      <c r="AC60" t="s">
        <v>169</v>
      </c>
      <c r="AD60" t="s">
        <v>5018</v>
      </c>
      <c r="AE60">
        <v>9500</v>
      </c>
      <c r="AF60" t="s">
        <v>5164</v>
      </c>
      <c r="AG60" t="s">
        <v>5378</v>
      </c>
      <c r="AH60" t="s">
        <v>5366</v>
      </c>
      <c r="AI60" t="s">
        <v>5169</v>
      </c>
      <c r="AJ60" t="s">
        <v>5383</v>
      </c>
      <c r="AK60" t="s">
        <v>36</v>
      </c>
      <c r="AL60" t="s">
        <v>5381</v>
      </c>
      <c r="AM60" t="s">
        <v>36</v>
      </c>
      <c r="AO60" t="s">
        <v>6018</v>
      </c>
      <c r="AP60" t="s">
        <v>160</v>
      </c>
      <c r="AQ60" t="s">
        <v>169</v>
      </c>
      <c r="AR60" t="b">
        <v>1</v>
      </c>
    </row>
    <row r="61" spans="1:44">
      <c r="A61" t="s">
        <v>34</v>
      </c>
      <c r="B61" t="s">
        <v>3757</v>
      </c>
      <c r="C61" t="s">
        <v>36</v>
      </c>
      <c r="D61" t="s">
        <v>3759</v>
      </c>
      <c r="E61" t="s">
        <v>36</v>
      </c>
      <c r="F61" t="s">
        <v>36</v>
      </c>
      <c r="G61" t="s">
        <v>36</v>
      </c>
      <c r="H61" t="s">
        <v>1164</v>
      </c>
      <c r="I61" t="s">
        <v>36</v>
      </c>
      <c r="J61" t="s">
        <v>3765</v>
      </c>
      <c r="K61" t="s">
        <v>42</v>
      </c>
      <c r="L61" s="74">
        <v>46190</v>
      </c>
      <c r="M61" s="74">
        <v>46205</v>
      </c>
      <c r="O61" t="s">
        <v>143</v>
      </c>
      <c r="P61" t="s">
        <v>36</v>
      </c>
      <c r="Q61" t="s">
        <v>45</v>
      </c>
      <c r="R61" t="s">
        <v>521</v>
      </c>
      <c r="S61" t="s">
        <v>47</v>
      </c>
      <c r="T61" t="s">
        <v>48</v>
      </c>
      <c r="U61" t="s">
        <v>199</v>
      </c>
      <c r="V61" t="s">
        <v>200</v>
      </c>
      <c r="W61" t="s">
        <v>51</v>
      </c>
      <c r="X61" t="s">
        <v>36</v>
      </c>
      <c r="Y61" t="s">
        <v>36</v>
      </c>
      <c r="Z61" t="s">
        <v>54</v>
      </c>
      <c r="AA61" t="s">
        <v>55</v>
      </c>
      <c r="AB61" t="s">
        <v>56</v>
      </c>
      <c r="AC61" t="s">
        <v>3743</v>
      </c>
      <c r="AD61" t="s">
        <v>5018</v>
      </c>
      <c r="AE61">
        <v>5200</v>
      </c>
      <c r="AF61" t="s">
        <v>5164</v>
      </c>
      <c r="AG61" t="s">
        <v>5378</v>
      </c>
      <c r="AH61" t="s">
        <v>5366</v>
      </c>
      <c r="AI61" t="s">
        <v>5169</v>
      </c>
      <c r="AJ61" t="s">
        <v>5383</v>
      </c>
      <c r="AK61" t="s">
        <v>36</v>
      </c>
      <c r="AL61" t="s">
        <v>5153</v>
      </c>
      <c r="AM61" t="s">
        <v>6170</v>
      </c>
      <c r="AN61" t="s">
        <v>6148</v>
      </c>
      <c r="AO61" t="s">
        <v>6019</v>
      </c>
      <c r="AP61" t="e">
        <v>#VALUE!</v>
      </c>
      <c r="AQ61" t="s">
        <v>6149</v>
      </c>
      <c r="AR61" t="b">
        <v>0</v>
      </c>
    </row>
    <row r="62" spans="1:44">
      <c r="A62" t="s">
        <v>282</v>
      </c>
      <c r="B62" t="s">
        <v>958</v>
      </c>
      <c r="C62" t="s">
        <v>659</v>
      </c>
      <c r="D62" t="s">
        <v>960</v>
      </c>
      <c r="E62" t="s">
        <v>36</v>
      </c>
      <c r="F62" t="s">
        <v>36</v>
      </c>
      <c r="G62" t="s">
        <v>36</v>
      </c>
      <c r="H62" t="s">
        <v>36</v>
      </c>
      <c r="I62" t="s">
        <v>965</v>
      </c>
      <c r="J62" t="s">
        <v>966</v>
      </c>
      <c r="K62" t="s">
        <v>967</v>
      </c>
      <c r="L62" s="74">
        <v>37424</v>
      </c>
      <c r="M62" s="74">
        <v>46175</v>
      </c>
      <c r="O62" t="s">
        <v>143</v>
      </c>
      <c r="P62" t="s">
        <v>969</v>
      </c>
      <c r="Q62" t="s">
        <v>45</v>
      </c>
      <c r="R62" t="s">
        <v>46</v>
      </c>
      <c r="S62" t="s">
        <v>297</v>
      </c>
      <c r="T62" t="s">
        <v>298</v>
      </c>
      <c r="U62" t="s">
        <v>724</v>
      </c>
      <c r="V62" t="s">
        <v>725</v>
      </c>
      <c r="W62" t="s">
        <v>301</v>
      </c>
      <c r="X62" t="s">
        <v>36</v>
      </c>
      <c r="Y62" t="s">
        <v>36</v>
      </c>
      <c r="Z62" t="s">
        <v>54</v>
      </c>
      <c r="AA62" t="s">
        <v>805</v>
      </c>
      <c r="AB62" t="s">
        <v>806</v>
      </c>
      <c r="AC62" t="s">
        <v>36</v>
      </c>
      <c r="AD62" t="s">
        <v>5017</v>
      </c>
      <c r="AE62">
        <v>850</v>
      </c>
      <c r="AF62" t="s">
        <v>5164</v>
      </c>
      <c r="AG62" t="s">
        <v>5378</v>
      </c>
      <c r="AH62" t="s">
        <v>5366</v>
      </c>
      <c r="AI62" t="s">
        <v>5169</v>
      </c>
      <c r="AJ62" t="s">
        <v>5383</v>
      </c>
      <c r="AK62" t="s">
        <v>36</v>
      </c>
      <c r="AL62" t="s">
        <v>5153</v>
      </c>
      <c r="AM62" t="s">
        <v>6160</v>
      </c>
      <c r="AN62" t="s">
        <v>6148</v>
      </c>
      <c r="AO62" t="s">
        <v>6020</v>
      </c>
      <c r="AP62" t="e">
        <v>#VALUE!</v>
      </c>
      <c r="AQ62" t="s">
        <v>6149</v>
      </c>
      <c r="AR62" t="b">
        <v>0</v>
      </c>
    </row>
    <row r="63" spans="1:44">
      <c r="A63" t="s">
        <v>282</v>
      </c>
      <c r="B63" t="s">
        <v>958</v>
      </c>
      <c r="C63" t="s">
        <v>659</v>
      </c>
      <c r="D63" t="s">
        <v>960</v>
      </c>
      <c r="E63" t="s">
        <v>36</v>
      </c>
      <c r="F63" t="s">
        <v>36</v>
      </c>
      <c r="G63" t="s">
        <v>36</v>
      </c>
      <c r="H63" t="s">
        <v>36</v>
      </c>
      <c r="I63" t="s">
        <v>965</v>
      </c>
      <c r="J63" t="s">
        <v>966</v>
      </c>
      <c r="K63" t="s">
        <v>967</v>
      </c>
      <c r="L63" s="74">
        <v>37424</v>
      </c>
      <c r="M63" s="74">
        <v>46175</v>
      </c>
      <c r="O63" t="s">
        <v>143</v>
      </c>
      <c r="P63" t="s">
        <v>969</v>
      </c>
      <c r="Q63" t="s">
        <v>70</v>
      </c>
      <c r="R63" t="s">
        <v>46</v>
      </c>
      <c r="S63" t="s">
        <v>297</v>
      </c>
      <c r="T63" t="s">
        <v>298</v>
      </c>
      <c r="U63" t="s">
        <v>724</v>
      </c>
      <c r="V63" t="s">
        <v>725</v>
      </c>
      <c r="W63" t="s">
        <v>301</v>
      </c>
      <c r="X63" t="s">
        <v>36</v>
      </c>
      <c r="Y63" t="s">
        <v>36</v>
      </c>
      <c r="Z63" t="s">
        <v>54</v>
      </c>
      <c r="AA63" t="s">
        <v>805</v>
      </c>
      <c r="AB63" t="s">
        <v>806</v>
      </c>
      <c r="AC63" t="s">
        <v>36</v>
      </c>
      <c r="AD63" t="s">
        <v>5017</v>
      </c>
      <c r="AE63">
        <v>850</v>
      </c>
      <c r="AF63" t="s">
        <v>5164</v>
      </c>
      <c r="AG63" t="s">
        <v>5378</v>
      </c>
      <c r="AH63" t="s">
        <v>5366</v>
      </c>
      <c r="AI63" t="s">
        <v>5169</v>
      </c>
      <c r="AJ63" t="s">
        <v>5383</v>
      </c>
      <c r="AK63" t="s">
        <v>36</v>
      </c>
      <c r="AL63" t="s">
        <v>5153</v>
      </c>
      <c r="AM63" t="s">
        <v>6160</v>
      </c>
      <c r="AN63" t="s">
        <v>6151</v>
      </c>
      <c r="AO63" t="s">
        <v>6020</v>
      </c>
      <c r="AP63" t="e">
        <v>#VALUE!</v>
      </c>
      <c r="AQ63" t="s">
        <v>6149</v>
      </c>
      <c r="AR63" t="b">
        <v>0</v>
      </c>
    </row>
    <row r="64" spans="1:44">
      <c r="A64" t="s">
        <v>457</v>
      </c>
      <c r="B64" t="s">
        <v>958</v>
      </c>
      <c r="C64" t="s">
        <v>659</v>
      </c>
      <c r="D64" t="s">
        <v>960</v>
      </c>
      <c r="E64" t="s">
        <v>36</v>
      </c>
      <c r="F64" t="s">
        <v>36</v>
      </c>
      <c r="G64" t="s">
        <v>1013</v>
      </c>
      <c r="H64" t="s">
        <v>1014</v>
      </c>
      <c r="I64" t="s">
        <v>965</v>
      </c>
      <c r="J64" t="s">
        <v>966</v>
      </c>
      <c r="K64" t="s">
        <v>967</v>
      </c>
      <c r="L64" s="74">
        <v>37424</v>
      </c>
      <c r="O64" t="s">
        <v>43</v>
      </c>
      <c r="P64" t="s">
        <v>969</v>
      </c>
      <c r="Q64" t="s">
        <v>45</v>
      </c>
      <c r="R64" t="s">
        <v>46</v>
      </c>
      <c r="S64" t="s">
        <v>297</v>
      </c>
      <c r="T64" t="s">
        <v>298</v>
      </c>
      <c r="U64" t="s">
        <v>724</v>
      </c>
      <c r="V64" t="s">
        <v>725</v>
      </c>
      <c r="W64" t="s">
        <v>301</v>
      </c>
      <c r="X64" t="s">
        <v>36</v>
      </c>
      <c r="Y64" t="s">
        <v>36</v>
      </c>
      <c r="Z64" t="s">
        <v>54</v>
      </c>
      <c r="AA64" t="s">
        <v>805</v>
      </c>
      <c r="AB64" t="s">
        <v>806</v>
      </c>
      <c r="AC64" t="s">
        <v>4643</v>
      </c>
      <c r="AD64" t="s">
        <v>5017</v>
      </c>
      <c r="AE64">
        <v>850</v>
      </c>
      <c r="AF64" t="s">
        <v>5164</v>
      </c>
      <c r="AG64" t="s">
        <v>5378</v>
      </c>
      <c r="AH64" t="s">
        <v>5366</v>
      </c>
      <c r="AI64" t="s">
        <v>5169</v>
      </c>
      <c r="AJ64" t="s">
        <v>5383</v>
      </c>
      <c r="AK64" t="s">
        <v>36</v>
      </c>
      <c r="AL64" t="s">
        <v>5381</v>
      </c>
      <c r="AM64" t="s">
        <v>36</v>
      </c>
      <c r="AO64" t="s">
        <v>6020</v>
      </c>
      <c r="AP64" t="s">
        <v>4634</v>
      </c>
      <c r="AQ64" t="s">
        <v>4643</v>
      </c>
      <c r="AR64" t="b">
        <v>1</v>
      </c>
    </row>
    <row r="65" spans="1:44">
      <c r="A65" t="s">
        <v>57</v>
      </c>
      <c r="B65" t="s">
        <v>2283</v>
      </c>
      <c r="C65" t="s">
        <v>36</v>
      </c>
      <c r="D65" t="s">
        <v>2285</v>
      </c>
      <c r="E65" t="s">
        <v>36</v>
      </c>
      <c r="F65" t="s">
        <v>36</v>
      </c>
      <c r="G65" t="s">
        <v>413</v>
      </c>
      <c r="H65" t="s">
        <v>664</v>
      </c>
      <c r="I65" t="s">
        <v>2290</v>
      </c>
      <c r="J65" t="s">
        <v>36</v>
      </c>
      <c r="K65" t="s">
        <v>667</v>
      </c>
      <c r="L65" s="74">
        <v>45705</v>
      </c>
      <c r="O65" t="s">
        <v>43</v>
      </c>
      <c r="P65" t="s">
        <v>2294</v>
      </c>
      <c r="Q65" t="s">
        <v>70</v>
      </c>
      <c r="R65" t="s">
        <v>46</v>
      </c>
      <c r="S65" t="s">
        <v>47</v>
      </c>
      <c r="T65" t="s">
        <v>48</v>
      </c>
      <c r="U65" t="s">
        <v>199</v>
      </c>
      <c r="V65" t="s">
        <v>200</v>
      </c>
      <c r="W65" t="s">
        <v>51</v>
      </c>
      <c r="X65" t="s">
        <v>36</v>
      </c>
      <c r="Y65" t="s">
        <v>36</v>
      </c>
      <c r="Z65" t="s">
        <v>54</v>
      </c>
      <c r="AA65" t="s">
        <v>680</v>
      </c>
      <c r="AB65" t="s">
        <v>681</v>
      </c>
      <c r="AC65" t="s">
        <v>419</v>
      </c>
      <c r="AD65" t="s">
        <v>5018</v>
      </c>
      <c r="AE65">
        <v>5200</v>
      </c>
      <c r="AF65" t="s">
        <v>5164</v>
      </c>
      <c r="AG65" t="s">
        <v>5378</v>
      </c>
      <c r="AH65" t="s">
        <v>5366</v>
      </c>
      <c r="AI65" t="s">
        <v>5169</v>
      </c>
      <c r="AJ65" t="s">
        <v>5383</v>
      </c>
      <c r="AK65" t="s">
        <v>36</v>
      </c>
      <c r="AL65" t="s">
        <v>5381</v>
      </c>
      <c r="AM65" t="s">
        <v>36</v>
      </c>
      <c r="AO65" t="s">
        <v>6021</v>
      </c>
      <c r="AP65" t="s">
        <v>235</v>
      </c>
      <c r="AQ65" t="s">
        <v>244</v>
      </c>
      <c r="AR65" t="b">
        <v>0</v>
      </c>
    </row>
    <row r="66" spans="1:44">
      <c r="A66" t="s">
        <v>282</v>
      </c>
      <c r="B66" t="s">
        <v>4632</v>
      </c>
      <c r="C66" t="s">
        <v>36</v>
      </c>
      <c r="D66" t="s">
        <v>4634</v>
      </c>
      <c r="E66" t="s">
        <v>36</v>
      </c>
      <c r="F66" t="s">
        <v>36</v>
      </c>
      <c r="G66" t="s">
        <v>588</v>
      </c>
      <c r="H66" t="s">
        <v>589</v>
      </c>
      <c r="I66" t="s">
        <v>4639</v>
      </c>
      <c r="J66" t="s">
        <v>4640</v>
      </c>
      <c r="K66" t="s">
        <v>4641</v>
      </c>
      <c r="L66" s="74">
        <v>45789</v>
      </c>
      <c r="O66" t="s">
        <v>43</v>
      </c>
      <c r="P66" t="s">
        <v>4643</v>
      </c>
      <c r="Q66" t="s">
        <v>70</v>
      </c>
      <c r="R66" t="s">
        <v>46</v>
      </c>
      <c r="S66" t="s">
        <v>297</v>
      </c>
      <c r="T66" t="s">
        <v>298</v>
      </c>
      <c r="U66" t="s">
        <v>724</v>
      </c>
      <c r="V66" t="s">
        <v>725</v>
      </c>
      <c r="W66" t="s">
        <v>301</v>
      </c>
      <c r="X66" t="s">
        <v>36</v>
      </c>
      <c r="Y66" t="s">
        <v>36</v>
      </c>
      <c r="Z66" t="s">
        <v>54</v>
      </c>
      <c r="AA66" t="s">
        <v>305</v>
      </c>
      <c r="AB66" t="s">
        <v>306</v>
      </c>
      <c r="AC66" t="s">
        <v>319</v>
      </c>
      <c r="AD66" t="s">
        <v>5017</v>
      </c>
      <c r="AE66">
        <v>850</v>
      </c>
      <c r="AF66" t="s">
        <v>5164</v>
      </c>
      <c r="AG66" t="s">
        <v>5378</v>
      </c>
      <c r="AH66" t="s">
        <v>5366</v>
      </c>
      <c r="AI66" t="s">
        <v>5169</v>
      </c>
      <c r="AJ66" t="s">
        <v>5383</v>
      </c>
      <c r="AK66" t="s">
        <v>36</v>
      </c>
      <c r="AL66" t="s">
        <v>5381</v>
      </c>
      <c r="AM66" t="s">
        <v>36</v>
      </c>
      <c r="AO66" t="s">
        <v>6022</v>
      </c>
      <c r="AP66" t="s">
        <v>310</v>
      </c>
      <c r="AQ66" t="s">
        <v>319</v>
      </c>
      <c r="AR66" t="b">
        <v>1</v>
      </c>
    </row>
    <row r="67" spans="1:44">
      <c r="A67" t="s">
        <v>34</v>
      </c>
      <c r="B67" t="s">
        <v>1283</v>
      </c>
      <c r="C67" t="s">
        <v>109</v>
      </c>
      <c r="D67" t="s">
        <v>1260</v>
      </c>
      <c r="E67" t="s">
        <v>36</v>
      </c>
      <c r="F67" t="s">
        <v>36</v>
      </c>
      <c r="G67" t="s">
        <v>188</v>
      </c>
      <c r="H67" t="s">
        <v>189</v>
      </c>
      <c r="I67" t="s">
        <v>1290</v>
      </c>
      <c r="J67" t="s">
        <v>1291</v>
      </c>
      <c r="K67" t="s">
        <v>42</v>
      </c>
      <c r="L67" s="74">
        <v>45719</v>
      </c>
      <c r="O67" t="s">
        <v>43</v>
      </c>
      <c r="P67" t="s">
        <v>1294</v>
      </c>
      <c r="Q67" t="s">
        <v>45</v>
      </c>
      <c r="R67" t="s">
        <v>46</v>
      </c>
      <c r="S67" t="s">
        <v>47</v>
      </c>
      <c r="T67" t="s">
        <v>48</v>
      </c>
      <c r="U67" t="s">
        <v>199</v>
      </c>
      <c r="V67" t="s">
        <v>200</v>
      </c>
      <c r="W67" t="s">
        <v>51</v>
      </c>
      <c r="X67" t="s">
        <v>36</v>
      </c>
      <c r="Y67" t="s">
        <v>36</v>
      </c>
      <c r="Z67" t="s">
        <v>54</v>
      </c>
      <c r="AA67" t="s">
        <v>55</v>
      </c>
      <c r="AB67" t="s">
        <v>56</v>
      </c>
      <c r="AC67" t="s">
        <v>2294</v>
      </c>
      <c r="AD67" t="s">
        <v>5018</v>
      </c>
      <c r="AE67">
        <v>5200</v>
      </c>
      <c r="AF67" t="s">
        <v>5164</v>
      </c>
      <c r="AG67" t="s">
        <v>5378</v>
      </c>
      <c r="AH67" t="s">
        <v>5366</v>
      </c>
      <c r="AI67" t="s">
        <v>5169</v>
      </c>
      <c r="AJ67" t="s">
        <v>5383</v>
      </c>
      <c r="AK67" t="s">
        <v>36</v>
      </c>
      <c r="AL67" t="s">
        <v>5381</v>
      </c>
      <c r="AM67" t="s">
        <v>36</v>
      </c>
      <c r="AO67" t="s">
        <v>6023</v>
      </c>
      <c r="AP67" t="s">
        <v>2285</v>
      </c>
      <c r="AQ67" t="s">
        <v>2294</v>
      </c>
      <c r="AR67" t="b">
        <v>1</v>
      </c>
    </row>
    <row r="68" spans="1:44">
      <c r="A68" t="s">
        <v>282</v>
      </c>
      <c r="B68" t="s">
        <v>1183</v>
      </c>
      <c r="C68" t="s">
        <v>1184</v>
      </c>
      <c r="D68" t="s">
        <v>1185</v>
      </c>
      <c r="E68" t="s">
        <v>36</v>
      </c>
      <c r="F68" t="s">
        <v>36</v>
      </c>
      <c r="G68" t="s">
        <v>438</v>
      </c>
      <c r="H68" t="s">
        <v>439</v>
      </c>
      <c r="I68" t="s">
        <v>1190</v>
      </c>
      <c r="J68" t="s">
        <v>1191</v>
      </c>
      <c r="K68" t="s">
        <v>67</v>
      </c>
      <c r="L68" s="74">
        <v>43885</v>
      </c>
      <c r="O68" t="s">
        <v>43</v>
      </c>
      <c r="P68" t="s">
        <v>1194</v>
      </c>
      <c r="Q68" t="s">
        <v>70</v>
      </c>
      <c r="R68" t="s">
        <v>46</v>
      </c>
      <c r="S68" t="s">
        <v>297</v>
      </c>
      <c r="T68" t="s">
        <v>298</v>
      </c>
      <c r="U68" t="s">
        <v>74</v>
      </c>
      <c r="V68" t="s">
        <v>300</v>
      </c>
      <c r="W68" t="s">
        <v>301</v>
      </c>
      <c r="X68" t="s">
        <v>36</v>
      </c>
      <c r="Y68" t="s">
        <v>36</v>
      </c>
      <c r="Z68" t="s">
        <v>54</v>
      </c>
      <c r="AA68" t="s">
        <v>305</v>
      </c>
      <c r="AB68" t="s">
        <v>306</v>
      </c>
      <c r="AC68" t="s">
        <v>4868</v>
      </c>
      <c r="AD68" t="s">
        <v>5017</v>
      </c>
      <c r="AE68">
        <v>820</v>
      </c>
      <c r="AF68" t="s">
        <v>5164</v>
      </c>
      <c r="AG68" t="s">
        <v>5378</v>
      </c>
      <c r="AH68" t="s">
        <v>5366</v>
      </c>
      <c r="AI68" t="s">
        <v>5169</v>
      </c>
      <c r="AJ68" t="s">
        <v>5383</v>
      </c>
      <c r="AK68" t="s">
        <v>36</v>
      </c>
      <c r="AL68" t="s">
        <v>5381</v>
      </c>
      <c r="AM68" t="s">
        <v>36</v>
      </c>
      <c r="AO68" t="s">
        <v>6024</v>
      </c>
      <c r="AP68" t="s">
        <v>4859</v>
      </c>
      <c r="AQ68" t="s">
        <v>4868</v>
      </c>
      <c r="AR68" t="b">
        <v>1</v>
      </c>
    </row>
    <row r="69" spans="1:44">
      <c r="A69" t="s">
        <v>457</v>
      </c>
      <c r="B69" t="s">
        <v>4382</v>
      </c>
      <c r="C69" t="s">
        <v>659</v>
      </c>
      <c r="D69" t="s">
        <v>4384</v>
      </c>
      <c r="E69" t="s">
        <v>36</v>
      </c>
      <c r="F69" t="s">
        <v>36</v>
      </c>
      <c r="G69" t="s">
        <v>463</v>
      </c>
      <c r="H69" t="s">
        <v>464</v>
      </c>
      <c r="I69" t="s">
        <v>36</v>
      </c>
      <c r="J69" t="s">
        <v>4390</v>
      </c>
      <c r="K69" t="s">
        <v>2217</v>
      </c>
      <c r="L69" s="74">
        <v>44312</v>
      </c>
      <c r="O69" t="s">
        <v>43</v>
      </c>
      <c r="P69" t="s">
        <v>4393</v>
      </c>
      <c r="Q69" t="s">
        <v>45</v>
      </c>
      <c r="R69" t="s">
        <v>46</v>
      </c>
      <c r="S69" t="s">
        <v>297</v>
      </c>
      <c r="T69" t="s">
        <v>298</v>
      </c>
      <c r="U69" t="s">
        <v>1074</v>
      </c>
      <c r="V69" t="s">
        <v>1075</v>
      </c>
      <c r="W69" t="s">
        <v>301</v>
      </c>
      <c r="X69" t="s">
        <v>36</v>
      </c>
      <c r="Y69" t="s">
        <v>36</v>
      </c>
      <c r="Z69" t="s">
        <v>54</v>
      </c>
      <c r="AA69" t="s">
        <v>580</v>
      </c>
      <c r="AB69" t="s">
        <v>581</v>
      </c>
      <c r="AC69" t="s">
        <v>4018</v>
      </c>
      <c r="AD69" t="s">
        <v>5017</v>
      </c>
      <c r="AE69">
        <v>100</v>
      </c>
      <c r="AF69" t="s">
        <v>5164</v>
      </c>
      <c r="AG69" t="s">
        <v>5378</v>
      </c>
      <c r="AH69" t="s">
        <v>5366</v>
      </c>
      <c r="AI69" t="s">
        <v>5169</v>
      </c>
      <c r="AJ69" t="s">
        <v>5383</v>
      </c>
      <c r="AK69" t="s">
        <v>36</v>
      </c>
      <c r="AL69" t="s">
        <v>5381</v>
      </c>
      <c r="AM69" t="s">
        <v>36</v>
      </c>
      <c r="AO69" t="s">
        <v>6025</v>
      </c>
      <c r="AP69" t="s">
        <v>4009</v>
      </c>
      <c r="AQ69" t="s">
        <v>4018</v>
      </c>
      <c r="AR69" t="b">
        <v>1</v>
      </c>
    </row>
    <row r="70" spans="1:44">
      <c r="A70" t="s">
        <v>282</v>
      </c>
      <c r="B70" t="s">
        <v>4657</v>
      </c>
      <c r="C70" t="s">
        <v>659</v>
      </c>
      <c r="D70" t="s">
        <v>4659</v>
      </c>
      <c r="E70" t="s">
        <v>36</v>
      </c>
      <c r="F70" t="s">
        <v>36</v>
      </c>
      <c r="G70" t="s">
        <v>313</v>
      </c>
      <c r="H70" t="s">
        <v>314</v>
      </c>
      <c r="I70" t="s">
        <v>4664</v>
      </c>
      <c r="J70" t="s">
        <v>36</v>
      </c>
      <c r="K70" t="s">
        <v>4666</v>
      </c>
      <c r="L70" s="74">
        <v>38691</v>
      </c>
      <c r="O70" t="s">
        <v>43</v>
      </c>
      <c r="P70" t="s">
        <v>4668</v>
      </c>
      <c r="Q70" t="s">
        <v>70</v>
      </c>
      <c r="R70" t="s">
        <v>46</v>
      </c>
      <c r="S70" t="s">
        <v>297</v>
      </c>
      <c r="T70" t="s">
        <v>298</v>
      </c>
      <c r="U70" t="s">
        <v>2749</v>
      </c>
      <c r="V70" t="s">
        <v>2750</v>
      </c>
      <c r="W70" t="s">
        <v>301</v>
      </c>
      <c r="X70" t="s">
        <v>36</v>
      </c>
      <c r="Y70" t="s">
        <v>36</v>
      </c>
      <c r="Z70" t="s">
        <v>54</v>
      </c>
      <c r="AA70" t="s">
        <v>255</v>
      </c>
      <c r="AB70" t="s">
        <v>256</v>
      </c>
      <c r="AC70" t="s">
        <v>269</v>
      </c>
      <c r="AD70" t="s">
        <v>5017</v>
      </c>
      <c r="AE70">
        <v>910</v>
      </c>
      <c r="AF70" t="s">
        <v>5164</v>
      </c>
      <c r="AG70" t="s">
        <v>5378</v>
      </c>
      <c r="AH70" t="s">
        <v>5366</v>
      </c>
      <c r="AI70" t="s">
        <v>5169</v>
      </c>
      <c r="AJ70" t="s">
        <v>5383</v>
      </c>
      <c r="AK70" t="s">
        <v>36</v>
      </c>
      <c r="AL70" t="s">
        <v>5381</v>
      </c>
      <c r="AM70" t="s">
        <v>36</v>
      </c>
      <c r="AO70" t="s">
        <v>6026</v>
      </c>
      <c r="AP70" t="s">
        <v>260</v>
      </c>
      <c r="AQ70" t="s">
        <v>269</v>
      </c>
      <c r="AR70" t="b">
        <v>1</v>
      </c>
    </row>
    <row r="71" spans="1:44">
      <c r="A71" t="s">
        <v>34</v>
      </c>
      <c r="B71" t="s">
        <v>358</v>
      </c>
      <c r="C71" t="s">
        <v>159</v>
      </c>
      <c r="D71" t="s">
        <v>360</v>
      </c>
      <c r="E71" t="s">
        <v>36</v>
      </c>
      <c r="F71" t="s">
        <v>36</v>
      </c>
      <c r="G71" t="s">
        <v>188</v>
      </c>
      <c r="H71" t="s">
        <v>189</v>
      </c>
      <c r="I71" t="s">
        <v>365</v>
      </c>
      <c r="J71" t="s">
        <v>366</v>
      </c>
      <c r="K71" t="s">
        <v>42</v>
      </c>
      <c r="L71" s="74">
        <v>45929</v>
      </c>
      <c r="O71" t="s">
        <v>43</v>
      </c>
      <c r="P71" t="s">
        <v>369</v>
      </c>
      <c r="Q71" t="s">
        <v>45</v>
      </c>
      <c r="R71" t="s">
        <v>46</v>
      </c>
      <c r="S71" t="s">
        <v>47</v>
      </c>
      <c r="T71" t="s">
        <v>48</v>
      </c>
      <c r="U71" t="s">
        <v>199</v>
      </c>
      <c r="V71" t="s">
        <v>200</v>
      </c>
      <c r="W71" t="s">
        <v>51</v>
      </c>
      <c r="X71" t="s">
        <v>36</v>
      </c>
      <c r="Y71" t="s">
        <v>36</v>
      </c>
      <c r="Z71" t="s">
        <v>54</v>
      </c>
      <c r="AA71" t="s">
        <v>55</v>
      </c>
      <c r="AB71" t="s">
        <v>56</v>
      </c>
      <c r="AC71" t="s">
        <v>2294</v>
      </c>
      <c r="AD71" t="s">
        <v>5018</v>
      </c>
      <c r="AE71">
        <v>5200</v>
      </c>
      <c r="AF71" t="s">
        <v>5164</v>
      </c>
      <c r="AG71" t="s">
        <v>5378</v>
      </c>
      <c r="AH71" t="s">
        <v>5366</v>
      </c>
      <c r="AI71" t="s">
        <v>5169</v>
      </c>
      <c r="AJ71" t="s">
        <v>5383</v>
      </c>
      <c r="AK71" t="s">
        <v>36</v>
      </c>
      <c r="AL71" t="s">
        <v>5381</v>
      </c>
      <c r="AM71" t="s">
        <v>36</v>
      </c>
      <c r="AO71" t="s">
        <v>6027</v>
      </c>
      <c r="AP71" t="s">
        <v>2285</v>
      </c>
      <c r="AQ71" t="s">
        <v>2294</v>
      </c>
      <c r="AR71" t="b">
        <v>1</v>
      </c>
    </row>
    <row r="72" spans="1:44">
      <c r="A72" t="s">
        <v>57</v>
      </c>
      <c r="B72" t="s">
        <v>1533</v>
      </c>
      <c r="C72" t="s">
        <v>36</v>
      </c>
      <c r="D72" t="s">
        <v>1535</v>
      </c>
      <c r="E72" t="s">
        <v>36</v>
      </c>
      <c r="F72" t="s">
        <v>36</v>
      </c>
      <c r="G72" t="s">
        <v>88</v>
      </c>
      <c r="H72" t="s">
        <v>89</v>
      </c>
      <c r="I72" t="s">
        <v>1540</v>
      </c>
      <c r="J72" t="s">
        <v>1541</v>
      </c>
      <c r="K72" t="s">
        <v>1542</v>
      </c>
      <c r="L72" s="74">
        <v>45566</v>
      </c>
      <c r="O72" t="s">
        <v>43</v>
      </c>
      <c r="P72" t="s">
        <v>1544</v>
      </c>
      <c r="Q72" t="s">
        <v>70</v>
      </c>
      <c r="R72" t="s">
        <v>46</v>
      </c>
      <c r="S72" t="s">
        <v>47</v>
      </c>
      <c r="T72" t="s">
        <v>48</v>
      </c>
      <c r="U72" t="s">
        <v>99</v>
      </c>
      <c r="V72" t="s">
        <v>100</v>
      </c>
      <c r="W72" t="s">
        <v>51</v>
      </c>
      <c r="X72" t="s">
        <v>36</v>
      </c>
      <c r="Y72" t="s">
        <v>36</v>
      </c>
      <c r="Z72" t="s">
        <v>54</v>
      </c>
      <c r="AA72" t="s">
        <v>80</v>
      </c>
      <c r="AB72" t="s">
        <v>81</v>
      </c>
      <c r="AC72" t="s">
        <v>2144</v>
      </c>
      <c r="AD72" t="s">
        <v>5018</v>
      </c>
      <c r="AE72">
        <v>8300</v>
      </c>
      <c r="AF72" t="s">
        <v>5164</v>
      </c>
      <c r="AG72" t="s">
        <v>5378</v>
      </c>
      <c r="AH72" t="s">
        <v>5366</v>
      </c>
      <c r="AI72" t="s">
        <v>5169</v>
      </c>
      <c r="AJ72" t="s">
        <v>5383</v>
      </c>
      <c r="AK72" t="s">
        <v>36</v>
      </c>
      <c r="AL72" t="s">
        <v>5381</v>
      </c>
      <c r="AM72" t="s">
        <v>36</v>
      </c>
      <c r="AO72" t="s">
        <v>6028</v>
      </c>
      <c r="AP72" t="s">
        <v>2135</v>
      </c>
      <c r="AQ72" t="s">
        <v>2144</v>
      </c>
      <c r="AR72" t="b">
        <v>1</v>
      </c>
    </row>
    <row r="73" spans="1:44">
      <c r="A73" t="s">
        <v>34</v>
      </c>
      <c r="B73" t="s">
        <v>1383</v>
      </c>
      <c r="C73" t="s">
        <v>36</v>
      </c>
      <c r="D73" t="s">
        <v>1385</v>
      </c>
      <c r="E73" t="s">
        <v>36</v>
      </c>
      <c r="F73" t="s">
        <v>36</v>
      </c>
      <c r="G73" t="s">
        <v>36</v>
      </c>
      <c r="H73" t="s">
        <v>36</v>
      </c>
      <c r="I73" t="s">
        <v>1390</v>
      </c>
      <c r="J73" t="s">
        <v>36</v>
      </c>
      <c r="K73" t="s">
        <v>42</v>
      </c>
      <c r="L73" s="74">
        <v>44942</v>
      </c>
      <c r="M73" s="74">
        <v>46148</v>
      </c>
      <c r="O73" t="s">
        <v>143</v>
      </c>
      <c r="P73" t="s">
        <v>1394</v>
      </c>
      <c r="Q73" t="s">
        <v>45</v>
      </c>
      <c r="R73" t="s">
        <v>46</v>
      </c>
      <c r="S73" t="s">
        <v>47</v>
      </c>
      <c r="T73" t="s">
        <v>48</v>
      </c>
      <c r="U73" t="s">
        <v>1399</v>
      </c>
      <c r="V73" t="s">
        <v>1400</v>
      </c>
      <c r="W73" t="s">
        <v>51</v>
      </c>
      <c r="X73" t="s">
        <v>36</v>
      </c>
      <c r="Y73" t="s">
        <v>36</v>
      </c>
      <c r="Z73" t="s">
        <v>54</v>
      </c>
      <c r="AA73" t="s">
        <v>55</v>
      </c>
      <c r="AB73" t="s">
        <v>56</v>
      </c>
      <c r="AC73" t="s">
        <v>36</v>
      </c>
      <c r="AD73" t="s">
        <v>5018</v>
      </c>
      <c r="AE73" t="s">
        <v>6153</v>
      </c>
      <c r="AF73" t="s">
        <v>5164</v>
      </c>
      <c r="AG73" t="s">
        <v>5378</v>
      </c>
      <c r="AH73" t="s">
        <v>5366</v>
      </c>
      <c r="AI73" t="s">
        <v>5169</v>
      </c>
      <c r="AJ73" t="s">
        <v>5383</v>
      </c>
      <c r="AK73" t="s">
        <v>36</v>
      </c>
      <c r="AL73" t="s">
        <v>5153</v>
      </c>
      <c r="AM73" t="s">
        <v>6171</v>
      </c>
      <c r="AN73" t="s">
        <v>6151</v>
      </c>
      <c r="AO73" t="s">
        <v>6029</v>
      </c>
      <c r="AP73" t="e">
        <v>#VALUE!</v>
      </c>
      <c r="AQ73" t="s">
        <v>6149</v>
      </c>
      <c r="AR73" t="b">
        <v>0</v>
      </c>
    </row>
    <row r="74" spans="1:44">
      <c r="A74" t="s">
        <v>457</v>
      </c>
      <c r="B74" t="s">
        <v>1908</v>
      </c>
      <c r="C74" t="s">
        <v>36</v>
      </c>
      <c r="D74" t="s">
        <v>1910</v>
      </c>
      <c r="E74" t="s">
        <v>36</v>
      </c>
      <c r="F74" t="s">
        <v>36</v>
      </c>
      <c r="G74" t="s">
        <v>638</v>
      </c>
      <c r="H74" t="s">
        <v>639</v>
      </c>
      <c r="I74" t="s">
        <v>1915</v>
      </c>
      <c r="J74" t="s">
        <v>36</v>
      </c>
      <c r="K74" t="s">
        <v>1917</v>
      </c>
      <c r="L74" s="74">
        <v>44410</v>
      </c>
      <c r="O74" t="s">
        <v>43</v>
      </c>
      <c r="P74" t="s">
        <v>1919</v>
      </c>
      <c r="Q74" t="s">
        <v>45</v>
      </c>
      <c r="R74" t="s">
        <v>1921</v>
      </c>
      <c r="S74" t="s">
        <v>297</v>
      </c>
      <c r="T74" t="s">
        <v>298</v>
      </c>
      <c r="U74" t="s">
        <v>1924</v>
      </c>
      <c r="V74" t="s">
        <v>1925</v>
      </c>
      <c r="W74" t="s">
        <v>301</v>
      </c>
      <c r="X74" t="s">
        <v>36</v>
      </c>
      <c r="Y74" t="s">
        <v>36</v>
      </c>
      <c r="Z74" t="s">
        <v>54</v>
      </c>
      <c r="AA74" t="s">
        <v>80</v>
      </c>
      <c r="AB74" t="s">
        <v>81</v>
      </c>
      <c r="AC74" t="s">
        <v>4468</v>
      </c>
      <c r="AD74" t="s">
        <v>5017</v>
      </c>
      <c r="AE74">
        <v>801</v>
      </c>
      <c r="AF74" t="s">
        <v>5164</v>
      </c>
      <c r="AG74" t="s">
        <v>5378</v>
      </c>
      <c r="AH74" t="s">
        <v>5366</v>
      </c>
      <c r="AI74" t="s">
        <v>5169</v>
      </c>
      <c r="AJ74" t="s">
        <v>5383</v>
      </c>
      <c r="AK74" t="s">
        <v>36</v>
      </c>
      <c r="AL74" t="s">
        <v>5381</v>
      </c>
      <c r="AM74" t="s">
        <v>36</v>
      </c>
      <c r="AO74" t="s">
        <v>6030</v>
      </c>
      <c r="AP74" t="s">
        <v>4459</v>
      </c>
      <c r="AQ74" t="s">
        <v>4468</v>
      </c>
      <c r="AR74" t="b">
        <v>1</v>
      </c>
    </row>
    <row r="75" spans="1:44">
      <c r="A75" t="s">
        <v>282</v>
      </c>
      <c r="B75" t="s">
        <v>1908</v>
      </c>
      <c r="C75" t="s">
        <v>36</v>
      </c>
      <c r="D75" t="s">
        <v>1910</v>
      </c>
      <c r="E75" t="s">
        <v>36</v>
      </c>
      <c r="F75" t="s">
        <v>36</v>
      </c>
      <c r="G75" t="s">
        <v>36</v>
      </c>
      <c r="H75" t="s">
        <v>639</v>
      </c>
      <c r="I75" t="s">
        <v>1915</v>
      </c>
      <c r="J75" t="s">
        <v>36</v>
      </c>
      <c r="K75" t="s">
        <v>1917</v>
      </c>
      <c r="L75" s="74">
        <v>44410</v>
      </c>
      <c r="M75" s="74">
        <v>46204</v>
      </c>
      <c r="O75" t="s">
        <v>143</v>
      </c>
      <c r="P75" t="s">
        <v>1919</v>
      </c>
      <c r="Q75" t="s">
        <v>70</v>
      </c>
      <c r="R75" t="s">
        <v>46</v>
      </c>
      <c r="S75" t="s">
        <v>297</v>
      </c>
      <c r="T75" t="s">
        <v>298</v>
      </c>
      <c r="U75" t="s">
        <v>1924</v>
      </c>
      <c r="V75" t="s">
        <v>1925</v>
      </c>
      <c r="W75" t="s">
        <v>301</v>
      </c>
      <c r="X75" t="s">
        <v>36</v>
      </c>
      <c r="Y75" t="s">
        <v>36</v>
      </c>
      <c r="Z75" t="s">
        <v>54</v>
      </c>
      <c r="AA75" t="s">
        <v>80</v>
      </c>
      <c r="AB75" t="s">
        <v>81</v>
      </c>
      <c r="AC75" t="s">
        <v>4468</v>
      </c>
      <c r="AD75" t="s">
        <v>5017</v>
      </c>
      <c r="AE75">
        <v>801</v>
      </c>
      <c r="AF75" t="s">
        <v>5164</v>
      </c>
      <c r="AG75" t="s">
        <v>5378</v>
      </c>
      <c r="AH75" t="s">
        <v>5366</v>
      </c>
      <c r="AI75" t="s">
        <v>5169</v>
      </c>
      <c r="AJ75" t="s">
        <v>5383</v>
      </c>
      <c r="AK75" t="s">
        <v>36</v>
      </c>
      <c r="AL75" t="s">
        <v>5153</v>
      </c>
      <c r="AM75" t="s">
        <v>6172</v>
      </c>
      <c r="AN75" t="s">
        <v>6148</v>
      </c>
      <c r="AO75" t="s">
        <v>6030</v>
      </c>
      <c r="AP75" t="e">
        <v>#VALUE!</v>
      </c>
      <c r="AQ75" t="s">
        <v>6149</v>
      </c>
      <c r="AR75" t="b">
        <v>0</v>
      </c>
    </row>
    <row r="76" spans="1:44">
      <c r="A76" t="s">
        <v>57</v>
      </c>
      <c r="B76" t="s">
        <v>2133</v>
      </c>
      <c r="C76" t="s">
        <v>36</v>
      </c>
      <c r="D76" t="s">
        <v>2135</v>
      </c>
      <c r="E76" t="s">
        <v>36</v>
      </c>
      <c r="F76" t="s">
        <v>36</v>
      </c>
      <c r="G76" t="s">
        <v>313</v>
      </c>
      <c r="H76" t="s">
        <v>314</v>
      </c>
      <c r="I76" t="s">
        <v>2140</v>
      </c>
      <c r="J76" t="s">
        <v>2141</v>
      </c>
      <c r="K76" t="s">
        <v>2142</v>
      </c>
      <c r="L76" s="74">
        <v>45712</v>
      </c>
      <c r="O76" t="s">
        <v>43</v>
      </c>
      <c r="P76" t="s">
        <v>2144</v>
      </c>
      <c r="Q76" t="s">
        <v>70</v>
      </c>
      <c r="R76" t="s">
        <v>46</v>
      </c>
      <c r="S76" t="s">
        <v>47</v>
      </c>
      <c r="T76" t="s">
        <v>48</v>
      </c>
      <c r="U76" t="s">
        <v>774</v>
      </c>
      <c r="V76" t="s">
        <v>775</v>
      </c>
      <c r="W76" t="s">
        <v>51</v>
      </c>
      <c r="X76" t="s">
        <v>36</v>
      </c>
      <c r="Y76" t="s">
        <v>36</v>
      </c>
      <c r="Z76" t="s">
        <v>54</v>
      </c>
      <c r="AA76" t="s">
        <v>330</v>
      </c>
      <c r="AB76" t="s">
        <v>331</v>
      </c>
      <c r="AC76" t="s">
        <v>269</v>
      </c>
      <c r="AD76" t="s">
        <v>5018</v>
      </c>
      <c r="AE76">
        <v>9450</v>
      </c>
      <c r="AF76" t="s">
        <v>5164</v>
      </c>
      <c r="AG76" t="s">
        <v>5378</v>
      </c>
      <c r="AH76" t="s">
        <v>5366</v>
      </c>
      <c r="AI76" t="s">
        <v>5169</v>
      </c>
      <c r="AJ76" t="s">
        <v>5383</v>
      </c>
      <c r="AK76" t="s">
        <v>36</v>
      </c>
      <c r="AL76" t="s">
        <v>5381</v>
      </c>
      <c r="AM76" t="s">
        <v>36</v>
      </c>
      <c r="AO76" t="s">
        <v>6031</v>
      </c>
      <c r="AP76" t="s">
        <v>260</v>
      </c>
      <c r="AQ76" t="s">
        <v>269</v>
      </c>
      <c r="AR76" t="b">
        <v>1</v>
      </c>
    </row>
    <row r="77" spans="1:44">
      <c r="A77" t="s">
        <v>57</v>
      </c>
      <c r="B77" t="s">
        <v>58</v>
      </c>
      <c r="C77" t="s">
        <v>59</v>
      </c>
      <c r="D77" t="s">
        <v>60</v>
      </c>
      <c r="E77" t="s">
        <v>36</v>
      </c>
      <c r="F77" t="s">
        <v>36</v>
      </c>
      <c r="G77" t="s">
        <v>63</v>
      </c>
      <c r="H77" t="s">
        <v>64</v>
      </c>
      <c r="I77" t="s">
        <v>65</v>
      </c>
      <c r="J77" t="s">
        <v>66</v>
      </c>
      <c r="K77" t="s">
        <v>67</v>
      </c>
      <c r="L77" s="74">
        <v>46188</v>
      </c>
      <c r="O77" t="s">
        <v>43</v>
      </c>
      <c r="P77" t="s">
        <v>69</v>
      </c>
      <c r="Q77" t="s">
        <v>70</v>
      </c>
      <c r="R77" t="s">
        <v>46</v>
      </c>
      <c r="S77" t="s">
        <v>47</v>
      </c>
      <c r="T77" t="s">
        <v>48</v>
      </c>
      <c r="U77" t="s">
        <v>74</v>
      </c>
      <c r="V77" t="s">
        <v>75</v>
      </c>
      <c r="W77" t="s">
        <v>76</v>
      </c>
      <c r="X77" t="s">
        <v>36</v>
      </c>
      <c r="Y77" t="s">
        <v>36</v>
      </c>
      <c r="Z77" t="s">
        <v>54</v>
      </c>
      <c r="AA77" t="s">
        <v>80</v>
      </c>
      <c r="AB77" t="s">
        <v>81</v>
      </c>
      <c r="AC77" t="s">
        <v>3719</v>
      </c>
      <c r="AD77" t="s">
        <v>5018</v>
      </c>
      <c r="AE77">
        <v>8200</v>
      </c>
      <c r="AF77" t="s">
        <v>5164</v>
      </c>
      <c r="AG77" t="s">
        <v>5378</v>
      </c>
      <c r="AH77" t="s">
        <v>5366</v>
      </c>
      <c r="AI77" t="s">
        <v>5169</v>
      </c>
      <c r="AJ77" t="s">
        <v>5383</v>
      </c>
      <c r="AK77" t="s">
        <v>36</v>
      </c>
      <c r="AL77" t="s">
        <v>5381</v>
      </c>
      <c r="AM77" t="s">
        <v>36</v>
      </c>
      <c r="AO77" t="s">
        <v>6032</v>
      </c>
      <c r="AP77" t="s">
        <v>3685</v>
      </c>
      <c r="AQ77" t="s">
        <v>3694</v>
      </c>
      <c r="AR77" t="b">
        <v>0</v>
      </c>
    </row>
    <row r="78" spans="1:44">
      <c r="A78" t="s">
        <v>57</v>
      </c>
      <c r="B78" t="s">
        <v>3782</v>
      </c>
      <c r="C78" t="s">
        <v>1209</v>
      </c>
      <c r="D78" t="s">
        <v>3759</v>
      </c>
      <c r="E78" t="s">
        <v>36</v>
      </c>
      <c r="F78" t="s">
        <v>36</v>
      </c>
      <c r="G78" t="s">
        <v>213</v>
      </c>
      <c r="H78" t="s">
        <v>214</v>
      </c>
      <c r="I78" t="s">
        <v>3789</v>
      </c>
      <c r="J78" t="s">
        <v>3790</v>
      </c>
      <c r="K78" t="s">
        <v>3791</v>
      </c>
      <c r="L78" s="74">
        <v>36535</v>
      </c>
      <c r="N78" s="74">
        <v>46119</v>
      </c>
      <c r="O78" t="s">
        <v>43</v>
      </c>
      <c r="P78" t="s">
        <v>3793</v>
      </c>
      <c r="Q78" t="s">
        <v>70</v>
      </c>
      <c r="R78" t="s">
        <v>46</v>
      </c>
      <c r="S78" t="s">
        <v>47</v>
      </c>
      <c r="T78" t="s">
        <v>48</v>
      </c>
      <c r="U78" t="s">
        <v>224</v>
      </c>
      <c r="V78" t="s">
        <v>225</v>
      </c>
      <c r="W78" t="s">
        <v>51</v>
      </c>
      <c r="X78" t="s">
        <v>36</v>
      </c>
      <c r="Y78" t="s">
        <v>36</v>
      </c>
      <c r="Z78" t="s">
        <v>54</v>
      </c>
      <c r="AA78" t="s">
        <v>680</v>
      </c>
      <c r="AB78" t="s">
        <v>681</v>
      </c>
      <c r="AC78" t="s">
        <v>4668</v>
      </c>
      <c r="AD78" t="s">
        <v>5018</v>
      </c>
      <c r="AE78">
        <v>9100</v>
      </c>
      <c r="AF78" t="s">
        <v>5164</v>
      </c>
      <c r="AG78" t="s">
        <v>5378</v>
      </c>
      <c r="AH78" t="s">
        <v>5366</v>
      </c>
      <c r="AI78" t="s">
        <v>5169</v>
      </c>
      <c r="AJ78" t="s">
        <v>5383</v>
      </c>
      <c r="AK78" t="s">
        <v>36</v>
      </c>
      <c r="AL78" t="s">
        <v>5381</v>
      </c>
      <c r="AM78" t="s">
        <v>36</v>
      </c>
      <c r="AO78" t="s">
        <v>6033</v>
      </c>
      <c r="AP78" t="s">
        <v>4659</v>
      </c>
      <c r="AQ78" t="s">
        <v>4668</v>
      </c>
      <c r="AR78" t="b">
        <v>1</v>
      </c>
    </row>
    <row r="79" spans="1:44">
      <c r="A79" t="s">
        <v>34</v>
      </c>
      <c r="B79" t="s">
        <v>3882</v>
      </c>
      <c r="C79" t="s">
        <v>659</v>
      </c>
      <c r="D79" t="s">
        <v>3884</v>
      </c>
      <c r="E79" t="s">
        <v>36</v>
      </c>
      <c r="F79" t="s">
        <v>36</v>
      </c>
      <c r="G79" t="s">
        <v>188</v>
      </c>
      <c r="H79" t="s">
        <v>189</v>
      </c>
      <c r="I79" t="s">
        <v>3889</v>
      </c>
      <c r="J79" t="s">
        <v>36</v>
      </c>
      <c r="K79" t="s">
        <v>2642</v>
      </c>
      <c r="L79" s="74">
        <v>45138</v>
      </c>
      <c r="O79" t="s">
        <v>43</v>
      </c>
      <c r="P79" t="s">
        <v>3893</v>
      </c>
      <c r="Q79" t="s">
        <v>45</v>
      </c>
      <c r="R79" t="s">
        <v>46</v>
      </c>
      <c r="S79" t="s">
        <v>47</v>
      </c>
      <c r="T79" t="s">
        <v>48</v>
      </c>
      <c r="U79" t="s">
        <v>199</v>
      </c>
      <c r="V79" t="s">
        <v>200</v>
      </c>
      <c r="W79" t="s">
        <v>51</v>
      </c>
      <c r="X79" t="s">
        <v>36</v>
      </c>
      <c r="Y79" t="s">
        <v>36</v>
      </c>
      <c r="Z79" t="s">
        <v>54</v>
      </c>
      <c r="AA79" t="s">
        <v>955</v>
      </c>
      <c r="AB79" t="s">
        <v>956</v>
      </c>
      <c r="AC79" t="s">
        <v>2294</v>
      </c>
      <c r="AD79" t="s">
        <v>5018</v>
      </c>
      <c r="AE79">
        <v>5200</v>
      </c>
      <c r="AF79" t="s">
        <v>5164</v>
      </c>
      <c r="AG79" t="s">
        <v>5378</v>
      </c>
      <c r="AH79" t="s">
        <v>5366</v>
      </c>
      <c r="AI79" t="s">
        <v>5169</v>
      </c>
      <c r="AJ79" t="s">
        <v>5383</v>
      </c>
      <c r="AK79" t="s">
        <v>36</v>
      </c>
      <c r="AL79" t="s">
        <v>5381</v>
      </c>
      <c r="AM79" t="s">
        <v>36</v>
      </c>
      <c r="AO79" t="s">
        <v>6034</v>
      </c>
      <c r="AP79" t="s">
        <v>2285</v>
      </c>
      <c r="AQ79" t="s">
        <v>2294</v>
      </c>
      <c r="AR79" t="b">
        <v>1</v>
      </c>
    </row>
    <row r="80" spans="1:44">
      <c r="A80" t="s">
        <v>457</v>
      </c>
      <c r="B80" t="s">
        <v>4157</v>
      </c>
      <c r="C80" t="s">
        <v>608</v>
      </c>
      <c r="D80" t="s">
        <v>4159</v>
      </c>
      <c r="E80" t="s">
        <v>36</v>
      </c>
      <c r="F80" t="s">
        <v>36</v>
      </c>
      <c r="G80" t="s">
        <v>813</v>
      </c>
      <c r="H80" t="s">
        <v>814</v>
      </c>
      <c r="I80" t="s">
        <v>4164</v>
      </c>
      <c r="J80" t="s">
        <v>36</v>
      </c>
      <c r="K80" t="s">
        <v>2867</v>
      </c>
      <c r="L80" s="74">
        <v>46153</v>
      </c>
      <c r="M80" s="74">
        <v>46255</v>
      </c>
      <c r="O80" t="s">
        <v>143</v>
      </c>
      <c r="P80" t="s">
        <v>4168</v>
      </c>
      <c r="Q80" t="s">
        <v>45</v>
      </c>
      <c r="R80" t="s">
        <v>546</v>
      </c>
      <c r="S80" t="s">
        <v>297</v>
      </c>
      <c r="T80" t="s">
        <v>298</v>
      </c>
      <c r="U80" t="s">
        <v>799</v>
      </c>
      <c r="V80" t="s">
        <v>800</v>
      </c>
      <c r="W80" t="s">
        <v>301</v>
      </c>
      <c r="X80" t="s">
        <v>36</v>
      </c>
      <c r="Y80" t="s">
        <v>36</v>
      </c>
      <c r="Z80" t="s">
        <v>54</v>
      </c>
      <c r="AA80" t="s">
        <v>480</v>
      </c>
      <c r="AB80" t="s">
        <v>481</v>
      </c>
      <c r="AC80" t="s">
        <v>2344</v>
      </c>
      <c r="AD80" t="s">
        <v>5017</v>
      </c>
      <c r="AE80">
        <v>500</v>
      </c>
      <c r="AF80" t="s">
        <v>5164</v>
      </c>
      <c r="AG80" t="s">
        <v>5378</v>
      </c>
      <c r="AH80" t="s">
        <v>5366</v>
      </c>
      <c r="AI80" t="s">
        <v>5169</v>
      </c>
      <c r="AJ80" t="s">
        <v>5383</v>
      </c>
      <c r="AK80" t="s">
        <v>36</v>
      </c>
      <c r="AL80" t="s">
        <v>5153</v>
      </c>
      <c r="AM80" t="s">
        <v>6173</v>
      </c>
      <c r="AN80" t="s">
        <v>6148</v>
      </c>
      <c r="AO80" t="s">
        <v>6035</v>
      </c>
      <c r="AP80" t="s">
        <v>2335</v>
      </c>
      <c r="AQ80" t="s">
        <v>2344</v>
      </c>
      <c r="AR80" t="b">
        <v>1</v>
      </c>
    </row>
    <row r="81" spans="1:44">
      <c r="A81" t="s">
        <v>282</v>
      </c>
      <c r="B81" t="s">
        <v>4157</v>
      </c>
      <c r="C81" t="s">
        <v>608</v>
      </c>
      <c r="D81" t="s">
        <v>4159</v>
      </c>
      <c r="E81" t="s">
        <v>36</v>
      </c>
      <c r="F81" t="s">
        <v>36</v>
      </c>
      <c r="G81" t="s">
        <v>36</v>
      </c>
      <c r="H81" t="s">
        <v>36</v>
      </c>
      <c r="I81" t="s">
        <v>4164</v>
      </c>
      <c r="J81" t="s">
        <v>36</v>
      </c>
      <c r="K81" t="s">
        <v>2867</v>
      </c>
      <c r="L81" s="74">
        <v>46153</v>
      </c>
      <c r="M81" s="74">
        <v>46176</v>
      </c>
      <c r="O81" t="s">
        <v>143</v>
      </c>
      <c r="P81" t="s">
        <v>4168</v>
      </c>
      <c r="Q81" t="s">
        <v>45</v>
      </c>
      <c r="R81" t="s">
        <v>546</v>
      </c>
      <c r="S81" t="s">
        <v>297</v>
      </c>
      <c r="T81" t="s">
        <v>298</v>
      </c>
      <c r="U81" t="s">
        <v>799</v>
      </c>
      <c r="V81" t="s">
        <v>800</v>
      </c>
      <c r="W81" t="s">
        <v>301</v>
      </c>
      <c r="X81" t="s">
        <v>36</v>
      </c>
      <c r="Y81" t="s">
        <v>36</v>
      </c>
      <c r="Z81" t="s">
        <v>54</v>
      </c>
      <c r="AA81" t="s">
        <v>480</v>
      </c>
      <c r="AB81" t="s">
        <v>481</v>
      </c>
      <c r="AC81" t="s">
        <v>36</v>
      </c>
      <c r="AD81" t="s">
        <v>5017</v>
      </c>
      <c r="AE81">
        <v>500</v>
      </c>
      <c r="AF81" t="s">
        <v>5164</v>
      </c>
      <c r="AG81" t="s">
        <v>5378</v>
      </c>
      <c r="AH81" t="s">
        <v>5366</v>
      </c>
      <c r="AI81" t="s">
        <v>5169</v>
      </c>
      <c r="AJ81" t="s">
        <v>5383</v>
      </c>
      <c r="AK81" t="s">
        <v>36</v>
      </c>
      <c r="AL81" t="s">
        <v>5153</v>
      </c>
      <c r="AM81" t="s">
        <v>6150</v>
      </c>
      <c r="AN81" t="s">
        <v>6151</v>
      </c>
      <c r="AO81" t="s">
        <v>6035</v>
      </c>
      <c r="AP81" t="e">
        <v>#VALUE!</v>
      </c>
      <c r="AQ81" t="s">
        <v>6149</v>
      </c>
      <c r="AR81" t="b">
        <v>0</v>
      </c>
    </row>
    <row r="82" spans="1:44">
      <c r="A82" t="s">
        <v>282</v>
      </c>
      <c r="B82" t="s">
        <v>4157</v>
      </c>
      <c r="C82" t="s">
        <v>608</v>
      </c>
      <c r="D82" t="s">
        <v>4159</v>
      </c>
      <c r="E82" t="s">
        <v>36</v>
      </c>
      <c r="F82" t="s">
        <v>36</v>
      </c>
      <c r="G82" t="s">
        <v>36</v>
      </c>
      <c r="H82" t="s">
        <v>36</v>
      </c>
      <c r="I82" t="s">
        <v>4164</v>
      </c>
      <c r="J82" t="s">
        <v>36</v>
      </c>
      <c r="K82" t="s">
        <v>2867</v>
      </c>
      <c r="L82" s="74">
        <v>46153</v>
      </c>
      <c r="M82" s="74">
        <v>46176</v>
      </c>
      <c r="O82" t="s">
        <v>143</v>
      </c>
      <c r="P82" t="s">
        <v>4168</v>
      </c>
      <c r="Q82" t="s">
        <v>70</v>
      </c>
      <c r="R82" t="s">
        <v>546</v>
      </c>
      <c r="S82" t="s">
        <v>297</v>
      </c>
      <c r="T82" t="s">
        <v>298</v>
      </c>
      <c r="U82" t="s">
        <v>799</v>
      </c>
      <c r="V82" t="s">
        <v>800</v>
      </c>
      <c r="W82" t="s">
        <v>301</v>
      </c>
      <c r="X82" t="s">
        <v>36</v>
      </c>
      <c r="Y82" t="s">
        <v>36</v>
      </c>
      <c r="Z82" t="s">
        <v>54</v>
      </c>
      <c r="AA82" t="s">
        <v>480</v>
      </c>
      <c r="AB82" t="s">
        <v>481</v>
      </c>
      <c r="AC82" t="s">
        <v>36</v>
      </c>
      <c r="AD82" t="s">
        <v>5017</v>
      </c>
      <c r="AE82">
        <v>500</v>
      </c>
      <c r="AF82" t="s">
        <v>5164</v>
      </c>
      <c r="AG82" t="s">
        <v>5378</v>
      </c>
      <c r="AH82" t="s">
        <v>5366</v>
      </c>
      <c r="AI82" t="s">
        <v>5169</v>
      </c>
      <c r="AJ82" t="s">
        <v>5383</v>
      </c>
      <c r="AK82" t="s">
        <v>36</v>
      </c>
      <c r="AL82" t="s">
        <v>5153</v>
      </c>
      <c r="AM82" t="s">
        <v>6150</v>
      </c>
      <c r="AN82" t="s">
        <v>6151</v>
      </c>
      <c r="AO82" t="s">
        <v>6035</v>
      </c>
      <c r="AP82" t="e">
        <v>#VALUE!</v>
      </c>
      <c r="AQ82" t="s">
        <v>6149</v>
      </c>
      <c r="AR82" t="b">
        <v>0</v>
      </c>
    </row>
    <row r="83" spans="1:44">
      <c r="A83" t="s">
        <v>34</v>
      </c>
      <c r="B83" t="s">
        <v>1433</v>
      </c>
      <c r="C83" t="s">
        <v>234</v>
      </c>
      <c r="D83" t="s">
        <v>1435</v>
      </c>
      <c r="E83" t="s">
        <v>36</v>
      </c>
      <c r="F83" t="s">
        <v>36</v>
      </c>
      <c r="G83" t="s">
        <v>213</v>
      </c>
      <c r="H83" t="s">
        <v>214</v>
      </c>
      <c r="I83" t="s">
        <v>1440</v>
      </c>
      <c r="J83" t="s">
        <v>1441</v>
      </c>
      <c r="K83" t="s">
        <v>1442</v>
      </c>
      <c r="L83" s="74">
        <v>46181</v>
      </c>
      <c r="O83" t="s">
        <v>43</v>
      </c>
      <c r="P83" t="s">
        <v>1444</v>
      </c>
      <c r="Q83" t="s">
        <v>45</v>
      </c>
      <c r="R83" t="s">
        <v>46</v>
      </c>
      <c r="S83" t="s">
        <v>47</v>
      </c>
      <c r="T83" t="s">
        <v>48</v>
      </c>
      <c r="U83" t="s">
        <v>224</v>
      </c>
      <c r="V83" t="s">
        <v>225</v>
      </c>
      <c r="W83" t="s">
        <v>1451</v>
      </c>
      <c r="X83" t="s">
        <v>36</v>
      </c>
      <c r="Y83" t="s">
        <v>36</v>
      </c>
      <c r="Z83" t="s">
        <v>54</v>
      </c>
      <c r="AA83" t="s">
        <v>805</v>
      </c>
      <c r="AB83" t="s">
        <v>806</v>
      </c>
      <c r="AC83" t="s">
        <v>4668</v>
      </c>
      <c r="AD83" t="s">
        <v>5018</v>
      </c>
      <c r="AE83">
        <v>9100</v>
      </c>
      <c r="AF83" t="s">
        <v>5164</v>
      </c>
      <c r="AG83" t="s">
        <v>5378</v>
      </c>
      <c r="AH83" t="s">
        <v>5366</v>
      </c>
      <c r="AI83" t="s">
        <v>5169</v>
      </c>
      <c r="AJ83" t="s">
        <v>5383</v>
      </c>
      <c r="AK83" t="s">
        <v>36</v>
      </c>
      <c r="AL83" t="s">
        <v>5381</v>
      </c>
      <c r="AM83" t="s">
        <v>36</v>
      </c>
      <c r="AO83" t="s">
        <v>6036</v>
      </c>
      <c r="AP83" t="s">
        <v>4659</v>
      </c>
      <c r="AQ83" t="s">
        <v>4668</v>
      </c>
      <c r="AR83" t="b">
        <v>1</v>
      </c>
    </row>
    <row r="84" spans="1:44">
      <c r="A84" t="s">
        <v>34</v>
      </c>
      <c r="B84" t="s">
        <v>533</v>
      </c>
      <c r="C84" t="s">
        <v>534</v>
      </c>
      <c r="D84" t="s">
        <v>535</v>
      </c>
      <c r="E84" t="s">
        <v>36</v>
      </c>
      <c r="F84" t="s">
        <v>36</v>
      </c>
      <c r="G84" t="s">
        <v>538</v>
      </c>
      <c r="H84" t="s">
        <v>539</v>
      </c>
      <c r="I84" t="s">
        <v>36</v>
      </c>
      <c r="J84" t="s">
        <v>541</v>
      </c>
      <c r="K84" t="s">
        <v>542</v>
      </c>
      <c r="L84" s="74">
        <v>46153</v>
      </c>
      <c r="M84" s="74">
        <v>46241</v>
      </c>
      <c r="O84" t="s">
        <v>143</v>
      </c>
      <c r="P84" t="s">
        <v>544</v>
      </c>
      <c r="Q84" t="s">
        <v>45</v>
      </c>
      <c r="R84" t="s">
        <v>546</v>
      </c>
      <c r="S84" t="s">
        <v>47</v>
      </c>
      <c r="T84" t="s">
        <v>48</v>
      </c>
      <c r="U84" t="s">
        <v>99</v>
      </c>
      <c r="V84" t="s">
        <v>100</v>
      </c>
      <c r="W84" t="s">
        <v>51</v>
      </c>
      <c r="X84" t="s">
        <v>36</v>
      </c>
      <c r="Y84" t="s">
        <v>36</v>
      </c>
      <c r="Z84" t="s">
        <v>54</v>
      </c>
      <c r="AA84" t="s">
        <v>480</v>
      </c>
      <c r="AB84" t="s">
        <v>481</v>
      </c>
      <c r="AC84" t="s">
        <v>1544</v>
      </c>
      <c r="AD84" t="s">
        <v>5018</v>
      </c>
      <c r="AE84">
        <v>8300</v>
      </c>
      <c r="AF84" t="s">
        <v>5164</v>
      </c>
      <c r="AG84" t="s">
        <v>5378</v>
      </c>
      <c r="AH84" t="s">
        <v>5366</v>
      </c>
      <c r="AI84" t="s">
        <v>5169</v>
      </c>
      <c r="AJ84" t="s">
        <v>5383</v>
      </c>
      <c r="AK84" t="s">
        <v>36</v>
      </c>
      <c r="AL84" t="s">
        <v>5153</v>
      </c>
      <c r="AM84" t="s">
        <v>6174</v>
      </c>
      <c r="AN84" t="s">
        <v>6151</v>
      </c>
      <c r="AO84" t="s">
        <v>6037</v>
      </c>
      <c r="AP84" t="s">
        <v>1535</v>
      </c>
      <c r="AQ84" t="s">
        <v>1544</v>
      </c>
      <c r="AR84" t="b">
        <v>1</v>
      </c>
    </row>
    <row r="85" spans="1:44">
      <c r="A85" t="s">
        <v>34</v>
      </c>
      <c r="B85" t="s">
        <v>2158</v>
      </c>
      <c r="C85" t="s">
        <v>659</v>
      </c>
      <c r="D85" t="s">
        <v>2135</v>
      </c>
      <c r="E85" t="s">
        <v>36</v>
      </c>
      <c r="F85" t="s">
        <v>36</v>
      </c>
      <c r="G85" t="s">
        <v>213</v>
      </c>
      <c r="H85" t="s">
        <v>214</v>
      </c>
      <c r="I85" t="s">
        <v>36</v>
      </c>
      <c r="J85" t="s">
        <v>2166</v>
      </c>
      <c r="K85" t="s">
        <v>2167</v>
      </c>
      <c r="L85" s="74">
        <v>46153</v>
      </c>
      <c r="M85" s="74">
        <v>46248</v>
      </c>
      <c r="O85" t="s">
        <v>143</v>
      </c>
      <c r="P85" t="s">
        <v>2169</v>
      </c>
      <c r="Q85" t="s">
        <v>45</v>
      </c>
      <c r="R85" t="s">
        <v>546</v>
      </c>
      <c r="S85" t="s">
        <v>47</v>
      </c>
      <c r="T85" t="s">
        <v>48</v>
      </c>
      <c r="U85" t="s">
        <v>224</v>
      </c>
      <c r="V85" t="s">
        <v>225</v>
      </c>
      <c r="W85" t="s">
        <v>51</v>
      </c>
      <c r="X85" t="s">
        <v>36</v>
      </c>
      <c r="Y85" t="s">
        <v>36</v>
      </c>
      <c r="Z85" t="s">
        <v>54</v>
      </c>
      <c r="AA85" t="s">
        <v>480</v>
      </c>
      <c r="AB85" t="s">
        <v>481</v>
      </c>
      <c r="AC85" t="s">
        <v>4668</v>
      </c>
      <c r="AD85" t="s">
        <v>5018</v>
      </c>
      <c r="AE85">
        <v>9100</v>
      </c>
      <c r="AF85" t="s">
        <v>5164</v>
      </c>
      <c r="AG85" t="s">
        <v>5378</v>
      </c>
      <c r="AH85" t="s">
        <v>5366</v>
      </c>
      <c r="AI85" t="s">
        <v>5169</v>
      </c>
      <c r="AJ85" t="s">
        <v>5383</v>
      </c>
      <c r="AK85" t="s">
        <v>36</v>
      </c>
      <c r="AL85" t="s">
        <v>5153</v>
      </c>
      <c r="AM85" t="s">
        <v>6158</v>
      </c>
      <c r="AN85" t="s">
        <v>6151</v>
      </c>
      <c r="AO85" t="s">
        <v>6038</v>
      </c>
      <c r="AP85" t="s">
        <v>4659</v>
      </c>
      <c r="AQ85" t="s">
        <v>4668</v>
      </c>
      <c r="AR85" t="b">
        <v>1</v>
      </c>
    </row>
    <row r="86" spans="1:44">
      <c r="A86" t="s">
        <v>34</v>
      </c>
      <c r="B86" t="s">
        <v>3583</v>
      </c>
      <c r="C86" t="s">
        <v>109</v>
      </c>
      <c r="D86" t="s">
        <v>3585</v>
      </c>
      <c r="E86" t="s">
        <v>36</v>
      </c>
      <c r="F86" t="s">
        <v>36</v>
      </c>
      <c r="G86" t="s">
        <v>188</v>
      </c>
      <c r="H86" t="s">
        <v>189</v>
      </c>
      <c r="I86" t="s">
        <v>3590</v>
      </c>
      <c r="J86" t="s">
        <v>3591</v>
      </c>
      <c r="K86" t="s">
        <v>42</v>
      </c>
      <c r="L86" s="74">
        <v>45117</v>
      </c>
      <c r="O86" t="s">
        <v>43</v>
      </c>
      <c r="P86" t="s">
        <v>3594</v>
      </c>
      <c r="Q86" t="s">
        <v>45</v>
      </c>
      <c r="R86" t="s">
        <v>46</v>
      </c>
      <c r="S86" t="s">
        <v>47</v>
      </c>
      <c r="T86" t="s">
        <v>48</v>
      </c>
      <c r="U86" t="s">
        <v>199</v>
      </c>
      <c r="V86" t="s">
        <v>200</v>
      </c>
      <c r="W86" t="s">
        <v>51</v>
      </c>
      <c r="X86" t="s">
        <v>36</v>
      </c>
      <c r="Y86" t="s">
        <v>36</v>
      </c>
      <c r="Z86" t="s">
        <v>54</v>
      </c>
      <c r="AA86" t="s">
        <v>55</v>
      </c>
      <c r="AB86" t="s">
        <v>56</v>
      </c>
      <c r="AC86" t="s">
        <v>2294</v>
      </c>
      <c r="AD86" t="s">
        <v>5018</v>
      </c>
      <c r="AE86">
        <v>5200</v>
      </c>
      <c r="AF86" t="s">
        <v>5164</v>
      </c>
      <c r="AG86" t="s">
        <v>5378</v>
      </c>
      <c r="AH86" t="s">
        <v>5366</v>
      </c>
      <c r="AI86" t="s">
        <v>5169</v>
      </c>
      <c r="AJ86" t="s">
        <v>5383</v>
      </c>
      <c r="AK86" t="s">
        <v>36</v>
      </c>
      <c r="AL86" t="s">
        <v>5381</v>
      </c>
      <c r="AM86" t="s">
        <v>36</v>
      </c>
      <c r="AO86" t="s">
        <v>6039</v>
      </c>
      <c r="AP86" t="s">
        <v>2285</v>
      </c>
      <c r="AQ86" t="s">
        <v>2294</v>
      </c>
      <c r="AR86" t="b">
        <v>1</v>
      </c>
    </row>
    <row r="87" spans="1:44">
      <c r="A87" t="s">
        <v>457</v>
      </c>
      <c r="B87" t="s">
        <v>458</v>
      </c>
      <c r="C87" t="s">
        <v>36</v>
      </c>
      <c r="D87" t="s">
        <v>460</v>
      </c>
      <c r="E87" t="s">
        <v>36</v>
      </c>
      <c r="F87" t="s">
        <v>36</v>
      </c>
      <c r="G87" t="s">
        <v>463</v>
      </c>
      <c r="H87" t="s">
        <v>464</v>
      </c>
      <c r="I87" t="s">
        <v>36</v>
      </c>
      <c r="J87" t="s">
        <v>466</v>
      </c>
      <c r="K87" t="s">
        <v>467</v>
      </c>
      <c r="L87" s="74">
        <v>45232</v>
      </c>
      <c r="O87" t="s">
        <v>43</v>
      </c>
      <c r="P87" t="s">
        <v>469</v>
      </c>
      <c r="Q87" t="s">
        <v>45</v>
      </c>
      <c r="R87" t="s">
        <v>46</v>
      </c>
      <c r="S87" t="s">
        <v>297</v>
      </c>
      <c r="T87" t="s">
        <v>298</v>
      </c>
      <c r="U87" t="s">
        <v>474</v>
      </c>
      <c r="V87" t="s">
        <v>475</v>
      </c>
      <c r="W87" t="s">
        <v>301</v>
      </c>
      <c r="X87" t="s">
        <v>36</v>
      </c>
      <c r="Y87" t="s">
        <v>36</v>
      </c>
      <c r="Z87" t="s">
        <v>54</v>
      </c>
      <c r="AA87" t="s">
        <v>480</v>
      </c>
      <c r="AB87" t="s">
        <v>481</v>
      </c>
      <c r="AC87" t="s">
        <v>4018</v>
      </c>
      <c r="AD87" t="s">
        <v>5017</v>
      </c>
      <c r="AE87">
        <v>200</v>
      </c>
      <c r="AF87" t="s">
        <v>5164</v>
      </c>
      <c r="AG87" t="s">
        <v>5378</v>
      </c>
      <c r="AH87" t="s">
        <v>5366</v>
      </c>
      <c r="AI87" t="s">
        <v>5169</v>
      </c>
      <c r="AJ87" t="s">
        <v>5383</v>
      </c>
      <c r="AK87" t="s">
        <v>36</v>
      </c>
      <c r="AL87" t="s">
        <v>5381</v>
      </c>
      <c r="AM87" t="s">
        <v>36</v>
      </c>
      <c r="AO87" t="s">
        <v>6040</v>
      </c>
      <c r="AP87" t="s">
        <v>4009</v>
      </c>
      <c r="AQ87" t="s">
        <v>4018</v>
      </c>
      <c r="AR87" t="b">
        <v>1</v>
      </c>
    </row>
    <row r="88" spans="1:44">
      <c r="A88" t="s">
        <v>282</v>
      </c>
      <c r="B88" t="s">
        <v>458</v>
      </c>
      <c r="C88" t="s">
        <v>36</v>
      </c>
      <c r="D88" t="s">
        <v>585</v>
      </c>
      <c r="E88" t="s">
        <v>36</v>
      </c>
      <c r="F88" t="s">
        <v>36</v>
      </c>
      <c r="G88" t="s">
        <v>588</v>
      </c>
      <c r="H88" t="s">
        <v>589</v>
      </c>
      <c r="I88" t="s">
        <v>590</v>
      </c>
      <c r="J88" t="s">
        <v>591</v>
      </c>
      <c r="K88" t="s">
        <v>592</v>
      </c>
      <c r="L88" s="74">
        <v>34736</v>
      </c>
      <c r="O88" t="s">
        <v>43</v>
      </c>
      <c r="P88" t="s">
        <v>594</v>
      </c>
      <c r="Q88" t="s">
        <v>70</v>
      </c>
      <c r="R88" t="s">
        <v>46</v>
      </c>
      <c r="S88" t="s">
        <v>297</v>
      </c>
      <c r="T88" t="s">
        <v>298</v>
      </c>
      <c r="U88" t="s">
        <v>599</v>
      </c>
      <c r="V88" t="s">
        <v>600</v>
      </c>
      <c r="W88" t="s">
        <v>301</v>
      </c>
      <c r="X88" t="s">
        <v>36</v>
      </c>
      <c r="Y88" t="s">
        <v>36</v>
      </c>
      <c r="Z88" t="s">
        <v>54</v>
      </c>
      <c r="AA88" t="s">
        <v>305</v>
      </c>
      <c r="AB88" t="s">
        <v>306</v>
      </c>
      <c r="AC88" t="s">
        <v>319</v>
      </c>
      <c r="AD88" t="s">
        <v>5017</v>
      </c>
      <c r="AE88">
        <v>718</v>
      </c>
      <c r="AF88" t="s">
        <v>5164</v>
      </c>
      <c r="AG88" t="s">
        <v>5378</v>
      </c>
      <c r="AH88" t="s">
        <v>5366</v>
      </c>
      <c r="AI88" t="s">
        <v>5169</v>
      </c>
      <c r="AJ88" t="s">
        <v>5383</v>
      </c>
      <c r="AK88" t="s">
        <v>36</v>
      </c>
      <c r="AL88" t="s">
        <v>5381</v>
      </c>
      <c r="AM88" t="s">
        <v>36</v>
      </c>
      <c r="AO88" t="s">
        <v>6041</v>
      </c>
      <c r="AP88" t="s">
        <v>310</v>
      </c>
      <c r="AQ88" t="s">
        <v>319</v>
      </c>
      <c r="AR88" t="b">
        <v>1</v>
      </c>
    </row>
    <row r="89" spans="1:44">
      <c r="A89" t="s">
        <v>457</v>
      </c>
      <c r="B89" t="s">
        <v>458</v>
      </c>
      <c r="C89" t="s">
        <v>36</v>
      </c>
      <c r="D89" t="s">
        <v>2660</v>
      </c>
      <c r="E89" t="s">
        <v>36</v>
      </c>
      <c r="F89" t="s">
        <v>36</v>
      </c>
      <c r="G89" t="s">
        <v>463</v>
      </c>
      <c r="H89" t="s">
        <v>464</v>
      </c>
      <c r="I89" t="s">
        <v>36</v>
      </c>
      <c r="J89" t="s">
        <v>2666</v>
      </c>
      <c r="K89" t="s">
        <v>2217</v>
      </c>
      <c r="L89" s="74">
        <v>31130</v>
      </c>
      <c r="O89" t="s">
        <v>43</v>
      </c>
      <c r="P89" t="s">
        <v>2669</v>
      </c>
      <c r="Q89" t="s">
        <v>45</v>
      </c>
      <c r="R89" t="s">
        <v>46</v>
      </c>
      <c r="S89" t="s">
        <v>297</v>
      </c>
      <c r="T89" t="s">
        <v>298</v>
      </c>
      <c r="U89" t="s">
        <v>2674</v>
      </c>
      <c r="V89" t="s">
        <v>2675</v>
      </c>
      <c r="W89" t="s">
        <v>301</v>
      </c>
      <c r="X89" t="s">
        <v>36</v>
      </c>
      <c r="Y89" t="s">
        <v>36</v>
      </c>
      <c r="Z89" t="s">
        <v>54</v>
      </c>
      <c r="AA89" t="s">
        <v>580</v>
      </c>
      <c r="AB89" t="s">
        <v>581</v>
      </c>
      <c r="AC89" t="s">
        <v>4018</v>
      </c>
      <c r="AD89" t="s">
        <v>5017</v>
      </c>
      <c r="AE89">
        <v>350</v>
      </c>
      <c r="AF89" t="s">
        <v>5164</v>
      </c>
      <c r="AG89" t="s">
        <v>5378</v>
      </c>
      <c r="AH89" t="s">
        <v>5366</v>
      </c>
      <c r="AI89" t="s">
        <v>5169</v>
      </c>
      <c r="AJ89" t="s">
        <v>5383</v>
      </c>
      <c r="AK89" t="s">
        <v>36</v>
      </c>
      <c r="AL89" t="s">
        <v>5381</v>
      </c>
      <c r="AM89" t="s">
        <v>36</v>
      </c>
      <c r="AO89" t="s">
        <v>6042</v>
      </c>
      <c r="AP89" t="s">
        <v>4009</v>
      </c>
      <c r="AQ89" t="s">
        <v>4018</v>
      </c>
      <c r="AR89" t="b">
        <v>1</v>
      </c>
    </row>
    <row r="90" spans="1:44">
      <c r="A90" t="s">
        <v>57</v>
      </c>
      <c r="B90" t="s">
        <v>458</v>
      </c>
      <c r="C90" t="s">
        <v>36</v>
      </c>
      <c r="D90" t="s">
        <v>4034</v>
      </c>
      <c r="E90" t="s">
        <v>36</v>
      </c>
      <c r="F90" t="s">
        <v>36</v>
      </c>
      <c r="G90" t="s">
        <v>638</v>
      </c>
      <c r="H90" t="s">
        <v>639</v>
      </c>
      <c r="I90" t="s">
        <v>4039</v>
      </c>
      <c r="J90" t="s">
        <v>4040</v>
      </c>
      <c r="K90" t="s">
        <v>867</v>
      </c>
      <c r="L90" s="74">
        <v>45840</v>
      </c>
      <c r="M90" s="74">
        <v>46235</v>
      </c>
      <c r="O90" t="s">
        <v>143</v>
      </c>
      <c r="P90" t="s">
        <v>4043</v>
      </c>
      <c r="Q90" t="s">
        <v>70</v>
      </c>
      <c r="R90" t="s">
        <v>46</v>
      </c>
      <c r="S90" t="s">
        <v>47</v>
      </c>
      <c r="T90" t="s">
        <v>48</v>
      </c>
      <c r="U90" t="s">
        <v>874</v>
      </c>
      <c r="V90" t="s">
        <v>875</v>
      </c>
      <c r="W90" t="s">
        <v>1976</v>
      </c>
      <c r="X90" t="s">
        <v>36</v>
      </c>
      <c r="Y90" t="s">
        <v>36</v>
      </c>
      <c r="Z90" t="s">
        <v>54</v>
      </c>
      <c r="AA90" t="s">
        <v>880</v>
      </c>
      <c r="AB90" t="s">
        <v>881</v>
      </c>
      <c r="AC90" t="s">
        <v>4468</v>
      </c>
      <c r="AD90" t="s">
        <v>5018</v>
      </c>
      <c r="AE90">
        <v>9400</v>
      </c>
      <c r="AF90" t="s">
        <v>5164</v>
      </c>
      <c r="AG90" t="s">
        <v>5378</v>
      </c>
      <c r="AH90" t="s">
        <v>5366</v>
      </c>
      <c r="AI90" t="s">
        <v>5169</v>
      </c>
      <c r="AJ90" t="s">
        <v>5383</v>
      </c>
      <c r="AK90" t="s">
        <v>36</v>
      </c>
      <c r="AL90" t="s">
        <v>5153</v>
      </c>
      <c r="AM90" t="s">
        <v>6175</v>
      </c>
      <c r="AN90" t="s">
        <v>6148</v>
      </c>
      <c r="AO90" t="s">
        <v>6043</v>
      </c>
      <c r="AP90" t="s">
        <v>4459</v>
      </c>
      <c r="AQ90" t="s">
        <v>4468</v>
      </c>
      <c r="AR90" t="b">
        <v>1</v>
      </c>
    </row>
    <row r="91" spans="1:44">
      <c r="A91" t="s">
        <v>282</v>
      </c>
      <c r="B91" t="s">
        <v>458</v>
      </c>
      <c r="C91" t="s">
        <v>36</v>
      </c>
      <c r="D91" t="s">
        <v>4034</v>
      </c>
      <c r="E91" t="s">
        <v>36</v>
      </c>
      <c r="F91" t="s">
        <v>36</v>
      </c>
      <c r="G91" t="s">
        <v>588</v>
      </c>
      <c r="H91" t="s">
        <v>589</v>
      </c>
      <c r="I91" t="s">
        <v>4039</v>
      </c>
      <c r="J91" t="s">
        <v>4040</v>
      </c>
      <c r="K91" t="s">
        <v>867</v>
      </c>
      <c r="L91" s="74">
        <v>45840</v>
      </c>
      <c r="O91" t="s">
        <v>43</v>
      </c>
      <c r="P91" t="s">
        <v>4043</v>
      </c>
      <c r="Q91" t="s">
        <v>70</v>
      </c>
      <c r="R91" t="s">
        <v>46</v>
      </c>
      <c r="S91" t="s">
        <v>297</v>
      </c>
      <c r="T91" t="s">
        <v>298</v>
      </c>
      <c r="U91" t="s">
        <v>324</v>
      </c>
      <c r="V91" t="s">
        <v>325</v>
      </c>
      <c r="W91" t="s">
        <v>2051</v>
      </c>
      <c r="X91" t="s">
        <v>36</v>
      </c>
      <c r="Y91" t="s">
        <v>36</v>
      </c>
      <c r="Z91" t="s">
        <v>54</v>
      </c>
      <c r="AA91" t="s">
        <v>880</v>
      </c>
      <c r="AB91" t="s">
        <v>881</v>
      </c>
      <c r="AC91" t="s">
        <v>319</v>
      </c>
      <c r="AD91" t="s">
        <v>5017</v>
      </c>
      <c r="AE91" t="s">
        <v>5021</v>
      </c>
      <c r="AF91" t="s">
        <v>5164</v>
      </c>
      <c r="AG91" t="s">
        <v>5378</v>
      </c>
      <c r="AH91" t="s">
        <v>5366</v>
      </c>
      <c r="AI91" t="s">
        <v>5169</v>
      </c>
      <c r="AJ91" t="s">
        <v>5383</v>
      </c>
      <c r="AK91" t="s">
        <v>36</v>
      </c>
      <c r="AL91" t="s">
        <v>5381</v>
      </c>
      <c r="AM91" t="s">
        <v>36</v>
      </c>
      <c r="AO91" t="s">
        <v>6043</v>
      </c>
      <c r="AP91" t="s">
        <v>310</v>
      </c>
      <c r="AQ91" t="s">
        <v>319</v>
      </c>
      <c r="AR91" t="b">
        <v>1</v>
      </c>
    </row>
    <row r="92" spans="1:44">
      <c r="A92" t="s">
        <v>57</v>
      </c>
      <c r="B92" t="s">
        <v>233</v>
      </c>
      <c r="C92" t="s">
        <v>234</v>
      </c>
      <c r="D92" t="s">
        <v>235</v>
      </c>
      <c r="E92" t="s">
        <v>36</v>
      </c>
      <c r="F92" t="s">
        <v>36</v>
      </c>
      <c r="G92" t="s">
        <v>88</v>
      </c>
      <c r="H92" t="s">
        <v>36</v>
      </c>
      <c r="I92" t="s">
        <v>240</v>
      </c>
      <c r="J92" t="s">
        <v>241</v>
      </c>
      <c r="K92" t="s">
        <v>242</v>
      </c>
      <c r="L92" s="74">
        <v>46258</v>
      </c>
      <c r="O92" t="s">
        <v>43</v>
      </c>
      <c r="P92" t="s">
        <v>244</v>
      </c>
      <c r="Q92" t="s">
        <v>70</v>
      </c>
      <c r="R92" t="s">
        <v>46</v>
      </c>
      <c r="S92" t="s">
        <v>47</v>
      </c>
      <c r="T92" t="s">
        <v>48</v>
      </c>
      <c r="U92" t="s">
        <v>249</v>
      </c>
      <c r="V92" t="s">
        <v>250</v>
      </c>
      <c r="W92" t="s">
        <v>51</v>
      </c>
      <c r="X92" t="s">
        <v>36</v>
      </c>
      <c r="Y92" t="s">
        <v>36</v>
      </c>
      <c r="Z92" t="s">
        <v>54</v>
      </c>
      <c r="AA92" t="s">
        <v>255</v>
      </c>
      <c r="AB92" t="s">
        <v>256</v>
      </c>
      <c r="AC92" t="s">
        <v>36</v>
      </c>
      <c r="AD92" t="s">
        <v>5018</v>
      </c>
      <c r="AE92" t="s">
        <v>6153</v>
      </c>
      <c r="AF92" t="s">
        <v>5164</v>
      </c>
      <c r="AG92" t="s">
        <v>5378</v>
      </c>
      <c r="AH92" t="s">
        <v>5366</v>
      </c>
      <c r="AI92" t="s">
        <v>5169</v>
      </c>
      <c r="AJ92" t="s">
        <v>5383</v>
      </c>
      <c r="AK92" t="s">
        <v>36</v>
      </c>
      <c r="AL92" t="s">
        <v>5381</v>
      </c>
      <c r="AM92" t="s">
        <v>36</v>
      </c>
      <c r="AO92" t="s">
        <v>6044</v>
      </c>
      <c r="AP92" t="s">
        <v>2135</v>
      </c>
      <c r="AQ92" t="s">
        <v>2144</v>
      </c>
      <c r="AR92" t="b">
        <v>0</v>
      </c>
    </row>
    <row r="93" spans="1:44">
      <c r="A93" t="s">
        <v>57</v>
      </c>
      <c r="B93" t="s">
        <v>233</v>
      </c>
      <c r="C93" t="s">
        <v>36</v>
      </c>
      <c r="D93" t="s">
        <v>2485</v>
      </c>
      <c r="E93" t="s">
        <v>36</v>
      </c>
      <c r="F93" t="s">
        <v>36</v>
      </c>
      <c r="G93" t="s">
        <v>2488</v>
      </c>
      <c r="H93" t="s">
        <v>2489</v>
      </c>
      <c r="I93" t="s">
        <v>2490</v>
      </c>
      <c r="J93" t="s">
        <v>2491</v>
      </c>
      <c r="K93" t="s">
        <v>2492</v>
      </c>
      <c r="L93" s="74">
        <v>34869</v>
      </c>
      <c r="O93" t="s">
        <v>43</v>
      </c>
      <c r="P93" t="s">
        <v>2494</v>
      </c>
      <c r="Q93" t="s">
        <v>70</v>
      </c>
      <c r="R93" t="s">
        <v>46</v>
      </c>
      <c r="S93" t="s">
        <v>47</v>
      </c>
      <c r="T93" t="s">
        <v>48</v>
      </c>
      <c r="U93" t="s">
        <v>874</v>
      </c>
      <c r="V93" t="s">
        <v>875</v>
      </c>
      <c r="W93" t="s">
        <v>51</v>
      </c>
      <c r="X93" t="s">
        <v>36</v>
      </c>
      <c r="Y93" t="s">
        <v>36</v>
      </c>
      <c r="Z93" t="s">
        <v>54</v>
      </c>
      <c r="AA93" t="s">
        <v>880</v>
      </c>
      <c r="AB93" t="s">
        <v>881</v>
      </c>
      <c r="AC93" t="s">
        <v>869</v>
      </c>
      <c r="AD93" t="s">
        <v>5018</v>
      </c>
      <c r="AE93">
        <v>9400</v>
      </c>
      <c r="AF93" t="s">
        <v>5164</v>
      </c>
      <c r="AG93" t="s">
        <v>5378</v>
      </c>
      <c r="AH93" t="s">
        <v>5366</v>
      </c>
      <c r="AI93" t="s">
        <v>5169</v>
      </c>
      <c r="AJ93" t="s">
        <v>5383</v>
      </c>
      <c r="AK93" t="s">
        <v>36</v>
      </c>
      <c r="AL93" t="s">
        <v>5381</v>
      </c>
      <c r="AM93" t="s">
        <v>36</v>
      </c>
      <c r="AO93" t="s">
        <v>6045</v>
      </c>
      <c r="AP93" t="s">
        <v>860</v>
      </c>
      <c r="AQ93" t="s">
        <v>869</v>
      </c>
      <c r="AR93" t="b">
        <v>1</v>
      </c>
    </row>
    <row r="94" spans="1:44">
      <c r="A94" t="s">
        <v>282</v>
      </c>
      <c r="B94" t="s">
        <v>233</v>
      </c>
      <c r="C94" t="s">
        <v>36</v>
      </c>
      <c r="D94" t="s">
        <v>2485</v>
      </c>
      <c r="E94" t="s">
        <v>36</v>
      </c>
      <c r="F94" t="s">
        <v>36</v>
      </c>
      <c r="G94" t="s">
        <v>588</v>
      </c>
      <c r="H94" t="s">
        <v>589</v>
      </c>
      <c r="I94" t="s">
        <v>2490</v>
      </c>
      <c r="J94" t="s">
        <v>2491</v>
      </c>
      <c r="K94" t="s">
        <v>2517</v>
      </c>
      <c r="L94" s="74">
        <v>34869</v>
      </c>
      <c r="M94" s="74">
        <v>46235</v>
      </c>
      <c r="O94" t="s">
        <v>143</v>
      </c>
      <c r="P94" t="s">
        <v>2494</v>
      </c>
      <c r="Q94" t="s">
        <v>70</v>
      </c>
      <c r="R94" t="s">
        <v>46</v>
      </c>
      <c r="S94" t="s">
        <v>297</v>
      </c>
      <c r="T94" t="s">
        <v>298</v>
      </c>
      <c r="U94" t="s">
        <v>1349</v>
      </c>
      <c r="V94" t="s">
        <v>1350</v>
      </c>
      <c r="W94" t="s">
        <v>301</v>
      </c>
      <c r="X94" t="s">
        <v>36</v>
      </c>
      <c r="Y94" t="s">
        <v>36</v>
      </c>
      <c r="Z94" t="s">
        <v>54</v>
      </c>
      <c r="AA94" t="s">
        <v>880</v>
      </c>
      <c r="AB94" t="s">
        <v>881</v>
      </c>
      <c r="AC94" t="s">
        <v>319</v>
      </c>
      <c r="AD94" t="s">
        <v>5017</v>
      </c>
      <c r="AE94">
        <v>555</v>
      </c>
      <c r="AF94" t="s">
        <v>5164</v>
      </c>
      <c r="AG94" t="s">
        <v>5378</v>
      </c>
      <c r="AH94" t="s">
        <v>5366</v>
      </c>
      <c r="AI94" t="s">
        <v>5169</v>
      </c>
      <c r="AJ94" t="s">
        <v>5383</v>
      </c>
      <c r="AK94" t="s">
        <v>36</v>
      </c>
      <c r="AL94" t="s">
        <v>5153</v>
      </c>
      <c r="AM94" t="s">
        <v>6175</v>
      </c>
      <c r="AN94" t="s">
        <v>6148</v>
      </c>
      <c r="AO94" t="s">
        <v>6045</v>
      </c>
      <c r="AP94" t="s">
        <v>310</v>
      </c>
      <c r="AQ94" t="s">
        <v>319</v>
      </c>
      <c r="AR94" t="b">
        <v>1</v>
      </c>
    </row>
    <row r="95" spans="1:44">
      <c r="A95" t="s">
        <v>57</v>
      </c>
      <c r="B95" t="s">
        <v>3508</v>
      </c>
      <c r="C95" t="s">
        <v>36</v>
      </c>
      <c r="D95" t="s">
        <v>3510</v>
      </c>
      <c r="E95" t="s">
        <v>36</v>
      </c>
      <c r="F95" t="s">
        <v>36</v>
      </c>
      <c r="G95" t="s">
        <v>63</v>
      </c>
      <c r="H95" t="s">
        <v>64</v>
      </c>
      <c r="I95" t="s">
        <v>3515</v>
      </c>
      <c r="J95" t="s">
        <v>3516</v>
      </c>
      <c r="K95" t="s">
        <v>3517</v>
      </c>
      <c r="L95" s="74">
        <v>45113</v>
      </c>
      <c r="O95" t="s">
        <v>43</v>
      </c>
      <c r="P95" t="s">
        <v>3519</v>
      </c>
      <c r="Q95" t="s">
        <v>70</v>
      </c>
      <c r="R95" t="s">
        <v>46</v>
      </c>
      <c r="S95" t="s">
        <v>47</v>
      </c>
      <c r="T95" t="s">
        <v>48</v>
      </c>
      <c r="U95" t="s">
        <v>74</v>
      </c>
      <c r="V95" t="s">
        <v>75</v>
      </c>
      <c r="W95" t="s">
        <v>2051</v>
      </c>
      <c r="X95" t="s">
        <v>36</v>
      </c>
      <c r="Y95" t="s">
        <v>36</v>
      </c>
      <c r="Z95" t="s">
        <v>54</v>
      </c>
      <c r="AA95" t="s">
        <v>80</v>
      </c>
      <c r="AB95" t="s">
        <v>81</v>
      </c>
      <c r="AC95" t="s">
        <v>3719</v>
      </c>
      <c r="AD95" t="s">
        <v>5018</v>
      </c>
      <c r="AE95">
        <v>8200</v>
      </c>
      <c r="AF95" t="s">
        <v>5164</v>
      </c>
      <c r="AG95" t="s">
        <v>5378</v>
      </c>
      <c r="AH95" t="s">
        <v>5366</v>
      </c>
      <c r="AI95" t="s">
        <v>5169</v>
      </c>
      <c r="AJ95" t="s">
        <v>5383</v>
      </c>
      <c r="AK95" t="s">
        <v>36</v>
      </c>
      <c r="AL95" t="s">
        <v>5381</v>
      </c>
      <c r="AM95" t="s">
        <v>36</v>
      </c>
      <c r="AO95" t="s">
        <v>6046</v>
      </c>
      <c r="AP95" t="s">
        <v>3685</v>
      </c>
      <c r="AQ95" t="s">
        <v>3694</v>
      </c>
      <c r="AR95" t="b">
        <v>0</v>
      </c>
    </row>
    <row r="96" spans="1:44">
      <c r="A96" t="s">
        <v>57</v>
      </c>
      <c r="B96" t="s">
        <v>1208</v>
      </c>
      <c r="C96" t="s">
        <v>1209</v>
      </c>
      <c r="D96" t="s">
        <v>1210</v>
      </c>
      <c r="E96" t="s">
        <v>36</v>
      </c>
      <c r="F96" t="s">
        <v>36</v>
      </c>
      <c r="G96" t="s">
        <v>1213</v>
      </c>
      <c r="H96" t="s">
        <v>36</v>
      </c>
      <c r="I96" t="s">
        <v>1215</v>
      </c>
      <c r="J96" t="s">
        <v>1216</v>
      </c>
      <c r="K96" t="s">
        <v>1217</v>
      </c>
      <c r="L96" s="74">
        <v>41422</v>
      </c>
      <c r="O96" t="s">
        <v>43</v>
      </c>
      <c r="P96" t="s">
        <v>1219</v>
      </c>
      <c r="Q96" t="s">
        <v>70</v>
      </c>
      <c r="R96" t="s">
        <v>46</v>
      </c>
      <c r="S96" t="s">
        <v>47</v>
      </c>
      <c r="T96" t="s">
        <v>48</v>
      </c>
      <c r="U96" t="s">
        <v>1224</v>
      </c>
      <c r="V96" t="s">
        <v>1225</v>
      </c>
      <c r="W96" t="s">
        <v>51</v>
      </c>
      <c r="X96" t="s">
        <v>36</v>
      </c>
      <c r="Y96" t="s">
        <v>36</v>
      </c>
      <c r="Z96" t="s">
        <v>54</v>
      </c>
      <c r="AA96" t="s">
        <v>305</v>
      </c>
      <c r="AB96" t="s">
        <v>306</v>
      </c>
      <c r="AC96" t="s">
        <v>36</v>
      </c>
      <c r="AD96" t="s">
        <v>5018</v>
      </c>
      <c r="AE96">
        <v>9150</v>
      </c>
      <c r="AF96" t="s">
        <v>5164</v>
      </c>
      <c r="AG96" t="s">
        <v>5378</v>
      </c>
      <c r="AH96" t="s">
        <v>5366</v>
      </c>
      <c r="AI96" t="s">
        <v>5169</v>
      </c>
      <c r="AJ96" t="s">
        <v>5383</v>
      </c>
      <c r="AK96" t="s">
        <v>36</v>
      </c>
      <c r="AL96" t="s">
        <v>5381</v>
      </c>
      <c r="AM96" t="s">
        <v>36</v>
      </c>
      <c r="AO96" t="s">
        <v>6047</v>
      </c>
      <c r="AP96" t="s">
        <v>5941</v>
      </c>
      <c r="AQ96" t="s">
        <v>6149</v>
      </c>
      <c r="AR96" t="b">
        <v>0</v>
      </c>
    </row>
    <row r="97" spans="1:44">
      <c r="A97" t="s">
        <v>457</v>
      </c>
      <c r="B97" t="s">
        <v>2758</v>
      </c>
      <c r="C97" t="s">
        <v>36</v>
      </c>
      <c r="D97" t="s">
        <v>2760</v>
      </c>
      <c r="E97" t="s">
        <v>36</v>
      </c>
      <c r="F97" t="s">
        <v>36</v>
      </c>
      <c r="G97" t="s">
        <v>36</v>
      </c>
      <c r="H97" t="s">
        <v>1014</v>
      </c>
      <c r="I97" t="s">
        <v>36</v>
      </c>
      <c r="J97" t="s">
        <v>2766</v>
      </c>
      <c r="K97" t="s">
        <v>617</v>
      </c>
      <c r="L97" s="74">
        <v>46190</v>
      </c>
      <c r="M97" s="74">
        <v>46234</v>
      </c>
      <c r="O97" t="s">
        <v>143</v>
      </c>
      <c r="P97" t="s">
        <v>36</v>
      </c>
      <c r="Q97" t="s">
        <v>45</v>
      </c>
      <c r="R97" t="s">
        <v>521</v>
      </c>
      <c r="S97" t="s">
        <v>297</v>
      </c>
      <c r="T97" t="s">
        <v>298</v>
      </c>
      <c r="U97" t="s">
        <v>474</v>
      </c>
      <c r="V97" t="s">
        <v>475</v>
      </c>
      <c r="W97" t="s">
        <v>301</v>
      </c>
      <c r="X97" t="s">
        <v>36</v>
      </c>
      <c r="Y97" t="s">
        <v>36</v>
      </c>
      <c r="Z97" t="s">
        <v>54</v>
      </c>
      <c r="AA97" t="s">
        <v>480</v>
      </c>
      <c r="AB97" t="s">
        <v>481</v>
      </c>
      <c r="AC97" t="s">
        <v>4643</v>
      </c>
      <c r="AD97" t="s">
        <v>5017</v>
      </c>
      <c r="AE97">
        <v>200</v>
      </c>
      <c r="AF97" t="s">
        <v>5164</v>
      </c>
      <c r="AG97" t="s">
        <v>5378</v>
      </c>
      <c r="AH97" t="s">
        <v>5366</v>
      </c>
      <c r="AI97" t="s">
        <v>5169</v>
      </c>
      <c r="AJ97" t="s">
        <v>5383</v>
      </c>
      <c r="AK97" t="s">
        <v>36</v>
      </c>
      <c r="AL97" t="s">
        <v>5153</v>
      </c>
      <c r="AM97" t="s">
        <v>6176</v>
      </c>
      <c r="AN97" t="s">
        <v>6151</v>
      </c>
      <c r="AO97" t="s">
        <v>6048</v>
      </c>
      <c r="AP97" t="e">
        <v>#VALUE!</v>
      </c>
      <c r="AQ97" t="s">
        <v>6149</v>
      </c>
      <c r="AR97" t="b">
        <v>0</v>
      </c>
    </row>
    <row r="98" spans="1:44">
      <c r="A98" t="s">
        <v>36</v>
      </c>
      <c r="B98" t="s">
        <v>3658</v>
      </c>
      <c r="C98" t="s">
        <v>36</v>
      </c>
      <c r="D98" t="s">
        <v>3660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3666</v>
      </c>
      <c r="K98" t="s">
        <v>36</v>
      </c>
      <c r="L98" s="74">
        <v>46053</v>
      </c>
      <c r="M98" s="74">
        <v>46054</v>
      </c>
      <c r="O98" t="s">
        <v>143</v>
      </c>
      <c r="P98" t="s">
        <v>36</v>
      </c>
      <c r="Q98" t="s">
        <v>920</v>
      </c>
      <c r="R98" t="s">
        <v>36</v>
      </c>
      <c r="S98" t="s">
        <v>36</v>
      </c>
      <c r="T98" t="s">
        <v>36</v>
      </c>
      <c r="U98" t="s">
        <v>36</v>
      </c>
      <c r="V98" t="s">
        <v>575</v>
      </c>
      <c r="W98" t="s">
        <v>36</v>
      </c>
      <c r="X98" t="s">
        <v>36</v>
      </c>
      <c r="Y98" t="s">
        <v>36</v>
      </c>
      <c r="Z98" t="s">
        <v>54</v>
      </c>
      <c r="AA98" t="s">
        <v>36</v>
      </c>
      <c r="AB98" t="s">
        <v>36</v>
      </c>
      <c r="AC98" t="s">
        <v>36</v>
      </c>
      <c r="AD98" t="s">
        <v>6152</v>
      </c>
      <c r="AE98" t="s">
        <v>6153</v>
      </c>
      <c r="AF98" t="s">
        <v>6154</v>
      </c>
      <c r="AG98" t="s">
        <v>6154</v>
      </c>
      <c r="AH98" t="s">
        <v>5366</v>
      </c>
      <c r="AI98" t="s">
        <v>6155</v>
      </c>
      <c r="AJ98" t="s">
        <v>6156</v>
      </c>
      <c r="AK98" t="s">
        <v>36</v>
      </c>
      <c r="AL98" t="s">
        <v>5153</v>
      </c>
      <c r="AM98" t="s">
        <v>6177</v>
      </c>
      <c r="AN98" t="s">
        <v>6148</v>
      </c>
      <c r="AO98" t="s">
        <v>6049</v>
      </c>
      <c r="AP98" t="e">
        <v>#VALUE!</v>
      </c>
      <c r="AQ98" t="s">
        <v>6149</v>
      </c>
      <c r="AR98" t="b">
        <v>0</v>
      </c>
    </row>
    <row r="99" spans="1:44">
      <c r="A99" t="s">
        <v>34</v>
      </c>
      <c r="B99" t="s">
        <v>4757</v>
      </c>
      <c r="C99" t="s">
        <v>36</v>
      </c>
      <c r="D99" t="s">
        <v>4759</v>
      </c>
      <c r="E99" t="s">
        <v>36</v>
      </c>
      <c r="F99" t="s">
        <v>36</v>
      </c>
      <c r="G99" t="s">
        <v>638</v>
      </c>
      <c r="H99" t="s">
        <v>639</v>
      </c>
      <c r="I99" t="s">
        <v>36</v>
      </c>
      <c r="J99" t="s">
        <v>4765</v>
      </c>
      <c r="K99" t="s">
        <v>4766</v>
      </c>
      <c r="L99" s="74">
        <v>44776</v>
      </c>
      <c r="O99" t="s">
        <v>43</v>
      </c>
      <c r="P99" t="s">
        <v>4768</v>
      </c>
      <c r="Q99" t="s">
        <v>45</v>
      </c>
      <c r="R99" t="s">
        <v>46</v>
      </c>
      <c r="S99" t="s">
        <v>47</v>
      </c>
      <c r="T99" t="s">
        <v>48</v>
      </c>
      <c r="U99" t="s">
        <v>74</v>
      </c>
      <c r="V99" t="s">
        <v>75</v>
      </c>
      <c r="W99" t="s">
        <v>51</v>
      </c>
      <c r="X99" t="s">
        <v>36</v>
      </c>
      <c r="Y99" t="s">
        <v>36</v>
      </c>
      <c r="Z99" t="s">
        <v>54</v>
      </c>
      <c r="AA99" t="s">
        <v>805</v>
      </c>
      <c r="AB99" t="s">
        <v>806</v>
      </c>
      <c r="AC99" t="s">
        <v>4468</v>
      </c>
      <c r="AD99" t="s">
        <v>5018</v>
      </c>
      <c r="AE99">
        <v>8200</v>
      </c>
      <c r="AF99" t="s">
        <v>5164</v>
      </c>
      <c r="AG99" t="s">
        <v>5378</v>
      </c>
      <c r="AH99" t="s">
        <v>5366</v>
      </c>
      <c r="AI99" t="s">
        <v>5169</v>
      </c>
      <c r="AJ99" t="s">
        <v>5383</v>
      </c>
      <c r="AK99" t="s">
        <v>36</v>
      </c>
      <c r="AL99" t="s">
        <v>5381</v>
      </c>
      <c r="AM99" t="s">
        <v>36</v>
      </c>
      <c r="AO99" t="s">
        <v>6050</v>
      </c>
      <c r="AP99" t="s">
        <v>4459</v>
      </c>
      <c r="AQ99" t="s">
        <v>4468</v>
      </c>
      <c r="AR99" t="b">
        <v>1</v>
      </c>
    </row>
    <row r="100" spans="1:44">
      <c r="A100" t="s">
        <v>57</v>
      </c>
      <c r="B100" t="s">
        <v>2683</v>
      </c>
      <c r="C100" t="s">
        <v>159</v>
      </c>
      <c r="D100" t="s">
        <v>2685</v>
      </c>
      <c r="E100" t="s">
        <v>36</v>
      </c>
      <c r="F100" t="s">
        <v>36</v>
      </c>
      <c r="G100" t="s">
        <v>88</v>
      </c>
      <c r="H100" t="s">
        <v>89</v>
      </c>
      <c r="I100" t="s">
        <v>2690</v>
      </c>
      <c r="J100" t="s">
        <v>2691</v>
      </c>
      <c r="K100" t="s">
        <v>2692</v>
      </c>
      <c r="L100" s="74">
        <v>41771</v>
      </c>
      <c r="O100" t="s">
        <v>43</v>
      </c>
      <c r="P100" t="s">
        <v>2694</v>
      </c>
      <c r="Q100" t="s">
        <v>70</v>
      </c>
      <c r="R100" t="s">
        <v>46</v>
      </c>
      <c r="S100" t="s">
        <v>47</v>
      </c>
      <c r="T100" t="s">
        <v>48</v>
      </c>
      <c r="U100" t="s">
        <v>774</v>
      </c>
      <c r="V100" t="s">
        <v>775</v>
      </c>
      <c r="W100" t="s">
        <v>51</v>
      </c>
      <c r="X100" t="s">
        <v>36</v>
      </c>
      <c r="Y100" t="s">
        <v>36</v>
      </c>
      <c r="Z100" t="s">
        <v>54</v>
      </c>
      <c r="AA100" t="s">
        <v>305</v>
      </c>
      <c r="AB100" t="s">
        <v>306</v>
      </c>
      <c r="AC100" t="s">
        <v>2144</v>
      </c>
      <c r="AD100" t="s">
        <v>5018</v>
      </c>
      <c r="AE100">
        <v>9450</v>
      </c>
      <c r="AF100" t="s">
        <v>5164</v>
      </c>
      <c r="AG100" t="s">
        <v>5378</v>
      </c>
      <c r="AH100" t="s">
        <v>5366</v>
      </c>
      <c r="AI100" t="s">
        <v>5169</v>
      </c>
      <c r="AJ100" t="s">
        <v>5383</v>
      </c>
      <c r="AK100" t="s">
        <v>36</v>
      </c>
      <c r="AL100" t="s">
        <v>5381</v>
      </c>
      <c r="AM100" t="s">
        <v>36</v>
      </c>
      <c r="AO100" t="s">
        <v>6051</v>
      </c>
      <c r="AP100" t="s">
        <v>2135</v>
      </c>
      <c r="AQ100" t="s">
        <v>2144</v>
      </c>
      <c r="AR100" t="b">
        <v>1</v>
      </c>
    </row>
    <row r="101" spans="1:44">
      <c r="A101" t="s">
        <v>34</v>
      </c>
      <c r="B101" t="s">
        <v>383</v>
      </c>
      <c r="C101" t="s">
        <v>36</v>
      </c>
      <c r="D101" t="s">
        <v>385</v>
      </c>
      <c r="E101" t="s">
        <v>36</v>
      </c>
      <c r="F101" t="s">
        <v>36</v>
      </c>
      <c r="G101" t="s">
        <v>188</v>
      </c>
      <c r="H101" t="s">
        <v>189</v>
      </c>
      <c r="I101" t="s">
        <v>390</v>
      </c>
      <c r="J101" t="s">
        <v>391</v>
      </c>
      <c r="K101" t="s">
        <v>42</v>
      </c>
      <c r="L101" s="74">
        <v>45937</v>
      </c>
      <c r="O101" t="s">
        <v>43</v>
      </c>
      <c r="P101" t="s">
        <v>394</v>
      </c>
      <c r="Q101" t="s">
        <v>45</v>
      </c>
      <c r="R101" t="s">
        <v>46</v>
      </c>
      <c r="S101" t="s">
        <v>47</v>
      </c>
      <c r="T101" t="s">
        <v>48</v>
      </c>
      <c r="U101" t="s">
        <v>199</v>
      </c>
      <c r="V101" t="s">
        <v>200</v>
      </c>
      <c r="W101" t="s">
        <v>51</v>
      </c>
      <c r="X101" t="s">
        <v>36</v>
      </c>
      <c r="Y101" t="s">
        <v>36</v>
      </c>
      <c r="Z101" t="s">
        <v>54</v>
      </c>
      <c r="AA101" t="s">
        <v>55</v>
      </c>
      <c r="AB101" t="s">
        <v>56</v>
      </c>
      <c r="AC101" t="s">
        <v>2294</v>
      </c>
      <c r="AD101" t="s">
        <v>5018</v>
      </c>
      <c r="AE101">
        <v>5200</v>
      </c>
      <c r="AF101" t="s">
        <v>5164</v>
      </c>
      <c r="AG101" t="s">
        <v>5378</v>
      </c>
      <c r="AH101" t="s">
        <v>5366</v>
      </c>
      <c r="AI101" t="s">
        <v>5169</v>
      </c>
      <c r="AJ101" t="s">
        <v>5383</v>
      </c>
      <c r="AK101" t="s">
        <v>36</v>
      </c>
      <c r="AL101" t="s">
        <v>5381</v>
      </c>
      <c r="AM101" t="s">
        <v>36</v>
      </c>
      <c r="AO101" t="s">
        <v>6052</v>
      </c>
      <c r="AP101" t="s">
        <v>2285</v>
      </c>
      <c r="AQ101" t="s">
        <v>2294</v>
      </c>
      <c r="AR101" t="b">
        <v>1</v>
      </c>
    </row>
    <row r="102" spans="1:44">
      <c r="A102" t="s">
        <v>457</v>
      </c>
      <c r="B102" t="s">
        <v>383</v>
      </c>
      <c r="C102" t="s">
        <v>36</v>
      </c>
      <c r="D102" t="s">
        <v>560</v>
      </c>
      <c r="E102" t="s">
        <v>36</v>
      </c>
      <c r="F102" t="s">
        <v>36</v>
      </c>
      <c r="G102" t="s">
        <v>463</v>
      </c>
      <c r="H102" t="s">
        <v>464</v>
      </c>
      <c r="I102" t="s">
        <v>36</v>
      </c>
      <c r="J102" t="s">
        <v>566</v>
      </c>
      <c r="K102" t="s">
        <v>567</v>
      </c>
      <c r="L102" s="74">
        <v>46230</v>
      </c>
      <c r="O102" t="s">
        <v>43</v>
      </c>
      <c r="P102" t="s">
        <v>36</v>
      </c>
      <c r="Q102" t="s">
        <v>45</v>
      </c>
      <c r="R102" t="s">
        <v>521</v>
      </c>
      <c r="S102" t="s">
        <v>36</v>
      </c>
      <c r="T102" t="s">
        <v>36</v>
      </c>
      <c r="U102" t="s">
        <v>36</v>
      </c>
      <c r="V102" t="s">
        <v>575</v>
      </c>
      <c r="W102" t="s">
        <v>36</v>
      </c>
      <c r="X102" t="s">
        <v>36</v>
      </c>
      <c r="Y102" t="s">
        <v>36</v>
      </c>
      <c r="Z102" t="s">
        <v>36</v>
      </c>
      <c r="AA102" t="s">
        <v>580</v>
      </c>
      <c r="AB102" t="s">
        <v>581</v>
      </c>
      <c r="AC102" t="s">
        <v>4018</v>
      </c>
      <c r="AD102" t="s">
        <v>6152</v>
      </c>
      <c r="AE102" t="s">
        <v>6153</v>
      </c>
      <c r="AF102" t="s">
        <v>5164</v>
      </c>
      <c r="AG102" t="s">
        <v>5378</v>
      </c>
      <c r="AH102" t="s">
        <v>6178</v>
      </c>
      <c r="AI102" t="s">
        <v>6179</v>
      </c>
      <c r="AJ102" t="s">
        <v>6156</v>
      </c>
      <c r="AK102" t="s">
        <v>36</v>
      </c>
      <c r="AL102" t="s">
        <v>5381</v>
      </c>
      <c r="AM102" t="s">
        <v>36</v>
      </c>
      <c r="AO102" t="s">
        <v>6053</v>
      </c>
      <c r="AP102" t="s">
        <v>4009</v>
      </c>
      <c r="AQ102" t="s">
        <v>4018</v>
      </c>
      <c r="AR102" t="b">
        <v>1</v>
      </c>
    </row>
    <row r="103" spans="1:44">
      <c r="A103" t="s">
        <v>34</v>
      </c>
      <c r="B103" t="s">
        <v>383</v>
      </c>
      <c r="C103" t="s">
        <v>36</v>
      </c>
      <c r="D103" t="s">
        <v>1160</v>
      </c>
      <c r="E103" t="s">
        <v>36</v>
      </c>
      <c r="F103" t="s">
        <v>36</v>
      </c>
      <c r="G103" t="s">
        <v>1163</v>
      </c>
      <c r="H103" t="s">
        <v>1164</v>
      </c>
      <c r="I103" t="s">
        <v>1165</v>
      </c>
      <c r="J103" t="s">
        <v>1166</v>
      </c>
      <c r="K103" t="s">
        <v>1167</v>
      </c>
      <c r="L103" s="74">
        <v>46034</v>
      </c>
      <c r="O103" t="s">
        <v>43</v>
      </c>
      <c r="P103" t="s">
        <v>1169</v>
      </c>
      <c r="Q103" t="s">
        <v>45</v>
      </c>
      <c r="R103" t="s">
        <v>46</v>
      </c>
      <c r="S103" t="s">
        <v>47</v>
      </c>
      <c r="T103" t="s">
        <v>48</v>
      </c>
      <c r="U103" t="s">
        <v>199</v>
      </c>
      <c r="V103" t="s">
        <v>200</v>
      </c>
      <c r="W103" t="s">
        <v>51</v>
      </c>
      <c r="X103" t="s">
        <v>36</v>
      </c>
      <c r="Y103" t="s">
        <v>36</v>
      </c>
      <c r="Z103" t="s">
        <v>54</v>
      </c>
      <c r="AA103" t="s">
        <v>955</v>
      </c>
      <c r="AB103" t="s">
        <v>956</v>
      </c>
      <c r="AC103" t="s">
        <v>3743</v>
      </c>
      <c r="AD103" t="s">
        <v>5018</v>
      </c>
      <c r="AE103">
        <v>5200</v>
      </c>
      <c r="AF103" t="s">
        <v>5164</v>
      </c>
      <c r="AG103" t="s">
        <v>5378</v>
      </c>
      <c r="AH103" t="s">
        <v>5366</v>
      </c>
      <c r="AI103" t="s">
        <v>5169</v>
      </c>
      <c r="AJ103" t="s">
        <v>5383</v>
      </c>
      <c r="AK103" t="s">
        <v>36</v>
      </c>
      <c r="AL103" t="s">
        <v>5381</v>
      </c>
      <c r="AM103" t="s">
        <v>36</v>
      </c>
      <c r="AO103" t="s">
        <v>6054</v>
      </c>
      <c r="AP103" t="s">
        <v>3735</v>
      </c>
      <c r="AQ103" t="s">
        <v>3743</v>
      </c>
      <c r="AR103" t="b">
        <v>1</v>
      </c>
    </row>
    <row r="104" spans="1:44">
      <c r="A104" t="s">
        <v>282</v>
      </c>
      <c r="B104" t="s">
        <v>383</v>
      </c>
      <c r="C104" t="s">
        <v>36</v>
      </c>
      <c r="D104" t="s">
        <v>1235</v>
      </c>
      <c r="E104" t="s">
        <v>36</v>
      </c>
      <c r="F104" t="s">
        <v>36</v>
      </c>
      <c r="G104" t="s">
        <v>438</v>
      </c>
      <c r="H104" t="s">
        <v>439</v>
      </c>
      <c r="I104" t="s">
        <v>1240</v>
      </c>
      <c r="J104" t="s">
        <v>1241</v>
      </c>
      <c r="K104" t="s">
        <v>1242</v>
      </c>
      <c r="L104" s="74">
        <v>37599</v>
      </c>
      <c r="O104" t="s">
        <v>43</v>
      </c>
      <c r="P104" t="s">
        <v>1244</v>
      </c>
      <c r="Q104" t="s">
        <v>70</v>
      </c>
      <c r="R104" t="s">
        <v>46</v>
      </c>
      <c r="S104" t="s">
        <v>297</v>
      </c>
      <c r="T104" t="s">
        <v>298</v>
      </c>
      <c r="U104" t="s">
        <v>74</v>
      </c>
      <c r="V104" t="s">
        <v>300</v>
      </c>
      <c r="W104" t="s">
        <v>301</v>
      </c>
      <c r="X104" t="s">
        <v>36</v>
      </c>
      <c r="Y104" t="s">
        <v>36</v>
      </c>
      <c r="Z104" t="s">
        <v>54</v>
      </c>
      <c r="AA104" t="s">
        <v>880</v>
      </c>
      <c r="AB104" t="s">
        <v>881</v>
      </c>
      <c r="AC104" t="s">
        <v>4868</v>
      </c>
      <c r="AD104" t="s">
        <v>5017</v>
      </c>
      <c r="AE104">
        <v>820</v>
      </c>
      <c r="AF104" t="s">
        <v>5164</v>
      </c>
      <c r="AG104" t="s">
        <v>5378</v>
      </c>
      <c r="AH104" t="s">
        <v>5366</v>
      </c>
      <c r="AI104" t="s">
        <v>5169</v>
      </c>
      <c r="AJ104" t="s">
        <v>5383</v>
      </c>
      <c r="AK104" t="s">
        <v>36</v>
      </c>
      <c r="AL104" t="s">
        <v>5381</v>
      </c>
      <c r="AM104" t="s">
        <v>36</v>
      </c>
      <c r="AO104" t="s">
        <v>6055</v>
      </c>
      <c r="AP104" t="s">
        <v>4859</v>
      </c>
      <c r="AQ104" t="s">
        <v>4868</v>
      </c>
      <c r="AR104" t="b">
        <v>1</v>
      </c>
    </row>
    <row r="105" spans="1:44">
      <c r="A105" t="s">
        <v>34</v>
      </c>
      <c r="B105" t="s">
        <v>3608</v>
      </c>
      <c r="C105" t="s">
        <v>659</v>
      </c>
      <c r="D105" t="s">
        <v>3610</v>
      </c>
      <c r="E105" t="s">
        <v>36</v>
      </c>
      <c r="F105" t="s">
        <v>36</v>
      </c>
      <c r="G105" t="s">
        <v>38</v>
      </c>
      <c r="H105" t="s">
        <v>39</v>
      </c>
      <c r="I105" t="s">
        <v>3615</v>
      </c>
      <c r="J105" t="s">
        <v>3616</v>
      </c>
      <c r="K105" t="s">
        <v>42</v>
      </c>
      <c r="L105" s="74">
        <v>45817</v>
      </c>
      <c r="O105" t="s">
        <v>43</v>
      </c>
      <c r="P105" t="s">
        <v>3619</v>
      </c>
      <c r="Q105" t="s">
        <v>45</v>
      </c>
      <c r="R105" t="s">
        <v>46</v>
      </c>
      <c r="S105" t="s">
        <v>47</v>
      </c>
      <c r="T105" t="s">
        <v>48</v>
      </c>
      <c r="U105" t="s">
        <v>49</v>
      </c>
      <c r="V105" t="s">
        <v>50</v>
      </c>
      <c r="W105" t="s">
        <v>51</v>
      </c>
      <c r="X105" t="s">
        <v>36</v>
      </c>
      <c r="Y105" t="s">
        <v>36</v>
      </c>
      <c r="Z105" t="s">
        <v>54</v>
      </c>
      <c r="AA105" t="s">
        <v>55</v>
      </c>
      <c r="AB105" t="s">
        <v>56</v>
      </c>
      <c r="AC105" t="s">
        <v>669</v>
      </c>
      <c r="AD105" t="s">
        <v>5018</v>
      </c>
      <c r="AE105">
        <v>5100</v>
      </c>
      <c r="AF105" t="s">
        <v>5164</v>
      </c>
      <c r="AG105" t="s">
        <v>5378</v>
      </c>
      <c r="AH105" t="s">
        <v>5366</v>
      </c>
      <c r="AI105" t="s">
        <v>5169</v>
      </c>
      <c r="AJ105" t="s">
        <v>5383</v>
      </c>
      <c r="AK105" t="s">
        <v>36</v>
      </c>
      <c r="AL105" t="s">
        <v>5381</v>
      </c>
      <c r="AM105" t="s">
        <v>36</v>
      </c>
      <c r="AO105" t="s">
        <v>6056</v>
      </c>
      <c r="AP105" t="s">
        <v>660</v>
      </c>
      <c r="AQ105" t="s">
        <v>669</v>
      </c>
      <c r="AR105" t="b">
        <v>1</v>
      </c>
    </row>
    <row r="106" spans="1:44">
      <c r="A106" t="s">
        <v>282</v>
      </c>
      <c r="B106" t="s">
        <v>733</v>
      </c>
      <c r="C106" t="s">
        <v>36</v>
      </c>
      <c r="D106" t="s">
        <v>735</v>
      </c>
      <c r="E106" t="s">
        <v>36</v>
      </c>
      <c r="F106" t="s">
        <v>36</v>
      </c>
      <c r="G106" t="s">
        <v>588</v>
      </c>
      <c r="H106" t="s">
        <v>589</v>
      </c>
      <c r="I106" t="s">
        <v>740</v>
      </c>
      <c r="J106" t="s">
        <v>741</v>
      </c>
      <c r="K106" t="s">
        <v>742</v>
      </c>
      <c r="L106" s="74">
        <v>45971</v>
      </c>
      <c r="O106" t="s">
        <v>43</v>
      </c>
      <c r="P106" t="s">
        <v>744</v>
      </c>
      <c r="Q106" t="s">
        <v>70</v>
      </c>
      <c r="R106" t="s">
        <v>46</v>
      </c>
      <c r="S106" t="s">
        <v>297</v>
      </c>
      <c r="T106" t="s">
        <v>298</v>
      </c>
      <c r="U106" t="s">
        <v>599</v>
      </c>
      <c r="V106" t="s">
        <v>600</v>
      </c>
      <c r="W106" t="s">
        <v>301</v>
      </c>
      <c r="X106" t="s">
        <v>36</v>
      </c>
      <c r="Y106" t="s">
        <v>36</v>
      </c>
      <c r="Z106" t="s">
        <v>54</v>
      </c>
      <c r="AA106" t="s">
        <v>755</v>
      </c>
      <c r="AB106" t="s">
        <v>756</v>
      </c>
      <c r="AC106" t="s">
        <v>319</v>
      </c>
      <c r="AD106" t="s">
        <v>5017</v>
      </c>
      <c r="AE106">
        <v>718</v>
      </c>
      <c r="AF106" t="s">
        <v>5164</v>
      </c>
      <c r="AG106" t="s">
        <v>5378</v>
      </c>
      <c r="AH106" t="s">
        <v>5366</v>
      </c>
      <c r="AI106" t="s">
        <v>5169</v>
      </c>
      <c r="AJ106" t="s">
        <v>5383</v>
      </c>
      <c r="AK106" t="s">
        <v>36</v>
      </c>
      <c r="AL106" t="s">
        <v>5381</v>
      </c>
      <c r="AM106" t="s">
        <v>36</v>
      </c>
      <c r="AO106" t="s">
        <v>6057</v>
      </c>
      <c r="AP106" t="s">
        <v>310</v>
      </c>
      <c r="AQ106" t="s">
        <v>319</v>
      </c>
      <c r="AR106" t="b">
        <v>1</v>
      </c>
    </row>
    <row r="107" spans="1:44">
      <c r="A107" t="s">
        <v>282</v>
      </c>
      <c r="B107" t="s">
        <v>733</v>
      </c>
      <c r="C107" t="s">
        <v>36</v>
      </c>
      <c r="D107" t="s">
        <v>3535</v>
      </c>
      <c r="E107" t="s">
        <v>36</v>
      </c>
      <c r="F107" t="s">
        <v>36</v>
      </c>
      <c r="G107" t="s">
        <v>36</v>
      </c>
      <c r="H107" t="s">
        <v>36</v>
      </c>
      <c r="I107" t="s">
        <v>3540</v>
      </c>
      <c r="J107" t="s">
        <v>36</v>
      </c>
      <c r="K107" t="s">
        <v>3542</v>
      </c>
      <c r="L107" s="74">
        <v>45474</v>
      </c>
      <c r="M107" s="74">
        <v>46175</v>
      </c>
      <c r="O107" t="s">
        <v>143</v>
      </c>
      <c r="P107" t="s">
        <v>3544</v>
      </c>
      <c r="Q107" t="s">
        <v>70</v>
      </c>
      <c r="R107" t="s">
        <v>46</v>
      </c>
      <c r="S107" t="s">
        <v>47</v>
      </c>
      <c r="T107" t="s">
        <v>48</v>
      </c>
      <c r="U107" t="s">
        <v>3549</v>
      </c>
      <c r="V107" t="s">
        <v>3550</v>
      </c>
      <c r="W107" t="s">
        <v>51</v>
      </c>
      <c r="X107" t="s">
        <v>36</v>
      </c>
      <c r="Y107" t="s">
        <v>36</v>
      </c>
      <c r="Z107" t="s">
        <v>54</v>
      </c>
      <c r="AA107" t="s">
        <v>80</v>
      </c>
      <c r="AB107" t="s">
        <v>81</v>
      </c>
      <c r="AC107" t="s">
        <v>36</v>
      </c>
      <c r="AD107" t="s">
        <v>5018</v>
      </c>
      <c r="AE107" t="s">
        <v>6153</v>
      </c>
      <c r="AF107" t="s">
        <v>5164</v>
      </c>
      <c r="AG107" t="s">
        <v>5378</v>
      </c>
      <c r="AH107" t="s">
        <v>5366</v>
      </c>
      <c r="AI107" t="s">
        <v>5169</v>
      </c>
      <c r="AJ107" t="s">
        <v>5383</v>
      </c>
      <c r="AK107" t="s">
        <v>36</v>
      </c>
      <c r="AL107" t="s">
        <v>5153</v>
      </c>
      <c r="AM107" t="s">
        <v>6160</v>
      </c>
      <c r="AN107" t="s">
        <v>6148</v>
      </c>
      <c r="AO107" t="s">
        <v>6058</v>
      </c>
      <c r="AP107" t="e">
        <v>#VALUE!</v>
      </c>
      <c r="AQ107" t="s">
        <v>6149</v>
      </c>
      <c r="AR107" t="b">
        <v>0</v>
      </c>
    </row>
    <row r="108" spans="1:44">
      <c r="A108" t="s">
        <v>57</v>
      </c>
      <c r="B108" t="s">
        <v>733</v>
      </c>
      <c r="C108" t="s">
        <v>36</v>
      </c>
      <c r="D108" t="s">
        <v>3535</v>
      </c>
      <c r="E108" t="s">
        <v>36</v>
      </c>
      <c r="F108" t="s">
        <v>36</v>
      </c>
      <c r="G108" t="s">
        <v>88</v>
      </c>
      <c r="H108" t="s">
        <v>89</v>
      </c>
      <c r="I108" t="s">
        <v>3540</v>
      </c>
      <c r="J108" t="s">
        <v>36</v>
      </c>
      <c r="K108" t="s">
        <v>3542</v>
      </c>
      <c r="L108" s="74">
        <v>45474</v>
      </c>
      <c r="O108" t="s">
        <v>43</v>
      </c>
      <c r="P108" t="s">
        <v>3544</v>
      </c>
      <c r="Q108" t="s">
        <v>70</v>
      </c>
      <c r="R108" t="s">
        <v>46</v>
      </c>
      <c r="S108" t="s">
        <v>47</v>
      </c>
      <c r="T108" t="s">
        <v>48</v>
      </c>
      <c r="U108" t="s">
        <v>724</v>
      </c>
      <c r="V108" t="s">
        <v>950</v>
      </c>
      <c r="W108" t="s">
        <v>51</v>
      </c>
      <c r="X108" t="s">
        <v>36</v>
      </c>
      <c r="Y108" t="s">
        <v>36</v>
      </c>
      <c r="Z108" t="s">
        <v>54</v>
      </c>
      <c r="AA108" t="s">
        <v>80</v>
      </c>
      <c r="AB108" t="s">
        <v>81</v>
      </c>
      <c r="AC108" t="s">
        <v>2144</v>
      </c>
      <c r="AD108" t="s">
        <v>5018</v>
      </c>
      <c r="AE108">
        <v>8100</v>
      </c>
      <c r="AF108" t="s">
        <v>5164</v>
      </c>
      <c r="AG108" t="s">
        <v>5378</v>
      </c>
      <c r="AH108" t="s">
        <v>5366</v>
      </c>
      <c r="AI108" t="s">
        <v>5169</v>
      </c>
      <c r="AJ108" t="s">
        <v>5383</v>
      </c>
      <c r="AK108" t="s">
        <v>36</v>
      </c>
      <c r="AL108" t="s">
        <v>5381</v>
      </c>
      <c r="AM108" t="s">
        <v>36</v>
      </c>
      <c r="AO108" t="s">
        <v>6058</v>
      </c>
      <c r="AP108" t="s">
        <v>2135</v>
      </c>
      <c r="AQ108" t="s">
        <v>2144</v>
      </c>
      <c r="AR108" t="b">
        <v>1</v>
      </c>
    </row>
    <row r="109" spans="1:44">
      <c r="A109" t="s">
        <v>282</v>
      </c>
      <c r="B109" t="s">
        <v>1608</v>
      </c>
      <c r="C109" t="s">
        <v>36</v>
      </c>
      <c r="D109" t="s">
        <v>1610</v>
      </c>
      <c r="E109" t="s">
        <v>36</v>
      </c>
      <c r="F109" t="s">
        <v>36</v>
      </c>
      <c r="G109" t="s">
        <v>36</v>
      </c>
      <c r="H109" t="s">
        <v>439</v>
      </c>
      <c r="I109" t="s">
        <v>1615</v>
      </c>
      <c r="J109" t="s">
        <v>1616</v>
      </c>
      <c r="K109" t="s">
        <v>1617</v>
      </c>
      <c r="L109" s="74">
        <v>45442</v>
      </c>
      <c r="M109" s="74">
        <v>46183</v>
      </c>
      <c r="O109" t="s">
        <v>143</v>
      </c>
      <c r="P109" t="s">
        <v>1619</v>
      </c>
      <c r="Q109" t="s">
        <v>70</v>
      </c>
      <c r="R109" t="s">
        <v>46</v>
      </c>
      <c r="S109" t="s">
        <v>297</v>
      </c>
      <c r="T109" t="s">
        <v>298</v>
      </c>
      <c r="U109" t="s">
        <v>74</v>
      </c>
      <c r="V109" t="s">
        <v>300</v>
      </c>
      <c r="W109" t="s">
        <v>301</v>
      </c>
      <c r="X109" t="s">
        <v>36</v>
      </c>
      <c r="Y109" t="s">
        <v>36</v>
      </c>
      <c r="Z109" t="s">
        <v>54</v>
      </c>
      <c r="AA109" t="s">
        <v>80</v>
      </c>
      <c r="AB109" t="s">
        <v>81</v>
      </c>
      <c r="AC109" t="s">
        <v>4868</v>
      </c>
      <c r="AD109" t="s">
        <v>5017</v>
      </c>
      <c r="AE109">
        <v>820</v>
      </c>
      <c r="AF109" t="s">
        <v>5164</v>
      </c>
      <c r="AG109" t="s">
        <v>5378</v>
      </c>
      <c r="AH109" t="s">
        <v>5366</v>
      </c>
      <c r="AI109" t="s">
        <v>5169</v>
      </c>
      <c r="AJ109" t="s">
        <v>5383</v>
      </c>
      <c r="AK109" t="s">
        <v>36</v>
      </c>
      <c r="AL109" t="s">
        <v>5153</v>
      </c>
      <c r="AM109" t="s">
        <v>6180</v>
      </c>
      <c r="AN109" t="s">
        <v>6151</v>
      </c>
      <c r="AO109" t="s">
        <v>6059</v>
      </c>
      <c r="AP109" t="e">
        <v>#VALUE!</v>
      </c>
      <c r="AQ109" t="s">
        <v>6149</v>
      </c>
      <c r="AR109" t="b">
        <v>0</v>
      </c>
    </row>
    <row r="110" spans="1:44">
      <c r="A110" t="s">
        <v>457</v>
      </c>
      <c r="B110" t="s">
        <v>1983</v>
      </c>
      <c r="C110" t="s">
        <v>36</v>
      </c>
      <c r="D110" t="s">
        <v>458</v>
      </c>
      <c r="E110" t="s">
        <v>36</v>
      </c>
      <c r="F110" t="s">
        <v>36</v>
      </c>
      <c r="G110" t="s">
        <v>463</v>
      </c>
      <c r="H110" t="s">
        <v>464</v>
      </c>
      <c r="I110" t="s">
        <v>36</v>
      </c>
      <c r="J110" t="s">
        <v>1991</v>
      </c>
      <c r="K110" t="s">
        <v>617</v>
      </c>
      <c r="L110" s="74">
        <v>45771</v>
      </c>
      <c r="O110" t="s">
        <v>43</v>
      </c>
      <c r="P110" t="s">
        <v>1994</v>
      </c>
      <c r="Q110" t="s">
        <v>45</v>
      </c>
      <c r="R110" t="s">
        <v>46</v>
      </c>
      <c r="S110" t="s">
        <v>297</v>
      </c>
      <c r="T110" t="s">
        <v>298</v>
      </c>
      <c r="U110" t="s">
        <v>474</v>
      </c>
      <c r="V110" t="s">
        <v>475</v>
      </c>
      <c r="W110" t="s">
        <v>301</v>
      </c>
      <c r="X110" t="s">
        <v>36</v>
      </c>
      <c r="Y110" t="s">
        <v>36</v>
      </c>
      <c r="Z110" t="s">
        <v>54</v>
      </c>
      <c r="AA110" t="s">
        <v>480</v>
      </c>
      <c r="AB110" t="s">
        <v>481</v>
      </c>
      <c r="AC110" t="s">
        <v>4018</v>
      </c>
      <c r="AD110" t="s">
        <v>5017</v>
      </c>
      <c r="AE110">
        <v>200</v>
      </c>
      <c r="AF110" t="s">
        <v>5164</v>
      </c>
      <c r="AG110" t="s">
        <v>5378</v>
      </c>
      <c r="AH110" t="s">
        <v>5366</v>
      </c>
      <c r="AI110" t="s">
        <v>5169</v>
      </c>
      <c r="AJ110" t="s">
        <v>5383</v>
      </c>
      <c r="AK110" t="s">
        <v>36</v>
      </c>
      <c r="AL110" t="s">
        <v>5381</v>
      </c>
      <c r="AM110" t="s">
        <v>36</v>
      </c>
      <c r="AO110" t="s">
        <v>6060</v>
      </c>
      <c r="AP110" t="s">
        <v>4009</v>
      </c>
      <c r="AQ110" t="s">
        <v>4018</v>
      </c>
      <c r="AR110" t="b">
        <v>1</v>
      </c>
    </row>
    <row r="111" spans="1:44">
      <c r="A111" t="s">
        <v>282</v>
      </c>
      <c r="B111" t="s">
        <v>2383</v>
      </c>
      <c r="C111" t="s">
        <v>109</v>
      </c>
      <c r="D111" t="s">
        <v>2385</v>
      </c>
      <c r="E111" t="s">
        <v>36</v>
      </c>
      <c r="F111" t="s">
        <v>36</v>
      </c>
      <c r="G111" t="s">
        <v>36</v>
      </c>
      <c r="H111" t="s">
        <v>36</v>
      </c>
      <c r="I111" t="s">
        <v>2390</v>
      </c>
      <c r="J111" t="s">
        <v>2391</v>
      </c>
      <c r="K111" t="s">
        <v>967</v>
      </c>
      <c r="L111" s="74">
        <v>45923</v>
      </c>
      <c r="M111" s="74">
        <v>46176</v>
      </c>
      <c r="O111" t="s">
        <v>143</v>
      </c>
      <c r="P111" t="s">
        <v>2394</v>
      </c>
      <c r="Q111" t="s">
        <v>70</v>
      </c>
      <c r="R111" t="s">
        <v>46</v>
      </c>
      <c r="S111" t="s">
        <v>297</v>
      </c>
      <c r="T111" t="s">
        <v>298</v>
      </c>
      <c r="U111" t="s">
        <v>724</v>
      </c>
      <c r="V111" t="s">
        <v>725</v>
      </c>
      <c r="W111" t="s">
        <v>301</v>
      </c>
      <c r="X111" t="s">
        <v>36</v>
      </c>
      <c r="Y111" t="s">
        <v>36</v>
      </c>
      <c r="Z111" t="s">
        <v>54</v>
      </c>
      <c r="AA111" t="s">
        <v>805</v>
      </c>
      <c r="AB111" t="s">
        <v>806</v>
      </c>
      <c r="AC111" t="s">
        <v>36</v>
      </c>
      <c r="AD111" t="s">
        <v>5017</v>
      </c>
      <c r="AE111">
        <v>850</v>
      </c>
      <c r="AF111" t="s">
        <v>5164</v>
      </c>
      <c r="AG111" t="s">
        <v>5378</v>
      </c>
      <c r="AH111" t="s">
        <v>5366</v>
      </c>
      <c r="AI111" t="s">
        <v>5169</v>
      </c>
      <c r="AJ111" t="s">
        <v>5383</v>
      </c>
      <c r="AK111" t="s">
        <v>36</v>
      </c>
      <c r="AL111" t="s">
        <v>5153</v>
      </c>
      <c r="AM111" t="s">
        <v>6150</v>
      </c>
      <c r="AN111" t="s">
        <v>6151</v>
      </c>
      <c r="AO111" t="s">
        <v>6061</v>
      </c>
      <c r="AP111" t="e">
        <v>#VALUE!</v>
      </c>
      <c r="AQ111" t="s">
        <v>6149</v>
      </c>
      <c r="AR111" t="b">
        <v>0</v>
      </c>
    </row>
    <row r="112" spans="1:44">
      <c r="A112" t="s">
        <v>282</v>
      </c>
      <c r="B112" t="s">
        <v>2383</v>
      </c>
      <c r="C112" t="s">
        <v>109</v>
      </c>
      <c r="D112" t="s">
        <v>2385</v>
      </c>
      <c r="E112" t="s">
        <v>36</v>
      </c>
      <c r="F112" t="s">
        <v>36</v>
      </c>
      <c r="G112" t="s">
        <v>36</v>
      </c>
      <c r="H112" t="s">
        <v>36</v>
      </c>
      <c r="I112" t="s">
        <v>2390</v>
      </c>
      <c r="J112" t="s">
        <v>2391</v>
      </c>
      <c r="K112" t="s">
        <v>967</v>
      </c>
      <c r="L112" s="74">
        <v>45923</v>
      </c>
      <c r="M112" s="74">
        <v>46176</v>
      </c>
      <c r="O112" t="s">
        <v>143</v>
      </c>
      <c r="P112" t="s">
        <v>2394</v>
      </c>
      <c r="Q112" t="s">
        <v>45</v>
      </c>
      <c r="R112" t="s">
        <v>46</v>
      </c>
      <c r="S112" t="s">
        <v>297</v>
      </c>
      <c r="T112" t="s">
        <v>298</v>
      </c>
      <c r="U112" t="s">
        <v>724</v>
      </c>
      <c r="V112" t="s">
        <v>725</v>
      </c>
      <c r="W112" t="s">
        <v>301</v>
      </c>
      <c r="X112" t="s">
        <v>36</v>
      </c>
      <c r="Y112" t="s">
        <v>36</v>
      </c>
      <c r="Z112" t="s">
        <v>54</v>
      </c>
      <c r="AA112" t="s">
        <v>805</v>
      </c>
      <c r="AB112" t="s">
        <v>806</v>
      </c>
      <c r="AC112" t="s">
        <v>36</v>
      </c>
      <c r="AD112" t="s">
        <v>5017</v>
      </c>
      <c r="AE112">
        <v>850</v>
      </c>
      <c r="AF112" t="s">
        <v>5164</v>
      </c>
      <c r="AG112" t="s">
        <v>5378</v>
      </c>
      <c r="AH112" t="s">
        <v>5366</v>
      </c>
      <c r="AI112" t="s">
        <v>5169</v>
      </c>
      <c r="AJ112" t="s">
        <v>5383</v>
      </c>
      <c r="AK112" t="s">
        <v>36</v>
      </c>
      <c r="AL112" t="s">
        <v>5153</v>
      </c>
      <c r="AM112" t="s">
        <v>6150</v>
      </c>
      <c r="AN112" t="s">
        <v>6151</v>
      </c>
      <c r="AO112" t="s">
        <v>6061</v>
      </c>
      <c r="AP112" t="e">
        <v>#VALUE!</v>
      </c>
      <c r="AQ112" t="s">
        <v>6149</v>
      </c>
      <c r="AR112" t="b">
        <v>0</v>
      </c>
    </row>
    <row r="113" spans="1:44">
      <c r="A113" t="s">
        <v>457</v>
      </c>
      <c r="B113" t="s">
        <v>2383</v>
      </c>
      <c r="C113" t="s">
        <v>109</v>
      </c>
      <c r="D113" t="s">
        <v>2385</v>
      </c>
      <c r="E113" t="s">
        <v>36</v>
      </c>
      <c r="F113" t="s">
        <v>36</v>
      </c>
      <c r="G113" t="s">
        <v>1013</v>
      </c>
      <c r="H113" t="s">
        <v>1014</v>
      </c>
      <c r="I113" t="s">
        <v>2390</v>
      </c>
      <c r="J113" t="s">
        <v>2391</v>
      </c>
      <c r="K113" t="s">
        <v>967</v>
      </c>
      <c r="L113" s="74">
        <v>45923</v>
      </c>
      <c r="O113" t="s">
        <v>43</v>
      </c>
      <c r="P113" t="s">
        <v>2394</v>
      </c>
      <c r="Q113" t="s">
        <v>45</v>
      </c>
      <c r="R113" t="s">
        <v>46</v>
      </c>
      <c r="S113" t="s">
        <v>297</v>
      </c>
      <c r="T113" t="s">
        <v>298</v>
      </c>
      <c r="U113" t="s">
        <v>724</v>
      </c>
      <c r="V113" t="s">
        <v>725</v>
      </c>
      <c r="W113" t="s">
        <v>301</v>
      </c>
      <c r="X113" t="s">
        <v>36</v>
      </c>
      <c r="Y113" t="s">
        <v>36</v>
      </c>
      <c r="Z113" t="s">
        <v>54</v>
      </c>
      <c r="AA113" t="s">
        <v>805</v>
      </c>
      <c r="AB113" t="s">
        <v>806</v>
      </c>
      <c r="AC113" t="s">
        <v>4643</v>
      </c>
      <c r="AD113" t="s">
        <v>5017</v>
      </c>
      <c r="AE113">
        <v>850</v>
      </c>
      <c r="AF113" t="s">
        <v>5164</v>
      </c>
      <c r="AG113" t="s">
        <v>5378</v>
      </c>
      <c r="AH113" t="s">
        <v>5366</v>
      </c>
      <c r="AI113" t="s">
        <v>5169</v>
      </c>
      <c r="AJ113" t="s">
        <v>5383</v>
      </c>
      <c r="AK113" t="s">
        <v>36</v>
      </c>
      <c r="AL113" t="s">
        <v>5381</v>
      </c>
      <c r="AM113" t="s">
        <v>36</v>
      </c>
      <c r="AO113" t="s">
        <v>6061</v>
      </c>
      <c r="AP113" t="s">
        <v>4634</v>
      </c>
      <c r="AQ113" t="s">
        <v>4643</v>
      </c>
      <c r="AR113" t="b">
        <v>1</v>
      </c>
    </row>
    <row r="114" spans="1:44">
      <c r="A114" t="s">
        <v>34</v>
      </c>
      <c r="B114" t="s">
        <v>3358</v>
      </c>
      <c r="C114" t="s">
        <v>59</v>
      </c>
      <c r="D114" t="s">
        <v>3360</v>
      </c>
      <c r="E114" t="s">
        <v>36</v>
      </c>
      <c r="F114" t="s">
        <v>36</v>
      </c>
      <c r="G114" t="s">
        <v>188</v>
      </c>
      <c r="H114" t="s">
        <v>189</v>
      </c>
      <c r="I114" t="s">
        <v>3365</v>
      </c>
      <c r="J114" t="s">
        <v>3366</v>
      </c>
      <c r="K114" t="s">
        <v>42</v>
      </c>
      <c r="L114" s="74">
        <v>41407</v>
      </c>
      <c r="O114" t="s">
        <v>43</v>
      </c>
      <c r="P114" t="s">
        <v>3369</v>
      </c>
      <c r="Q114" t="s">
        <v>45</v>
      </c>
      <c r="R114" t="s">
        <v>46</v>
      </c>
      <c r="S114" t="s">
        <v>47</v>
      </c>
      <c r="T114" t="s">
        <v>48</v>
      </c>
      <c r="U114" t="s">
        <v>199</v>
      </c>
      <c r="V114" t="s">
        <v>200</v>
      </c>
      <c r="W114" t="s">
        <v>51</v>
      </c>
      <c r="X114" t="s">
        <v>36</v>
      </c>
      <c r="Y114" t="s">
        <v>36</v>
      </c>
      <c r="Z114" t="s">
        <v>54</v>
      </c>
      <c r="AA114" t="s">
        <v>55</v>
      </c>
      <c r="AB114" t="s">
        <v>56</v>
      </c>
      <c r="AC114" t="s">
        <v>2294</v>
      </c>
      <c r="AD114" t="s">
        <v>5018</v>
      </c>
      <c r="AE114">
        <v>5200</v>
      </c>
      <c r="AF114" t="s">
        <v>5164</v>
      </c>
      <c r="AG114" t="s">
        <v>5378</v>
      </c>
      <c r="AH114" t="s">
        <v>5366</v>
      </c>
      <c r="AI114" t="s">
        <v>5169</v>
      </c>
      <c r="AJ114" t="s">
        <v>5383</v>
      </c>
      <c r="AK114" t="s">
        <v>36</v>
      </c>
      <c r="AL114" t="s">
        <v>5381</v>
      </c>
      <c r="AM114" t="s">
        <v>36</v>
      </c>
      <c r="AO114" t="s">
        <v>6062</v>
      </c>
      <c r="AP114" t="s">
        <v>2285</v>
      </c>
      <c r="AQ114" t="s">
        <v>2294</v>
      </c>
      <c r="AR114" t="b">
        <v>1</v>
      </c>
    </row>
    <row r="115" spans="1:44">
      <c r="A115" t="s">
        <v>57</v>
      </c>
      <c r="B115" t="s">
        <v>4132</v>
      </c>
      <c r="C115" t="s">
        <v>1209</v>
      </c>
      <c r="D115" t="s">
        <v>4134</v>
      </c>
      <c r="E115" t="s">
        <v>36</v>
      </c>
      <c r="F115" t="s">
        <v>36</v>
      </c>
      <c r="G115" t="s">
        <v>213</v>
      </c>
      <c r="H115" t="s">
        <v>214</v>
      </c>
      <c r="I115" t="s">
        <v>4139</v>
      </c>
      <c r="J115" t="s">
        <v>4140</v>
      </c>
      <c r="K115" t="s">
        <v>4141</v>
      </c>
      <c r="L115" s="74">
        <v>45838</v>
      </c>
      <c r="O115" t="s">
        <v>43</v>
      </c>
      <c r="P115" t="s">
        <v>4143</v>
      </c>
      <c r="Q115" t="s">
        <v>70</v>
      </c>
      <c r="R115" t="s">
        <v>46</v>
      </c>
      <c r="S115" t="s">
        <v>47</v>
      </c>
      <c r="T115" t="s">
        <v>48</v>
      </c>
      <c r="U115" t="s">
        <v>224</v>
      </c>
      <c r="V115" t="s">
        <v>225</v>
      </c>
      <c r="W115" t="s">
        <v>51</v>
      </c>
      <c r="X115" t="s">
        <v>36</v>
      </c>
      <c r="Y115" t="s">
        <v>36</v>
      </c>
      <c r="Z115" t="s">
        <v>54</v>
      </c>
      <c r="AA115" t="s">
        <v>680</v>
      </c>
      <c r="AB115" t="s">
        <v>681</v>
      </c>
      <c r="AC115" t="s">
        <v>4668</v>
      </c>
      <c r="AD115" t="s">
        <v>5018</v>
      </c>
      <c r="AE115">
        <v>9100</v>
      </c>
      <c r="AF115" t="s">
        <v>5164</v>
      </c>
      <c r="AG115" t="s">
        <v>5378</v>
      </c>
      <c r="AH115" t="s">
        <v>5366</v>
      </c>
      <c r="AI115" t="s">
        <v>5169</v>
      </c>
      <c r="AJ115" t="s">
        <v>5383</v>
      </c>
      <c r="AK115" t="s">
        <v>36</v>
      </c>
      <c r="AL115" t="s">
        <v>5381</v>
      </c>
      <c r="AM115" t="s">
        <v>36</v>
      </c>
      <c r="AO115" t="s">
        <v>6063</v>
      </c>
      <c r="AP115" t="s">
        <v>4659</v>
      </c>
      <c r="AQ115" t="s">
        <v>4668</v>
      </c>
      <c r="AR115" t="b">
        <v>1</v>
      </c>
    </row>
    <row r="116" spans="1:44">
      <c r="A116" t="s">
        <v>34</v>
      </c>
      <c r="B116" t="s">
        <v>1683</v>
      </c>
      <c r="C116" t="s">
        <v>36</v>
      </c>
      <c r="D116" t="s">
        <v>1685</v>
      </c>
      <c r="E116" t="s">
        <v>36</v>
      </c>
      <c r="F116" t="s">
        <v>36</v>
      </c>
      <c r="G116" t="s">
        <v>38</v>
      </c>
      <c r="H116" t="s">
        <v>39</v>
      </c>
      <c r="I116" t="s">
        <v>1690</v>
      </c>
      <c r="J116" t="s">
        <v>1691</v>
      </c>
      <c r="K116" t="s">
        <v>42</v>
      </c>
      <c r="L116" s="74">
        <v>44893</v>
      </c>
      <c r="O116" t="s">
        <v>43</v>
      </c>
      <c r="P116" t="s">
        <v>1694</v>
      </c>
      <c r="Q116" t="s">
        <v>45</v>
      </c>
      <c r="R116" t="s">
        <v>46</v>
      </c>
      <c r="S116" t="s">
        <v>47</v>
      </c>
      <c r="T116" t="s">
        <v>48</v>
      </c>
      <c r="U116" t="s">
        <v>49</v>
      </c>
      <c r="V116" t="s">
        <v>50</v>
      </c>
      <c r="W116" t="s">
        <v>51</v>
      </c>
      <c r="X116" t="s">
        <v>36</v>
      </c>
      <c r="Y116" t="s">
        <v>36</v>
      </c>
      <c r="Z116" t="s">
        <v>54</v>
      </c>
      <c r="AA116" t="s">
        <v>55</v>
      </c>
      <c r="AB116" t="s">
        <v>56</v>
      </c>
      <c r="AC116" t="s">
        <v>669</v>
      </c>
      <c r="AD116" t="s">
        <v>5018</v>
      </c>
      <c r="AE116">
        <v>5100</v>
      </c>
      <c r="AF116" t="s">
        <v>5164</v>
      </c>
      <c r="AG116" t="s">
        <v>5378</v>
      </c>
      <c r="AH116" t="s">
        <v>5366</v>
      </c>
      <c r="AI116" t="s">
        <v>5169</v>
      </c>
      <c r="AJ116" t="s">
        <v>5383</v>
      </c>
      <c r="AK116" t="s">
        <v>36</v>
      </c>
      <c r="AL116" t="s">
        <v>5381</v>
      </c>
      <c r="AM116" t="s">
        <v>36</v>
      </c>
      <c r="AO116" t="s">
        <v>6064</v>
      </c>
      <c r="AP116" t="s">
        <v>660</v>
      </c>
      <c r="AQ116" t="s">
        <v>669</v>
      </c>
      <c r="AR116" t="b">
        <v>1</v>
      </c>
    </row>
    <row r="117" spans="1:44">
      <c r="A117" t="s">
        <v>34</v>
      </c>
      <c r="B117" t="s">
        <v>2008</v>
      </c>
      <c r="C117" t="s">
        <v>1209</v>
      </c>
      <c r="D117" t="s">
        <v>458</v>
      </c>
      <c r="E117" t="s">
        <v>36</v>
      </c>
      <c r="F117" t="s">
        <v>36</v>
      </c>
      <c r="G117" t="s">
        <v>1163</v>
      </c>
      <c r="H117" t="s">
        <v>1164</v>
      </c>
      <c r="I117" t="s">
        <v>2015</v>
      </c>
      <c r="J117" t="s">
        <v>2016</v>
      </c>
      <c r="K117" t="s">
        <v>42</v>
      </c>
      <c r="L117" s="74">
        <v>42828</v>
      </c>
      <c r="O117" t="s">
        <v>43</v>
      </c>
      <c r="P117" t="s">
        <v>2019</v>
      </c>
      <c r="Q117" t="s">
        <v>45</v>
      </c>
      <c r="R117" t="s">
        <v>46</v>
      </c>
      <c r="S117" t="s">
        <v>47</v>
      </c>
      <c r="T117" t="s">
        <v>48</v>
      </c>
      <c r="U117" t="s">
        <v>199</v>
      </c>
      <c r="V117" t="s">
        <v>200</v>
      </c>
      <c r="W117" t="s">
        <v>51</v>
      </c>
      <c r="X117" t="s">
        <v>36</v>
      </c>
      <c r="Y117" t="s">
        <v>36</v>
      </c>
      <c r="Z117" t="s">
        <v>54</v>
      </c>
      <c r="AA117" t="s">
        <v>55</v>
      </c>
      <c r="AB117" t="s">
        <v>56</v>
      </c>
      <c r="AC117" t="s">
        <v>3743</v>
      </c>
      <c r="AD117" t="s">
        <v>5018</v>
      </c>
      <c r="AE117">
        <v>5200</v>
      </c>
      <c r="AF117" t="s">
        <v>5164</v>
      </c>
      <c r="AG117" t="s">
        <v>5378</v>
      </c>
      <c r="AH117" t="s">
        <v>5366</v>
      </c>
      <c r="AI117" t="s">
        <v>5169</v>
      </c>
      <c r="AJ117" t="s">
        <v>5383</v>
      </c>
      <c r="AK117" t="s">
        <v>36</v>
      </c>
      <c r="AL117" t="s">
        <v>5381</v>
      </c>
      <c r="AM117" t="s">
        <v>36</v>
      </c>
      <c r="AO117" t="s">
        <v>6065</v>
      </c>
      <c r="AP117" t="s">
        <v>3735</v>
      </c>
      <c r="AQ117" t="s">
        <v>3743</v>
      </c>
      <c r="AR117" t="b">
        <v>1</v>
      </c>
    </row>
    <row r="118" spans="1:44">
      <c r="A118" t="s">
        <v>457</v>
      </c>
      <c r="B118" t="s">
        <v>683</v>
      </c>
      <c r="C118" t="s">
        <v>684</v>
      </c>
      <c r="D118" t="s">
        <v>685</v>
      </c>
      <c r="E118" t="s">
        <v>36</v>
      </c>
      <c r="F118" t="s">
        <v>36</v>
      </c>
      <c r="G118" t="s">
        <v>463</v>
      </c>
      <c r="H118" t="s">
        <v>464</v>
      </c>
      <c r="I118" t="s">
        <v>36</v>
      </c>
      <c r="J118" t="s">
        <v>691</v>
      </c>
      <c r="K118" t="s">
        <v>692</v>
      </c>
      <c r="L118" s="74">
        <v>44529</v>
      </c>
      <c r="O118" t="s">
        <v>43</v>
      </c>
      <c r="P118" t="s">
        <v>694</v>
      </c>
      <c r="Q118" t="s">
        <v>45</v>
      </c>
      <c r="R118" t="s">
        <v>46</v>
      </c>
      <c r="S118" t="s">
        <v>297</v>
      </c>
      <c r="T118" t="s">
        <v>298</v>
      </c>
      <c r="U118" t="s">
        <v>699</v>
      </c>
      <c r="V118" t="s">
        <v>700</v>
      </c>
      <c r="W118" t="s">
        <v>301</v>
      </c>
      <c r="X118" t="s">
        <v>36</v>
      </c>
      <c r="Y118" t="s">
        <v>36</v>
      </c>
      <c r="Z118" t="s">
        <v>54</v>
      </c>
      <c r="AA118" t="s">
        <v>480</v>
      </c>
      <c r="AB118" t="s">
        <v>481</v>
      </c>
      <c r="AC118" t="s">
        <v>4018</v>
      </c>
      <c r="AD118" t="s">
        <v>5017</v>
      </c>
      <c r="AE118">
        <v>400</v>
      </c>
      <c r="AF118" t="s">
        <v>5164</v>
      </c>
      <c r="AG118" t="s">
        <v>5378</v>
      </c>
      <c r="AH118" t="s">
        <v>5366</v>
      </c>
      <c r="AI118" t="s">
        <v>5169</v>
      </c>
      <c r="AJ118" t="s">
        <v>5383</v>
      </c>
      <c r="AK118" t="s">
        <v>36</v>
      </c>
      <c r="AL118" t="s">
        <v>5381</v>
      </c>
      <c r="AM118" t="s">
        <v>36</v>
      </c>
      <c r="AO118" t="s">
        <v>6066</v>
      </c>
      <c r="AP118" t="s">
        <v>4009</v>
      </c>
      <c r="AQ118" t="s">
        <v>4018</v>
      </c>
      <c r="AR118" t="b">
        <v>1</v>
      </c>
    </row>
    <row r="119" spans="1:44">
      <c r="A119" t="s">
        <v>282</v>
      </c>
      <c r="B119" t="s">
        <v>3158</v>
      </c>
      <c r="C119" t="s">
        <v>684</v>
      </c>
      <c r="D119" t="s">
        <v>3160</v>
      </c>
      <c r="E119" t="s">
        <v>36</v>
      </c>
      <c r="F119" t="s">
        <v>36</v>
      </c>
      <c r="G119" t="s">
        <v>438</v>
      </c>
      <c r="H119" t="s">
        <v>439</v>
      </c>
      <c r="I119" t="s">
        <v>3165</v>
      </c>
      <c r="J119" t="s">
        <v>3166</v>
      </c>
      <c r="K119" t="s">
        <v>3167</v>
      </c>
      <c r="L119" s="74">
        <v>45953</v>
      </c>
      <c r="O119" t="s">
        <v>43</v>
      </c>
      <c r="P119" t="s">
        <v>3169</v>
      </c>
      <c r="Q119" t="s">
        <v>70</v>
      </c>
      <c r="R119" t="s">
        <v>46</v>
      </c>
      <c r="S119" t="s">
        <v>297</v>
      </c>
      <c r="T119" t="s">
        <v>298</v>
      </c>
      <c r="U119" t="s">
        <v>74</v>
      </c>
      <c r="V119" t="s">
        <v>300</v>
      </c>
      <c r="W119" t="s">
        <v>301</v>
      </c>
      <c r="X119" t="s">
        <v>36</v>
      </c>
      <c r="Y119" t="s">
        <v>36</v>
      </c>
      <c r="Z119" t="s">
        <v>54</v>
      </c>
      <c r="AA119" t="s">
        <v>80</v>
      </c>
      <c r="AB119" t="s">
        <v>81</v>
      </c>
      <c r="AC119" t="s">
        <v>4868</v>
      </c>
      <c r="AD119" t="s">
        <v>5017</v>
      </c>
      <c r="AE119">
        <v>820</v>
      </c>
      <c r="AF119" t="s">
        <v>5164</v>
      </c>
      <c r="AG119" t="s">
        <v>5378</v>
      </c>
      <c r="AH119" t="s">
        <v>5366</v>
      </c>
      <c r="AI119" t="s">
        <v>5169</v>
      </c>
      <c r="AJ119" t="s">
        <v>5383</v>
      </c>
      <c r="AK119" t="s">
        <v>36</v>
      </c>
      <c r="AL119" t="s">
        <v>5381</v>
      </c>
      <c r="AM119" t="s">
        <v>36</v>
      </c>
      <c r="AO119" t="s">
        <v>6067</v>
      </c>
      <c r="AP119" t="s">
        <v>4859</v>
      </c>
      <c r="AQ119" t="s">
        <v>4868</v>
      </c>
      <c r="AR119" t="b">
        <v>1</v>
      </c>
    </row>
    <row r="120" spans="1:44">
      <c r="A120" t="s">
        <v>34</v>
      </c>
      <c r="B120" t="s">
        <v>3158</v>
      </c>
      <c r="C120" t="s">
        <v>36</v>
      </c>
      <c r="D120" t="s">
        <v>4259</v>
      </c>
      <c r="E120" t="s">
        <v>36</v>
      </c>
      <c r="F120" t="s">
        <v>36</v>
      </c>
      <c r="G120" t="s">
        <v>188</v>
      </c>
      <c r="H120" t="s">
        <v>189</v>
      </c>
      <c r="I120" t="s">
        <v>4264</v>
      </c>
      <c r="J120" t="s">
        <v>4265</v>
      </c>
      <c r="K120" t="s">
        <v>42</v>
      </c>
      <c r="L120" s="74">
        <v>45586</v>
      </c>
      <c r="O120" t="s">
        <v>43</v>
      </c>
      <c r="P120" t="s">
        <v>4268</v>
      </c>
      <c r="Q120" t="s">
        <v>45</v>
      </c>
      <c r="R120" t="s">
        <v>46</v>
      </c>
      <c r="S120" t="s">
        <v>47</v>
      </c>
      <c r="T120" t="s">
        <v>48</v>
      </c>
      <c r="U120" t="s">
        <v>199</v>
      </c>
      <c r="V120" t="s">
        <v>200</v>
      </c>
      <c r="W120" t="s">
        <v>51</v>
      </c>
      <c r="X120" t="s">
        <v>36</v>
      </c>
      <c r="Y120" t="s">
        <v>36</v>
      </c>
      <c r="Z120" t="s">
        <v>54</v>
      </c>
      <c r="AA120" t="s">
        <v>55</v>
      </c>
      <c r="AB120" t="s">
        <v>56</v>
      </c>
      <c r="AC120" t="s">
        <v>2294</v>
      </c>
      <c r="AD120" t="s">
        <v>5018</v>
      </c>
      <c r="AE120">
        <v>5200</v>
      </c>
      <c r="AF120" t="s">
        <v>5164</v>
      </c>
      <c r="AG120" t="s">
        <v>5378</v>
      </c>
      <c r="AH120" t="s">
        <v>5366</v>
      </c>
      <c r="AI120" t="s">
        <v>5169</v>
      </c>
      <c r="AJ120" t="s">
        <v>5383</v>
      </c>
      <c r="AK120" t="s">
        <v>36</v>
      </c>
      <c r="AL120" t="s">
        <v>5381</v>
      </c>
      <c r="AM120" t="s">
        <v>36</v>
      </c>
      <c r="AO120" t="s">
        <v>6068</v>
      </c>
      <c r="AP120" t="s">
        <v>2285</v>
      </c>
      <c r="AQ120" t="s">
        <v>2294</v>
      </c>
      <c r="AR120" t="b">
        <v>1</v>
      </c>
    </row>
    <row r="121" spans="1:44">
      <c r="A121" t="s">
        <v>57</v>
      </c>
      <c r="B121" t="s">
        <v>208</v>
      </c>
      <c r="C121" t="s">
        <v>36</v>
      </c>
      <c r="D121" t="s">
        <v>210</v>
      </c>
      <c r="E121" t="s">
        <v>36</v>
      </c>
      <c r="F121" t="s">
        <v>36</v>
      </c>
      <c r="G121" t="s">
        <v>213</v>
      </c>
      <c r="H121" t="s">
        <v>214</v>
      </c>
      <c r="I121" t="s">
        <v>215</v>
      </c>
      <c r="J121" t="s">
        <v>36</v>
      </c>
      <c r="K121" t="s">
        <v>217</v>
      </c>
      <c r="L121" s="74">
        <v>43710</v>
      </c>
      <c r="O121" t="s">
        <v>43</v>
      </c>
      <c r="P121" t="s">
        <v>219</v>
      </c>
      <c r="Q121" t="s">
        <v>70</v>
      </c>
      <c r="R121" t="s">
        <v>46</v>
      </c>
      <c r="S121" t="s">
        <v>47</v>
      </c>
      <c r="T121" t="s">
        <v>48</v>
      </c>
      <c r="U121" t="s">
        <v>224</v>
      </c>
      <c r="V121" t="s">
        <v>225</v>
      </c>
      <c r="W121" t="s">
        <v>76</v>
      </c>
      <c r="X121" t="s">
        <v>36</v>
      </c>
      <c r="Y121" t="s">
        <v>36</v>
      </c>
      <c r="Z121" t="s">
        <v>54</v>
      </c>
      <c r="AA121" t="s">
        <v>230</v>
      </c>
      <c r="AB121" t="s">
        <v>231</v>
      </c>
      <c r="AC121" t="s">
        <v>4668</v>
      </c>
      <c r="AD121" t="s">
        <v>5018</v>
      </c>
      <c r="AE121">
        <v>9100</v>
      </c>
      <c r="AF121" t="s">
        <v>5164</v>
      </c>
      <c r="AG121" t="s">
        <v>5378</v>
      </c>
      <c r="AH121" t="s">
        <v>5366</v>
      </c>
      <c r="AI121" t="s">
        <v>5169</v>
      </c>
      <c r="AJ121" t="s">
        <v>5383</v>
      </c>
      <c r="AK121" t="s">
        <v>36</v>
      </c>
      <c r="AL121" t="s">
        <v>5381</v>
      </c>
      <c r="AM121" t="s">
        <v>36</v>
      </c>
      <c r="AO121" t="s">
        <v>6069</v>
      </c>
      <c r="AP121" t="s">
        <v>4659</v>
      </c>
      <c r="AQ121" t="s">
        <v>4668</v>
      </c>
      <c r="AR121" t="b">
        <v>1</v>
      </c>
    </row>
    <row r="122" spans="1:44">
      <c r="A122" t="s">
        <v>34</v>
      </c>
      <c r="B122" t="s">
        <v>208</v>
      </c>
      <c r="C122" t="s">
        <v>36</v>
      </c>
      <c r="D122" t="s">
        <v>1510</v>
      </c>
      <c r="E122" t="s">
        <v>36</v>
      </c>
      <c r="F122" t="s">
        <v>36</v>
      </c>
      <c r="G122" t="s">
        <v>1513</v>
      </c>
      <c r="H122" t="s">
        <v>1514</v>
      </c>
      <c r="I122" t="s">
        <v>1515</v>
      </c>
      <c r="J122" t="s">
        <v>36</v>
      </c>
      <c r="K122" t="s">
        <v>792</v>
      </c>
      <c r="L122" s="74">
        <v>44333</v>
      </c>
      <c r="O122" t="s">
        <v>43</v>
      </c>
      <c r="P122" t="s">
        <v>1519</v>
      </c>
      <c r="Q122" t="s">
        <v>45</v>
      </c>
      <c r="R122" t="s">
        <v>46</v>
      </c>
      <c r="S122" t="s">
        <v>47</v>
      </c>
      <c r="T122" t="s">
        <v>48</v>
      </c>
      <c r="U122" t="s">
        <v>174</v>
      </c>
      <c r="V122" t="s">
        <v>175</v>
      </c>
      <c r="W122" t="s">
        <v>51</v>
      </c>
      <c r="X122" t="s">
        <v>36</v>
      </c>
      <c r="Y122" t="s">
        <v>36</v>
      </c>
      <c r="Z122" t="s">
        <v>54</v>
      </c>
      <c r="AA122" t="s">
        <v>805</v>
      </c>
      <c r="AB122" t="s">
        <v>806</v>
      </c>
      <c r="AC122" t="s">
        <v>169</v>
      </c>
      <c r="AD122" t="s">
        <v>5018</v>
      </c>
      <c r="AE122">
        <v>9500</v>
      </c>
      <c r="AF122" t="s">
        <v>5164</v>
      </c>
      <c r="AG122" t="s">
        <v>5378</v>
      </c>
      <c r="AH122" t="s">
        <v>5366</v>
      </c>
      <c r="AI122" t="s">
        <v>5169</v>
      </c>
      <c r="AJ122" t="s">
        <v>5383</v>
      </c>
      <c r="AK122" t="s">
        <v>36</v>
      </c>
      <c r="AL122" t="s">
        <v>5381</v>
      </c>
      <c r="AM122" t="s">
        <v>36</v>
      </c>
      <c r="AO122" t="s">
        <v>6070</v>
      </c>
      <c r="AP122" t="s">
        <v>160</v>
      </c>
      <c r="AQ122" t="s">
        <v>169</v>
      </c>
      <c r="AR122" t="b">
        <v>1</v>
      </c>
    </row>
    <row r="123" spans="1:44">
      <c r="A123" t="s">
        <v>282</v>
      </c>
      <c r="B123" t="s">
        <v>283</v>
      </c>
      <c r="C123" t="s">
        <v>284</v>
      </c>
      <c r="D123" t="s">
        <v>285</v>
      </c>
      <c r="E123" t="s">
        <v>36</v>
      </c>
      <c r="F123" t="s">
        <v>36</v>
      </c>
      <c r="G123" t="s">
        <v>63</v>
      </c>
      <c r="H123" t="s">
        <v>36</v>
      </c>
      <c r="I123" t="s">
        <v>290</v>
      </c>
      <c r="J123" t="s">
        <v>36</v>
      </c>
      <c r="K123" t="s">
        <v>292</v>
      </c>
      <c r="L123" s="74">
        <v>44949</v>
      </c>
      <c r="O123" t="s">
        <v>43</v>
      </c>
      <c r="P123" t="s">
        <v>294</v>
      </c>
      <c r="Q123" t="s">
        <v>70</v>
      </c>
      <c r="R123" t="s">
        <v>46</v>
      </c>
      <c r="S123" t="s">
        <v>297</v>
      </c>
      <c r="T123" t="s">
        <v>298</v>
      </c>
      <c r="U123" t="s">
        <v>74</v>
      </c>
      <c r="V123" t="s">
        <v>300</v>
      </c>
      <c r="W123" t="s">
        <v>301</v>
      </c>
      <c r="X123" t="s">
        <v>36</v>
      </c>
      <c r="Y123" t="s">
        <v>36</v>
      </c>
      <c r="Z123" t="s">
        <v>54</v>
      </c>
      <c r="AA123" t="s">
        <v>305</v>
      </c>
      <c r="AB123" t="s">
        <v>306</v>
      </c>
      <c r="AC123" t="s">
        <v>36</v>
      </c>
      <c r="AD123" t="s">
        <v>5017</v>
      </c>
      <c r="AE123">
        <v>820</v>
      </c>
      <c r="AF123" t="s">
        <v>5164</v>
      </c>
      <c r="AG123" t="s">
        <v>5378</v>
      </c>
      <c r="AH123" t="s">
        <v>5366</v>
      </c>
      <c r="AI123" t="s">
        <v>5169</v>
      </c>
      <c r="AJ123" t="s">
        <v>5383</v>
      </c>
      <c r="AK123" t="s">
        <v>36</v>
      </c>
      <c r="AL123" t="s">
        <v>5381</v>
      </c>
      <c r="AM123" t="s">
        <v>36</v>
      </c>
      <c r="AO123" t="s">
        <v>6071</v>
      </c>
      <c r="AP123" t="s">
        <v>3685</v>
      </c>
      <c r="AQ123" t="s">
        <v>3694</v>
      </c>
      <c r="AR123" t="b">
        <v>0</v>
      </c>
    </row>
    <row r="124" spans="1:44">
      <c r="A124" t="s">
        <v>57</v>
      </c>
      <c r="B124" t="s">
        <v>83</v>
      </c>
      <c r="C124" t="s">
        <v>36</v>
      </c>
      <c r="D124" t="s">
        <v>85</v>
      </c>
      <c r="E124" t="s">
        <v>36</v>
      </c>
      <c r="F124" t="s">
        <v>36</v>
      </c>
      <c r="G124" t="s">
        <v>88</v>
      </c>
      <c r="H124" t="s">
        <v>89</v>
      </c>
      <c r="I124" t="s">
        <v>36</v>
      </c>
      <c r="J124" t="s">
        <v>91</v>
      </c>
      <c r="K124" t="s">
        <v>92</v>
      </c>
      <c r="L124" s="74">
        <v>46160</v>
      </c>
      <c r="O124" t="s">
        <v>43</v>
      </c>
      <c r="P124" t="s">
        <v>94</v>
      </c>
      <c r="Q124" t="s">
        <v>70</v>
      </c>
      <c r="R124" t="s">
        <v>46</v>
      </c>
      <c r="S124" t="s">
        <v>47</v>
      </c>
      <c r="T124" t="s">
        <v>48</v>
      </c>
      <c r="U124" t="s">
        <v>99</v>
      </c>
      <c r="V124" t="s">
        <v>100</v>
      </c>
      <c r="W124" t="s">
        <v>51</v>
      </c>
      <c r="X124" t="s">
        <v>36</v>
      </c>
      <c r="Y124" t="s">
        <v>36</v>
      </c>
      <c r="Z124" t="s">
        <v>54</v>
      </c>
      <c r="AA124" t="s">
        <v>80</v>
      </c>
      <c r="AB124" t="s">
        <v>81</v>
      </c>
      <c r="AC124" t="s">
        <v>2144</v>
      </c>
      <c r="AD124" t="s">
        <v>5018</v>
      </c>
      <c r="AE124">
        <v>8300</v>
      </c>
      <c r="AF124" t="s">
        <v>5164</v>
      </c>
      <c r="AG124" t="s">
        <v>5378</v>
      </c>
      <c r="AH124" t="s">
        <v>5366</v>
      </c>
      <c r="AI124" t="s">
        <v>5169</v>
      </c>
      <c r="AJ124" t="s">
        <v>5383</v>
      </c>
      <c r="AK124" t="s">
        <v>36</v>
      </c>
      <c r="AL124" t="s">
        <v>5381</v>
      </c>
      <c r="AM124" t="s">
        <v>36</v>
      </c>
      <c r="AO124" t="s">
        <v>6072</v>
      </c>
      <c r="AP124" t="s">
        <v>2135</v>
      </c>
      <c r="AQ124" t="s">
        <v>2144</v>
      </c>
      <c r="AR124" t="b">
        <v>1</v>
      </c>
    </row>
    <row r="125" spans="1:44">
      <c r="A125" t="s">
        <v>57</v>
      </c>
      <c r="B125" t="s">
        <v>4282</v>
      </c>
      <c r="C125" t="s">
        <v>36</v>
      </c>
      <c r="D125" t="s">
        <v>4284</v>
      </c>
      <c r="E125" t="s">
        <v>36</v>
      </c>
      <c r="F125" t="s">
        <v>36</v>
      </c>
      <c r="G125" t="s">
        <v>213</v>
      </c>
      <c r="H125" t="s">
        <v>214</v>
      </c>
      <c r="I125" t="s">
        <v>4289</v>
      </c>
      <c r="J125" t="s">
        <v>36</v>
      </c>
      <c r="K125" t="s">
        <v>3791</v>
      </c>
      <c r="L125" s="74">
        <v>42835</v>
      </c>
      <c r="N125" s="74">
        <v>46146</v>
      </c>
      <c r="O125" t="s">
        <v>43</v>
      </c>
      <c r="P125" t="s">
        <v>4293</v>
      </c>
      <c r="Q125" t="s">
        <v>70</v>
      </c>
      <c r="R125" t="s">
        <v>46</v>
      </c>
      <c r="S125" t="s">
        <v>47</v>
      </c>
      <c r="T125" t="s">
        <v>48</v>
      </c>
      <c r="U125" t="s">
        <v>224</v>
      </c>
      <c r="V125" t="s">
        <v>225</v>
      </c>
      <c r="W125" t="s">
        <v>76</v>
      </c>
      <c r="X125" t="s">
        <v>4301</v>
      </c>
      <c r="Y125" t="s">
        <v>4302</v>
      </c>
      <c r="Z125" t="s">
        <v>54</v>
      </c>
      <c r="AA125" t="s">
        <v>680</v>
      </c>
      <c r="AB125" t="s">
        <v>681</v>
      </c>
      <c r="AC125" t="s">
        <v>4668</v>
      </c>
      <c r="AD125" t="s">
        <v>5018</v>
      </c>
      <c r="AE125">
        <v>9100</v>
      </c>
      <c r="AF125" t="s">
        <v>5164</v>
      </c>
      <c r="AG125" t="s">
        <v>5378</v>
      </c>
      <c r="AH125" t="s">
        <v>5366</v>
      </c>
      <c r="AI125" t="s">
        <v>5169</v>
      </c>
      <c r="AJ125" t="s">
        <v>5383</v>
      </c>
      <c r="AK125" t="s">
        <v>36</v>
      </c>
      <c r="AL125" t="s">
        <v>5381</v>
      </c>
      <c r="AM125" t="s">
        <v>36</v>
      </c>
      <c r="AO125" t="s">
        <v>6073</v>
      </c>
      <c r="AP125" t="s">
        <v>4659</v>
      </c>
      <c r="AQ125" t="s">
        <v>4668</v>
      </c>
      <c r="AR125" t="b">
        <v>1</v>
      </c>
    </row>
    <row r="126" spans="1:44">
      <c r="A126" t="s">
        <v>34</v>
      </c>
      <c r="B126" t="s">
        <v>2833</v>
      </c>
      <c r="C126" t="s">
        <v>234</v>
      </c>
      <c r="D126" t="s">
        <v>2835</v>
      </c>
      <c r="E126" t="s">
        <v>36</v>
      </c>
      <c r="F126" t="s">
        <v>36</v>
      </c>
      <c r="G126" t="s">
        <v>36</v>
      </c>
      <c r="H126" t="s">
        <v>36</v>
      </c>
      <c r="I126" t="s">
        <v>2840</v>
      </c>
      <c r="J126" t="s">
        <v>36</v>
      </c>
      <c r="K126" t="s">
        <v>42</v>
      </c>
      <c r="L126" s="74">
        <v>45141</v>
      </c>
      <c r="M126" s="74">
        <v>46148</v>
      </c>
      <c r="O126" t="s">
        <v>143</v>
      </c>
      <c r="P126" t="s">
        <v>2844</v>
      </c>
      <c r="Q126" t="s">
        <v>45</v>
      </c>
      <c r="R126" t="s">
        <v>46</v>
      </c>
      <c r="S126" t="s">
        <v>47</v>
      </c>
      <c r="T126" t="s">
        <v>48</v>
      </c>
      <c r="U126" t="s">
        <v>49</v>
      </c>
      <c r="V126" t="s">
        <v>50</v>
      </c>
      <c r="W126" t="s">
        <v>51</v>
      </c>
      <c r="X126" t="s">
        <v>36</v>
      </c>
      <c r="Y126" t="s">
        <v>36</v>
      </c>
      <c r="Z126" t="s">
        <v>54</v>
      </c>
      <c r="AA126" t="s">
        <v>55</v>
      </c>
      <c r="AB126" t="s">
        <v>56</v>
      </c>
      <c r="AC126" t="s">
        <v>36</v>
      </c>
      <c r="AD126" t="s">
        <v>5018</v>
      </c>
      <c r="AE126">
        <v>5100</v>
      </c>
      <c r="AF126" t="s">
        <v>5164</v>
      </c>
      <c r="AG126" t="s">
        <v>5378</v>
      </c>
      <c r="AH126" t="s">
        <v>5366</v>
      </c>
      <c r="AI126" t="s">
        <v>5169</v>
      </c>
      <c r="AJ126" t="s">
        <v>5383</v>
      </c>
      <c r="AK126" t="s">
        <v>36</v>
      </c>
      <c r="AL126" t="s">
        <v>5153</v>
      </c>
      <c r="AM126" t="s">
        <v>6171</v>
      </c>
      <c r="AN126" t="s">
        <v>6151</v>
      </c>
      <c r="AO126" t="s">
        <v>6074</v>
      </c>
      <c r="AP126" t="e">
        <v>#VALUE!</v>
      </c>
      <c r="AQ126" t="s">
        <v>6149</v>
      </c>
      <c r="AR126" t="b">
        <v>0</v>
      </c>
    </row>
    <row r="127" spans="1:44">
      <c r="A127" t="s">
        <v>57</v>
      </c>
      <c r="B127" t="s">
        <v>2833</v>
      </c>
      <c r="C127" t="s">
        <v>36</v>
      </c>
      <c r="D127" t="s">
        <v>3210</v>
      </c>
      <c r="E127" t="s">
        <v>36</v>
      </c>
      <c r="F127" t="s">
        <v>36</v>
      </c>
      <c r="G127" t="s">
        <v>36</v>
      </c>
      <c r="H127" t="s">
        <v>2489</v>
      </c>
      <c r="I127" t="s">
        <v>3215</v>
      </c>
      <c r="J127" t="s">
        <v>36</v>
      </c>
      <c r="K127" t="s">
        <v>3217</v>
      </c>
      <c r="L127" s="74">
        <v>44970</v>
      </c>
      <c r="M127" s="74">
        <v>46213</v>
      </c>
      <c r="O127" t="s">
        <v>143</v>
      </c>
      <c r="P127" t="s">
        <v>3219</v>
      </c>
      <c r="Q127" t="s">
        <v>70</v>
      </c>
      <c r="R127" t="s">
        <v>46</v>
      </c>
      <c r="S127" t="s">
        <v>47</v>
      </c>
      <c r="T127" t="s">
        <v>48</v>
      </c>
      <c r="U127" t="s">
        <v>874</v>
      </c>
      <c r="V127" t="s">
        <v>875</v>
      </c>
      <c r="W127" t="s">
        <v>3226</v>
      </c>
      <c r="X127" t="s">
        <v>36</v>
      </c>
      <c r="Y127" t="s">
        <v>36</v>
      </c>
      <c r="Z127" t="s">
        <v>54</v>
      </c>
      <c r="AA127" t="s">
        <v>305</v>
      </c>
      <c r="AB127" t="s">
        <v>306</v>
      </c>
      <c r="AC127" t="s">
        <v>869</v>
      </c>
      <c r="AD127" t="s">
        <v>5018</v>
      </c>
      <c r="AE127">
        <v>9400</v>
      </c>
      <c r="AF127" t="s">
        <v>5164</v>
      </c>
      <c r="AG127" t="s">
        <v>5378</v>
      </c>
      <c r="AH127" t="s">
        <v>5366</v>
      </c>
      <c r="AI127" t="s">
        <v>5169</v>
      </c>
      <c r="AJ127" t="s">
        <v>5383</v>
      </c>
      <c r="AK127" t="s">
        <v>36</v>
      </c>
      <c r="AL127" t="s">
        <v>5153</v>
      </c>
      <c r="AM127" t="s">
        <v>6181</v>
      </c>
      <c r="AN127" t="s">
        <v>6151</v>
      </c>
      <c r="AO127" t="s">
        <v>6075</v>
      </c>
      <c r="AP127" t="e">
        <v>#VALUE!</v>
      </c>
      <c r="AQ127" t="s">
        <v>6149</v>
      </c>
      <c r="AR127" t="b">
        <v>0</v>
      </c>
    </row>
    <row r="128" spans="1:44">
      <c r="A128" t="s">
        <v>34</v>
      </c>
      <c r="B128" t="s">
        <v>1858</v>
      </c>
      <c r="C128" t="s">
        <v>36</v>
      </c>
      <c r="D128" t="s">
        <v>1860</v>
      </c>
      <c r="E128" t="s">
        <v>36</v>
      </c>
      <c r="F128" t="s">
        <v>36</v>
      </c>
      <c r="G128" t="s">
        <v>1163</v>
      </c>
      <c r="H128" t="s">
        <v>1164</v>
      </c>
      <c r="I128" t="s">
        <v>36</v>
      </c>
      <c r="J128" t="s">
        <v>1866</v>
      </c>
      <c r="K128" t="s">
        <v>42</v>
      </c>
      <c r="L128" s="74">
        <v>46062</v>
      </c>
      <c r="O128" t="s">
        <v>43</v>
      </c>
      <c r="P128" t="s">
        <v>1869</v>
      </c>
      <c r="Q128" t="s">
        <v>45</v>
      </c>
      <c r="R128" t="s">
        <v>46</v>
      </c>
      <c r="S128" t="s">
        <v>47</v>
      </c>
      <c r="T128" t="s">
        <v>48</v>
      </c>
      <c r="U128" t="s">
        <v>199</v>
      </c>
      <c r="V128" t="s">
        <v>200</v>
      </c>
      <c r="W128" t="s">
        <v>51</v>
      </c>
      <c r="X128" t="s">
        <v>36</v>
      </c>
      <c r="Y128" t="s">
        <v>36</v>
      </c>
      <c r="Z128" t="s">
        <v>54</v>
      </c>
      <c r="AA128" t="s">
        <v>55</v>
      </c>
      <c r="AB128" t="s">
        <v>56</v>
      </c>
      <c r="AC128" t="s">
        <v>3743</v>
      </c>
      <c r="AD128" t="s">
        <v>5018</v>
      </c>
      <c r="AE128">
        <v>5200</v>
      </c>
      <c r="AF128" t="s">
        <v>5164</v>
      </c>
      <c r="AG128" t="s">
        <v>5378</v>
      </c>
      <c r="AH128" t="s">
        <v>5366</v>
      </c>
      <c r="AI128" t="s">
        <v>5169</v>
      </c>
      <c r="AJ128" t="s">
        <v>5383</v>
      </c>
      <c r="AK128" t="s">
        <v>36</v>
      </c>
      <c r="AL128" t="s">
        <v>5381</v>
      </c>
      <c r="AM128" t="s">
        <v>36</v>
      </c>
      <c r="AO128" t="s">
        <v>6076</v>
      </c>
      <c r="AP128" t="s">
        <v>3735</v>
      </c>
      <c r="AQ128" t="s">
        <v>3743</v>
      </c>
      <c r="AR128" t="b">
        <v>1</v>
      </c>
    </row>
    <row r="129" spans="1:44">
      <c r="A129" t="s">
        <v>34</v>
      </c>
      <c r="B129" t="s">
        <v>4707</v>
      </c>
      <c r="C129" t="s">
        <v>1184</v>
      </c>
      <c r="D129" t="s">
        <v>4709</v>
      </c>
      <c r="E129" t="s">
        <v>36</v>
      </c>
      <c r="F129" t="s">
        <v>36</v>
      </c>
      <c r="G129" t="s">
        <v>36</v>
      </c>
      <c r="H129" t="s">
        <v>939</v>
      </c>
      <c r="I129" t="s">
        <v>36</v>
      </c>
      <c r="J129" t="s">
        <v>4715</v>
      </c>
      <c r="K129" t="s">
        <v>942</v>
      </c>
      <c r="L129" s="74">
        <v>46169</v>
      </c>
      <c r="M129" s="74">
        <v>46183</v>
      </c>
      <c r="O129" t="s">
        <v>143</v>
      </c>
      <c r="P129" t="s">
        <v>4718</v>
      </c>
      <c r="Q129" t="s">
        <v>45</v>
      </c>
      <c r="R129" t="s">
        <v>46</v>
      </c>
      <c r="S129" t="s">
        <v>47</v>
      </c>
      <c r="T129" t="s">
        <v>48</v>
      </c>
      <c r="U129" t="s">
        <v>724</v>
      </c>
      <c r="V129" t="s">
        <v>950</v>
      </c>
      <c r="W129" t="s">
        <v>51</v>
      </c>
      <c r="X129" t="s">
        <v>36</v>
      </c>
      <c r="Y129" t="s">
        <v>36</v>
      </c>
      <c r="Z129" t="s">
        <v>54</v>
      </c>
      <c r="AA129" t="s">
        <v>955</v>
      </c>
      <c r="AB129" t="s">
        <v>956</v>
      </c>
      <c r="AC129" t="s">
        <v>4918</v>
      </c>
      <c r="AD129" t="s">
        <v>5018</v>
      </c>
      <c r="AE129">
        <v>8100</v>
      </c>
      <c r="AF129" t="s">
        <v>5164</v>
      </c>
      <c r="AG129" t="s">
        <v>5378</v>
      </c>
      <c r="AH129" t="s">
        <v>5366</v>
      </c>
      <c r="AI129" t="s">
        <v>5169</v>
      </c>
      <c r="AJ129" t="s">
        <v>5383</v>
      </c>
      <c r="AK129" t="s">
        <v>36</v>
      </c>
      <c r="AL129" t="s">
        <v>5153</v>
      </c>
      <c r="AM129" t="s">
        <v>6180</v>
      </c>
      <c r="AN129" t="s">
        <v>6148</v>
      </c>
      <c r="AO129" t="s">
        <v>6077</v>
      </c>
      <c r="AP129" t="e">
        <v>#VALUE!</v>
      </c>
      <c r="AQ129" t="s">
        <v>6149</v>
      </c>
      <c r="AR129" t="b">
        <v>0</v>
      </c>
    </row>
    <row r="130" spans="1:44">
      <c r="A130" t="s">
        <v>282</v>
      </c>
      <c r="B130" t="s">
        <v>3183</v>
      </c>
      <c r="C130" t="s">
        <v>3184</v>
      </c>
      <c r="D130" t="s">
        <v>3185</v>
      </c>
      <c r="E130" t="s">
        <v>36</v>
      </c>
      <c r="F130" t="s">
        <v>36</v>
      </c>
      <c r="G130" t="s">
        <v>3188</v>
      </c>
      <c r="H130" t="s">
        <v>36</v>
      </c>
      <c r="I130" t="s">
        <v>3190</v>
      </c>
      <c r="J130" t="s">
        <v>3191</v>
      </c>
      <c r="K130" t="s">
        <v>3192</v>
      </c>
      <c r="L130" s="74">
        <v>44837</v>
      </c>
      <c r="O130" t="s">
        <v>43</v>
      </c>
      <c r="P130" t="s">
        <v>3194</v>
      </c>
      <c r="Q130" t="s">
        <v>70</v>
      </c>
      <c r="R130" t="s">
        <v>46</v>
      </c>
      <c r="S130" t="s">
        <v>297</v>
      </c>
      <c r="T130" t="s">
        <v>298</v>
      </c>
      <c r="U130" t="s">
        <v>3199</v>
      </c>
      <c r="V130" t="s">
        <v>3200</v>
      </c>
      <c r="W130" t="s">
        <v>301</v>
      </c>
      <c r="X130" t="s">
        <v>36</v>
      </c>
      <c r="Y130" t="s">
        <v>36</v>
      </c>
      <c r="Z130" t="s">
        <v>54</v>
      </c>
      <c r="AA130" t="s">
        <v>880</v>
      </c>
      <c r="AB130" t="s">
        <v>881</v>
      </c>
      <c r="AC130" t="s">
        <v>36</v>
      </c>
      <c r="AD130" t="s">
        <v>5017</v>
      </c>
      <c r="AE130" t="s">
        <v>5021</v>
      </c>
      <c r="AF130" t="s">
        <v>5164</v>
      </c>
      <c r="AG130" t="s">
        <v>5378</v>
      </c>
      <c r="AH130" t="s">
        <v>5366</v>
      </c>
      <c r="AI130" t="s">
        <v>5169</v>
      </c>
      <c r="AJ130" t="s">
        <v>5383</v>
      </c>
      <c r="AK130" t="s">
        <v>36</v>
      </c>
      <c r="AL130" t="s">
        <v>5381</v>
      </c>
      <c r="AM130" t="s">
        <v>36</v>
      </c>
      <c r="AO130" t="s">
        <v>6078</v>
      </c>
      <c r="AP130" t="s">
        <v>5931</v>
      </c>
      <c r="AQ130" t="s">
        <v>6149</v>
      </c>
      <c r="AR130" t="b">
        <v>0</v>
      </c>
    </row>
    <row r="131" spans="1:44">
      <c r="A131" t="s">
        <v>34</v>
      </c>
      <c r="B131" t="s">
        <v>3283</v>
      </c>
      <c r="C131" t="s">
        <v>1459</v>
      </c>
      <c r="D131" t="s">
        <v>3285</v>
      </c>
      <c r="E131" t="s">
        <v>36</v>
      </c>
      <c r="F131" t="s">
        <v>36</v>
      </c>
      <c r="G131" t="s">
        <v>1488</v>
      </c>
      <c r="H131" t="s">
        <v>1489</v>
      </c>
      <c r="I131" t="s">
        <v>3290</v>
      </c>
      <c r="J131" t="s">
        <v>3291</v>
      </c>
      <c r="K131" t="s">
        <v>1492</v>
      </c>
      <c r="L131" s="74">
        <v>46237</v>
      </c>
      <c r="O131" t="s">
        <v>43</v>
      </c>
      <c r="P131" t="s">
        <v>3294</v>
      </c>
      <c r="Q131" t="s">
        <v>45</v>
      </c>
      <c r="R131" t="s">
        <v>46</v>
      </c>
      <c r="S131" t="s">
        <v>47</v>
      </c>
      <c r="T131" t="s">
        <v>48</v>
      </c>
      <c r="U131" t="s">
        <v>724</v>
      </c>
      <c r="V131" t="s">
        <v>950</v>
      </c>
      <c r="W131" t="s">
        <v>51</v>
      </c>
      <c r="X131" t="s">
        <v>36</v>
      </c>
      <c r="Y131" t="s">
        <v>36</v>
      </c>
      <c r="Z131" t="s">
        <v>54</v>
      </c>
      <c r="AA131" t="s">
        <v>680</v>
      </c>
      <c r="AB131" t="s">
        <v>681</v>
      </c>
      <c r="AC131" t="s">
        <v>3544</v>
      </c>
      <c r="AD131" t="s">
        <v>5018</v>
      </c>
      <c r="AE131">
        <v>8100</v>
      </c>
      <c r="AF131" t="s">
        <v>5164</v>
      </c>
      <c r="AG131" t="s">
        <v>5378</v>
      </c>
      <c r="AH131" t="s">
        <v>5366</v>
      </c>
      <c r="AI131" t="s">
        <v>5169</v>
      </c>
      <c r="AJ131" t="s">
        <v>5383</v>
      </c>
      <c r="AK131" t="s">
        <v>36</v>
      </c>
      <c r="AL131" t="s">
        <v>5381</v>
      </c>
      <c r="AM131" t="s">
        <v>36</v>
      </c>
      <c r="AO131" t="s">
        <v>6079</v>
      </c>
      <c r="AP131" t="s">
        <v>3535</v>
      </c>
      <c r="AQ131" t="s">
        <v>3544</v>
      </c>
      <c r="AR131" t="b">
        <v>1</v>
      </c>
    </row>
    <row r="132" spans="1:44">
      <c r="A132" t="s">
        <v>57</v>
      </c>
      <c r="B132" t="s">
        <v>4332</v>
      </c>
      <c r="C132" t="s">
        <v>234</v>
      </c>
      <c r="D132" t="s">
        <v>4334</v>
      </c>
      <c r="E132" t="s">
        <v>36</v>
      </c>
      <c r="F132" t="s">
        <v>36</v>
      </c>
      <c r="G132" t="s">
        <v>2488</v>
      </c>
      <c r="H132" t="s">
        <v>2489</v>
      </c>
      <c r="I132" t="s">
        <v>4339</v>
      </c>
      <c r="J132" t="s">
        <v>36</v>
      </c>
      <c r="K132" t="s">
        <v>4341</v>
      </c>
      <c r="L132" s="74">
        <v>44466</v>
      </c>
      <c r="O132" t="s">
        <v>43</v>
      </c>
      <c r="P132" t="s">
        <v>4343</v>
      </c>
      <c r="Q132" t="s">
        <v>70</v>
      </c>
      <c r="R132" t="s">
        <v>46</v>
      </c>
      <c r="S132" t="s">
        <v>47</v>
      </c>
      <c r="T132" t="s">
        <v>48</v>
      </c>
      <c r="U132" t="s">
        <v>874</v>
      </c>
      <c r="V132" t="s">
        <v>875</v>
      </c>
      <c r="W132" t="s">
        <v>51</v>
      </c>
      <c r="X132" t="s">
        <v>36</v>
      </c>
      <c r="Y132" t="s">
        <v>36</v>
      </c>
      <c r="Z132" t="s">
        <v>54</v>
      </c>
      <c r="AA132" t="s">
        <v>230</v>
      </c>
      <c r="AB132" t="s">
        <v>231</v>
      </c>
      <c r="AC132" t="s">
        <v>869</v>
      </c>
      <c r="AD132" t="s">
        <v>5018</v>
      </c>
      <c r="AE132">
        <v>9400</v>
      </c>
      <c r="AF132" t="s">
        <v>5164</v>
      </c>
      <c r="AG132" t="s">
        <v>5378</v>
      </c>
      <c r="AH132" t="s">
        <v>5366</v>
      </c>
      <c r="AI132" t="s">
        <v>5169</v>
      </c>
      <c r="AJ132" t="s">
        <v>5383</v>
      </c>
      <c r="AK132" t="s">
        <v>36</v>
      </c>
      <c r="AL132" t="s">
        <v>5381</v>
      </c>
      <c r="AM132" t="s">
        <v>36</v>
      </c>
      <c r="AO132" t="s">
        <v>6080</v>
      </c>
      <c r="AP132" t="s">
        <v>860</v>
      </c>
      <c r="AQ132" t="s">
        <v>869</v>
      </c>
      <c r="AR132" t="b">
        <v>1</v>
      </c>
    </row>
    <row r="133" spans="1:44">
      <c r="A133" t="s">
        <v>34</v>
      </c>
      <c r="B133" t="s">
        <v>2535</v>
      </c>
      <c r="C133" t="s">
        <v>36</v>
      </c>
      <c r="D133" t="s">
        <v>2560</v>
      </c>
      <c r="E133" t="s">
        <v>36</v>
      </c>
      <c r="F133" t="s">
        <v>36</v>
      </c>
      <c r="G133" t="s">
        <v>38</v>
      </c>
      <c r="H133" t="s">
        <v>39</v>
      </c>
      <c r="I133" t="s">
        <v>2565</v>
      </c>
      <c r="J133" t="s">
        <v>2566</v>
      </c>
      <c r="K133" t="s">
        <v>42</v>
      </c>
      <c r="L133" s="74">
        <v>43283</v>
      </c>
      <c r="O133" t="s">
        <v>43</v>
      </c>
      <c r="P133" t="s">
        <v>2569</v>
      </c>
      <c r="Q133" t="s">
        <v>45</v>
      </c>
      <c r="R133" t="s">
        <v>46</v>
      </c>
      <c r="S133" t="s">
        <v>47</v>
      </c>
      <c r="T133" t="s">
        <v>48</v>
      </c>
      <c r="U133" t="s">
        <v>49</v>
      </c>
      <c r="V133" t="s">
        <v>50</v>
      </c>
      <c r="W133" t="s">
        <v>51</v>
      </c>
      <c r="X133" t="s">
        <v>36</v>
      </c>
      <c r="Y133" t="s">
        <v>36</v>
      </c>
      <c r="Z133" t="s">
        <v>54</v>
      </c>
      <c r="AA133" t="s">
        <v>55</v>
      </c>
      <c r="AB133" t="s">
        <v>56</v>
      </c>
      <c r="AC133" t="s">
        <v>669</v>
      </c>
      <c r="AD133" t="s">
        <v>5018</v>
      </c>
      <c r="AE133">
        <v>5100</v>
      </c>
      <c r="AF133" t="s">
        <v>5164</v>
      </c>
      <c r="AG133" t="s">
        <v>5378</v>
      </c>
      <c r="AH133" t="s">
        <v>5366</v>
      </c>
      <c r="AI133" t="s">
        <v>5169</v>
      </c>
      <c r="AJ133" t="s">
        <v>5383</v>
      </c>
      <c r="AK133" t="s">
        <v>36</v>
      </c>
      <c r="AL133" t="s">
        <v>5381</v>
      </c>
      <c r="AM133" t="s">
        <v>36</v>
      </c>
      <c r="AO133" t="s">
        <v>6081</v>
      </c>
      <c r="AP133" t="s">
        <v>660</v>
      </c>
      <c r="AQ133" t="s">
        <v>669</v>
      </c>
      <c r="AR133" t="b">
        <v>1</v>
      </c>
    </row>
    <row r="134" spans="1:44">
      <c r="A134" t="s">
        <v>457</v>
      </c>
      <c r="B134" t="s">
        <v>4082</v>
      </c>
      <c r="C134" t="s">
        <v>36</v>
      </c>
      <c r="D134" t="s">
        <v>4084</v>
      </c>
      <c r="E134" t="s">
        <v>36</v>
      </c>
      <c r="F134" t="s">
        <v>36</v>
      </c>
      <c r="G134" t="s">
        <v>463</v>
      </c>
      <c r="H134" t="s">
        <v>464</v>
      </c>
      <c r="I134" t="s">
        <v>36</v>
      </c>
      <c r="J134" t="s">
        <v>4090</v>
      </c>
      <c r="K134" t="s">
        <v>2217</v>
      </c>
      <c r="L134" s="74">
        <v>37292</v>
      </c>
      <c r="O134" t="s">
        <v>43</v>
      </c>
      <c r="P134" t="s">
        <v>4093</v>
      </c>
      <c r="Q134" t="s">
        <v>45</v>
      </c>
      <c r="R134" t="s">
        <v>46</v>
      </c>
      <c r="S134" t="s">
        <v>297</v>
      </c>
      <c r="T134" t="s">
        <v>298</v>
      </c>
      <c r="U134" t="s">
        <v>1074</v>
      </c>
      <c r="V134" t="s">
        <v>1075</v>
      </c>
      <c r="W134" t="s">
        <v>301</v>
      </c>
      <c r="X134" t="s">
        <v>36</v>
      </c>
      <c r="Y134" t="s">
        <v>36</v>
      </c>
      <c r="Z134" t="s">
        <v>54</v>
      </c>
      <c r="AA134" t="s">
        <v>580</v>
      </c>
      <c r="AB134" t="s">
        <v>581</v>
      </c>
      <c r="AC134" t="s">
        <v>4018</v>
      </c>
      <c r="AD134" t="s">
        <v>5017</v>
      </c>
      <c r="AE134">
        <v>100</v>
      </c>
      <c r="AF134" t="s">
        <v>5164</v>
      </c>
      <c r="AG134" t="s">
        <v>5378</v>
      </c>
      <c r="AH134" t="s">
        <v>5366</v>
      </c>
      <c r="AI134" t="s">
        <v>5169</v>
      </c>
      <c r="AJ134" t="s">
        <v>5383</v>
      </c>
      <c r="AK134" t="s">
        <v>36</v>
      </c>
      <c r="AL134" t="s">
        <v>5381</v>
      </c>
      <c r="AM134" t="s">
        <v>36</v>
      </c>
      <c r="AO134" t="s">
        <v>6082</v>
      </c>
      <c r="AP134" t="s">
        <v>4009</v>
      </c>
      <c r="AQ134" t="s">
        <v>4018</v>
      </c>
      <c r="AR134" t="b">
        <v>1</v>
      </c>
    </row>
    <row r="135" spans="1:44">
      <c r="A135" t="s">
        <v>457</v>
      </c>
      <c r="B135" t="s">
        <v>1808</v>
      </c>
      <c r="C135" t="s">
        <v>36</v>
      </c>
      <c r="D135" t="s">
        <v>1785</v>
      </c>
      <c r="E135" t="s">
        <v>36</v>
      </c>
      <c r="F135" t="s">
        <v>36</v>
      </c>
      <c r="G135" t="s">
        <v>36</v>
      </c>
      <c r="H135" t="s">
        <v>464</v>
      </c>
      <c r="I135" t="s">
        <v>36</v>
      </c>
      <c r="J135" t="s">
        <v>1816</v>
      </c>
      <c r="K135" t="s">
        <v>1817</v>
      </c>
      <c r="L135" s="74">
        <v>46190</v>
      </c>
      <c r="M135" s="74">
        <v>46233</v>
      </c>
      <c r="O135" t="s">
        <v>143</v>
      </c>
      <c r="P135" t="s">
        <v>36</v>
      </c>
      <c r="Q135" t="s">
        <v>45</v>
      </c>
      <c r="R135" t="s">
        <v>521</v>
      </c>
      <c r="S135" t="s">
        <v>297</v>
      </c>
      <c r="T135" t="s">
        <v>298</v>
      </c>
      <c r="U135" t="s">
        <v>1074</v>
      </c>
      <c r="V135" t="s">
        <v>1075</v>
      </c>
      <c r="W135" t="s">
        <v>301</v>
      </c>
      <c r="X135" t="s">
        <v>36</v>
      </c>
      <c r="Y135" t="s">
        <v>36</v>
      </c>
      <c r="Z135" t="s">
        <v>54</v>
      </c>
      <c r="AA135" t="s">
        <v>1830</v>
      </c>
      <c r="AB135" t="s">
        <v>1831</v>
      </c>
      <c r="AC135" t="s">
        <v>4018</v>
      </c>
      <c r="AD135" t="s">
        <v>5017</v>
      </c>
      <c r="AE135">
        <v>100</v>
      </c>
      <c r="AF135" t="s">
        <v>5164</v>
      </c>
      <c r="AG135" t="s">
        <v>5378</v>
      </c>
      <c r="AH135" t="s">
        <v>5366</v>
      </c>
      <c r="AI135" t="s">
        <v>5169</v>
      </c>
      <c r="AJ135" t="s">
        <v>5383</v>
      </c>
      <c r="AK135" t="s">
        <v>36</v>
      </c>
      <c r="AL135" t="s">
        <v>5153</v>
      </c>
      <c r="AM135" t="s">
        <v>6182</v>
      </c>
      <c r="AN135" t="s">
        <v>6151</v>
      </c>
      <c r="AO135" t="s">
        <v>6083</v>
      </c>
      <c r="AP135" t="e">
        <v>#VALUE!</v>
      </c>
      <c r="AQ135" t="s">
        <v>6149</v>
      </c>
      <c r="AR135" t="b">
        <v>0</v>
      </c>
    </row>
    <row r="136" spans="1:44">
      <c r="A136" t="s">
        <v>457</v>
      </c>
      <c r="B136" t="s">
        <v>1808</v>
      </c>
      <c r="C136" t="s">
        <v>608</v>
      </c>
      <c r="D136" t="s">
        <v>2085</v>
      </c>
      <c r="E136" t="s">
        <v>36</v>
      </c>
      <c r="F136" t="s">
        <v>36</v>
      </c>
      <c r="G136" t="s">
        <v>463</v>
      </c>
      <c r="H136" t="s">
        <v>464</v>
      </c>
      <c r="I136" t="s">
        <v>36</v>
      </c>
      <c r="J136" t="s">
        <v>2116</v>
      </c>
      <c r="K136" t="s">
        <v>1817</v>
      </c>
      <c r="L136" s="74">
        <v>44480</v>
      </c>
      <c r="O136" t="s">
        <v>43</v>
      </c>
      <c r="P136" t="s">
        <v>2119</v>
      </c>
      <c r="Q136" t="s">
        <v>45</v>
      </c>
      <c r="R136" t="s">
        <v>46</v>
      </c>
      <c r="S136" t="s">
        <v>297</v>
      </c>
      <c r="T136" t="s">
        <v>298</v>
      </c>
      <c r="U136" t="s">
        <v>1074</v>
      </c>
      <c r="V136" t="s">
        <v>1075</v>
      </c>
      <c r="W136" t="s">
        <v>301</v>
      </c>
      <c r="X136" t="s">
        <v>36</v>
      </c>
      <c r="Y136" t="s">
        <v>36</v>
      </c>
      <c r="Z136" t="s">
        <v>54</v>
      </c>
      <c r="AA136" t="s">
        <v>1830</v>
      </c>
      <c r="AB136" t="s">
        <v>1831</v>
      </c>
      <c r="AC136" t="s">
        <v>4018</v>
      </c>
      <c r="AD136" t="s">
        <v>5017</v>
      </c>
      <c r="AE136">
        <v>100</v>
      </c>
      <c r="AF136" t="s">
        <v>5164</v>
      </c>
      <c r="AG136" t="s">
        <v>5378</v>
      </c>
      <c r="AH136" t="s">
        <v>5366</v>
      </c>
      <c r="AI136" t="s">
        <v>5169</v>
      </c>
      <c r="AJ136" t="s">
        <v>5383</v>
      </c>
      <c r="AK136" t="s">
        <v>36</v>
      </c>
      <c r="AL136" t="s">
        <v>5381</v>
      </c>
      <c r="AM136" t="s">
        <v>36</v>
      </c>
      <c r="AO136" t="s">
        <v>6084</v>
      </c>
      <c r="AP136" t="s">
        <v>4009</v>
      </c>
      <c r="AQ136" t="s">
        <v>4018</v>
      </c>
      <c r="AR136" t="b">
        <v>1</v>
      </c>
    </row>
    <row r="137" spans="1:44">
      <c r="A137" t="s">
        <v>57</v>
      </c>
      <c r="B137" t="s">
        <v>658</v>
      </c>
      <c r="C137" t="s">
        <v>659</v>
      </c>
      <c r="D137" t="s">
        <v>660</v>
      </c>
      <c r="E137" t="s">
        <v>36</v>
      </c>
      <c r="F137" t="s">
        <v>36</v>
      </c>
      <c r="G137" t="s">
        <v>413</v>
      </c>
      <c r="H137" t="s">
        <v>664</v>
      </c>
      <c r="I137" t="s">
        <v>665</v>
      </c>
      <c r="J137" t="s">
        <v>666</v>
      </c>
      <c r="K137" t="s">
        <v>667</v>
      </c>
      <c r="L137" s="74">
        <v>45719</v>
      </c>
      <c r="O137" t="s">
        <v>43</v>
      </c>
      <c r="P137" t="s">
        <v>669</v>
      </c>
      <c r="Q137" t="s">
        <v>70</v>
      </c>
      <c r="R137" t="s">
        <v>46</v>
      </c>
      <c r="S137" t="s">
        <v>47</v>
      </c>
      <c r="T137" t="s">
        <v>48</v>
      </c>
      <c r="U137" t="s">
        <v>49</v>
      </c>
      <c r="V137" t="s">
        <v>50</v>
      </c>
      <c r="W137" t="s">
        <v>51</v>
      </c>
      <c r="X137" t="s">
        <v>36</v>
      </c>
      <c r="Y137" t="s">
        <v>36</v>
      </c>
      <c r="Z137" t="s">
        <v>54</v>
      </c>
      <c r="AA137" t="s">
        <v>680</v>
      </c>
      <c r="AB137" t="s">
        <v>681</v>
      </c>
      <c r="AC137" t="s">
        <v>419</v>
      </c>
      <c r="AD137" t="s">
        <v>5018</v>
      </c>
      <c r="AE137">
        <v>5100</v>
      </c>
      <c r="AF137" t="s">
        <v>5164</v>
      </c>
      <c r="AG137" t="s">
        <v>5378</v>
      </c>
      <c r="AH137" t="s">
        <v>5366</v>
      </c>
      <c r="AI137" t="s">
        <v>5169</v>
      </c>
      <c r="AJ137" t="s">
        <v>5383</v>
      </c>
      <c r="AK137" t="s">
        <v>36</v>
      </c>
      <c r="AL137" t="s">
        <v>5381</v>
      </c>
      <c r="AM137" t="s">
        <v>36</v>
      </c>
      <c r="AO137" t="s">
        <v>6085</v>
      </c>
      <c r="AP137" t="s">
        <v>235</v>
      </c>
      <c r="AQ137" t="s">
        <v>244</v>
      </c>
      <c r="AR137" t="b">
        <v>0</v>
      </c>
    </row>
    <row r="138" spans="1:44">
      <c r="A138" t="s">
        <v>34</v>
      </c>
      <c r="B138" t="s">
        <v>133</v>
      </c>
      <c r="C138" t="s">
        <v>36</v>
      </c>
      <c r="D138" t="s">
        <v>110</v>
      </c>
      <c r="E138" t="s">
        <v>36</v>
      </c>
      <c r="F138" t="s">
        <v>36</v>
      </c>
      <c r="G138" t="s">
        <v>38</v>
      </c>
      <c r="H138" t="s">
        <v>39</v>
      </c>
      <c r="I138" t="s">
        <v>36</v>
      </c>
      <c r="J138" t="s">
        <v>141</v>
      </c>
      <c r="K138" t="s">
        <v>42</v>
      </c>
      <c r="L138" s="74">
        <v>46176</v>
      </c>
      <c r="M138" s="74">
        <v>46182</v>
      </c>
      <c r="O138" t="s">
        <v>143</v>
      </c>
      <c r="P138" t="s">
        <v>144</v>
      </c>
      <c r="Q138" t="s">
        <v>45</v>
      </c>
      <c r="R138" t="s">
        <v>46</v>
      </c>
      <c r="S138" t="s">
        <v>47</v>
      </c>
      <c r="T138" t="s">
        <v>48</v>
      </c>
      <c r="U138" t="s">
        <v>149</v>
      </c>
      <c r="V138" t="s">
        <v>150</v>
      </c>
      <c r="W138" t="s">
        <v>51</v>
      </c>
      <c r="X138" t="s">
        <v>36</v>
      </c>
      <c r="Y138" t="s">
        <v>36</v>
      </c>
      <c r="Z138" t="s">
        <v>54</v>
      </c>
      <c r="AA138" t="s">
        <v>55</v>
      </c>
      <c r="AB138" t="s">
        <v>56</v>
      </c>
      <c r="AC138" t="s">
        <v>669</v>
      </c>
      <c r="AD138" t="s">
        <v>5018</v>
      </c>
      <c r="AE138">
        <v>5300</v>
      </c>
      <c r="AF138" t="s">
        <v>5164</v>
      </c>
      <c r="AG138" t="s">
        <v>5378</v>
      </c>
      <c r="AH138" t="s">
        <v>5366</v>
      </c>
      <c r="AI138" t="s">
        <v>5169</v>
      </c>
      <c r="AJ138" t="s">
        <v>5383</v>
      </c>
      <c r="AK138" t="s">
        <v>36</v>
      </c>
      <c r="AL138" t="s">
        <v>5153</v>
      </c>
      <c r="AM138" t="s">
        <v>6183</v>
      </c>
      <c r="AN138" t="s">
        <v>6148</v>
      </c>
      <c r="AO138" t="s">
        <v>6086</v>
      </c>
      <c r="AP138" t="s">
        <v>660</v>
      </c>
      <c r="AQ138" t="s">
        <v>669</v>
      </c>
      <c r="AR138" t="b">
        <v>1</v>
      </c>
    </row>
    <row r="139" spans="1:44">
      <c r="A139" t="s">
        <v>457</v>
      </c>
      <c r="B139" t="s">
        <v>133</v>
      </c>
      <c r="C139" t="s">
        <v>234</v>
      </c>
      <c r="D139" t="s">
        <v>3809</v>
      </c>
      <c r="E139" t="s">
        <v>36</v>
      </c>
      <c r="F139" t="s">
        <v>36</v>
      </c>
      <c r="G139" t="s">
        <v>463</v>
      </c>
      <c r="H139" t="s">
        <v>464</v>
      </c>
      <c r="I139" t="s">
        <v>36</v>
      </c>
      <c r="J139" t="s">
        <v>3815</v>
      </c>
      <c r="K139" t="s">
        <v>2217</v>
      </c>
      <c r="L139" s="74">
        <v>38139</v>
      </c>
      <c r="O139" t="s">
        <v>43</v>
      </c>
      <c r="P139" t="s">
        <v>3818</v>
      </c>
      <c r="Q139" t="s">
        <v>45</v>
      </c>
      <c r="R139" t="s">
        <v>46</v>
      </c>
      <c r="S139" t="s">
        <v>297</v>
      </c>
      <c r="T139" t="s">
        <v>298</v>
      </c>
      <c r="U139" t="s">
        <v>1074</v>
      </c>
      <c r="V139" t="s">
        <v>1075</v>
      </c>
      <c r="W139" t="s">
        <v>301</v>
      </c>
      <c r="X139" t="s">
        <v>36</v>
      </c>
      <c r="Y139" t="s">
        <v>36</v>
      </c>
      <c r="Z139" t="s">
        <v>54</v>
      </c>
      <c r="AA139" t="s">
        <v>1580</v>
      </c>
      <c r="AB139" t="s">
        <v>1581</v>
      </c>
      <c r="AC139" t="s">
        <v>4018</v>
      </c>
      <c r="AD139" t="s">
        <v>5017</v>
      </c>
      <c r="AE139">
        <v>100</v>
      </c>
      <c r="AF139" t="s">
        <v>5164</v>
      </c>
      <c r="AG139" t="s">
        <v>5378</v>
      </c>
      <c r="AH139" t="s">
        <v>5366</v>
      </c>
      <c r="AI139" t="s">
        <v>5169</v>
      </c>
      <c r="AJ139" t="s">
        <v>5383</v>
      </c>
      <c r="AK139" t="s">
        <v>36</v>
      </c>
      <c r="AL139" t="s">
        <v>5381</v>
      </c>
      <c r="AM139" t="s">
        <v>36</v>
      </c>
      <c r="AO139" t="s">
        <v>6087</v>
      </c>
      <c r="AP139" t="s">
        <v>4009</v>
      </c>
      <c r="AQ139" t="s">
        <v>4018</v>
      </c>
      <c r="AR139" t="b">
        <v>1</v>
      </c>
    </row>
    <row r="140" spans="1:44">
      <c r="A140" t="s">
        <v>57</v>
      </c>
      <c r="B140" t="s">
        <v>333</v>
      </c>
      <c r="C140" t="s">
        <v>36</v>
      </c>
      <c r="D140" t="s">
        <v>410</v>
      </c>
      <c r="E140" t="s">
        <v>36</v>
      </c>
      <c r="F140" t="s">
        <v>36</v>
      </c>
      <c r="G140" t="s">
        <v>413</v>
      </c>
      <c r="H140" t="s">
        <v>89</v>
      </c>
      <c r="I140" t="s">
        <v>415</v>
      </c>
      <c r="J140" t="s">
        <v>416</v>
      </c>
      <c r="K140" t="s">
        <v>417</v>
      </c>
      <c r="L140" s="74">
        <v>45565</v>
      </c>
      <c r="O140" t="s">
        <v>43</v>
      </c>
      <c r="P140" t="s">
        <v>419</v>
      </c>
      <c r="Q140" t="s">
        <v>70</v>
      </c>
      <c r="R140" t="s">
        <v>46</v>
      </c>
      <c r="S140" t="s">
        <v>47</v>
      </c>
      <c r="T140" t="s">
        <v>48</v>
      </c>
      <c r="U140" t="s">
        <v>199</v>
      </c>
      <c r="V140" t="s">
        <v>200</v>
      </c>
      <c r="W140" t="s">
        <v>51</v>
      </c>
      <c r="X140" t="s">
        <v>36</v>
      </c>
      <c r="Y140" t="s">
        <v>36</v>
      </c>
      <c r="Z140" t="s">
        <v>54</v>
      </c>
      <c r="AA140" t="s">
        <v>80</v>
      </c>
      <c r="AB140" t="s">
        <v>81</v>
      </c>
      <c r="AC140" t="s">
        <v>2144</v>
      </c>
      <c r="AD140" t="s">
        <v>5018</v>
      </c>
      <c r="AE140">
        <v>5200</v>
      </c>
      <c r="AF140" t="s">
        <v>5164</v>
      </c>
      <c r="AG140" t="s">
        <v>5378</v>
      </c>
      <c r="AH140" t="s">
        <v>5366</v>
      </c>
      <c r="AI140" t="s">
        <v>5169</v>
      </c>
      <c r="AJ140" t="s">
        <v>5383</v>
      </c>
      <c r="AK140" t="s">
        <v>36</v>
      </c>
      <c r="AL140" t="s">
        <v>5381</v>
      </c>
      <c r="AM140" t="s">
        <v>36</v>
      </c>
      <c r="AO140" t="s">
        <v>6088</v>
      </c>
      <c r="AP140" t="s">
        <v>235</v>
      </c>
      <c r="AQ140" t="s">
        <v>244</v>
      </c>
      <c r="AR140" t="b">
        <v>0</v>
      </c>
    </row>
    <row r="141" spans="1:44">
      <c r="A141" t="s">
        <v>457</v>
      </c>
      <c r="B141" t="s">
        <v>333</v>
      </c>
      <c r="C141" t="s">
        <v>684</v>
      </c>
      <c r="D141" t="s">
        <v>1135</v>
      </c>
      <c r="E141" t="s">
        <v>36</v>
      </c>
      <c r="F141" t="s">
        <v>36</v>
      </c>
      <c r="G141" t="s">
        <v>1013</v>
      </c>
      <c r="H141" t="s">
        <v>1014</v>
      </c>
      <c r="I141" t="s">
        <v>36</v>
      </c>
      <c r="J141" t="s">
        <v>1141</v>
      </c>
      <c r="K141" t="s">
        <v>617</v>
      </c>
      <c r="L141" s="74">
        <v>45806</v>
      </c>
      <c r="O141" t="s">
        <v>43</v>
      </c>
      <c r="P141" t="s">
        <v>1144</v>
      </c>
      <c r="Q141" t="s">
        <v>45</v>
      </c>
      <c r="R141" t="s">
        <v>46</v>
      </c>
      <c r="S141" t="s">
        <v>297</v>
      </c>
      <c r="T141" t="s">
        <v>298</v>
      </c>
      <c r="U141" t="s">
        <v>474</v>
      </c>
      <c r="V141" t="s">
        <v>475</v>
      </c>
      <c r="W141" t="s">
        <v>301</v>
      </c>
      <c r="X141" t="s">
        <v>36</v>
      </c>
      <c r="Y141" t="s">
        <v>36</v>
      </c>
      <c r="Z141" t="s">
        <v>54</v>
      </c>
      <c r="AA141" t="s">
        <v>480</v>
      </c>
      <c r="AB141" t="s">
        <v>481</v>
      </c>
      <c r="AC141" t="s">
        <v>4643</v>
      </c>
      <c r="AD141" t="s">
        <v>5017</v>
      </c>
      <c r="AE141">
        <v>200</v>
      </c>
      <c r="AF141" t="s">
        <v>5164</v>
      </c>
      <c r="AG141" t="s">
        <v>5378</v>
      </c>
      <c r="AH141" t="s">
        <v>5366</v>
      </c>
      <c r="AI141" t="s">
        <v>5169</v>
      </c>
      <c r="AJ141" t="s">
        <v>5383</v>
      </c>
      <c r="AK141" t="s">
        <v>36</v>
      </c>
      <c r="AL141" t="s">
        <v>5381</v>
      </c>
      <c r="AM141" t="s">
        <v>36</v>
      </c>
      <c r="AO141" t="s">
        <v>6089</v>
      </c>
      <c r="AP141" t="s">
        <v>4634</v>
      </c>
      <c r="AQ141" t="s">
        <v>4643</v>
      </c>
      <c r="AR141" t="b">
        <v>1</v>
      </c>
    </row>
    <row r="142" spans="1:44">
      <c r="A142" t="s">
        <v>57</v>
      </c>
      <c r="B142" t="s">
        <v>333</v>
      </c>
      <c r="C142" t="s">
        <v>234</v>
      </c>
      <c r="D142" t="s">
        <v>335</v>
      </c>
      <c r="E142" t="s">
        <v>36</v>
      </c>
      <c r="F142" t="s">
        <v>36</v>
      </c>
      <c r="G142" t="s">
        <v>63</v>
      </c>
      <c r="H142" t="s">
        <v>64</v>
      </c>
      <c r="I142" t="s">
        <v>340</v>
      </c>
      <c r="J142" t="s">
        <v>341</v>
      </c>
      <c r="K142" t="s">
        <v>67</v>
      </c>
      <c r="L142" s="74">
        <v>46202</v>
      </c>
      <c r="O142" t="s">
        <v>43</v>
      </c>
      <c r="P142" t="s">
        <v>344</v>
      </c>
      <c r="Q142" t="s">
        <v>70</v>
      </c>
      <c r="R142" t="s">
        <v>46</v>
      </c>
      <c r="S142" t="s">
        <v>47</v>
      </c>
      <c r="T142" t="s">
        <v>48</v>
      </c>
      <c r="U142" t="s">
        <v>74</v>
      </c>
      <c r="V142" t="s">
        <v>75</v>
      </c>
      <c r="W142" t="s">
        <v>351</v>
      </c>
      <c r="X142" t="s">
        <v>36</v>
      </c>
      <c r="Y142" t="s">
        <v>36</v>
      </c>
      <c r="Z142" t="s">
        <v>54</v>
      </c>
      <c r="AA142" t="s">
        <v>80</v>
      </c>
      <c r="AB142" t="s">
        <v>81</v>
      </c>
      <c r="AC142" t="s">
        <v>3719</v>
      </c>
      <c r="AD142" t="s">
        <v>5018</v>
      </c>
      <c r="AE142">
        <v>8200</v>
      </c>
      <c r="AF142" t="s">
        <v>5164</v>
      </c>
      <c r="AG142" t="s">
        <v>5378</v>
      </c>
      <c r="AH142" t="s">
        <v>5366</v>
      </c>
      <c r="AI142" t="s">
        <v>5169</v>
      </c>
      <c r="AJ142" t="s">
        <v>5383</v>
      </c>
      <c r="AK142" t="s">
        <v>36</v>
      </c>
      <c r="AL142" t="s">
        <v>5381</v>
      </c>
      <c r="AM142" t="s">
        <v>36</v>
      </c>
      <c r="AO142" t="s">
        <v>6090</v>
      </c>
      <c r="AP142" t="s">
        <v>3685</v>
      </c>
      <c r="AQ142" t="s">
        <v>3694</v>
      </c>
      <c r="AR142" t="b">
        <v>0</v>
      </c>
    </row>
    <row r="143" spans="1:44">
      <c r="A143" t="s">
        <v>457</v>
      </c>
      <c r="B143" t="s">
        <v>333</v>
      </c>
      <c r="C143" t="s">
        <v>234</v>
      </c>
      <c r="D143" t="s">
        <v>1560</v>
      </c>
      <c r="E143" t="s">
        <v>36</v>
      </c>
      <c r="F143" t="s">
        <v>36</v>
      </c>
      <c r="G143" t="s">
        <v>1013</v>
      </c>
      <c r="H143" t="s">
        <v>1014</v>
      </c>
      <c r="I143" t="s">
        <v>1565</v>
      </c>
      <c r="J143" t="s">
        <v>36</v>
      </c>
      <c r="K143" t="s">
        <v>1567</v>
      </c>
      <c r="L143" s="74">
        <v>42072</v>
      </c>
      <c r="O143" t="s">
        <v>43</v>
      </c>
      <c r="P143" t="s">
        <v>1569</v>
      </c>
      <c r="Q143" t="s">
        <v>45</v>
      </c>
      <c r="R143" t="s">
        <v>46</v>
      </c>
      <c r="S143" t="s">
        <v>297</v>
      </c>
      <c r="T143" t="s">
        <v>298</v>
      </c>
      <c r="U143" t="s">
        <v>474</v>
      </c>
      <c r="V143" t="s">
        <v>475</v>
      </c>
      <c r="W143" t="s">
        <v>301</v>
      </c>
      <c r="X143" t="s">
        <v>36</v>
      </c>
      <c r="Y143" t="s">
        <v>36</v>
      </c>
      <c r="Z143" t="s">
        <v>54</v>
      </c>
      <c r="AA143" t="s">
        <v>1580</v>
      </c>
      <c r="AB143" t="s">
        <v>1581</v>
      </c>
      <c r="AC143" t="s">
        <v>4643</v>
      </c>
      <c r="AD143" t="s">
        <v>5017</v>
      </c>
      <c r="AE143">
        <v>200</v>
      </c>
      <c r="AF143" t="s">
        <v>5164</v>
      </c>
      <c r="AG143" t="s">
        <v>5378</v>
      </c>
      <c r="AH143" t="s">
        <v>5366</v>
      </c>
      <c r="AI143" t="s">
        <v>5169</v>
      </c>
      <c r="AJ143" t="s">
        <v>5383</v>
      </c>
      <c r="AK143" t="s">
        <v>36</v>
      </c>
      <c r="AL143" t="s">
        <v>5381</v>
      </c>
      <c r="AM143" t="s">
        <v>36</v>
      </c>
      <c r="AO143" t="s">
        <v>6091</v>
      </c>
      <c r="AP143" t="s">
        <v>4634</v>
      </c>
      <c r="AQ143" t="s">
        <v>4643</v>
      </c>
      <c r="AR143" t="b">
        <v>1</v>
      </c>
    </row>
    <row r="144" spans="1:44">
      <c r="A144" t="s">
        <v>57</v>
      </c>
      <c r="B144" t="s">
        <v>333</v>
      </c>
      <c r="C144" t="s">
        <v>36</v>
      </c>
      <c r="D144" t="s">
        <v>2035</v>
      </c>
      <c r="E144" t="s">
        <v>36</v>
      </c>
      <c r="F144" t="s">
        <v>36</v>
      </c>
      <c r="G144" t="s">
        <v>63</v>
      </c>
      <c r="H144" t="s">
        <v>64</v>
      </c>
      <c r="I144" t="s">
        <v>2040</v>
      </c>
      <c r="J144" t="s">
        <v>2041</v>
      </c>
      <c r="K144" t="s">
        <v>67</v>
      </c>
      <c r="L144" s="74">
        <v>45895</v>
      </c>
      <c r="O144" t="s">
        <v>43</v>
      </c>
      <c r="P144" t="s">
        <v>2044</v>
      </c>
      <c r="Q144" t="s">
        <v>70</v>
      </c>
      <c r="R144" t="s">
        <v>46</v>
      </c>
      <c r="S144" t="s">
        <v>47</v>
      </c>
      <c r="T144" t="s">
        <v>48</v>
      </c>
      <c r="U144" t="s">
        <v>74</v>
      </c>
      <c r="V144" t="s">
        <v>75</v>
      </c>
      <c r="W144" t="s">
        <v>2051</v>
      </c>
      <c r="X144" t="s">
        <v>36</v>
      </c>
      <c r="Y144" t="s">
        <v>36</v>
      </c>
      <c r="Z144" t="s">
        <v>54</v>
      </c>
      <c r="AA144" t="s">
        <v>80</v>
      </c>
      <c r="AB144" t="s">
        <v>81</v>
      </c>
      <c r="AC144" t="s">
        <v>3719</v>
      </c>
      <c r="AD144" t="s">
        <v>5018</v>
      </c>
      <c r="AE144">
        <v>8200</v>
      </c>
      <c r="AF144" t="s">
        <v>5164</v>
      </c>
      <c r="AG144" t="s">
        <v>5378</v>
      </c>
      <c r="AH144" t="s">
        <v>5366</v>
      </c>
      <c r="AI144" t="s">
        <v>5169</v>
      </c>
      <c r="AJ144" t="s">
        <v>5383</v>
      </c>
      <c r="AK144" t="s">
        <v>36</v>
      </c>
      <c r="AL144" t="s">
        <v>5381</v>
      </c>
      <c r="AM144" t="s">
        <v>36</v>
      </c>
      <c r="AO144" t="s">
        <v>6092</v>
      </c>
      <c r="AP144" t="s">
        <v>3685</v>
      </c>
      <c r="AQ144" t="s">
        <v>3694</v>
      </c>
      <c r="AR144" t="b">
        <v>0</v>
      </c>
    </row>
    <row r="145" spans="1:44">
      <c r="A145" t="s">
        <v>34</v>
      </c>
      <c r="B145" t="s">
        <v>333</v>
      </c>
      <c r="C145" t="s">
        <v>36</v>
      </c>
      <c r="D145" t="s">
        <v>2960</v>
      </c>
      <c r="E145" t="s">
        <v>36</v>
      </c>
      <c r="F145" t="s">
        <v>36</v>
      </c>
      <c r="G145" t="s">
        <v>1488</v>
      </c>
      <c r="H145" t="s">
        <v>1489</v>
      </c>
      <c r="I145" t="s">
        <v>2965</v>
      </c>
      <c r="J145" t="s">
        <v>2966</v>
      </c>
      <c r="K145" t="s">
        <v>1492</v>
      </c>
      <c r="L145" s="74">
        <v>45040</v>
      </c>
      <c r="O145" t="s">
        <v>43</v>
      </c>
      <c r="P145" t="s">
        <v>2969</v>
      </c>
      <c r="Q145" t="s">
        <v>45</v>
      </c>
      <c r="R145" t="s">
        <v>46</v>
      </c>
      <c r="S145" t="s">
        <v>47</v>
      </c>
      <c r="T145" t="s">
        <v>48</v>
      </c>
      <c r="U145" t="s">
        <v>724</v>
      </c>
      <c r="V145" t="s">
        <v>950</v>
      </c>
      <c r="W145" t="s">
        <v>51</v>
      </c>
      <c r="X145" t="s">
        <v>36</v>
      </c>
      <c r="Y145" t="s">
        <v>36</v>
      </c>
      <c r="Z145" t="s">
        <v>54</v>
      </c>
      <c r="AA145" t="s">
        <v>680</v>
      </c>
      <c r="AB145" t="s">
        <v>681</v>
      </c>
      <c r="AC145" t="s">
        <v>3544</v>
      </c>
      <c r="AD145" t="s">
        <v>5018</v>
      </c>
      <c r="AE145">
        <v>8100</v>
      </c>
      <c r="AF145" t="s">
        <v>5164</v>
      </c>
      <c r="AG145" t="s">
        <v>5378</v>
      </c>
      <c r="AH145" t="s">
        <v>5366</v>
      </c>
      <c r="AI145" t="s">
        <v>5169</v>
      </c>
      <c r="AJ145" t="s">
        <v>5383</v>
      </c>
      <c r="AK145" t="s">
        <v>36</v>
      </c>
      <c r="AL145" t="s">
        <v>5381</v>
      </c>
      <c r="AM145" t="s">
        <v>36</v>
      </c>
      <c r="AO145" t="s">
        <v>6093</v>
      </c>
      <c r="AP145" t="s">
        <v>3535</v>
      </c>
      <c r="AQ145" t="s">
        <v>3544</v>
      </c>
      <c r="AR145" t="b">
        <v>1</v>
      </c>
    </row>
    <row r="146" spans="1:44">
      <c r="A146" t="s">
        <v>34</v>
      </c>
      <c r="B146" t="s">
        <v>333</v>
      </c>
      <c r="C146" t="s">
        <v>36</v>
      </c>
      <c r="D146" t="s">
        <v>2960</v>
      </c>
      <c r="E146" t="s">
        <v>36</v>
      </c>
      <c r="F146" t="s">
        <v>36</v>
      </c>
      <c r="G146" t="s">
        <v>1488</v>
      </c>
      <c r="H146" t="s">
        <v>1489</v>
      </c>
      <c r="I146" t="s">
        <v>2965</v>
      </c>
      <c r="J146" t="s">
        <v>2966</v>
      </c>
      <c r="K146" t="s">
        <v>1492</v>
      </c>
      <c r="L146" s="74">
        <v>45040</v>
      </c>
      <c r="O146" t="s">
        <v>43</v>
      </c>
      <c r="P146" t="s">
        <v>2969</v>
      </c>
      <c r="Q146" t="s">
        <v>70</v>
      </c>
      <c r="R146" t="s">
        <v>46</v>
      </c>
      <c r="S146" t="s">
        <v>47</v>
      </c>
      <c r="T146" t="s">
        <v>48</v>
      </c>
      <c r="U146" t="s">
        <v>724</v>
      </c>
      <c r="V146" t="s">
        <v>950</v>
      </c>
      <c r="W146" t="s">
        <v>51</v>
      </c>
      <c r="X146" t="s">
        <v>36</v>
      </c>
      <c r="Y146" t="s">
        <v>36</v>
      </c>
      <c r="Z146" t="s">
        <v>54</v>
      </c>
      <c r="AA146" t="s">
        <v>680</v>
      </c>
      <c r="AB146" t="s">
        <v>681</v>
      </c>
      <c r="AC146" t="s">
        <v>3544</v>
      </c>
      <c r="AD146" t="s">
        <v>5018</v>
      </c>
      <c r="AE146">
        <v>8100</v>
      </c>
      <c r="AF146" t="s">
        <v>5164</v>
      </c>
      <c r="AG146" t="s">
        <v>5378</v>
      </c>
      <c r="AH146" t="s">
        <v>5366</v>
      </c>
      <c r="AI146" t="s">
        <v>5169</v>
      </c>
      <c r="AJ146" t="s">
        <v>5383</v>
      </c>
      <c r="AK146" t="s">
        <v>36</v>
      </c>
      <c r="AL146" t="s">
        <v>5381</v>
      </c>
      <c r="AM146" t="s">
        <v>36</v>
      </c>
      <c r="AO146" t="s">
        <v>6093</v>
      </c>
      <c r="AP146" t="s">
        <v>3535</v>
      </c>
      <c r="AQ146" t="s">
        <v>3544</v>
      </c>
      <c r="AR146" t="b">
        <v>1</v>
      </c>
    </row>
    <row r="147" spans="1:44">
      <c r="A147" t="s">
        <v>57</v>
      </c>
      <c r="B147" t="s">
        <v>333</v>
      </c>
      <c r="C147" t="s">
        <v>36</v>
      </c>
      <c r="D147" t="s">
        <v>2960</v>
      </c>
      <c r="E147" t="s">
        <v>36</v>
      </c>
      <c r="F147" t="s">
        <v>36</v>
      </c>
      <c r="G147" t="s">
        <v>36</v>
      </c>
      <c r="H147" t="s">
        <v>36</v>
      </c>
      <c r="I147" t="s">
        <v>2965</v>
      </c>
      <c r="J147" t="s">
        <v>2966</v>
      </c>
      <c r="K147" t="s">
        <v>1492</v>
      </c>
      <c r="L147" s="74">
        <v>45040</v>
      </c>
      <c r="M147" s="74">
        <v>46175</v>
      </c>
      <c r="O147" t="s">
        <v>143</v>
      </c>
      <c r="P147" t="s">
        <v>2969</v>
      </c>
      <c r="Q147" t="s">
        <v>70</v>
      </c>
      <c r="R147" t="s">
        <v>46</v>
      </c>
      <c r="S147" t="s">
        <v>47</v>
      </c>
      <c r="T147" t="s">
        <v>48</v>
      </c>
      <c r="U147" t="s">
        <v>724</v>
      </c>
      <c r="V147" t="s">
        <v>950</v>
      </c>
      <c r="W147" t="s">
        <v>51</v>
      </c>
      <c r="X147" t="s">
        <v>36</v>
      </c>
      <c r="Y147" t="s">
        <v>36</v>
      </c>
      <c r="Z147" t="s">
        <v>54</v>
      </c>
      <c r="AA147" t="s">
        <v>680</v>
      </c>
      <c r="AB147" t="s">
        <v>681</v>
      </c>
      <c r="AC147" t="s">
        <v>36</v>
      </c>
      <c r="AD147" t="s">
        <v>5018</v>
      </c>
      <c r="AE147">
        <v>8100</v>
      </c>
      <c r="AF147" t="s">
        <v>5164</v>
      </c>
      <c r="AG147" t="s">
        <v>5378</v>
      </c>
      <c r="AH147" t="s">
        <v>5366</v>
      </c>
      <c r="AI147" t="s">
        <v>5169</v>
      </c>
      <c r="AJ147" t="s">
        <v>5383</v>
      </c>
      <c r="AK147" t="s">
        <v>36</v>
      </c>
      <c r="AL147" t="s">
        <v>5153</v>
      </c>
      <c r="AM147" t="s">
        <v>6160</v>
      </c>
      <c r="AN147" t="s">
        <v>6148</v>
      </c>
      <c r="AO147" t="s">
        <v>6093</v>
      </c>
      <c r="AP147" t="e">
        <v>#VALUE!</v>
      </c>
      <c r="AQ147" t="s">
        <v>6149</v>
      </c>
      <c r="AR147" t="b">
        <v>0</v>
      </c>
    </row>
    <row r="148" spans="1:44">
      <c r="A148" t="s">
        <v>282</v>
      </c>
      <c r="B148" t="s">
        <v>333</v>
      </c>
      <c r="C148" t="s">
        <v>36</v>
      </c>
      <c r="D148" t="s">
        <v>4009</v>
      </c>
      <c r="E148" t="s">
        <v>36</v>
      </c>
      <c r="F148" t="s">
        <v>36</v>
      </c>
      <c r="G148" t="s">
        <v>1788</v>
      </c>
      <c r="H148" t="s">
        <v>1789</v>
      </c>
      <c r="I148" t="s">
        <v>4014</v>
      </c>
      <c r="J148" t="s">
        <v>4015</v>
      </c>
      <c r="K148" t="s">
        <v>4016</v>
      </c>
      <c r="L148" s="74">
        <v>45453</v>
      </c>
      <c r="O148" t="s">
        <v>43</v>
      </c>
      <c r="P148" t="s">
        <v>4018</v>
      </c>
      <c r="Q148" t="s">
        <v>70</v>
      </c>
      <c r="R148" t="s">
        <v>46</v>
      </c>
      <c r="S148" t="s">
        <v>297</v>
      </c>
      <c r="T148" t="s">
        <v>298</v>
      </c>
      <c r="U148" t="s">
        <v>4023</v>
      </c>
      <c r="V148" t="s">
        <v>4024</v>
      </c>
      <c r="W148" t="s">
        <v>301</v>
      </c>
      <c r="X148" t="s">
        <v>36</v>
      </c>
      <c r="Y148" t="s">
        <v>36</v>
      </c>
      <c r="Z148" t="s">
        <v>54</v>
      </c>
      <c r="AA148" t="s">
        <v>755</v>
      </c>
      <c r="AB148" t="s">
        <v>756</v>
      </c>
      <c r="AC148" t="s">
        <v>1344</v>
      </c>
      <c r="AD148" t="s">
        <v>5017</v>
      </c>
      <c r="AE148">
        <v>515</v>
      </c>
      <c r="AF148" t="s">
        <v>5164</v>
      </c>
      <c r="AG148" t="s">
        <v>5378</v>
      </c>
      <c r="AH148" t="s">
        <v>5366</v>
      </c>
      <c r="AI148" t="s">
        <v>5169</v>
      </c>
      <c r="AJ148" t="s">
        <v>5383</v>
      </c>
      <c r="AK148" t="s">
        <v>36</v>
      </c>
      <c r="AL148" t="s">
        <v>5381</v>
      </c>
      <c r="AM148" t="s">
        <v>36</v>
      </c>
      <c r="AO148" t="s">
        <v>6094</v>
      </c>
      <c r="AP148" t="s">
        <v>1335</v>
      </c>
      <c r="AQ148" t="s">
        <v>1344</v>
      </c>
      <c r="AR148" t="b">
        <v>1</v>
      </c>
    </row>
    <row r="149" spans="1:44">
      <c r="A149" t="s">
        <v>457</v>
      </c>
      <c r="B149" t="s">
        <v>333</v>
      </c>
      <c r="C149" t="s">
        <v>1459</v>
      </c>
      <c r="D149" t="s">
        <v>1460</v>
      </c>
      <c r="E149" t="s">
        <v>36</v>
      </c>
      <c r="F149" t="s">
        <v>36</v>
      </c>
      <c r="G149" t="s">
        <v>36</v>
      </c>
      <c r="H149" t="s">
        <v>36</v>
      </c>
      <c r="I149" t="s">
        <v>1465</v>
      </c>
      <c r="J149" t="s">
        <v>36</v>
      </c>
      <c r="K149" t="s">
        <v>1467</v>
      </c>
      <c r="L149" s="74">
        <v>33742</v>
      </c>
      <c r="M149" s="74">
        <v>46027</v>
      </c>
      <c r="O149" t="s">
        <v>1468</v>
      </c>
      <c r="P149" t="s">
        <v>1469</v>
      </c>
      <c r="Q149" t="s">
        <v>45</v>
      </c>
      <c r="R149" t="s">
        <v>46</v>
      </c>
      <c r="S149" t="s">
        <v>297</v>
      </c>
      <c r="T149" t="s">
        <v>298</v>
      </c>
      <c r="U149" t="s">
        <v>1474</v>
      </c>
      <c r="V149" t="s">
        <v>1475</v>
      </c>
      <c r="W149" t="s">
        <v>301</v>
      </c>
      <c r="X149" t="s">
        <v>36</v>
      </c>
      <c r="Y149" t="s">
        <v>36</v>
      </c>
      <c r="Z149" t="s">
        <v>54</v>
      </c>
      <c r="AA149" t="s">
        <v>1130</v>
      </c>
      <c r="AB149" t="s">
        <v>1131</v>
      </c>
      <c r="AC149" t="s">
        <v>36</v>
      </c>
      <c r="AD149" t="s">
        <v>5017</v>
      </c>
      <c r="AE149">
        <v>450</v>
      </c>
      <c r="AF149" t="s">
        <v>5164</v>
      </c>
      <c r="AG149" t="s">
        <v>5378</v>
      </c>
      <c r="AH149" t="s">
        <v>5366</v>
      </c>
      <c r="AI149" t="s">
        <v>5169</v>
      </c>
      <c r="AJ149" t="s">
        <v>5383</v>
      </c>
      <c r="AK149" t="s">
        <v>36</v>
      </c>
      <c r="AL149" t="s">
        <v>5153</v>
      </c>
      <c r="AM149" t="s">
        <v>6184</v>
      </c>
      <c r="AN149" t="s">
        <v>6151</v>
      </c>
      <c r="AO149" t="s">
        <v>6095</v>
      </c>
      <c r="AP149" t="e">
        <v>#VALUE!</v>
      </c>
      <c r="AQ149" t="s">
        <v>6149</v>
      </c>
      <c r="AR149" t="b">
        <v>0</v>
      </c>
    </row>
    <row r="150" spans="1:44">
      <c r="A150" t="s">
        <v>457</v>
      </c>
      <c r="B150" t="s">
        <v>2258</v>
      </c>
      <c r="C150" t="s">
        <v>1184</v>
      </c>
      <c r="D150" t="s">
        <v>2785</v>
      </c>
      <c r="E150" t="s">
        <v>36</v>
      </c>
      <c r="F150" t="s">
        <v>36</v>
      </c>
      <c r="G150" t="s">
        <v>36</v>
      </c>
      <c r="H150" t="s">
        <v>464</v>
      </c>
      <c r="I150" t="s">
        <v>36</v>
      </c>
      <c r="J150" t="s">
        <v>2791</v>
      </c>
      <c r="K150" t="s">
        <v>1817</v>
      </c>
      <c r="L150" s="74">
        <v>45755</v>
      </c>
      <c r="M150" s="74">
        <v>46227</v>
      </c>
      <c r="O150" t="s">
        <v>143</v>
      </c>
      <c r="P150" t="s">
        <v>2794</v>
      </c>
      <c r="Q150" t="s">
        <v>45</v>
      </c>
      <c r="R150" t="s">
        <v>46</v>
      </c>
      <c r="S150" t="s">
        <v>297</v>
      </c>
      <c r="T150" t="s">
        <v>298</v>
      </c>
      <c r="U150" t="s">
        <v>1074</v>
      </c>
      <c r="V150" t="s">
        <v>1075</v>
      </c>
      <c r="W150" t="s">
        <v>301</v>
      </c>
      <c r="X150" t="s">
        <v>36</v>
      </c>
      <c r="Y150" t="s">
        <v>36</v>
      </c>
      <c r="Z150" t="s">
        <v>54</v>
      </c>
      <c r="AA150" t="s">
        <v>1830</v>
      </c>
      <c r="AB150" t="s">
        <v>1831</v>
      </c>
      <c r="AC150" t="s">
        <v>4018</v>
      </c>
      <c r="AD150" t="s">
        <v>5017</v>
      </c>
      <c r="AE150">
        <v>100</v>
      </c>
      <c r="AF150" t="s">
        <v>5164</v>
      </c>
      <c r="AG150" t="s">
        <v>5378</v>
      </c>
      <c r="AH150" t="s">
        <v>5366</v>
      </c>
      <c r="AI150" t="s">
        <v>5169</v>
      </c>
      <c r="AJ150" t="s">
        <v>5383</v>
      </c>
      <c r="AK150" t="s">
        <v>36</v>
      </c>
      <c r="AL150" t="s">
        <v>5153</v>
      </c>
      <c r="AM150" t="s">
        <v>6169</v>
      </c>
      <c r="AN150" t="s">
        <v>6151</v>
      </c>
      <c r="AO150" t="s">
        <v>6096</v>
      </c>
      <c r="AP150" t="e">
        <v>#VALUE!</v>
      </c>
      <c r="AQ150" t="s">
        <v>6149</v>
      </c>
      <c r="AR150" t="b">
        <v>0</v>
      </c>
    </row>
    <row r="151" spans="1:44">
      <c r="A151" t="s">
        <v>34</v>
      </c>
      <c r="B151" t="s">
        <v>2258</v>
      </c>
      <c r="C151" t="s">
        <v>36</v>
      </c>
      <c r="D151" t="s">
        <v>2260</v>
      </c>
      <c r="E151" t="s">
        <v>36</v>
      </c>
      <c r="F151" t="s">
        <v>36</v>
      </c>
      <c r="G151" t="s">
        <v>188</v>
      </c>
      <c r="H151" t="s">
        <v>189</v>
      </c>
      <c r="I151" t="s">
        <v>36</v>
      </c>
      <c r="J151" t="s">
        <v>2266</v>
      </c>
      <c r="K151" t="s">
        <v>42</v>
      </c>
      <c r="L151" s="74">
        <v>45831</v>
      </c>
      <c r="O151" t="s">
        <v>43</v>
      </c>
      <c r="P151" t="s">
        <v>2269</v>
      </c>
      <c r="Q151" t="s">
        <v>45</v>
      </c>
      <c r="R151" t="s">
        <v>46</v>
      </c>
      <c r="S151" t="s">
        <v>47</v>
      </c>
      <c r="T151" t="s">
        <v>48</v>
      </c>
      <c r="U151" t="s">
        <v>199</v>
      </c>
      <c r="V151" t="s">
        <v>200</v>
      </c>
      <c r="W151" t="s">
        <v>51</v>
      </c>
      <c r="X151" t="s">
        <v>36</v>
      </c>
      <c r="Y151" t="s">
        <v>36</v>
      </c>
      <c r="Z151" t="s">
        <v>54</v>
      </c>
      <c r="AA151" t="s">
        <v>55</v>
      </c>
      <c r="AB151" t="s">
        <v>56</v>
      </c>
      <c r="AC151" t="s">
        <v>2294</v>
      </c>
      <c r="AD151" t="s">
        <v>5018</v>
      </c>
      <c r="AE151">
        <v>5200</v>
      </c>
      <c r="AF151" t="s">
        <v>5164</v>
      </c>
      <c r="AG151" t="s">
        <v>5378</v>
      </c>
      <c r="AH151" t="s">
        <v>5366</v>
      </c>
      <c r="AI151" t="s">
        <v>5169</v>
      </c>
      <c r="AJ151" t="s">
        <v>5383</v>
      </c>
      <c r="AK151" t="s">
        <v>36</v>
      </c>
      <c r="AL151" t="s">
        <v>5381</v>
      </c>
      <c r="AM151" t="s">
        <v>36</v>
      </c>
      <c r="AO151" t="s">
        <v>6097</v>
      </c>
      <c r="AP151" t="s">
        <v>2285</v>
      </c>
      <c r="AQ151" t="s">
        <v>2294</v>
      </c>
      <c r="AR151" t="b">
        <v>1</v>
      </c>
    </row>
    <row r="152" spans="1:44">
      <c r="A152" t="s">
        <v>34</v>
      </c>
      <c r="B152" t="s">
        <v>3982</v>
      </c>
      <c r="C152" t="s">
        <v>36</v>
      </c>
      <c r="D152" t="s">
        <v>3984</v>
      </c>
      <c r="E152" t="s">
        <v>36</v>
      </c>
      <c r="F152" t="s">
        <v>36</v>
      </c>
      <c r="G152" t="s">
        <v>188</v>
      </c>
      <c r="H152" t="s">
        <v>189</v>
      </c>
      <c r="I152" t="s">
        <v>3989</v>
      </c>
      <c r="J152" t="s">
        <v>3990</v>
      </c>
      <c r="K152" t="s">
        <v>42</v>
      </c>
      <c r="L152" s="74">
        <v>45187</v>
      </c>
      <c r="O152" t="s">
        <v>43</v>
      </c>
      <c r="P152" t="s">
        <v>3993</v>
      </c>
      <c r="Q152" t="s">
        <v>45</v>
      </c>
      <c r="R152" t="s">
        <v>46</v>
      </c>
      <c r="S152" t="s">
        <v>47</v>
      </c>
      <c r="T152" t="s">
        <v>48</v>
      </c>
      <c r="U152" t="s">
        <v>199</v>
      </c>
      <c r="V152" t="s">
        <v>200</v>
      </c>
      <c r="W152" t="s">
        <v>51</v>
      </c>
      <c r="X152" t="s">
        <v>36</v>
      </c>
      <c r="Y152" t="s">
        <v>36</v>
      </c>
      <c r="Z152" t="s">
        <v>54</v>
      </c>
      <c r="AA152" t="s">
        <v>55</v>
      </c>
      <c r="AB152" t="s">
        <v>56</v>
      </c>
      <c r="AC152" t="s">
        <v>2294</v>
      </c>
      <c r="AD152" t="s">
        <v>5018</v>
      </c>
      <c r="AE152">
        <v>5200</v>
      </c>
      <c r="AF152" t="s">
        <v>5164</v>
      </c>
      <c r="AG152" t="s">
        <v>5378</v>
      </c>
      <c r="AH152" t="s">
        <v>5366</v>
      </c>
      <c r="AI152" t="s">
        <v>5169</v>
      </c>
      <c r="AJ152" t="s">
        <v>5383</v>
      </c>
      <c r="AK152" t="s">
        <v>36</v>
      </c>
      <c r="AL152" t="s">
        <v>5381</v>
      </c>
      <c r="AM152" t="s">
        <v>36</v>
      </c>
      <c r="AO152" t="s">
        <v>6098</v>
      </c>
      <c r="AP152" t="s">
        <v>2285</v>
      </c>
      <c r="AQ152" t="s">
        <v>2294</v>
      </c>
      <c r="AR152" t="b">
        <v>1</v>
      </c>
    </row>
    <row r="153" spans="1:44">
      <c r="A153" t="s">
        <v>34</v>
      </c>
      <c r="B153" t="s">
        <v>2308</v>
      </c>
      <c r="C153" t="s">
        <v>36</v>
      </c>
      <c r="D153" t="s">
        <v>2310</v>
      </c>
      <c r="E153" t="s">
        <v>36</v>
      </c>
      <c r="F153" t="s">
        <v>36</v>
      </c>
      <c r="G153" t="s">
        <v>38</v>
      </c>
      <c r="H153" t="s">
        <v>39</v>
      </c>
      <c r="I153" t="s">
        <v>36</v>
      </c>
      <c r="J153" t="s">
        <v>2316</v>
      </c>
      <c r="K153" t="s">
        <v>42</v>
      </c>
      <c r="L153" s="74">
        <v>45229</v>
      </c>
      <c r="O153" t="s">
        <v>43</v>
      </c>
      <c r="P153" t="s">
        <v>2319</v>
      </c>
      <c r="Q153" t="s">
        <v>45</v>
      </c>
      <c r="R153" t="s">
        <v>46</v>
      </c>
      <c r="S153" t="s">
        <v>47</v>
      </c>
      <c r="T153" t="s">
        <v>48</v>
      </c>
      <c r="U153" t="s">
        <v>49</v>
      </c>
      <c r="V153" t="s">
        <v>50</v>
      </c>
      <c r="W153" t="s">
        <v>51</v>
      </c>
      <c r="X153" t="s">
        <v>36</v>
      </c>
      <c r="Y153" t="s">
        <v>36</v>
      </c>
      <c r="Z153" t="s">
        <v>54</v>
      </c>
      <c r="AA153" t="s">
        <v>55</v>
      </c>
      <c r="AB153" t="s">
        <v>56</v>
      </c>
      <c r="AC153" t="s">
        <v>669</v>
      </c>
      <c r="AD153" t="s">
        <v>5018</v>
      </c>
      <c r="AE153">
        <v>5100</v>
      </c>
      <c r="AF153" t="s">
        <v>5164</v>
      </c>
      <c r="AG153" t="s">
        <v>5378</v>
      </c>
      <c r="AH153" t="s">
        <v>5366</v>
      </c>
      <c r="AI153" t="s">
        <v>5169</v>
      </c>
      <c r="AJ153" t="s">
        <v>5383</v>
      </c>
      <c r="AK153" t="s">
        <v>36</v>
      </c>
      <c r="AL153" t="s">
        <v>5381</v>
      </c>
      <c r="AM153" t="s">
        <v>36</v>
      </c>
      <c r="AO153" t="s">
        <v>6099</v>
      </c>
      <c r="AP153" t="s">
        <v>660</v>
      </c>
      <c r="AQ153" t="s">
        <v>669</v>
      </c>
      <c r="AR153" t="b">
        <v>1</v>
      </c>
    </row>
    <row r="154" spans="1:44">
      <c r="A154" t="s">
        <v>282</v>
      </c>
      <c r="B154" t="s">
        <v>308</v>
      </c>
      <c r="C154" t="s">
        <v>36</v>
      </c>
      <c r="D154" t="s">
        <v>310</v>
      </c>
      <c r="E154" t="s">
        <v>36</v>
      </c>
      <c r="F154" t="s">
        <v>36</v>
      </c>
      <c r="G154" t="s">
        <v>313</v>
      </c>
      <c r="H154" t="s">
        <v>314</v>
      </c>
      <c r="I154" t="s">
        <v>315</v>
      </c>
      <c r="J154" t="s">
        <v>316</v>
      </c>
      <c r="K154" t="s">
        <v>317</v>
      </c>
      <c r="L154" s="74">
        <v>46083</v>
      </c>
      <c r="O154" t="s">
        <v>43</v>
      </c>
      <c r="P154" t="s">
        <v>319</v>
      </c>
      <c r="Q154" t="s">
        <v>70</v>
      </c>
      <c r="R154" t="s">
        <v>46</v>
      </c>
      <c r="S154" t="s">
        <v>297</v>
      </c>
      <c r="T154" t="s">
        <v>298</v>
      </c>
      <c r="U154" t="s">
        <v>324</v>
      </c>
      <c r="V154" t="s">
        <v>325</v>
      </c>
      <c r="W154" t="s">
        <v>301</v>
      </c>
      <c r="X154" t="s">
        <v>36</v>
      </c>
      <c r="Y154" t="s">
        <v>36</v>
      </c>
      <c r="Z154" t="s">
        <v>54</v>
      </c>
      <c r="AA154" t="s">
        <v>330</v>
      </c>
      <c r="AB154" t="s">
        <v>331</v>
      </c>
      <c r="AC154" t="s">
        <v>269</v>
      </c>
      <c r="AD154" t="s">
        <v>5017</v>
      </c>
      <c r="AE154" t="s">
        <v>5021</v>
      </c>
      <c r="AF154" t="s">
        <v>5164</v>
      </c>
      <c r="AG154" t="s">
        <v>5378</v>
      </c>
      <c r="AH154" t="s">
        <v>5366</v>
      </c>
      <c r="AI154" t="s">
        <v>5169</v>
      </c>
      <c r="AJ154" t="s">
        <v>5383</v>
      </c>
      <c r="AK154" t="s">
        <v>36</v>
      </c>
      <c r="AL154" t="s">
        <v>5381</v>
      </c>
      <c r="AM154" t="s">
        <v>36</v>
      </c>
      <c r="AO154" t="s">
        <v>6100</v>
      </c>
      <c r="AP154" t="s">
        <v>260</v>
      </c>
      <c r="AQ154" t="s">
        <v>269</v>
      </c>
      <c r="AR154" t="b">
        <v>1</v>
      </c>
    </row>
    <row r="155" spans="1:44">
      <c r="A155" t="s">
        <v>282</v>
      </c>
      <c r="B155" t="s">
        <v>433</v>
      </c>
      <c r="C155" t="s">
        <v>36</v>
      </c>
      <c r="D155" t="s">
        <v>435</v>
      </c>
      <c r="E155" t="s">
        <v>36</v>
      </c>
      <c r="F155" t="s">
        <v>36</v>
      </c>
      <c r="G155" t="s">
        <v>438</v>
      </c>
      <c r="H155" t="s">
        <v>439</v>
      </c>
      <c r="I155" t="s">
        <v>440</v>
      </c>
      <c r="J155" t="s">
        <v>441</v>
      </c>
      <c r="K155" t="s">
        <v>67</v>
      </c>
      <c r="L155" s="74">
        <v>45131</v>
      </c>
      <c r="O155" t="s">
        <v>43</v>
      </c>
      <c r="P155" t="s">
        <v>444</v>
      </c>
      <c r="Q155" t="s">
        <v>70</v>
      </c>
      <c r="R155" t="s">
        <v>46</v>
      </c>
      <c r="S155" t="s">
        <v>297</v>
      </c>
      <c r="T155" t="s">
        <v>298</v>
      </c>
      <c r="U155" t="s">
        <v>74</v>
      </c>
      <c r="V155" t="s">
        <v>300</v>
      </c>
      <c r="W155" t="s">
        <v>451</v>
      </c>
      <c r="X155" t="s">
        <v>36</v>
      </c>
      <c r="Y155" t="s">
        <v>36</v>
      </c>
      <c r="Z155" t="s">
        <v>54</v>
      </c>
      <c r="AA155" t="s">
        <v>305</v>
      </c>
      <c r="AB155" t="s">
        <v>306</v>
      </c>
      <c r="AC155" t="s">
        <v>4868</v>
      </c>
      <c r="AD155" t="s">
        <v>5017</v>
      </c>
      <c r="AE155">
        <v>820</v>
      </c>
      <c r="AF155" t="s">
        <v>5164</v>
      </c>
      <c r="AG155" t="s">
        <v>5378</v>
      </c>
      <c r="AH155" t="s">
        <v>5366</v>
      </c>
      <c r="AI155" t="s">
        <v>5169</v>
      </c>
      <c r="AJ155" t="s">
        <v>5383</v>
      </c>
      <c r="AK155" t="s">
        <v>36</v>
      </c>
      <c r="AL155" t="s">
        <v>5381</v>
      </c>
      <c r="AM155" t="s">
        <v>36</v>
      </c>
      <c r="AO155" t="s">
        <v>6101</v>
      </c>
      <c r="AP155" t="s">
        <v>4859</v>
      </c>
      <c r="AQ155" t="s">
        <v>4868</v>
      </c>
      <c r="AR155" t="b">
        <v>1</v>
      </c>
    </row>
    <row r="156" spans="1:44">
      <c r="A156" t="s">
        <v>34</v>
      </c>
      <c r="B156" t="s">
        <v>1583</v>
      </c>
      <c r="C156" t="s">
        <v>36</v>
      </c>
      <c r="D156" t="s">
        <v>1585</v>
      </c>
      <c r="E156" t="s">
        <v>36</v>
      </c>
      <c r="F156" t="s">
        <v>36</v>
      </c>
      <c r="G156" t="s">
        <v>38</v>
      </c>
      <c r="H156" t="s">
        <v>39</v>
      </c>
      <c r="I156" t="s">
        <v>1590</v>
      </c>
      <c r="J156" t="s">
        <v>1591</v>
      </c>
      <c r="K156" t="s">
        <v>42</v>
      </c>
      <c r="L156" s="74">
        <v>44893</v>
      </c>
      <c r="O156" t="s">
        <v>43</v>
      </c>
      <c r="P156" t="s">
        <v>1594</v>
      </c>
      <c r="Q156" t="s">
        <v>45</v>
      </c>
      <c r="R156" t="s">
        <v>46</v>
      </c>
      <c r="S156" t="s">
        <v>47</v>
      </c>
      <c r="T156" t="s">
        <v>48</v>
      </c>
      <c r="U156" t="s">
        <v>49</v>
      </c>
      <c r="V156" t="s">
        <v>50</v>
      </c>
      <c r="W156" t="s">
        <v>51</v>
      </c>
      <c r="X156" t="s">
        <v>36</v>
      </c>
      <c r="Y156" t="s">
        <v>36</v>
      </c>
      <c r="Z156" t="s">
        <v>54</v>
      </c>
      <c r="AA156" t="s">
        <v>55</v>
      </c>
      <c r="AB156" t="s">
        <v>56</v>
      </c>
      <c r="AC156" t="s">
        <v>669</v>
      </c>
      <c r="AD156" t="s">
        <v>5018</v>
      </c>
      <c r="AE156">
        <v>5100</v>
      </c>
      <c r="AF156" t="s">
        <v>5164</v>
      </c>
      <c r="AG156" t="s">
        <v>5378</v>
      </c>
      <c r="AH156" t="s">
        <v>5366</v>
      </c>
      <c r="AI156" t="s">
        <v>5169</v>
      </c>
      <c r="AJ156" t="s">
        <v>5383</v>
      </c>
      <c r="AK156" t="s">
        <v>36</v>
      </c>
      <c r="AL156" t="s">
        <v>5381</v>
      </c>
      <c r="AM156" t="s">
        <v>36</v>
      </c>
      <c r="AO156" t="s">
        <v>6102</v>
      </c>
      <c r="AP156" t="s">
        <v>660</v>
      </c>
      <c r="AQ156" t="s">
        <v>669</v>
      </c>
      <c r="AR156" t="b">
        <v>1</v>
      </c>
    </row>
    <row r="157" spans="1:44">
      <c r="A157" t="s">
        <v>34</v>
      </c>
      <c r="B157" t="s">
        <v>3058</v>
      </c>
      <c r="C157" t="s">
        <v>36</v>
      </c>
      <c r="D157" t="s">
        <v>3060</v>
      </c>
      <c r="E157" t="s">
        <v>36</v>
      </c>
      <c r="F157" t="s">
        <v>36</v>
      </c>
      <c r="G157" t="s">
        <v>1488</v>
      </c>
      <c r="H157" t="s">
        <v>1489</v>
      </c>
      <c r="I157" t="s">
        <v>3065</v>
      </c>
      <c r="J157" t="s">
        <v>3066</v>
      </c>
      <c r="K157" t="s">
        <v>1492</v>
      </c>
      <c r="L157" s="74">
        <v>46153</v>
      </c>
      <c r="O157" t="s">
        <v>43</v>
      </c>
      <c r="P157" t="s">
        <v>3069</v>
      </c>
      <c r="Q157" t="s">
        <v>45</v>
      </c>
      <c r="R157" t="s">
        <v>46</v>
      </c>
      <c r="S157" t="s">
        <v>47</v>
      </c>
      <c r="T157" t="s">
        <v>48</v>
      </c>
      <c r="U157" t="s">
        <v>724</v>
      </c>
      <c r="V157" t="s">
        <v>950</v>
      </c>
      <c r="W157" t="s">
        <v>51</v>
      </c>
      <c r="X157" t="s">
        <v>36</v>
      </c>
      <c r="Y157" t="s">
        <v>36</v>
      </c>
      <c r="Z157" t="s">
        <v>54</v>
      </c>
      <c r="AA157" t="s">
        <v>680</v>
      </c>
      <c r="AB157" t="s">
        <v>681</v>
      </c>
      <c r="AC157" t="s">
        <v>3544</v>
      </c>
      <c r="AD157" t="s">
        <v>5018</v>
      </c>
      <c r="AE157">
        <v>8100</v>
      </c>
      <c r="AF157" t="s">
        <v>5164</v>
      </c>
      <c r="AG157" t="s">
        <v>5378</v>
      </c>
      <c r="AH157" t="s">
        <v>5366</v>
      </c>
      <c r="AI157" t="s">
        <v>5169</v>
      </c>
      <c r="AJ157" t="s">
        <v>5383</v>
      </c>
      <c r="AK157" t="s">
        <v>36</v>
      </c>
      <c r="AL157" t="s">
        <v>5381</v>
      </c>
      <c r="AM157" t="s">
        <v>36</v>
      </c>
      <c r="AO157" t="s">
        <v>6103</v>
      </c>
      <c r="AP157" t="s">
        <v>3535</v>
      </c>
      <c r="AQ157" t="s">
        <v>3544</v>
      </c>
      <c r="AR157" t="b">
        <v>1</v>
      </c>
    </row>
    <row r="158" spans="1:44">
      <c r="A158" t="s">
        <v>57</v>
      </c>
      <c r="B158" t="s">
        <v>3108</v>
      </c>
      <c r="C158" t="s">
        <v>159</v>
      </c>
      <c r="D158" t="s">
        <v>3110</v>
      </c>
      <c r="E158" t="s">
        <v>36</v>
      </c>
      <c r="F158" t="s">
        <v>36</v>
      </c>
      <c r="G158" t="s">
        <v>88</v>
      </c>
      <c r="H158" t="s">
        <v>89</v>
      </c>
      <c r="I158" t="s">
        <v>3115</v>
      </c>
      <c r="J158" t="s">
        <v>3116</v>
      </c>
      <c r="K158" t="s">
        <v>417</v>
      </c>
      <c r="L158" s="74">
        <v>45832</v>
      </c>
      <c r="O158" t="s">
        <v>43</v>
      </c>
      <c r="P158" t="s">
        <v>3119</v>
      </c>
      <c r="Q158" t="s">
        <v>70</v>
      </c>
      <c r="R158" t="s">
        <v>46</v>
      </c>
      <c r="S158" t="s">
        <v>47</v>
      </c>
      <c r="T158" t="s">
        <v>48</v>
      </c>
      <c r="U158" t="s">
        <v>724</v>
      </c>
      <c r="V158" t="s">
        <v>950</v>
      </c>
      <c r="W158" t="s">
        <v>51</v>
      </c>
      <c r="X158" t="s">
        <v>36</v>
      </c>
      <c r="Y158" t="s">
        <v>36</v>
      </c>
      <c r="Z158" t="s">
        <v>54</v>
      </c>
      <c r="AA158" t="s">
        <v>305</v>
      </c>
      <c r="AB158" t="s">
        <v>306</v>
      </c>
      <c r="AC158" t="s">
        <v>2144</v>
      </c>
      <c r="AD158" t="s">
        <v>5018</v>
      </c>
      <c r="AE158">
        <v>8100</v>
      </c>
      <c r="AF158" t="s">
        <v>5164</v>
      </c>
      <c r="AG158" t="s">
        <v>5378</v>
      </c>
      <c r="AH158" t="s">
        <v>5366</v>
      </c>
      <c r="AI158" t="s">
        <v>5169</v>
      </c>
      <c r="AJ158" t="s">
        <v>5383</v>
      </c>
      <c r="AK158" t="s">
        <v>36</v>
      </c>
      <c r="AL158" t="s">
        <v>5381</v>
      </c>
      <c r="AM158" t="s">
        <v>36</v>
      </c>
      <c r="AO158" t="s">
        <v>6104</v>
      </c>
      <c r="AP158" t="s">
        <v>2135</v>
      </c>
      <c r="AQ158" t="s">
        <v>2144</v>
      </c>
      <c r="AR158" t="b">
        <v>1</v>
      </c>
    </row>
    <row r="159" spans="1:44">
      <c r="A159" t="s">
        <v>57</v>
      </c>
      <c r="B159" t="s">
        <v>3108</v>
      </c>
      <c r="C159" t="s">
        <v>1209</v>
      </c>
      <c r="D159" t="s">
        <v>4909</v>
      </c>
      <c r="E159" t="s">
        <v>36</v>
      </c>
      <c r="F159" t="s">
        <v>36</v>
      </c>
      <c r="G159" t="s">
        <v>88</v>
      </c>
      <c r="H159" t="s">
        <v>89</v>
      </c>
      <c r="I159" t="s">
        <v>4914</v>
      </c>
      <c r="J159" t="s">
        <v>4915</v>
      </c>
      <c r="K159" t="s">
        <v>4916</v>
      </c>
      <c r="L159" s="74">
        <v>44208</v>
      </c>
      <c r="O159" t="s">
        <v>43</v>
      </c>
      <c r="P159" t="s">
        <v>4918</v>
      </c>
      <c r="Q159" t="s">
        <v>70</v>
      </c>
      <c r="R159" t="s">
        <v>46</v>
      </c>
      <c r="S159" t="s">
        <v>47</v>
      </c>
      <c r="T159" t="s">
        <v>48</v>
      </c>
      <c r="U159" t="s">
        <v>724</v>
      </c>
      <c r="V159" t="s">
        <v>950</v>
      </c>
      <c r="W159" t="s">
        <v>51</v>
      </c>
      <c r="X159" t="s">
        <v>36</v>
      </c>
      <c r="Y159" t="s">
        <v>36</v>
      </c>
      <c r="Z159" t="s">
        <v>54</v>
      </c>
      <c r="AA159" t="s">
        <v>755</v>
      </c>
      <c r="AB159" t="s">
        <v>756</v>
      </c>
      <c r="AC159" t="s">
        <v>2144</v>
      </c>
      <c r="AD159" t="s">
        <v>5018</v>
      </c>
      <c r="AE159">
        <v>8100</v>
      </c>
      <c r="AF159" t="s">
        <v>5164</v>
      </c>
      <c r="AG159" t="s">
        <v>5378</v>
      </c>
      <c r="AH159" t="s">
        <v>5366</v>
      </c>
      <c r="AI159" t="s">
        <v>5169</v>
      </c>
      <c r="AJ159" t="s">
        <v>5383</v>
      </c>
      <c r="AK159" t="s">
        <v>36</v>
      </c>
      <c r="AL159" t="s">
        <v>5381</v>
      </c>
      <c r="AM159" t="s">
        <v>36</v>
      </c>
      <c r="AO159" t="s">
        <v>6105</v>
      </c>
      <c r="AP159" t="s">
        <v>2135</v>
      </c>
      <c r="AQ159" t="s">
        <v>2144</v>
      </c>
      <c r="AR159" t="b">
        <v>1</v>
      </c>
    </row>
    <row r="160" spans="1:44">
      <c r="A160" t="s">
        <v>457</v>
      </c>
      <c r="B160" t="s">
        <v>3683</v>
      </c>
      <c r="C160" t="s">
        <v>659</v>
      </c>
      <c r="D160" t="s">
        <v>3685</v>
      </c>
      <c r="E160" t="s">
        <v>36</v>
      </c>
      <c r="F160" t="s">
        <v>36</v>
      </c>
      <c r="G160" t="s">
        <v>1013</v>
      </c>
      <c r="H160" t="s">
        <v>1014</v>
      </c>
      <c r="I160" t="s">
        <v>36</v>
      </c>
      <c r="J160" t="s">
        <v>3691</v>
      </c>
      <c r="K160" t="s">
        <v>617</v>
      </c>
      <c r="L160" s="74">
        <v>45880</v>
      </c>
      <c r="O160" t="s">
        <v>2193</v>
      </c>
      <c r="P160" t="s">
        <v>3694</v>
      </c>
      <c r="Q160" t="s">
        <v>45</v>
      </c>
      <c r="R160" t="s">
        <v>46</v>
      </c>
      <c r="S160" t="s">
        <v>297</v>
      </c>
      <c r="T160" t="s">
        <v>298</v>
      </c>
      <c r="U160" t="s">
        <v>474</v>
      </c>
      <c r="V160" t="s">
        <v>475</v>
      </c>
      <c r="W160" t="s">
        <v>301</v>
      </c>
      <c r="X160" t="s">
        <v>36</v>
      </c>
      <c r="Y160" t="s">
        <v>36</v>
      </c>
      <c r="Z160" t="s">
        <v>54</v>
      </c>
      <c r="AA160" t="s">
        <v>480</v>
      </c>
      <c r="AB160" t="s">
        <v>481</v>
      </c>
      <c r="AC160" t="s">
        <v>4643</v>
      </c>
      <c r="AD160" t="s">
        <v>5017</v>
      </c>
      <c r="AE160">
        <v>200</v>
      </c>
      <c r="AF160" t="s">
        <v>5164</v>
      </c>
      <c r="AG160" t="s">
        <v>5378</v>
      </c>
      <c r="AH160" t="s">
        <v>5366</v>
      </c>
      <c r="AI160" t="s">
        <v>5169</v>
      </c>
      <c r="AJ160" t="s">
        <v>5383</v>
      </c>
      <c r="AK160" t="s">
        <v>36</v>
      </c>
      <c r="AL160" t="s">
        <v>5381</v>
      </c>
      <c r="AM160" t="s">
        <v>36</v>
      </c>
      <c r="AO160" t="s">
        <v>6106</v>
      </c>
      <c r="AP160" t="s">
        <v>4634</v>
      </c>
      <c r="AQ160" t="s">
        <v>4643</v>
      </c>
      <c r="AR160" t="b">
        <v>1</v>
      </c>
    </row>
    <row r="161" spans="1:44">
      <c r="A161" t="s">
        <v>282</v>
      </c>
      <c r="B161" t="s">
        <v>1883</v>
      </c>
      <c r="C161" t="s">
        <v>159</v>
      </c>
      <c r="D161" t="s">
        <v>4159</v>
      </c>
      <c r="E161" t="s">
        <v>36</v>
      </c>
      <c r="F161" t="s">
        <v>36</v>
      </c>
      <c r="G161" t="s">
        <v>213</v>
      </c>
      <c r="H161" t="s">
        <v>214</v>
      </c>
      <c r="I161" t="s">
        <v>4239</v>
      </c>
      <c r="J161" t="s">
        <v>4240</v>
      </c>
      <c r="K161" t="s">
        <v>4241</v>
      </c>
      <c r="L161" s="74">
        <v>42786</v>
      </c>
      <c r="O161" t="s">
        <v>43</v>
      </c>
      <c r="P161" t="s">
        <v>4243</v>
      </c>
      <c r="Q161" t="s">
        <v>70</v>
      </c>
      <c r="R161" t="s">
        <v>46</v>
      </c>
      <c r="S161" t="s">
        <v>297</v>
      </c>
      <c r="T161" t="s">
        <v>298</v>
      </c>
      <c r="U161" t="s">
        <v>2749</v>
      </c>
      <c r="V161" t="s">
        <v>2750</v>
      </c>
      <c r="W161" t="s">
        <v>301</v>
      </c>
      <c r="X161" t="s">
        <v>36</v>
      </c>
      <c r="Y161" t="s">
        <v>36</v>
      </c>
      <c r="Z161" t="s">
        <v>54</v>
      </c>
      <c r="AA161" t="s">
        <v>755</v>
      </c>
      <c r="AB161" t="s">
        <v>756</v>
      </c>
      <c r="AC161" t="s">
        <v>4668</v>
      </c>
      <c r="AD161" t="s">
        <v>5017</v>
      </c>
      <c r="AE161">
        <v>910</v>
      </c>
      <c r="AF161" t="s">
        <v>5164</v>
      </c>
      <c r="AG161" t="s">
        <v>5378</v>
      </c>
      <c r="AH161" t="s">
        <v>5366</v>
      </c>
      <c r="AI161" t="s">
        <v>5169</v>
      </c>
      <c r="AJ161" t="s">
        <v>5383</v>
      </c>
      <c r="AK161" t="s">
        <v>36</v>
      </c>
      <c r="AL161" t="s">
        <v>5381</v>
      </c>
      <c r="AM161" t="s">
        <v>36</v>
      </c>
      <c r="AO161" t="s">
        <v>6107</v>
      </c>
      <c r="AP161" t="s">
        <v>4659</v>
      </c>
      <c r="AQ161" t="s">
        <v>4668</v>
      </c>
      <c r="AR161" t="b">
        <v>1</v>
      </c>
    </row>
    <row r="162" spans="1:44">
      <c r="A162" t="s">
        <v>457</v>
      </c>
      <c r="B162" t="s">
        <v>1883</v>
      </c>
      <c r="C162" t="s">
        <v>109</v>
      </c>
      <c r="D162" t="s">
        <v>4984</v>
      </c>
      <c r="E162" t="s">
        <v>4985</v>
      </c>
      <c r="F162" t="s">
        <v>4984</v>
      </c>
      <c r="G162" t="s">
        <v>1788</v>
      </c>
      <c r="H162" t="s">
        <v>1789</v>
      </c>
      <c r="I162" t="s">
        <v>4989</v>
      </c>
      <c r="J162" t="s">
        <v>36</v>
      </c>
      <c r="K162" t="s">
        <v>1467</v>
      </c>
      <c r="L162" s="74">
        <v>45817</v>
      </c>
      <c r="O162" t="s">
        <v>43</v>
      </c>
      <c r="P162" t="s">
        <v>4993</v>
      </c>
      <c r="Q162" t="s">
        <v>45</v>
      </c>
      <c r="R162" t="s">
        <v>46</v>
      </c>
      <c r="S162" t="s">
        <v>297</v>
      </c>
      <c r="T162" t="s">
        <v>298</v>
      </c>
      <c r="U162" t="s">
        <v>1474</v>
      </c>
      <c r="V162" t="s">
        <v>1475</v>
      </c>
      <c r="W162" t="s">
        <v>301</v>
      </c>
      <c r="X162" t="s">
        <v>36</v>
      </c>
      <c r="Y162" t="s">
        <v>36</v>
      </c>
      <c r="Z162" t="s">
        <v>54</v>
      </c>
      <c r="AA162" t="s">
        <v>1130</v>
      </c>
      <c r="AB162" t="s">
        <v>1131</v>
      </c>
      <c r="AC162" t="s">
        <v>1344</v>
      </c>
      <c r="AD162" t="s">
        <v>5017</v>
      </c>
      <c r="AE162">
        <v>450</v>
      </c>
      <c r="AF162" t="s">
        <v>5164</v>
      </c>
      <c r="AG162" t="s">
        <v>5378</v>
      </c>
      <c r="AH162" t="s">
        <v>5366</v>
      </c>
      <c r="AI162" t="s">
        <v>5169</v>
      </c>
      <c r="AJ162" t="s">
        <v>5383</v>
      </c>
      <c r="AK162" t="s">
        <v>6185</v>
      </c>
      <c r="AL162" t="s">
        <v>5381</v>
      </c>
      <c r="AM162" t="s">
        <v>36</v>
      </c>
      <c r="AO162" t="s">
        <v>6108</v>
      </c>
      <c r="AP162" t="s">
        <v>1335</v>
      </c>
      <c r="AQ162" t="s">
        <v>1344</v>
      </c>
      <c r="AR162" t="b">
        <v>1</v>
      </c>
    </row>
    <row r="163" spans="1:44">
      <c r="A163" t="s">
        <v>282</v>
      </c>
      <c r="B163" t="s">
        <v>1883</v>
      </c>
      <c r="C163" t="s">
        <v>36</v>
      </c>
      <c r="D163" t="s">
        <v>3859</v>
      </c>
      <c r="E163" t="s">
        <v>36</v>
      </c>
      <c r="F163" t="s">
        <v>36</v>
      </c>
      <c r="G163" t="s">
        <v>588</v>
      </c>
      <c r="H163" t="s">
        <v>589</v>
      </c>
      <c r="I163" t="s">
        <v>3864</v>
      </c>
      <c r="J163" t="s">
        <v>36</v>
      </c>
      <c r="K163" t="s">
        <v>3866</v>
      </c>
      <c r="L163" s="74">
        <v>41052</v>
      </c>
      <c r="O163" t="s">
        <v>43</v>
      </c>
      <c r="P163" t="s">
        <v>3868</v>
      </c>
      <c r="Q163" t="s">
        <v>70</v>
      </c>
      <c r="R163" t="s">
        <v>46</v>
      </c>
      <c r="S163" t="s">
        <v>297</v>
      </c>
      <c r="T163" t="s">
        <v>298</v>
      </c>
      <c r="U163" t="s">
        <v>599</v>
      </c>
      <c r="V163" t="s">
        <v>600</v>
      </c>
      <c r="W163" t="s">
        <v>301</v>
      </c>
      <c r="X163" t="s">
        <v>36</v>
      </c>
      <c r="Y163" t="s">
        <v>36</v>
      </c>
      <c r="Z163" t="s">
        <v>54</v>
      </c>
      <c r="AA163" t="s">
        <v>755</v>
      </c>
      <c r="AB163" t="s">
        <v>756</v>
      </c>
      <c r="AC163" t="s">
        <v>319</v>
      </c>
      <c r="AD163" t="s">
        <v>5017</v>
      </c>
      <c r="AE163">
        <v>718</v>
      </c>
      <c r="AF163" t="s">
        <v>5164</v>
      </c>
      <c r="AG163" t="s">
        <v>5378</v>
      </c>
      <c r="AH163" t="s">
        <v>5366</v>
      </c>
      <c r="AI163" t="s">
        <v>5169</v>
      </c>
      <c r="AJ163" t="s">
        <v>5383</v>
      </c>
      <c r="AK163" t="s">
        <v>36</v>
      </c>
      <c r="AL163" t="s">
        <v>5381</v>
      </c>
      <c r="AM163" t="s">
        <v>36</v>
      </c>
      <c r="AO163" t="s">
        <v>6109</v>
      </c>
      <c r="AP163" t="s">
        <v>310</v>
      </c>
      <c r="AQ163" t="s">
        <v>319</v>
      </c>
      <c r="AR163" t="b">
        <v>1</v>
      </c>
    </row>
    <row r="164" spans="1:44">
      <c r="A164" t="s">
        <v>34</v>
      </c>
      <c r="B164" t="s">
        <v>1883</v>
      </c>
      <c r="C164" t="s">
        <v>1459</v>
      </c>
      <c r="D164" t="s">
        <v>1885</v>
      </c>
      <c r="E164" t="s">
        <v>36</v>
      </c>
      <c r="F164" t="s">
        <v>36</v>
      </c>
      <c r="G164" t="s">
        <v>188</v>
      </c>
      <c r="H164" t="s">
        <v>189</v>
      </c>
      <c r="I164" t="s">
        <v>1890</v>
      </c>
      <c r="J164" t="s">
        <v>1891</v>
      </c>
      <c r="K164" t="s">
        <v>1892</v>
      </c>
      <c r="L164" s="74">
        <v>45768</v>
      </c>
      <c r="O164" t="s">
        <v>43</v>
      </c>
      <c r="P164" t="s">
        <v>1894</v>
      </c>
      <c r="Q164" t="s">
        <v>45</v>
      </c>
      <c r="R164" t="s">
        <v>46</v>
      </c>
      <c r="S164" t="s">
        <v>47</v>
      </c>
      <c r="T164" t="s">
        <v>48</v>
      </c>
      <c r="U164" t="s">
        <v>199</v>
      </c>
      <c r="V164" t="s">
        <v>200</v>
      </c>
      <c r="W164" t="s">
        <v>51</v>
      </c>
      <c r="X164" t="s">
        <v>36</v>
      </c>
      <c r="Y164" t="s">
        <v>36</v>
      </c>
      <c r="Z164" t="s">
        <v>54</v>
      </c>
      <c r="AA164" t="s">
        <v>505</v>
      </c>
      <c r="AB164" t="s">
        <v>506</v>
      </c>
      <c r="AC164" t="s">
        <v>2294</v>
      </c>
      <c r="AD164" t="s">
        <v>5018</v>
      </c>
      <c r="AE164">
        <v>5200</v>
      </c>
      <c r="AF164" t="s">
        <v>5164</v>
      </c>
      <c r="AG164" t="s">
        <v>5378</v>
      </c>
      <c r="AH164" t="s">
        <v>5366</v>
      </c>
      <c r="AI164" t="s">
        <v>5169</v>
      </c>
      <c r="AJ164" t="s">
        <v>5383</v>
      </c>
      <c r="AK164" t="s">
        <v>36</v>
      </c>
      <c r="AL164" t="s">
        <v>5381</v>
      </c>
      <c r="AM164" t="s">
        <v>36</v>
      </c>
      <c r="AO164" t="s">
        <v>6110</v>
      </c>
      <c r="AP164" t="s">
        <v>2285</v>
      </c>
      <c r="AQ164" t="s">
        <v>2294</v>
      </c>
      <c r="AR164" t="b">
        <v>1</v>
      </c>
    </row>
    <row r="165" spans="1:44">
      <c r="A165" t="s">
        <v>34</v>
      </c>
      <c r="B165" t="s">
        <v>508</v>
      </c>
      <c r="C165" t="s">
        <v>36</v>
      </c>
      <c r="D165" t="s">
        <v>510</v>
      </c>
      <c r="E165" t="s">
        <v>36</v>
      </c>
      <c r="F165" t="s">
        <v>36</v>
      </c>
      <c r="G165" t="s">
        <v>38</v>
      </c>
      <c r="H165" t="s">
        <v>39</v>
      </c>
      <c r="I165" t="s">
        <v>36</v>
      </c>
      <c r="J165" t="s">
        <v>516</v>
      </c>
      <c r="K165" t="s">
        <v>42</v>
      </c>
      <c r="L165" s="74">
        <v>46190</v>
      </c>
      <c r="O165" t="s">
        <v>43</v>
      </c>
      <c r="P165" t="s">
        <v>36</v>
      </c>
      <c r="Q165" t="s">
        <v>45</v>
      </c>
      <c r="R165" t="s">
        <v>521</v>
      </c>
      <c r="S165" t="s">
        <v>47</v>
      </c>
      <c r="T165" t="s">
        <v>48</v>
      </c>
      <c r="U165" t="s">
        <v>49</v>
      </c>
      <c r="V165" t="s">
        <v>50</v>
      </c>
      <c r="W165" t="s">
        <v>51</v>
      </c>
      <c r="X165" t="s">
        <v>36</v>
      </c>
      <c r="Y165" t="s">
        <v>36</v>
      </c>
      <c r="Z165" t="s">
        <v>54</v>
      </c>
      <c r="AA165" t="s">
        <v>55</v>
      </c>
      <c r="AB165" t="s">
        <v>56</v>
      </c>
      <c r="AC165" t="s">
        <v>669</v>
      </c>
      <c r="AD165" t="s">
        <v>5018</v>
      </c>
      <c r="AE165">
        <v>5100</v>
      </c>
      <c r="AF165" t="s">
        <v>5164</v>
      </c>
      <c r="AG165" t="s">
        <v>5378</v>
      </c>
      <c r="AH165" t="s">
        <v>5366</v>
      </c>
      <c r="AI165" t="s">
        <v>5169</v>
      </c>
      <c r="AJ165" t="s">
        <v>5383</v>
      </c>
      <c r="AK165" t="s">
        <v>36</v>
      </c>
      <c r="AL165" t="s">
        <v>5381</v>
      </c>
      <c r="AM165" t="s">
        <v>36</v>
      </c>
      <c r="AO165" t="s">
        <v>6111</v>
      </c>
      <c r="AP165" t="s">
        <v>660</v>
      </c>
      <c r="AQ165" t="s">
        <v>669</v>
      </c>
      <c r="AR165" t="b">
        <v>1</v>
      </c>
    </row>
    <row r="166" spans="1:44">
      <c r="A166" t="s">
        <v>282</v>
      </c>
      <c r="B166" t="s">
        <v>508</v>
      </c>
      <c r="C166" t="s">
        <v>36</v>
      </c>
      <c r="D166" t="s">
        <v>3485</v>
      </c>
      <c r="E166" t="s">
        <v>36</v>
      </c>
      <c r="F166" t="s">
        <v>36</v>
      </c>
      <c r="G166" t="s">
        <v>588</v>
      </c>
      <c r="H166" t="s">
        <v>589</v>
      </c>
      <c r="I166" t="s">
        <v>3490</v>
      </c>
      <c r="J166" t="s">
        <v>36</v>
      </c>
      <c r="K166" t="s">
        <v>3492</v>
      </c>
      <c r="L166" s="74">
        <v>44529</v>
      </c>
      <c r="O166" t="s">
        <v>43</v>
      </c>
      <c r="P166" t="s">
        <v>3494</v>
      </c>
      <c r="Q166" t="s">
        <v>70</v>
      </c>
      <c r="R166" t="s">
        <v>46</v>
      </c>
      <c r="S166" t="s">
        <v>297</v>
      </c>
      <c r="T166" t="s">
        <v>298</v>
      </c>
      <c r="U166" t="s">
        <v>599</v>
      </c>
      <c r="V166" t="s">
        <v>600</v>
      </c>
      <c r="W166" t="s">
        <v>301</v>
      </c>
      <c r="X166" t="s">
        <v>36</v>
      </c>
      <c r="Y166" t="s">
        <v>36</v>
      </c>
      <c r="Z166" t="s">
        <v>54</v>
      </c>
      <c r="AA166" t="s">
        <v>230</v>
      </c>
      <c r="AB166" t="s">
        <v>231</v>
      </c>
      <c r="AC166" t="s">
        <v>319</v>
      </c>
      <c r="AD166" t="s">
        <v>5017</v>
      </c>
      <c r="AE166">
        <v>718</v>
      </c>
      <c r="AF166" t="s">
        <v>5164</v>
      </c>
      <c r="AG166" t="s">
        <v>5378</v>
      </c>
      <c r="AH166" t="s">
        <v>5366</v>
      </c>
      <c r="AI166" t="s">
        <v>5169</v>
      </c>
      <c r="AJ166" t="s">
        <v>5383</v>
      </c>
      <c r="AK166" t="s">
        <v>36</v>
      </c>
      <c r="AL166" t="s">
        <v>5381</v>
      </c>
      <c r="AM166" t="s">
        <v>36</v>
      </c>
      <c r="AO166" t="s">
        <v>6112</v>
      </c>
      <c r="AP166" t="s">
        <v>310</v>
      </c>
      <c r="AQ166" t="s">
        <v>319</v>
      </c>
      <c r="AR166" t="b">
        <v>1</v>
      </c>
    </row>
    <row r="167" spans="1:44">
      <c r="A167" t="s">
        <v>34</v>
      </c>
      <c r="B167" t="s">
        <v>3957</v>
      </c>
      <c r="C167" t="s">
        <v>1209</v>
      </c>
      <c r="D167" t="s">
        <v>3959</v>
      </c>
      <c r="E167" t="s">
        <v>36</v>
      </c>
      <c r="F167" t="s">
        <v>36</v>
      </c>
      <c r="G167" t="s">
        <v>38</v>
      </c>
      <c r="H167" t="s">
        <v>39</v>
      </c>
      <c r="I167" t="s">
        <v>3964</v>
      </c>
      <c r="J167" t="s">
        <v>3965</v>
      </c>
      <c r="K167" t="s">
        <v>42</v>
      </c>
      <c r="L167" s="74">
        <v>44648</v>
      </c>
      <c r="O167" t="s">
        <v>2193</v>
      </c>
      <c r="P167" t="s">
        <v>3968</v>
      </c>
      <c r="Q167" t="s">
        <v>45</v>
      </c>
      <c r="R167" t="s">
        <v>46</v>
      </c>
      <c r="S167" t="s">
        <v>47</v>
      </c>
      <c r="T167" t="s">
        <v>48</v>
      </c>
      <c r="U167" t="s">
        <v>49</v>
      </c>
      <c r="V167" t="s">
        <v>50</v>
      </c>
      <c r="W167" t="s">
        <v>51</v>
      </c>
      <c r="X167" t="s">
        <v>36</v>
      </c>
      <c r="Y167" t="s">
        <v>36</v>
      </c>
      <c r="Z167" t="s">
        <v>54</v>
      </c>
      <c r="AA167" t="s">
        <v>55</v>
      </c>
      <c r="AB167" t="s">
        <v>56</v>
      </c>
      <c r="AC167" t="s">
        <v>669</v>
      </c>
      <c r="AD167" t="s">
        <v>5018</v>
      </c>
      <c r="AE167">
        <v>5100</v>
      </c>
      <c r="AF167" t="s">
        <v>5164</v>
      </c>
      <c r="AG167" t="s">
        <v>5378</v>
      </c>
      <c r="AH167" t="s">
        <v>5366</v>
      </c>
      <c r="AI167" t="s">
        <v>5169</v>
      </c>
      <c r="AJ167" t="s">
        <v>5383</v>
      </c>
      <c r="AK167" t="s">
        <v>36</v>
      </c>
      <c r="AL167" t="s">
        <v>5381</v>
      </c>
      <c r="AM167" t="s">
        <v>36</v>
      </c>
      <c r="AO167" t="s">
        <v>6113</v>
      </c>
      <c r="AP167" t="s">
        <v>660</v>
      </c>
      <c r="AQ167" t="s">
        <v>669</v>
      </c>
      <c r="AR167" t="b">
        <v>1</v>
      </c>
    </row>
    <row r="168" spans="1:44">
      <c r="A168" t="s">
        <v>457</v>
      </c>
      <c r="B168" t="s">
        <v>608</v>
      </c>
      <c r="C168" t="s">
        <v>609</v>
      </c>
      <c r="D168" t="s">
        <v>610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616</v>
      </c>
      <c r="K168" t="s">
        <v>617</v>
      </c>
      <c r="L168" s="74">
        <v>45887</v>
      </c>
      <c r="M168" s="74">
        <v>46031</v>
      </c>
      <c r="O168" t="s">
        <v>143</v>
      </c>
      <c r="P168" t="s">
        <v>619</v>
      </c>
      <c r="Q168" t="s">
        <v>45</v>
      </c>
      <c r="R168" t="s">
        <v>46</v>
      </c>
      <c r="S168" t="s">
        <v>297</v>
      </c>
      <c r="T168" t="s">
        <v>298</v>
      </c>
      <c r="U168" t="s">
        <v>474</v>
      </c>
      <c r="V168" t="s">
        <v>475</v>
      </c>
      <c r="W168" t="s">
        <v>301</v>
      </c>
      <c r="X168" t="s">
        <v>36</v>
      </c>
      <c r="Y168" t="s">
        <v>36</v>
      </c>
      <c r="Z168" t="s">
        <v>54</v>
      </c>
      <c r="AA168" t="s">
        <v>480</v>
      </c>
      <c r="AB168" t="s">
        <v>481</v>
      </c>
      <c r="AC168" t="s">
        <v>36</v>
      </c>
      <c r="AD168" t="s">
        <v>5017</v>
      </c>
      <c r="AE168">
        <v>200</v>
      </c>
      <c r="AF168" t="s">
        <v>5164</v>
      </c>
      <c r="AG168" t="s">
        <v>5378</v>
      </c>
      <c r="AH168" t="s">
        <v>5366</v>
      </c>
      <c r="AI168" t="s">
        <v>5169</v>
      </c>
      <c r="AJ168" t="s">
        <v>5383</v>
      </c>
      <c r="AK168" t="s">
        <v>36</v>
      </c>
      <c r="AL168" t="s">
        <v>5153</v>
      </c>
      <c r="AM168" t="s">
        <v>6186</v>
      </c>
      <c r="AN168" t="s">
        <v>6151</v>
      </c>
      <c r="AO168" t="s">
        <v>6114</v>
      </c>
      <c r="AP168" t="e">
        <v>#VALUE!</v>
      </c>
      <c r="AQ168" t="s">
        <v>6149</v>
      </c>
      <c r="AR168" t="b">
        <v>0</v>
      </c>
    </row>
    <row r="169" spans="1:44">
      <c r="A169" t="s">
        <v>282</v>
      </c>
      <c r="B169" t="s">
        <v>4732</v>
      </c>
      <c r="C169" t="s">
        <v>1209</v>
      </c>
      <c r="D169" t="s">
        <v>4734</v>
      </c>
      <c r="E169" t="s">
        <v>36</v>
      </c>
      <c r="F169" t="s">
        <v>36</v>
      </c>
      <c r="G169" t="s">
        <v>588</v>
      </c>
      <c r="H169" t="s">
        <v>589</v>
      </c>
      <c r="I169" t="s">
        <v>4739</v>
      </c>
      <c r="J169" t="s">
        <v>4740</v>
      </c>
      <c r="K169" t="s">
        <v>3866</v>
      </c>
      <c r="L169" s="74">
        <v>41641</v>
      </c>
      <c r="O169" t="s">
        <v>43</v>
      </c>
      <c r="P169" t="s">
        <v>4743</v>
      </c>
      <c r="Q169" t="s">
        <v>70</v>
      </c>
      <c r="R169" t="s">
        <v>46</v>
      </c>
      <c r="S169" t="s">
        <v>297</v>
      </c>
      <c r="T169" t="s">
        <v>298</v>
      </c>
      <c r="U169" t="s">
        <v>4748</v>
      </c>
      <c r="V169" t="s">
        <v>4749</v>
      </c>
      <c r="W169" t="s">
        <v>301</v>
      </c>
      <c r="X169" t="s">
        <v>36</v>
      </c>
      <c r="Y169" t="s">
        <v>36</v>
      </c>
      <c r="Z169" t="s">
        <v>54</v>
      </c>
      <c r="AA169" t="s">
        <v>755</v>
      </c>
      <c r="AB169" t="s">
        <v>756</v>
      </c>
      <c r="AC169" t="s">
        <v>319</v>
      </c>
      <c r="AD169" t="s">
        <v>5017</v>
      </c>
      <c r="AE169">
        <v>713</v>
      </c>
      <c r="AF169" t="s">
        <v>5164</v>
      </c>
      <c r="AG169" t="s">
        <v>5378</v>
      </c>
      <c r="AH169" t="s">
        <v>5366</v>
      </c>
      <c r="AI169" t="s">
        <v>5169</v>
      </c>
      <c r="AJ169" t="s">
        <v>5383</v>
      </c>
      <c r="AK169" t="s">
        <v>36</v>
      </c>
      <c r="AL169" t="s">
        <v>5381</v>
      </c>
      <c r="AM169" t="s">
        <v>36</v>
      </c>
      <c r="AO169" t="s">
        <v>6115</v>
      </c>
      <c r="AP169" t="s">
        <v>310</v>
      </c>
      <c r="AQ169" t="s">
        <v>319</v>
      </c>
      <c r="AR169" t="b">
        <v>1</v>
      </c>
    </row>
    <row r="170" spans="1:44">
      <c r="A170" t="s">
        <v>57</v>
      </c>
      <c r="B170" t="s">
        <v>2183</v>
      </c>
      <c r="C170" t="s">
        <v>36</v>
      </c>
      <c r="D170" t="s">
        <v>2185</v>
      </c>
      <c r="E170" t="s">
        <v>36</v>
      </c>
      <c r="F170" t="s">
        <v>36</v>
      </c>
      <c r="G170" t="s">
        <v>88</v>
      </c>
      <c r="H170" t="s">
        <v>89</v>
      </c>
      <c r="I170" t="s">
        <v>2190</v>
      </c>
      <c r="J170" t="s">
        <v>2191</v>
      </c>
      <c r="K170" t="s">
        <v>2192</v>
      </c>
      <c r="L170" s="74">
        <v>45461</v>
      </c>
      <c r="O170" t="s">
        <v>2193</v>
      </c>
      <c r="P170" t="s">
        <v>2194</v>
      </c>
      <c r="Q170" t="s">
        <v>70</v>
      </c>
      <c r="R170" t="s">
        <v>46</v>
      </c>
      <c r="S170" t="s">
        <v>47</v>
      </c>
      <c r="T170" t="s">
        <v>48</v>
      </c>
      <c r="U170" t="s">
        <v>99</v>
      </c>
      <c r="V170" t="s">
        <v>100</v>
      </c>
      <c r="W170" t="s">
        <v>51</v>
      </c>
      <c r="X170" t="s">
        <v>36</v>
      </c>
      <c r="Y170" t="s">
        <v>36</v>
      </c>
      <c r="Z170" t="s">
        <v>54</v>
      </c>
      <c r="AA170" t="s">
        <v>1755</v>
      </c>
      <c r="AB170" t="s">
        <v>1756</v>
      </c>
      <c r="AC170" t="s">
        <v>2144</v>
      </c>
      <c r="AD170" t="s">
        <v>5018</v>
      </c>
      <c r="AE170">
        <v>8300</v>
      </c>
      <c r="AF170" t="s">
        <v>5164</v>
      </c>
      <c r="AG170" t="s">
        <v>5378</v>
      </c>
      <c r="AH170" t="s">
        <v>5366</v>
      </c>
      <c r="AI170" t="s">
        <v>5169</v>
      </c>
      <c r="AJ170" t="s">
        <v>5383</v>
      </c>
      <c r="AK170" t="s">
        <v>36</v>
      </c>
      <c r="AL170" t="s">
        <v>5381</v>
      </c>
      <c r="AM170" t="s">
        <v>36</v>
      </c>
      <c r="AO170" t="s">
        <v>6116</v>
      </c>
      <c r="AP170" t="s">
        <v>2135</v>
      </c>
      <c r="AQ170" t="s">
        <v>2144</v>
      </c>
      <c r="AR170" t="b">
        <v>1</v>
      </c>
    </row>
    <row r="171" spans="1:44">
      <c r="A171" t="s">
        <v>34</v>
      </c>
      <c r="B171" t="s">
        <v>2633</v>
      </c>
      <c r="C171" t="s">
        <v>609</v>
      </c>
      <c r="D171" t="s">
        <v>2635</v>
      </c>
      <c r="E171" t="s">
        <v>36</v>
      </c>
      <c r="F171" t="s">
        <v>36</v>
      </c>
      <c r="G171" t="s">
        <v>38</v>
      </c>
      <c r="H171" t="s">
        <v>39</v>
      </c>
      <c r="I171" t="s">
        <v>2640</v>
      </c>
      <c r="J171" t="s">
        <v>2641</v>
      </c>
      <c r="K171" t="s">
        <v>2642</v>
      </c>
      <c r="L171" s="74">
        <v>38887</v>
      </c>
      <c r="O171" t="s">
        <v>43</v>
      </c>
      <c r="P171" t="s">
        <v>2644</v>
      </c>
      <c r="Q171" t="s">
        <v>45</v>
      </c>
      <c r="R171" t="s">
        <v>46</v>
      </c>
      <c r="S171" t="s">
        <v>47</v>
      </c>
      <c r="T171" t="s">
        <v>48</v>
      </c>
      <c r="U171" t="s">
        <v>49</v>
      </c>
      <c r="V171" t="s">
        <v>50</v>
      </c>
      <c r="W171" t="s">
        <v>51</v>
      </c>
      <c r="X171" t="s">
        <v>36</v>
      </c>
      <c r="Y171" t="s">
        <v>36</v>
      </c>
      <c r="Z171" t="s">
        <v>54</v>
      </c>
      <c r="AA171" t="s">
        <v>955</v>
      </c>
      <c r="AB171" t="s">
        <v>956</v>
      </c>
      <c r="AC171" t="s">
        <v>669</v>
      </c>
      <c r="AD171" t="s">
        <v>5018</v>
      </c>
      <c r="AE171">
        <v>5100</v>
      </c>
      <c r="AF171" t="s">
        <v>5164</v>
      </c>
      <c r="AG171" t="s">
        <v>5378</v>
      </c>
      <c r="AH171" t="s">
        <v>5366</v>
      </c>
      <c r="AI171" t="s">
        <v>5169</v>
      </c>
      <c r="AJ171" t="s">
        <v>5383</v>
      </c>
      <c r="AK171" t="s">
        <v>36</v>
      </c>
      <c r="AL171" t="s">
        <v>5381</v>
      </c>
      <c r="AM171" t="s">
        <v>36</v>
      </c>
      <c r="AO171" t="s">
        <v>6117</v>
      </c>
      <c r="AP171" t="s">
        <v>660</v>
      </c>
      <c r="AQ171" t="s">
        <v>669</v>
      </c>
      <c r="AR171" t="b">
        <v>1</v>
      </c>
    </row>
    <row r="172" spans="1:44">
      <c r="A172" t="s">
        <v>34</v>
      </c>
      <c r="B172" t="s">
        <v>3133</v>
      </c>
      <c r="C172" t="s">
        <v>2359</v>
      </c>
      <c r="D172" t="s">
        <v>3135</v>
      </c>
      <c r="E172" t="s">
        <v>36</v>
      </c>
      <c r="F172" t="s">
        <v>36</v>
      </c>
      <c r="G172" t="s">
        <v>38</v>
      </c>
      <c r="H172" t="s">
        <v>39</v>
      </c>
      <c r="I172" t="s">
        <v>3140</v>
      </c>
      <c r="J172" t="s">
        <v>3141</v>
      </c>
      <c r="K172" t="s">
        <v>42</v>
      </c>
      <c r="L172" s="74">
        <v>39329</v>
      </c>
      <c r="O172" t="s">
        <v>43</v>
      </c>
      <c r="P172" t="s">
        <v>3144</v>
      </c>
      <c r="Q172" t="s">
        <v>45</v>
      </c>
      <c r="R172" t="s">
        <v>46</v>
      </c>
      <c r="S172" t="s">
        <v>47</v>
      </c>
      <c r="T172" t="s">
        <v>48</v>
      </c>
      <c r="U172" t="s">
        <v>49</v>
      </c>
      <c r="V172" t="s">
        <v>50</v>
      </c>
      <c r="W172" t="s">
        <v>51</v>
      </c>
      <c r="X172" t="s">
        <v>36</v>
      </c>
      <c r="Y172" t="s">
        <v>36</v>
      </c>
      <c r="Z172" t="s">
        <v>54</v>
      </c>
      <c r="AA172" t="s">
        <v>55</v>
      </c>
      <c r="AB172" t="s">
        <v>56</v>
      </c>
      <c r="AC172" t="s">
        <v>669</v>
      </c>
      <c r="AD172" t="s">
        <v>5018</v>
      </c>
      <c r="AE172">
        <v>5100</v>
      </c>
      <c r="AF172" t="s">
        <v>5164</v>
      </c>
      <c r="AG172" t="s">
        <v>5378</v>
      </c>
      <c r="AH172" t="s">
        <v>5366</v>
      </c>
      <c r="AI172" t="s">
        <v>5169</v>
      </c>
      <c r="AJ172" t="s">
        <v>5383</v>
      </c>
      <c r="AK172" t="s">
        <v>36</v>
      </c>
      <c r="AL172" t="s">
        <v>5381</v>
      </c>
      <c r="AM172" t="s">
        <v>36</v>
      </c>
      <c r="AO172" t="s">
        <v>6118</v>
      </c>
      <c r="AP172" t="s">
        <v>660</v>
      </c>
      <c r="AQ172" t="s">
        <v>669</v>
      </c>
      <c r="AR172" t="b">
        <v>1</v>
      </c>
    </row>
    <row r="173" spans="1:44">
      <c r="A173" t="s">
        <v>457</v>
      </c>
      <c r="B173" t="s">
        <v>3333</v>
      </c>
      <c r="C173" t="s">
        <v>36</v>
      </c>
      <c r="D173" t="s">
        <v>3335</v>
      </c>
      <c r="E173" t="s">
        <v>36</v>
      </c>
      <c r="F173" t="s">
        <v>36</v>
      </c>
      <c r="G173" t="s">
        <v>463</v>
      </c>
      <c r="H173" t="s">
        <v>464</v>
      </c>
      <c r="I173" t="s">
        <v>36</v>
      </c>
      <c r="J173" t="s">
        <v>3341</v>
      </c>
      <c r="K173" t="s">
        <v>2217</v>
      </c>
      <c r="L173" s="74">
        <v>37292</v>
      </c>
      <c r="O173" t="s">
        <v>43</v>
      </c>
      <c r="P173" t="s">
        <v>3344</v>
      </c>
      <c r="Q173" t="s">
        <v>45</v>
      </c>
      <c r="R173" t="s">
        <v>46</v>
      </c>
      <c r="S173" t="s">
        <v>297</v>
      </c>
      <c r="T173" t="s">
        <v>298</v>
      </c>
      <c r="U173" t="s">
        <v>2674</v>
      </c>
      <c r="V173" t="s">
        <v>2675</v>
      </c>
      <c r="W173" t="s">
        <v>301</v>
      </c>
      <c r="X173" t="s">
        <v>36</v>
      </c>
      <c r="Y173" t="s">
        <v>36</v>
      </c>
      <c r="Z173" t="s">
        <v>54</v>
      </c>
      <c r="AA173" t="s">
        <v>580</v>
      </c>
      <c r="AB173" t="s">
        <v>581</v>
      </c>
      <c r="AC173" t="s">
        <v>4018</v>
      </c>
      <c r="AD173" t="s">
        <v>5017</v>
      </c>
      <c r="AE173">
        <v>350</v>
      </c>
      <c r="AF173" t="s">
        <v>5164</v>
      </c>
      <c r="AG173" t="s">
        <v>5378</v>
      </c>
      <c r="AH173" t="s">
        <v>5366</v>
      </c>
      <c r="AI173" t="s">
        <v>5169</v>
      </c>
      <c r="AJ173" t="s">
        <v>5383</v>
      </c>
      <c r="AK173" t="s">
        <v>36</v>
      </c>
      <c r="AL173" t="s">
        <v>5381</v>
      </c>
      <c r="AM173" t="s">
        <v>36</v>
      </c>
      <c r="AO173" t="s">
        <v>6119</v>
      </c>
      <c r="AP173" t="s">
        <v>4009</v>
      </c>
      <c r="AQ173" t="s">
        <v>4018</v>
      </c>
      <c r="AR173" t="b">
        <v>1</v>
      </c>
    </row>
    <row r="174" spans="1:44">
      <c r="A174" t="s">
        <v>34</v>
      </c>
      <c r="B174" t="s">
        <v>2808</v>
      </c>
      <c r="C174" t="s">
        <v>36</v>
      </c>
      <c r="D174" t="s">
        <v>2810</v>
      </c>
      <c r="E174" t="s">
        <v>36</v>
      </c>
      <c r="F174" t="s">
        <v>36</v>
      </c>
      <c r="G174" t="s">
        <v>38</v>
      </c>
      <c r="H174" t="s">
        <v>39</v>
      </c>
      <c r="I174" t="s">
        <v>2815</v>
      </c>
      <c r="J174" t="s">
        <v>2816</v>
      </c>
      <c r="K174" t="s">
        <v>42</v>
      </c>
      <c r="L174" s="74">
        <v>45551</v>
      </c>
      <c r="O174" t="s">
        <v>43</v>
      </c>
      <c r="P174" t="s">
        <v>2819</v>
      </c>
      <c r="Q174" t="s">
        <v>45</v>
      </c>
      <c r="R174" t="s">
        <v>46</v>
      </c>
      <c r="S174" t="s">
        <v>47</v>
      </c>
      <c r="T174" t="s">
        <v>48</v>
      </c>
      <c r="U174" t="s">
        <v>49</v>
      </c>
      <c r="V174" t="s">
        <v>50</v>
      </c>
      <c r="W174" t="s">
        <v>51</v>
      </c>
      <c r="X174" t="s">
        <v>36</v>
      </c>
      <c r="Y174" t="s">
        <v>36</v>
      </c>
      <c r="Z174" t="s">
        <v>54</v>
      </c>
      <c r="AA174" t="s">
        <v>55</v>
      </c>
      <c r="AB174" t="s">
        <v>56</v>
      </c>
      <c r="AC174" t="s">
        <v>669</v>
      </c>
      <c r="AD174" t="s">
        <v>5018</v>
      </c>
      <c r="AE174">
        <v>5100</v>
      </c>
      <c r="AF174" t="s">
        <v>5164</v>
      </c>
      <c r="AG174" t="s">
        <v>5378</v>
      </c>
      <c r="AH174" t="s">
        <v>5366</v>
      </c>
      <c r="AI174" t="s">
        <v>5169</v>
      </c>
      <c r="AJ174" t="s">
        <v>5383</v>
      </c>
      <c r="AK174" t="s">
        <v>36</v>
      </c>
      <c r="AL174" t="s">
        <v>5381</v>
      </c>
      <c r="AM174" t="s">
        <v>36</v>
      </c>
      <c r="AO174" t="s">
        <v>6120</v>
      </c>
      <c r="AP174" t="s">
        <v>660</v>
      </c>
      <c r="AQ174" t="s">
        <v>669</v>
      </c>
      <c r="AR174" t="b">
        <v>1</v>
      </c>
    </row>
    <row r="175" spans="1:44">
      <c r="A175" t="s">
        <v>34</v>
      </c>
      <c r="B175" t="s">
        <v>2058</v>
      </c>
      <c r="C175" t="s">
        <v>36</v>
      </c>
      <c r="D175" t="s">
        <v>2035</v>
      </c>
      <c r="E175" t="s">
        <v>36</v>
      </c>
      <c r="F175" t="s">
        <v>36</v>
      </c>
      <c r="G175" t="s">
        <v>2063</v>
      </c>
      <c r="H175" t="s">
        <v>939</v>
      </c>
      <c r="I175" t="s">
        <v>2065</v>
      </c>
      <c r="J175" t="s">
        <v>2066</v>
      </c>
      <c r="K175" t="s">
        <v>1492</v>
      </c>
      <c r="L175" s="74">
        <v>46049</v>
      </c>
      <c r="O175" t="s">
        <v>43</v>
      </c>
      <c r="P175" t="s">
        <v>36</v>
      </c>
      <c r="Q175" t="s">
        <v>45</v>
      </c>
      <c r="R175" t="s">
        <v>521</v>
      </c>
      <c r="S175" t="s">
        <v>47</v>
      </c>
      <c r="T175" t="s">
        <v>48</v>
      </c>
      <c r="U175" t="s">
        <v>724</v>
      </c>
      <c r="V175" t="s">
        <v>950</v>
      </c>
      <c r="W175" t="s">
        <v>51</v>
      </c>
      <c r="X175" t="s">
        <v>36</v>
      </c>
      <c r="Y175" t="s">
        <v>36</v>
      </c>
      <c r="Z175" t="s">
        <v>54</v>
      </c>
      <c r="AA175" t="s">
        <v>680</v>
      </c>
      <c r="AB175" t="s">
        <v>681</v>
      </c>
      <c r="AC175" t="s">
        <v>4918</v>
      </c>
      <c r="AD175" t="s">
        <v>5018</v>
      </c>
      <c r="AE175">
        <v>8100</v>
      </c>
      <c r="AF175" t="s">
        <v>5164</v>
      </c>
      <c r="AG175" t="s">
        <v>5378</v>
      </c>
      <c r="AH175" t="s">
        <v>5366</v>
      </c>
      <c r="AI175" t="s">
        <v>5169</v>
      </c>
      <c r="AJ175" t="s">
        <v>5383</v>
      </c>
      <c r="AK175" t="s">
        <v>36</v>
      </c>
      <c r="AL175" t="s">
        <v>5381</v>
      </c>
      <c r="AM175" t="s">
        <v>36</v>
      </c>
      <c r="AO175" t="s">
        <v>6121</v>
      </c>
      <c r="AP175" t="s">
        <v>4909</v>
      </c>
      <c r="AQ175" t="s">
        <v>4918</v>
      </c>
      <c r="AR175" t="b">
        <v>1</v>
      </c>
    </row>
    <row r="176" spans="1:44">
      <c r="A176" t="s">
        <v>57</v>
      </c>
      <c r="B176" t="s">
        <v>4932</v>
      </c>
      <c r="C176" t="s">
        <v>608</v>
      </c>
      <c r="D176" t="s">
        <v>4934</v>
      </c>
      <c r="E176" t="s">
        <v>36</v>
      </c>
      <c r="F176" t="s">
        <v>36</v>
      </c>
      <c r="G176" t="s">
        <v>2488</v>
      </c>
      <c r="H176" t="s">
        <v>2489</v>
      </c>
      <c r="I176" t="s">
        <v>4939</v>
      </c>
      <c r="J176" t="s">
        <v>36</v>
      </c>
      <c r="K176" t="s">
        <v>3317</v>
      </c>
      <c r="L176" s="74">
        <v>44475</v>
      </c>
      <c r="O176" t="s">
        <v>43</v>
      </c>
      <c r="P176" t="s">
        <v>4943</v>
      </c>
      <c r="Q176" t="s">
        <v>70</v>
      </c>
      <c r="R176" t="s">
        <v>46</v>
      </c>
      <c r="S176" t="s">
        <v>47</v>
      </c>
      <c r="T176" t="s">
        <v>48</v>
      </c>
      <c r="U176" t="s">
        <v>874</v>
      </c>
      <c r="V176" t="s">
        <v>875</v>
      </c>
      <c r="W176" t="s">
        <v>4950</v>
      </c>
      <c r="X176" t="s">
        <v>36</v>
      </c>
      <c r="Y176" t="s">
        <v>36</v>
      </c>
      <c r="Z176" t="s">
        <v>54</v>
      </c>
      <c r="AA176" t="s">
        <v>1755</v>
      </c>
      <c r="AB176" t="s">
        <v>1756</v>
      </c>
      <c r="AC176" t="s">
        <v>869</v>
      </c>
      <c r="AD176" t="s">
        <v>5018</v>
      </c>
      <c r="AE176">
        <v>9400</v>
      </c>
      <c r="AF176" t="s">
        <v>5164</v>
      </c>
      <c r="AG176" t="s">
        <v>5378</v>
      </c>
      <c r="AH176" t="s">
        <v>5366</v>
      </c>
      <c r="AI176" t="s">
        <v>5169</v>
      </c>
      <c r="AJ176" t="s">
        <v>5383</v>
      </c>
      <c r="AK176" t="s">
        <v>36</v>
      </c>
      <c r="AL176" t="s">
        <v>5381</v>
      </c>
      <c r="AM176" t="s">
        <v>36</v>
      </c>
      <c r="AO176" t="s">
        <v>6122</v>
      </c>
      <c r="AP176" t="s">
        <v>860</v>
      </c>
      <c r="AQ176" t="s">
        <v>869</v>
      </c>
      <c r="AR176" t="b">
        <v>1</v>
      </c>
    </row>
    <row r="177" spans="1:44">
      <c r="A177" t="s">
        <v>57</v>
      </c>
      <c r="B177" t="s">
        <v>3308</v>
      </c>
      <c r="C177" t="s">
        <v>36</v>
      </c>
      <c r="D177" t="s">
        <v>3310</v>
      </c>
      <c r="E177" t="s">
        <v>36</v>
      </c>
      <c r="F177" t="s">
        <v>36</v>
      </c>
      <c r="G177" t="s">
        <v>2488</v>
      </c>
      <c r="H177" t="s">
        <v>2489</v>
      </c>
      <c r="I177" t="s">
        <v>3315</v>
      </c>
      <c r="J177" t="s">
        <v>3316</v>
      </c>
      <c r="K177" t="s">
        <v>3317</v>
      </c>
      <c r="L177" s="74">
        <v>43836</v>
      </c>
      <c r="O177" t="s">
        <v>43</v>
      </c>
      <c r="P177" t="s">
        <v>3319</v>
      </c>
      <c r="Q177" t="s">
        <v>70</v>
      </c>
      <c r="R177" t="s">
        <v>46</v>
      </c>
      <c r="S177" t="s">
        <v>47</v>
      </c>
      <c r="T177" t="s">
        <v>48</v>
      </c>
      <c r="U177" t="s">
        <v>874</v>
      </c>
      <c r="V177" t="s">
        <v>875</v>
      </c>
      <c r="W177" t="s">
        <v>51</v>
      </c>
      <c r="X177" t="s">
        <v>36</v>
      </c>
      <c r="Y177" t="s">
        <v>36</v>
      </c>
      <c r="Z177" t="s">
        <v>54</v>
      </c>
      <c r="AA177" t="s">
        <v>1755</v>
      </c>
      <c r="AB177" t="s">
        <v>1756</v>
      </c>
      <c r="AC177" t="s">
        <v>869</v>
      </c>
      <c r="AD177" t="s">
        <v>5018</v>
      </c>
      <c r="AE177">
        <v>9400</v>
      </c>
      <c r="AF177" t="s">
        <v>5164</v>
      </c>
      <c r="AG177" t="s">
        <v>5378</v>
      </c>
      <c r="AH177" t="s">
        <v>5366</v>
      </c>
      <c r="AI177" t="s">
        <v>5169</v>
      </c>
      <c r="AJ177" t="s">
        <v>5383</v>
      </c>
      <c r="AK177" t="s">
        <v>36</v>
      </c>
      <c r="AL177" t="s">
        <v>5381</v>
      </c>
      <c r="AM177" t="s">
        <v>36</v>
      </c>
      <c r="AO177" t="s">
        <v>6123</v>
      </c>
      <c r="AP177" t="s">
        <v>860</v>
      </c>
      <c r="AQ177" t="s">
        <v>869</v>
      </c>
      <c r="AR177" t="b">
        <v>1</v>
      </c>
    </row>
    <row r="178" spans="1:44">
      <c r="A178" t="s">
        <v>282</v>
      </c>
      <c r="B178" t="s">
        <v>3708</v>
      </c>
      <c r="C178" t="s">
        <v>36</v>
      </c>
      <c r="D178" t="s">
        <v>3685</v>
      </c>
      <c r="E178" t="s">
        <v>36</v>
      </c>
      <c r="F178" t="s">
        <v>36</v>
      </c>
      <c r="G178" t="s">
        <v>313</v>
      </c>
      <c r="H178" t="s">
        <v>314</v>
      </c>
      <c r="I178" t="s">
        <v>3715</v>
      </c>
      <c r="J178" t="s">
        <v>3716</v>
      </c>
      <c r="K178" t="s">
        <v>3717</v>
      </c>
      <c r="L178" s="74">
        <v>44697</v>
      </c>
      <c r="O178" t="s">
        <v>43</v>
      </c>
      <c r="P178" t="s">
        <v>3719</v>
      </c>
      <c r="Q178" t="s">
        <v>70</v>
      </c>
      <c r="R178" t="s">
        <v>46</v>
      </c>
      <c r="S178" t="s">
        <v>297</v>
      </c>
      <c r="T178" t="s">
        <v>298</v>
      </c>
      <c r="U178" t="s">
        <v>74</v>
      </c>
      <c r="V178" t="s">
        <v>300</v>
      </c>
      <c r="W178" t="s">
        <v>301</v>
      </c>
      <c r="X178" t="s">
        <v>36</v>
      </c>
      <c r="Y178" t="s">
        <v>36</v>
      </c>
      <c r="Z178" t="s">
        <v>54</v>
      </c>
      <c r="AA178" t="s">
        <v>255</v>
      </c>
      <c r="AB178" t="s">
        <v>256</v>
      </c>
      <c r="AC178" t="s">
        <v>269</v>
      </c>
      <c r="AD178" t="s">
        <v>5017</v>
      </c>
      <c r="AE178">
        <v>820</v>
      </c>
      <c r="AF178" t="s">
        <v>5164</v>
      </c>
      <c r="AG178" t="s">
        <v>5378</v>
      </c>
      <c r="AH178" t="s">
        <v>5366</v>
      </c>
      <c r="AI178" t="s">
        <v>5169</v>
      </c>
      <c r="AJ178" t="s">
        <v>5383</v>
      </c>
      <c r="AK178" t="s">
        <v>36</v>
      </c>
      <c r="AL178" t="s">
        <v>5381</v>
      </c>
      <c r="AM178" t="s">
        <v>36</v>
      </c>
      <c r="AO178" t="s">
        <v>6124</v>
      </c>
      <c r="AP178" t="s">
        <v>260</v>
      </c>
      <c r="AQ178" t="s">
        <v>269</v>
      </c>
      <c r="AR178" t="b">
        <v>1</v>
      </c>
    </row>
    <row r="179" spans="1:44">
      <c r="A179" t="s">
        <v>34</v>
      </c>
      <c r="B179" t="s">
        <v>4307</v>
      </c>
      <c r="C179" t="s">
        <v>36</v>
      </c>
      <c r="D179" t="s">
        <v>4309</v>
      </c>
      <c r="E179" t="s">
        <v>36</v>
      </c>
      <c r="F179" t="s">
        <v>36</v>
      </c>
      <c r="G179" t="s">
        <v>1488</v>
      </c>
      <c r="H179" t="s">
        <v>1489</v>
      </c>
      <c r="I179" t="s">
        <v>4314</v>
      </c>
      <c r="J179" t="s">
        <v>36</v>
      </c>
      <c r="K179" t="s">
        <v>1492</v>
      </c>
      <c r="L179" s="74">
        <v>46160</v>
      </c>
      <c r="O179" t="s">
        <v>43</v>
      </c>
      <c r="P179" t="s">
        <v>4318</v>
      </c>
      <c r="Q179" t="s">
        <v>45</v>
      </c>
      <c r="R179" t="s">
        <v>46</v>
      </c>
      <c r="S179" t="s">
        <v>47</v>
      </c>
      <c r="T179" t="s">
        <v>48</v>
      </c>
      <c r="U179" t="s">
        <v>724</v>
      </c>
      <c r="V179" t="s">
        <v>950</v>
      </c>
      <c r="W179" t="s">
        <v>51</v>
      </c>
      <c r="X179" t="s">
        <v>36</v>
      </c>
      <c r="Y179" t="s">
        <v>36</v>
      </c>
      <c r="Z179" t="s">
        <v>54</v>
      </c>
      <c r="AA179" t="s">
        <v>680</v>
      </c>
      <c r="AB179" t="s">
        <v>681</v>
      </c>
      <c r="AC179" t="s">
        <v>3544</v>
      </c>
      <c r="AD179" t="s">
        <v>5018</v>
      </c>
      <c r="AE179">
        <v>8100</v>
      </c>
      <c r="AF179" t="s">
        <v>5164</v>
      </c>
      <c r="AG179" t="s">
        <v>5378</v>
      </c>
      <c r="AH179" t="s">
        <v>5366</v>
      </c>
      <c r="AI179" t="s">
        <v>5169</v>
      </c>
      <c r="AJ179" t="s">
        <v>5383</v>
      </c>
      <c r="AK179" t="s">
        <v>36</v>
      </c>
      <c r="AL179" t="s">
        <v>5381</v>
      </c>
      <c r="AM179" t="s">
        <v>36</v>
      </c>
      <c r="AO179" t="s">
        <v>6125</v>
      </c>
      <c r="AP179" t="s">
        <v>3535</v>
      </c>
      <c r="AQ179" t="s">
        <v>3544</v>
      </c>
      <c r="AR179" t="b">
        <v>1</v>
      </c>
    </row>
    <row r="180" spans="1:44">
      <c r="A180" t="s">
        <v>57</v>
      </c>
      <c r="B180" t="s">
        <v>2358</v>
      </c>
      <c r="C180" t="s">
        <v>2359</v>
      </c>
      <c r="D180" t="s">
        <v>2360</v>
      </c>
      <c r="E180" t="s">
        <v>36</v>
      </c>
      <c r="F180" t="s">
        <v>36</v>
      </c>
      <c r="G180" t="s">
        <v>1838</v>
      </c>
      <c r="H180" t="s">
        <v>1839</v>
      </c>
      <c r="I180" t="s">
        <v>2365</v>
      </c>
      <c r="J180" t="s">
        <v>36</v>
      </c>
      <c r="K180" t="s">
        <v>2367</v>
      </c>
      <c r="L180" s="74">
        <v>46078</v>
      </c>
      <c r="O180" t="s">
        <v>43</v>
      </c>
      <c r="P180" t="s">
        <v>2369</v>
      </c>
      <c r="Q180" t="s">
        <v>70</v>
      </c>
      <c r="R180" t="s">
        <v>46</v>
      </c>
      <c r="S180" t="s">
        <v>47</v>
      </c>
      <c r="T180" t="s">
        <v>48</v>
      </c>
      <c r="U180" t="s">
        <v>1849</v>
      </c>
      <c r="V180" t="s">
        <v>1850</v>
      </c>
      <c r="W180" t="s">
        <v>51</v>
      </c>
      <c r="X180" t="s">
        <v>36</v>
      </c>
      <c r="Y180" t="s">
        <v>36</v>
      </c>
      <c r="Z180" t="s">
        <v>54</v>
      </c>
      <c r="AA180" t="s">
        <v>755</v>
      </c>
      <c r="AB180" t="s">
        <v>756</v>
      </c>
      <c r="AC180" t="s">
        <v>3194</v>
      </c>
      <c r="AD180" t="s">
        <v>5018</v>
      </c>
      <c r="AE180">
        <v>9200</v>
      </c>
      <c r="AF180" t="s">
        <v>5164</v>
      </c>
      <c r="AG180" t="s">
        <v>5378</v>
      </c>
      <c r="AH180" t="s">
        <v>5366</v>
      </c>
      <c r="AI180" t="s">
        <v>5169</v>
      </c>
      <c r="AJ180" t="s">
        <v>5383</v>
      </c>
      <c r="AK180" t="s">
        <v>36</v>
      </c>
      <c r="AL180" t="s">
        <v>5381</v>
      </c>
      <c r="AM180" t="s">
        <v>36</v>
      </c>
      <c r="AO180" t="s">
        <v>6126</v>
      </c>
      <c r="AP180" t="s">
        <v>3185</v>
      </c>
      <c r="AQ180" t="s">
        <v>3194</v>
      </c>
      <c r="AR180" t="b">
        <v>1</v>
      </c>
    </row>
    <row r="181" spans="1:44">
      <c r="A181" t="s">
        <v>34</v>
      </c>
      <c r="B181" t="s">
        <v>35</v>
      </c>
      <c r="C181" t="s">
        <v>36</v>
      </c>
      <c r="D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s="74">
        <v>45733</v>
      </c>
      <c r="O181" t="s">
        <v>43</v>
      </c>
      <c r="P181" t="s">
        <v>44</v>
      </c>
      <c r="Q181" t="s">
        <v>45</v>
      </c>
      <c r="R181" t="s">
        <v>46</v>
      </c>
      <c r="S181" t="s">
        <v>47</v>
      </c>
      <c r="T181" t="s">
        <v>48</v>
      </c>
      <c r="U181" t="s">
        <v>49</v>
      </c>
      <c r="V181" t="s">
        <v>50</v>
      </c>
      <c r="W181" t="s">
        <v>51</v>
      </c>
      <c r="X181" t="s">
        <v>36</v>
      </c>
      <c r="Y181" t="s">
        <v>36</v>
      </c>
      <c r="Z181" t="s">
        <v>54</v>
      </c>
      <c r="AA181" t="s">
        <v>55</v>
      </c>
      <c r="AB181" t="s">
        <v>56</v>
      </c>
      <c r="AC181" t="s">
        <v>669</v>
      </c>
      <c r="AD181" t="s">
        <v>5018</v>
      </c>
      <c r="AE181">
        <v>5100</v>
      </c>
      <c r="AF181" t="s">
        <v>5164</v>
      </c>
      <c r="AG181" t="s">
        <v>5378</v>
      </c>
      <c r="AH181" t="s">
        <v>5366</v>
      </c>
      <c r="AI181" t="s">
        <v>5169</v>
      </c>
      <c r="AJ181" t="s">
        <v>5383</v>
      </c>
      <c r="AK181" t="s">
        <v>36</v>
      </c>
      <c r="AL181" t="s">
        <v>5381</v>
      </c>
      <c r="AM181" t="s">
        <v>36</v>
      </c>
      <c r="AO181" t="s">
        <v>6127</v>
      </c>
      <c r="AP181" t="s">
        <v>660</v>
      </c>
      <c r="AQ181" t="s">
        <v>669</v>
      </c>
      <c r="AR181" t="b">
        <v>1</v>
      </c>
    </row>
    <row r="182" spans="1:44">
      <c r="A182" t="s">
        <v>57</v>
      </c>
      <c r="B182" t="s">
        <v>258</v>
      </c>
      <c r="C182" t="s">
        <v>36</v>
      </c>
      <c r="D182" t="s">
        <v>260</v>
      </c>
      <c r="E182" t="s">
        <v>36</v>
      </c>
      <c r="F182" t="s">
        <v>36</v>
      </c>
      <c r="G182" t="s">
        <v>36</v>
      </c>
      <c r="H182" t="s">
        <v>36</v>
      </c>
      <c r="I182" t="s">
        <v>265</v>
      </c>
      <c r="J182" t="s">
        <v>36</v>
      </c>
      <c r="K182" t="s">
        <v>267</v>
      </c>
      <c r="L182" s="74">
        <v>44732</v>
      </c>
      <c r="O182" t="s">
        <v>43</v>
      </c>
      <c r="P182" t="s">
        <v>269</v>
      </c>
      <c r="Q182" t="s">
        <v>70</v>
      </c>
      <c r="R182" t="s">
        <v>46</v>
      </c>
      <c r="S182" t="s">
        <v>47</v>
      </c>
      <c r="T182" t="s">
        <v>48</v>
      </c>
      <c r="U182" t="s">
        <v>274</v>
      </c>
      <c r="V182" t="s">
        <v>275</v>
      </c>
      <c r="W182" t="s">
        <v>51</v>
      </c>
      <c r="X182" t="s">
        <v>36</v>
      </c>
      <c r="Y182" t="s">
        <v>36</v>
      </c>
      <c r="Z182" t="s">
        <v>54</v>
      </c>
      <c r="AA182" t="s">
        <v>280</v>
      </c>
      <c r="AB182" t="s">
        <v>281</v>
      </c>
      <c r="AC182" t="s">
        <v>36</v>
      </c>
      <c r="AD182" t="s">
        <v>5018</v>
      </c>
      <c r="AE182">
        <v>9310</v>
      </c>
      <c r="AF182" t="s">
        <v>5154</v>
      </c>
      <c r="AG182" t="s">
        <v>5377</v>
      </c>
      <c r="AH182" t="s">
        <v>5366</v>
      </c>
      <c r="AI182" t="s">
        <v>5169</v>
      </c>
      <c r="AJ182" t="s">
        <v>5383</v>
      </c>
      <c r="AK182" t="s">
        <v>36</v>
      </c>
      <c r="AL182" t="s">
        <v>5381</v>
      </c>
      <c r="AM182" t="s">
        <v>36</v>
      </c>
      <c r="AO182" t="s">
        <v>6128</v>
      </c>
      <c r="AP182" t="e">
        <v>#VALUE!</v>
      </c>
      <c r="AQ182" t="s">
        <v>6149</v>
      </c>
      <c r="AR182" t="b">
        <v>0</v>
      </c>
    </row>
    <row r="183" spans="1:44">
      <c r="A183" t="s">
        <v>282</v>
      </c>
      <c r="B183" t="s">
        <v>1333</v>
      </c>
      <c r="C183" t="s">
        <v>1209</v>
      </c>
      <c r="D183" t="s">
        <v>1335</v>
      </c>
      <c r="E183" t="s">
        <v>36</v>
      </c>
      <c r="F183" t="s">
        <v>36</v>
      </c>
      <c r="G183" t="s">
        <v>588</v>
      </c>
      <c r="H183" t="s">
        <v>589</v>
      </c>
      <c r="I183" t="s">
        <v>1340</v>
      </c>
      <c r="J183" t="s">
        <v>1341</v>
      </c>
      <c r="K183" t="s">
        <v>1342</v>
      </c>
      <c r="L183" s="74">
        <v>37704</v>
      </c>
      <c r="O183" t="s">
        <v>43</v>
      </c>
      <c r="P183" t="s">
        <v>1344</v>
      </c>
      <c r="Q183" t="s">
        <v>70</v>
      </c>
      <c r="R183" t="s">
        <v>46</v>
      </c>
      <c r="S183" t="s">
        <v>297</v>
      </c>
      <c r="T183" t="s">
        <v>298</v>
      </c>
      <c r="U183" t="s">
        <v>1349</v>
      </c>
      <c r="V183" t="s">
        <v>1350</v>
      </c>
      <c r="W183" t="s">
        <v>301</v>
      </c>
      <c r="X183" t="s">
        <v>36</v>
      </c>
      <c r="Y183" t="s">
        <v>36</v>
      </c>
      <c r="Z183" t="s">
        <v>54</v>
      </c>
      <c r="AA183" t="s">
        <v>880</v>
      </c>
      <c r="AB183" t="s">
        <v>881</v>
      </c>
      <c r="AC183" t="s">
        <v>319</v>
      </c>
      <c r="AD183" t="s">
        <v>5017</v>
      </c>
      <c r="AE183">
        <v>555</v>
      </c>
      <c r="AF183" t="s">
        <v>5164</v>
      </c>
      <c r="AG183" t="s">
        <v>5378</v>
      </c>
      <c r="AH183" t="s">
        <v>5366</v>
      </c>
      <c r="AI183" t="s">
        <v>5169</v>
      </c>
      <c r="AJ183" t="s">
        <v>5383</v>
      </c>
      <c r="AK183" t="s">
        <v>36</v>
      </c>
      <c r="AL183" t="s">
        <v>5381</v>
      </c>
      <c r="AM183" t="s">
        <v>36</v>
      </c>
      <c r="AO183" t="s">
        <v>6129</v>
      </c>
      <c r="AP183" t="s">
        <v>310</v>
      </c>
      <c r="AQ183" t="s">
        <v>319</v>
      </c>
      <c r="AR183" t="b">
        <v>1</v>
      </c>
    </row>
    <row r="184" spans="1:44">
      <c r="A184" t="s">
        <v>282</v>
      </c>
      <c r="B184" t="s">
        <v>1333</v>
      </c>
      <c r="C184" t="s">
        <v>36</v>
      </c>
      <c r="D184" t="s">
        <v>4534</v>
      </c>
      <c r="E184" t="s">
        <v>36</v>
      </c>
      <c r="F184" t="s">
        <v>36</v>
      </c>
      <c r="G184" t="s">
        <v>36</v>
      </c>
      <c r="H184" t="s">
        <v>36</v>
      </c>
      <c r="I184" t="s">
        <v>4564</v>
      </c>
      <c r="J184" t="s">
        <v>4565</v>
      </c>
      <c r="K184" t="s">
        <v>1492</v>
      </c>
      <c r="L184" s="74">
        <v>45440</v>
      </c>
      <c r="M184" s="74">
        <v>46175</v>
      </c>
      <c r="O184" t="s">
        <v>143</v>
      </c>
      <c r="P184" t="s">
        <v>4568</v>
      </c>
      <c r="Q184" t="s">
        <v>70</v>
      </c>
      <c r="R184" t="s">
        <v>46</v>
      </c>
      <c r="S184" t="s">
        <v>297</v>
      </c>
      <c r="T184" t="s">
        <v>298</v>
      </c>
      <c r="U184" t="s">
        <v>724</v>
      </c>
      <c r="V184" t="s">
        <v>725</v>
      </c>
      <c r="W184" t="s">
        <v>301</v>
      </c>
      <c r="X184" t="s">
        <v>36</v>
      </c>
      <c r="Y184" t="s">
        <v>36</v>
      </c>
      <c r="Z184" t="s">
        <v>54</v>
      </c>
      <c r="AA184" t="s">
        <v>680</v>
      </c>
      <c r="AB184" t="s">
        <v>681</v>
      </c>
      <c r="AC184" t="s">
        <v>36</v>
      </c>
      <c r="AD184" t="s">
        <v>5017</v>
      </c>
      <c r="AE184">
        <v>850</v>
      </c>
      <c r="AF184" t="s">
        <v>5164</v>
      </c>
      <c r="AG184" t="s">
        <v>5378</v>
      </c>
      <c r="AH184" t="s">
        <v>5366</v>
      </c>
      <c r="AI184" t="s">
        <v>5169</v>
      </c>
      <c r="AJ184" t="s">
        <v>5383</v>
      </c>
      <c r="AK184" t="s">
        <v>36</v>
      </c>
      <c r="AL184" t="s">
        <v>5153</v>
      </c>
      <c r="AM184" t="s">
        <v>6160</v>
      </c>
      <c r="AN184" t="s">
        <v>6148</v>
      </c>
      <c r="AO184" t="s">
        <v>6130</v>
      </c>
      <c r="AP184" t="e">
        <v>#VALUE!</v>
      </c>
      <c r="AQ184" t="s">
        <v>6149</v>
      </c>
      <c r="AR184" t="b">
        <v>0</v>
      </c>
    </row>
    <row r="185" spans="1:44">
      <c r="A185" t="s">
        <v>282</v>
      </c>
      <c r="B185" t="s">
        <v>1333</v>
      </c>
      <c r="C185" t="s">
        <v>36</v>
      </c>
      <c r="D185" t="s">
        <v>4534</v>
      </c>
      <c r="E185" t="s">
        <v>36</v>
      </c>
      <c r="F185" t="s">
        <v>36</v>
      </c>
      <c r="G185" t="s">
        <v>36</v>
      </c>
      <c r="H185" t="s">
        <v>36</v>
      </c>
      <c r="I185" t="s">
        <v>4564</v>
      </c>
      <c r="J185" t="s">
        <v>4565</v>
      </c>
      <c r="K185" t="s">
        <v>1492</v>
      </c>
      <c r="L185" s="74">
        <v>45440</v>
      </c>
      <c r="M185" s="74">
        <v>46175</v>
      </c>
      <c r="O185" t="s">
        <v>143</v>
      </c>
      <c r="P185" t="s">
        <v>4568</v>
      </c>
      <c r="Q185" t="s">
        <v>45</v>
      </c>
      <c r="R185" t="s">
        <v>46</v>
      </c>
      <c r="S185" t="s">
        <v>297</v>
      </c>
      <c r="T185" t="s">
        <v>298</v>
      </c>
      <c r="U185" t="s">
        <v>724</v>
      </c>
      <c r="V185" t="s">
        <v>725</v>
      </c>
      <c r="W185" t="s">
        <v>301</v>
      </c>
      <c r="X185" t="s">
        <v>36</v>
      </c>
      <c r="Y185" t="s">
        <v>36</v>
      </c>
      <c r="Z185" t="s">
        <v>54</v>
      </c>
      <c r="AA185" t="s">
        <v>680</v>
      </c>
      <c r="AB185" t="s">
        <v>681</v>
      </c>
      <c r="AC185" t="s">
        <v>36</v>
      </c>
      <c r="AD185" t="s">
        <v>5017</v>
      </c>
      <c r="AE185">
        <v>850</v>
      </c>
      <c r="AF185" t="s">
        <v>5164</v>
      </c>
      <c r="AG185" t="s">
        <v>5378</v>
      </c>
      <c r="AH185" t="s">
        <v>5366</v>
      </c>
      <c r="AI185" t="s">
        <v>5169</v>
      </c>
      <c r="AJ185" t="s">
        <v>5383</v>
      </c>
      <c r="AK185" t="s">
        <v>36</v>
      </c>
      <c r="AL185" t="s">
        <v>5153</v>
      </c>
      <c r="AM185" t="s">
        <v>6160</v>
      </c>
      <c r="AN185" t="s">
        <v>6151</v>
      </c>
      <c r="AO185" t="s">
        <v>6130</v>
      </c>
      <c r="AP185" t="e">
        <v>#VALUE!</v>
      </c>
      <c r="AQ185" t="s">
        <v>6149</v>
      </c>
      <c r="AR185" t="b">
        <v>0</v>
      </c>
    </row>
    <row r="186" spans="1:44">
      <c r="A186" t="s">
        <v>457</v>
      </c>
      <c r="B186" t="s">
        <v>1333</v>
      </c>
      <c r="C186" t="s">
        <v>36</v>
      </c>
      <c r="D186" t="s">
        <v>4534</v>
      </c>
      <c r="E186" t="s">
        <v>36</v>
      </c>
      <c r="F186" t="s">
        <v>36</v>
      </c>
      <c r="G186" t="s">
        <v>1013</v>
      </c>
      <c r="H186" t="s">
        <v>1014</v>
      </c>
      <c r="I186" t="s">
        <v>4564</v>
      </c>
      <c r="J186" t="s">
        <v>4565</v>
      </c>
      <c r="K186" t="s">
        <v>1492</v>
      </c>
      <c r="L186" s="74">
        <v>45440</v>
      </c>
      <c r="O186" t="s">
        <v>43</v>
      </c>
      <c r="P186" t="s">
        <v>4568</v>
      </c>
      <c r="Q186" t="s">
        <v>45</v>
      </c>
      <c r="R186" t="s">
        <v>46</v>
      </c>
      <c r="S186" t="s">
        <v>297</v>
      </c>
      <c r="T186" t="s">
        <v>298</v>
      </c>
      <c r="U186" t="s">
        <v>724</v>
      </c>
      <c r="V186" t="s">
        <v>725</v>
      </c>
      <c r="W186" t="s">
        <v>301</v>
      </c>
      <c r="X186" t="s">
        <v>36</v>
      </c>
      <c r="Y186" t="s">
        <v>36</v>
      </c>
      <c r="Z186" t="s">
        <v>54</v>
      </c>
      <c r="AA186" t="s">
        <v>680</v>
      </c>
      <c r="AB186" t="s">
        <v>681</v>
      </c>
      <c r="AC186" t="s">
        <v>4643</v>
      </c>
      <c r="AD186" t="s">
        <v>5017</v>
      </c>
      <c r="AE186">
        <v>850</v>
      </c>
      <c r="AF186" t="s">
        <v>5164</v>
      </c>
      <c r="AG186" t="s">
        <v>5378</v>
      </c>
      <c r="AH186" t="s">
        <v>5366</v>
      </c>
      <c r="AI186" t="s">
        <v>5169</v>
      </c>
      <c r="AJ186" t="s">
        <v>5383</v>
      </c>
      <c r="AK186" t="s">
        <v>36</v>
      </c>
      <c r="AL186" t="s">
        <v>5381</v>
      </c>
      <c r="AM186" t="s">
        <v>36</v>
      </c>
      <c r="AO186" t="s">
        <v>6130</v>
      </c>
      <c r="AP186" t="s">
        <v>4634</v>
      </c>
      <c r="AQ186" t="s">
        <v>4643</v>
      </c>
      <c r="AR186" t="b">
        <v>1</v>
      </c>
    </row>
    <row r="187" spans="1:44">
      <c r="A187" t="s">
        <v>57</v>
      </c>
      <c r="B187" t="s">
        <v>158</v>
      </c>
      <c r="C187" t="s">
        <v>159</v>
      </c>
      <c r="D187" t="s">
        <v>160</v>
      </c>
      <c r="E187" t="s">
        <v>36</v>
      </c>
      <c r="F187" t="s">
        <v>36</v>
      </c>
      <c r="G187" t="s">
        <v>88</v>
      </c>
      <c r="H187" t="s">
        <v>89</v>
      </c>
      <c r="I187" t="s">
        <v>165</v>
      </c>
      <c r="J187" t="s">
        <v>166</v>
      </c>
      <c r="K187" t="s">
        <v>167</v>
      </c>
      <c r="L187" s="74">
        <v>45392</v>
      </c>
      <c r="O187" t="s">
        <v>43</v>
      </c>
      <c r="P187" t="s">
        <v>169</v>
      </c>
      <c r="Q187" t="s">
        <v>70</v>
      </c>
      <c r="R187" t="s">
        <v>46</v>
      </c>
      <c r="S187" t="s">
        <v>47</v>
      </c>
      <c r="T187" t="s">
        <v>48</v>
      </c>
      <c r="U187" t="s">
        <v>174</v>
      </c>
      <c r="V187" t="s">
        <v>175</v>
      </c>
      <c r="W187" t="s">
        <v>51</v>
      </c>
      <c r="X187" t="s">
        <v>36</v>
      </c>
      <c r="Y187" t="s">
        <v>36</v>
      </c>
      <c r="Z187" t="s">
        <v>54</v>
      </c>
      <c r="AA187" t="s">
        <v>80</v>
      </c>
      <c r="AB187" t="s">
        <v>81</v>
      </c>
      <c r="AC187" t="s">
        <v>2144</v>
      </c>
      <c r="AD187" t="s">
        <v>5018</v>
      </c>
      <c r="AE187">
        <v>9500</v>
      </c>
      <c r="AF187" t="s">
        <v>5164</v>
      </c>
      <c r="AG187" t="s">
        <v>5378</v>
      </c>
      <c r="AH187" t="s">
        <v>5366</v>
      </c>
      <c r="AI187" t="s">
        <v>5169</v>
      </c>
      <c r="AJ187" t="s">
        <v>5383</v>
      </c>
      <c r="AK187" t="s">
        <v>36</v>
      </c>
      <c r="AL187" t="s">
        <v>5381</v>
      </c>
      <c r="AM187" t="s">
        <v>36</v>
      </c>
      <c r="AO187" t="s">
        <v>6131</v>
      </c>
      <c r="AP187" t="s">
        <v>2135</v>
      </c>
      <c r="AQ187" t="s">
        <v>2144</v>
      </c>
      <c r="AR187" t="b">
        <v>1</v>
      </c>
    </row>
    <row r="188" spans="1:44">
      <c r="A188" t="s">
        <v>282</v>
      </c>
      <c r="B188" t="s">
        <v>708</v>
      </c>
      <c r="C188" t="s">
        <v>684</v>
      </c>
      <c r="D188" t="s">
        <v>710</v>
      </c>
      <c r="E188" t="s">
        <v>36</v>
      </c>
      <c r="F188" t="s">
        <v>36</v>
      </c>
      <c r="G188" t="s">
        <v>638</v>
      </c>
      <c r="H188" t="s">
        <v>639</v>
      </c>
      <c r="I188" t="s">
        <v>715</v>
      </c>
      <c r="J188" t="s">
        <v>716</v>
      </c>
      <c r="K188" t="s">
        <v>642</v>
      </c>
      <c r="L188" s="74">
        <v>41386</v>
      </c>
      <c r="O188" t="s">
        <v>43</v>
      </c>
      <c r="P188" t="s">
        <v>719</v>
      </c>
      <c r="Q188" t="s">
        <v>70</v>
      </c>
      <c r="R188" t="s">
        <v>46</v>
      </c>
      <c r="S188" t="s">
        <v>297</v>
      </c>
      <c r="T188" t="s">
        <v>298</v>
      </c>
      <c r="U188" t="s">
        <v>724</v>
      </c>
      <c r="V188" t="s">
        <v>725</v>
      </c>
      <c r="W188" t="s">
        <v>301</v>
      </c>
      <c r="X188" t="s">
        <v>36</v>
      </c>
      <c r="Y188" t="s">
        <v>36</v>
      </c>
      <c r="Z188" t="s">
        <v>54</v>
      </c>
      <c r="AA188" t="s">
        <v>230</v>
      </c>
      <c r="AB188" t="s">
        <v>231</v>
      </c>
      <c r="AC188" t="s">
        <v>4468</v>
      </c>
      <c r="AD188" t="s">
        <v>5017</v>
      </c>
      <c r="AE188">
        <v>850</v>
      </c>
      <c r="AF188" t="s">
        <v>5164</v>
      </c>
      <c r="AG188" t="s">
        <v>5378</v>
      </c>
      <c r="AH188" t="s">
        <v>5366</v>
      </c>
      <c r="AI188" t="s">
        <v>5169</v>
      </c>
      <c r="AJ188" t="s">
        <v>5383</v>
      </c>
      <c r="AK188" t="s">
        <v>36</v>
      </c>
      <c r="AL188" t="s">
        <v>5381</v>
      </c>
      <c r="AM188" t="s">
        <v>36</v>
      </c>
      <c r="AO188" t="s">
        <v>6132</v>
      </c>
      <c r="AP188" t="s">
        <v>4459</v>
      </c>
      <c r="AQ188" t="s">
        <v>4468</v>
      </c>
      <c r="AR188" t="b">
        <v>1</v>
      </c>
    </row>
    <row r="189" spans="1:44">
      <c r="A189" t="s">
        <v>282</v>
      </c>
      <c r="B189" t="s">
        <v>708</v>
      </c>
      <c r="C189" t="s">
        <v>159</v>
      </c>
      <c r="D189" t="s">
        <v>785</v>
      </c>
      <c r="E189" t="s">
        <v>36</v>
      </c>
      <c r="F189" t="s">
        <v>36</v>
      </c>
      <c r="G189" t="s">
        <v>36</v>
      </c>
      <c r="H189" t="s">
        <v>36</v>
      </c>
      <c r="I189" t="s">
        <v>790</v>
      </c>
      <c r="J189" t="s">
        <v>791</v>
      </c>
      <c r="K189" t="s">
        <v>792</v>
      </c>
      <c r="L189" s="74">
        <v>46160</v>
      </c>
      <c r="M189" s="74">
        <v>46176</v>
      </c>
      <c r="O189" t="s">
        <v>143</v>
      </c>
      <c r="P189" t="s">
        <v>794</v>
      </c>
      <c r="Q189" t="s">
        <v>45</v>
      </c>
      <c r="R189" t="s">
        <v>46</v>
      </c>
      <c r="S189" t="s">
        <v>297</v>
      </c>
      <c r="T189" t="s">
        <v>298</v>
      </c>
      <c r="U189" t="s">
        <v>799</v>
      </c>
      <c r="V189" t="s">
        <v>800</v>
      </c>
      <c r="W189" t="s">
        <v>301</v>
      </c>
      <c r="X189" t="s">
        <v>36</v>
      </c>
      <c r="Y189" t="s">
        <v>36</v>
      </c>
      <c r="Z189" t="s">
        <v>54</v>
      </c>
      <c r="AA189" t="s">
        <v>805</v>
      </c>
      <c r="AB189" t="s">
        <v>806</v>
      </c>
      <c r="AC189" t="s">
        <v>36</v>
      </c>
      <c r="AD189" t="s">
        <v>5017</v>
      </c>
      <c r="AE189">
        <v>500</v>
      </c>
      <c r="AF189" t="s">
        <v>5164</v>
      </c>
      <c r="AG189" t="s">
        <v>5378</v>
      </c>
      <c r="AH189" t="s">
        <v>5366</v>
      </c>
      <c r="AI189" t="s">
        <v>5169</v>
      </c>
      <c r="AJ189" t="s">
        <v>5383</v>
      </c>
      <c r="AK189" t="s">
        <v>36</v>
      </c>
      <c r="AL189" t="s">
        <v>5153</v>
      </c>
      <c r="AM189" t="s">
        <v>6150</v>
      </c>
      <c r="AN189" t="s">
        <v>6151</v>
      </c>
      <c r="AO189" t="s">
        <v>6133</v>
      </c>
      <c r="AP189" t="e">
        <v>#VALUE!</v>
      </c>
      <c r="AQ189" t="s">
        <v>6149</v>
      </c>
      <c r="AR189" t="b">
        <v>0</v>
      </c>
    </row>
    <row r="190" spans="1:44">
      <c r="A190" t="s">
        <v>457</v>
      </c>
      <c r="B190" t="s">
        <v>708</v>
      </c>
      <c r="C190" t="s">
        <v>159</v>
      </c>
      <c r="D190" t="s">
        <v>785</v>
      </c>
      <c r="E190" t="s">
        <v>36</v>
      </c>
      <c r="F190" t="s">
        <v>36</v>
      </c>
      <c r="G190" t="s">
        <v>813</v>
      </c>
      <c r="H190" t="s">
        <v>814</v>
      </c>
      <c r="I190" t="s">
        <v>790</v>
      </c>
      <c r="J190" t="s">
        <v>791</v>
      </c>
      <c r="K190" t="s">
        <v>792</v>
      </c>
      <c r="L190" s="74">
        <v>46160</v>
      </c>
      <c r="O190" t="s">
        <v>43</v>
      </c>
      <c r="P190" t="s">
        <v>794</v>
      </c>
      <c r="Q190" t="s">
        <v>45</v>
      </c>
      <c r="R190" t="s">
        <v>46</v>
      </c>
      <c r="S190" t="s">
        <v>297</v>
      </c>
      <c r="T190" t="s">
        <v>298</v>
      </c>
      <c r="U190" t="s">
        <v>799</v>
      </c>
      <c r="V190" t="s">
        <v>800</v>
      </c>
      <c r="W190" t="s">
        <v>301</v>
      </c>
      <c r="X190" t="s">
        <v>36</v>
      </c>
      <c r="Y190" t="s">
        <v>36</v>
      </c>
      <c r="Z190" t="s">
        <v>54</v>
      </c>
      <c r="AA190" t="s">
        <v>805</v>
      </c>
      <c r="AB190" t="s">
        <v>806</v>
      </c>
      <c r="AC190" t="s">
        <v>2344</v>
      </c>
      <c r="AD190" t="s">
        <v>5017</v>
      </c>
      <c r="AE190">
        <v>500</v>
      </c>
      <c r="AF190" t="s">
        <v>5164</v>
      </c>
      <c r="AG190" t="s">
        <v>5378</v>
      </c>
      <c r="AH190" t="s">
        <v>5366</v>
      </c>
      <c r="AI190" t="s">
        <v>5169</v>
      </c>
      <c r="AJ190" t="s">
        <v>5383</v>
      </c>
      <c r="AK190" t="s">
        <v>36</v>
      </c>
      <c r="AL190" t="s">
        <v>5381</v>
      </c>
      <c r="AM190" t="s">
        <v>36</v>
      </c>
      <c r="AO190" t="s">
        <v>6133</v>
      </c>
      <c r="AP190" t="s">
        <v>2335</v>
      </c>
      <c r="AQ190" t="s">
        <v>2344</v>
      </c>
      <c r="AR190" t="b">
        <v>1</v>
      </c>
    </row>
    <row r="191" spans="1:44">
      <c r="A191" t="s">
        <v>282</v>
      </c>
      <c r="B191" t="s">
        <v>708</v>
      </c>
      <c r="C191" t="s">
        <v>159</v>
      </c>
      <c r="D191" t="s">
        <v>785</v>
      </c>
      <c r="E191" t="s">
        <v>36</v>
      </c>
      <c r="F191" t="s">
        <v>36</v>
      </c>
      <c r="G191" t="s">
        <v>36</v>
      </c>
      <c r="H191" t="s">
        <v>36</v>
      </c>
      <c r="I191" t="s">
        <v>790</v>
      </c>
      <c r="J191" t="s">
        <v>791</v>
      </c>
      <c r="K191" t="s">
        <v>792</v>
      </c>
      <c r="L191" s="74">
        <v>46160</v>
      </c>
      <c r="M191" s="74">
        <v>46176</v>
      </c>
      <c r="O191" t="s">
        <v>143</v>
      </c>
      <c r="P191" t="s">
        <v>794</v>
      </c>
      <c r="Q191" t="s">
        <v>70</v>
      </c>
      <c r="R191" t="s">
        <v>46</v>
      </c>
      <c r="S191" t="s">
        <v>297</v>
      </c>
      <c r="T191" t="s">
        <v>298</v>
      </c>
      <c r="U191" t="s">
        <v>799</v>
      </c>
      <c r="V191" t="s">
        <v>800</v>
      </c>
      <c r="W191" t="s">
        <v>301</v>
      </c>
      <c r="X191" t="s">
        <v>36</v>
      </c>
      <c r="Y191" t="s">
        <v>36</v>
      </c>
      <c r="Z191" t="s">
        <v>54</v>
      </c>
      <c r="AA191" t="s">
        <v>805</v>
      </c>
      <c r="AB191" t="s">
        <v>806</v>
      </c>
      <c r="AC191" t="s">
        <v>36</v>
      </c>
      <c r="AD191" t="s">
        <v>5017</v>
      </c>
      <c r="AE191">
        <v>500</v>
      </c>
      <c r="AF191" t="s">
        <v>5164</v>
      </c>
      <c r="AG191" t="s">
        <v>5378</v>
      </c>
      <c r="AH191" t="s">
        <v>5366</v>
      </c>
      <c r="AI191" t="s">
        <v>5169</v>
      </c>
      <c r="AJ191" t="s">
        <v>5383</v>
      </c>
      <c r="AK191" t="s">
        <v>36</v>
      </c>
      <c r="AL191" t="s">
        <v>5153</v>
      </c>
      <c r="AM191" t="s">
        <v>6150</v>
      </c>
      <c r="AN191" t="s">
        <v>6151</v>
      </c>
      <c r="AO191" t="s">
        <v>6133</v>
      </c>
      <c r="AP191" t="e">
        <v>#VALUE!</v>
      </c>
      <c r="AQ191" t="s">
        <v>6149</v>
      </c>
      <c r="AR191" t="b">
        <v>0</v>
      </c>
    </row>
    <row r="192" spans="1:44">
      <c r="A192" t="s">
        <v>57</v>
      </c>
      <c r="B192" t="s">
        <v>708</v>
      </c>
      <c r="C192" t="s">
        <v>608</v>
      </c>
      <c r="D192" t="s">
        <v>3909</v>
      </c>
      <c r="E192" t="s">
        <v>36</v>
      </c>
      <c r="F192" t="s">
        <v>36</v>
      </c>
      <c r="G192" t="s">
        <v>36</v>
      </c>
      <c r="H192" t="s">
        <v>36</v>
      </c>
      <c r="I192" t="s">
        <v>3914</v>
      </c>
      <c r="J192" t="s">
        <v>36</v>
      </c>
      <c r="K192" t="s">
        <v>67</v>
      </c>
      <c r="L192" s="74">
        <v>45895</v>
      </c>
      <c r="M192" s="74">
        <v>46175</v>
      </c>
      <c r="N192" s="74">
        <v>46175</v>
      </c>
      <c r="O192" t="s">
        <v>143</v>
      </c>
      <c r="P192" t="s">
        <v>3918</v>
      </c>
      <c r="Q192" t="s">
        <v>70</v>
      </c>
      <c r="R192" t="s">
        <v>46</v>
      </c>
      <c r="S192" t="s">
        <v>47</v>
      </c>
      <c r="T192" t="s">
        <v>48</v>
      </c>
      <c r="U192" t="s">
        <v>74</v>
      </c>
      <c r="V192" t="s">
        <v>75</v>
      </c>
      <c r="W192" t="s">
        <v>3925</v>
      </c>
      <c r="X192" t="s">
        <v>36</v>
      </c>
      <c r="Y192" t="s">
        <v>36</v>
      </c>
      <c r="Z192" t="s">
        <v>54</v>
      </c>
      <c r="AA192" t="s">
        <v>80</v>
      </c>
      <c r="AB192" t="s">
        <v>81</v>
      </c>
      <c r="AC192" t="s">
        <v>36</v>
      </c>
      <c r="AD192" t="s">
        <v>5018</v>
      </c>
      <c r="AE192">
        <v>8200</v>
      </c>
      <c r="AF192" t="s">
        <v>5164</v>
      </c>
      <c r="AG192" t="s">
        <v>5378</v>
      </c>
      <c r="AH192" t="s">
        <v>5366</v>
      </c>
      <c r="AI192" t="s">
        <v>5169</v>
      </c>
      <c r="AJ192" t="s">
        <v>5383</v>
      </c>
      <c r="AK192" t="s">
        <v>36</v>
      </c>
      <c r="AL192" t="s">
        <v>5153</v>
      </c>
      <c r="AM192" t="s">
        <v>6160</v>
      </c>
      <c r="AN192" t="s">
        <v>6151</v>
      </c>
      <c r="AO192" t="s">
        <v>6134</v>
      </c>
      <c r="AP192" t="e">
        <v>#VALUE!</v>
      </c>
      <c r="AQ192" t="s">
        <v>6149</v>
      </c>
      <c r="AR192" t="b">
        <v>0</v>
      </c>
    </row>
    <row r="193" spans="1:44">
      <c r="A193" t="s">
        <v>34</v>
      </c>
      <c r="B193" t="s">
        <v>183</v>
      </c>
      <c r="C193" t="s">
        <v>109</v>
      </c>
      <c r="D193" t="s">
        <v>185</v>
      </c>
      <c r="E193" t="s">
        <v>36</v>
      </c>
      <c r="F193" t="s">
        <v>36</v>
      </c>
      <c r="G193" t="s">
        <v>188</v>
      </c>
      <c r="H193" t="s">
        <v>189</v>
      </c>
      <c r="I193" t="s">
        <v>190</v>
      </c>
      <c r="J193" t="s">
        <v>191</v>
      </c>
      <c r="K193" t="s">
        <v>42</v>
      </c>
      <c r="L193" s="74">
        <v>44550</v>
      </c>
      <c r="O193" t="s">
        <v>43</v>
      </c>
      <c r="P193" t="s">
        <v>194</v>
      </c>
      <c r="Q193" t="s">
        <v>45</v>
      </c>
      <c r="R193" t="s">
        <v>46</v>
      </c>
      <c r="S193" t="s">
        <v>47</v>
      </c>
      <c r="T193" t="s">
        <v>48</v>
      </c>
      <c r="U193" t="s">
        <v>199</v>
      </c>
      <c r="V193" t="s">
        <v>200</v>
      </c>
      <c r="W193" t="s">
        <v>51</v>
      </c>
      <c r="X193" t="s">
        <v>36</v>
      </c>
      <c r="Y193" t="s">
        <v>36</v>
      </c>
      <c r="Z193" t="s">
        <v>54</v>
      </c>
      <c r="AA193" t="s">
        <v>55</v>
      </c>
      <c r="AB193" t="s">
        <v>56</v>
      </c>
      <c r="AC193" t="s">
        <v>2294</v>
      </c>
      <c r="AD193" t="s">
        <v>5018</v>
      </c>
      <c r="AE193">
        <v>5200</v>
      </c>
      <c r="AF193" t="s">
        <v>5164</v>
      </c>
      <c r="AG193" t="s">
        <v>5378</v>
      </c>
      <c r="AH193" t="s">
        <v>5366</v>
      </c>
      <c r="AI193" t="s">
        <v>5169</v>
      </c>
      <c r="AJ193" t="s">
        <v>5383</v>
      </c>
      <c r="AK193" t="s">
        <v>36</v>
      </c>
      <c r="AL193" t="s">
        <v>5381</v>
      </c>
      <c r="AM193" t="s">
        <v>36</v>
      </c>
      <c r="AO193" t="s">
        <v>6135</v>
      </c>
      <c r="AP193" t="s">
        <v>2285</v>
      </c>
      <c r="AQ193" t="s">
        <v>2294</v>
      </c>
      <c r="AR193" t="b">
        <v>1</v>
      </c>
    </row>
    <row r="194" spans="1:44">
      <c r="A194" t="s">
        <v>34</v>
      </c>
      <c r="B194" t="s">
        <v>1483</v>
      </c>
      <c r="C194" t="s">
        <v>234</v>
      </c>
      <c r="D194" t="s">
        <v>1485</v>
      </c>
      <c r="E194" t="s">
        <v>36</v>
      </c>
      <c r="F194" t="s">
        <v>36</v>
      </c>
      <c r="G194" t="s">
        <v>1488</v>
      </c>
      <c r="H194" t="s">
        <v>1489</v>
      </c>
      <c r="I194" t="s">
        <v>36</v>
      </c>
      <c r="J194" t="s">
        <v>1491</v>
      </c>
      <c r="K194" t="s">
        <v>1492</v>
      </c>
      <c r="L194" s="74">
        <v>46153</v>
      </c>
      <c r="O194" t="s">
        <v>43</v>
      </c>
      <c r="P194" t="s">
        <v>1494</v>
      </c>
      <c r="Q194" t="s">
        <v>45</v>
      </c>
      <c r="R194" t="s">
        <v>46</v>
      </c>
      <c r="S194" t="s">
        <v>47</v>
      </c>
      <c r="T194" t="s">
        <v>48</v>
      </c>
      <c r="U194" t="s">
        <v>724</v>
      </c>
      <c r="V194" t="s">
        <v>950</v>
      </c>
      <c r="W194" t="s">
        <v>51</v>
      </c>
      <c r="X194" t="s">
        <v>36</v>
      </c>
      <c r="Y194" t="s">
        <v>36</v>
      </c>
      <c r="Z194" t="s">
        <v>54</v>
      </c>
      <c r="AA194" t="s">
        <v>680</v>
      </c>
      <c r="AB194" t="s">
        <v>681</v>
      </c>
      <c r="AC194" t="s">
        <v>3544</v>
      </c>
      <c r="AD194" t="s">
        <v>5018</v>
      </c>
      <c r="AE194">
        <v>8100</v>
      </c>
      <c r="AF194" t="s">
        <v>5164</v>
      </c>
      <c r="AG194" t="s">
        <v>5378</v>
      </c>
      <c r="AH194" t="s">
        <v>5366</v>
      </c>
      <c r="AI194" t="s">
        <v>5169</v>
      </c>
      <c r="AJ194" t="s">
        <v>5383</v>
      </c>
      <c r="AK194" t="s">
        <v>36</v>
      </c>
      <c r="AL194" t="s">
        <v>5381</v>
      </c>
      <c r="AM194" t="s">
        <v>36</v>
      </c>
      <c r="AO194" t="s">
        <v>6136</v>
      </c>
      <c r="AP194" t="s">
        <v>3535</v>
      </c>
      <c r="AQ194" t="s">
        <v>3544</v>
      </c>
      <c r="AR194" t="b">
        <v>1</v>
      </c>
    </row>
    <row r="195" spans="1:44">
      <c r="A195" t="s">
        <v>57</v>
      </c>
      <c r="B195" t="s">
        <v>633</v>
      </c>
      <c r="C195" t="s">
        <v>36</v>
      </c>
      <c r="D195" t="s">
        <v>635</v>
      </c>
      <c r="E195" t="s">
        <v>36</v>
      </c>
      <c r="F195" t="s">
        <v>36</v>
      </c>
      <c r="G195" t="s">
        <v>638</v>
      </c>
      <c r="H195" t="s">
        <v>639</v>
      </c>
      <c r="I195" t="s">
        <v>640</v>
      </c>
      <c r="J195" t="s">
        <v>36</v>
      </c>
      <c r="K195" t="s">
        <v>642</v>
      </c>
      <c r="L195" s="74">
        <v>45033</v>
      </c>
      <c r="O195" t="s">
        <v>43</v>
      </c>
      <c r="P195" t="s">
        <v>644</v>
      </c>
      <c r="Q195" t="s">
        <v>70</v>
      </c>
      <c r="R195" t="s">
        <v>46</v>
      </c>
      <c r="S195" t="s">
        <v>47</v>
      </c>
      <c r="T195" t="s">
        <v>48</v>
      </c>
      <c r="U195" t="s">
        <v>99</v>
      </c>
      <c r="V195" t="s">
        <v>100</v>
      </c>
      <c r="W195" t="s">
        <v>51</v>
      </c>
      <c r="X195" t="s">
        <v>36</v>
      </c>
      <c r="Y195" t="s">
        <v>36</v>
      </c>
      <c r="Z195" t="s">
        <v>54</v>
      </c>
      <c r="AA195" t="s">
        <v>230</v>
      </c>
      <c r="AB195" t="s">
        <v>231</v>
      </c>
      <c r="AC195" t="s">
        <v>4468</v>
      </c>
      <c r="AD195" t="s">
        <v>5018</v>
      </c>
      <c r="AE195">
        <v>8300</v>
      </c>
      <c r="AF195" t="s">
        <v>5164</v>
      </c>
      <c r="AG195" t="s">
        <v>5378</v>
      </c>
      <c r="AH195" t="s">
        <v>5366</v>
      </c>
      <c r="AI195" t="s">
        <v>5169</v>
      </c>
      <c r="AJ195" t="s">
        <v>5383</v>
      </c>
      <c r="AK195" t="s">
        <v>36</v>
      </c>
      <c r="AL195" t="s">
        <v>5381</v>
      </c>
      <c r="AM195" t="s">
        <v>36</v>
      </c>
      <c r="AO195" t="s">
        <v>6137</v>
      </c>
      <c r="AP195" t="s">
        <v>4459</v>
      </c>
      <c r="AQ195" t="s">
        <v>4468</v>
      </c>
      <c r="AR195" t="b">
        <v>1</v>
      </c>
    </row>
    <row r="196" spans="1:44">
      <c r="A196" t="s">
        <v>57</v>
      </c>
      <c r="B196" t="s">
        <v>758</v>
      </c>
      <c r="C196" t="s">
        <v>36</v>
      </c>
      <c r="D196" t="s">
        <v>760</v>
      </c>
      <c r="E196" t="s">
        <v>36</v>
      </c>
      <c r="F196" t="s">
        <v>36</v>
      </c>
      <c r="G196" t="s">
        <v>88</v>
      </c>
      <c r="H196" t="s">
        <v>89</v>
      </c>
      <c r="I196" t="s">
        <v>765</v>
      </c>
      <c r="J196" t="s">
        <v>766</v>
      </c>
      <c r="K196" t="s">
        <v>742</v>
      </c>
      <c r="L196" s="74">
        <v>43192</v>
      </c>
      <c r="O196" t="s">
        <v>43</v>
      </c>
      <c r="P196" t="s">
        <v>769</v>
      </c>
      <c r="Q196" t="s">
        <v>70</v>
      </c>
      <c r="R196" t="s">
        <v>46</v>
      </c>
      <c r="S196" t="s">
        <v>47</v>
      </c>
      <c r="T196" t="s">
        <v>48</v>
      </c>
      <c r="U196" t="s">
        <v>774</v>
      </c>
      <c r="V196" t="s">
        <v>775</v>
      </c>
      <c r="W196" t="s">
        <v>51</v>
      </c>
      <c r="X196" t="s">
        <v>777</v>
      </c>
      <c r="Y196" t="s">
        <v>778</v>
      </c>
      <c r="Z196" t="s">
        <v>54</v>
      </c>
      <c r="AA196" t="s">
        <v>755</v>
      </c>
      <c r="AB196" t="s">
        <v>756</v>
      </c>
      <c r="AC196" t="s">
        <v>2144</v>
      </c>
      <c r="AD196" t="s">
        <v>5018</v>
      </c>
      <c r="AE196">
        <v>9450</v>
      </c>
      <c r="AF196" t="s">
        <v>5164</v>
      </c>
      <c r="AG196" t="s">
        <v>5378</v>
      </c>
      <c r="AH196" t="s">
        <v>5366</v>
      </c>
      <c r="AI196" t="s">
        <v>5169</v>
      </c>
      <c r="AJ196" t="s">
        <v>5383</v>
      </c>
      <c r="AK196" t="s">
        <v>36</v>
      </c>
      <c r="AL196" t="s">
        <v>5381</v>
      </c>
      <c r="AM196" t="s">
        <v>36</v>
      </c>
      <c r="AO196" t="s">
        <v>6138</v>
      </c>
      <c r="AP196" t="s">
        <v>2135</v>
      </c>
      <c r="AQ196" t="s">
        <v>2144</v>
      </c>
      <c r="AR196" t="b">
        <v>1</v>
      </c>
    </row>
    <row r="197" spans="1:44">
      <c r="A197" t="s">
        <v>57</v>
      </c>
      <c r="B197" t="s">
        <v>2333</v>
      </c>
      <c r="C197" t="s">
        <v>659</v>
      </c>
      <c r="D197" t="s">
        <v>3735</v>
      </c>
      <c r="E197" t="s">
        <v>36</v>
      </c>
      <c r="F197" t="s">
        <v>36</v>
      </c>
      <c r="G197" t="s">
        <v>413</v>
      </c>
      <c r="H197" t="s">
        <v>664</v>
      </c>
      <c r="I197" t="s">
        <v>3740</v>
      </c>
      <c r="J197" t="s">
        <v>3740</v>
      </c>
      <c r="K197" t="s">
        <v>667</v>
      </c>
      <c r="L197" s="74">
        <v>44655</v>
      </c>
      <c r="O197" t="s">
        <v>43</v>
      </c>
      <c r="P197" t="s">
        <v>3743</v>
      </c>
      <c r="Q197" t="s">
        <v>70</v>
      </c>
      <c r="R197" t="s">
        <v>46</v>
      </c>
      <c r="S197" t="s">
        <v>47</v>
      </c>
      <c r="T197" t="s">
        <v>48</v>
      </c>
      <c r="U197" t="s">
        <v>199</v>
      </c>
      <c r="V197" t="s">
        <v>200</v>
      </c>
      <c r="W197" t="s">
        <v>51</v>
      </c>
      <c r="X197" t="s">
        <v>36</v>
      </c>
      <c r="Y197" t="s">
        <v>36</v>
      </c>
      <c r="Z197" t="s">
        <v>54</v>
      </c>
      <c r="AA197" t="s">
        <v>680</v>
      </c>
      <c r="AB197" t="s">
        <v>681</v>
      </c>
      <c r="AC197" t="s">
        <v>419</v>
      </c>
      <c r="AD197" t="s">
        <v>5018</v>
      </c>
      <c r="AE197">
        <v>5200</v>
      </c>
      <c r="AF197" t="s">
        <v>5164</v>
      </c>
      <c r="AG197" t="s">
        <v>5378</v>
      </c>
      <c r="AH197" t="s">
        <v>5366</v>
      </c>
      <c r="AI197" t="s">
        <v>5169</v>
      </c>
      <c r="AJ197" t="s">
        <v>5383</v>
      </c>
      <c r="AK197" t="s">
        <v>36</v>
      </c>
      <c r="AL197" t="s">
        <v>5381</v>
      </c>
      <c r="AM197" t="s">
        <v>36</v>
      </c>
      <c r="AO197" t="s">
        <v>6139</v>
      </c>
      <c r="AP197" t="s">
        <v>235</v>
      </c>
      <c r="AQ197" t="s">
        <v>244</v>
      </c>
      <c r="AR197" t="b">
        <v>0</v>
      </c>
    </row>
    <row r="198" spans="1:44">
      <c r="A198" t="s">
        <v>282</v>
      </c>
      <c r="B198" t="s">
        <v>2333</v>
      </c>
      <c r="C198" t="s">
        <v>36</v>
      </c>
      <c r="D198" t="s">
        <v>2335</v>
      </c>
      <c r="E198" t="s">
        <v>36</v>
      </c>
      <c r="F198" t="s">
        <v>36</v>
      </c>
      <c r="G198" t="s">
        <v>588</v>
      </c>
      <c r="H198" t="s">
        <v>589</v>
      </c>
      <c r="I198" t="s">
        <v>2340</v>
      </c>
      <c r="J198" t="s">
        <v>2341</v>
      </c>
      <c r="K198" t="s">
        <v>167</v>
      </c>
      <c r="L198" s="74">
        <v>45397</v>
      </c>
      <c r="O198" t="s">
        <v>43</v>
      </c>
      <c r="P198" t="s">
        <v>2344</v>
      </c>
      <c r="Q198" t="s">
        <v>70</v>
      </c>
      <c r="R198" t="s">
        <v>46</v>
      </c>
      <c r="S198" t="s">
        <v>297</v>
      </c>
      <c r="T198" t="s">
        <v>298</v>
      </c>
      <c r="U198" t="s">
        <v>1349</v>
      </c>
      <c r="V198" t="s">
        <v>1350</v>
      </c>
      <c r="W198" t="s">
        <v>301</v>
      </c>
      <c r="X198" t="s">
        <v>36</v>
      </c>
      <c r="Y198" t="s">
        <v>36</v>
      </c>
      <c r="Z198" t="s">
        <v>54</v>
      </c>
      <c r="AA198" t="s">
        <v>80</v>
      </c>
      <c r="AB198" t="s">
        <v>81</v>
      </c>
      <c r="AC198" t="s">
        <v>319</v>
      </c>
      <c r="AD198" t="s">
        <v>5017</v>
      </c>
      <c r="AE198">
        <v>555</v>
      </c>
      <c r="AF198" t="s">
        <v>5164</v>
      </c>
      <c r="AG198" t="s">
        <v>5378</v>
      </c>
      <c r="AH198" t="s">
        <v>5366</v>
      </c>
      <c r="AI198" t="s">
        <v>5169</v>
      </c>
      <c r="AJ198" t="s">
        <v>5383</v>
      </c>
      <c r="AK198" t="s">
        <v>36</v>
      </c>
      <c r="AL198" t="s">
        <v>5381</v>
      </c>
      <c r="AM198" t="s">
        <v>36</v>
      </c>
      <c r="AO198" t="s">
        <v>6140</v>
      </c>
      <c r="AP198" t="s">
        <v>310</v>
      </c>
      <c r="AQ198" t="s">
        <v>319</v>
      </c>
      <c r="AR198" t="b">
        <v>1</v>
      </c>
    </row>
    <row r="199" spans="1:44">
      <c r="A199" t="s">
        <v>34</v>
      </c>
      <c r="B199" t="s">
        <v>2233</v>
      </c>
      <c r="C199" t="s">
        <v>36</v>
      </c>
      <c r="D199" t="s">
        <v>2235</v>
      </c>
      <c r="E199" t="s">
        <v>36</v>
      </c>
      <c r="F199" t="s">
        <v>36</v>
      </c>
      <c r="G199" t="s">
        <v>2063</v>
      </c>
      <c r="H199" t="s">
        <v>939</v>
      </c>
      <c r="I199" t="s">
        <v>2240</v>
      </c>
      <c r="J199" t="s">
        <v>36</v>
      </c>
      <c r="K199" t="s">
        <v>942</v>
      </c>
      <c r="L199" s="74">
        <v>46174</v>
      </c>
      <c r="O199" t="s">
        <v>43</v>
      </c>
      <c r="P199" t="s">
        <v>2244</v>
      </c>
      <c r="Q199" t="s">
        <v>45</v>
      </c>
      <c r="R199" t="s">
        <v>46</v>
      </c>
      <c r="S199" t="s">
        <v>47</v>
      </c>
      <c r="T199" t="s">
        <v>48</v>
      </c>
      <c r="U199" t="s">
        <v>724</v>
      </c>
      <c r="V199" t="s">
        <v>950</v>
      </c>
      <c r="W199" t="s">
        <v>51</v>
      </c>
      <c r="X199" t="s">
        <v>36</v>
      </c>
      <c r="Y199" t="s">
        <v>36</v>
      </c>
      <c r="Z199" t="s">
        <v>54</v>
      </c>
      <c r="AA199" t="s">
        <v>955</v>
      </c>
      <c r="AB199" t="s">
        <v>956</v>
      </c>
      <c r="AC199" t="s">
        <v>4918</v>
      </c>
      <c r="AD199" t="s">
        <v>5018</v>
      </c>
      <c r="AE199">
        <v>8100</v>
      </c>
      <c r="AF199" t="s">
        <v>5164</v>
      </c>
      <c r="AG199" t="s">
        <v>5378</v>
      </c>
      <c r="AH199" t="s">
        <v>5366</v>
      </c>
      <c r="AI199" t="s">
        <v>5169</v>
      </c>
      <c r="AJ199" t="s">
        <v>5383</v>
      </c>
      <c r="AK199" t="s">
        <v>36</v>
      </c>
      <c r="AL199" t="s">
        <v>5381</v>
      </c>
      <c r="AM199" t="s">
        <v>36</v>
      </c>
      <c r="AO199" t="s">
        <v>6141</v>
      </c>
      <c r="AP199" t="s">
        <v>4909</v>
      </c>
      <c r="AQ199" t="s">
        <v>4918</v>
      </c>
      <c r="AR199" t="b">
        <v>1</v>
      </c>
    </row>
    <row r="200" spans="1:44">
      <c r="A200" t="s">
        <v>282</v>
      </c>
      <c r="B200" t="s">
        <v>3433</v>
      </c>
      <c r="C200" t="s">
        <v>109</v>
      </c>
      <c r="D200" t="s">
        <v>4859</v>
      </c>
      <c r="E200" t="s">
        <v>36</v>
      </c>
      <c r="F200" t="s">
        <v>36</v>
      </c>
      <c r="G200" t="s">
        <v>63</v>
      </c>
      <c r="H200" t="s">
        <v>64</v>
      </c>
      <c r="I200" t="s">
        <v>4864</v>
      </c>
      <c r="J200" t="s">
        <v>4865</v>
      </c>
      <c r="K200" t="s">
        <v>1242</v>
      </c>
      <c r="L200" s="74">
        <v>42772</v>
      </c>
      <c r="O200" t="s">
        <v>43</v>
      </c>
      <c r="P200" t="s">
        <v>4868</v>
      </c>
      <c r="Q200" t="s">
        <v>70</v>
      </c>
      <c r="R200" t="s">
        <v>46</v>
      </c>
      <c r="S200" t="s">
        <v>297</v>
      </c>
      <c r="T200" t="s">
        <v>298</v>
      </c>
      <c r="U200" t="s">
        <v>74</v>
      </c>
      <c r="V200" t="s">
        <v>300</v>
      </c>
      <c r="W200" t="s">
        <v>301</v>
      </c>
      <c r="X200" t="s">
        <v>36</v>
      </c>
      <c r="Y200" t="s">
        <v>36</v>
      </c>
      <c r="Z200" t="s">
        <v>54</v>
      </c>
      <c r="AA200" t="s">
        <v>880</v>
      </c>
      <c r="AB200" t="s">
        <v>881</v>
      </c>
      <c r="AC200" t="s">
        <v>3719</v>
      </c>
      <c r="AD200" t="s">
        <v>5017</v>
      </c>
      <c r="AE200">
        <v>820</v>
      </c>
      <c r="AF200" t="s">
        <v>5164</v>
      </c>
      <c r="AG200" t="s">
        <v>5378</v>
      </c>
      <c r="AH200" t="s">
        <v>5366</v>
      </c>
      <c r="AI200" t="s">
        <v>5169</v>
      </c>
      <c r="AJ200" t="s">
        <v>5383</v>
      </c>
      <c r="AK200" t="s">
        <v>36</v>
      </c>
      <c r="AL200" t="s">
        <v>5381</v>
      </c>
      <c r="AM200" t="s">
        <v>36</v>
      </c>
      <c r="AO200" t="s">
        <v>6142</v>
      </c>
      <c r="AP200" t="s">
        <v>3685</v>
      </c>
      <c r="AQ200" t="s">
        <v>3694</v>
      </c>
      <c r="AR200" t="b">
        <v>0</v>
      </c>
    </row>
    <row r="201" spans="1:44">
      <c r="A201" t="s">
        <v>34</v>
      </c>
      <c r="B201" t="s">
        <v>3433</v>
      </c>
      <c r="C201" t="s">
        <v>36</v>
      </c>
      <c r="D201" t="s">
        <v>3435</v>
      </c>
      <c r="E201" t="s">
        <v>36</v>
      </c>
      <c r="F201" t="s">
        <v>36</v>
      </c>
      <c r="G201" t="s">
        <v>188</v>
      </c>
      <c r="H201" t="s">
        <v>189</v>
      </c>
      <c r="I201" t="s">
        <v>3440</v>
      </c>
      <c r="J201" t="s">
        <v>3441</v>
      </c>
      <c r="K201" t="s">
        <v>42</v>
      </c>
      <c r="L201" s="74">
        <v>45593</v>
      </c>
      <c r="O201" t="s">
        <v>43</v>
      </c>
      <c r="P201" t="s">
        <v>3444</v>
      </c>
      <c r="Q201" t="s">
        <v>45</v>
      </c>
      <c r="R201" t="s">
        <v>46</v>
      </c>
      <c r="S201" t="s">
        <v>47</v>
      </c>
      <c r="T201" t="s">
        <v>48</v>
      </c>
      <c r="U201" t="s">
        <v>199</v>
      </c>
      <c r="V201" t="s">
        <v>200</v>
      </c>
      <c r="W201" t="s">
        <v>51</v>
      </c>
      <c r="X201" t="s">
        <v>36</v>
      </c>
      <c r="Y201" t="s">
        <v>36</v>
      </c>
      <c r="Z201" t="s">
        <v>54</v>
      </c>
      <c r="AA201" t="s">
        <v>55</v>
      </c>
      <c r="AB201" t="s">
        <v>56</v>
      </c>
      <c r="AC201" t="s">
        <v>2294</v>
      </c>
      <c r="AD201" t="s">
        <v>5018</v>
      </c>
      <c r="AE201">
        <v>5200</v>
      </c>
      <c r="AF201" t="s">
        <v>5164</v>
      </c>
      <c r="AG201" t="s">
        <v>5378</v>
      </c>
      <c r="AH201" t="s">
        <v>5366</v>
      </c>
      <c r="AI201" t="s">
        <v>5169</v>
      </c>
      <c r="AJ201" t="s">
        <v>5383</v>
      </c>
      <c r="AK201" t="s">
        <v>36</v>
      </c>
      <c r="AL201" t="s">
        <v>5381</v>
      </c>
      <c r="AM201" t="s">
        <v>36</v>
      </c>
      <c r="AO201" t="s">
        <v>6143</v>
      </c>
      <c r="AP201" t="s">
        <v>2285</v>
      </c>
      <c r="AQ201" t="s">
        <v>2294</v>
      </c>
      <c r="AR201" t="b">
        <v>1</v>
      </c>
    </row>
    <row r="202" spans="1:44">
      <c r="A202" t="s">
        <v>57</v>
      </c>
      <c r="B202" t="s">
        <v>3458</v>
      </c>
      <c r="C202" t="s">
        <v>36</v>
      </c>
      <c r="D202" t="s">
        <v>3460</v>
      </c>
      <c r="E202" t="s">
        <v>36</v>
      </c>
      <c r="F202" t="s">
        <v>36</v>
      </c>
      <c r="G202" t="s">
        <v>2488</v>
      </c>
      <c r="H202" t="s">
        <v>2489</v>
      </c>
      <c r="I202" t="s">
        <v>3465</v>
      </c>
      <c r="J202" t="s">
        <v>3466</v>
      </c>
      <c r="K202" t="s">
        <v>3267</v>
      </c>
      <c r="L202" s="74">
        <v>43836</v>
      </c>
      <c r="O202" t="s">
        <v>43</v>
      </c>
      <c r="P202" t="s">
        <v>3469</v>
      </c>
      <c r="Q202" t="s">
        <v>70</v>
      </c>
      <c r="R202" t="s">
        <v>46</v>
      </c>
      <c r="S202" t="s">
        <v>47</v>
      </c>
      <c r="T202" t="s">
        <v>48</v>
      </c>
      <c r="U202" t="s">
        <v>874</v>
      </c>
      <c r="V202" t="s">
        <v>875</v>
      </c>
      <c r="W202" t="s">
        <v>51</v>
      </c>
      <c r="X202" t="s">
        <v>36</v>
      </c>
      <c r="Y202" t="s">
        <v>36</v>
      </c>
      <c r="Z202" t="s">
        <v>54</v>
      </c>
      <c r="AA202" t="s">
        <v>230</v>
      </c>
      <c r="AB202" t="s">
        <v>231</v>
      </c>
      <c r="AC202" t="s">
        <v>869</v>
      </c>
      <c r="AD202" t="s">
        <v>5018</v>
      </c>
      <c r="AE202">
        <v>9400</v>
      </c>
      <c r="AF202" t="s">
        <v>5164</v>
      </c>
      <c r="AG202" t="s">
        <v>5378</v>
      </c>
      <c r="AH202" t="s">
        <v>5366</v>
      </c>
      <c r="AI202" t="s">
        <v>5169</v>
      </c>
      <c r="AJ202" t="s">
        <v>5383</v>
      </c>
      <c r="AK202" t="s">
        <v>36</v>
      </c>
      <c r="AL202" t="s">
        <v>5381</v>
      </c>
      <c r="AM202" t="s">
        <v>36</v>
      </c>
      <c r="AO202" t="s">
        <v>6144</v>
      </c>
      <c r="AP202" t="s">
        <v>860</v>
      </c>
      <c r="AQ202" t="s">
        <v>869</v>
      </c>
      <c r="AR202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37DD-11D1-1D45-87BA-F8E1F17DE60D}">
  <dimension ref="A3:B20"/>
  <sheetViews>
    <sheetView workbookViewId="0">
      <selection activeCell="B20" sqref="B20"/>
    </sheetView>
  </sheetViews>
  <sheetFormatPr baseColWidth="10" defaultRowHeight="15"/>
  <cols>
    <col min="1" max="1" width="17" bestFit="1" customWidth="1"/>
    <col min="2" max="2" width="25.5" bestFit="1" customWidth="1"/>
  </cols>
  <sheetData>
    <row r="3" spans="1:2">
      <c r="A3" s="104" t="s">
        <v>5969</v>
      </c>
      <c r="B3" t="s">
        <v>6145</v>
      </c>
    </row>
    <row r="4" spans="1:2">
      <c r="A4" s="105" t="s">
        <v>5980</v>
      </c>
      <c r="B4" s="106">
        <v>4</v>
      </c>
    </row>
    <row r="5" spans="1:2">
      <c r="A5" s="105" t="s">
        <v>6035</v>
      </c>
      <c r="B5" s="106">
        <v>3</v>
      </c>
    </row>
    <row r="6" spans="1:2">
      <c r="A6" s="105" t="s">
        <v>6093</v>
      </c>
      <c r="B6" s="106">
        <v>3</v>
      </c>
    </row>
    <row r="7" spans="1:2">
      <c r="A7" s="105" t="s">
        <v>6061</v>
      </c>
      <c r="B7" s="106">
        <v>3</v>
      </c>
    </row>
    <row r="8" spans="1:2">
      <c r="A8" s="105" t="s">
        <v>6013</v>
      </c>
      <c r="B8" s="106">
        <v>3</v>
      </c>
    </row>
    <row r="9" spans="1:2">
      <c r="A9" s="105" t="s">
        <v>6130</v>
      </c>
      <c r="B9" s="106">
        <v>3</v>
      </c>
    </row>
    <row r="10" spans="1:2">
      <c r="A10" s="105" t="s">
        <v>6020</v>
      </c>
      <c r="B10" s="106">
        <v>3</v>
      </c>
    </row>
    <row r="11" spans="1:2">
      <c r="A11" s="105" t="s">
        <v>6133</v>
      </c>
      <c r="B11" s="106">
        <v>3</v>
      </c>
    </row>
    <row r="12" spans="1:2">
      <c r="A12" s="105" t="s">
        <v>6002</v>
      </c>
      <c r="B12" s="106">
        <v>2</v>
      </c>
    </row>
    <row r="13" spans="1:2">
      <c r="A13" s="105" t="s">
        <v>5996</v>
      </c>
      <c r="B13" s="106">
        <v>2</v>
      </c>
    </row>
    <row r="14" spans="1:2">
      <c r="A14" s="105" t="s">
        <v>5989</v>
      </c>
      <c r="B14" s="106">
        <v>2</v>
      </c>
    </row>
    <row r="15" spans="1:2">
      <c r="A15" s="105" t="s">
        <v>6043</v>
      </c>
      <c r="B15" s="106">
        <v>2</v>
      </c>
    </row>
    <row r="16" spans="1:2">
      <c r="A16" s="105" t="s">
        <v>5984</v>
      </c>
      <c r="B16" s="106">
        <v>2</v>
      </c>
    </row>
    <row r="17" spans="1:2">
      <c r="A17" s="105" t="s">
        <v>6045</v>
      </c>
      <c r="B17" s="106">
        <v>2</v>
      </c>
    </row>
    <row r="18" spans="1:2">
      <c r="A18" s="105" t="s">
        <v>6058</v>
      </c>
      <c r="B18" s="106">
        <v>2</v>
      </c>
    </row>
    <row r="19" spans="1:2">
      <c r="A19" s="105" t="s">
        <v>6030</v>
      </c>
      <c r="B19" s="106">
        <v>2</v>
      </c>
    </row>
    <row r="20" spans="1:2">
      <c r="A20" s="105" t="s">
        <v>5970</v>
      </c>
      <c r="B20" s="10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3"/>
  <sheetViews>
    <sheetView tabSelected="1" workbookViewId="0">
      <pane ySplit="4" topLeftCell="A5" activePane="bottomLeft" state="frozen"/>
      <selection pane="bottomLeft" activeCell="A2" sqref="A2"/>
    </sheetView>
  </sheetViews>
  <sheetFormatPr baseColWidth="10" defaultColWidth="8.83203125" defaultRowHeight="15"/>
  <cols>
    <col min="1" max="1" width="13.5" customWidth="1"/>
    <col min="2" max="2" width="21.6640625" customWidth="1"/>
    <col min="3" max="3" width="9.5" customWidth="1"/>
    <col min="4" max="4" width="17.6640625" customWidth="1"/>
    <col min="5" max="5" width="12.6640625" customWidth="1"/>
    <col min="6" max="6" width="10.83203125" customWidth="1"/>
    <col min="7" max="7" width="23.6640625" customWidth="1"/>
    <col min="8" max="8" width="15.6640625" customWidth="1"/>
    <col min="9" max="9" width="30.6640625" customWidth="1"/>
    <col min="10" max="10" width="34.6640625" customWidth="1"/>
    <col min="11" max="11" width="18.83203125" customWidth="1"/>
    <col min="12" max="12" width="12" customWidth="1"/>
    <col min="13" max="13" width="13" customWidth="1"/>
    <col min="14" max="14" width="12.83203125" customWidth="1"/>
    <col min="15" max="15" width="17.6640625" customWidth="1"/>
    <col min="16" max="16" width="13.6640625" customWidth="1"/>
    <col min="17" max="17" width="15.6640625" customWidth="1"/>
    <col min="18" max="18" width="24.6640625" customWidth="1"/>
    <col min="19" max="19" width="20.6640625" customWidth="1"/>
    <col min="20" max="20" width="27.6640625" customWidth="1"/>
    <col min="21" max="21" width="29.6640625" customWidth="1"/>
    <col min="22" max="22" width="22.6640625" customWidth="1"/>
    <col min="23" max="23" width="32.6640625" customWidth="1"/>
    <col min="24" max="24" width="22.6640625" customWidth="1"/>
    <col min="25" max="25" width="15.6640625" customWidth="1"/>
    <col min="26" max="26" width="41.6640625" customWidth="1"/>
    <col min="27" max="27" width="16.6640625" customWidth="1"/>
    <col min="28" max="28" width="23.6640625" customWidth="1"/>
  </cols>
  <sheetData>
    <row r="1" spans="1:44">
      <c r="A1" s="1" t="s">
        <v>0</v>
      </c>
      <c r="B1" t="s">
        <v>1</v>
      </c>
      <c r="H1" s="33" t="s">
        <v>5007</v>
      </c>
      <c r="I1" s="32" t="s">
        <v>5006</v>
      </c>
      <c r="R1" s="39" t="s">
        <v>5491</v>
      </c>
      <c r="T1" s="39" t="s">
        <v>5010</v>
      </c>
      <c r="V1" s="39" t="s">
        <v>5011</v>
      </c>
      <c r="X1" s="39" t="s">
        <v>5012</v>
      </c>
      <c r="Y1" s="39" t="s">
        <v>5012</v>
      </c>
      <c r="AC1" s="39" t="s">
        <v>6189</v>
      </c>
      <c r="AD1" s="39" t="s">
        <v>6191</v>
      </c>
      <c r="AE1" s="39" t="s">
        <v>6190</v>
      </c>
      <c r="AF1" s="39" t="s">
        <v>6192</v>
      </c>
      <c r="AG1" s="39" t="s">
        <v>6192</v>
      </c>
      <c r="AR1" s="39" t="s">
        <v>6188</v>
      </c>
    </row>
    <row r="2" spans="1:44">
      <c r="A2" s="1" t="s">
        <v>2</v>
      </c>
      <c r="B2" t="s">
        <v>3</v>
      </c>
      <c r="H2" s="34" t="s">
        <v>5008</v>
      </c>
    </row>
    <row r="3" spans="1:44">
      <c r="A3" s="1" t="s">
        <v>4</v>
      </c>
      <c r="B3" t="s">
        <v>5</v>
      </c>
      <c r="H3" s="35" t="s">
        <v>5009</v>
      </c>
    </row>
    <row r="4" spans="1:44">
      <c r="A4" s="2" t="s">
        <v>6</v>
      </c>
      <c r="B4" s="38" t="s">
        <v>7</v>
      </c>
      <c r="C4" s="38" t="s">
        <v>8</v>
      </c>
      <c r="D4" s="38" t="s">
        <v>9</v>
      </c>
      <c r="E4" s="38" t="s">
        <v>10</v>
      </c>
      <c r="F4" s="38" t="s">
        <v>11</v>
      </c>
      <c r="G4" s="2" t="s">
        <v>12</v>
      </c>
      <c r="H4" s="38" t="s">
        <v>13</v>
      </c>
      <c r="I4" s="38" t="s">
        <v>14</v>
      </c>
      <c r="J4" s="2" t="s">
        <v>15</v>
      </c>
      <c r="K4" s="2" t="s">
        <v>16</v>
      </c>
      <c r="L4" s="2" t="s">
        <v>17</v>
      </c>
      <c r="M4" s="38" t="s">
        <v>18</v>
      </c>
      <c r="N4" s="2" t="s">
        <v>19</v>
      </c>
      <c r="O4" s="38" t="s">
        <v>20</v>
      </c>
      <c r="P4" s="38" t="s">
        <v>21</v>
      </c>
      <c r="Q4" s="2" t="s">
        <v>22</v>
      </c>
      <c r="R4" s="2" t="s">
        <v>23</v>
      </c>
      <c r="S4" s="2" t="s">
        <v>24</v>
      </c>
      <c r="T4" s="38" t="s">
        <v>25</v>
      </c>
      <c r="U4" s="2" t="s">
        <v>26</v>
      </c>
      <c r="V4" s="38" t="s">
        <v>27</v>
      </c>
      <c r="W4" s="2" t="s">
        <v>28</v>
      </c>
      <c r="X4" s="2" t="s">
        <v>29</v>
      </c>
      <c r="Y4" s="38" t="s">
        <v>30</v>
      </c>
      <c r="Z4" s="38" t="s">
        <v>31</v>
      </c>
      <c r="AA4" s="38" t="s">
        <v>32</v>
      </c>
      <c r="AB4" s="2" t="s">
        <v>33</v>
      </c>
      <c r="AC4" s="40" t="s">
        <v>5013</v>
      </c>
      <c r="AD4" s="40" t="s">
        <v>5014</v>
      </c>
      <c r="AE4" s="40" t="s">
        <v>5015</v>
      </c>
      <c r="AF4" s="40" t="s">
        <v>5016</v>
      </c>
      <c r="AG4" s="40" t="s">
        <v>5373</v>
      </c>
      <c r="AH4" s="40" t="s">
        <v>5374</v>
      </c>
      <c r="AI4" s="40" t="s">
        <v>5375</v>
      </c>
      <c r="AJ4" s="40" t="s">
        <v>5390</v>
      </c>
      <c r="AK4" s="40" t="s">
        <v>5391</v>
      </c>
      <c r="AL4" s="40" t="s">
        <v>5392</v>
      </c>
      <c r="AM4" s="40" t="s">
        <v>5394</v>
      </c>
      <c r="AN4" s="74">
        <f ca="1">TODAY()-45</f>
        <v>46223</v>
      </c>
      <c r="AO4" s="40" t="s">
        <v>5965</v>
      </c>
      <c r="AP4" s="40" t="s">
        <v>5966</v>
      </c>
      <c r="AQ4" s="40" t="s">
        <v>5967</v>
      </c>
      <c r="AR4" s="40" t="s">
        <v>5968</v>
      </c>
    </row>
    <row r="5" spans="1:44">
      <c r="A5" s="3" t="s">
        <v>34</v>
      </c>
      <c r="B5" s="4" t="s">
        <v>35</v>
      </c>
      <c r="C5" s="5" t="s">
        <v>36</v>
      </c>
      <c r="D5" s="6" t="s">
        <v>37</v>
      </c>
      <c r="E5" s="69"/>
      <c r="F5" s="70"/>
      <c r="G5" s="9" t="s">
        <v>38</v>
      </c>
      <c r="H5" s="103" t="s">
        <v>39</v>
      </c>
      <c r="I5" s="11" t="s">
        <v>40</v>
      </c>
      <c r="J5" s="12" t="s">
        <v>41</v>
      </c>
      <c r="K5" s="13" t="s">
        <v>42</v>
      </c>
      <c r="L5" s="14">
        <v>45733</v>
      </c>
      <c r="M5" s="15"/>
      <c r="N5" s="16"/>
      <c r="O5" s="17" t="s">
        <v>43</v>
      </c>
      <c r="P5" s="18" t="s">
        <v>44</v>
      </c>
      <c r="Q5" s="19" t="s">
        <v>45</v>
      </c>
      <c r="R5" s="20" t="s">
        <v>46</v>
      </c>
      <c r="S5" s="21" t="s">
        <v>47</v>
      </c>
      <c r="T5" s="22" t="s">
        <v>48</v>
      </c>
      <c r="U5" s="23" t="s">
        <v>49</v>
      </c>
      <c r="V5" s="24" t="s">
        <v>50</v>
      </c>
      <c r="W5" s="25" t="s">
        <v>51</v>
      </c>
      <c r="X5" s="26" t="s">
        <v>52</v>
      </c>
      <c r="Y5" s="27" t="s">
        <v>53</v>
      </c>
      <c r="Z5" s="28" t="s">
        <v>54</v>
      </c>
      <c r="AA5" s="29" t="s">
        <v>55</v>
      </c>
      <c r="AB5" s="30" t="s">
        <v>56</v>
      </c>
      <c r="AC5" t="str">
        <f>IF(ISBLANK(H5),VLOOKUP(P5,'US Supervisor Map'!A:D,4,FALSE),MID(H5,4,6))</f>
        <v>211756</v>
      </c>
      <c r="AD5" t="str">
        <f>IFERROR(VLOOKUP(T5,'Org Map'!A:E,4),"BU Description Not Mapped")</f>
        <v>0088</v>
      </c>
      <c r="AE5">
        <f>IFERROR(VLOOKUP(V5,'Org Map'!C:E,3),"Home Department Code Not Mapped")</f>
        <v>5100</v>
      </c>
      <c r="AF5" t="str">
        <f>IFERROR(VLOOKUP(AA5,'Salary Map'!A:D,3,FALSE),"Salary Code Not Mapped")</f>
        <v>Default</v>
      </c>
      <c r="AG5" t="str">
        <f>IFERROR(VLOOKUP(AA5,'Salary Map'!A:D,4,FALSE),"Salary Code Not Mapped")</f>
        <v>General</v>
      </c>
      <c r="AH5" t="str">
        <f>IFERROR(VLOOKUP(Z5,'Country Map'!A:B,2,FALSE),"Legal Country Not Mapped")</f>
        <v>US</v>
      </c>
      <c r="AI5" t="str">
        <f>IFERROR(VLOOKUP(X5,'Language Map'!A:C,3,FALSE),IFERROR(VLOOKUP(T5,'Org Map'!A:F,6,FALSE),"ADP and BU Language Code Not Mapped"))&amp;AH5</f>
        <v>en_US</v>
      </c>
      <c r="AJ5" t="str">
        <f>IFERROR(VLOOKUP(T5,'Org Map'!A:G,7),"BU Currency Not Mapped")</f>
        <v>USD</v>
      </c>
      <c r="AK5" t="str">
        <f>IF(ISBLANK(E5),"",TRIM(E5&amp;" "&amp;F5))</f>
        <v/>
      </c>
      <c r="AL5" t="str">
        <f>IFERROR(VLOOKUP(O5,'Status Map'!A:B,2,FALSE),"Position Status Not Mapped")</f>
        <v>Y</v>
      </c>
      <c r="AM5" t="str">
        <f t="shared" ref="AM5:AM8" si="0">IF(AL5="N",TEXT(M5,"yyyymmdd"),"")</f>
        <v/>
      </c>
      <c r="AO5" t="str">
        <f>B5&amp;C5&amp;D5</f>
        <v>TammieAbitua</v>
      </c>
      <c r="AP5" t="str">
        <f>LEFT(G5,FIND(",",G5)-1)</f>
        <v>Burchell</v>
      </c>
      <c r="AQ5" t="str">
        <f>IFERROR(VLOOKUP(AP5,D:P,13,FALSE),"No Reports to Name")</f>
        <v>211756</v>
      </c>
      <c r="AR5" t="b">
        <f>AQ5=MID(H5,4,6)</f>
        <v>1</v>
      </c>
    </row>
    <row r="6" spans="1:44">
      <c r="A6" s="3" t="s">
        <v>57</v>
      </c>
      <c r="B6" s="4" t="s">
        <v>58</v>
      </c>
      <c r="C6" s="5" t="s">
        <v>59</v>
      </c>
      <c r="D6" s="6" t="s">
        <v>60</v>
      </c>
      <c r="E6" s="7" t="s">
        <v>61</v>
      </c>
      <c r="F6" s="8" t="s">
        <v>62</v>
      </c>
      <c r="G6" s="9" t="s">
        <v>63</v>
      </c>
      <c r="H6" s="10" t="s">
        <v>64</v>
      </c>
      <c r="I6" s="11" t="s">
        <v>65</v>
      </c>
      <c r="J6" s="12" t="s">
        <v>66</v>
      </c>
      <c r="K6" s="13" t="s">
        <v>67</v>
      </c>
      <c r="L6" s="14">
        <v>46188</v>
      </c>
      <c r="M6" s="15"/>
      <c r="N6" s="16"/>
      <c r="O6" s="17" t="s">
        <v>68</v>
      </c>
      <c r="P6" s="18" t="s">
        <v>69</v>
      </c>
      <c r="Q6" s="19" t="s">
        <v>70</v>
      </c>
      <c r="R6" s="20" t="s">
        <v>71</v>
      </c>
      <c r="S6" s="21" t="s">
        <v>72</v>
      </c>
      <c r="T6" s="22" t="s">
        <v>73</v>
      </c>
      <c r="U6" s="23" t="s">
        <v>74</v>
      </c>
      <c r="V6" s="24" t="s">
        <v>75</v>
      </c>
      <c r="W6" s="25" t="s">
        <v>76</v>
      </c>
      <c r="X6" s="26" t="s">
        <v>77</v>
      </c>
      <c r="Y6" s="27" t="s">
        <v>78</v>
      </c>
      <c r="Z6" s="28" t="s">
        <v>79</v>
      </c>
      <c r="AA6" s="29" t="s">
        <v>80</v>
      </c>
      <c r="AB6" s="30" t="s">
        <v>81</v>
      </c>
      <c r="AC6" t="str">
        <f>IF(ISBLANK(H6),VLOOKUP(P6,'US Supervisor Map'!A:D,4,FALSE),MID(H6,4,6))</f>
        <v>207588</v>
      </c>
      <c r="AD6" t="str">
        <f>IFERROR(VLOOKUP(T6,'Org Map'!A:E,4),"BU Description Not Mapped")</f>
        <v>0088</v>
      </c>
      <c r="AE6">
        <f>IFERROR(VLOOKUP(V6,'Org Map'!C:E,3),"Home Department Code Not Mapped")</f>
        <v>8200</v>
      </c>
      <c r="AF6" t="str">
        <f>IFERROR(VLOOKUP(AA6,'Salary Map'!A:D,3,FALSE),"Salary Code Not Mapped")</f>
        <v>Default</v>
      </c>
      <c r="AG6" t="str">
        <f>IFERROR(VLOOKUP(AA6,'Salary Map'!A:D,4,FALSE),"Salary Code Not Mapped")</f>
        <v>General</v>
      </c>
      <c r="AH6" t="str">
        <f>IFERROR(VLOOKUP(Z6,'Country Map'!A:B,2,FALSE),"Legal Country Not Mapped")</f>
        <v>US</v>
      </c>
      <c r="AI6" t="str">
        <f>IFERROR(VLOOKUP(X6,'Language Map'!A:C,3,FALSE),IFERROR(VLOOKUP(T6,'Org Map'!A:F,6,FALSE),"ADP and BU Language Code Not Mapped"))&amp;AH6</f>
        <v>en_US</v>
      </c>
      <c r="AJ6" t="str">
        <f>IFERROR(VLOOKUP(T6,'Org Map'!A:G,7),"BU Currency Not Mapped")</f>
        <v>USD</v>
      </c>
      <c r="AK6" t="str">
        <f t="shared" ref="AK6:AK69" si="1">IF(ISBLANK(E6),"",TRIM(E6&amp;" "&amp;F6))</f>
        <v/>
      </c>
      <c r="AL6" t="str">
        <f>IFERROR(VLOOKUP(O6,'Status Map'!A:B,2,FALSE),"Position Status Not Mapped")</f>
        <v>Y</v>
      </c>
      <c r="AM6" t="str">
        <f t="shared" si="0"/>
        <v/>
      </c>
      <c r="AO6" t="str">
        <f t="shared" ref="AO6:AO69" si="2">B6&amp;C6&amp;D6</f>
        <v>GregorySAdams</v>
      </c>
      <c r="AP6" t="str">
        <f t="shared" ref="AP6:AP69" si="3">LEFT(G6,FIND(",",G6)-1)</f>
        <v>Rodriguez</v>
      </c>
      <c r="AQ6" t="str">
        <f t="shared" ref="AQ6:AQ69" si="4">IFERROR(VLOOKUP(AP6,D:P,13,FALSE),"No Reports to Name")</f>
        <v>212338</v>
      </c>
      <c r="AR6" s="77" t="b">
        <f t="shared" ref="AR6:AR69" si="5">AQ6=MID(H6,4,6)</f>
        <v>0</v>
      </c>
    </row>
    <row r="7" spans="1:44">
      <c r="A7" s="3" t="s">
        <v>82</v>
      </c>
      <c r="B7" s="4" t="s">
        <v>83</v>
      </c>
      <c r="C7" s="5" t="s">
        <v>84</v>
      </c>
      <c r="D7" s="6" t="s">
        <v>85</v>
      </c>
      <c r="E7" s="7" t="s">
        <v>86</v>
      </c>
      <c r="F7" s="8" t="s">
        <v>87</v>
      </c>
      <c r="G7" s="9" t="s">
        <v>88</v>
      </c>
      <c r="H7" s="10" t="s">
        <v>89</v>
      </c>
      <c r="I7" s="31" t="s">
        <v>90</v>
      </c>
      <c r="J7" s="12" t="s">
        <v>91</v>
      </c>
      <c r="K7" s="13" t="s">
        <v>92</v>
      </c>
      <c r="L7" s="14">
        <v>46160</v>
      </c>
      <c r="M7" s="15"/>
      <c r="N7" s="16"/>
      <c r="O7" s="17" t="s">
        <v>93</v>
      </c>
      <c r="P7" s="18" t="s">
        <v>94</v>
      </c>
      <c r="Q7" s="19" t="s">
        <v>95</v>
      </c>
      <c r="R7" s="20" t="s">
        <v>96</v>
      </c>
      <c r="S7" s="21" t="s">
        <v>97</v>
      </c>
      <c r="T7" s="22" t="s">
        <v>98</v>
      </c>
      <c r="U7" s="23" t="s">
        <v>99</v>
      </c>
      <c r="V7" s="24" t="s">
        <v>100</v>
      </c>
      <c r="W7" s="25" t="s">
        <v>101</v>
      </c>
      <c r="X7" s="26" t="s">
        <v>102</v>
      </c>
      <c r="Y7" s="27" t="s">
        <v>103</v>
      </c>
      <c r="Z7" s="28" t="s">
        <v>104</v>
      </c>
      <c r="AA7" s="29" t="s">
        <v>105</v>
      </c>
      <c r="AB7" s="30" t="s">
        <v>106</v>
      </c>
      <c r="AC7" t="str">
        <f>IF(ISBLANK(H7),VLOOKUP(P7,'US Supervisor Map'!A:D,4,FALSE),MID(H7,4,6))</f>
        <v>211766</v>
      </c>
      <c r="AD7" t="str">
        <f>IFERROR(VLOOKUP(T7,'Org Map'!A:E,4),"BU Description Not Mapped")</f>
        <v>0088</v>
      </c>
      <c r="AE7">
        <f>IFERROR(VLOOKUP(V7,'Org Map'!C:E,3),"Home Department Code Not Mapped")</f>
        <v>8300</v>
      </c>
      <c r="AF7" t="str">
        <f>IFERROR(VLOOKUP(AA7,'Salary Map'!A:D,3,FALSE),"Salary Code Not Mapped")</f>
        <v>Default</v>
      </c>
      <c r="AG7" t="str">
        <f>IFERROR(VLOOKUP(AA7,'Salary Map'!A:D,4,FALSE),"Salary Code Not Mapped")</f>
        <v>General</v>
      </c>
      <c r="AH7" t="str">
        <f>IFERROR(VLOOKUP(Z7,'Country Map'!A:B,2,FALSE),"Legal Country Not Mapped")</f>
        <v>US</v>
      </c>
      <c r="AI7" t="str">
        <f>IFERROR(VLOOKUP(X7,'Language Map'!A:C,3,FALSE),IFERROR(VLOOKUP(T7,'Org Map'!A:F,6,FALSE),"ADP and BU Language Code Not Mapped"))&amp;AH7</f>
        <v>en_US</v>
      </c>
      <c r="AJ7" t="str">
        <f>IFERROR(VLOOKUP(T7,'Org Map'!A:G,7),"BU Currency Not Mapped")</f>
        <v>USD</v>
      </c>
      <c r="AK7" t="str">
        <f t="shared" si="1"/>
        <v/>
      </c>
      <c r="AL7" t="str">
        <f>IFERROR(VLOOKUP(O7,'Status Map'!A:B,2,FALSE),"Position Status Not Mapped")</f>
        <v>Y</v>
      </c>
      <c r="AM7" t="str">
        <f t="shared" si="0"/>
        <v/>
      </c>
      <c r="AO7" t="str">
        <f t="shared" si="2"/>
        <v>KrystleAgler</v>
      </c>
      <c r="AP7" t="str">
        <f t="shared" si="3"/>
        <v>Kemenah</v>
      </c>
      <c r="AQ7" t="str">
        <f t="shared" si="4"/>
        <v>211766</v>
      </c>
      <c r="AR7" t="b">
        <f t="shared" si="5"/>
        <v>1</v>
      </c>
    </row>
    <row r="8" spans="1:44">
      <c r="A8" s="3" t="s">
        <v>107</v>
      </c>
      <c r="B8" s="4" t="s">
        <v>108</v>
      </c>
      <c r="C8" s="5" t="s">
        <v>109</v>
      </c>
      <c r="D8" s="6" t="s">
        <v>110</v>
      </c>
      <c r="E8" s="7" t="s">
        <v>111</v>
      </c>
      <c r="F8" s="8" t="s">
        <v>112</v>
      </c>
      <c r="G8" s="9" t="s">
        <v>113</v>
      </c>
      <c r="H8" s="10" t="s">
        <v>114</v>
      </c>
      <c r="I8" s="31" t="s">
        <v>115</v>
      </c>
      <c r="J8" s="12" t="s">
        <v>116</v>
      </c>
      <c r="K8" s="13" t="s">
        <v>117</v>
      </c>
      <c r="L8" s="14">
        <v>45754</v>
      </c>
      <c r="M8" s="15"/>
      <c r="N8" s="16"/>
      <c r="O8" s="17" t="s">
        <v>118</v>
      </c>
      <c r="P8" s="18" t="s">
        <v>119</v>
      </c>
      <c r="Q8" s="19" t="s">
        <v>120</v>
      </c>
      <c r="R8" s="20" t="s">
        <v>121</v>
      </c>
      <c r="S8" s="21" t="s">
        <v>122</v>
      </c>
      <c r="T8" s="22" t="s">
        <v>123</v>
      </c>
      <c r="U8" s="23" t="s">
        <v>124</v>
      </c>
      <c r="V8" s="24" t="s">
        <v>125</v>
      </c>
      <c r="W8" s="25" t="s">
        <v>126</v>
      </c>
      <c r="X8" s="26" t="s">
        <v>127</v>
      </c>
      <c r="Y8" s="27" t="s">
        <v>128</v>
      </c>
      <c r="Z8" s="28" t="s">
        <v>129</v>
      </c>
      <c r="AA8" s="29" t="s">
        <v>130</v>
      </c>
      <c r="AB8" s="30" t="s">
        <v>131</v>
      </c>
      <c r="AC8" t="str">
        <f>IF(ISBLANK(H8),VLOOKUP(P8,'US Supervisor Map'!A:D,4,FALSE),MID(H8,4,6))</f>
        <v>211756</v>
      </c>
      <c r="AD8" t="str">
        <f>IFERROR(VLOOKUP(T8,'Org Map'!A:E,4),"BU Description Not Mapped")</f>
        <v>0088</v>
      </c>
      <c r="AE8">
        <f>IFERROR(VLOOKUP(V8,'Org Map'!C:E,3),"Home Department Code Not Mapped")</f>
        <v>5100</v>
      </c>
      <c r="AF8" t="str">
        <f>IFERROR(VLOOKUP(AA8,'Salary Map'!A:D,3,FALSE),"Salary Code Not Mapped")</f>
        <v>Default</v>
      </c>
      <c r="AG8" t="str">
        <f>IFERROR(VLOOKUP(AA8,'Salary Map'!A:D,4,FALSE),"Salary Code Not Mapped")</f>
        <v>General</v>
      </c>
      <c r="AH8" t="str">
        <f>IFERROR(VLOOKUP(Z8,'Country Map'!A:B,2,FALSE),"Legal Country Not Mapped")</f>
        <v>US</v>
      </c>
      <c r="AI8" t="str">
        <f>IFERROR(VLOOKUP(X8,'Language Map'!A:C,3,FALSE),IFERROR(VLOOKUP(T8,'Org Map'!A:F,6,FALSE),"ADP and BU Language Code Not Mapped"))&amp;AH8</f>
        <v>en_US</v>
      </c>
      <c r="AJ8" t="str">
        <f>IFERROR(VLOOKUP(T8,'Org Map'!A:G,7),"BU Currency Not Mapped")</f>
        <v>USD</v>
      </c>
      <c r="AK8" t="str">
        <f t="shared" si="1"/>
        <v/>
      </c>
      <c r="AL8" t="str">
        <f>IFERROR(VLOOKUP(O8,'Status Map'!A:B,2,FALSE),"Position Status Not Mapped")</f>
        <v>Y</v>
      </c>
      <c r="AM8" t="str">
        <f t="shared" si="0"/>
        <v/>
      </c>
      <c r="AO8" t="str">
        <f t="shared" si="2"/>
        <v>AydrianMAhrens</v>
      </c>
      <c r="AP8" t="str">
        <f t="shared" si="3"/>
        <v>Burchell</v>
      </c>
      <c r="AQ8" t="str">
        <f t="shared" si="4"/>
        <v>211756</v>
      </c>
      <c r="AR8" t="b">
        <f t="shared" si="5"/>
        <v>1</v>
      </c>
    </row>
    <row r="9" spans="1:44">
      <c r="A9" s="3" t="s">
        <v>132</v>
      </c>
      <c r="B9" s="4" t="s">
        <v>133</v>
      </c>
      <c r="C9" s="5" t="s">
        <v>134</v>
      </c>
      <c r="D9" s="6" t="s">
        <v>135</v>
      </c>
      <c r="E9" s="7" t="s">
        <v>136</v>
      </c>
      <c r="F9" s="8" t="s">
        <v>137</v>
      </c>
      <c r="G9" s="9" t="s">
        <v>138</v>
      </c>
      <c r="H9" s="10" t="s">
        <v>139</v>
      </c>
      <c r="I9" s="31" t="s">
        <v>140</v>
      </c>
      <c r="J9" s="12" t="s">
        <v>141</v>
      </c>
      <c r="K9" s="13" t="s">
        <v>142</v>
      </c>
      <c r="L9" s="14">
        <v>46176</v>
      </c>
      <c r="M9" s="15">
        <v>46182</v>
      </c>
      <c r="N9" s="16"/>
      <c r="O9" s="17" t="s">
        <v>143</v>
      </c>
      <c r="P9" s="18" t="s">
        <v>144</v>
      </c>
      <c r="Q9" s="19" t="s">
        <v>145</v>
      </c>
      <c r="R9" s="20" t="s">
        <v>146</v>
      </c>
      <c r="S9" s="21" t="s">
        <v>147</v>
      </c>
      <c r="T9" s="22" t="s">
        <v>148</v>
      </c>
      <c r="U9" s="23" t="s">
        <v>149</v>
      </c>
      <c r="V9" s="24" t="s">
        <v>150</v>
      </c>
      <c r="W9" s="25" t="s">
        <v>151</v>
      </c>
      <c r="X9" s="26" t="s">
        <v>152</v>
      </c>
      <c r="Y9" s="27" t="s">
        <v>153</v>
      </c>
      <c r="Z9" s="28" t="s">
        <v>154</v>
      </c>
      <c r="AA9" s="29" t="s">
        <v>155</v>
      </c>
      <c r="AB9" s="30" t="s">
        <v>156</v>
      </c>
      <c r="AC9" t="str">
        <f>IF(ISBLANK(H9),VLOOKUP(P9,'US Supervisor Map'!A:D,4,FALSE),MID(H9,4,6))</f>
        <v>211756</v>
      </c>
      <c r="AD9" t="str">
        <f>IFERROR(VLOOKUP(T9,'Org Map'!A:E,4),"BU Description Not Mapped")</f>
        <v>0088</v>
      </c>
      <c r="AE9">
        <f>IFERROR(VLOOKUP(V9,'Org Map'!C:E,3),"Home Department Code Not Mapped")</f>
        <v>5300</v>
      </c>
      <c r="AF9" t="str">
        <f>IFERROR(VLOOKUP(AA9,'Salary Map'!A:D,3,FALSE),"Salary Code Not Mapped")</f>
        <v>Default</v>
      </c>
      <c r="AG9" t="str">
        <f>IFERROR(VLOOKUP(AA9,'Salary Map'!A:D,4,FALSE),"Salary Code Not Mapped")</f>
        <v>General</v>
      </c>
      <c r="AH9" t="str">
        <f>IFERROR(VLOOKUP(Z9,'Country Map'!A:B,2,FALSE),"Legal Country Not Mapped")</f>
        <v>US</v>
      </c>
      <c r="AI9" t="str">
        <f>IFERROR(VLOOKUP(X9,'Language Map'!A:C,3,FALSE),IFERROR(VLOOKUP(T9,'Org Map'!A:F,6,FALSE),"ADP and BU Language Code Not Mapped"))&amp;AH9</f>
        <v>en_US</v>
      </c>
      <c r="AJ9" t="str">
        <f>IFERROR(VLOOKUP(T9,'Org Map'!A:G,7),"BU Currency Not Mapped")</f>
        <v>USD</v>
      </c>
      <c r="AK9" t="str">
        <f t="shared" si="1"/>
        <v/>
      </c>
      <c r="AL9" t="str">
        <f>IFERROR(VLOOKUP(O9,'Status Map'!A:B,2,FALSE),"Position Status Not Mapped")</f>
        <v>N</v>
      </c>
      <c r="AM9" t="str">
        <f>IF(AL9="N",TEXT(M9,"yyyymmdd"),"")</f>
        <v>20260609</v>
      </c>
      <c r="AN9" t="str">
        <f ca="1">IF(M9&gt;AN4,"Fix and Include Record","Exclude record termination over 45 days ago")</f>
        <v>Exclude record termination over 45 days ago</v>
      </c>
      <c r="AO9" t="str">
        <f t="shared" si="2"/>
        <v>MatthewAhrens</v>
      </c>
      <c r="AP9" t="str">
        <f t="shared" si="3"/>
        <v>Burchell</v>
      </c>
      <c r="AQ9" t="str">
        <f t="shared" si="4"/>
        <v>211756</v>
      </c>
      <c r="AR9" t="b">
        <f t="shared" si="5"/>
        <v>1</v>
      </c>
    </row>
    <row r="10" spans="1:44">
      <c r="A10" s="3" t="s">
        <v>157</v>
      </c>
      <c r="B10" s="4" t="s">
        <v>158</v>
      </c>
      <c r="C10" s="5" t="s">
        <v>159</v>
      </c>
      <c r="D10" s="6" t="s">
        <v>160</v>
      </c>
      <c r="E10" s="7" t="s">
        <v>161</v>
      </c>
      <c r="F10" s="8" t="s">
        <v>162</v>
      </c>
      <c r="G10" s="9" t="s">
        <v>163</v>
      </c>
      <c r="H10" s="10" t="s">
        <v>164</v>
      </c>
      <c r="I10" s="11" t="s">
        <v>165</v>
      </c>
      <c r="J10" s="12" t="s">
        <v>166</v>
      </c>
      <c r="K10" s="13" t="s">
        <v>167</v>
      </c>
      <c r="L10" s="14">
        <v>45392</v>
      </c>
      <c r="M10" s="15"/>
      <c r="N10" s="16"/>
      <c r="O10" s="17" t="s">
        <v>168</v>
      </c>
      <c r="P10" s="18" t="s">
        <v>169</v>
      </c>
      <c r="Q10" s="19" t="s">
        <v>170</v>
      </c>
      <c r="R10" s="20" t="s">
        <v>171</v>
      </c>
      <c r="S10" s="21" t="s">
        <v>172</v>
      </c>
      <c r="T10" s="22" t="s">
        <v>173</v>
      </c>
      <c r="U10" s="23" t="s">
        <v>174</v>
      </c>
      <c r="V10" s="24" t="s">
        <v>175</v>
      </c>
      <c r="W10" s="25" t="s">
        <v>176</v>
      </c>
      <c r="X10" s="26" t="s">
        <v>177</v>
      </c>
      <c r="Y10" s="27" t="s">
        <v>178</v>
      </c>
      <c r="Z10" s="28" t="s">
        <v>179</v>
      </c>
      <c r="AA10" s="29" t="s">
        <v>180</v>
      </c>
      <c r="AB10" s="30" t="s">
        <v>181</v>
      </c>
      <c r="AC10" t="str">
        <f>IF(ISBLANK(H10),VLOOKUP(P10,'US Supervisor Map'!A:D,4,FALSE),MID(H10,4,6))</f>
        <v>211766</v>
      </c>
      <c r="AD10" t="str">
        <f>IFERROR(VLOOKUP(T10,'Org Map'!A:E,4),"BU Description Not Mapped")</f>
        <v>0088</v>
      </c>
      <c r="AE10">
        <f>IFERROR(VLOOKUP(V10,'Org Map'!C:E,3),"Home Department Code Not Mapped")</f>
        <v>9500</v>
      </c>
      <c r="AF10" t="str">
        <f>IFERROR(VLOOKUP(AA10,'Salary Map'!A:D,3,FALSE),"Salary Code Not Mapped")</f>
        <v>Default</v>
      </c>
      <c r="AG10" t="str">
        <f>IFERROR(VLOOKUP(AA10,'Salary Map'!A:D,4,FALSE),"Salary Code Not Mapped")</f>
        <v>General</v>
      </c>
      <c r="AH10" t="str">
        <f>IFERROR(VLOOKUP(Z10,'Country Map'!A:B,2,FALSE),"Legal Country Not Mapped")</f>
        <v>US</v>
      </c>
      <c r="AI10" t="str">
        <f>IFERROR(VLOOKUP(X10,'Language Map'!A:C,3,FALSE),IFERROR(VLOOKUP(T10,'Org Map'!A:F,6,FALSE),"ADP and BU Language Code Not Mapped"))&amp;AH10</f>
        <v>en_US</v>
      </c>
      <c r="AJ10" t="str">
        <f>IFERROR(VLOOKUP(T10,'Org Map'!A:G,7),"BU Currency Not Mapped")</f>
        <v>USD</v>
      </c>
      <c r="AK10" t="str">
        <f t="shared" si="1"/>
        <v/>
      </c>
      <c r="AL10" t="str">
        <f>IFERROR(VLOOKUP(O10,'Status Map'!A:B,2,FALSE),"Position Status Not Mapped")</f>
        <v>Y</v>
      </c>
      <c r="AM10" t="str">
        <f t="shared" ref="AM10:AM73" si="6">IF(AL10="N",TEXT(M10,"yyyymmdd"),"")</f>
        <v/>
      </c>
      <c r="AO10" t="str">
        <f t="shared" si="2"/>
        <v>ThomasEAlexander</v>
      </c>
      <c r="AP10" t="str">
        <f t="shared" si="3"/>
        <v>Kemenah</v>
      </c>
      <c r="AQ10" t="str">
        <f t="shared" si="4"/>
        <v>211766</v>
      </c>
      <c r="AR10" t="b">
        <f t="shared" si="5"/>
        <v>1</v>
      </c>
    </row>
    <row r="11" spans="1:44">
      <c r="A11" s="3" t="s">
        <v>182</v>
      </c>
      <c r="B11" s="4" t="s">
        <v>183</v>
      </c>
      <c r="C11" s="5" t="s">
        <v>184</v>
      </c>
      <c r="D11" s="6" t="s">
        <v>185</v>
      </c>
      <c r="E11" s="7" t="s">
        <v>186</v>
      </c>
      <c r="F11" s="8" t="s">
        <v>187</v>
      </c>
      <c r="G11" s="9" t="s">
        <v>188</v>
      </c>
      <c r="H11" s="10" t="s">
        <v>189</v>
      </c>
      <c r="I11" s="11" t="s">
        <v>190</v>
      </c>
      <c r="J11" s="12" t="s">
        <v>191</v>
      </c>
      <c r="K11" s="13" t="s">
        <v>192</v>
      </c>
      <c r="L11" s="14">
        <v>44550</v>
      </c>
      <c r="M11" s="15"/>
      <c r="N11" s="16"/>
      <c r="O11" s="17" t="s">
        <v>193</v>
      </c>
      <c r="P11" s="18" t="s">
        <v>194</v>
      </c>
      <c r="Q11" s="19" t="s">
        <v>195</v>
      </c>
      <c r="R11" s="20" t="s">
        <v>196</v>
      </c>
      <c r="S11" s="21" t="s">
        <v>197</v>
      </c>
      <c r="T11" s="22" t="s">
        <v>198</v>
      </c>
      <c r="U11" s="23" t="s">
        <v>199</v>
      </c>
      <c r="V11" s="24" t="s">
        <v>200</v>
      </c>
      <c r="W11" s="25" t="s">
        <v>201</v>
      </c>
      <c r="X11" s="26" t="s">
        <v>202</v>
      </c>
      <c r="Y11" s="27" t="s">
        <v>203</v>
      </c>
      <c r="Z11" s="28" t="s">
        <v>204</v>
      </c>
      <c r="AA11" s="29" t="s">
        <v>205</v>
      </c>
      <c r="AB11" s="30" t="s">
        <v>206</v>
      </c>
      <c r="AC11" t="str">
        <f>IF(ISBLANK(H11),VLOOKUP(P11,'US Supervisor Map'!A:D,4,FALSE),MID(H11,4,6))</f>
        <v>211736</v>
      </c>
      <c r="AD11" t="str">
        <f>IFERROR(VLOOKUP(T11,'Org Map'!A:E,4),"BU Description Not Mapped")</f>
        <v>0088</v>
      </c>
      <c r="AE11">
        <f>IFERROR(VLOOKUP(V11,'Org Map'!C:E,3),"Home Department Code Not Mapped")</f>
        <v>5200</v>
      </c>
      <c r="AF11" t="str">
        <f>IFERROR(VLOOKUP(AA11,'Salary Map'!A:D,3,FALSE),"Salary Code Not Mapped")</f>
        <v>Default</v>
      </c>
      <c r="AG11" t="str">
        <f>IFERROR(VLOOKUP(AA11,'Salary Map'!A:D,4,FALSE),"Salary Code Not Mapped")</f>
        <v>General</v>
      </c>
      <c r="AH11" t="str">
        <f>IFERROR(VLOOKUP(Z11,'Country Map'!A:B,2,FALSE),"Legal Country Not Mapped")</f>
        <v>US</v>
      </c>
      <c r="AI11" t="str">
        <f>IFERROR(VLOOKUP(X11,'Language Map'!A:C,3,FALSE),IFERROR(VLOOKUP(T11,'Org Map'!A:F,6,FALSE),"ADP and BU Language Code Not Mapped"))&amp;AH11</f>
        <v>en_US</v>
      </c>
      <c r="AJ11" t="str">
        <f>IFERROR(VLOOKUP(T11,'Org Map'!A:G,7),"BU Currency Not Mapped")</f>
        <v>USD</v>
      </c>
      <c r="AK11" t="str">
        <f t="shared" si="1"/>
        <v/>
      </c>
      <c r="AL11" t="str">
        <f>IFERROR(VLOOKUP(O11,'Status Map'!A:B,2,FALSE),"Position Status Not Mapped")</f>
        <v>Y</v>
      </c>
      <c r="AM11" t="str">
        <f t="shared" si="6"/>
        <v/>
      </c>
      <c r="AO11" t="str">
        <f t="shared" si="2"/>
        <v>TinaMAllen</v>
      </c>
      <c r="AP11" t="str">
        <f t="shared" si="3"/>
        <v>LaPlante</v>
      </c>
      <c r="AQ11" t="str">
        <f t="shared" si="4"/>
        <v>211736</v>
      </c>
      <c r="AR11" t="b">
        <f t="shared" si="5"/>
        <v>1</v>
      </c>
    </row>
    <row r="12" spans="1:44">
      <c r="A12" s="3" t="s">
        <v>207</v>
      </c>
      <c r="B12" s="4" t="s">
        <v>208</v>
      </c>
      <c r="C12" s="5" t="s">
        <v>209</v>
      </c>
      <c r="D12" s="6" t="s">
        <v>210</v>
      </c>
      <c r="E12" s="7" t="s">
        <v>211</v>
      </c>
      <c r="F12" s="8" t="s">
        <v>212</v>
      </c>
      <c r="G12" s="9" t="s">
        <v>213</v>
      </c>
      <c r="H12" s="10" t="s">
        <v>214</v>
      </c>
      <c r="I12" s="11" t="s">
        <v>215</v>
      </c>
      <c r="J12" s="12" t="s">
        <v>216</v>
      </c>
      <c r="K12" s="13" t="s">
        <v>217</v>
      </c>
      <c r="L12" s="14">
        <v>43710</v>
      </c>
      <c r="M12" s="15"/>
      <c r="N12" s="16"/>
      <c r="O12" s="17" t="s">
        <v>218</v>
      </c>
      <c r="P12" s="18" t="s">
        <v>219</v>
      </c>
      <c r="Q12" s="19" t="s">
        <v>220</v>
      </c>
      <c r="R12" s="20" t="s">
        <v>221</v>
      </c>
      <c r="S12" s="21" t="s">
        <v>222</v>
      </c>
      <c r="T12" s="22" t="s">
        <v>223</v>
      </c>
      <c r="U12" s="23" t="s">
        <v>224</v>
      </c>
      <c r="V12" s="24" t="s">
        <v>225</v>
      </c>
      <c r="W12" s="25" t="s">
        <v>226</v>
      </c>
      <c r="X12" s="26" t="s">
        <v>227</v>
      </c>
      <c r="Y12" s="27" t="s">
        <v>228</v>
      </c>
      <c r="Z12" s="28" t="s">
        <v>229</v>
      </c>
      <c r="AA12" s="29" t="s">
        <v>230</v>
      </c>
      <c r="AB12" s="30" t="s">
        <v>231</v>
      </c>
      <c r="AC12" t="str">
        <f>IF(ISBLANK(H12),VLOOKUP(P12,'US Supervisor Map'!A:D,4,FALSE),MID(H12,4,6))</f>
        <v>008750</v>
      </c>
      <c r="AD12" t="str">
        <f>IFERROR(VLOOKUP(T12,'Org Map'!A:E,4),"BU Description Not Mapped")</f>
        <v>0088</v>
      </c>
      <c r="AE12">
        <f>IFERROR(VLOOKUP(V12,'Org Map'!C:E,3),"Home Department Code Not Mapped")</f>
        <v>9100</v>
      </c>
      <c r="AF12" t="str">
        <f>IFERROR(VLOOKUP(AA12,'Salary Map'!A:D,3,FALSE),"Salary Code Not Mapped")</f>
        <v>Default</v>
      </c>
      <c r="AG12" t="str">
        <f>IFERROR(VLOOKUP(AA12,'Salary Map'!A:D,4,FALSE),"Salary Code Not Mapped")</f>
        <v>General</v>
      </c>
      <c r="AH12" t="str">
        <f>IFERROR(VLOOKUP(Z12,'Country Map'!A:B,2,FALSE),"Legal Country Not Mapped")</f>
        <v>US</v>
      </c>
      <c r="AI12" t="str">
        <f>IFERROR(VLOOKUP(X12,'Language Map'!A:C,3,FALSE),IFERROR(VLOOKUP(T12,'Org Map'!A:F,6,FALSE),"ADP and BU Language Code Not Mapped"))&amp;AH12</f>
        <v>en_US</v>
      </c>
      <c r="AJ12" t="str">
        <f>IFERROR(VLOOKUP(T12,'Org Map'!A:G,7),"BU Currency Not Mapped")</f>
        <v>USD</v>
      </c>
      <c r="AK12" t="str">
        <f t="shared" si="1"/>
        <v/>
      </c>
      <c r="AL12" t="str">
        <f>IFERROR(VLOOKUP(O12,'Status Map'!A:B,2,FALSE),"Position Status Not Mapped")</f>
        <v>Y</v>
      </c>
      <c r="AM12" t="str">
        <f t="shared" si="6"/>
        <v/>
      </c>
      <c r="AO12" t="str">
        <f t="shared" si="2"/>
        <v>KimberlyAshley</v>
      </c>
      <c r="AP12" t="str">
        <f t="shared" si="3"/>
        <v>Warner</v>
      </c>
      <c r="AQ12" t="str">
        <f t="shared" si="4"/>
        <v>008750</v>
      </c>
      <c r="AR12" t="b">
        <f t="shared" si="5"/>
        <v>1</v>
      </c>
    </row>
    <row r="13" spans="1:44">
      <c r="A13" s="3" t="s">
        <v>232</v>
      </c>
      <c r="B13" s="4" t="s">
        <v>233</v>
      </c>
      <c r="C13" s="5" t="s">
        <v>234</v>
      </c>
      <c r="D13" s="6" t="s">
        <v>235</v>
      </c>
      <c r="E13" s="7" t="s">
        <v>236</v>
      </c>
      <c r="F13" s="8" t="s">
        <v>237</v>
      </c>
      <c r="G13" s="9" t="s">
        <v>238</v>
      </c>
      <c r="H13" s="36" t="s">
        <v>239</v>
      </c>
      <c r="I13" s="11" t="s">
        <v>240</v>
      </c>
      <c r="J13" s="12" t="s">
        <v>241</v>
      </c>
      <c r="K13" s="13" t="s">
        <v>242</v>
      </c>
      <c r="L13" s="14">
        <v>46258</v>
      </c>
      <c r="M13" s="15"/>
      <c r="N13" s="16"/>
      <c r="O13" s="17" t="s">
        <v>243</v>
      </c>
      <c r="P13" s="18" t="s">
        <v>244</v>
      </c>
      <c r="Q13" s="19" t="s">
        <v>245</v>
      </c>
      <c r="R13" s="20" t="s">
        <v>246</v>
      </c>
      <c r="S13" s="21" t="s">
        <v>247</v>
      </c>
      <c r="T13" s="22" t="s">
        <v>248</v>
      </c>
      <c r="U13" s="23" t="s">
        <v>249</v>
      </c>
      <c r="V13" s="24" t="s">
        <v>250</v>
      </c>
      <c r="W13" s="25" t="s">
        <v>251</v>
      </c>
      <c r="X13" s="26" t="s">
        <v>252</v>
      </c>
      <c r="Y13" s="27" t="s">
        <v>253</v>
      </c>
      <c r="Z13" s="28" t="s">
        <v>254</v>
      </c>
      <c r="AA13" s="29" t="s">
        <v>255</v>
      </c>
      <c r="AB13" s="30" t="s">
        <v>256</v>
      </c>
      <c r="AC13" s="77" t="str">
        <f>IF(ISBLANK(H13),VLOOKUP(P13,'US Supervisor Map'!A:D,4,FALSE),MID(H13,4,6))</f>
        <v/>
      </c>
      <c r="AD13" t="str">
        <f>IFERROR(VLOOKUP(T13,'Org Map'!A:E,4),"BU Description Not Mapped")</f>
        <v>0088</v>
      </c>
      <c r="AE13" s="77" t="str">
        <f>IFERROR(VLOOKUP(V13,'Org Map'!C:E,3),"Home Department Code Not Mapped")</f>
        <v>Home Department Code Not Mapped</v>
      </c>
      <c r="AF13" t="str">
        <f>IFERROR(VLOOKUP(AA13,'Salary Map'!A:D,3,FALSE),"Salary Code Not Mapped")</f>
        <v>Default</v>
      </c>
      <c r="AG13" t="str">
        <f>IFERROR(VLOOKUP(AA13,'Salary Map'!A:D,4,FALSE),"Salary Code Not Mapped")</f>
        <v>General</v>
      </c>
      <c r="AH13" t="str">
        <f>IFERROR(VLOOKUP(Z13,'Country Map'!A:B,2,FALSE),"Legal Country Not Mapped")</f>
        <v>US</v>
      </c>
      <c r="AI13" t="str">
        <f>IFERROR(VLOOKUP(X13,'Language Map'!A:C,3,FALSE),IFERROR(VLOOKUP(T13,'Org Map'!A:F,6,FALSE),"ADP and BU Language Code Not Mapped"))&amp;AH13</f>
        <v>en_US</v>
      </c>
      <c r="AJ13" t="str">
        <f>IFERROR(VLOOKUP(T13,'Org Map'!A:G,7),"BU Currency Not Mapped")</f>
        <v>USD</v>
      </c>
      <c r="AK13" t="str">
        <f t="shared" si="1"/>
        <v/>
      </c>
      <c r="AL13" t="str">
        <f>IFERROR(VLOOKUP(O13,'Status Map'!A:B,2,FALSE),"Position Status Not Mapped")</f>
        <v>Y</v>
      </c>
      <c r="AM13" t="str">
        <f t="shared" si="6"/>
        <v/>
      </c>
      <c r="AN13" s="39"/>
      <c r="AO13" t="str">
        <f t="shared" si="2"/>
        <v>JasonJBailey</v>
      </c>
      <c r="AP13" t="str">
        <f t="shared" si="3"/>
        <v>Kemenah</v>
      </c>
      <c r="AQ13" t="str">
        <f t="shared" si="4"/>
        <v>211766</v>
      </c>
      <c r="AR13" t="b">
        <f t="shared" si="5"/>
        <v>0</v>
      </c>
    </row>
    <row r="14" spans="1:44">
      <c r="A14" s="3" t="s">
        <v>257</v>
      </c>
      <c r="B14" s="4" t="s">
        <v>258</v>
      </c>
      <c r="C14" s="5" t="s">
        <v>259</v>
      </c>
      <c r="D14" s="6" t="s">
        <v>260</v>
      </c>
      <c r="E14" s="7" t="s">
        <v>261</v>
      </c>
      <c r="F14" s="8" t="s">
        <v>262</v>
      </c>
      <c r="G14" s="9" t="s">
        <v>263</v>
      </c>
      <c r="H14" s="37" t="s">
        <v>264</v>
      </c>
      <c r="I14" s="11" t="s">
        <v>265</v>
      </c>
      <c r="J14" s="12" t="s">
        <v>266</v>
      </c>
      <c r="K14" s="13" t="s">
        <v>267</v>
      </c>
      <c r="L14" s="14">
        <v>44732</v>
      </c>
      <c r="M14" s="15"/>
      <c r="N14" s="16"/>
      <c r="O14" s="17" t="s">
        <v>268</v>
      </c>
      <c r="P14" s="18" t="s">
        <v>269</v>
      </c>
      <c r="Q14" s="19" t="s">
        <v>270</v>
      </c>
      <c r="R14" s="20" t="s">
        <v>271</v>
      </c>
      <c r="S14" s="21" t="s">
        <v>272</v>
      </c>
      <c r="T14" s="22" t="s">
        <v>273</v>
      </c>
      <c r="U14" s="23" t="s">
        <v>274</v>
      </c>
      <c r="V14" s="24" t="s">
        <v>275</v>
      </c>
      <c r="W14" s="25" t="s">
        <v>276</v>
      </c>
      <c r="X14" s="26" t="s">
        <v>277</v>
      </c>
      <c r="Y14" s="27" t="s">
        <v>278</v>
      </c>
      <c r="Z14" s="28" t="s">
        <v>279</v>
      </c>
      <c r="AA14" s="29" t="s">
        <v>280</v>
      </c>
      <c r="AB14" s="30" t="s">
        <v>281</v>
      </c>
      <c r="AC14" s="77" t="str">
        <f>IF(ISBLANK(H14),VLOOKUP(P14,'US Supervisor Map'!A:D,4,FALSE),MID(H14,4,6))</f>
        <v/>
      </c>
      <c r="AD14" t="str">
        <f>IFERROR(VLOOKUP(T14,'Org Map'!A:E,4),"BU Description Not Mapped")</f>
        <v>0088</v>
      </c>
      <c r="AE14">
        <f>IFERROR(VLOOKUP(V14,'Org Map'!C:E,3),"Home Department Code Not Mapped")</f>
        <v>9310</v>
      </c>
      <c r="AF14" t="str">
        <f>IFERROR(VLOOKUP(AA14,'Salary Map'!A:D,3,FALSE),"Salary Code Not Mapped")</f>
        <v>Grade 20</v>
      </c>
      <c r="AG14" t="str">
        <f>IFERROR(VLOOKUP(AA14,'Salary Map'!A:D,4,FALSE),"Salary Code Not Mapped")</f>
        <v>Senior Leadership</v>
      </c>
      <c r="AH14" t="str">
        <f>IFERROR(VLOOKUP(Z14,'Country Map'!A:B,2,FALSE),"Legal Country Not Mapped")</f>
        <v>US</v>
      </c>
      <c r="AI14" t="str">
        <f>IFERROR(VLOOKUP(X14,'Language Map'!A:C,3,FALSE),IFERROR(VLOOKUP(T14,'Org Map'!A:F,6,FALSE),"ADP and BU Language Code Not Mapped"))&amp;AH14</f>
        <v>en_US</v>
      </c>
      <c r="AJ14" t="str">
        <f>IFERROR(VLOOKUP(T14,'Org Map'!A:G,7),"BU Currency Not Mapped")</f>
        <v>USD</v>
      </c>
      <c r="AK14" t="str">
        <f t="shared" si="1"/>
        <v/>
      </c>
      <c r="AL14" t="str">
        <f>IFERROR(VLOOKUP(O14,'Status Map'!A:B,2,FALSE),"Position Status Not Mapped")</f>
        <v>Y</v>
      </c>
      <c r="AM14" t="str">
        <f t="shared" si="6"/>
        <v/>
      </c>
      <c r="AO14" t="str">
        <f t="shared" si="2"/>
        <v>TeresaBair</v>
      </c>
      <c r="AP14" t="e">
        <f t="shared" si="3"/>
        <v>#VALUE!</v>
      </c>
      <c r="AQ14" t="str">
        <f t="shared" si="4"/>
        <v>No Reports to Name</v>
      </c>
      <c r="AR14" t="b">
        <f t="shared" si="5"/>
        <v>0</v>
      </c>
    </row>
    <row r="15" spans="1:44">
      <c r="A15" s="3" t="s">
        <v>282</v>
      </c>
      <c r="B15" s="4" t="s">
        <v>283</v>
      </c>
      <c r="C15" s="5" t="s">
        <v>284</v>
      </c>
      <c r="D15" s="6" t="s">
        <v>285</v>
      </c>
      <c r="E15" s="7" t="s">
        <v>286</v>
      </c>
      <c r="F15" s="8" t="s">
        <v>287</v>
      </c>
      <c r="G15" s="9" t="s">
        <v>288</v>
      </c>
      <c r="H15" s="36" t="s">
        <v>289</v>
      </c>
      <c r="I15" s="11" t="s">
        <v>290</v>
      </c>
      <c r="J15" s="12" t="s">
        <v>291</v>
      </c>
      <c r="K15" s="13" t="s">
        <v>292</v>
      </c>
      <c r="L15" s="14">
        <v>44949</v>
      </c>
      <c r="M15" s="15"/>
      <c r="N15" s="16"/>
      <c r="O15" s="17" t="s">
        <v>293</v>
      </c>
      <c r="P15" s="18" t="s">
        <v>294</v>
      </c>
      <c r="Q15" s="19" t="s">
        <v>295</v>
      </c>
      <c r="R15" s="20" t="s">
        <v>296</v>
      </c>
      <c r="S15" s="21" t="s">
        <v>297</v>
      </c>
      <c r="T15" s="22" t="s">
        <v>298</v>
      </c>
      <c r="U15" s="23" t="s">
        <v>299</v>
      </c>
      <c r="V15" s="24" t="s">
        <v>300</v>
      </c>
      <c r="W15" s="25" t="s">
        <v>301</v>
      </c>
      <c r="X15" s="26" t="s">
        <v>302</v>
      </c>
      <c r="Y15" s="27" t="s">
        <v>303</v>
      </c>
      <c r="Z15" s="28" t="s">
        <v>304</v>
      </c>
      <c r="AA15" s="29" t="s">
        <v>305</v>
      </c>
      <c r="AB15" s="30" t="s">
        <v>306</v>
      </c>
      <c r="AC15" s="77" t="str">
        <f>IF(ISBLANK(H15),VLOOKUP(P15,'US Supervisor Map'!A:D,4,FALSE),MID(H15,4,6))</f>
        <v/>
      </c>
      <c r="AD15" t="str">
        <f>IFERROR(VLOOKUP(T15,'Org Map'!A:E,4),"BU Description Not Mapped")</f>
        <v>0096</v>
      </c>
      <c r="AE15">
        <f>IFERROR(VLOOKUP(V15,'Org Map'!C:E,3),"Home Department Code Not Mapped")</f>
        <v>820</v>
      </c>
      <c r="AF15" t="str">
        <f>IFERROR(VLOOKUP(AA15,'Salary Map'!A:D,3,FALSE),"Salary Code Not Mapped")</f>
        <v>Default</v>
      </c>
      <c r="AG15" t="str">
        <f>IFERROR(VLOOKUP(AA15,'Salary Map'!A:D,4,FALSE),"Salary Code Not Mapped")</f>
        <v>General</v>
      </c>
      <c r="AH15" t="str">
        <f>IFERROR(VLOOKUP(Z15,'Country Map'!A:B,2,FALSE),"Legal Country Not Mapped")</f>
        <v>US</v>
      </c>
      <c r="AI15" t="str">
        <f>IFERROR(VLOOKUP(X15,'Language Map'!A:C,3,FALSE),IFERROR(VLOOKUP(T15,'Org Map'!A:F,6,FALSE),"ADP and BU Language Code Not Mapped"))&amp;AH15</f>
        <v>en_US</v>
      </c>
      <c r="AJ15" t="str">
        <f>IFERROR(VLOOKUP(T15,'Org Map'!A:G,7),"BU Currency Not Mapped")</f>
        <v>USD</v>
      </c>
      <c r="AK15" t="str">
        <f t="shared" si="1"/>
        <v/>
      </c>
      <c r="AL15" t="str">
        <f>IFERROR(VLOOKUP(O15,'Status Map'!A:B,2,FALSE),"Position Status Not Mapped")</f>
        <v>Y</v>
      </c>
      <c r="AM15" t="str">
        <f t="shared" si="6"/>
        <v/>
      </c>
      <c r="AO15" t="str">
        <f t="shared" si="2"/>
        <v>KirstenVBarry</v>
      </c>
      <c r="AP15" t="str">
        <f t="shared" si="3"/>
        <v>Rodriguez</v>
      </c>
      <c r="AQ15" t="str">
        <f t="shared" si="4"/>
        <v>212338</v>
      </c>
      <c r="AR15" t="b">
        <f t="shared" si="5"/>
        <v>0</v>
      </c>
    </row>
    <row r="16" spans="1:44">
      <c r="A16" s="3" t="s">
        <v>307</v>
      </c>
      <c r="B16" s="4" t="s">
        <v>308</v>
      </c>
      <c r="C16" s="5" t="s">
        <v>309</v>
      </c>
      <c r="D16" s="6" t="s">
        <v>310</v>
      </c>
      <c r="E16" s="7" t="s">
        <v>311</v>
      </c>
      <c r="F16" s="8" t="s">
        <v>312</v>
      </c>
      <c r="G16" s="9" t="s">
        <v>313</v>
      </c>
      <c r="H16" s="10" t="s">
        <v>314</v>
      </c>
      <c r="I16" s="11" t="s">
        <v>315</v>
      </c>
      <c r="J16" s="12" t="s">
        <v>316</v>
      </c>
      <c r="K16" s="13" t="s">
        <v>317</v>
      </c>
      <c r="L16" s="14">
        <v>46083</v>
      </c>
      <c r="M16" s="15"/>
      <c r="N16" s="16"/>
      <c r="O16" s="17" t="s">
        <v>318</v>
      </c>
      <c r="P16" s="18" t="s">
        <v>319</v>
      </c>
      <c r="Q16" s="19" t="s">
        <v>320</v>
      </c>
      <c r="R16" s="20" t="s">
        <v>321</v>
      </c>
      <c r="S16" s="21" t="s">
        <v>322</v>
      </c>
      <c r="T16" s="22" t="s">
        <v>323</v>
      </c>
      <c r="U16" s="23" t="s">
        <v>324</v>
      </c>
      <c r="V16" s="24" t="s">
        <v>325</v>
      </c>
      <c r="W16" s="25" t="s">
        <v>326</v>
      </c>
      <c r="X16" s="26" t="s">
        <v>327</v>
      </c>
      <c r="Y16" s="27" t="s">
        <v>328</v>
      </c>
      <c r="Z16" s="28" t="s">
        <v>329</v>
      </c>
      <c r="AA16" s="29" t="s">
        <v>330</v>
      </c>
      <c r="AB16" s="30" t="s">
        <v>331</v>
      </c>
      <c r="AC16" t="str">
        <f>IF(ISBLANK(H16),VLOOKUP(P16,'US Supervisor Map'!A:D,4,FALSE),MID(H16,4,6))</f>
        <v>207709</v>
      </c>
      <c r="AD16" t="str">
        <f>IFERROR(VLOOKUP(T16,'Org Map'!A:E,4),"BU Description Not Mapped")</f>
        <v>0096</v>
      </c>
      <c r="AE16" s="77" t="str">
        <f>IFERROR(VLOOKUP(V16,'Org Map'!C:E,3),"Home Department Code Not Mapped")</f>
        <v>0007</v>
      </c>
      <c r="AF16" t="str">
        <f>IFERROR(VLOOKUP(AA16,'Salary Map'!A:D,3,FALSE),"Salary Code Not Mapped")</f>
        <v>Default</v>
      </c>
      <c r="AG16" t="str">
        <f>IFERROR(VLOOKUP(AA16,'Salary Map'!A:D,4,FALSE),"Salary Code Not Mapped")</f>
        <v>General</v>
      </c>
      <c r="AH16" t="str">
        <f>IFERROR(VLOOKUP(Z16,'Country Map'!A:B,2,FALSE),"Legal Country Not Mapped")</f>
        <v>US</v>
      </c>
      <c r="AI16" t="str">
        <f>IFERROR(VLOOKUP(X16,'Language Map'!A:C,3,FALSE),IFERROR(VLOOKUP(T16,'Org Map'!A:F,6,FALSE),"ADP and BU Language Code Not Mapped"))&amp;AH16</f>
        <v>en_US</v>
      </c>
      <c r="AJ16" t="str">
        <f>IFERROR(VLOOKUP(T16,'Org Map'!A:G,7),"BU Currency Not Mapped")</f>
        <v>USD</v>
      </c>
      <c r="AK16" t="str">
        <f t="shared" si="1"/>
        <v/>
      </c>
      <c r="AL16" t="str">
        <f>IFERROR(VLOOKUP(O16,'Status Map'!A:B,2,FALSE),"Position Status Not Mapped")</f>
        <v>Y</v>
      </c>
      <c r="AM16" t="str">
        <f t="shared" si="6"/>
        <v/>
      </c>
      <c r="AO16" t="str">
        <f t="shared" si="2"/>
        <v>NatalieBate</v>
      </c>
      <c r="AP16" t="str">
        <f t="shared" si="3"/>
        <v>Bair</v>
      </c>
      <c r="AQ16" t="str">
        <f t="shared" si="4"/>
        <v>207709</v>
      </c>
      <c r="AR16" t="b">
        <f t="shared" si="5"/>
        <v>1</v>
      </c>
    </row>
    <row r="17" spans="1:44">
      <c r="A17" s="3" t="s">
        <v>332</v>
      </c>
      <c r="B17" s="4" t="s">
        <v>333</v>
      </c>
      <c r="C17" s="5" t="s">
        <v>334</v>
      </c>
      <c r="D17" s="6" t="s">
        <v>335</v>
      </c>
      <c r="E17" s="7" t="s">
        <v>336</v>
      </c>
      <c r="F17" s="8" t="s">
        <v>337</v>
      </c>
      <c r="G17" s="9" t="s">
        <v>338</v>
      </c>
      <c r="H17" s="10" t="s">
        <v>339</v>
      </c>
      <c r="I17" s="11" t="s">
        <v>340</v>
      </c>
      <c r="J17" s="12" t="s">
        <v>341</v>
      </c>
      <c r="K17" s="13" t="s">
        <v>342</v>
      </c>
      <c r="L17" s="14">
        <v>46202</v>
      </c>
      <c r="M17" s="15"/>
      <c r="N17" s="16"/>
      <c r="O17" s="17" t="s">
        <v>343</v>
      </c>
      <c r="P17" s="18" t="s">
        <v>344</v>
      </c>
      <c r="Q17" s="19" t="s">
        <v>345</v>
      </c>
      <c r="R17" s="20" t="s">
        <v>346</v>
      </c>
      <c r="S17" s="21" t="s">
        <v>347</v>
      </c>
      <c r="T17" s="22" t="s">
        <v>348</v>
      </c>
      <c r="U17" s="23" t="s">
        <v>349</v>
      </c>
      <c r="V17" s="24" t="s">
        <v>350</v>
      </c>
      <c r="W17" s="25" t="s">
        <v>351</v>
      </c>
      <c r="X17" s="26" t="s">
        <v>352</v>
      </c>
      <c r="Y17" s="27" t="s">
        <v>353</v>
      </c>
      <c r="Z17" s="28" t="s">
        <v>354</v>
      </c>
      <c r="AA17" s="29" t="s">
        <v>355</v>
      </c>
      <c r="AB17" s="30" t="s">
        <v>356</v>
      </c>
      <c r="AC17" t="str">
        <f>IF(ISBLANK(H17),VLOOKUP(P17,'US Supervisor Map'!A:D,4,FALSE),MID(H17,4,6))</f>
        <v>207588</v>
      </c>
      <c r="AD17" t="str">
        <f>IFERROR(VLOOKUP(T17,'Org Map'!A:E,4),"BU Description Not Mapped")</f>
        <v>0088</v>
      </c>
      <c r="AE17">
        <f>IFERROR(VLOOKUP(V17,'Org Map'!C:E,3),"Home Department Code Not Mapped")</f>
        <v>8200</v>
      </c>
      <c r="AF17" t="str">
        <f>IFERROR(VLOOKUP(AA17,'Salary Map'!A:D,3,FALSE),"Salary Code Not Mapped")</f>
        <v>Default</v>
      </c>
      <c r="AG17" t="str">
        <f>IFERROR(VLOOKUP(AA17,'Salary Map'!A:D,4,FALSE),"Salary Code Not Mapped")</f>
        <v>General</v>
      </c>
      <c r="AH17" t="str">
        <f>IFERROR(VLOOKUP(Z17,'Country Map'!A:B,2,FALSE),"Legal Country Not Mapped")</f>
        <v>US</v>
      </c>
      <c r="AI17" t="str">
        <f>IFERROR(VLOOKUP(X17,'Language Map'!A:C,3,FALSE),IFERROR(VLOOKUP(T17,'Org Map'!A:F,6,FALSE),"ADP and BU Language Code Not Mapped"))&amp;AH17</f>
        <v>en_US</v>
      </c>
      <c r="AJ17" t="str">
        <f>IFERROR(VLOOKUP(T17,'Org Map'!A:G,7),"BU Currency Not Mapped")</f>
        <v>USD</v>
      </c>
      <c r="AK17" t="str">
        <f t="shared" si="1"/>
        <v/>
      </c>
      <c r="AL17" t="str">
        <f>IFERROR(VLOOKUP(O17,'Status Map'!A:B,2,FALSE),"Position Status Not Mapped")</f>
        <v>Y</v>
      </c>
      <c r="AM17" t="str">
        <f t="shared" si="6"/>
        <v/>
      </c>
      <c r="AO17" t="str">
        <f t="shared" si="2"/>
        <v>MichaelJBeasley</v>
      </c>
      <c r="AP17" t="str">
        <f t="shared" si="3"/>
        <v>Rodriguez</v>
      </c>
      <c r="AQ17" t="str">
        <f t="shared" si="4"/>
        <v>212338</v>
      </c>
      <c r="AR17" s="77" t="b">
        <f t="shared" si="5"/>
        <v>0</v>
      </c>
    </row>
    <row r="18" spans="1:44">
      <c r="A18" s="3" t="s">
        <v>357</v>
      </c>
      <c r="B18" s="4" t="s">
        <v>358</v>
      </c>
      <c r="C18" s="5" t="s">
        <v>359</v>
      </c>
      <c r="D18" s="6" t="s">
        <v>360</v>
      </c>
      <c r="E18" s="7" t="s">
        <v>361</v>
      </c>
      <c r="F18" s="8" t="s">
        <v>362</v>
      </c>
      <c r="G18" s="9" t="s">
        <v>363</v>
      </c>
      <c r="H18" s="10" t="s">
        <v>364</v>
      </c>
      <c r="I18" s="11" t="s">
        <v>365</v>
      </c>
      <c r="J18" s="12" t="s">
        <v>366</v>
      </c>
      <c r="K18" s="13" t="s">
        <v>367</v>
      </c>
      <c r="L18" s="14">
        <v>45929</v>
      </c>
      <c r="M18" s="15"/>
      <c r="N18" s="16"/>
      <c r="O18" s="17" t="s">
        <v>368</v>
      </c>
      <c r="P18" s="18" t="s">
        <v>369</v>
      </c>
      <c r="Q18" s="19" t="s">
        <v>370</v>
      </c>
      <c r="R18" s="20" t="s">
        <v>371</v>
      </c>
      <c r="S18" s="21" t="s">
        <v>372</v>
      </c>
      <c r="T18" s="22" t="s">
        <v>373</v>
      </c>
      <c r="U18" s="23" t="s">
        <v>374</v>
      </c>
      <c r="V18" s="24" t="s">
        <v>375</v>
      </c>
      <c r="W18" s="25" t="s">
        <v>376</v>
      </c>
      <c r="X18" s="26" t="s">
        <v>377</v>
      </c>
      <c r="Y18" s="27" t="s">
        <v>378</v>
      </c>
      <c r="Z18" s="28" t="s">
        <v>379</v>
      </c>
      <c r="AA18" s="29" t="s">
        <v>380</v>
      </c>
      <c r="AB18" s="30" t="s">
        <v>381</v>
      </c>
      <c r="AC18" t="str">
        <f>IF(ISBLANK(H18),VLOOKUP(P18,'US Supervisor Map'!A:D,4,FALSE),MID(H18,4,6))</f>
        <v>211736</v>
      </c>
      <c r="AD18" t="str">
        <f>IFERROR(VLOOKUP(T18,'Org Map'!A:E,4),"BU Description Not Mapped")</f>
        <v>0088</v>
      </c>
      <c r="AE18">
        <f>IFERROR(VLOOKUP(V18,'Org Map'!C:E,3),"Home Department Code Not Mapped")</f>
        <v>5200</v>
      </c>
      <c r="AF18" t="str">
        <f>IFERROR(VLOOKUP(AA18,'Salary Map'!A:D,3,FALSE),"Salary Code Not Mapped")</f>
        <v>Default</v>
      </c>
      <c r="AG18" t="str">
        <f>IFERROR(VLOOKUP(AA18,'Salary Map'!A:D,4,FALSE),"Salary Code Not Mapped")</f>
        <v>General</v>
      </c>
      <c r="AH18" t="str">
        <f>IFERROR(VLOOKUP(Z18,'Country Map'!A:B,2,FALSE),"Legal Country Not Mapped")</f>
        <v>US</v>
      </c>
      <c r="AI18" t="str">
        <f>IFERROR(VLOOKUP(X18,'Language Map'!A:C,3,FALSE),IFERROR(VLOOKUP(T18,'Org Map'!A:F,6,FALSE),"ADP and BU Language Code Not Mapped"))&amp;AH18</f>
        <v>en_US</v>
      </c>
      <c r="AJ18" t="str">
        <f>IFERROR(VLOOKUP(T18,'Org Map'!A:G,7),"BU Currency Not Mapped")</f>
        <v>USD</v>
      </c>
      <c r="AK18" t="str">
        <f t="shared" si="1"/>
        <v/>
      </c>
      <c r="AL18" t="str">
        <f>IFERROR(VLOOKUP(O18,'Status Map'!A:B,2,FALSE),"Position Status Not Mapped")</f>
        <v>Y</v>
      </c>
      <c r="AM18" t="str">
        <f t="shared" si="6"/>
        <v/>
      </c>
      <c r="AO18" t="str">
        <f t="shared" si="2"/>
        <v>Ella RenaeEBeatrice</v>
      </c>
      <c r="AP18" t="str">
        <f t="shared" si="3"/>
        <v>LaPlante</v>
      </c>
      <c r="AQ18" t="str">
        <f t="shared" si="4"/>
        <v>211736</v>
      </c>
      <c r="AR18" t="b">
        <f t="shared" si="5"/>
        <v>1</v>
      </c>
    </row>
    <row r="19" spans="1:44">
      <c r="A19" s="3" t="s">
        <v>382</v>
      </c>
      <c r="B19" s="4" t="s">
        <v>383</v>
      </c>
      <c r="C19" s="5" t="s">
        <v>384</v>
      </c>
      <c r="D19" s="6" t="s">
        <v>385</v>
      </c>
      <c r="E19" s="7" t="s">
        <v>386</v>
      </c>
      <c r="F19" s="8" t="s">
        <v>387</v>
      </c>
      <c r="G19" s="9" t="s">
        <v>388</v>
      </c>
      <c r="H19" s="10" t="s">
        <v>389</v>
      </c>
      <c r="I19" s="11" t="s">
        <v>390</v>
      </c>
      <c r="J19" s="12" t="s">
        <v>391</v>
      </c>
      <c r="K19" s="13" t="s">
        <v>392</v>
      </c>
      <c r="L19" s="14">
        <v>45937</v>
      </c>
      <c r="M19" s="15"/>
      <c r="N19" s="16"/>
      <c r="O19" s="17" t="s">
        <v>393</v>
      </c>
      <c r="P19" s="18" t="s">
        <v>394</v>
      </c>
      <c r="Q19" s="19" t="s">
        <v>395</v>
      </c>
      <c r="R19" s="20" t="s">
        <v>396</v>
      </c>
      <c r="S19" s="21" t="s">
        <v>397</v>
      </c>
      <c r="T19" s="22" t="s">
        <v>398</v>
      </c>
      <c r="U19" s="23" t="s">
        <v>399</v>
      </c>
      <c r="V19" s="24" t="s">
        <v>400</v>
      </c>
      <c r="W19" s="25" t="s">
        <v>401</v>
      </c>
      <c r="X19" s="26" t="s">
        <v>402</v>
      </c>
      <c r="Y19" s="27" t="s">
        <v>403</v>
      </c>
      <c r="Z19" s="28" t="s">
        <v>404</v>
      </c>
      <c r="AA19" s="29" t="s">
        <v>405</v>
      </c>
      <c r="AB19" s="30" t="s">
        <v>406</v>
      </c>
      <c r="AC19" t="str">
        <f>IF(ISBLANK(H19),VLOOKUP(P19,'US Supervisor Map'!A:D,4,FALSE),MID(H19,4,6))</f>
        <v>211736</v>
      </c>
      <c r="AD19" t="str">
        <f>IFERROR(VLOOKUP(T19,'Org Map'!A:E,4),"BU Description Not Mapped")</f>
        <v>0088</v>
      </c>
      <c r="AE19">
        <f>IFERROR(VLOOKUP(V19,'Org Map'!C:E,3),"Home Department Code Not Mapped")</f>
        <v>5200</v>
      </c>
      <c r="AF19" t="str">
        <f>IFERROR(VLOOKUP(AA19,'Salary Map'!A:D,3,FALSE),"Salary Code Not Mapped")</f>
        <v>Default</v>
      </c>
      <c r="AG19" t="str">
        <f>IFERROR(VLOOKUP(AA19,'Salary Map'!A:D,4,FALSE),"Salary Code Not Mapped")</f>
        <v>General</v>
      </c>
      <c r="AH19" t="str">
        <f>IFERROR(VLOOKUP(Z19,'Country Map'!A:B,2,FALSE),"Legal Country Not Mapped")</f>
        <v>US</v>
      </c>
      <c r="AI19" t="str">
        <f>IFERROR(VLOOKUP(X19,'Language Map'!A:C,3,FALSE),IFERROR(VLOOKUP(T19,'Org Map'!A:F,6,FALSE),"ADP and BU Language Code Not Mapped"))&amp;AH19</f>
        <v>en_US</v>
      </c>
      <c r="AJ19" t="str">
        <f>IFERROR(VLOOKUP(T19,'Org Map'!A:G,7),"BU Currency Not Mapped")</f>
        <v>USD</v>
      </c>
      <c r="AK19" t="str">
        <f t="shared" si="1"/>
        <v/>
      </c>
      <c r="AL19" t="str">
        <f>IFERROR(VLOOKUP(O19,'Status Map'!A:B,2,FALSE),"Position Status Not Mapped")</f>
        <v>Y</v>
      </c>
      <c r="AM19" t="str">
        <f t="shared" si="6"/>
        <v/>
      </c>
      <c r="AO19" t="str">
        <f t="shared" si="2"/>
        <v>JohnBentz</v>
      </c>
      <c r="AP19" t="str">
        <f t="shared" si="3"/>
        <v>LaPlante</v>
      </c>
      <c r="AQ19" t="str">
        <f t="shared" si="4"/>
        <v>211736</v>
      </c>
      <c r="AR19" t="b">
        <f t="shared" si="5"/>
        <v>1</v>
      </c>
    </row>
    <row r="20" spans="1:44">
      <c r="A20" s="3" t="s">
        <v>407</v>
      </c>
      <c r="B20" s="4" t="s">
        <v>408</v>
      </c>
      <c r="C20" s="5" t="s">
        <v>409</v>
      </c>
      <c r="D20" s="6" t="s">
        <v>410</v>
      </c>
      <c r="E20" s="7" t="s">
        <v>411</v>
      </c>
      <c r="F20" s="8" t="s">
        <v>412</v>
      </c>
      <c r="G20" s="9" t="s">
        <v>413</v>
      </c>
      <c r="H20" s="10" t="s">
        <v>414</v>
      </c>
      <c r="I20" s="11" t="s">
        <v>415</v>
      </c>
      <c r="J20" s="12" t="s">
        <v>416</v>
      </c>
      <c r="K20" s="13" t="s">
        <v>417</v>
      </c>
      <c r="L20" s="14">
        <v>45565</v>
      </c>
      <c r="M20" s="15"/>
      <c r="N20" s="16"/>
      <c r="O20" s="17" t="s">
        <v>418</v>
      </c>
      <c r="P20" s="18" t="s">
        <v>419</v>
      </c>
      <c r="Q20" s="19" t="s">
        <v>420</v>
      </c>
      <c r="R20" s="20" t="s">
        <v>421</v>
      </c>
      <c r="S20" s="21" t="s">
        <v>422</v>
      </c>
      <c r="T20" s="22" t="s">
        <v>423</v>
      </c>
      <c r="U20" s="23" t="s">
        <v>424</v>
      </c>
      <c r="V20" s="24" t="s">
        <v>425</v>
      </c>
      <c r="W20" s="25" t="s">
        <v>426</v>
      </c>
      <c r="X20" s="26" t="s">
        <v>427</v>
      </c>
      <c r="Y20" s="27" t="s">
        <v>428</v>
      </c>
      <c r="Z20" s="28" t="s">
        <v>429</v>
      </c>
      <c r="AA20" s="29" t="s">
        <v>430</v>
      </c>
      <c r="AB20" s="30" t="s">
        <v>431</v>
      </c>
      <c r="AC20" t="str">
        <f>IF(ISBLANK(H20),VLOOKUP(P20,'US Supervisor Map'!A:D,4,FALSE),MID(H20,4,6))</f>
        <v>211766</v>
      </c>
      <c r="AD20" t="str">
        <f>IFERROR(VLOOKUP(T20,'Org Map'!A:E,4),"BU Description Not Mapped")</f>
        <v>0088</v>
      </c>
      <c r="AE20">
        <f>IFERROR(VLOOKUP(V20,'Org Map'!C:E,3),"Home Department Code Not Mapped")</f>
        <v>5200</v>
      </c>
      <c r="AF20" t="str">
        <f>IFERROR(VLOOKUP(AA20,'Salary Map'!A:D,3,FALSE),"Salary Code Not Mapped")</f>
        <v>Default</v>
      </c>
      <c r="AG20" t="str">
        <f>IFERROR(VLOOKUP(AA20,'Salary Map'!A:D,4,FALSE),"Salary Code Not Mapped")</f>
        <v>General</v>
      </c>
      <c r="AH20" t="str">
        <f>IFERROR(VLOOKUP(Z20,'Country Map'!A:B,2,FALSE),"Legal Country Not Mapped")</f>
        <v>US</v>
      </c>
      <c r="AI20" t="str">
        <f>IFERROR(VLOOKUP(X20,'Language Map'!A:C,3,FALSE),IFERROR(VLOOKUP(T20,'Org Map'!A:F,6,FALSE),"ADP and BU Language Code Not Mapped"))&amp;AH20</f>
        <v>en_US</v>
      </c>
      <c r="AJ20" t="str">
        <f>IFERROR(VLOOKUP(T20,'Org Map'!A:G,7),"BU Currency Not Mapped")</f>
        <v>USD</v>
      </c>
      <c r="AK20" t="str">
        <f t="shared" si="1"/>
        <v/>
      </c>
      <c r="AL20" t="str">
        <f>IFERROR(VLOOKUP(O20,'Status Map'!A:B,2,FALSE),"Position Status Not Mapped")</f>
        <v>Y</v>
      </c>
      <c r="AM20" t="str">
        <f t="shared" si="6"/>
        <v/>
      </c>
      <c r="AO20" t="str">
        <f t="shared" si="2"/>
        <v>MichaelBiniecki</v>
      </c>
      <c r="AP20" t="str">
        <f t="shared" si="3"/>
        <v>Bailey</v>
      </c>
      <c r="AQ20" t="str">
        <f t="shared" si="4"/>
        <v>902688</v>
      </c>
      <c r="AR20" s="77" t="b">
        <f t="shared" si="5"/>
        <v>0</v>
      </c>
    </row>
    <row r="21" spans="1:44">
      <c r="A21" s="3" t="s">
        <v>432</v>
      </c>
      <c r="B21" s="4" t="s">
        <v>433</v>
      </c>
      <c r="C21" s="5" t="s">
        <v>434</v>
      </c>
      <c r="D21" s="6" t="s">
        <v>435</v>
      </c>
      <c r="E21" s="7" t="s">
        <v>436</v>
      </c>
      <c r="F21" s="8" t="s">
        <v>437</v>
      </c>
      <c r="G21" s="9" t="s">
        <v>438</v>
      </c>
      <c r="H21" s="10" t="s">
        <v>439</v>
      </c>
      <c r="I21" s="11" t="s">
        <v>440</v>
      </c>
      <c r="J21" s="12" t="s">
        <v>441</v>
      </c>
      <c r="K21" s="13" t="s">
        <v>442</v>
      </c>
      <c r="L21" s="14">
        <v>45131</v>
      </c>
      <c r="M21" s="15"/>
      <c r="N21" s="16"/>
      <c r="O21" s="17" t="s">
        <v>443</v>
      </c>
      <c r="P21" s="18" t="s">
        <v>444</v>
      </c>
      <c r="Q21" s="19" t="s">
        <v>445</v>
      </c>
      <c r="R21" s="20" t="s">
        <v>446</v>
      </c>
      <c r="S21" s="21" t="s">
        <v>447</v>
      </c>
      <c r="T21" s="22" t="s">
        <v>448</v>
      </c>
      <c r="U21" s="23" t="s">
        <v>449</v>
      </c>
      <c r="V21" s="24" t="s">
        <v>450</v>
      </c>
      <c r="W21" s="25" t="s">
        <v>451</v>
      </c>
      <c r="X21" s="26" t="s">
        <v>452</v>
      </c>
      <c r="Y21" s="27" t="s">
        <v>453</v>
      </c>
      <c r="Z21" s="28" t="s">
        <v>454</v>
      </c>
      <c r="AA21" s="29" t="s">
        <v>455</v>
      </c>
      <c r="AB21" s="30" t="s">
        <v>456</v>
      </c>
      <c r="AC21" t="str">
        <f>IF(ISBLANK(H21),VLOOKUP(P21,'US Supervisor Map'!A:D,4,FALSE),MID(H21,4,6))</f>
        <v>901934</v>
      </c>
      <c r="AD21" t="str">
        <f>IFERROR(VLOOKUP(T21,'Org Map'!A:E,4),"BU Description Not Mapped")</f>
        <v>0096</v>
      </c>
      <c r="AE21">
        <f>IFERROR(VLOOKUP(V21,'Org Map'!C:E,3),"Home Department Code Not Mapped")</f>
        <v>820</v>
      </c>
      <c r="AF21" t="str">
        <f>IFERROR(VLOOKUP(AA21,'Salary Map'!A:D,3,FALSE),"Salary Code Not Mapped")</f>
        <v>Default</v>
      </c>
      <c r="AG21" t="str">
        <f>IFERROR(VLOOKUP(AA21,'Salary Map'!A:D,4,FALSE),"Salary Code Not Mapped")</f>
        <v>General</v>
      </c>
      <c r="AH21" t="str">
        <f>IFERROR(VLOOKUP(Z21,'Country Map'!A:B,2,FALSE),"Legal Country Not Mapped")</f>
        <v>US</v>
      </c>
      <c r="AI21" t="str">
        <f>IFERROR(VLOOKUP(X21,'Language Map'!A:C,3,FALSE),IFERROR(VLOOKUP(T21,'Org Map'!A:F,6,FALSE),"ADP and BU Language Code Not Mapped"))&amp;AH21</f>
        <v>en_US</v>
      </c>
      <c r="AJ21" t="str">
        <f>IFERROR(VLOOKUP(T21,'Org Map'!A:G,7),"BU Currency Not Mapped")</f>
        <v>USD</v>
      </c>
      <c r="AK21" t="str">
        <f t="shared" si="1"/>
        <v/>
      </c>
      <c r="AL21" t="str">
        <f>IFERROR(VLOOKUP(O21,'Status Map'!A:B,2,FALSE),"Position Status Not Mapped")</f>
        <v>Y</v>
      </c>
      <c r="AM21" t="str">
        <f t="shared" si="6"/>
        <v/>
      </c>
      <c r="AO21" t="str">
        <f t="shared" si="2"/>
        <v>NathanBird</v>
      </c>
      <c r="AP21" t="str">
        <f t="shared" si="3"/>
        <v>Wilkins</v>
      </c>
      <c r="AQ21" t="str">
        <f t="shared" si="4"/>
        <v>901934</v>
      </c>
      <c r="AR21" t="b">
        <f t="shared" si="5"/>
        <v>1</v>
      </c>
    </row>
    <row r="22" spans="1:44">
      <c r="A22" s="3" t="s">
        <v>457</v>
      </c>
      <c r="B22" s="4" t="s">
        <v>458</v>
      </c>
      <c r="C22" s="5" t="s">
        <v>459</v>
      </c>
      <c r="D22" s="6" t="s">
        <v>460</v>
      </c>
      <c r="E22" s="7" t="s">
        <v>461</v>
      </c>
      <c r="F22" s="8" t="s">
        <v>462</v>
      </c>
      <c r="G22" s="9" t="s">
        <v>463</v>
      </c>
      <c r="H22" s="10" t="s">
        <v>464</v>
      </c>
      <c r="I22" s="31" t="s">
        <v>465</v>
      </c>
      <c r="J22" s="12" t="s">
        <v>466</v>
      </c>
      <c r="K22" s="13" t="s">
        <v>467</v>
      </c>
      <c r="L22" s="14">
        <v>45232</v>
      </c>
      <c r="M22" s="15"/>
      <c r="N22" s="16"/>
      <c r="O22" s="17" t="s">
        <v>468</v>
      </c>
      <c r="P22" s="18" t="s">
        <v>469</v>
      </c>
      <c r="Q22" s="19" t="s">
        <v>470</v>
      </c>
      <c r="R22" s="20" t="s">
        <v>471</v>
      </c>
      <c r="S22" s="21" t="s">
        <v>472</v>
      </c>
      <c r="T22" s="22" t="s">
        <v>473</v>
      </c>
      <c r="U22" s="23" t="s">
        <v>474</v>
      </c>
      <c r="V22" s="24" t="s">
        <v>475</v>
      </c>
      <c r="W22" s="25" t="s">
        <v>476</v>
      </c>
      <c r="X22" s="26" t="s">
        <v>477</v>
      </c>
      <c r="Y22" s="27" t="s">
        <v>478</v>
      </c>
      <c r="Z22" s="28" t="s">
        <v>479</v>
      </c>
      <c r="AA22" s="29" t="s">
        <v>480</v>
      </c>
      <c r="AB22" s="30" t="s">
        <v>481</v>
      </c>
      <c r="AC22" t="str">
        <f>IF(ISBLANK(H22),VLOOKUP(P22,'US Supervisor Map'!A:D,4,FALSE),MID(H22,4,6))</f>
        <v>211062</v>
      </c>
      <c r="AD22" t="str">
        <f>IFERROR(VLOOKUP(T22,'Org Map'!A:E,4),"BU Description Not Mapped")</f>
        <v>0096</v>
      </c>
      <c r="AE22">
        <f>IFERROR(VLOOKUP(V22,'Org Map'!C:E,3),"Home Department Code Not Mapped")</f>
        <v>200</v>
      </c>
      <c r="AF22" t="str">
        <f>IFERROR(VLOOKUP(AA22,'Salary Map'!A:D,3,FALSE),"Salary Code Not Mapped")</f>
        <v>Default</v>
      </c>
      <c r="AG22" t="str">
        <f>IFERROR(VLOOKUP(AA22,'Salary Map'!A:D,4,FALSE),"Salary Code Not Mapped")</f>
        <v>General</v>
      </c>
      <c r="AH22" t="str">
        <f>IFERROR(VLOOKUP(Z22,'Country Map'!A:B,2,FALSE),"Legal Country Not Mapped")</f>
        <v>US</v>
      </c>
      <c r="AI22" t="str">
        <f>IFERROR(VLOOKUP(X22,'Language Map'!A:C,3,FALSE),IFERROR(VLOOKUP(T22,'Org Map'!A:F,6,FALSE),"ADP and BU Language Code Not Mapped"))&amp;AH22</f>
        <v>en_US</v>
      </c>
      <c r="AJ22" t="str">
        <f>IFERROR(VLOOKUP(T22,'Org Map'!A:G,7),"BU Currency Not Mapped")</f>
        <v>USD</v>
      </c>
      <c r="AK22" t="str">
        <f t="shared" si="1"/>
        <v/>
      </c>
      <c r="AL22" t="str">
        <f>IFERROR(VLOOKUP(O22,'Status Map'!A:B,2,FALSE),"Position Status Not Mapped")</f>
        <v>Y</v>
      </c>
      <c r="AM22" t="str">
        <f t="shared" si="6"/>
        <v/>
      </c>
      <c r="AO22" t="str">
        <f t="shared" si="2"/>
        <v>JamesBiss</v>
      </c>
      <c r="AP22" t="str">
        <f t="shared" si="3"/>
        <v>Steen</v>
      </c>
      <c r="AQ22" t="str">
        <f t="shared" si="4"/>
        <v>211062</v>
      </c>
      <c r="AR22" t="b">
        <f t="shared" si="5"/>
        <v>1</v>
      </c>
    </row>
    <row r="23" spans="1:44">
      <c r="A23" s="3" t="s">
        <v>482</v>
      </c>
      <c r="B23" s="4" t="s">
        <v>483</v>
      </c>
      <c r="C23" s="5" t="s">
        <v>484</v>
      </c>
      <c r="D23" s="6" t="s">
        <v>485</v>
      </c>
      <c r="E23" s="7" t="s">
        <v>486</v>
      </c>
      <c r="F23" s="8" t="s">
        <v>487</v>
      </c>
      <c r="G23" s="9" t="s">
        <v>488</v>
      </c>
      <c r="H23" s="10" t="s">
        <v>489</v>
      </c>
      <c r="I23" s="11" t="s">
        <v>490</v>
      </c>
      <c r="J23" s="12" t="s">
        <v>491</v>
      </c>
      <c r="K23" s="13" t="s">
        <v>492</v>
      </c>
      <c r="L23" s="14">
        <v>45502</v>
      </c>
      <c r="M23" s="15"/>
      <c r="N23" s="16"/>
      <c r="O23" s="17" t="s">
        <v>493</v>
      </c>
      <c r="P23" s="18" t="s">
        <v>494</v>
      </c>
      <c r="Q23" s="19" t="s">
        <v>495</v>
      </c>
      <c r="R23" s="20" t="s">
        <v>496</v>
      </c>
      <c r="S23" s="21" t="s">
        <v>497</v>
      </c>
      <c r="T23" s="22" t="s">
        <v>498</v>
      </c>
      <c r="U23" s="23" t="s">
        <v>499</v>
      </c>
      <c r="V23" s="24" t="s">
        <v>500</v>
      </c>
      <c r="W23" s="25" t="s">
        <v>501</v>
      </c>
      <c r="X23" s="26" t="s">
        <v>502</v>
      </c>
      <c r="Y23" s="27" t="s">
        <v>503</v>
      </c>
      <c r="Z23" s="28" t="s">
        <v>504</v>
      </c>
      <c r="AA23" s="29" t="s">
        <v>505</v>
      </c>
      <c r="AB23" s="30" t="s">
        <v>506</v>
      </c>
      <c r="AC23" t="str">
        <f>IF(ISBLANK(H23),VLOOKUP(P23,'US Supervisor Map'!A:D,4,FALSE),MID(H23,4,6))</f>
        <v>211736</v>
      </c>
      <c r="AD23" t="str">
        <f>IFERROR(VLOOKUP(T23,'Org Map'!A:E,4),"BU Description Not Mapped")</f>
        <v>0088</v>
      </c>
      <c r="AE23">
        <f>IFERROR(VLOOKUP(V23,'Org Map'!C:E,3),"Home Department Code Not Mapped")</f>
        <v>5200</v>
      </c>
      <c r="AF23" t="str">
        <f>IFERROR(VLOOKUP(AA23,'Salary Map'!A:D,3,FALSE),"Salary Code Not Mapped")</f>
        <v>Default</v>
      </c>
      <c r="AG23" t="str">
        <f>IFERROR(VLOOKUP(AA23,'Salary Map'!A:D,4,FALSE),"Salary Code Not Mapped")</f>
        <v>General</v>
      </c>
      <c r="AH23" t="str">
        <f>IFERROR(VLOOKUP(Z23,'Country Map'!A:B,2,FALSE),"Legal Country Not Mapped")</f>
        <v>US</v>
      </c>
      <c r="AI23" t="str">
        <f>IFERROR(VLOOKUP(X23,'Language Map'!A:C,3,FALSE),IFERROR(VLOOKUP(T23,'Org Map'!A:F,6,FALSE),"ADP and BU Language Code Not Mapped"))&amp;AH23</f>
        <v>en_US</v>
      </c>
      <c r="AJ23" t="str">
        <f>IFERROR(VLOOKUP(T23,'Org Map'!A:G,7),"BU Currency Not Mapped")</f>
        <v>USD</v>
      </c>
      <c r="AK23" t="str">
        <f t="shared" si="1"/>
        <v/>
      </c>
      <c r="AL23" t="str">
        <f>IFERROR(VLOOKUP(O23,'Status Map'!A:B,2,FALSE),"Position Status Not Mapped")</f>
        <v>Y</v>
      </c>
      <c r="AM23" t="str">
        <f t="shared" si="6"/>
        <v/>
      </c>
      <c r="AO23" t="str">
        <f t="shared" si="2"/>
        <v>BrendaBixler</v>
      </c>
      <c r="AP23" t="str">
        <f t="shared" si="3"/>
        <v>LaPlante</v>
      </c>
      <c r="AQ23" t="str">
        <f t="shared" si="4"/>
        <v>211736</v>
      </c>
      <c r="AR23" t="b">
        <f t="shared" si="5"/>
        <v>1</v>
      </c>
    </row>
    <row r="24" spans="1:44">
      <c r="A24" s="3" t="s">
        <v>507</v>
      </c>
      <c r="B24" s="4" t="s">
        <v>508</v>
      </c>
      <c r="C24" s="5" t="s">
        <v>509</v>
      </c>
      <c r="D24" s="6" t="s">
        <v>510</v>
      </c>
      <c r="E24" s="7" t="s">
        <v>511</v>
      </c>
      <c r="F24" s="8" t="s">
        <v>512</v>
      </c>
      <c r="G24" s="9" t="s">
        <v>513</v>
      </c>
      <c r="H24" s="10" t="s">
        <v>514</v>
      </c>
      <c r="I24" s="31" t="s">
        <v>515</v>
      </c>
      <c r="J24" s="12" t="s">
        <v>516</v>
      </c>
      <c r="K24" s="13" t="s">
        <v>517</v>
      </c>
      <c r="L24" s="14">
        <v>46190</v>
      </c>
      <c r="M24" s="15"/>
      <c r="N24" s="16"/>
      <c r="O24" s="17" t="s">
        <v>518</v>
      </c>
      <c r="P24" s="18" t="s">
        <v>519</v>
      </c>
      <c r="Q24" s="19" t="s">
        <v>520</v>
      </c>
      <c r="R24" s="20" t="s">
        <v>521</v>
      </c>
      <c r="S24" s="21" t="s">
        <v>522</v>
      </c>
      <c r="T24" s="22" t="s">
        <v>523</v>
      </c>
      <c r="U24" s="23" t="s">
        <v>524</v>
      </c>
      <c r="V24" s="24" t="s">
        <v>525</v>
      </c>
      <c r="W24" s="25" t="s">
        <v>526</v>
      </c>
      <c r="X24" s="26" t="s">
        <v>527</v>
      </c>
      <c r="Y24" s="27" t="s">
        <v>528</v>
      </c>
      <c r="Z24" s="28" t="s">
        <v>529</v>
      </c>
      <c r="AA24" s="29" t="s">
        <v>530</v>
      </c>
      <c r="AB24" s="30" t="s">
        <v>531</v>
      </c>
      <c r="AC24" t="str">
        <f>IF(ISBLANK(H24),VLOOKUP(P24,'US Supervisor Map'!A:D,4,FALSE),MID(H24,4,6))</f>
        <v>211756</v>
      </c>
      <c r="AD24" t="str">
        <f>IFERROR(VLOOKUP(T24,'Org Map'!A:E,4),"BU Description Not Mapped")</f>
        <v>0088</v>
      </c>
      <c r="AE24">
        <f>IFERROR(VLOOKUP(V24,'Org Map'!C:E,3),"Home Department Code Not Mapped")</f>
        <v>5100</v>
      </c>
      <c r="AF24" t="str">
        <f>IFERROR(VLOOKUP(AA24,'Salary Map'!A:D,3,FALSE),"Salary Code Not Mapped")</f>
        <v>Default</v>
      </c>
      <c r="AG24" t="str">
        <f>IFERROR(VLOOKUP(AA24,'Salary Map'!A:D,4,FALSE),"Salary Code Not Mapped")</f>
        <v>General</v>
      </c>
      <c r="AH24" t="str">
        <f>IFERROR(VLOOKUP(Z24,'Country Map'!A:B,2,FALSE),"Legal Country Not Mapped")</f>
        <v>US</v>
      </c>
      <c r="AI24" t="str">
        <f>IFERROR(VLOOKUP(X24,'Language Map'!A:C,3,FALSE),IFERROR(VLOOKUP(T24,'Org Map'!A:F,6,FALSE),"ADP and BU Language Code Not Mapped"))&amp;AH24</f>
        <v>en_US</v>
      </c>
      <c r="AJ24" t="str">
        <f>IFERROR(VLOOKUP(T24,'Org Map'!A:G,7),"BU Currency Not Mapped")</f>
        <v>USD</v>
      </c>
      <c r="AK24" t="str">
        <f t="shared" si="1"/>
        <v/>
      </c>
      <c r="AL24" t="str">
        <f>IFERROR(VLOOKUP(O24,'Status Map'!A:B,2,FALSE),"Position Status Not Mapped")</f>
        <v>Y</v>
      </c>
      <c r="AM24" t="str">
        <f t="shared" si="6"/>
        <v/>
      </c>
      <c r="AO24" t="str">
        <f t="shared" si="2"/>
        <v>RobertBordner</v>
      </c>
      <c r="AP24" t="str">
        <f t="shared" si="3"/>
        <v>Burchell</v>
      </c>
      <c r="AQ24" t="str">
        <f t="shared" si="4"/>
        <v>211756</v>
      </c>
      <c r="AR24" t="b">
        <f t="shared" si="5"/>
        <v>1</v>
      </c>
    </row>
    <row r="25" spans="1:44">
      <c r="A25" s="3" t="s">
        <v>532</v>
      </c>
      <c r="B25" s="4" t="s">
        <v>533</v>
      </c>
      <c r="C25" s="5" t="s">
        <v>534</v>
      </c>
      <c r="D25" s="6" t="s">
        <v>535</v>
      </c>
      <c r="E25" s="7" t="s">
        <v>536</v>
      </c>
      <c r="F25" s="8" t="s">
        <v>537</v>
      </c>
      <c r="G25" s="9" t="s">
        <v>538</v>
      </c>
      <c r="H25" s="10" t="s">
        <v>539</v>
      </c>
      <c r="I25" s="31" t="s">
        <v>540</v>
      </c>
      <c r="J25" s="12" t="s">
        <v>541</v>
      </c>
      <c r="K25" s="13" t="s">
        <v>542</v>
      </c>
      <c r="L25" s="14">
        <v>46153</v>
      </c>
      <c r="M25" s="15">
        <v>46241</v>
      </c>
      <c r="N25" s="16"/>
      <c r="O25" s="17" t="s">
        <v>543</v>
      </c>
      <c r="P25" s="18" t="s">
        <v>544</v>
      </c>
      <c r="Q25" s="19" t="s">
        <v>545</v>
      </c>
      <c r="R25" s="20" t="s">
        <v>546</v>
      </c>
      <c r="S25" s="21" t="s">
        <v>547</v>
      </c>
      <c r="T25" s="22" t="s">
        <v>548</v>
      </c>
      <c r="U25" s="23" t="s">
        <v>549</v>
      </c>
      <c r="V25" s="24" t="s">
        <v>550</v>
      </c>
      <c r="W25" s="25" t="s">
        <v>551</v>
      </c>
      <c r="X25" s="26" t="s">
        <v>552</v>
      </c>
      <c r="Y25" s="27" t="s">
        <v>553</v>
      </c>
      <c r="Z25" s="28" t="s">
        <v>554</v>
      </c>
      <c r="AA25" s="29" t="s">
        <v>555</v>
      </c>
      <c r="AB25" s="30" t="s">
        <v>556</v>
      </c>
      <c r="AC25" t="str">
        <f>IF(ISBLANK(H25),VLOOKUP(P25,'US Supervisor Map'!A:D,4,FALSE),MID(H25,4,6))</f>
        <v>211489</v>
      </c>
      <c r="AD25" t="str">
        <f>IFERROR(VLOOKUP(T25,'Org Map'!A:E,4),"BU Description Not Mapped")</f>
        <v>0088</v>
      </c>
      <c r="AE25">
        <f>IFERROR(VLOOKUP(V25,'Org Map'!C:E,3),"Home Department Code Not Mapped")</f>
        <v>8300</v>
      </c>
      <c r="AF25" t="str">
        <f>IFERROR(VLOOKUP(AA25,'Salary Map'!A:D,3,FALSE),"Salary Code Not Mapped")</f>
        <v>Default</v>
      </c>
      <c r="AG25" t="str">
        <f>IFERROR(VLOOKUP(AA25,'Salary Map'!A:D,4,FALSE),"Salary Code Not Mapped")</f>
        <v>General</v>
      </c>
      <c r="AH25" t="str">
        <f>IFERROR(VLOOKUP(Z25,'Country Map'!A:B,2,FALSE),"Legal Country Not Mapped")</f>
        <v>US</v>
      </c>
      <c r="AI25" t="str">
        <f>IFERROR(VLOOKUP(X25,'Language Map'!A:C,3,FALSE),IFERROR(VLOOKUP(T25,'Org Map'!A:F,6,FALSE),"ADP and BU Language Code Not Mapped"))&amp;AH25</f>
        <v>en_US</v>
      </c>
      <c r="AJ25" t="str">
        <f>IFERROR(VLOOKUP(T25,'Org Map'!A:G,7),"BU Currency Not Mapped")</f>
        <v>USD</v>
      </c>
      <c r="AK25" t="str">
        <f t="shared" si="1"/>
        <v/>
      </c>
      <c r="AL25" t="str">
        <f>IFERROR(VLOOKUP(O25,'Status Map'!A:B,2,FALSE),"Position Status Not Mapped")</f>
        <v>N</v>
      </c>
      <c r="AM25" t="str">
        <f t="shared" si="6"/>
        <v>20260807</v>
      </c>
      <c r="AN25" t="str">
        <f>IF(M25&gt;AN20,"Fix and Include Record","Exclude record termination over 45 days ago")</f>
        <v>Fix and Include Record</v>
      </c>
      <c r="AO25" t="str">
        <f t="shared" si="2"/>
        <v>JackOBradford</v>
      </c>
      <c r="AP25" t="str">
        <f t="shared" si="3"/>
        <v>Halpin</v>
      </c>
      <c r="AQ25" t="str">
        <f t="shared" si="4"/>
        <v>211489</v>
      </c>
      <c r="AR25" t="b">
        <f t="shared" si="5"/>
        <v>1</v>
      </c>
    </row>
    <row r="26" spans="1:44">
      <c r="A26" s="3" t="s">
        <v>557</v>
      </c>
      <c r="B26" s="4" t="s">
        <v>558</v>
      </c>
      <c r="C26" s="5" t="s">
        <v>559</v>
      </c>
      <c r="D26" s="6" t="s">
        <v>560</v>
      </c>
      <c r="E26" s="7" t="s">
        <v>561</v>
      </c>
      <c r="F26" s="8" t="s">
        <v>562</v>
      </c>
      <c r="G26" s="9" t="s">
        <v>563</v>
      </c>
      <c r="H26" s="10" t="s">
        <v>564</v>
      </c>
      <c r="I26" s="31" t="s">
        <v>565</v>
      </c>
      <c r="J26" s="12" t="s">
        <v>566</v>
      </c>
      <c r="K26" s="13" t="s">
        <v>567</v>
      </c>
      <c r="L26" s="14">
        <v>46230</v>
      </c>
      <c r="M26" s="15"/>
      <c r="N26" s="16"/>
      <c r="O26" s="17" t="s">
        <v>568</v>
      </c>
      <c r="P26" s="18" t="s">
        <v>569</v>
      </c>
      <c r="Q26" s="19" t="s">
        <v>570</v>
      </c>
      <c r="R26" s="20" t="s">
        <v>571</v>
      </c>
      <c r="S26" s="21" t="s">
        <v>572</v>
      </c>
      <c r="T26" s="22" t="s">
        <v>573</v>
      </c>
      <c r="U26" s="23" t="s">
        <v>574</v>
      </c>
      <c r="V26" s="24" t="s">
        <v>575</v>
      </c>
      <c r="W26" s="25" t="s">
        <v>576</v>
      </c>
      <c r="X26" s="26" t="s">
        <v>577</v>
      </c>
      <c r="Y26" s="27" t="s">
        <v>578</v>
      </c>
      <c r="Z26" s="28" t="s">
        <v>579</v>
      </c>
      <c r="AA26" s="29" t="s">
        <v>580</v>
      </c>
      <c r="AB26" s="30" t="s">
        <v>581</v>
      </c>
      <c r="AC26" t="str">
        <f>IF(ISBLANK(H26),VLOOKUP(P26,'US Supervisor Map'!A:D,4,FALSE),MID(H26,4,6))</f>
        <v>211062</v>
      </c>
      <c r="AD26" s="77" t="str">
        <f>IFERROR(VLOOKUP(T26,'Org Map'!A:E,4),"BU Description Not Mapped")</f>
        <v>BU Description Not Mapped</v>
      </c>
      <c r="AE26" s="77" t="str">
        <f>IFERROR(VLOOKUP(V26,'Org Map'!C:E,3),"Home Department Code Not Mapped")</f>
        <v>Home Department Code Not Mapped</v>
      </c>
      <c r="AF26" t="str">
        <f>IFERROR(VLOOKUP(AA26,'Salary Map'!A:D,3,FALSE),"Salary Code Not Mapped")</f>
        <v>Default</v>
      </c>
      <c r="AG26" t="str">
        <f>IFERROR(VLOOKUP(AA26,'Salary Map'!A:D,4,FALSE),"Salary Code Not Mapped")</f>
        <v>General</v>
      </c>
      <c r="AH26" s="77" t="str">
        <f>IFERROR(VLOOKUP(Z26,'Country Map'!A:B,2,FALSE),"Legal Country Not Mapped")</f>
        <v>Legal Country Not Mapped</v>
      </c>
      <c r="AI26" s="77" t="str">
        <f>IFERROR(VLOOKUP(X26,'Language Map'!A:C,3,FALSE),IFERROR(VLOOKUP(T26,'Org Map'!A:F,6,FALSE),"ADP and BU Language Code Not Mapped"))&amp;AH26</f>
        <v>ADP and BU Language Code Not MappedLegal Country Not Mapped</v>
      </c>
      <c r="AJ26" s="77" t="str">
        <f>IFERROR(VLOOKUP(T26,'Org Map'!A:G,7),"BU Currency Not Mapped")</f>
        <v>BU Currency Not Mapped</v>
      </c>
      <c r="AK26" t="str">
        <f t="shared" si="1"/>
        <v/>
      </c>
      <c r="AL26" t="str">
        <f>IFERROR(VLOOKUP(O26,'Status Map'!A:B,2,FALSE),"Position Status Not Mapped")</f>
        <v>Y</v>
      </c>
      <c r="AM26" t="str">
        <f t="shared" si="6"/>
        <v/>
      </c>
      <c r="AO26" t="str">
        <f t="shared" si="2"/>
        <v>JohnBrewer</v>
      </c>
      <c r="AP26" t="str">
        <f t="shared" si="3"/>
        <v>Steen</v>
      </c>
      <c r="AQ26" t="str">
        <f t="shared" si="4"/>
        <v>211062</v>
      </c>
      <c r="AR26" t="b">
        <f t="shared" si="5"/>
        <v>1</v>
      </c>
    </row>
    <row r="27" spans="1:44">
      <c r="A27" s="3" t="s">
        <v>582</v>
      </c>
      <c r="B27" s="4" t="s">
        <v>583</v>
      </c>
      <c r="C27" s="5" t="s">
        <v>584</v>
      </c>
      <c r="D27" s="6" t="s">
        <v>585</v>
      </c>
      <c r="E27" s="7" t="s">
        <v>586</v>
      </c>
      <c r="F27" s="8" t="s">
        <v>587</v>
      </c>
      <c r="G27" s="9" t="s">
        <v>588</v>
      </c>
      <c r="H27" s="10" t="s">
        <v>589</v>
      </c>
      <c r="I27" s="11" t="s">
        <v>590</v>
      </c>
      <c r="J27" s="12" t="s">
        <v>591</v>
      </c>
      <c r="K27" s="13" t="s">
        <v>592</v>
      </c>
      <c r="L27" s="14">
        <v>34736</v>
      </c>
      <c r="M27" s="15"/>
      <c r="N27" s="16"/>
      <c r="O27" s="17" t="s">
        <v>593</v>
      </c>
      <c r="P27" s="18" t="s">
        <v>594</v>
      </c>
      <c r="Q27" s="19" t="s">
        <v>595</v>
      </c>
      <c r="R27" s="20" t="s">
        <v>596</v>
      </c>
      <c r="S27" s="21" t="s">
        <v>597</v>
      </c>
      <c r="T27" s="22" t="s">
        <v>598</v>
      </c>
      <c r="U27" s="23" t="s">
        <v>599</v>
      </c>
      <c r="V27" s="24" t="s">
        <v>600</v>
      </c>
      <c r="W27" s="25" t="s">
        <v>601</v>
      </c>
      <c r="X27" s="26" t="s">
        <v>602</v>
      </c>
      <c r="Y27" s="27" t="s">
        <v>603</v>
      </c>
      <c r="Z27" s="28" t="s">
        <v>604</v>
      </c>
      <c r="AA27" s="29" t="s">
        <v>605</v>
      </c>
      <c r="AB27" s="30" t="s">
        <v>606</v>
      </c>
      <c r="AC27" t="str">
        <f>IF(ISBLANK(H27),VLOOKUP(P27,'US Supervisor Map'!A:D,4,FALSE),MID(H27,4,6))</f>
        <v>213037</v>
      </c>
      <c r="AD27" t="str">
        <f>IFERROR(VLOOKUP(T27,'Org Map'!A:E,4),"BU Description Not Mapped")</f>
        <v>0096</v>
      </c>
      <c r="AE27">
        <f>IFERROR(VLOOKUP(V27,'Org Map'!C:E,3),"Home Department Code Not Mapped")</f>
        <v>718</v>
      </c>
      <c r="AF27" t="str">
        <f>IFERROR(VLOOKUP(AA27,'Salary Map'!A:D,3,FALSE),"Salary Code Not Mapped")</f>
        <v>Default</v>
      </c>
      <c r="AG27" t="str">
        <f>IFERROR(VLOOKUP(AA27,'Salary Map'!A:D,4,FALSE),"Salary Code Not Mapped")</f>
        <v>General</v>
      </c>
      <c r="AH27" t="str">
        <f>IFERROR(VLOOKUP(Z27,'Country Map'!A:B,2,FALSE),"Legal Country Not Mapped")</f>
        <v>US</v>
      </c>
      <c r="AI27" t="str">
        <f>IFERROR(VLOOKUP(X27,'Language Map'!A:C,3,FALSE),IFERROR(VLOOKUP(T27,'Org Map'!A:F,6,FALSE),"ADP and BU Language Code Not Mapped"))&amp;AH27</f>
        <v>en_US</v>
      </c>
      <c r="AJ27" t="str">
        <f>IFERROR(VLOOKUP(T27,'Org Map'!A:G,7),"BU Currency Not Mapped")</f>
        <v>USD</v>
      </c>
      <c r="AK27" t="str">
        <f t="shared" si="1"/>
        <v/>
      </c>
      <c r="AL27" t="str">
        <f>IFERROR(VLOOKUP(O27,'Status Map'!A:B,2,FALSE),"Position Status Not Mapped")</f>
        <v>Y</v>
      </c>
      <c r="AM27" t="str">
        <f t="shared" si="6"/>
        <v/>
      </c>
      <c r="AO27" t="str">
        <f t="shared" si="2"/>
        <v>JamesBrower</v>
      </c>
      <c r="AP27" t="str">
        <f t="shared" si="3"/>
        <v>Bate</v>
      </c>
      <c r="AQ27" t="str">
        <f t="shared" si="4"/>
        <v>213037</v>
      </c>
      <c r="AR27" t="b">
        <f t="shared" si="5"/>
        <v>1</v>
      </c>
    </row>
    <row r="28" spans="1:44">
      <c r="A28" s="3" t="s">
        <v>607</v>
      </c>
      <c r="B28" s="4" t="s">
        <v>608</v>
      </c>
      <c r="C28" s="5" t="s">
        <v>609</v>
      </c>
      <c r="D28" s="6" t="s">
        <v>610</v>
      </c>
      <c r="E28" s="7" t="s">
        <v>611</v>
      </c>
      <c r="F28" s="8" t="s">
        <v>612</v>
      </c>
      <c r="G28" s="9" t="s">
        <v>613</v>
      </c>
      <c r="H28" s="36" t="s">
        <v>614</v>
      </c>
      <c r="I28" s="31" t="s">
        <v>615</v>
      </c>
      <c r="J28" s="12" t="s">
        <v>616</v>
      </c>
      <c r="K28" s="13" t="s">
        <v>617</v>
      </c>
      <c r="L28" s="14">
        <v>45887</v>
      </c>
      <c r="M28" s="15">
        <v>46031</v>
      </c>
      <c r="N28" s="16"/>
      <c r="O28" s="17" t="s">
        <v>618</v>
      </c>
      <c r="P28" s="18" t="s">
        <v>619</v>
      </c>
      <c r="Q28" s="19" t="s">
        <v>620</v>
      </c>
      <c r="R28" s="20" t="s">
        <v>621</v>
      </c>
      <c r="S28" s="21" t="s">
        <v>622</v>
      </c>
      <c r="T28" s="22" t="s">
        <v>623</v>
      </c>
      <c r="U28" s="23" t="s">
        <v>624</v>
      </c>
      <c r="V28" s="24" t="s">
        <v>625</v>
      </c>
      <c r="W28" s="25" t="s">
        <v>626</v>
      </c>
      <c r="X28" s="26" t="s">
        <v>627</v>
      </c>
      <c r="Y28" s="27" t="s">
        <v>628</v>
      </c>
      <c r="Z28" s="28" t="s">
        <v>629</v>
      </c>
      <c r="AA28" s="29" t="s">
        <v>630</v>
      </c>
      <c r="AB28" s="30" t="s">
        <v>631</v>
      </c>
      <c r="AC28" s="77" t="str">
        <f>IF(ISBLANK(H28),VLOOKUP(P28,'US Supervisor Map'!A:D,4,FALSE),MID(H28,4,6))</f>
        <v/>
      </c>
      <c r="AD28" t="str">
        <f>IFERROR(VLOOKUP(T28,'Org Map'!A:E,4),"BU Description Not Mapped")</f>
        <v>0096</v>
      </c>
      <c r="AE28">
        <f>IFERROR(VLOOKUP(V28,'Org Map'!C:E,3),"Home Department Code Not Mapped")</f>
        <v>200</v>
      </c>
      <c r="AF28" t="str">
        <f>IFERROR(VLOOKUP(AA28,'Salary Map'!A:D,3,FALSE),"Salary Code Not Mapped")</f>
        <v>Default</v>
      </c>
      <c r="AG28" t="str">
        <f>IFERROR(VLOOKUP(AA28,'Salary Map'!A:D,4,FALSE),"Salary Code Not Mapped")</f>
        <v>General</v>
      </c>
      <c r="AH28" t="str">
        <f>IFERROR(VLOOKUP(Z28,'Country Map'!A:B,2,FALSE),"Legal Country Not Mapped")</f>
        <v>US</v>
      </c>
      <c r="AI28" t="str">
        <f>IFERROR(VLOOKUP(X28,'Language Map'!A:C,3,FALSE),IFERROR(VLOOKUP(T28,'Org Map'!A:F,6,FALSE),"ADP and BU Language Code Not Mapped"))&amp;AH28</f>
        <v>en_US</v>
      </c>
      <c r="AJ28" t="str">
        <f>IFERROR(VLOOKUP(T28,'Org Map'!A:G,7),"BU Currency Not Mapped")</f>
        <v>USD</v>
      </c>
      <c r="AK28" t="str">
        <f t="shared" si="1"/>
        <v/>
      </c>
      <c r="AL28" t="str">
        <f>IFERROR(VLOOKUP(O28,'Status Map'!A:B,2,FALSE),"Position Status Not Mapped")</f>
        <v>N</v>
      </c>
      <c r="AM28" t="str">
        <f t="shared" si="6"/>
        <v>20260109</v>
      </c>
      <c r="AN28" t="str">
        <f>IF(M28&gt;AN23,"Fix and Include Record","Exclude record termination over 45 days ago")</f>
        <v>Fix and Include Record</v>
      </c>
      <c r="AO28" t="str">
        <f t="shared" si="2"/>
        <v>RTBrown</v>
      </c>
      <c r="AP28" t="e">
        <f t="shared" si="3"/>
        <v>#VALUE!</v>
      </c>
      <c r="AQ28" t="str">
        <f t="shared" si="4"/>
        <v>No Reports to Name</v>
      </c>
      <c r="AR28" t="b">
        <f t="shared" si="5"/>
        <v>0</v>
      </c>
    </row>
    <row r="29" spans="1:44">
      <c r="A29" s="3" t="s">
        <v>632</v>
      </c>
      <c r="B29" s="4" t="s">
        <v>633</v>
      </c>
      <c r="C29" s="5" t="s">
        <v>634</v>
      </c>
      <c r="D29" s="6" t="s">
        <v>635</v>
      </c>
      <c r="E29" s="7" t="s">
        <v>636</v>
      </c>
      <c r="F29" s="8" t="s">
        <v>637</v>
      </c>
      <c r="G29" s="9" t="s">
        <v>638</v>
      </c>
      <c r="H29" s="10" t="s">
        <v>639</v>
      </c>
      <c r="I29" s="11" t="s">
        <v>640</v>
      </c>
      <c r="J29" s="12" t="s">
        <v>641</v>
      </c>
      <c r="K29" s="13" t="s">
        <v>642</v>
      </c>
      <c r="L29" s="14">
        <v>45033</v>
      </c>
      <c r="M29" s="15"/>
      <c r="N29" s="16"/>
      <c r="O29" s="17" t="s">
        <v>643</v>
      </c>
      <c r="P29" s="18" t="s">
        <v>644</v>
      </c>
      <c r="Q29" s="19" t="s">
        <v>645</v>
      </c>
      <c r="R29" s="20" t="s">
        <v>646</v>
      </c>
      <c r="S29" s="21" t="s">
        <v>647</v>
      </c>
      <c r="T29" s="22" t="s">
        <v>648</v>
      </c>
      <c r="U29" s="23" t="s">
        <v>649</v>
      </c>
      <c r="V29" s="24" t="s">
        <v>650</v>
      </c>
      <c r="W29" s="25" t="s">
        <v>651</v>
      </c>
      <c r="X29" s="26" t="s">
        <v>652</v>
      </c>
      <c r="Y29" s="27" t="s">
        <v>653</v>
      </c>
      <c r="Z29" s="28" t="s">
        <v>654</v>
      </c>
      <c r="AA29" s="29" t="s">
        <v>655</v>
      </c>
      <c r="AB29" s="30" t="s">
        <v>656</v>
      </c>
      <c r="AC29" t="str">
        <f>IF(ISBLANK(H29),VLOOKUP(P29,'US Supervisor Map'!A:D,4,FALSE),MID(H29,4,6))</f>
        <v>211601</v>
      </c>
      <c r="AD29" t="str">
        <f>IFERROR(VLOOKUP(T29,'Org Map'!A:E,4),"BU Description Not Mapped")</f>
        <v>0088</v>
      </c>
      <c r="AE29">
        <f>IFERROR(VLOOKUP(V29,'Org Map'!C:E,3),"Home Department Code Not Mapped")</f>
        <v>8300</v>
      </c>
      <c r="AF29" t="str">
        <f>IFERROR(VLOOKUP(AA29,'Salary Map'!A:D,3,FALSE),"Salary Code Not Mapped")</f>
        <v>Default</v>
      </c>
      <c r="AG29" t="str">
        <f>IFERROR(VLOOKUP(AA29,'Salary Map'!A:D,4,FALSE),"Salary Code Not Mapped")</f>
        <v>General</v>
      </c>
      <c r="AH29" t="str">
        <f>IFERROR(VLOOKUP(Z29,'Country Map'!A:B,2,FALSE),"Legal Country Not Mapped")</f>
        <v>US</v>
      </c>
      <c r="AI29" t="str">
        <f>IFERROR(VLOOKUP(X29,'Language Map'!A:C,3,FALSE),IFERROR(VLOOKUP(T29,'Org Map'!A:F,6,FALSE),"ADP and BU Language Code Not Mapped"))&amp;AH29</f>
        <v>en_US</v>
      </c>
      <c r="AJ29" t="str">
        <f>IFERROR(VLOOKUP(T29,'Org Map'!A:G,7),"BU Currency Not Mapped")</f>
        <v>USD</v>
      </c>
      <c r="AK29" t="str">
        <f t="shared" si="1"/>
        <v/>
      </c>
      <c r="AL29" t="str">
        <f>IFERROR(VLOOKUP(O29,'Status Map'!A:B,2,FALSE),"Position Status Not Mapped")</f>
        <v>Y</v>
      </c>
      <c r="AM29" t="str">
        <f t="shared" si="6"/>
        <v/>
      </c>
      <c r="AO29" t="str">
        <f t="shared" si="2"/>
        <v>TrevorBunch</v>
      </c>
      <c r="AP29" t="str">
        <f t="shared" si="3"/>
        <v>Valetta</v>
      </c>
      <c r="AQ29" t="str">
        <f t="shared" si="4"/>
        <v>211601</v>
      </c>
      <c r="AR29" t="b">
        <f t="shared" si="5"/>
        <v>1</v>
      </c>
    </row>
    <row r="30" spans="1:44">
      <c r="A30" s="3" t="s">
        <v>657</v>
      </c>
      <c r="B30" s="4" t="s">
        <v>658</v>
      </c>
      <c r="C30" s="5" t="s">
        <v>659</v>
      </c>
      <c r="D30" s="6" t="s">
        <v>660</v>
      </c>
      <c r="E30" s="7" t="s">
        <v>661</v>
      </c>
      <c r="F30" s="8" t="s">
        <v>662</v>
      </c>
      <c r="G30" s="9" t="s">
        <v>663</v>
      </c>
      <c r="H30" s="10" t="s">
        <v>664</v>
      </c>
      <c r="I30" s="11" t="s">
        <v>665</v>
      </c>
      <c r="J30" s="12" t="s">
        <v>666</v>
      </c>
      <c r="K30" s="13" t="s">
        <v>667</v>
      </c>
      <c r="L30" s="14">
        <v>45719</v>
      </c>
      <c r="M30" s="15"/>
      <c r="N30" s="16"/>
      <c r="O30" s="17" t="s">
        <v>668</v>
      </c>
      <c r="P30" s="18" t="s">
        <v>669</v>
      </c>
      <c r="Q30" s="19" t="s">
        <v>670</v>
      </c>
      <c r="R30" s="20" t="s">
        <v>671</v>
      </c>
      <c r="S30" s="21" t="s">
        <v>672</v>
      </c>
      <c r="T30" s="22" t="s">
        <v>673</v>
      </c>
      <c r="U30" s="23" t="s">
        <v>674</v>
      </c>
      <c r="V30" s="24" t="s">
        <v>675</v>
      </c>
      <c r="W30" s="25" t="s">
        <v>676</v>
      </c>
      <c r="X30" s="26" t="s">
        <v>677</v>
      </c>
      <c r="Y30" s="27" t="s">
        <v>678</v>
      </c>
      <c r="Z30" s="28" t="s">
        <v>679</v>
      </c>
      <c r="AA30" s="29" t="s">
        <v>680</v>
      </c>
      <c r="AB30" s="30" t="s">
        <v>681</v>
      </c>
      <c r="AC30" t="str">
        <f>IF(ISBLANK(H30),VLOOKUP(P30,'US Supervisor Map'!A:D,4,FALSE),MID(H30,4,6))</f>
        <v>211464</v>
      </c>
      <c r="AD30" t="str">
        <f>IFERROR(VLOOKUP(T30,'Org Map'!A:E,4),"BU Description Not Mapped")</f>
        <v>0088</v>
      </c>
      <c r="AE30">
        <f>IFERROR(VLOOKUP(V30,'Org Map'!C:E,3),"Home Department Code Not Mapped")</f>
        <v>5100</v>
      </c>
      <c r="AF30" t="str">
        <f>IFERROR(VLOOKUP(AA30,'Salary Map'!A:D,3,FALSE),"Salary Code Not Mapped")</f>
        <v>Default</v>
      </c>
      <c r="AG30" t="str">
        <f>IFERROR(VLOOKUP(AA30,'Salary Map'!A:D,4,FALSE),"Salary Code Not Mapped")</f>
        <v>General</v>
      </c>
      <c r="AH30" t="str">
        <f>IFERROR(VLOOKUP(Z30,'Country Map'!A:B,2,FALSE),"Legal Country Not Mapped")</f>
        <v>US</v>
      </c>
      <c r="AI30" t="str">
        <f>IFERROR(VLOOKUP(X30,'Language Map'!A:C,3,FALSE),IFERROR(VLOOKUP(T30,'Org Map'!A:F,6,FALSE),"ADP and BU Language Code Not Mapped"))&amp;AH30</f>
        <v>en_US</v>
      </c>
      <c r="AJ30" t="str">
        <f>IFERROR(VLOOKUP(T30,'Org Map'!A:G,7),"BU Currency Not Mapped")</f>
        <v>USD</v>
      </c>
      <c r="AK30" t="str">
        <f t="shared" si="1"/>
        <v/>
      </c>
      <c r="AL30" t="str">
        <f>IFERROR(VLOOKUP(O30,'Status Map'!A:B,2,FALSE),"Position Status Not Mapped")</f>
        <v>Y</v>
      </c>
      <c r="AM30" t="str">
        <f t="shared" si="6"/>
        <v/>
      </c>
      <c r="AO30" t="str">
        <f t="shared" si="2"/>
        <v>MathewABurchell</v>
      </c>
      <c r="AP30" t="str">
        <f t="shared" si="3"/>
        <v>Bailey</v>
      </c>
      <c r="AQ30" t="str">
        <f t="shared" si="4"/>
        <v>902688</v>
      </c>
      <c r="AR30" s="77" t="b">
        <f t="shared" si="5"/>
        <v>0</v>
      </c>
    </row>
    <row r="31" spans="1:44">
      <c r="A31" s="3" t="s">
        <v>682</v>
      </c>
      <c r="B31" s="4" t="s">
        <v>683</v>
      </c>
      <c r="C31" s="5" t="s">
        <v>684</v>
      </c>
      <c r="D31" s="6" t="s">
        <v>685</v>
      </c>
      <c r="E31" s="7" t="s">
        <v>686</v>
      </c>
      <c r="F31" s="8" t="s">
        <v>687</v>
      </c>
      <c r="G31" s="9" t="s">
        <v>688</v>
      </c>
      <c r="H31" s="10" t="s">
        <v>689</v>
      </c>
      <c r="I31" s="31" t="s">
        <v>690</v>
      </c>
      <c r="J31" s="12" t="s">
        <v>691</v>
      </c>
      <c r="K31" s="13" t="s">
        <v>692</v>
      </c>
      <c r="L31" s="14">
        <v>44529</v>
      </c>
      <c r="M31" s="15"/>
      <c r="N31" s="16"/>
      <c r="O31" s="17" t="s">
        <v>693</v>
      </c>
      <c r="P31" s="18" t="s">
        <v>694</v>
      </c>
      <c r="Q31" s="19" t="s">
        <v>695</v>
      </c>
      <c r="R31" s="20" t="s">
        <v>696</v>
      </c>
      <c r="S31" s="21" t="s">
        <v>697</v>
      </c>
      <c r="T31" s="22" t="s">
        <v>698</v>
      </c>
      <c r="U31" s="23" t="s">
        <v>699</v>
      </c>
      <c r="V31" s="24" t="s">
        <v>700</v>
      </c>
      <c r="W31" s="25" t="s">
        <v>701</v>
      </c>
      <c r="X31" s="26" t="s">
        <v>702</v>
      </c>
      <c r="Y31" s="27" t="s">
        <v>703</v>
      </c>
      <c r="Z31" s="28" t="s">
        <v>704</v>
      </c>
      <c r="AA31" s="29" t="s">
        <v>705</v>
      </c>
      <c r="AB31" s="30" t="s">
        <v>706</v>
      </c>
      <c r="AC31" t="str">
        <f>IF(ISBLANK(H31),VLOOKUP(P31,'US Supervisor Map'!A:D,4,FALSE),MID(H31,4,6))</f>
        <v>211062</v>
      </c>
      <c r="AD31" t="str">
        <f>IFERROR(VLOOKUP(T31,'Org Map'!A:E,4),"BU Description Not Mapped")</f>
        <v>0096</v>
      </c>
      <c r="AE31">
        <f>IFERROR(VLOOKUP(V31,'Org Map'!C:E,3),"Home Department Code Not Mapped")</f>
        <v>400</v>
      </c>
      <c r="AF31" t="str">
        <f>IFERROR(VLOOKUP(AA31,'Salary Map'!A:D,3,FALSE),"Salary Code Not Mapped")</f>
        <v>Default</v>
      </c>
      <c r="AG31" t="str">
        <f>IFERROR(VLOOKUP(AA31,'Salary Map'!A:D,4,FALSE),"Salary Code Not Mapped")</f>
        <v>General</v>
      </c>
      <c r="AH31" t="str">
        <f>IFERROR(VLOOKUP(Z31,'Country Map'!A:B,2,FALSE),"Legal Country Not Mapped")</f>
        <v>US</v>
      </c>
      <c r="AI31" t="str">
        <f>IFERROR(VLOOKUP(X31,'Language Map'!A:C,3,FALSE),IFERROR(VLOOKUP(T31,'Org Map'!A:F,6,FALSE),"ADP and BU Language Code Not Mapped"))&amp;AH31</f>
        <v>en_US</v>
      </c>
      <c r="AJ31" t="str">
        <f>IFERROR(VLOOKUP(T31,'Org Map'!A:G,7),"BU Currency Not Mapped")</f>
        <v>USD</v>
      </c>
      <c r="AK31" t="str">
        <f t="shared" si="1"/>
        <v/>
      </c>
      <c r="AL31" t="str">
        <f>IFERROR(VLOOKUP(O31,'Status Map'!A:B,2,FALSE),"Position Status Not Mapped")</f>
        <v>Y</v>
      </c>
      <c r="AM31" t="str">
        <f t="shared" si="6"/>
        <v/>
      </c>
      <c r="AO31" t="str">
        <f t="shared" si="2"/>
        <v>KennethDButler</v>
      </c>
      <c r="AP31" t="str">
        <f t="shared" si="3"/>
        <v>Steen</v>
      </c>
      <c r="AQ31" t="str">
        <f t="shared" si="4"/>
        <v>211062</v>
      </c>
      <c r="AR31" t="b">
        <f t="shared" si="5"/>
        <v>1</v>
      </c>
    </row>
    <row r="32" spans="1:44">
      <c r="A32" s="3" t="s">
        <v>707</v>
      </c>
      <c r="B32" s="4" t="s">
        <v>708</v>
      </c>
      <c r="C32" s="5" t="s">
        <v>709</v>
      </c>
      <c r="D32" s="6" t="s">
        <v>710</v>
      </c>
      <c r="E32" s="7" t="s">
        <v>711</v>
      </c>
      <c r="F32" s="8" t="s">
        <v>712</v>
      </c>
      <c r="G32" s="9" t="s">
        <v>713</v>
      </c>
      <c r="H32" s="10" t="s">
        <v>714</v>
      </c>
      <c r="I32" s="11" t="s">
        <v>715</v>
      </c>
      <c r="J32" s="12" t="s">
        <v>716</v>
      </c>
      <c r="K32" s="13" t="s">
        <v>717</v>
      </c>
      <c r="L32" s="14">
        <v>41386</v>
      </c>
      <c r="M32" s="15"/>
      <c r="N32" s="16"/>
      <c r="O32" s="17" t="s">
        <v>718</v>
      </c>
      <c r="P32" s="18" t="s">
        <v>719</v>
      </c>
      <c r="Q32" s="19" t="s">
        <v>720</v>
      </c>
      <c r="R32" s="20" t="s">
        <v>721</v>
      </c>
      <c r="S32" s="21" t="s">
        <v>722</v>
      </c>
      <c r="T32" s="22" t="s">
        <v>723</v>
      </c>
      <c r="U32" s="23" t="s">
        <v>724</v>
      </c>
      <c r="V32" s="24" t="s">
        <v>725</v>
      </c>
      <c r="W32" s="25" t="s">
        <v>726</v>
      </c>
      <c r="X32" s="26" t="s">
        <v>727</v>
      </c>
      <c r="Y32" s="27" t="s">
        <v>728</v>
      </c>
      <c r="Z32" s="28" t="s">
        <v>729</v>
      </c>
      <c r="AA32" s="29" t="s">
        <v>730</v>
      </c>
      <c r="AB32" s="30" t="s">
        <v>731</v>
      </c>
      <c r="AC32" t="str">
        <f>IF(ISBLANK(H32),VLOOKUP(P32,'US Supervisor Map'!A:D,4,FALSE),MID(H32,4,6))</f>
        <v>211601</v>
      </c>
      <c r="AD32" t="str">
        <f>IFERROR(VLOOKUP(T32,'Org Map'!A:E,4),"BU Description Not Mapped")</f>
        <v>0096</v>
      </c>
      <c r="AE32">
        <f>IFERROR(VLOOKUP(V32,'Org Map'!C:E,3),"Home Department Code Not Mapped")</f>
        <v>850</v>
      </c>
      <c r="AF32" t="str">
        <f>IFERROR(VLOOKUP(AA32,'Salary Map'!A:D,3,FALSE),"Salary Code Not Mapped")</f>
        <v>Default</v>
      </c>
      <c r="AG32" t="str">
        <f>IFERROR(VLOOKUP(AA32,'Salary Map'!A:D,4,FALSE),"Salary Code Not Mapped")</f>
        <v>General</v>
      </c>
      <c r="AH32" t="str">
        <f>IFERROR(VLOOKUP(Z32,'Country Map'!A:B,2,FALSE),"Legal Country Not Mapped")</f>
        <v>US</v>
      </c>
      <c r="AI32" t="str">
        <f>IFERROR(VLOOKUP(X32,'Language Map'!A:C,3,FALSE),IFERROR(VLOOKUP(T32,'Org Map'!A:F,6,FALSE),"ADP and BU Language Code Not Mapped"))&amp;AH32</f>
        <v>en_US</v>
      </c>
      <c r="AJ32" t="str">
        <f>IFERROR(VLOOKUP(T32,'Org Map'!A:G,7),"BU Currency Not Mapped")</f>
        <v>USD</v>
      </c>
      <c r="AK32" t="str">
        <f t="shared" si="1"/>
        <v/>
      </c>
      <c r="AL32" t="str">
        <f>IFERROR(VLOOKUP(O32,'Status Map'!A:B,2,FALSE),"Position Status Not Mapped")</f>
        <v>Y</v>
      </c>
      <c r="AM32" t="str">
        <f t="shared" si="6"/>
        <v/>
      </c>
      <c r="AO32" t="str">
        <f t="shared" si="2"/>
        <v>TimothyDCarmichael</v>
      </c>
      <c r="AP32" t="str">
        <f t="shared" si="3"/>
        <v>Valetta</v>
      </c>
      <c r="AQ32" t="str">
        <f t="shared" si="4"/>
        <v>211601</v>
      </c>
      <c r="AR32" t="b">
        <f t="shared" si="5"/>
        <v>1</v>
      </c>
    </row>
    <row r="33" spans="1:44">
      <c r="A33" s="3" t="s">
        <v>732</v>
      </c>
      <c r="B33" s="4" t="s">
        <v>733</v>
      </c>
      <c r="C33" s="5" t="s">
        <v>734</v>
      </c>
      <c r="D33" s="6" t="s">
        <v>735</v>
      </c>
      <c r="E33" s="7" t="s">
        <v>736</v>
      </c>
      <c r="F33" s="8" t="s">
        <v>737</v>
      </c>
      <c r="G33" s="9" t="s">
        <v>738</v>
      </c>
      <c r="H33" s="10" t="s">
        <v>739</v>
      </c>
      <c r="I33" s="11" t="s">
        <v>740</v>
      </c>
      <c r="J33" s="12" t="s">
        <v>741</v>
      </c>
      <c r="K33" s="13" t="s">
        <v>742</v>
      </c>
      <c r="L33" s="14">
        <v>45971</v>
      </c>
      <c r="M33" s="15"/>
      <c r="N33" s="16"/>
      <c r="O33" s="17" t="s">
        <v>743</v>
      </c>
      <c r="P33" s="18" t="s">
        <v>744</v>
      </c>
      <c r="Q33" s="19" t="s">
        <v>745</v>
      </c>
      <c r="R33" s="20" t="s">
        <v>746</v>
      </c>
      <c r="S33" s="21" t="s">
        <v>747</v>
      </c>
      <c r="T33" s="22" t="s">
        <v>748</v>
      </c>
      <c r="U33" s="23" t="s">
        <v>749</v>
      </c>
      <c r="V33" s="24" t="s">
        <v>750</v>
      </c>
      <c r="W33" s="25" t="s">
        <v>751</v>
      </c>
      <c r="X33" s="26" t="s">
        <v>752</v>
      </c>
      <c r="Y33" s="27" t="s">
        <v>753</v>
      </c>
      <c r="Z33" s="28" t="s">
        <v>754</v>
      </c>
      <c r="AA33" s="29" t="s">
        <v>755</v>
      </c>
      <c r="AB33" s="30" t="s">
        <v>756</v>
      </c>
      <c r="AC33" t="str">
        <f>IF(ISBLANK(H33),VLOOKUP(P33,'US Supervisor Map'!A:D,4,FALSE),MID(H33,4,6))</f>
        <v>213037</v>
      </c>
      <c r="AD33" t="str">
        <f>IFERROR(VLOOKUP(T33,'Org Map'!A:E,4),"BU Description Not Mapped")</f>
        <v>0096</v>
      </c>
      <c r="AE33">
        <f>IFERROR(VLOOKUP(V33,'Org Map'!C:E,3),"Home Department Code Not Mapped")</f>
        <v>718</v>
      </c>
      <c r="AF33" t="str">
        <f>IFERROR(VLOOKUP(AA33,'Salary Map'!A:D,3,FALSE),"Salary Code Not Mapped")</f>
        <v>Default</v>
      </c>
      <c r="AG33" t="str">
        <f>IFERROR(VLOOKUP(AA33,'Salary Map'!A:D,4,FALSE),"Salary Code Not Mapped")</f>
        <v>General</v>
      </c>
      <c r="AH33" t="str">
        <f>IFERROR(VLOOKUP(Z33,'Country Map'!A:B,2,FALSE),"Legal Country Not Mapped")</f>
        <v>US</v>
      </c>
      <c r="AI33" t="str">
        <f>IFERROR(VLOOKUP(X33,'Language Map'!A:C,3,FALSE),IFERROR(VLOOKUP(T33,'Org Map'!A:F,6,FALSE),"ADP and BU Language Code Not Mapped"))&amp;AH33</f>
        <v>en_US</v>
      </c>
      <c r="AJ33" t="str">
        <f>IFERROR(VLOOKUP(T33,'Org Map'!A:G,7),"BU Currency Not Mapped")</f>
        <v>USD</v>
      </c>
      <c r="AK33" t="str">
        <f t="shared" si="1"/>
        <v/>
      </c>
      <c r="AL33" t="str">
        <f>IFERROR(VLOOKUP(O33,'Status Map'!A:B,2,FALSE),"Position Status Not Mapped")</f>
        <v>Y</v>
      </c>
      <c r="AM33" t="str">
        <f t="shared" si="6"/>
        <v/>
      </c>
      <c r="AO33" t="str">
        <f t="shared" si="2"/>
        <v>JonathanCarter</v>
      </c>
      <c r="AP33" t="str">
        <f t="shared" si="3"/>
        <v>Bate</v>
      </c>
      <c r="AQ33" t="str">
        <f t="shared" si="4"/>
        <v>213037</v>
      </c>
      <c r="AR33" t="b">
        <f t="shared" si="5"/>
        <v>1</v>
      </c>
    </row>
    <row r="34" spans="1:44">
      <c r="A34" s="3" t="s">
        <v>757</v>
      </c>
      <c r="B34" s="4" t="s">
        <v>758</v>
      </c>
      <c r="C34" s="5" t="s">
        <v>759</v>
      </c>
      <c r="D34" s="6" t="s">
        <v>760</v>
      </c>
      <c r="E34" s="7" t="s">
        <v>761</v>
      </c>
      <c r="F34" s="8" t="s">
        <v>762</v>
      </c>
      <c r="G34" s="9" t="s">
        <v>763</v>
      </c>
      <c r="H34" s="10" t="s">
        <v>764</v>
      </c>
      <c r="I34" s="11" t="s">
        <v>765</v>
      </c>
      <c r="J34" s="12" t="s">
        <v>766</v>
      </c>
      <c r="K34" s="13" t="s">
        <v>767</v>
      </c>
      <c r="L34" s="14">
        <v>43192</v>
      </c>
      <c r="M34" s="15"/>
      <c r="N34" s="16"/>
      <c r="O34" s="17" t="s">
        <v>768</v>
      </c>
      <c r="P34" s="18" t="s">
        <v>769</v>
      </c>
      <c r="Q34" s="19" t="s">
        <v>770</v>
      </c>
      <c r="R34" s="20" t="s">
        <v>771</v>
      </c>
      <c r="S34" s="21" t="s">
        <v>772</v>
      </c>
      <c r="T34" s="22" t="s">
        <v>773</v>
      </c>
      <c r="U34" s="23" t="s">
        <v>774</v>
      </c>
      <c r="V34" s="24" t="s">
        <v>775</v>
      </c>
      <c r="W34" s="25" t="s">
        <v>776</v>
      </c>
      <c r="X34" s="26" t="s">
        <v>777</v>
      </c>
      <c r="Y34" s="27" t="s">
        <v>778</v>
      </c>
      <c r="Z34" s="28" t="s">
        <v>779</v>
      </c>
      <c r="AA34" s="29" t="s">
        <v>780</v>
      </c>
      <c r="AB34" s="30" t="s">
        <v>781</v>
      </c>
      <c r="AC34" t="str">
        <f>IF(ISBLANK(H34),VLOOKUP(P34,'US Supervisor Map'!A:D,4,FALSE),MID(H34,4,6))</f>
        <v>211766</v>
      </c>
      <c r="AD34" t="str">
        <f>IFERROR(VLOOKUP(T34,'Org Map'!A:E,4),"BU Description Not Mapped")</f>
        <v>0088</v>
      </c>
      <c r="AE34">
        <f>IFERROR(VLOOKUP(V34,'Org Map'!C:E,3),"Home Department Code Not Mapped")</f>
        <v>9450</v>
      </c>
      <c r="AF34" t="str">
        <f>IFERROR(VLOOKUP(AA34,'Salary Map'!A:D,3,FALSE),"Salary Code Not Mapped")</f>
        <v>Default</v>
      </c>
      <c r="AG34" t="str">
        <f>IFERROR(VLOOKUP(AA34,'Salary Map'!A:D,4,FALSE),"Salary Code Not Mapped")</f>
        <v>General</v>
      </c>
      <c r="AH34" t="str">
        <f>IFERROR(VLOOKUP(Z34,'Country Map'!A:B,2,FALSE),"Legal Country Not Mapped")</f>
        <v>US</v>
      </c>
      <c r="AI34" t="str">
        <f>IFERROR(VLOOKUP(X34,'Language Map'!A:C,3,FALSE),IFERROR(VLOOKUP(T34,'Org Map'!A:F,6,FALSE),"ADP and BU Language Code Not Mapped"))&amp;AH34</f>
        <v>en_US</v>
      </c>
      <c r="AJ34" t="str">
        <f>IFERROR(VLOOKUP(T34,'Org Map'!A:G,7),"BU Currency Not Mapped")</f>
        <v>USD</v>
      </c>
      <c r="AK34" t="str">
        <f t="shared" si="1"/>
        <v/>
      </c>
      <c r="AL34" t="str">
        <f>IFERROR(VLOOKUP(O34,'Status Map'!A:B,2,FALSE),"Position Status Not Mapped")</f>
        <v>Y</v>
      </c>
      <c r="AM34" t="str">
        <f t="shared" si="6"/>
        <v/>
      </c>
      <c r="AO34" t="str">
        <f t="shared" si="2"/>
        <v>TylerCler</v>
      </c>
      <c r="AP34" t="str">
        <f t="shared" si="3"/>
        <v>Kemenah</v>
      </c>
      <c r="AQ34" t="str">
        <f t="shared" si="4"/>
        <v>211766</v>
      </c>
      <c r="AR34" t="b">
        <f t="shared" si="5"/>
        <v>1</v>
      </c>
    </row>
    <row r="35" spans="1:44">
      <c r="A35" s="3" t="s">
        <v>782</v>
      </c>
      <c r="B35" s="4" t="s">
        <v>783</v>
      </c>
      <c r="C35" s="5" t="s">
        <v>784</v>
      </c>
      <c r="D35" s="6" t="s">
        <v>785</v>
      </c>
      <c r="E35" s="7" t="s">
        <v>786</v>
      </c>
      <c r="F35" s="8" t="s">
        <v>787</v>
      </c>
      <c r="G35" s="9" t="s">
        <v>788</v>
      </c>
      <c r="H35" s="36" t="s">
        <v>789</v>
      </c>
      <c r="I35" s="11" t="s">
        <v>790</v>
      </c>
      <c r="J35" s="12" t="s">
        <v>791</v>
      </c>
      <c r="K35" s="13" t="s">
        <v>792</v>
      </c>
      <c r="L35" s="14">
        <v>46160</v>
      </c>
      <c r="M35" s="15">
        <v>46176</v>
      </c>
      <c r="N35" s="16"/>
      <c r="O35" s="17" t="s">
        <v>793</v>
      </c>
      <c r="P35" s="18" t="s">
        <v>794</v>
      </c>
      <c r="Q35" s="19" t="s">
        <v>795</v>
      </c>
      <c r="R35" s="20" t="s">
        <v>796</v>
      </c>
      <c r="S35" s="21" t="s">
        <v>797</v>
      </c>
      <c r="T35" s="22" t="s">
        <v>798</v>
      </c>
      <c r="U35" s="23" t="s">
        <v>799</v>
      </c>
      <c r="V35" s="24" t="s">
        <v>800</v>
      </c>
      <c r="W35" s="25" t="s">
        <v>801</v>
      </c>
      <c r="X35" s="26" t="s">
        <v>802</v>
      </c>
      <c r="Y35" s="27" t="s">
        <v>803</v>
      </c>
      <c r="Z35" s="28" t="s">
        <v>804</v>
      </c>
      <c r="AA35" s="29" t="s">
        <v>805</v>
      </c>
      <c r="AB35" s="30" t="s">
        <v>806</v>
      </c>
      <c r="AC35" s="77" t="str">
        <f>IF(ISBLANK(H35),VLOOKUP(P35,'US Supervisor Map'!A:D,4,FALSE),MID(H35,4,6))</f>
        <v/>
      </c>
      <c r="AD35" t="str">
        <f>IFERROR(VLOOKUP(T35,'Org Map'!A:E,4),"BU Description Not Mapped")</f>
        <v>0096</v>
      </c>
      <c r="AE35">
        <f>IFERROR(VLOOKUP(V35,'Org Map'!C:E,3),"Home Department Code Not Mapped")</f>
        <v>500</v>
      </c>
      <c r="AF35" t="str">
        <f>IFERROR(VLOOKUP(AA35,'Salary Map'!A:D,3,FALSE),"Salary Code Not Mapped")</f>
        <v>Default</v>
      </c>
      <c r="AG35" t="str">
        <f>IFERROR(VLOOKUP(AA35,'Salary Map'!A:D,4,FALSE),"Salary Code Not Mapped")</f>
        <v>General</v>
      </c>
      <c r="AH35" t="str">
        <f>IFERROR(VLOOKUP(Z35,'Country Map'!A:B,2,FALSE),"Legal Country Not Mapped")</f>
        <v>US</v>
      </c>
      <c r="AI35" t="str">
        <f>IFERROR(VLOOKUP(X35,'Language Map'!A:C,3,FALSE),IFERROR(VLOOKUP(T35,'Org Map'!A:F,6,FALSE),"ADP and BU Language Code Not Mapped"))&amp;AH35</f>
        <v>en_US</v>
      </c>
      <c r="AJ35" t="str">
        <f>IFERROR(VLOOKUP(T35,'Org Map'!A:G,7),"BU Currency Not Mapped")</f>
        <v>USD</v>
      </c>
      <c r="AK35" t="str">
        <f t="shared" si="1"/>
        <v/>
      </c>
      <c r="AL35" t="str">
        <f>IFERROR(VLOOKUP(O35,'Status Map'!A:B,2,FALSE),"Position Status Not Mapped")</f>
        <v>N</v>
      </c>
      <c r="AM35" t="str">
        <f t="shared" si="6"/>
        <v>20260603</v>
      </c>
      <c r="AN35" t="str">
        <f>IF(M35&gt;AN30,"Fix and Include Record","Exclude record termination over 45 days ago")</f>
        <v>Fix and Include Record</v>
      </c>
      <c r="AO35" t="str">
        <f t="shared" si="2"/>
        <v>TimothyEClifton</v>
      </c>
      <c r="AP35" t="e">
        <f t="shared" si="3"/>
        <v>#VALUE!</v>
      </c>
      <c r="AQ35" t="str">
        <f t="shared" si="4"/>
        <v>No Reports to Name</v>
      </c>
      <c r="AR35" t="b">
        <f t="shared" si="5"/>
        <v>0</v>
      </c>
    </row>
    <row r="36" spans="1:44">
      <c r="A36" s="3" t="s">
        <v>807</v>
      </c>
      <c r="B36" s="4" t="s">
        <v>808</v>
      </c>
      <c r="C36" s="5" t="s">
        <v>809</v>
      </c>
      <c r="D36" s="6" t="s">
        <v>810</v>
      </c>
      <c r="E36" s="7" t="s">
        <v>811</v>
      </c>
      <c r="F36" s="8" t="s">
        <v>812</v>
      </c>
      <c r="G36" s="9" t="s">
        <v>813</v>
      </c>
      <c r="H36" s="10" t="s">
        <v>814</v>
      </c>
      <c r="I36" s="11" t="s">
        <v>815</v>
      </c>
      <c r="J36" s="12" t="s">
        <v>816</v>
      </c>
      <c r="K36" s="13" t="s">
        <v>817</v>
      </c>
      <c r="L36" s="14">
        <v>46160</v>
      </c>
      <c r="M36" s="15"/>
      <c r="N36" s="16"/>
      <c r="O36" s="17" t="s">
        <v>818</v>
      </c>
      <c r="P36" s="18" t="s">
        <v>819</v>
      </c>
      <c r="Q36" s="19" t="s">
        <v>820</v>
      </c>
      <c r="R36" s="20" t="s">
        <v>821</v>
      </c>
      <c r="S36" s="21" t="s">
        <v>822</v>
      </c>
      <c r="T36" s="22" t="s">
        <v>823</v>
      </c>
      <c r="U36" s="23" t="s">
        <v>824</v>
      </c>
      <c r="V36" s="24" t="s">
        <v>825</v>
      </c>
      <c r="W36" s="25" t="s">
        <v>826</v>
      </c>
      <c r="X36" s="26" t="s">
        <v>827</v>
      </c>
      <c r="Y36" s="27" t="s">
        <v>828</v>
      </c>
      <c r="Z36" s="28" t="s">
        <v>829</v>
      </c>
      <c r="AA36" s="29" t="s">
        <v>830</v>
      </c>
      <c r="AB36" s="30" t="s">
        <v>831</v>
      </c>
      <c r="AC36" t="str">
        <f>IF(ISBLANK(H36),VLOOKUP(P36,'US Supervisor Map'!A:D,4,FALSE),MID(H36,4,6))</f>
        <v>210910</v>
      </c>
      <c r="AD36" t="str">
        <f>IFERROR(VLOOKUP(T36,'Org Map'!A:E,4),"BU Description Not Mapped")</f>
        <v>0096</v>
      </c>
      <c r="AE36">
        <f>IFERROR(VLOOKUP(V36,'Org Map'!C:E,3),"Home Department Code Not Mapped")</f>
        <v>500</v>
      </c>
      <c r="AF36" t="str">
        <f>IFERROR(VLOOKUP(AA36,'Salary Map'!A:D,3,FALSE),"Salary Code Not Mapped")</f>
        <v>Default</v>
      </c>
      <c r="AG36" t="str">
        <f>IFERROR(VLOOKUP(AA36,'Salary Map'!A:D,4,FALSE),"Salary Code Not Mapped")</f>
        <v>General</v>
      </c>
      <c r="AH36" t="str">
        <f>IFERROR(VLOOKUP(Z36,'Country Map'!A:B,2,FALSE),"Legal Country Not Mapped")</f>
        <v>US</v>
      </c>
      <c r="AI36" t="str">
        <f>IFERROR(VLOOKUP(X36,'Language Map'!A:C,3,FALSE),IFERROR(VLOOKUP(T36,'Org Map'!A:F,6,FALSE),"ADP and BU Language Code Not Mapped"))&amp;AH36</f>
        <v>en_US</v>
      </c>
      <c r="AJ36" t="str">
        <f>IFERROR(VLOOKUP(T36,'Org Map'!A:G,7),"BU Currency Not Mapped")</f>
        <v>USD</v>
      </c>
      <c r="AK36" t="str">
        <f t="shared" si="1"/>
        <v/>
      </c>
      <c r="AL36" t="str">
        <f>IFERROR(VLOOKUP(O36,'Status Map'!A:B,2,FALSE),"Position Status Not Mapped")</f>
        <v>Y</v>
      </c>
      <c r="AM36" t="str">
        <f t="shared" si="6"/>
        <v/>
      </c>
      <c r="AO36" t="str">
        <f t="shared" si="2"/>
        <v>TimothyEClifton</v>
      </c>
      <c r="AP36" t="str">
        <f t="shared" si="3"/>
        <v>Leftrict</v>
      </c>
      <c r="AQ36" t="str">
        <f t="shared" si="4"/>
        <v>210910</v>
      </c>
      <c r="AR36" t="b">
        <f t="shared" si="5"/>
        <v>1</v>
      </c>
    </row>
    <row r="37" spans="1:44">
      <c r="A37" s="3" t="s">
        <v>832</v>
      </c>
      <c r="B37" s="4" t="s">
        <v>833</v>
      </c>
      <c r="C37" s="5" t="s">
        <v>834</v>
      </c>
      <c r="D37" s="6" t="s">
        <v>835</v>
      </c>
      <c r="E37" s="7" t="s">
        <v>836</v>
      </c>
      <c r="F37" s="8" t="s">
        <v>837</v>
      </c>
      <c r="G37" s="9" t="s">
        <v>838</v>
      </c>
      <c r="H37" s="36" t="s">
        <v>839</v>
      </c>
      <c r="I37" s="11" t="s">
        <v>840</v>
      </c>
      <c r="J37" s="12" t="s">
        <v>841</v>
      </c>
      <c r="K37" s="13" t="s">
        <v>842</v>
      </c>
      <c r="L37" s="14">
        <v>46160</v>
      </c>
      <c r="M37" s="15">
        <v>46176</v>
      </c>
      <c r="N37" s="16"/>
      <c r="O37" s="17" t="s">
        <v>843</v>
      </c>
      <c r="P37" s="18" t="s">
        <v>844</v>
      </c>
      <c r="Q37" s="19" t="s">
        <v>845</v>
      </c>
      <c r="R37" s="20" t="s">
        <v>846</v>
      </c>
      <c r="S37" s="21" t="s">
        <v>847</v>
      </c>
      <c r="T37" s="22" t="s">
        <v>848</v>
      </c>
      <c r="U37" s="23" t="s">
        <v>849</v>
      </c>
      <c r="V37" s="24" t="s">
        <v>850</v>
      </c>
      <c r="W37" s="25" t="s">
        <v>851</v>
      </c>
      <c r="X37" s="26" t="s">
        <v>852</v>
      </c>
      <c r="Y37" s="27" t="s">
        <v>853</v>
      </c>
      <c r="Z37" s="28" t="s">
        <v>854</v>
      </c>
      <c r="AA37" s="29" t="s">
        <v>855</v>
      </c>
      <c r="AB37" s="30" t="s">
        <v>856</v>
      </c>
      <c r="AC37" s="77" t="str">
        <f>IF(ISBLANK(H37),VLOOKUP(P37,'US Supervisor Map'!A:D,4,FALSE),MID(H37,4,6))</f>
        <v/>
      </c>
      <c r="AD37" t="str">
        <f>IFERROR(VLOOKUP(T37,'Org Map'!A:E,4),"BU Description Not Mapped")</f>
        <v>0096</v>
      </c>
      <c r="AE37">
        <f>IFERROR(VLOOKUP(V37,'Org Map'!C:E,3),"Home Department Code Not Mapped")</f>
        <v>500</v>
      </c>
      <c r="AF37" t="str">
        <f>IFERROR(VLOOKUP(AA37,'Salary Map'!A:D,3,FALSE),"Salary Code Not Mapped")</f>
        <v>Default</v>
      </c>
      <c r="AG37" t="str">
        <f>IFERROR(VLOOKUP(AA37,'Salary Map'!A:D,4,FALSE),"Salary Code Not Mapped")</f>
        <v>General</v>
      </c>
      <c r="AH37" t="str">
        <f>IFERROR(VLOOKUP(Z37,'Country Map'!A:B,2,FALSE),"Legal Country Not Mapped")</f>
        <v>US</v>
      </c>
      <c r="AI37" t="str">
        <f>IFERROR(VLOOKUP(X37,'Language Map'!A:C,3,FALSE),IFERROR(VLOOKUP(T37,'Org Map'!A:F,6,FALSE),"ADP and BU Language Code Not Mapped"))&amp;AH37</f>
        <v>en_US</v>
      </c>
      <c r="AJ37" t="str">
        <f>IFERROR(VLOOKUP(T37,'Org Map'!A:G,7),"BU Currency Not Mapped")</f>
        <v>USD</v>
      </c>
      <c r="AK37" t="str">
        <f t="shared" si="1"/>
        <v/>
      </c>
      <c r="AL37" t="str">
        <f>IFERROR(VLOOKUP(O37,'Status Map'!A:B,2,FALSE),"Position Status Not Mapped")</f>
        <v>N</v>
      </c>
      <c r="AM37" t="str">
        <f t="shared" si="6"/>
        <v>20260603</v>
      </c>
      <c r="AN37" t="str">
        <f>IF(M37&gt;AN32,"Fix and Include Record","Exclude record termination over 45 days ago")</f>
        <v>Fix and Include Record</v>
      </c>
      <c r="AO37" t="str">
        <f t="shared" si="2"/>
        <v>TimothyEClifton</v>
      </c>
      <c r="AP37" t="e">
        <f t="shared" si="3"/>
        <v>#VALUE!</v>
      </c>
      <c r="AQ37" t="str">
        <f t="shared" si="4"/>
        <v>No Reports to Name</v>
      </c>
      <c r="AR37" t="b">
        <f t="shared" si="5"/>
        <v>0</v>
      </c>
    </row>
    <row r="38" spans="1:44">
      <c r="A38" s="3" t="s">
        <v>857</v>
      </c>
      <c r="B38" s="4" t="s">
        <v>858</v>
      </c>
      <c r="C38" s="5" t="s">
        <v>859</v>
      </c>
      <c r="D38" s="6" t="s">
        <v>860</v>
      </c>
      <c r="E38" s="7" t="s">
        <v>861</v>
      </c>
      <c r="F38" s="8" t="s">
        <v>862</v>
      </c>
      <c r="G38" s="9" t="s">
        <v>863</v>
      </c>
      <c r="H38" s="10" t="s">
        <v>864</v>
      </c>
      <c r="I38" s="11" t="s">
        <v>865</v>
      </c>
      <c r="J38" s="12" t="s">
        <v>866</v>
      </c>
      <c r="K38" s="13" t="s">
        <v>867</v>
      </c>
      <c r="L38" s="14">
        <v>45957</v>
      </c>
      <c r="M38" s="15"/>
      <c r="N38" s="16"/>
      <c r="O38" s="17" t="s">
        <v>868</v>
      </c>
      <c r="P38" s="18" t="s">
        <v>869</v>
      </c>
      <c r="Q38" s="19" t="s">
        <v>870</v>
      </c>
      <c r="R38" s="20" t="s">
        <v>871</v>
      </c>
      <c r="S38" s="21" t="s">
        <v>872</v>
      </c>
      <c r="T38" s="22" t="s">
        <v>873</v>
      </c>
      <c r="U38" s="23" t="s">
        <v>874</v>
      </c>
      <c r="V38" s="24" t="s">
        <v>875</v>
      </c>
      <c r="W38" s="25" t="s">
        <v>876</v>
      </c>
      <c r="X38" s="26" t="s">
        <v>877</v>
      </c>
      <c r="Y38" s="27" t="s">
        <v>878</v>
      </c>
      <c r="Z38" s="28" t="s">
        <v>879</v>
      </c>
      <c r="AA38" s="29" t="s">
        <v>880</v>
      </c>
      <c r="AB38" s="30" t="s">
        <v>881</v>
      </c>
      <c r="AC38" t="str">
        <f>IF(ISBLANK(H38),VLOOKUP(P38,'US Supervisor Map'!A:D,4,FALSE),MID(H38,4,6))</f>
        <v>211766</v>
      </c>
      <c r="AD38" t="str">
        <f>IFERROR(VLOOKUP(T38,'Org Map'!A:E,4),"BU Description Not Mapped")</f>
        <v>0088</v>
      </c>
      <c r="AE38">
        <f>IFERROR(VLOOKUP(V38,'Org Map'!C:E,3),"Home Department Code Not Mapped")</f>
        <v>9400</v>
      </c>
      <c r="AF38" t="str">
        <f>IFERROR(VLOOKUP(AA38,'Salary Map'!A:D,3,FALSE),"Salary Code Not Mapped")</f>
        <v>Default</v>
      </c>
      <c r="AG38" t="str">
        <f>IFERROR(VLOOKUP(AA38,'Salary Map'!A:D,4,FALSE),"Salary Code Not Mapped")</f>
        <v>General</v>
      </c>
      <c r="AH38" t="str">
        <f>IFERROR(VLOOKUP(Z38,'Country Map'!A:B,2,FALSE),"Legal Country Not Mapped")</f>
        <v>US</v>
      </c>
      <c r="AI38" t="str">
        <f>IFERROR(VLOOKUP(X38,'Language Map'!A:C,3,FALSE),IFERROR(VLOOKUP(T38,'Org Map'!A:F,6,FALSE),"ADP and BU Language Code Not Mapped"))&amp;AH38</f>
        <v>en_US</v>
      </c>
      <c r="AJ38" t="str">
        <f>IFERROR(VLOOKUP(T38,'Org Map'!A:G,7),"BU Currency Not Mapped")</f>
        <v>USD</v>
      </c>
      <c r="AK38" t="str">
        <f t="shared" si="1"/>
        <v/>
      </c>
      <c r="AL38" t="str">
        <f>IFERROR(VLOOKUP(O38,'Status Map'!A:B,2,FALSE),"Position Status Not Mapped")</f>
        <v>Y</v>
      </c>
      <c r="AM38" t="str">
        <f t="shared" si="6"/>
        <v/>
      </c>
      <c r="AO38" t="str">
        <f t="shared" si="2"/>
        <v>AndrewJCreager</v>
      </c>
      <c r="AP38" t="str">
        <f t="shared" si="3"/>
        <v>Bailey</v>
      </c>
      <c r="AQ38" t="str">
        <f t="shared" si="4"/>
        <v>902688</v>
      </c>
      <c r="AR38" s="77" t="b">
        <f t="shared" si="5"/>
        <v>0</v>
      </c>
    </row>
    <row r="39" spans="1:44">
      <c r="A39" s="3" t="s">
        <v>882</v>
      </c>
      <c r="B39" s="4" t="s">
        <v>883</v>
      </c>
      <c r="C39" s="5" t="s">
        <v>884</v>
      </c>
      <c r="D39" s="6" t="s">
        <v>885</v>
      </c>
      <c r="E39" s="7" t="s">
        <v>886</v>
      </c>
      <c r="F39" s="8" t="s">
        <v>887</v>
      </c>
      <c r="G39" s="9" t="s">
        <v>888</v>
      </c>
      <c r="H39" s="36" t="s">
        <v>889</v>
      </c>
      <c r="I39" s="11" t="s">
        <v>890</v>
      </c>
      <c r="J39" s="12" t="s">
        <v>891</v>
      </c>
      <c r="K39" s="13" t="s">
        <v>892</v>
      </c>
      <c r="L39" s="14">
        <v>46022</v>
      </c>
      <c r="M39" s="15">
        <v>46022</v>
      </c>
      <c r="N39" s="16"/>
      <c r="O39" s="17" t="s">
        <v>893</v>
      </c>
      <c r="P39" s="18" t="s">
        <v>894</v>
      </c>
      <c r="Q39" s="19" t="s">
        <v>895</v>
      </c>
      <c r="R39" s="20" t="s">
        <v>896</v>
      </c>
      <c r="S39" s="21" t="s">
        <v>897</v>
      </c>
      <c r="T39" s="22" t="s">
        <v>898</v>
      </c>
      <c r="U39" s="23" t="s">
        <v>899</v>
      </c>
      <c r="V39" s="24" t="s">
        <v>900</v>
      </c>
      <c r="W39" s="25" t="s">
        <v>901</v>
      </c>
      <c r="X39" s="26" t="s">
        <v>902</v>
      </c>
      <c r="Y39" s="27" t="s">
        <v>903</v>
      </c>
      <c r="Z39" s="28" t="s">
        <v>904</v>
      </c>
      <c r="AA39" s="29" t="s">
        <v>905</v>
      </c>
      <c r="AB39" s="30" t="s">
        <v>906</v>
      </c>
      <c r="AC39" s="77" t="str">
        <f>IF(ISBLANK(H39),VLOOKUP(P39,'US Supervisor Map'!A:D,4,FALSE),MID(H39,4,6))</f>
        <v/>
      </c>
      <c r="AD39" t="str">
        <f>IFERROR(VLOOKUP(T39,'Org Map'!A:E,4),"BU Description Not Mapped")</f>
        <v>BU Description Not Mapped</v>
      </c>
      <c r="AE39" t="str">
        <f>IFERROR(VLOOKUP(V39,'Org Map'!C:E,3),"Home Department Code Not Mapped")</f>
        <v>Home Department Code Not Mapped</v>
      </c>
      <c r="AF39" t="str">
        <f>IFERROR(VLOOKUP(AA39,'Salary Map'!A:D,3,FALSE),"Salary Code Not Mapped")</f>
        <v>Salary Code Not Mapped</v>
      </c>
      <c r="AG39" t="str">
        <f>IFERROR(VLOOKUP(AA39,'Salary Map'!A:D,4,FALSE),"Salary Code Not Mapped")</f>
        <v>Salary Code Not Mapped</v>
      </c>
      <c r="AH39" t="str">
        <f>IFERROR(VLOOKUP(Z39,'Country Map'!A:B,2,FALSE),"Legal Country Not Mapped")</f>
        <v>US</v>
      </c>
      <c r="AI39" t="str">
        <f>IFERROR(VLOOKUP(X39,'Language Map'!A:C,3,FALSE),IFERROR(VLOOKUP(T39,'Org Map'!A:F,6,FALSE),"ADP and BU Language Code Not Mapped"))&amp;AH39</f>
        <v>ADP and BU Language Code Not MappedUS</v>
      </c>
      <c r="AJ39" t="str">
        <f>IFERROR(VLOOKUP(T39,'Org Map'!A:G,7),"BU Currency Not Mapped")</f>
        <v>BU Currency Not Mapped</v>
      </c>
      <c r="AK39" t="str">
        <f t="shared" si="1"/>
        <v/>
      </c>
      <c r="AL39" t="str">
        <f>IFERROR(VLOOKUP(O39,'Status Map'!A:B,2,FALSE),"Position Status Not Mapped")</f>
        <v>N</v>
      </c>
      <c r="AM39" t="str">
        <f t="shared" si="6"/>
        <v>20251231</v>
      </c>
      <c r="AN39" t="str">
        <f t="shared" ref="AN39:AN43" si="7">IF(M39&gt;AN34,"Fix and Include Record","Exclude record termination over 45 days ago")</f>
        <v>Fix and Include Record</v>
      </c>
      <c r="AO39" t="str">
        <f t="shared" si="2"/>
        <v>CarlaJCunningham</v>
      </c>
      <c r="AP39" t="e">
        <f t="shared" si="3"/>
        <v>#VALUE!</v>
      </c>
      <c r="AQ39" t="str">
        <f t="shared" si="4"/>
        <v>No Reports to Name</v>
      </c>
      <c r="AR39" t="b">
        <f t="shared" si="5"/>
        <v>0</v>
      </c>
    </row>
    <row r="40" spans="1:44">
      <c r="A40" s="3" t="s">
        <v>907</v>
      </c>
      <c r="B40" s="4" t="s">
        <v>908</v>
      </c>
      <c r="C40" s="5" t="s">
        <v>909</v>
      </c>
      <c r="D40" s="6" t="s">
        <v>910</v>
      </c>
      <c r="E40" s="7" t="s">
        <v>911</v>
      </c>
      <c r="F40" s="8" t="s">
        <v>912</v>
      </c>
      <c r="G40" s="9" t="s">
        <v>913</v>
      </c>
      <c r="H40" s="36" t="s">
        <v>914</v>
      </c>
      <c r="I40" s="11" t="s">
        <v>915</v>
      </c>
      <c r="J40" s="12" t="s">
        <v>916</v>
      </c>
      <c r="K40" s="13" t="s">
        <v>917</v>
      </c>
      <c r="L40" s="14">
        <v>46022</v>
      </c>
      <c r="M40" s="15">
        <v>46023</v>
      </c>
      <c r="N40" s="16"/>
      <c r="O40" s="17" t="s">
        <v>918</v>
      </c>
      <c r="P40" s="18" t="s">
        <v>919</v>
      </c>
      <c r="Q40" s="19" t="s">
        <v>920</v>
      </c>
      <c r="R40" s="20" t="s">
        <v>921</v>
      </c>
      <c r="S40" s="21" t="s">
        <v>922</v>
      </c>
      <c r="T40" s="22" t="s">
        <v>923</v>
      </c>
      <c r="U40" s="23" t="s">
        <v>924</v>
      </c>
      <c r="V40" s="24" t="s">
        <v>925</v>
      </c>
      <c r="W40" s="25" t="s">
        <v>926</v>
      </c>
      <c r="X40" s="26" t="s">
        <v>927</v>
      </c>
      <c r="Y40" s="27" t="s">
        <v>928</v>
      </c>
      <c r="Z40" s="28" t="s">
        <v>929</v>
      </c>
      <c r="AA40" s="29" t="s">
        <v>930</v>
      </c>
      <c r="AB40" s="30" t="s">
        <v>931</v>
      </c>
      <c r="AC40" s="77" t="str">
        <f>IF(ISBLANK(H40),VLOOKUP(P40,'US Supervisor Map'!A:D,4,FALSE),MID(H40,4,6))</f>
        <v/>
      </c>
      <c r="AD40" t="str">
        <f>IFERROR(VLOOKUP(T40,'Org Map'!A:E,4),"BU Description Not Mapped")</f>
        <v>BU Description Not Mapped</v>
      </c>
      <c r="AE40" t="str">
        <f>IFERROR(VLOOKUP(V40,'Org Map'!C:E,3),"Home Department Code Not Mapped")</f>
        <v>Home Department Code Not Mapped</v>
      </c>
      <c r="AF40" t="str">
        <f>IFERROR(VLOOKUP(AA40,'Salary Map'!A:D,3,FALSE),"Salary Code Not Mapped")</f>
        <v>Salary Code Not Mapped</v>
      </c>
      <c r="AG40" t="str">
        <f>IFERROR(VLOOKUP(AA40,'Salary Map'!A:D,4,FALSE),"Salary Code Not Mapped")</f>
        <v>Salary Code Not Mapped</v>
      </c>
      <c r="AH40" t="str">
        <f>IFERROR(VLOOKUP(Z40,'Country Map'!A:B,2,FALSE),"Legal Country Not Mapped")</f>
        <v>US</v>
      </c>
      <c r="AI40" t="str">
        <f>IFERROR(VLOOKUP(X40,'Language Map'!A:C,3,FALSE),IFERROR(VLOOKUP(T40,'Org Map'!A:F,6,FALSE),"ADP and BU Language Code Not Mapped"))&amp;AH40</f>
        <v>ADP and BU Language Code Not MappedUS</v>
      </c>
      <c r="AJ40" t="str">
        <f>IFERROR(VLOOKUP(T40,'Org Map'!A:G,7),"BU Currency Not Mapped")</f>
        <v>BU Currency Not Mapped</v>
      </c>
      <c r="AK40" t="str">
        <f t="shared" si="1"/>
        <v/>
      </c>
      <c r="AL40" t="str">
        <f>IFERROR(VLOOKUP(O40,'Status Map'!A:B,2,FALSE),"Position Status Not Mapped")</f>
        <v>N</v>
      </c>
      <c r="AM40" t="str">
        <f t="shared" si="6"/>
        <v>20260101</v>
      </c>
      <c r="AN40" t="str">
        <f t="shared" si="7"/>
        <v>Exclude record termination over 45 days ago</v>
      </c>
      <c r="AO40" t="str">
        <f t="shared" si="2"/>
        <v>CarlaJCunningham</v>
      </c>
      <c r="AP40" t="e">
        <f t="shared" si="3"/>
        <v>#VALUE!</v>
      </c>
      <c r="AQ40" t="str">
        <f t="shared" si="4"/>
        <v>No Reports to Name</v>
      </c>
      <c r="AR40" t="b">
        <f t="shared" si="5"/>
        <v>0</v>
      </c>
    </row>
    <row r="41" spans="1:44">
      <c r="A41" s="3" t="s">
        <v>932</v>
      </c>
      <c r="B41" s="4" t="s">
        <v>933</v>
      </c>
      <c r="C41" s="5" t="s">
        <v>934</v>
      </c>
      <c r="D41" s="6" t="s">
        <v>935</v>
      </c>
      <c r="E41" s="7" t="s">
        <v>936</v>
      </c>
      <c r="F41" s="8" t="s">
        <v>937</v>
      </c>
      <c r="G41" s="9" t="s">
        <v>938</v>
      </c>
      <c r="H41" s="10" t="s">
        <v>939</v>
      </c>
      <c r="I41" s="31" t="s">
        <v>940</v>
      </c>
      <c r="J41" s="12" t="s">
        <v>941</v>
      </c>
      <c r="K41" s="13" t="s">
        <v>942</v>
      </c>
      <c r="L41" s="14">
        <v>46160</v>
      </c>
      <c r="M41" s="15">
        <v>46181</v>
      </c>
      <c r="N41" s="16"/>
      <c r="O41" s="17" t="s">
        <v>943</v>
      </c>
      <c r="P41" s="18" t="s">
        <v>944</v>
      </c>
      <c r="Q41" s="19" t="s">
        <v>945</v>
      </c>
      <c r="R41" s="20" t="s">
        <v>946</v>
      </c>
      <c r="S41" s="21" t="s">
        <v>947</v>
      </c>
      <c r="T41" s="22" t="s">
        <v>948</v>
      </c>
      <c r="U41" s="23" t="s">
        <v>949</v>
      </c>
      <c r="V41" s="24" t="s">
        <v>950</v>
      </c>
      <c r="W41" s="25" t="s">
        <v>951</v>
      </c>
      <c r="X41" s="26" t="s">
        <v>952</v>
      </c>
      <c r="Y41" s="27" t="s">
        <v>953</v>
      </c>
      <c r="Z41" s="28" t="s">
        <v>954</v>
      </c>
      <c r="AA41" s="29" t="s">
        <v>955</v>
      </c>
      <c r="AB41" s="30" t="s">
        <v>956</v>
      </c>
      <c r="AC41" t="str">
        <f>IF(ISBLANK(H41),VLOOKUP(P41,'US Supervisor Map'!A:D,4,FALSE),MID(H41,4,6))</f>
        <v>202533</v>
      </c>
      <c r="AD41" t="str">
        <f>IFERROR(VLOOKUP(T41,'Org Map'!A:E,4),"BU Description Not Mapped")</f>
        <v>0088</v>
      </c>
      <c r="AE41">
        <f>IFERROR(VLOOKUP(V41,'Org Map'!C:E,3),"Home Department Code Not Mapped")</f>
        <v>8100</v>
      </c>
      <c r="AF41" t="str">
        <f>IFERROR(VLOOKUP(AA41,'Salary Map'!A:D,3,FALSE),"Salary Code Not Mapped")</f>
        <v>Default</v>
      </c>
      <c r="AG41" t="str">
        <f>IFERROR(VLOOKUP(AA41,'Salary Map'!A:D,4,FALSE),"Salary Code Not Mapped")</f>
        <v>General</v>
      </c>
      <c r="AH41" t="str">
        <f>IFERROR(VLOOKUP(Z41,'Country Map'!A:B,2,FALSE),"Legal Country Not Mapped")</f>
        <v>US</v>
      </c>
      <c r="AI41" t="str">
        <f>IFERROR(VLOOKUP(X41,'Language Map'!A:C,3,FALSE),IFERROR(VLOOKUP(T41,'Org Map'!A:F,6,FALSE),"ADP and BU Language Code Not Mapped"))&amp;AH41</f>
        <v>en_US</v>
      </c>
      <c r="AJ41" t="str">
        <f>IFERROR(VLOOKUP(T41,'Org Map'!A:G,7),"BU Currency Not Mapped")</f>
        <v>USD</v>
      </c>
      <c r="AK41" t="str">
        <f t="shared" si="1"/>
        <v/>
      </c>
      <c r="AL41" t="str">
        <f>IFERROR(VLOOKUP(O41,'Status Map'!A:B,2,FALSE),"Position Status Not Mapped")</f>
        <v>N</v>
      </c>
      <c r="AM41" t="str">
        <f t="shared" si="6"/>
        <v>20260608</v>
      </c>
      <c r="AN41" t="str">
        <f t="shared" si="7"/>
        <v>Fix and Include Record</v>
      </c>
      <c r="AO41" t="str">
        <f t="shared" si="2"/>
        <v>BrendaJDaniel</v>
      </c>
      <c r="AP41" t="e">
        <f t="shared" si="3"/>
        <v>#VALUE!</v>
      </c>
      <c r="AQ41" t="str">
        <f t="shared" si="4"/>
        <v>No Reports to Name</v>
      </c>
      <c r="AR41" s="77" t="b">
        <f t="shared" si="5"/>
        <v>0</v>
      </c>
    </row>
    <row r="42" spans="1:44">
      <c r="A42" s="3" t="s">
        <v>957</v>
      </c>
      <c r="B42" s="4" t="s">
        <v>958</v>
      </c>
      <c r="C42" s="5" t="s">
        <v>959</v>
      </c>
      <c r="D42" s="6" t="s">
        <v>960</v>
      </c>
      <c r="E42" s="7" t="s">
        <v>961</v>
      </c>
      <c r="F42" s="8" t="s">
        <v>962</v>
      </c>
      <c r="G42" s="9" t="s">
        <v>963</v>
      </c>
      <c r="H42" s="36" t="s">
        <v>964</v>
      </c>
      <c r="I42" s="11" t="s">
        <v>965</v>
      </c>
      <c r="J42" s="12" t="s">
        <v>966</v>
      </c>
      <c r="K42" s="13" t="s">
        <v>967</v>
      </c>
      <c r="L42" s="14">
        <v>37424</v>
      </c>
      <c r="M42" s="15">
        <v>46175</v>
      </c>
      <c r="N42" s="16"/>
      <c r="O42" s="17" t="s">
        <v>968</v>
      </c>
      <c r="P42" s="18" t="s">
        <v>969</v>
      </c>
      <c r="Q42" s="19" t="s">
        <v>970</v>
      </c>
      <c r="R42" s="20" t="s">
        <v>971</v>
      </c>
      <c r="S42" s="21" t="s">
        <v>972</v>
      </c>
      <c r="T42" s="22" t="s">
        <v>973</v>
      </c>
      <c r="U42" s="23" t="s">
        <v>974</v>
      </c>
      <c r="V42" s="24" t="s">
        <v>975</v>
      </c>
      <c r="W42" s="25" t="s">
        <v>976</v>
      </c>
      <c r="X42" s="26" t="s">
        <v>977</v>
      </c>
      <c r="Y42" s="27" t="s">
        <v>978</v>
      </c>
      <c r="Z42" s="28" t="s">
        <v>979</v>
      </c>
      <c r="AA42" s="29" t="s">
        <v>980</v>
      </c>
      <c r="AB42" s="30" t="s">
        <v>981</v>
      </c>
      <c r="AC42" s="77" t="str">
        <f>IF(ISBLANK(H42),VLOOKUP(P42,'US Supervisor Map'!A:D,4,FALSE),MID(H42,4,6))</f>
        <v/>
      </c>
      <c r="AD42" t="str">
        <f>IFERROR(VLOOKUP(T42,'Org Map'!A:E,4),"BU Description Not Mapped")</f>
        <v>0096</v>
      </c>
      <c r="AE42">
        <f>IFERROR(VLOOKUP(V42,'Org Map'!C:E,3),"Home Department Code Not Mapped")</f>
        <v>850</v>
      </c>
      <c r="AF42" t="str">
        <f>IFERROR(VLOOKUP(AA42,'Salary Map'!A:D,3,FALSE),"Salary Code Not Mapped")</f>
        <v>Default</v>
      </c>
      <c r="AG42" t="str">
        <f>IFERROR(VLOOKUP(AA42,'Salary Map'!A:D,4,FALSE),"Salary Code Not Mapped")</f>
        <v>General</v>
      </c>
      <c r="AH42" t="str">
        <f>IFERROR(VLOOKUP(Z42,'Country Map'!A:B,2,FALSE),"Legal Country Not Mapped")</f>
        <v>US</v>
      </c>
      <c r="AI42" t="str">
        <f>IFERROR(VLOOKUP(X42,'Language Map'!A:C,3,FALSE),IFERROR(VLOOKUP(T42,'Org Map'!A:F,6,FALSE),"ADP and BU Language Code Not Mapped"))&amp;AH42</f>
        <v>en_US</v>
      </c>
      <c r="AJ42" t="str">
        <f>IFERROR(VLOOKUP(T42,'Org Map'!A:G,7),"BU Currency Not Mapped")</f>
        <v>USD</v>
      </c>
      <c r="AK42" t="str">
        <f t="shared" si="1"/>
        <v/>
      </c>
      <c r="AL42" t="str">
        <f>IFERROR(VLOOKUP(O42,'Status Map'!A:B,2,FALSE),"Position Status Not Mapped")</f>
        <v>N</v>
      </c>
      <c r="AM42" t="str">
        <f t="shared" si="6"/>
        <v>20260602</v>
      </c>
      <c r="AN42" t="str">
        <f t="shared" si="7"/>
        <v>Exclude record termination over 45 days ago</v>
      </c>
      <c r="AO42" t="str">
        <f t="shared" si="2"/>
        <v>DemetriusADaniels</v>
      </c>
      <c r="AP42" t="e">
        <f t="shared" si="3"/>
        <v>#VALUE!</v>
      </c>
      <c r="AQ42" t="str">
        <f t="shared" si="4"/>
        <v>No Reports to Name</v>
      </c>
      <c r="AR42" t="b">
        <f t="shared" si="5"/>
        <v>0</v>
      </c>
    </row>
    <row r="43" spans="1:44">
      <c r="A43" s="3" t="s">
        <v>982</v>
      </c>
      <c r="B43" s="4" t="s">
        <v>983</v>
      </c>
      <c r="C43" s="5" t="s">
        <v>984</v>
      </c>
      <c r="D43" s="6" t="s">
        <v>985</v>
      </c>
      <c r="E43" s="7" t="s">
        <v>986</v>
      </c>
      <c r="F43" s="8" t="s">
        <v>987</v>
      </c>
      <c r="G43" s="9" t="s">
        <v>988</v>
      </c>
      <c r="H43" s="36" t="s">
        <v>989</v>
      </c>
      <c r="I43" s="11" t="s">
        <v>990</v>
      </c>
      <c r="J43" s="12" t="s">
        <v>991</v>
      </c>
      <c r="K43" s="13" t="s">
        <v>992</v>
      </c>
      <c r="L43" s="14">
        <v>37424</v>
      </c>
      <c r="M43" s="15">
        <v>46175</v>
      </c>
      <c r="N43" s="16"/>
      <c r="O43" s="17" t="s">
        <v>993</v>
      </c>
      <c r="P43" s="18" t="s">
        <v>994</v>
      </c>
      <c r="Q43" s="19" t="s">
        <v>995</v>
      </c>
      <c r="R43" s="20" t="s">
        <v>996</v>
      </c>
      <c r="S43" s="21" t="s">
        <v>997</v>
      </c>
      <c r="T43" s="22" t="s">
        <v>998</v>
      </c>
      <c r="U43" s="23" t="s">
        <v>999</v>
      </c>
      <c r="V43" s="24" t="s">
        <v>1000</v>
      </c>
      <c r="W43" s="25" t="s">
        <v>1001</v>
      </c>
      <c r="X43" s="26" t="s">
        <v>1002</v>
      </c>
      <c r="Y43" s="27" t="s">
        <v>1003</v>
      </c>
      <c r="Z43" s="28" t="s">
        <v>1004</v>
      </c>
      <c r="AA43" s="29" t="s">
        <v>1005</v>
      </c>
      <c r="AB43" s="30" t="s">
        <v>1006</v>
      </c>
      <c r="AC43" s="77" t="str">
        <f>IF(ISBLANK(H43),VLOOKUP(P43,'US Supervisor Map'!A:D,4,FALSE),MID(H43,4,6))</f>
        <v/>
      </c>
      <c r="AD43" t="str">
        <f>IFERROR(VLOOKUP(T43,'Org Map'!A:E,4),"BU Description Not Mapped")</f>
        <v>0096</v>
      </c>
      <c r="AE43">
        <f>IFERROR(VLOOKUP(V43,'Org Map'!C:E,3),"Home Department Code Not Mapped")</f>
        <v>850</v>
      </c>
      <c r="AF43" t="str">
        <f>IFERROR(VLOOKUP(AA43,'Salary Map'!A:D,3,FALSE),"Salary Code Not Mapped")</f>
        <v>Default</v>
      </c>
      <c r="AG43" t="str">
        <f>IFERROR(VLOOKUP(AA43,'Salary Map'!A:D,4,FALSE),"Salary Code Not Mapped")</f>
        <v>General</v>
      </c>
      <c r="AH43" t="str">
        <f>IFERROR(VLOOKUP(Z43,'Country Map'!A:B,2,FALSE),"Legal Country Not Mapped")</f>
        <v>US</v>
      </c>
      <c r="AI43" t="str">
        <f>IFERROR(VLOOKUP(X43,'Language Map'!A:C,3,FALSE),IFERROR(VLOOKUP(T43,'Org Map'!A:F,6,FALSE),"ADP and BU Language Code Not Mapped"))&amp;AH43</f>
        <v>en_US</v>
      </c>
      <c r="AJ43" t="str">
        <f>IFERROR(VLOOKUP(T43,'Org Map'!A:G,7),"BU Currency Not Mapped")</f>
        <v>USD</v>
      </c>
      <c r="AK43" t="str">
        <f t="shared" si="1"/>
        <v/>
      </c>
      <c r="AL43" t="str">
        <f>IFERROR(VLOOKUP(O43,'Status Map'!A:B,2,FALSE),"Position Status Not Mapped")</f>
        <v>N</v>
      </c>
      <c r="AM43" t="str">
        <f t="shared" si="6"/>
        <v>20260602</v>
      </c>
      <c r="AN43" t="str">
        <f t="shared" si="7"/>
        <v>Fix and Include Record</v>
      </c>
      <c r="AO43" t="str">
        <f t="shared" si="2"/>
        <v>DemetriusADaniels</v>
      </c>
      <c r="AP43" t="e">
        <f t="shared" si="3"/>
        <v>#VALUE!</v>
      </c>
      <c r="AQ43" t="str">
        <f t="shared" si="4"/>
        <v>No Reports to Name</v>
      </c>
      <c r="AR43" t="b">
        <f t="shared" si="5"/>
        <v>0</v>
      </c>
    </row>
    <row r="44" spans="1:44">
      <c r="A44" s="3" t="s">
        <v>1007</v>
      </c>
      <c r="B44" s="4" t="s">
        <v>1008</v>
      </c>
      <c r="C44" s="5" t="s">
        <v>1009</v>
      </c>
      <c r="D44" s="6" t="s">
        <v>1010</v>
      </c>
      <c r="E44" s="7" t="s">
        <v>1011</v>
      </c>
      <c r="F44" s="8" t="s">
        <v>1012</v>
      </c>
      <c r="G44" s="9" t="s">
        <v>1013</v>
      </c>
      <c r="H44" s="10" t="s">
        <v>1014</v>
      </c>
      <c r="I44" s="11" t="s">
        <v>1015</v>
      </c>
      <c r="J44" s="12" t="s">
        <v>1016</v>
      </c>
      <c r="K44" s="13" t="s">
        <v>1017</v>
      </c>
      <c r="L44" s="14">
        <v>37424</v>
      </c>
      <c r="M44" s="15"/>
      <c r="N44" s="16"/>
      <c r="O44" s="17" t="s">
        <v>1018</v>
      </c>
      <c r="P44" s="18" t="s">
        <v>1019</v>
      </c>
      <c r="Q44" s="19" t="s">
        <v>1020</v>
      </c>
      <c r="R44" s="20" t="s">
        <v>1021</v>
      </c>
      <c r="S44" s="21" t="s">
        <v>1022</v>
      </c>
      <c r="T44" s="22" t="s">
        <v>1023</v>
      </c>
      <c r="U44" s="23" t="s">
        <v>1024</v>
      </c>
      <c r="V44" s="24" t="s">
        <v>1025</v>
      </c>
      <c r="W44" s="25" t="s">
        <v>1026</v>
      </c>
      <c r="X44" s="26" t="s">
        <v>1027</v>
      </c>
      <c r="Y44" s="27" t="s">
        <v>1028</v>
      </c>
      <c r="Z44" s="28" t="s">
        <v>1029</v>
      </c>
      <c r="AA44" s="29" t="s">
        <v>1030</v>
      </c>
      <c r="AB44" s="30" t="s">
        <v>1031</v>
      </c>
      <c r="AC44" t="str">
        <f>IF(ISBLANK(H44),VLOOKUP(P44,'US Supervisor Map'!A:D,4,FALSE),MID(H44,4,6))</f>
        <v>211998</v>
      </c>
      <c r="AD44" t="str">
        <f>IFERROR(VLOOKUP(T44,'Org Map'!A:E,4),"BU Description Not Mapped")</f>
        <v>0096</v>
      </c>
      <c r="AE44">
        <f>IFERROR(VLOOKUP(V44,'Org Map'!C:E,3),"Home Department Code Not Mapped")</f>
        <v>850</v>
      </c>
      <c r="AF44" t="str">
        <f>IFERROR(VLOOKUP(AA44,'Salary Map'!A:D,3,FALSE),"Salary Code Not Mapped")</f>
        <v>Default</v>
      </c>
      <c r="AG44" t="str">
        <f>IFERROR(VLOOKUP(AA44,'Salary Map'!A:D,4,FALSE),"Salary Code Not Mapped")</f>
        <v>General</v>
      </c>
      <c r="AH44" t="str">
        <f>IFERROR(VLOOKUP(Z44,'Country Map'!A:B,2,FALSE),"Legal Country Not Mapped")</f>
        <v>US</v>
      </c>
      <c r="AI44" t="str">
        <f>IFERROR(VLOOKUP(X44,'Language Map'!A:C,3,FALSE),IFERROR(VLOOKUP(T44,'Org Map'!A:F,6,FALSE),"ADP and BU Language Code Not Mapped"))&amp;AH44</f>
        <v>en_US</v>
      </c>
      <c r="AJ44" t="str">
        <f>IFERROR(VLOOKUP(T44,'Org Map'!A:G,7),"BU Currency Not Mapped")</f>
        <v>USD</v>
      </c>
      <c r="AK44" t="str">
        <f t="shared" si="1"/>
        <v/>
      </c>
      <c r="AL44" t="str">
        <f>IFERROR(VLOOKUP(O44,'Status Map'!A:B,2,FALSE),"Position Status Not Mapped")</f>
        <v>Y</v>
      </c>
      <c r="AM44" t="str">
        <f t="shared" si="6"/>
        <v/>
      </c>
      <c r="AO44" t="str">
        <f t="shared" si="2"/>
        <v>DemetriusADaniels</v>
      </c>
      <c r="AP44" t="str">
        <f t="shared" si="3"/>
        <v>Wallace</v>
      </c>
      <c r="AQ44" t="str">
        <f t="shared" si="4"/>
        <v>211998</v>
      </c>
      <c r="AR44" t="b">
        <f t="shared" si="5"/>
        <v>1</v>
      </c>
    </row>
    <row r="45" spans="1:44">
      <c r="A45" s="3" t="s">
        <v>1032</v>
      </c>
      <c r="B45" s="4" t="s">
        <v>1033</v>
      </c>
      <c r="C45" s="5" t="s">
        <v>1034</v>
      </c>
      <c r="D45" s="6" t="s">
        <v>1035</v>
      </c>
      <c r="E45" s="7" t="s">
        <v>1036</v>
      </c>
      <c r="F45" s="8" t="s">
        <v>1037</v>
      </c>
      <c r="G45" s="9" t="s">
        <v>1038</v>
      </c>
      <c r="H45" s="10" t="s">
        <v>1039</v>
      </c>
      <c r="I45" s="11" t="s">
        <v>1040</v>
      </c>
      <c r="J45" s="12" t="s">
        <v>1041</v>
      </c>
      <c r="K45" s="13" t="s">
        <v>1042</v>
      </c>
      <c r="L45" s="14">
        <v>44620</v>
      </c>
      <c r="M45" s="15"/>
      <c r="N45" s="16"/>
      <c r="O45" s="17" t="s">
        <v>1043</v>
      </c>
      <c r="P45" s="18" t="s">
        <v>1044</v>
      </c>
      <c r="Q45" s="19" t="s">
        <v>1045</v>
      </c>
      <c r="R45" s="20" t="s">
        <v>1046</v>
      </c>
      <c r="S45" s="21" t="s">
        <v>1047</v>
      </c>
      <c r="T45" s="22" t="s">
        <v>1048</v>
      </c>
      <c r="U45" s="23" t="s">
        <v>1049</v>
      </c>
      <c r="V45" s="24" t="s">
        <v>1050</v>
      </c>
      <c r="W45" s="25" t="s">
        <v>1051</v>
      </c>
      <c r="X45" s="26" t="s">
        <v>1052</v>
      </c>
      <c r="Y45" s="27" t="s">
        <v>1053</v>
      </c>
      <c r="Z45" s="28" t="s">
        <v>1054</v>
      </c>
      <c r="AA45" s="29" t="s">
        <v>1055</v>
      </c>
      <c r="AB45" s="30" t="s">
        <v>1056</v>
      </c>
      <c r="AC45" t="str">
        <f>IF(ISBLANK(H45),VLOOKUP(P45,'US Supervisor Map'!A:D,4,FALSE),MID(H45,4,6))</f>
        <v>211736</v>
      </c>
      <c r="AD45" t="str">
        <f>IFERROR(VLOOKUP(T45,'Org Map'!A:E,4),"BU Description Not Mapped")</f>
        <v>0088</v>
      </c>
      <c r="AE45">
        <f>IFERROR(VLOOKUP(V45,'Org Map'!C:E,3),"Home Department Code Not Mapped")</f>
        <v>5200</v>
      </c>
      <c r="AF45" t="str">
        <f>IFERROR(VLOOKUP(AA45,'Salary Map'!A:D,3,FALSE),"Salary Code Not Mapped")</f>
        <v>Default</v>
      </c>
      <c r="AG45" t="str">
        <f>IFERROR(VLOOKUP(AA45,'Salary Map'!A:D,4,FALSE),"Salary Code Not Mapped")</f>
        <v>General</v>
      </c>
      <c r="AH45" t="str">
        <f>IFERROR(VLOOKUP(Z45,'Country Map'!A:B,2,FALSE),"Legal Country Not Mapped")</f>
        <v>US</v>
      </c>
      <c r="AI45" t="str">
        <f>IFERROR(VLOOKUP(X45,'Language Map'!A:C,3,FALSE),IFERROR(VLOOKUP(T45,'Org Map'!A:F,6,FALSE),"ADP and BU Language Code Not Mapped"))&amp;AH45</f>
        <v>en_US</v>
      </c>
      <c r="AJ45" t="str">
        <f>IFERROR(VLOOKUP(T45,'Org Map'!A:G,7),"BU Currency Not Mapped")</f>
        <v>USD</v>
      </c>
      <c r="AK45" t="str">
        <f t="shared" si="1"/>
        <v/>
      </c>
      <c r="AL45" t="str">
        <f>IFERROR(VLOOKUP(O45,'Status Map'!A:B,2,FALSE),"Position Status Not Mapped")</f>
        <v>Y</v>
      </c>
      <c r="AM45" t="str">
        <f t="shared" si="6"/>
        <v/>
      </c>
      <c r="AO45" t="str">
        <f t="shared" si="2"/>
        <v>CrystalDedes</v>
      </c>
      <c r="AP45" t="str">
        <f t="shared" si="3"/>
        <v>LaPlante</v>
      </c>
      <c r="AQ45" t="str">
        <f t="shared" si="4"/>
        <v>211736</v>
      </c>
      <c r="AR45" t="b">
        <f t="shared" si="5"/>
        <v>1</v>
      </c>
    </row>
    <row r="46" spans="1:44">
      <c r="A46" s="3" t="s">
        <v>1057</v>
      </c>
      <c r="B46" s="4" t="s">
        <v>1058</v>
      </c>
      <c r="C46" s="5" t="s">
        <v>1059</v>
      </c>
      <c r="D46" s="6" t="s">
        <v>1060</v>
      </c>
      <c r="E46" s="7" t="s">
        <v>1061</v>
      </c>
      <c r="F46" s="8" t="s">
        <v>1062</v>
      </c>
      <c r="G46" s="9" t="s">
        <v>1063</v>
      </c>
      <c r="H46" s="36" t="s">
        <v>1064</v>
      </c>
      <c r="I46" s="31" t="s">
        <v>1065</v>
      </c>
      <c r="J46" s="12" t="s">
        <v>1066</v>
      </c>
      <c r="K46" s="13" t="s">
        <v>1067</v>
      </c>
      <c r="L46" s="14">
        <v>45859</v>
      </c>
      <c r="M46" s="15">
        <v>46046</v>
      </c>
      <c r="N46" s="16"/>
      <c r="O46" s="17" t="s">
        <v>1068</v>
      </c>
      <c r="P46" s="18" t="s">
        <v>1069</v>
      </c>
      <c r="Q46" s="19" t="s">
        <v>1070</v>
      </c>
      <c r="R46" s="20" t="s">
        <v>1071</v>
      </c>
      <c r="S46" s="21" t="s">
        <v>1072</v>
      </c>
      <c r="T46" s="22" t="s">
        <v>1073</v>
      </c>
      <c r="U46" s="23" t="s">
        <v>1074</v>
      </c>
      <c r="V46" s="24" t="s">
        <v>1075</v>
      </c>
      <c r="W46" s="25" t="s">
        <v>1076</v>
      </c>
      <c r="X46" s="26" t="s">
        <v>1077</v>
      </c>
      <c r="Y46" s="27" t="s">
        <v>1078</v>
      </c>
      <c r="Z46" s="28" t="s">
        <v>1079</v>
      </c>
      <c r="AA46" s="29" t="s">
        <v>1080</v>
      </c>
      <c r="AB46" s="30" t="s">
        <v>1081</v>
      </c>
      <c r="AC46" s="77" t="str">
        <f>IF(ISBLANK(H46),VLOOKUP(P46,'US Supervisor Map'!A:D,4,FALSE),MID(H46,4,6))</f>
        <v/>
      </c>
      <c r="AD46" t="str">
        <f>IFERROR(VLOOKUP(T46,'Org Map'!A:E,4),"BU Description Not Mapped")</f>
        <v>0096</v>
      </c>
      <c r="AE46">
        <f>IFERROR(VLOOKUP(V46,'Org Map'!C:E,3),"Home Department Code Not Mapped")</f>
        <v>100</v>
      </c>
      <c r="AF46" t="str">
        <f>IFERROR(VLOOKUP(AA46,'Salary Map'!A:D,3,FALSE),"Salary Code Not Mapped")</f>
        <v>Default</v>
      </c>
      <c r="AG46" t="str">
        <f>IFERROR(VLOOKUP(AA46,'Salary Map'!A:D,4,FALSE),"Salary Code Not Mapped")</f>
        <v>General</v>
      </c>
      <c r="AH46" t="str">
        <f>IFERROR(VLOOKUP(Z46,'Country Map'!A:B,2,FALSE),"Legal Country Not Mapped")</f>
        <v>US</v>
      </c>
      <c r="AI46" t="str">
        <f>IFERROR(VLOOKUP(X46,'Language Map'!A:C,3,FALSE),IFERROR(VLOOKUP(T46,'Org Map'!A:F,6,FALSE),"ADP and BU Language Code Not Mapped"))&amp;AH46</f>
        <v>en_US</v>
      </c>
      <c r="AJ46" t="str">
        <f>IFERROR(VLOOKUP(T46,'Org Map'!A:G,7),"BU Currency Not Mapped")</f>
        <v>USD</v>
      </c>
      <c r="AK46" t="str">
        <f t="shared" si="1"/>
        <v/>
      </c>
      <c r="AL46" t="str">
        <f>IFERROR(VLOOKUP(O46,'Status Map'!A:B,2,FALSE),"Position Status Not Mapped")</f>
        <v>N</v>
      </c>
      <c r="AM46" t="str">
        <f t="shared" si="6"/>
        <v>20260124</v>
      </c>
      <c r="AN46" t="str">
        <f>IF(M46&gt;AN41,"Fix and Include Record","Exclude record termination over 45 days ago")</f>
        <v>Exclude record termination over 45 days ago</v>
      </c>
      <c r="AO46" t="str">
        <f t="shared" si="2"/>
        <v>AnthonyDesillas</v>
      </c>
      <c r="AP46" t="e">
        <f t="shared" si="3"/>
        <v>#VALUE!</v>
      </c>
      <c r="AQ46" t="str">
        <f t="shared" si="4"/>
        <v>No Reports to Name</v>
      </c>
      <c r="AR46" t="b">
        <f t="shared" si="5"/>
        <v>0</v>
      </c>
    </row>
    <row r="47" spans="1:44">
      <c r="A47" s="3" t="s">
        <v>1082</v>
      </c>
      <c r="B47" s="4" t="s">
        <v>1083</v>
      </c>
      <c r="C47" s="5" t="s">
        <v>1084</v>
      </c>
      <c r="D47" s="6" t="s">
        <v>1085</v>
      </c>
      <c r="E47" s="7" t="s">
        <v>1086</v>
      </c>
      <c r="F47" s="8" t="s">
        <v>1087</v>
      </c>
      <c r="G47" s="9" t="s">
        <v>1088</v>
      </c>
      <c r="H47" s="10" t="s">
        <v>1089</v>
      </c>
      <c r="I47" s="11" t="s">
        <v>1090</v>
      </c>
      <c r="J47" s="12" t="s">
        <v>1091</v>
      </c>
      <c r="K47" s="13" t="s">
        <v>1092</v>
      </c>
      <c r="L47" s="14">
        <v>45754</v>
      </c>
      <c r="M47" s="15"/>
      <c r="N47" s="16"/>
      <c r="O47" s="17" t="s">
        <v>1093</v>
      </c>
      <c r="P47" s="18" t="s">
        <v>1094</v>
      </c>
      <c r="Q47" s="19" t="s">
        <v>1095</v>
      </c>
      <c r="R47" s="20" t="s">
        <v>1096</v>
      </c>
      <c r="S47" s="21" t="s">
        <v>1097</v>
      </c>
      <c r="T47" s="22" t="s">
        <v>1098</v>
      </c>
      <c r="U47" s="23" t="s">
        <v>1099</v>
      </c>
      <c r="V47" s="24" t="s">
        <v>1100</v>
      </c>
      <c r="W47" s="25" t="s">
        <v>1101</v>
      </c>
      <c r="X47" s="26" t="s">
        <v>1102</v>
      </c>
      <c r="Y47" s="27" t="s">
        <v>1103</v>
      </c>
      <c r="Z47" s="28" t="s">
        <v>1104</v>
      </c>
      <c r="AA47" s="29" t="s">
        <v>1105</v>
      </c>
      <c r="AB47" s="30" t="s">
        <v>1106</v>
      </c>
      <c r="AC47" t="str">
        <f>IF(ISBLANK(H47),VLOOKUP(P47,'US Supervisor Map'!A:D,4,FALSE),MID(H47,4,6))</f>
        <v>211756</v>
      </c>
      <c r="AD47" t="str">
        <f>IFERROR(VLOOKUP(T47,'Org Map'!A:E,4),"BU Description Not Mapped")</f>
        <v>0088</v>
      </c>
      <c r="AE47">
        <f>IFERROR(VLOOKUP(V47,'Org Map'!C:E,3),"Home Department Code Not Mapped")</f>
        <v>5100</v>
      </c>
      <c r="AF47" t="str">
        <f>IFERROR(VLOOKUP(AA47,'Salary Map'!A:D,3,FALSE),"Salary Code Not Mapped")</f>
        <v>Default</v>
      </c>
      <c r="AG47" t="str">
        <f>IFERROR(VLOOKUP(AA47,'Salary Map'!A:D,4,FALSE),"Salary Code Not Mapped")</f>
        <v>General</v>
      </c>
      <c r="AH47" t="str">
        <f>IFERROR(VLOOKUP(Z47,'Country Map'!A:B,2,FALSE),"Legal Country Not Mapped")</f>
        <v>US</v>
      </c>
      <c r="AI47" t="str">
        <f>IFERROR(VLOOKUP(X47,'Language Map'!A:C,3,FALSE),IFERROR(VLOOKUP(T47,'Org Map'!A:F,6,FALSE),"ADP and BU Language Code Not Mapped"))&amp;AH47</f>
        <v>en_US</v>
      </c>
      <c r="AJ47" t="str">
        <f>IFERROR(VLOOKUP(T47,'Org Map'!A:G,7),"BU Currency Not Mapped")</f>
        <v>USD</v>
      </c>
      <c r="AK47" t="str">
        <f t="shared" si="1"/>
        <v/>
      </c>
      <c r="AL47" t="str">
        <f>IFERROR(VLOOKUP(O47,'Status Map'!A:B,2,FALSE),"Position Status Not Mapped")</f>
        <v>Y</v>
      </c>
      <c r="AM47" t="str">
        <f t="shared" si="6"/>
        <v/>
      </c>
      <c r="AO47" t="str">
        <f t="shared" si="2"/>
        <v>AmirDillard</v>
      </c>
      <c r="AP47" t="str">
        <f t="shared" si="3"/>
        <v>Burchell</v>
      </c>
      <c r="AQ47" t="str">
        <f t="shared" si="4"/>
        <v>211756</v>
      </c>
      <c r="AR47" t="b">
        <f t="shared" si="5"/>
        <v>1</v>
      </c>
    </row>
    <row r="48" spans="1:44">
      <c r="A48" s="3" t="s">
        <v>1107</v>
      </c>
      <c r="B48" s="4" t="s">
        <v>1108</v>
      </c>
      <c r="C48" s="5" t="s">
        <v>1109</v>
      </c>
      <c r="D48" s="6" t="s">
        <v>1110</v>
      </c>
      <c r="E48" s="7" t="s">
        <v>1111</v>
      </c>
      <c r="F48" s="8" t="s">
        <v>1112</v>
      </c>
      <c r="G48" s="9" t="s">
        <v>1113</v>
      </c>
      <c r="H48" s="10" t="s">
        <v>1114</v>
      </c>
      <c r="I48" s="31" t="s">
        <v>1115</v>
      </c>
      <c r="J48" s="12" t="s">
        <v>1116</v>
      </c>
      <c r="K48" s="13" t="s">
        <v>1117</v>
      </c>
      <c r="L48" s="14">
        <v>35604</v>
      </c>
      <c r="M48" s="15"/>
      <c r="N48" s="16"/>
      <c r="O48" s="17" t="s">
        <v>1118</v>
      </c>
      <c r="P48" s="18" t="s">
        <v>1119</v>
      </c>
      <c r="Q48" s="19" t="s">
        <v>1120</v>
      </c>
      <c r="R48" s="20" t="s">
        <v>1121</v>
      </c>
      <c r="S48" s="21" t="s">
        <v>1122</v>
      </c>
      <c r="T48" s="22" t="s">
        <v>1123</v>
      </c>
      <c r="U48" s="23" t="s">
        <v>1124</v>
      </c>
      <c r="V48" s="24" t="s">
        <v>1125</v>
      </c>
      <c r="W48" s="25" t="s">
        <v>1126</v>
      </c>
      <c r="X48" s="26" t="s">
        <v>1127</v>
      </c>
      <c r="Y48" s="27" t="s">
        <v>1128</v>
      </c>
      <c r="Z48" s="28" t="s">
        <v>1129</v>
      </c>
      <c r="AA48" s="29" t="s">
        <v>1130</v>
      </c>
      <c r="AB48" s="30" t="s">
        <v>1131</v>
      </c>
      <c r="AC48" t="str">
        <f>IF(ISBLANK(H48),VLOOKUP(P48,'US Supervisor Map'!A:D,4,FALSE),MID(H48,4,6))</f>
        <v>211062</v>
      </c>
      <c r="AD48" t="str">
        <f>IFERROR(VLOOKUP(T48,'Org Map'!A:E,4),"BU Description Not Mapped")</f>
        <v>0096</v>
      </c>
      <c r="AE48">
        <f>IFERROR(VLOOKUP(V48,'Org Map'!C:E,3),"Home Department Code Not Mapped")</f>
        <v>100</v>
      </c>
      <c r="AF48" t="str">
        <f>IFERROR(VLOOKUP(AA48,'Salary Map'!A:D,3,FALSE),"Salary Code Not Mapped")</f>
        <v>Default</v>
      </c>
      <c r="AG48" t="str">
        <f>IFERROR(VLOOKUP(AA48,'Salary Map'!A:D,4,FALSE),"Salary Code Not Mapped")</f>
        <v>General</v>
      </c>
      <c r="AH48" t="str">
        <f>IFERROR(VLOOKUP(Z48,'Country Map'!A:B,2,FALSE),"Legal Country Not Mapped")</f>
        <v>US</v>
      </c>
      <c r="AI48" t="str">
        <f>IFERROR(VLOOKUP(X48,'Language Map'!A:C,3,FALSE),IFERROR(VLOOKUP(T48,'Org Map'!A:F,6,FALSE),"ADP and BU Language Code Not Mapped"))&amp;AH48</f>
        <v>en_US</v>
      </c>
      <c r="AJ48" t="str">
        <f>IFERROR(VLOOKUP(T48,'Org Map'!A:G,7),"BU Currency Not Mapped")</f>
        <v>USD</v>
      </c>
      <c r="AK48" t="str">
        <f t="shared" si="1"/>
        <v/>
      </c>
      <c r="AL48" t="str">
        <f>IFERROR(VLOOKUP(O48,'Status Map'!A:B,2,FALSE),"Position Status Not Mapped")</f>
        <v>Y</v>
      </c>
      <c r="AM48" t="str">
        <f t="shared" si="6"/>
        <v/>
      </c>
      <c r="AO48" t="str">
        <f t="shared" si="2"/>
        <v>DavidADixon</v>
      </c>
      <c r="AP48" t="str">
        <f t="shared" si="3"/>
        <v>Steen</v>
      </c>
      <c r="AQ48" t="str">
        <f t="shared" si="4"/>
        <v>211062</v>
      </c>
      <c r="AR48" t="b">
        <f t="shared" si="5"/>
        <v>1</v>
      </c>
    </row>
    <row r="49" spans="1:44">
      <c r="A49" s="3" t="s">
        <v>1132</v>
      </c>
      <c r="B49" s="4" t="s">
        <v>1133</v>
      </c>
      <c r="C49" s="5" t="s">
        <v>1134</v>
      </c>
      <c r="D49" s="6" t="s">
        <v>1135</v>
      </c>
      <c r="E49" s="7" t="s">
        <v>1136</v>
      </c>
      <c r="F49" s="8" t="s">
        <v>1137</v>
      </c>
      <c r="G49" s="9" t="s">
        <v>1138</v>
      </c>
      <c r="H49" s="10" t="s">
        <v>1139</v>
      </c>
      <c r="I49" s="31" t="s">
        <v>1140</v>
      </c>
      <c r="J49" s="12" t="s">
        <v>1141</v>
      </c>
      <c r="K49" s="13" t="s">
        <v>1142</v>
      </c>
      <c r="L49" s="14">
        <v>45806</v>
      </c>
      <c r="M49" s="15"/>
      <c r="N49" s="16"/>
      <c r="O49" s="17" t="s">
        <v>1143</v>
      </c>
      <c r="P49" s="18" t="s">
        <v>1144</v>
      </c>
      <c r="Q49" s="19" t="s">
        <v>1145</v>
      </c>
      <c r="R49" s="20" t="s">
        <v>1146</v>
      </c>
      <c r="S49" s="21" t="s">
        <v>1147</v>
      </c>
      <c r="T49" s="22" t="s">
        <v>1148</v>
      </c>
      <c r="U49" s="23" t="s">
        <v>1149</v>
      </c>
      <c r="V49" s="24" t="s">
        <v>1150</v>
      </c>
      <c r="W49" s="25" t="s">
        <v>1151</v>
      </c>
      <c r="X49" s="26" t="s">
        <v>1152</v>
      </c>
      <c r="Y49" s="27" t="s">
        <v>1153</v>
      </c>
      <c r="Z49" s="28" t="s">
        <v>1154</v>
      </c>
      <c r="AA49" s="29" t="s">
        <v>1155</v>
      </c>
      <c r="AB49" s="30" t="s">
        <v>1156</v>
      </c>
      <c r="AC49" t="str">
        <f>IF(ISBLANK(H49),VLOOKUP(P49,'US Supervisor Map'!A:D,4,FALSE),MID(H49,4,6))</f>
        <v>211998</v>
      </c>
      <c r="AD49" t="str">
        <f>IFERROR(VLOOKUP(T49,'Org Map'!A:E,4),"BU Description Not Mapped")</f>
        <v>0096</v>
      </c>
      <c r="AE49">
        <f>IFERROR(VLOOKUP(V49,'Org Map'!C:E,3),"Home Department Code Not Mapped")</f>
        <v>200</v>
      </c>
      <c r="AF49" t="str">
        <f>IFERROR(VLOOKUP(AA49,'Salary Map'!A:D,3,FALSE),"Salary Code Not Mapped")</f>
        <v>Default</v>
      </c>
      <c r="AG49" t="str">
        <f>IFERROR(VLOOKUP(AA49,'Salary Map'!A:D,4,FALSE),"Salary Code Not Mapped")</f>
        <v>General</v>
      </c>
      <c r="AH49" t="str">
        <f>IFERROR(VLOOKUP(Z49,'Country Map'!A:B,2,FALSE),"Legal Country Not Mapped")</f>
        <v>US</v>
      </c>
      <c r="AI49" t="str">
        <f>IFERROR(VLOOKUP(X49,'Language Map'!A:C,3,FALSE),IFERROR(VLOOKUP(T49,'Org Map'!A:F,6,FALSE),"ADP and BU Language Code Not Mapped"))&amp;AH49</f>
        <v>en_US</v>
      </c>
      <c r="AJ49" t="str">
        <f>IFERROR(VLOOKUP(T49,'Org Map'!A:G,7),"BU Currency Not Mapped")</f>
        <v>USD</v>
      </c>
      <c r="AK49" t="str">
        <f t="shared" si="1"/>
        <v/>
      </c>
      <c r="AL49" t="str">
        <f>IFERROR(VLOOKUP(O49,'Status Map'!A:B,2,FALSE),"Position Status Not Mapped")</f>
        <v>Y</v>
      </c>
      <c r="AM49" t="str">
        <f t="shared" si="6"/>
        <v/>
      </c>
      <c r="AO49" t="str">
        <f t="shared" si="2"/>
        <v>MichaelDEllison</v>
      </c>
      <c r="AP49" t="str">
        <f t="shared" si="3"/>
        <v>Wallace</v>
      </c>
      <c r="AQ49" t="str">
        <f t="shared" si="4"/>
        <v>211998</v>
      </c>
      <c r="AR49" t="b">
        <f t="shared" si="5"/>
        <v>1</v>
      </c>
    </row>
    <row r="50" spans="1:44">
      <c r="A50" s="3" t="s">
        <v>1157</v>
      </c>
      <c r="B50" s="4" t="s">
        <v>1158</v>
      </c>
      <c r="C50" s="5" t="s">
        <v>1159</v>
      </c>
      <c r="D50" s="6" t="s">
        <v>1160</v>
      </c>
      <c r="E50" s="7" t="s">
        <v>1161</v>
      </c>
      <c r="F50" s="8" t="s">
        <v>1162</v>
      </c>
      <c r="G50" s="9" t="s">
        <v>1163</v>
      </c>
      <c r="H50" s="10" t="s">
        <v>1164</v>
      </c>
      <c r="I50" s="11" t="s">
        <v>1165</v>
      </c>
      <c r="J50" s="12" t="s">
        <v>1166</v>
      </c>
      <c r="K50" s="13" t="s">
        <v>1167</v>
      </c>
      <c r="L50" s="14">
        <v>46034</v>
      </c>
      <c r="M50" s="15"/>
      <c r="N50" s="16"/>
      <c r="O50" s="17" t="s">
        <v>1168</v>
      </c>
      <c r="P50" s="18" t="s">
        <v>1169</v>
      </c>
      <c r="Q50" s="19" t="s">
        <v>1170</v>
      </c>
      <c r="R50" s="20" t="s">
        <v>1171</v>
      </c>
      <c r="S50" s="21" t="s">
        <v>1172</v>
      </c>
      <c r="T50" s="22" t="s">
        <v>1173</v>
      </c>
      <c r="U50" s="23" t="s">
        <v>1174</v>
      </c>
      <c r="V50" s="24" t="s">
        <v>1175</v>
      </c>
      <c r="W50" s="25" t="s">
        <v>1176</v>
      </c>
      <c r="X50" s="26" t="s">
        <v>1177</v>
      </c>
      <c r="Y50" s="27" t="s">
        <v>1178</v>
      </c>
      <c r="Z50" s="28" t="s">
        <v>1179</v>
      </c>
      <c r="AA50" s="29" t="s">
        <v>1180</v>
      </c>
      <c r="AB50" s="30" t="s">
        <v>1181</v>
      </c>
      <c r="AC50" t="str">
        <f>IF(ISBLANK(H50),VLOOKUP(P50,'US Supervisor Map'!A:D,4,FALSE),MID(H50,4,6))</f>
        <v>207487</v>
      </c>
      <c r="AD50" t="str">
        <f>IFERROR(VLOOKUP(T50,'Org Map'!A:E,4),"BU Description Not Mapped")</f>
        <v>0088</v>
      </c>
      <c r="AE50">
        <f>IFERROR(VLOOKUP(V50,'Org Map'!C:E,3),"Home Department Code Not Mapped")</f>
        <v>5200</v>
      </c>
      <c r="AF50" t="str">
        <f>IFERROR(VLOOKUP(AA50,'Salary Map'!A:D,3,FALSE),"Salary Code Not Mapped")</f>
        <v>Default</v>
      </c>
      <c r="AG50" t="str">
        <f>IFERROR(VLOOKUP(AA50,'Salary Map'!A:D,4,FALSE),"Salary Code Not Mapped")</f>
        <v>General</v>
      </c>
      <c r="AH50" t="str">
        <f>IFERROR(VLOOKUP(Z50,'Country Map'!A:B,2,FALSE),"Legal Country Not Mapped")</f>
        <v>US</v>
      </c>
      <c r="AI50" t="str">
        <f>IFERROR(VLOOKUP(X50,'Language Map'!A:C,3,FALSE),IFERROR(VLOOKUP(T50,'Org Map'!A:F,6,FALSE),"ADP and BU Language Code Not Mapped"))&amp;AH50</f>
        <v>en_US</v>
      </c>
      <c r="AJ50" t="str">
        <f>IFERROR(VLOOKUP(T50,'Org Map'!A:G,7),"BU Currency Not Mapped")</f>
        <v>USD</v>
      </c>
      <c r="AK50" t="str">
        <f t="shared" si="1"/>
        <v/>
      </c>
      <c r="AL50" t="str">
        <f>IFERROR(VLOOKUP(O50,'Status Map'!A:B,2,FALSE),"Position Status Not Mapped")</f>
        <v>Y</v>
      </c>
      <c r="AM50" t="str">
        <f t="shared" si="6"/>
        <v/>
      </c>
      <c r="AO50" t="str">
        <f t="shared" si="2"/>
        <v>JohnEward</v>
      </c>
      <c r="AP50" t="str">
        <f t="shared" si="3"/>
        <v>Rogers</v>
      </c>
      <c r="AQ50" t="str">
        <f t="shared" si="4"/>
        <v>207487</v>
      </c>
      <c r="AR50" t="b">
        <f t="shared" si="5"/>
        <v>1</v>
      </c>
    </row>
    <row r="51" spans="1:44">
      <c r="A51" s="3" t="s">
        <v>1182</v>
      </c>
      <c r="B51" s="4" t="s">
        <v>1183</v>
      </c>
      <c r="C51" s="5" t="s">
        <v>1184</v>
      </c>
      <c r="D51" s="6" t="s">
        <v>1185</v>
      </c>
      <c r="E51" s="7" t="s">
        <v>1186</v>
      </c>
      <c r="F51" s="8" t="s">
        <v>1187</v>
      </c>
      <c r="G51" s="9" t="s">
        <v>1188</v>
      </c>
      <c r="H51" s="10" t="s">
        <v>1189</v>
      </c>
      <c r="I51" s="11" t="s">
        <v>1190</v>
      </c>
      <c r="J51" s="12" t="s">
        <v>1191</v>
      </c>
      <c r="K51" s="13" t="s">
        <v>1192</v>
      </c>
      <c r="L51" s="14">
        <v>43885</v>
      </c>
      <c r="M51" s="15"/>
      <c r="N51" s="16"/>
      <c r="O51" s="17" t="s">
        <v>1193</v>
      </c>
      <c r="P51" s="18" t="s">
        <v>1194</v>
      </c>
      <c r="Q51" s="19" t="s">
        <v>1195</v>
      </c>
      <c r="R51" s="20" t="s">
        <v>1196</v>
      </c>
      <c r="S51" s="21" t="s">
        <v>1197</v>
      </c>
      <c r="T51" s="22" t="s">
        <v>1198</v>
      </c>
      <c r="U51" s="23" t="s">
        <v>1199</v>
      </c>
      <c r="V51" s="24" t="s">
        <v>1200</v>
      </c>
      <c r="W51" s="25" t="s">
        <v>1201</v>
      </c>
      <c r="X51" s="26" t="s">
        <v>1202</v>
      </c>
      <c r="Y51" s="27" t="s">
        <v>1203</v>
      </c>
      <c r="Z51" s="28" t="s">
        <v>1204</v>
      </c>
      <c r="AA51" s="29" t="s">
        <v>1205</v>
      </c>
      <c r="AB51" s="30" t="s">
        <v>1206</v>
      </c>
      <c r="AC51" t="str">
        <f>IF(ISBLANK(H51),VLOOKUP(P51,'US Supervisor Map'!A:D,4,FALSE),MID(H51,4,6))</f>
        <v>901934</v>
      </c>
      <c r="AD51" t="str">
        <f>IFERROR(VLOOKUP(T51,'Org Map'!A:E,4),"BU Description Not Mapped")</f>
        <v>0096</v>
      </c>
      <c r="AE51">
        <f>IFERROR(VLOOKUP(V51,'Org Map'!C:E,3),"Home Department Code Not Mapped")</f>
        <v>820</v>
      </c>
      <c r="AF51" t="str">
        <f>IFERROR(VLOOKUP(AA51,'Salary Map'!A:D,3,FALSE),"Salary Code Not Mapped")</f>
        <v>Default</v>
      </c>
      <c r="AG51" t="str">
        <f>IFERROR(VLOOKUP(AA51,'Salary Map'!A:D,4,FALSE),"Salary Code Not Mapped")</f>
        <v>General</v>
      </c>
      <c r="AH51" t="str">
        <f>IFERROR(VLOOKUP(Z51,'Country Map'!A:B,2,FALSE),"Legal Country Not Mapped")</f>
        <v>US</v>
      </c>
      <c r="AI51" t="str">
        <f>IFERROR(VLOOKUP(X51,'Language Map'!A:C,3,FALSE),IFERROR(VLOOKUP(T51,'Org Map'!A:F,6,FALSE),"ADP and BU Language Code Not Mapped"))&amp;AH51</f>
        <v>en_US</v>
      </c>
      <c r="AJ51" t="str">
        <f>IFERROR(VLOOKUP(T51,'Org Map'!A:G,7),"BU Currency Not Mapped")</f>
        <v>USD</v>
      </c>
      <c r="AK51" t="str">
        <f t="shared" si="1"/>
        <v/>
      </c>
      <c r="AL51" t="str">
        <f>IFERROR(VLOOKUP(O51,'Status Map'!A:B,2,FALSE),"Position Status Not Mapped")</f>
        <v>Y</v>
      </c>
      <c r="AM51" t="str">
        <f t="shared" si="6"/>
        <v/>
      </c>
      <c r="AO51" t="str">
        <f t="shared" si="2"/>
        <v>DonaldCFelts</v>
      </c>
      <c r="AP51" t="str">
        <f t="shared" si="3"/>
        <v>Wilkins</v>
      </c>
      <c r="AQ51" t="str">
        <f t="shared" si="4"/>
        <v>901934</v>
      </c>
      <c r="AR51" t="b">
        <f t="shared" si="5"/>
        <v>1</v>
      </c>
    </row>
    <row r="52" spans="1:44">
      <c r="A52" s="3" t="s">
        <v>1207</v>
      </c>
      <c r="B52" s="4" t="s">
        <v>1208</v>
      </c>
      <c r="C52" s="5" t="s">
        <v>1209</v>
      </c>
      <c r="D52" s="6" t="s">
        <v>1210</v>
      </c>
      <c r="E52" s="7" t="s">
        <v>1211</v>
      </c>
      <c r="F52" s="8" t="s">
        <v>1212</v>
      </c>
      <c r="G52" s="9" t="s">
        <v>1213</v>
      </c>
      <c r="H52" s="36" t="s">
        <v>1214</v>
      </c>
      <c r="I52" s="11" t="s">
        <v>1215</v>
      </c>
      <c r="J52" s="12" t="s">
        <v>1216</v>
      </c>
      <c r="K52" s="13" t="s">
        <v>1217</v>
      </c>
      <c r="L52" s="14">
        <v>41422</v>
      </c>
      <c r="M52" s="15"/>
      <c r="N52" s="16"/>
      <c r="O52" s="17" t="s">
        <v>1218</v>
      </c>
      <c r="P52" s="18" t="s">
        <v>1219</v>
      </c>
      <c r="Q52" s="19" t="s">
        <v>1220</v>
      </c>
      <c r="R52" s="20" t="s">
        <v>1221</v>
      </c>
      <c r="S52" s="21" t="s">
        <v>1222</v>
      </c>
      <c r="T52" s="22" t="s">
        <v>1223</v>
      </c>
      <c r="U52" s="23" t="s">
        <v>1224</v>
      </c>
      <c r="V52" s="24" t="s">
        <v>1225</v>
      </c>
      <c r="W52" s="25" t="s">
        <v>1226</v>
      </c>
      <c r="X52" s="26" t="s">
        <v>1227</v>
      </c>
      <c r="Y52" s="27" t="s">
        <v>1228</v>
      </c>
      <c r="Z52" s="28" t="s">
        <v>1229</v>
      </c>
      <c r="AA52" s="29" t="s">
        <v>1230</v>
      </c>
      <c r="AB52" s="30" t="s">
        <v>1231</v>
      </c>
      <c r="AC52" s="77" t="str">
        <f>IF(ISBLANK(H52),VLOOKUP(P52,'US Supervisor Map'!A:D,4,FALSE),MID(H52,4,6))</f>
        <v/>
      </c>
      <c r="AD52" t="str">
        <f>IFERROR(VLOOKUP(T52,'Org Map'!A:E,4),"BU Description Not Mapped")</f>
        <v>0088</v>
      </c>
      <c r="AE52">
        <f>IFERROR(VLOOKUP(V52,'Org Map'!C:E,3),"Home Department Code Not Mapped")</f>
        <v>9150</v>
      </c>
      <c r="AF52" t="str">
        <f>IFERROR(VLOOKUP(AA52,'Salary Map'!A:D,3,FALSE),"Salary Code Not Mapped")</f>
        <v>Default</v>
      </c>
      <c r="AG52" t="str">
        <f>IFERROR(VLOOKUP(AA52,'Salary Map'!A:D,4,FALSE),"Salary Code Not Mapped")</f>
        <v>General</v>
      </c>
      <c r="AH52" t="str">
        <f>IFERROR(VLOOKUP(Z52,'Country Map'!A:B,2,FALSE),"Legal Country Not Mapped")</f>
        <v>US</v>
      </c>
      <c r="AI52" t="str">
        <f>IFERROR(VLOOKUP(X52,'Language Map'!A:C,3,FALSE),IFERROR(VLOOKUP(T52,'Org Map'!A:F,6,FALSE),"ADP and BU Language Code Not Mapped"))&amp;AH52</f>
        <v>en_US</v>
      </c>
      <c r="AJ52" t="str">
        <f>IFERROR(VLOOKUP(T52,'Org Map'!A:G,7),"BU Currency Not Mapped")</f>
        <v>USD</v>
      </c>
      <c r="AK52" t="str">
        <f t="shared" si="1"/>
        <v/>
      </c>
      <c r="AL52" t="str">
        <f>IFERROR(VLOOKUP(O52,'Status Map'!A:B,2,FALSE),"Position Status Not Mapped")</f>
        <v>Y</v>
      </c>
      <c r="AM52" t="str">
        <f t="shared" si="6"/>
        <v/>
      </c>
      <c r="AO52" t="str">
        <f t="shared" si="2"/>
        <v>JeffreyLFinch</v>
      </c>
      <c r="AP52" t="str">
        <f t="shared" si="3"/>
        <v>Erdogan</v>
      </c>
      <c r="AQ52" t="str">
        <f t="shared" si="4"/>
        <v>No Reports to Name</v>
      </c>
      <c r="AR52" t="b">
        <f t="shared" si="5"/>
        <v>0</v>
      </c>
    </row>
    <row r="53" spans="1:44">
      <c r="A53" s="3" t="s">
        <v>1232</v>
      </c>
      <c r="B53" s="4" t="s">
        <v>1233</v>
      </c>
      <c r="C53" s="5" t="s">
        <v>1234</v>
      </c>
      <c r="D53" s="6" t="s">
        <v>1235</v>
      </c>
      <c r="E53" s="7" t="s">
        <v>1236</v>
      </c>
      <c r="F53" s="8" t="s">
        <v>1237</v>
      </c>
      <c r="G53" s="9" t="s">
        <v>1238</v>
      </c>
      <c r="H53" s="10" t="s">
        <v>1239</v>
      </c>
      <c r="I53" s="11" t="s">
        <v>1240</v>
      </c>
      <c r="J53" s="12" t="s">
        <v>1241</v>
      </c>
      <c r="K53" s="13" t="s">
        <v>1242</v>
      </c>
      <c r="L53" s="14">
        <v>37599</v>
      </c>
      <c r="M53" s="15"/>
      <c r="N53" s="16"/>
      <c r="O53" s="17" t="s">
        <v>1243</v>
      </c>
      <c r="P53" s="18" t="s">
        <v>1244</v>
      </c>
      <c r="Q53" s="19" t="s">
        <v>1245</v>
      </c>
      <c r="R53" s="20" t="s">
        <v>1246</v>
      </c>
      <c r="S53" s="21" t="s">
        <v>1247</v>
      </c>
      <c r="T53" s="22" t="s">
        <v>1248</v>
      </c>
      <c r="U53" s="23" t="s">
        <v>1249</v>
      </c>
      <c r="V53" s="24" t="s">
        <v>1250</v>
      </c>
      <c r="W53" s="25" t="s">
        <v>1251</v>
      </c>
      <c r="X53" s="26" t="s">
        <v>1252</v>
      </c>
      <c r="Y53" s="27" t="s">
        <v>1253</v>
      </c>
      <c r="Z53" s="28" t="s">
        <v>1254</v>
      </c>
      <c r="AA53" s="29" t="s">
        <v>1255</v>
      </c>
      <c r="AB53" s="30" t="s">
        <v>1256</v>
      </c>
      <c r="AC53" t="str">
        <f>IF(ISBLANK(H53),VLOOKUP(P53,'US Supervisor Map'!A:D,4,FALSE),MID(H53,4,6))</f>
        <v>901934</v>
      </c>
      <c r="AD53" t="str">
        <f>IFERROR(VLOOKUP(T53,'Org Map'!A:E,4),"BU Description Not Mapped")</f>
        <v>0096</v>
      </c>
      <c r="AE53">
        <f>IFERROR(VLOOKUP(V53,'Org Map'!C:E,3),"Home Department Code Not Mapped")</f>
        <v>820</v>
      </c>
      <c r="AF53" t="str">
        <f>IFERROR(VLOOKUP(AA53,'Salary Map'!A:D,3,FALSE),"Salary Code Not Mapped")</f>
        <v>Default</v>
      </c>
      <c r="AG53" t="str">
        <f>IFERROR(VLOOKUP(AA53,'Salary Map'!A:D,4,FALSE),"Salary Code Not Mapped")</f>
        <v>General</v>
      </c>
      <c r="AH53" t="str">
        <f>IFERROR(VLOOKUP(Z53,'Country Map'!A:B,2,FALSE),"Legal Country Not Mapped")</f>
        <v>US</v>
      </c>
      <c r="AI53" t="str">
        <f>IFERROR(VLOOKUP(X53,'Language Map'!A:C,3,FALSE),IFERROR(VLOOKUP(T53,'Org Map'!A:F,6,FALSE),"ADP and BU Language Code Not Mapped"))&amp;AH53</f>
        <v>en_US</v>
      </c>
      <c r="AJ53" t="str">
        <f>IFERROR(VLOOKUP(T53,'Org Map'!A:G,7),"BU Currency Not Mapped")</f>
        <v>USD</v>
      </c>
      <c r="AK53" t="str">
        <f t="shared" si="1"/>
        <v/>
      </c>
      <c r="AL53" t="str">
        <f>IFERROR(VLOOKUP(O53,'Status Map'!A:B,2,FALSE),"Position Status Not Mapped")</f>
        <v>Y</v>
      </c>
      <c r="AM53" t="str">
        <f t="shared" si="6"/>
        <v/>
      </c>
      <c r="AO53" t="str">
        <f t="shared" si="2"/>
        <v>JohnFoisel</v>
      </c>
      <c r="AP53" t="str">
        <f t="shared" si="3"/>
        <v>Wilkins</v>
      </c>
      <c r="AQ53" t="str">
        <f t="shared" si="4"/>
        <v>901934</v>
      </c>
      <c r="AR53" t="b">
        <f t="shared" si="5"/>
        <v>1</v>
      </c>
    </row>
    <row r="54" spans="1:44">
      <c r="A54" s="3" t="s">
        <v>1257</v>
      </c>
      <c r="B54" s="4" t="s">
        <v>1258</v>
      </c>
      <c r="C54" s="5" t="s">
        <v>1259</v>
      </c>
      <c r="D54" s="6" t="s">
        <v>1260</v>
      </c>
      <c r="E54" s="7" t="s">
        <v>1261</v>
      </c>
      <c r="F54" s="8" t="s">
        <v>1262</v>
      </c>
      <c r="G54" s="9" t="s">
        <v>1263</v>
      </c>
      <c r="H54" s="10" t="s">
        <v>1264</v>
      </c>
      <c r="I54" s="11" t="s">
        <v>1265</v>
      </c>
      <c r="J54" s="12" t="s">
        <v>1266</v>
      </c>
      <c r="K54" s="13" t="s">
        <v>1267</v>
      </c>
      <c r="L54" s="14">
        <v>45838</v>
      </c>
      <c r="M54" s="15"/>
      <c r="N54" s="16"/>
      <c r="O54" s="17" t="s">
        <v>1268</v>
      </c>
      <c r="P54" s="18" t="s">
        <v>1269</v>
      </c>
      <c r="Q54" s="19" t="s">
        <v>1270</v>
      </c>
      <c r="R54" s="20" t="s">
        <v>1271</v>
      </c>
      <c r="S54" s="21" t="s">
        <v>1272</v>
      </c>
      <c r="T54" s="22" t="s">
        <v>1273</v>
      </c>
      <c r="U54" s="23" t="s">
        <v>1274</v>
      </c>
      <c r="V54" s="24" t="s">
        <v>1275</v>
      </c>
      <c r="W54" s="25" t="s">
        <v>1276</v>
      </c>
      <c r="X54" s="26" t="s">
        <v>1277</v>
      </c>
      <c r="Y54" s="27" t="s">
        <v>1278</v>
      </c>
      <c r="Z54" s="28" t="s">
        <v>1279</v>
      </c>
      <c r="AA54" s="29" t="s">
        <v>1280</v>
      </c>
      <c r="AB54" s="30" t="s">
        <v>1281</v>
      </c>
      <c r="AC54" t="str">
        <f>IF(ISBLANK(H54),VLOOKUP(P54,'US Supervisor Map'!A:D,4,FALSE),MID(H54,4,6))</f>
        <v>211756</v>
      </c>
      <c r="AD54" t="str">
        <f>IFERROR(VLOOKUP(T54,'Org Map'!A:E,4),"BU Description Not Mapped")</f>
        <v>0088</v>
      </c>
      <c r="AE54">
        <f>IFERROR(VLOOKUP(V54,'Org Map'!C:E,3),"Home Department Code Not Mapped")</f>
        <v>5100</v>
      </c>
      <c r="AF54" t="str">
        <f>IFERROR(VLOOKUP(AA54,'Salary Map'!A:D,3,FALSE),"Salary Code Not Mapped")</f>
        <v>Default</v>
      </c>
      <c r="AG54" t="str">
        <f>IFERROR(VLOOKUP(AA54,'Salary Map'!A:D,4,FALSE),"Salary Code Not Mapped")</f>
        <v>General</v>
      </c>
      <c r="AH54" t="str">
        <f>IFERROR(VLOOKUP(Z54,'Country Map'!A:B,2,FALSE),"Legal Country Not Mapped")</f>
        <v>US</v>
      </c>
      <c r="AI54" t="str">
        <f>IFERROR(VLOOKUP(X54,'Language Map'!A:C,3,FALSE),IFERROR(VLOOKUP(T54,'Org Map'!A:F,6,FALSE),"ADP and BU Language Code Not Mapped"))&amp;AH54</f>
        <v>en_US</v>
      </c>
      <c r="AJ54" t="str">
        <f>IFERROR(VLOOKUP(T54,'Org Map'!A:G,7),"BU Currency Not Mapped")</f>
        <v>USD</v>
      </c>
      <c r="AK54" t="str">
        <f t="shared" si="1"/>
        <v/>
      </c>
      <c r="AL54" t="str">
        <f>IFERROR(VLOOKUP(O54,'Status Map'!A:B,2,FALSE),"Position Status Not Mapped")</f>
        <v>Y</v>
      </c>
      <c r="AM54" t="str">
        <f t="shared" si="6"/>
        <v/>
      </c>
      <c r="AO54" t="str">
        <f t="shared" si="2"/>
        <v>ConnerJFrankforther</v>
      </c>
      <c r="AP54" t="str">
        <f t="shared" si="3"/>
        <v>Burchell</v>
      </c>
      <c r="AQ54" t="str">
        <f t="shared" si="4"/>
        <v>211756</v>
      </c>
      <c r="AR54" t="b">
        <f t="shared" si="5"/>
        <v>1</v>
      </c>
    </row>
    <row r="55" spans="1:44">
      <c r="A55" s="3" t="s">
        <v>1282</v>
      </c>
      <c r="B55" s="4" t="s">
        <v>1283</v>
      </c>
      <c r="C55" s="5" t="s">
        <v>1284</v>
      </c>
      <c r="D55" s="6" t="s">
        <v>1285</v>
      </c>
      <c r="E55" s="7" t="s">
        <v>1286</v>
      </c>
      <c r="F55" s="8" t="s">
        <v>1287</v>
      </c>
      <c r="G55" s="9" t="s">
        <v>1288</v>
      </c>
      <c r="H55" s="10" t="s">
        <v>1289</v>
      </c>
      <c r="I55" s="11" t="s">
        <v>1290</v>
      </c>
      <c r="J55" s="12" t="s">
        <v>1291</v>
      </c>
      <c r="K55" s="13" t="s">
        <v>1292</v>
      </c>
      <c r="L55" s="14">
        <v>45719</v>
      </c>
      <c r="M55" s="15"/>
      <c r="N55" s="16"/>
      <c r="O55" s="17" t="s">
        <v>1293</v>
      </c>
      <c r="P55" s="18" t="s">
        <v>1294</v>
      </c>
      <c r="Q55" s="19" t="s">
        <v>1295</v>
      </c>
      <c r="R55" s="20" t="s">
        <v>1296</v>
      </c>
      <c r="S55" s="21" t="s">
        <v>1297</v>
      </c>
      <c r="T55" s="22" t="s">
        <v>1298</v>
      </c>
      <c r="U55" s="23" t="s">
        <v>1299</v>
      </c>
      <c r="V55" s="24" t="s">
        <v>1300</v>
      </c>
      <c r="W55" s="25" t="s">
        <v>1301</v>
      </c>
      <c r="X55" s="26" t="s">
        <v>1302</v>
      </c>
      <c r="Y55" s="27" t="s">
        <v>1303</v>
      </c>
      <c r="Z55" s="28" t="s">
        <v>1304</v>
      </c>
      <c r="AA55" s="29" t="s">
        <v>1305</v>
      </c>
      <c r="AB55" s="30" t="s">
        <v>1306</v>
      </c>
      <c r="AC55" t="str">
        <f>IF(ISBLANK(H55),VLOOKUP(P55,'US Supervisor Map'!A:D,4,FALSE),MID(H55,4,6))</f>
        <v>211736</v>
      </c>
      <c r="AD55" t="str">
        <f>IFERROR(VLOOKUP(T55,'Org Map'!A:E,4),"BU Description Not Mapped")</f>
        <v>0088</v>
      </c>
      <c r="AE55">
        <f>IFERROR(VLOOKUP(V55,'Org Map'!C:E,3),"Home Department Code Not Mapped")</f>
        <v>5200</v>
      </c>
      <c r="AF55" t="str">
        <f>IFERROR(VLOOKUP(AA55,'Salary Map'!A:D,3,FALSE),"Salary Code Not Mapped")</f>
        <v>Default</v>
      </c>
      <c r="AG55" t="str">
        <f>IFERROR(VLOOKUP(AA55,'Salary Map'!A:D,4,FALSE),"Salary Code Not Mapped")</f>
        <v>General</v>
      </c>
      <c r="AH55" t="str">
        <f>IFERROR(VLOOKUP(Z55,'Country Map'!A:B,2,FALSE),"Legal Country Not Mapped")</f>
        <v>US</v>
      </c>
      <c r="AI55" t="str">
        <f>IFERROR(VLOOKUP(X55,'Language Map'!A:C,3,FALSE),IFERROR(VLOOKUP(T55,'Org Map'!A:F,6,FALSE),"ADP and BU Language Code Not Mapped"))&amp;AH55</f>
        <v>en_US</v>
      </c>
      <c r="AJ55" t="str">
        <f>IFERROR(VLOOKUP(T55,'Org Map'!A:G,7),"BU Currency Not Mapped")</f>
        <v>USD</v>
      </c>
      <c r="AK55" t="str">
        <f t="shared" si="1"/>
        <v/>
      </c>
      <c r="AL55" t="str">
        <f>IFERROR(VLOOKUP(O55,'Status Map'!A:B,2,FALSE),"Position Status Not Mapped")</f>
        <v>Y</v>
      </c>
      <c r="AM55" t="str">
        <f t="shared" si="6"/>
        <v/>
      </c>
      <c r="AO55" t="str">
        <f t="shared" si="2"/>
        <v>DillonMFrankforther</v>
      </c>
      <c r="AP55" t="str">
        <f t="shared" si="3"/>
        <v>LaPlante</v>
      </c>
      <c r="AQ55" t="str">
        <f t="shared" si="4"/>
        <v>211736</v>
      </c>
      <c r="AR55" t="b">
        <f t="shared" si="5"/>
        <v>1</v>
      </c>
    </row>
    <row r="56" spans="1:44">
      <c r="A56" s="3" t="s">
        <v>1307</v>
      </c>
      <c r="B56" s="4" t="s">
        <v>1308</v>
      </c>
      <c r="C56" s="5" t="s">
        <v>1309</v>
      </c>
      <c r="D56" s="6" t="s">
        <v>1310</v>
      </c>
      <c r="E56" s="7" t="s">
        <v>1311</v>
      </c>
      <c r="F56" s="8" t="s">
        <v>1312</v>
      </c>
      <c r="G56" s="9" t="s">
        <v>1313</v>
      </c>
      <c r="H56" s="10" t="s">
        <v>1314</v>
      </c>
      <c r="I56" s="11" t="s">
        <v>1315</v>
      </c>
      <c r="J56" s="12" t="s">
        <v>1316</v>
      </c>
      <c r="K56" s="13" t="s">
        <v>1317</v>
      </c>
      <c r="L56" s="14">
        <v>37410</v>
      </c>
      <c r="M56" s="15"/>
      <c r="N56" s="16"/>
      <c r="O56" s="17" t="s">
        <v>1318</v>
      </c>
      <c r="P56" s="18" t="s">
        <v>1319</v>
      </c>
      <c r="Q56" s="19" t="s">
        <v>1320</v>
      </c>
      <c r="R56" s="20" t="s">
        <v>1321</v>
      </c>
      <c r="S56" s="21" t="s">
        <v>1322</v>
      </c>
      <c r="T56" s="22" t="s">
        <v>1323</v>
      </c>
      <c r="U56" s="23" t="s">
        <v>1324</v>
      </c>
      <c r="V56" s="24" t="s">
        <v>1325</v>
      </c>
      <c r="W56" s="25" t="s">
        <v>1326</v>
      </c>
      <c r="X56" s="26" t="s">
        <v>1327</v>
      </c>
      <c r="Y56" s="27" t="s">
        <v>1328</v>
      </c>
      <c r="Z56" s="28" t="s">
        <v>1329</v>
      </c>
      <c r="AA56" s="29" t="s">
        <v>1330</v>
      </c>
      <c r="AB56" s="30" t="s">
        <v>1331</v>
      </c>
      <c r="AC56" t="str">
        <f>IF(ISBLANK(H56),VLOOKUP(P56,'US Supervisor Map'!A:D,4,FALSE),MID(H56,4,6))</f>
        <v>211062</v>
      </c>
      <c r="AD56" t="str">
        <f>IFERROR(VLOOKUP(T56,'Org Map'!A:E,4),"BU Description Not Mapped")</f>
        <v>0096</v>
      </c>
      <c r="AE56">
        <f>IFERROR(VLOOKUP(V56,'Org Map'!C:E,3),"Home Department Code Not Mapped")</f>
        <v>100</v>
      </c>
      <c r="AF56" t="str">
        <f>IFERROR(VLOOKUP(AA56,'Salary Map'!A:D,3,FALSE),"Salary Code Not Mapped")</f>
        <v>Default</v>
      </c>
      <c r="AG56" t="str">
        <f>IFERROR(VLOOKUP(AA56,'Salary Map'!A:D,4,FALSE),"Salary Code Not Mapped")</f>
        <v>General</v>
      </c>
      <c r="AH56" t="str">
        <f>IFERROR(VLOOKUP(Z56,'Country Map'!A:B,2,FALSE),"Legal Country Not Mapped")</f>
        <v>US</v>
      </c>
      <c r="AI56" t="str">
        <f>IFERROR(VLOOKUP(X56,'Language Map'!A:C,3,FALSE),IFERROR(VLOOKUP(T56,'Org Map'!A:F,6,FALSE),"ADP and BU Language Code Not Mapped"))&amp;AH56</f>
        <v>en_US</v>
      </c>
      <c r="AJ56" t="str">
        <f>IFERROR(VLOOKUP(T56,'Org Map'!A:G,7),"BU Currency Not Mapped")</f>
        <v>USD</v>
      </c>
      <c r="AK56" t="str">
        <f t="shared" si="1"/>
        <v/>
      </c>
      <c r="AL56" t="str">
        <f>IFERROR(VLOOKUP(O56,'Status Map'!A:B,2,FALSE),"Position Status Not Mapped")</f>
        <v>Y</v>
      </c>
      <c r="AM56" t="str">
        <f t="shared" si="6"/>
        <v/>
      </c>
      <c r="AO56" t="str">
        <f t="shared" si="2"/>
        <v>AnthonyJFrimel</v>
      </c>
      <c r="AP56" t="str">
        <f t="shared" si="3"/>
        <v>Steen</v>
      </c>
      <c r="AQ56" t="str">
        <f t="shared" si="4"/>
        <v>211062</v>
      </c>
      <c r="AR56" t="b">
        <f t="shared" si="5"/>
        <v>1</v>
      </c>
    </row>
    <row r="57" spans="1:44">
      <c r="A57" s="3" t="s">
        <v>1332</v>
      </c>
      <c r="B57" s="4" t="s">
        <v>1333</v>
      </c>
      <c r="C57" s="5" t="s">
        <v>1334</v>
      </c>
      <c r="D57" s="6" t="s">
        <v>1335</v>
      </c>
      <c r="E57" s="7" t="s">
        <v>1336</v>
      </c>
      <c r="F57" s="8" t="s">
        <v>1337</v>
      </c>
      <c r="G57" s="9" t="s">
        <v>1338</v>
      </c>
      <c r="H57" s="10" t="s">
        <v>1339</v>
      </c>
      <c r="I57" s="11" t="s">
        <v>1340</v>
      </c>
      <c r="J57" s="12" t="s">
        <v>1341</v>
      </c>
      <c r="K57" s="13" t="s">
        <v>1342</v>
      </c>
      <c r="L57" s="14">
        <v>37704</v>
      </c>
      <c r="M57" s="15"/>
      <c r="N57" s="16"/>
      <c r="O57" s="17" t="s">
        <v>1343</v>
      </c>
      <c r="P57" s="18" t="s">
        <v>1344</v>
      </c>
      <c r="Q57" s="19" t="s">
        <v>1345</v>
      </c>
      <c r="R57" s="20" t="s">
        <v>1346</v>
      </c>
      <c r="S57" s="21" t="s">
        <v>1347</v>
      </c>
      <c r="T57" s="22" t="s">
        <v>1348</v>
      </c>
      <c r="U57" s="23" t="s">
        <v>1349</v>
      </c>
      <c r="V57" s="24" t="s">
        <v>1350</v>
      </c>
      <c r="W57" s="25" t="s">
        <v>1351</v>
      </c>
      <c r="X57" s="26" t="s">
        <v>1352</v>
      </c>
      <c r="Y57" s="27" t="s">
        <v>1353</v>
      </c>
      <c r="Z57" s="28" t="s">
        <v>1354</v>
      </c>
      <c r="AA57" s="29" t="s">
        <v>1355</v>
      </c>
      <c r="AB57" s="30" t="s">
        <v>1356</v>
      </c>
      <c r="AC57" t="str">
        <f>IF(ISBLANK(H57),VLOOKUP(P57,'US Supervisor Map'!A:D,4,FALSE),MID(H57,4,6))</f>
        <v>213037</v>
      </c>
      <c r="AD57" t="str">
        <f>IFERROR(VLOOKUP(T57,'Org Map'!A:E,4),"BU Description Not Mapped")</f>
        <v>0096</v>
      </c>
      <c r="AE57">
        <f>IFERROR(VLOOKUP(V57,'Org Map'!C:E,3),"Home Department Code Not Mapped")</f>
        <v>555</v>
      </c>
      <c r="AF57" t="str">
        <f>IFERROR(VLOOKUP(AA57,'Salary Map'!A:D,3,FALSE),"Salary Code Not Mapped")</f>
        <v>Default</v>
      </c>
      <c r="AG57" t="str">
        <f>IFERROR(VLOOKUP(AA57,'Salary Map'!A:D,4,FALSE),"Salary Code Not Mapped")</f>
        <v>General</v>
      </c>
      <c r="AH57" t="str">
        <f>IFERROR(VLOOKUP(Z57,'Country Map'!A:B,2,FALSE),"Legal Country Not Mapped")</f>
        <v>US</v>
      </c>
      <c r="AI57" t="str">
        <f>IFERROR(VLOOKUP(X57,'Language Map'!A:C,3,FALSE),IFERROR(VLOOKUP(T57,'Org Map'!A:F,6,FALSE),"ADP and BU Language Code Not Mapped"))&amp;AH57</f>
        <v>en_US</v>
      </c>
      <c r="AJ57" t="str">
        <f>IFERROR(VLOOKUP(T57,'Org Map'!A:G,7),"BU Currency Not Mapped")</f>
        <v>USD</v>
      </c>
      <c r="AK57" t="str">
        <f t="shared" si="1"/>
        <v/>
      </c>
      <c r="AL57" t="str">
        <f>IFERROR(VLOOKUP(O57,'Status Map'!A:B,2,FALSE),"Position Status Not Mapped")</f>
        <v>Y</v>
      </c>
      <c r="AM57" t="str">
        <f t="shared" si="6"/>
        <v/>
      </c>
      <c r="AO57" t="str">
        <f t="shared" si="2"/>
        <v>TerryLGang</v>
      </c>
      <c r="AP57" t="str">
        <f t="shared" si="3"/>
        <v>Bate</v>
      </c>
      <c r="AQ57" t="str">
        <f t="shared" si="4"/>
        <v>213037</v>
      </c>
      <c r="AR57" t="b">
        <f t="shared" si="5"/>
        <v>1</v>
      </c>
    </row>
    <row r="58" spans="1:44">
      <c r="A58" s="3" t="s">
        <v>1357</v>
      </c>
      <c r="B58" s="4" t="s">
        <v>1358</v>
      </c>
      <c r="C58" s="5" t="s">
        <v>1359</v>
      </c>
      <c r="D58" s="6" t="s">
        <v>1360</v>
      </c>
      <c r="E58" s="7" t="s">
        <v>1361</v>
      </c>
      <c r="F58" s="8" t="s">
        <v>1362</v>
      </c>
      <c r="G58" s="9" t="s">
        <v>1363</v>
      </c>
      <c r="H58" s="36" t="s">
        <v>1364</v>
      </c>
      <c r="I58" s="11" t="s">
        <v>1365</v>
      </c>
      <c r="J58" s="12" t="s">
        <v>1366</v>
      </c>
      <c r="K58" s="13" t="s">
        <v>1367</v>
      </c>
      <c r="L58" s="14">
        <v>46265</v>
      </c>
      <c r="M58" s="15"/>
      <c r="N58" s="16"/>
      <c r="O58" s="17" t="s">
        <v>1368</v>
      </c>
      <c r="P58" s="18" t="s">
        <v>1369</v>
      </c>
      <c r="Q58" s="19" t="s">
        <v>1370</v>
      </c>
      <c r="R58" s="20" t="s">
        <v>1371</v>
      </c>
      <c r="S58" s="21" t="s">
        <v>1372</v>
      </c>
      <c r="T58" s="22" t="s">
        <v>1373</v>
      </c>
      <c r="U58" s="23" t="s">
        <v>1374</v>
      </c>
      <c r="V58" s="24" t="s">
        <v>1375</v>
      </c>
      <c r="W58" s="25" t="s">
        <v>1376</v>
      </c>
      <c r="X58" s="26" t="s">
        <v>1377</v>
      </c>
      <c r="Y58" s="27" t="s">
        <v>1378</v>
      </c>
      <c r="Z58" s="28" t="s">
        <v>1379</v>
      </c>
      <c r="AA58" s="29" t="s">
        <v>1380</v>
      </c>
      <c r="AB58" s="30" t="s">
        <v>1381</v>
      </c>
      <c r="AC58" s="77" t="str">
        <f>IF(ISBLANK(H58),VLOOKUP(P58,'US Supervisor Map'!A:D,4,FALSE),MID(H58,4,6))</f>
        <v/>
      </c>
      <c r="AD58" t="str">
        <f>IFERROR(VLOOKUP(T58,'Org Map'!A:E,4),"BU Description Not Mapped")</f>
        <v>0096</v>
      </c>
      <c r="AE58" s="77" t="str">
        <f>IFERROR(VLOOKUP(V58,'Org Map'!C:E,3),"Home Department Code Not Mapped")</f>
        <v>0007</v>
      </c>
      <c r="AF58" t="str">
        <f>IFERROR(VLOOKUP(AA58,'Salary Map'!A:D,3,FALSE),"Salary Code Not Mapped")</f>
        <v>Default</v>
      </c>
      <c r="AG58" t="str">
        <f>IFERROR(VLOOKUP(AA58,'Salary Map'!A:D,4,FALSE),"Salary Code Not Mapped")</f>
        <v>General</v>
      </c>
      <c r="AH58" t="str">
        <f>IFERROR(VLOOKUP(Z58,'Country Map'!A:B,2,FALSE),"Legal Country Not Mapped")</f>
        <v>US</v>
      </c>
      <c r="AI58" t="str">
        <f>IFERROR(VLOOKUP(X58,'Language Map'!A:C,3,FALSE),IFERROR(VLOOKUP(T58,'Org Map'!A:F,6,FALSE),"ADP and BU Language Code Not Mapped"))&amp;AH58</f>
        <v>en_US</v>
      </c>
      <c r="AJ58" t="str">
        <f>IFERROR(VLOOKUP(T58,'Org Map'!A:G,7),"BU Currency Not Mapped")</f>
        <v>USD</v>
      </c>
      <c r="AK58" t="str">
        <f t="shared" si="1"/>
        <v/>
      </c>
      <c r="AL58" t="str">
        <f>IFERROR(VLOOKUP(O58,'Status Map'!A:B,2,FALSE),"Position Status Not Mapped")</f>
        <v>Y</v>
      </c>
      <c r="AM58" t="str">
        <f t="shared" si="6"/>
        <v/>
      </c>
      <c r="AO58" t="str">
        <f t="shared" si="2"/>
        <v>AnneMGarber</v>
      </c>
      <c r="AP58" t="str">
        <f t="shared" si="3"/>
        <v>Bate</v>
      </c>
      <c r="AQ58" t="str">
        <f t="shared" si="4"/>
        <v>213037</v>
      </c>
      <c r="AR58" t="b">
        <f t="shared" si="5"/>
        <v>0</v>
      </c>
    </row>
    <row r="59" spans="1:44">
      <c r="A59" s="3" t="s">
        <v>1382</v>
      </c>
      <c r="B59" s="4" t="s">
        <v>1383</v>
      </c>
      <c r="C59" s="5" t="s">
        <v>1384</v>
      </c>
      <c r="D59" s="6" t="s">
        <v>1385</v>
      </c>
      <c r="E59" s="7" t="s">
        <v>1386</v>
      </c>
      <c r="F59" s="8" t="s">
        <v>1387</v>
      </c>
      <c r="G59" s="9" t="s">
        <v>1388</v>
      </c>
      <c r="H59" s="36" t="s">
        <v>1389</v>
      </c>
      <c r="I59" s="11" t="s">
        <v>1390</v>
      </c>
      <c r="J59" s="12" t="s">
        <v>1391</v>
      </c>
      <c r="K59" s="13" t="s">
        <v>1392</v>
      </c>
      <c r="L59" s="14">
        <v>44942</v>
      </c>
      <c r="M59" s="15">
        <v>46148</v>
      </c>
      <c r="N59" s="16"/>
      <c r="O59" s="17" t="s">
        <v>1393</v>
      </c>
      <c r="P59" s="18" t="s">
        <v>1394</v>
      </c>
      <c r="Q59" s="19" t="s">
        <v>1395</v>
      </c>
      <c r="R59" s="20" t="s">
        <v>1396</v>
      </c>
      <c r="S59" s="21" t="s">
        <v>1397</v>
      </c>
      <c r="T59" s="22" t="s">
        <v>1398</v>
      </c>
      <c r="U59" s="23" t="s">
        <v>1399</v>
      </c>
      <c r="V59" s="24" t="s">
        <v>1400</v>
      </c>
      <c r="W59" s="25" t="s">
        <v>1401</v>
      </c>
      <c r="X59" s="26" t="s">
        <v>1402</v>
      </c>
      <c r="Y59" s="27" t="s">
        <v>1403</v>
      </c>
      <c r="Z59" s="28" t="s">
        <v>1404</v>
      </c>
      <c r="AA59" s="29" t="s">
        <v>1405</v>
      </c>
      <c r="AB59" s="30" t="s">
        <v>1406</v>
      </c>
      <c r="AC59" s="77" t="str">
        <f>IF(ISBLANK(H59),VLOOKUP(P59,'US Supervisor Map'!A:D,4,FALSE),MID(H59,4,6))</f>
        <v/>
      </c>
      <c r="AD59" t="str">
        <f>IFERROR(VLOOKUP(T59,'Org Map'!A:E,4),"BU Description Not Mapped")</f>
        <v>0088</v>
      </c>
      <c r="AE59" t="str">
        <f>IFERROR(VLOOKUP(V59,'Org Map'!C:E,3),"Home Department Code Not Mapped")</f>
        <v>Home Department Code Not Mapped</v>
      </c>
      <c r="AF59" t="str">
        <f>IFERROR(VLOOKUP(AA59,'Salary Map'!A:D,3,FALSE),"Salary Code Not Mapped")</f>
        <v>Default</v>
      </c>
      <c r="AG59" t="str">
        <f>IFERROR(VLOOKUP(AA59,'Salary Map'!A:D,4,FALSE),"Salary Code Not Mapped")</f>
        <v>General</v>
      </c>
      <c r="AH59" t="str">
        <f>IFERROR(VLOOKUP(Z59,'Country Map'!A:B,2,FALSE),"Legal Country Not Mapped")</f>
        <v>US</v>
      </c>
      <c r="AI59" t="str">
        <f>IFERROR(VLOOKUP(X59,'Language Map'!A:C,3,FALSE),IFERROR(VLOOKUP(T59,'Org Map'!A:F,6,FALSE),"ADP and BU Language Code Not Mapped"))&amp;AH59</f>
        <v>en_US</v>
      </c>
      <c r="AJ59" t="str">
        <f>IFERROR(VLOOKUP(T59,'Org Map'!A:G,7),"BU Currency Not Mapped")</f>
        <v>USD</v>
      </c>
      <c r="AK59" t="str">
        <f t="shared" si="1"/>
        <v/>
      </c>
      <c r="AL59" t="str">
        <f>IFERROR(VLOOKUP(O59,'Status Map'!A:B,2,FALSE),"Position Status Not Mapped")</f>
        <v>N</v>
      </c>
      <c r="AM59" t="str">
        <f t="shared" si="6"/>
        <v>20260506</v>
      </c>
      <c r="AN59" t="str">
        <f>IF(M59&gt;AN54,"Fix and Include Record","Exclude record termination over 45 days ago")</f>
        <v>Fix and Include Record</v>
      </c>
      <c r="AO59" t="str">
        <f t="shared" si="2"/>
        <v>EvelynGonzalez</v>
      </c>
      <c r="AP59" t="e">
        <f t="shared" si="3"/>
        <v>#VALUE!</v>
      </c>
      <c r="AQ59" t="str">
        <f t="shared" si="4"/>
        <v>No Reports to Name</v>
      </c>
      <c r="AR59" t="b">
        <f t="shared" si="5"/>
        <v>0</v>
      </c>
    </row>
    <row r="60" spans="1:44">
      <c r="A60" s="3" t="s">
        <v>1407</v>
      </c>
      <c r="B60" s="4" t="s">
        <v>1408</v>
      </c>
      <c r="C60" s="5" t="s">
        <v>1409</v>
      </c>
      <c r="D60" s="6" t="s">
        <v>1410</v>
      </c>
      <c r="E60" s="7" t="s">
        <v>1411</v>
      </c>
      <c r="F60" s="8" t="s">
        <v>1412</v>
      </c>
      <c r="G60" s="9" t="s">
        <v>1413</v>
      </c>
      <c r="H60" s="10" t="s">
        <v>1414</v>
      </c>
      <c r="I60" s="11" t="s">
        <v>1415</v>
      </c>
      <c r="J60" s="12" t="s">
        <v>1416</v>
      </c>
      <c r="K60" s="13" t="s">
        <v>1417</v>
      </c>
      <c r="L60" s="14">
        <v>45789</v>
      </c>
      <c r="M60" s="15"/>
      <c r="N60" s="16"/>
      <c r="O60" s="17" t="s">
        <v>1418</v>
      </c>
      <c r="P60" s="18" t="s">
        <v>1419</v>
      </c>
      <c r="Q60" s="19" t="s">
        <v>1420</v>
      </c>
      <c r="R60" s="20" t="s">
        <v>1421</v>
      </c>
      <c r="S60" s="21" t="s">
        <v>1422</v>
      </c>
      <c r="T60" s="22" t="s">
        <v>1423</v>
      </c>
      <c r="U60" s="23" t="s">
        <v>1424</v>
      </c>
      <c r="V60" s="24" t="s">
        <v>1425</v>
      </c>
      <c r="W60" s="25" t="s">
        <v>1426</v>
      </c>
      <c r="X60" s="26" t="s">
        <v>1427</v>
      </c>
      <c r="Y60" s="27" t="s">
        <v>1428</v>
      </c>
      <c r="Z60" s="28" t="s">
        <v>1429</v>
      </c>
      <c r="AA60" s="29" t="s">
        <v>1430</v>
      </c>
      <c r="AB60" s="30" t="s">
        <v>1431</v>
      </c>
      <c r="AC60" t="str">
        <f>IF(ISBLANK(H60),VLOOKUP(P60,'US Supervisor Map'!A:D,4,FALSE),MID(H60,4,6))</f>
        <v>211756</v>
      </c>
      <c r="AD60" t="str">
        <f>IFERROR(VLOOKUP(T60,'Org Map'!A:E,4),"BU Description Not Mapped")</f>
        <v>0088</v>
      </c>
      <c r="AE60">
        <f>IFERROR(VLOOKUP(V60,'Org Map'!C:E,3),"Home Department Code Not Mapped")</f>
        <v>5100</v>
      </c>
      <c r="AF60" t="str">
        <f>IFERROR(VLOOKUP(AA60,'Salary Map'!A:D,3,FALSE),"Salary Code Not Mapped")</f>
        <v>Default</v>
      </c>
      <c r="AG60" t="str">
        <f>IFERROR(VLOOKUP(AA60,'Salary Map'!A:D,4,FALSE),"Salary Code Not Mapped")</f>
        <v>General</v>
      </c>
      <c r="AH60" t="str">
        <f>IFERROR(VLOOKUP(Z60,'Country Map'!A:B,2,FALSE),"Legal Country Not Mapped")</f>
        <v>US</v>
      </c>
      <c r="AI60" t="str">
        <f>IFERROR(VLOOKUP(X60,'Language Map'!A:C,3,FALSE),IFERROR(VLOOKUP(T60,'Org Map'!A:F,6,FALSE),"ADP and BU Language Code Not Mapped"))&amp;AH60</f>
        <v>en_US</v>
      </c>
      <c r="AJ60" t="str">
        <f>IFERROR(VLOOKUP(T60,'Org Map'!A:G,7),"BU Currency Not Mapped")</f>
        <v>USD</v>
      </c>
      <c r="AK60" t="str">
        <f t="shared" si="1"/>
        <v/>
      </c>
      <c r="AL60" t="str">
        <f>IFERROR(VLOOKUP(O60,'Status Map'!A:B,2,FALSE),"Position Status Not Mapped")</f>
        <v>Y</v>
      </c>
      <c r="AM60" t="str">
        <f t="shared" si="6"/>
        <v/>
      </c>
      <c r="AO60" t="str">
        <f t="shared" si="2"/>
        <v>CristelGrandowicz</v>
      </c>
      <c r="AP60" t="str">
        <f t="shared" si="3"/>
        <v>Burchell</v>
      </c>
      <c r="AQ60" t="str">
        <f t="shared" si="4"/>
        <v>211756</v>
      </c>
      <c r="AR60" t="b">
        <f t="shared" si="5"/>
        <v>1</v>
      </c>
    </row>
    <row r="61" spans="1:44">
      <c r="A61" s="3" t="s">
        <v>1432</v>
      </c>
      <c r="B61" s="4" t="s">
        <v>1433</v>
      </c>
      <c r="C61" s="5" t="s">
        <v>1434</v>
      </c>
      <c r="D61" s="6" t="s">
        <v>1435</v>
      </c>
      <c r="E61" s="7" t="s">
        <v>1436</v>
      </c>
      <c r="F61" s="8" t="s">
        <v>1437</v>
      </c>
      <c r="G61" s="9" t="s">
        <v>1438</v>
      </c>
      <c r="H61" s="10" t="s">
        <v>1439</v>
      </c>
      <c r="I61" s="11" t="s">
        <v>1440</v>
      </c>
      <c r="J61" s="12" t="s">
        <v>1441</v>
      </c>
      <c r="K61" s="13" t="s">
        <v>1442</v>
      </c>
      <c r="L61" s="14">
        <v>46181</v>
      </c>
      <c r="M61" s="15"/>
      <c r="N61" s="16"/>
      <c r="O61" s="17" t="s">
        <v>1443</v>
      </c>
      <c r="P61" s="18" t="s">
        <v>1444</v>
      </c>
      <c r="Q61" s="19" t="s">
        <v>1445</v>
      </c>
      <c r="R61" s="20" t="s">
        <v>1446</v>
      </c>
      <c r="S61" s="21" t="s">
        <v>1447</v>
      </c>
      <c r="T61" s="22" t="s">
        <v>1448</v>
      </c>
      <c r="U61" s="23" t="s">
        <v>1449</v>
      </c>
      <c r="V61" s="24" t="s">
        <v>1450</v>
      </c>
      <c r="W61" s="25" t="s">
        <v>1451</v>
      </c>
      <c r="X61" s="26" t="s">
        <v>1452</v>
      </c>
      <c r="Y61" s="27" t="s">
        <v>1453</v>
      </c>
      <c r="Z61" s="28" t="s">
        <v>1454</v>
      </c>
      <c r="AA61" s="29" t="s">
        <v>1455</v>
      </c>
      <c r="AB61" s="30" t="s">
        <v>1456</v>
      </c>
      <c r="AC61" t="str">
        <f>IF(ISBLANK(H61),VLOOKUP(P61,'US Supervisor Map'!A:D,4,FALSE),MID(H61,4,6))</f>
        <v>008750</v>
      </c>
      <c r="AD61" t="str">
        <f>IFERROR(VLOOKUP(T61,'Org Map'!A:E,4),"BU Description Not Mapped")</f>
        <v>0088</v>
      </c>
      <c r="AE61">
        <f>IFERROR(VLOOKUP(V61,'Org Map'!C:E,3),"Home Department Code Not Mapped")</f>
        <v>9100</v>
      </c>
      <c r="AF61" t="str">
        <f>IFERROR(VLOOKUP(AA61,'Salary Map'!A:D,3,FALSE),"Salary Code Not Mapped")</f>
        <v>Default</v>
      </c>
      <c r="AG61" t="str">
        <f>IFERROR(VLOOKUP(AA61,'Salary Map'!A:D,4,FALSE),"Salary Code Not Mapped")</f>
        <v>General</v>
      </c>
      <c r="AH61" t="str">
        <f>IFERROR(VLOOKUP(Z61,'Country Map'!A:B,2,FALSE),"Legal Country Not Mapped")</f>
        <v>US</v>
      </c>
      <c r="AI61" t="str">
        <f>IFERROR(VLOOKUP(X61,'Language Map'!A:C,3,FALSE),IFERROR(VLOOKUP(T61,'Org Map'!A:F,6,FALSE),"ADP and BU Language Code Not Mapped"))&amp;AH61</f>
        <v>en_US</v>
      </c>
      <c r="AJ61" t="str">
        <f>IFERROR(VLOOKUP(T61,'Org Map'!A:G,7),"BU Currency Not Mapped")</f>
        <v>USD</v>
      </c>
      <c r="AK61" t="str">
        <f t="shared" si="1"/>
        <v/>
      </c>
      <c r="AL61" t="str">
        <f>IFERROR(VLOOKUP(O61,'Status Map'!A:B,2,FALSE),"Position Status Not Mapped")</f>
        <v>Y</v>
      </c>
      <c r="AM61" t="str">
        <f t="shared" si="6"/>
        <v/>
      </c>
      <c r="AO61" t="str">
        <f t="shared" si="2"/>
        <v>IvyJGrant</v>
      </c>
      <c r="AP61" t="str">
        <f t="shared" si="3"/>
        <v>Warner</v>
      </c>
      <c r="AQ61" t="str">
        <f t="shared" si="4"/>
        <v>008750</v>
      </c>
      <c r="AR61" t="b">
        <f t="shared" si="5"/>
        <v>1</v>
      </c>
    </row>
    <row r="62" spans="1:44">
      <c r="A62" s="3" t="s">
        <v>1457</v>
      </c>
      <c r="B62" s="4" t="s">
        <v>1458</v>
      </c>
      <c r="C62" s="5" t="s">
        <v>1459</v>
      </c>
      <c r="D62" s="6" t="s">
        <v>1460</v>
      </c>
      <c r="E62" s="7" t="s">
        <v>1461</v>
      </c>
      <c r="F62" s="8" t="s">
        <v>1462</v>
      </c>
      <c r="G62" s="9" t="s">
        <v>1463</v>
      </c>
      <c r="H62" s="36" t="s">
        <v>1464</v>
      </c>
      <c r="I62" s="11" t="s">
        <v>1465</v>
      </c>
      <c r="J62" s="12" t="s">
        <v>1466</v>
      </c>
      <c r="K62" s="13" t="s">
        <v>1467</v>
      </c>
      <c r="L62" s="14">
        <v>33742</v>
      </c>
      <c r="M62" s="15">
        <v>46027</v>
      </c>
      <c r="N62" s="16"/>
      <c r="O62" s="17" t="s">
        <v>1468</v>
      </c>
      <c r="P62" s="18" t="s">
        <v>1469</v>
      </c>
      <c r="Q62" s="19" t="s">
        <v>1470</v>
      </c>
      <c r="R62" s="20" t="s">
        <v>1471</v>
      </c>
      <c r="S62" s="21" t="s">
        <v>1472</v>
      </c>
      <c r="T62" s="22" t="s">
        <v>1473</v>
      </c>
      <c r="U62" s="23" t="s">
        <v>1474</v>
      </c>
      <c r="V62" s="24" t="s">
        <v>1475</v>
      </c>
      <c r="W62" s="25" t="s">
        <v>1476</v>
      </c>
      <c r="X62" s="26" t="s">
        <v>1477</v>
      </c>
      <c r="Y62" s="27" t="s">
        <v>1478</v>
      </c>
      <c r="Z62" s="28" t="s">
        <v>1479</v>
      </c>
      <c r="AA62" s="29" t="s">
        <v>1480</v>
      </c>
      <c r="AB62" s="30" t="s">
        <v>1481</v>
      </c>
      <c r="AC62" s="77" t="str">
        <f>IF(ISBLANK(H62),VLOOKUP(P62,'US Supervisor Map'!A:D,4,FALSE),MID(H62,4,6))</f>
        <v/>
      </c>
      <c r="AD62" t="str">
        <f>IFERROR(VLOOKUP(T62,'Org Map'!A:E,4),"BU Description Not Mapped")</f>
        <v>0096</v>
      </c>
      <c r="AE62">
        <f>IFERROR(VLOOKUP(V62,'Org Map'!C:E,3),"Home Department Code Not Mapped")</f>
        <v>450</v>
      </c>
      <c r="AF62" t="str">
        <f>IFERROR(VLOOKUP(AA62,'Salary Map'!A:D,3,FALSE),"Salary Code Not Mapped")</f>
        <v>Default</v>
      </c>
      <c r="AG62" t="str">
        <f>IFERROR(VLOOKUP(AA62,'Salary Map'!A:D,4,FALSE),"Salary Code Not Mapped")</f>
        <v>General</v>
      </c>
      <c r="AH62" t="str">
        <f>IFERROR(VLOOKUP(Z62,'Country Map'!A:B,2,FALSE),"Legal Country Not Mapped")</f>
        <v>US</v>
      </c>
      <c r="AI62" t="str">
        <f>IFERROR(VLOOKUP(X62,'Language Map'!A:C,3,FALSE),IFERROR(VLOOKUP(T62,'Org Map'!A:F,6,FALSE),"ADP and BU Language Code Not Mapped"))&amp;AH62</f>
        <v>en_US</v>
      </c>
      <c r="AJ62" t="str">
        <f>IFERROR(VLOOKUP(T62,'Org Map'!A:G,7),"BU Currency Not Mapped")</f>
        <v>USD</v>
      </c>
      <c r="AK62" t="str">
        <f t="shared" si="1"/>
        <v/>
      </c>
      <c r="AL62" t="str">
        <f>IFERROR(VLOOKUP(O62,'Status Map'!A:B,2,FALSE),"Position Status Not Mapped")</f>
        <v>N</v>
      </c>
      <c r="AM62" t="str">
        <f t="shared" si="6"/>
        <v>20260105</v>
      </c>
      <c r="AN62" t="str">
        <f>IF(M62&gt;AN57,"Fix and Include Record","Exclude record termination over 45 days ago")</f>
        <v>Fix and Include Record</v>
      </c>
      <c r="AO62" t="str">
        <f t="shared" si="2"/>
        <v>MichaelWHaas</v>
      </c>
      <c r="AP62" t="e">
        <f t="shared" si="3"/>
        <v>#VALUE!</v>
      </c>
      <c r="AQ62" t="str">
        <f t="shared" si="4"/>
        <v>No Reports to Name</v>
      </c>
      <c r="AR62" t="b">
        <f t="shared" si="5"/>
        <v>0</v>
      </c>
    </row>
    <row r="63" spans="1:44">
      <c r="A63" s="3" t="s">
        <v>1482</v>
      </c>
      <c r="B63" s="4" t="s">
        <v>1483</v>
      </c>
      <c r="C63" s="5" t="s">
        <v>1484</v>
      </c>
      <c r="D63" s="6" t="s">
        <v>1485</v>
      </c>
      <c r="E63" s="7" t="s">
        <v>1486</v>
      </c>
      <c r="F63" s="8" t="s">
        <v>1487</v>
      </c>
      <c r="G63" s="9" t="s">
        <v>1488</v>
      </c>
      <c r="H63" s="10" t="s">
        <v>1489</v>
      </c>
      <c r="I63" s="31" t="s">
        <v>1490</v>
      </c>
      <c r="J63" s="12" t="s">
        <v>1491</v>
      </c>
      <c r="K63" s="13" t="s">
        <v>1492</v>
      </c>
      <c r="L63" s="14">
        <v>46153</v>
      </c>
      <c r="M63" s="15"/>
      <c r="N63" s="16"/>
      <c r="O63" s="17" t="s">
        <v>1493</v>
      </c>
      <c r="P63" s="18" t="s">
        <v>1494</v>
      </c>
      <c r="Q63" s="19" t="s">
        <v>1495</v>
      </c>
      <c r="R63" s="20" t="s">
        <v>1496</v>
      </c>
      <c r="S63" s="21" t="s">
        <v>1497</v>
      </c>
      <c r="T63" s="22" t="s">
        <v>1498</v>
      </c>
      <c r="U63" s="23" t="s">
        <v>1499</v>
      </c>
      <c r="V63" s="24" t="s">
        <v>1500</v>
      </c>
      <c r="W63" s="25" t="s">
        <v>1501</v>
      </c>
      <c r="X63" s="26" t="s">
        <v>1502</v>
      </c>
      <c r="Y63" s="27" t="s">
        <v>1503</v>
      </c>
      <c r="Z63" s="28" t="s">
        <v>1504</v>
      </c>
      <c r="AA63" s="29" t="s">
        <v>1505</v>
      </c>
      <c r="AB63" s="30" t="s">
        <v>1506</v>
      </c>
      <c r="AC63" t="str">
        <f>IF(ISBLANK(H63),VLOOKUP(P63,'US Supervisor Map'!A:D,4,FALSE),MID(H63,4,6))</f>
        <v>211131</v>
      </c>
      <c r="AD63" t="str">
        <f>IFERROR(VLOOKUP(T63,'Org Map'!A:E,4),"BU Description Not Mapped")</f>
        <v>0088</v>
      </c>
      <c r="AE63">
        <f>IFERROR(VLOOKUP(V63,'Org Map'!C:E,3),"Home Department Code Not Mapped")</f>
        <v>8100</v>
      </c>
      <c r="AF63" t="str">
        <f>IFERROR(VLOOKUP(AA63,'Salary Map'!A:D,3,FALSE),"Salary Code Not Mapped")</f>
        <v>Default</v>
      </c>
      <c r="AG63" t="str">
        <f>IFERROR(VLOOKUP(AA63,'Salary Map'!A:D,4,FALSE),"Salary Code Not Mapped")</f>
        <v>General</v>
      </c>
      <c r="AH63" t="str">
        <f>IFERROR(VLOOKUP(Z63,'Country Map'!A:B,2,FALSE),"Legal Country Not Mapped")</f>
        <v>US</v>
      </c>
      <c r="AI63" t="str">
        <f>IFERROR(VLOOKUP(X63,'Language Map'!A:C,3,FALSE),IFERROR(VLOOKUP(T63,'Org Map'!A:F,6,FALSE),"ADP and BU Language Code Not Mapped"))&amp;AH63</f>
        <v>en_US</v>
      </c>
      <c r="AJ63" t="str">
        <f>IFERROR(VLOOKUP(T63,'Org Map'!A:G,7),"BU Currency Not Mapped")</f>
        <v>USD</v>
      </c>
      <c r="AK63" t="str">
        <f t="shared" si="1"/>
        <v/>
      </c>
      <c r="AL63" t="str">
        <f>IFERROR(VLOOKUP(O63,'Status Map'!A:B,2,FALSE),"Position Status Not Mapped")</f>
        <v>Y</v>
      </c>
      <c r="AM63" t="str">
        <f t="shared" si="6"/>
        <v/>
      </c>
      <c r="AO63" t="str">
        <f t="shared" si="2"/>
        <v>TiraniJHague</v>
      </c>
      <c r="AP63" t="str">
        <f t="shared" si="3"/>
        <v>Rafferty</v>
      </c>
      <c r="AQ63" t="str">
        <f t="shared" si="4"/>
        <v>211131</v>
      </c>
      <c r="AR63" t="b">
        <f t="shared" si="5"/>
        <v>1</v>
      </c>
    </row>
    <row r="64" spans="1:44">
      <c r="A64" s="3" t="s">
        <v>1507</v>
      </c>
      <c r="B64" s="4" t="s">
        <v>1508</v>
      </c>
      <c r="C64" s="5" t="s">
        <v>1509</v>
      </c>
      <c r="D64" s="6" t="s">
        <v>1510</v>
      </c>
      <c r="E64" s="7" t="s">
        <v>1511</v>
      </c>
      <c r="F64" s="8" t="s">
        <v>1512</v>
      </c>
      <c r="G64" s="9" t="s">
        <v>1513</v>
      </c>
      <c r="H64" s="10" t="s">
        <v>1514</v>
      </c>
      <c r="I64" s="11" t="s">
        <v>1515</v>
      </c>
      <c r="J64" s="12" t="s">
        <v>1516</v>
      </c>
      <c r="K64" s="13" t="s">
        <v>1517</v>
      </c>
      <c r="L64" s="14">
        <v>44333</v>
      </c>
      <c r="M64" s="15"/>
      <c r="N64" s="16"/>
      <c r="O64" s="17" t="s">
        <v>1518</v>
      </c>
      <c r="P64" s="18" t="s">
        <v>1519</v>
      </c>
      <c r="Q64" s="19" t="s">
        <v>1520</v>
      </c>
      <c r="R64" s="20" t="s">
        <v>1521</v>
      </c>
      <c r="S64" s="21" t="s">
        <v>1522</v>
      </c>
      <c r="T64" s="22" t="s">
        <v>1523</v>
      </c>
      <c r="U64" s="23" t="s">
        <v>1524</v>
      </c>
      <c r="V64" s="24" t="s">
        <v>1525</v>
      </c>
      <c r="W64" s="25" t="s">
        <v>1526</v>
      </c>
      <c r="X64" s="26" t="s">
        <v>1527</v>
      </c>
      <c r="Y64" s="27" t="s">
        <v>1528</v>
      </c>
      <c r="Z64" s="28" t="s">
        <v>1529</v>
      </c>
      <c r="AA64" s="29" t="s">
        <v>1530</v>
      </c>
      <c r="AB64" s="30" t="s">
        <v>1531</v>
      </c>
      <c r="AC64" t="str">
        <f>IF(ISBLANK(H64),VLOOKUP(P64,'US Supervisor Map'!A:D,4,FALSE),MID(H64,4,6))</f>
        <v>210892</v>
      </c>
      <c r="AD64" t="str">
        <f>IFERROR(VLOOKUP(T64,'Org Map'!A:E,4),"BU Description Not Mapped")</f>
        <v>0088</v>
      </c>
      <c r="AE64">
        <f>IFERROR(VLOOKUP(V64,'Org Map'!C:E,3),"Home Department Code Not Mapped")</f>
        <v>9500</v>
      </c>
      <c r="AF64" t="str">
        <f>IFERROR(VLOOKUP(AA64,'Salary Map'!A:D,3,FALSE),"Salary Code Not Mapped")</f>
        <v>Default</v>
      </c>
      <c r="AG64" t="str">
        <f>IFERROR(VLOOKUP(AA64,'Salary Map'!A:D,4,FALSE),"Salary Code Not Mapped")</f>
        <v>General</v>
      </c>
      <c r="AH64" t="str">
        <f>IFERROR(VLOOKUP(Z64,'Country Map'!A:B,2,FALSE),"Legal Country Not Mapped")</f>
        <v>US</v>
      </c>
      <c r="AI64" t="str">
        <f>IFERROR(VLOOKUP(X64,'Language Map'!A:C,3,FALSE),IFERROR(VLOOKUP(T64,'Org Map'!A:F,6,FALSE),"ADP and BU Language Code Not Mapped"))&amp;AH64</f>
        <v>en_US</v>
      </c>
      <c r="AJ64" t="str">
        <f>IFERROR(VLOOKUP(T64,'Org Map'!A:G,7),"BU Currency Not Mapped")</f>
        <v>USD</v>
      </c>
      <c r="AK64" t="str">
        <f t="shared" si="1"/>
        <v/>
      </c>
      <c r="AL64" t="str">
        <f>IFERROR(VLOOKUP(O64,'Status Map'!A:B,2,FALSE),"Position Status Not Mapped")</f>
        <v>Y</v>
      </c>
      <c r="AM64" t="str">
        <f t="shared" si="6"/>
        <v/>
      </c>
      <c r="AO64" t="str">
        <f t="shared" si="2"/>
        <v>KimberlyHall</v>
      </c>
      <c r="AP64" t="str">
        <f t="shared" si="3"/>
        <v>Alexander</v>
      </c>
      <c r="AQ64" t="str">
        <f t="shared" si="4"/>
        <v>210892</v>
      </c>
      <c r="AR64" t="b">
        <f t="shared" si="5"/>
        <v>1</v>
      </c>
    </row>
    <row r="65" spans="1:44">
      <c r="A65" s="3" t="s">
        <v>1532</v>
      </c>
      <c r="B65" s="4" t="s">
        <v>1533</v>
      </c>
      <c r="C65" s="5" t="s">
        <v>1534</v>
      </c>
      <c r="D65" s="6" t="s">
        <v>1535</v>
      </c>
      <c r="E65" s="7" t="s">
        <v>1536</v>
      </c>
      <c r="F65" s="8" t="s">
        <v>1537</v>
      </c>
      <c r="G65" s="9" t="s">
        <v>1538</v>
      </c>
      <c r="H65" s="10" t="s">
        <v>1539</v>
      </c>
      <c r="I65" s="11" t="s">
        <v>1540</v>
      </c>
      <c r="J65" s="12" t="s">
        <v>1541</v>
      </c>
      <c r="K65" s="13" t="s">
        <v>1542</v>
      </c>
      <c r="L65" s="14">
        <v>45566</v>
      </c>
      <c r="M65" s="15"/>
      <c r="N65" s="16"/>
      <c r="O65" s="17" t="s">
        <v>1543</v>
      </c>
      <c r="P65" s="18" t="s">
        <v>1544</v>
      </c>
      <c r="Q65" s="19" t="s">
        <v>1545</v>
      </c>
      <c r="R65" s="20" t="s">
        <v>1546</v>
      </c>
      <c r="S65" s="21" t="s">
        <v>1547</v>
      </c>
      <c r="T65" s="22" t="s">
        <v>1548</v>
      </c>
      <c r="U65" s="23" t="s">
        <v>1549</v>
      </c>
      <c r="V65" s="24" t="s">
        <v>1550</v>
      </c>
      <c r="W65" s="25" t="s">
        <v>1551</v>
      </c>
      <c r="X65" s="26" t="s">
        <v>1552</v>
      </c>
      <c r="Y65" s="27" t="s">
        <v>1553</v>
      </c>
      <c r="Z65" s="28" t="s">
        <v>1554</v>
      </c>
      <c r="AA65" s="29" t="s">
        <v>1555</v>
      </c>
      <c r="AB65" s="30" t="s">
        <v>1556</v>
      </c>
      <c r="AC65" t="str">
        <f>IF(ISBLANK(H65),VLOOKUP(P65,'US Supervisor Map'!A:D,4,FALSE),MID(H65,4,6))</f>
        <v>211766</v>
      </c>
      <c r="AD65" t="str">
        <f>IFERROR(VLOOKUP(T65,'Org Map'!A:E,4),"BU Description Not Mapped")</f>
        <v>0088</v>
      </c>
      <c r="AE65">
        <f>IFERROR(VLOOKUP(V65,'Org Map'!C:E,3),"Home Department Code Not Mapped")</f>
        <v>8300</v>
      </c>
      <c r="AF65" t="str">
        <f>IFERROR(VLOOKUP(AA65,'Salary Map'!A:D,3,FALSE),"Salary Code Not Mapped")</f>
        <v>Default</v>
      </c>
      <c r="AG65" t="str">
        <f>IFERROR(VLOOKUP(AA65,'Salary Map'!A:D,4,FALSE),"Salary Code Not Mapped")</f>
        <v>General</v>
      </c>
      <c r="AH65" t="str">
        <f>IFERROR(VLOOKUP(Z65,'Country Map'!A:B,2,FALSE),"Legal Country Not Mapped")</f>
        <v>US</v>
      </c>
      <c r="AI65" t="str">
        <f>IFERROR(VLOOKUP(X65,'Language Map'!A:C,3,FALSE),IFERROR(VLOOKUP(T65,'Org Map'!A:F,6,FALSE),"ADP and BU Language Code Not Mapped"))&amp;AH65</f>
        <v>en_US</v>
      </c>
      <c r="AJ65" t="str">
        <f>IFERROR(VLOOKUP(T65,'Org Map'!A:G,7),"BU Currency Not Mapped")</f>
        <v>USD</v>
      </c>
      <c r="AK65" t="str">
        <f t="shared" si="1"/>
        <v/>
      </c>
      <c r="AL65" t="str">
        <f>IFERROR(VLOOKUP(O65,'Status Map'!A:B,2,FALSE),"Position Status Not Mapped")</f>
        <v>Y</v>
      </c>
      <c r="AM65" t="str">
        <f t="shared" si="6"/>
        <v/>
      </c>
      <c r="AO65" t="str">
        <f t="shared" si="2"/>
        <v>EmmaHalpin</v>
      </c>
      <c r="AP65" t="str">
        <f t="shared" si="3"/>
        <v>Kemenah</v>
      </c>
      <c r="AQ65" t="str">
        <f t="shared" si="4"/>
        <v>211766</v>
      </c>
      <c r="AR65" t="b">
        <f t="shared" si="5"/>
        <v>1</v>
      </c>
    </row>
    <row r="66" spans="1:44">
      <c r="A66" s="3" t="s">
        <v>1557</v>
      </c>
      <c r="B66" s="4" t="s">
        <v>1558</v>
      </c>
      <c r="C66" s="5" t="s">
        <v>1559</v>
      </c>
      <c r="D66" s="6" t="s">
        <v>1560</v>
      </c>
      <c r="E66" s="7" t="s">
        <v>1561</v>
      </c>
      <c r="F66" s="8" t="s">
        <v>1562</v>
      </c>
      <c r="G66" s="9" t="s">
        <v>1563</v>
      </c>
      <c r="H66" s="10" t="s">
        <v>1564</v>
      </c>
      <c r="I66" s="11" t="s">
        <v>1565</v>
      </c>
      <c r="J66" s="12" t="s">
        <v>1566</v>
      </c>
      <c r="K66" s="13" t="s">
        <v>1567</v>
      </c>
      <c r="L66" s="14">
        <v>42072</v>
      </c>
      <c r="M66" s="15"/>
      <c r="N66" s="16"/>
      <c r="O66" s="17" t="s">
        <v>1568</v>
      </c>
      <c r="P66" s="18" t="s">
        <v>1569</v>
      </c>
      <c r="Q66" s="19" t="s">
        <v>1570</v>
      </c>
      <c r="R66" s="20" t="s">
        <v>1571</v>
      </c>
      <c r="S66" s="21" t="s">
        <v>1572</v>
      </c>
      <c r="T66" s="22" t="s">
        <v>1573</v>
      </c>
      <c r="U66" s="23" t="s">
        <v>1574</v>
      </c>
      <c r="V66" s="24" t="s">
        <v>1575</v>
      </c>
      <c r="W66" s="25" t="s">
        <v>1576</v>
      </c>
      <c r="X66" s="26" t="s">
        <v>1577</v>
      </c>
      <c r="Y66" s="27" t="s">
        <v>1578</v>
      </c>
      <c r="Z66" s="28" t="s">
        <v>1579</v>
      </c>
      <c r="AA66" s="29" t="s">
        <v>1580</v>
      </c>
      <c r="AB66" s="30" t="s">
        <v>1581</v>
      </c>
      <c r="AC66" t="str">
        <f>IF(ISBLANK(H66),VLOOKUP(P66,'US Supervisor Map'!A:D,4,FALSE),MID(H66,4,6))</f>
        <v>211998</v>
      </c>
      <c r="AD66" t="str">
        <f>IFERROR(VLOOKUP(T66,'Org Map'!A:E,4),"BU Description Not Mapped")</f>
        <v>0096</v>
      </c>
      <c r="AE66">
        <f>IFERROR(VLOOKUP(V66,'Org Map'!C:E,3),"Home Department Code Not Mapped")</f>
        <v>200</v>
      </c>
      <c r="AF66" t="str">
        <f>IFERROR(VLOOKUP(AA66,'Salary Map'!A:D,3,FALSE),"Salary Code Not Mapped")</f>
        <v>Default</v>
      </c>
      <c r="AG66" t="str">
        <f>IFERROR(VLOOKUP(AA66,'Salary Map'!A:D,4,FALSE),"Salary Code Not Mapped")</f>
        <v>General</v>
      </c>
      <c r="AH66" t="str">
        <f>IFERROR(VLOOKUP(Z66,'Country Map'!A:B,2,FALSE),"Legal Country Not Mapped")</f>
        <v>US</v>
      </c>
      <c r="AI66" t="str">
        <f>IFERROR(VLOOKUP(X66,'Language Map'!A:C,3,FALSE),IFERROR(VLOOKUP(T66,'Org Map'!A:F,6,FALSE),"ADP and BU Language Code Not Mapped"))&amp;AH66</f>
        <v>en_US</v>
      </c>
      <c r="AJ66" t="str">
        <f>IFERROR(VLOOKUP(T66,'Org Map'!A:G,7),"BU Currency Not Mapped")</f>
        <v>USD</v>
      </c>
      <c r="AK66" t="str">
        <f t="shared" si="1"/>
        <v/>
      </c>
      <c r="AL66" t="str">
        <f>IFERROR(VLOOKUP(O66,'Status Map'!A:B,2,FALSE),"Position Status Not Mapped")</f>
        <v>Y</v>
      </c>
      <c r="AM66" t="str">
        <f t="shared" si="6"/>
        <v/>
      </c>
      <c r="AO66" t="str">
        <f t="shared" si="2"/>
        <v>MichaelJHamar</v>
      </c>
      <c r="AP66" t="str">
        <f t="shared" si="3"/>
        <v>Wallace</v>
      </c>
      <c r="AQ66" t="str">
        <f t="shared" si="4"/>
        <v>211998</v>
      </c>
      <c r="AR66" t="b">
        <f t="shared" si="5"/>
        <v>1</v>
      </c>
    </row>
    <row r="67" spans="1:44">
      <c r="A67" s="3" t="s">
        <v>1582</v>
      </c>
      <c r="B67" s="4" t="s">
        <v>1583</v>
      </c>
      <c r="C67" s="5" t="s">
        <v>1584</v>
      </c>
      <c r="D67" s="6" t="s">
        <v>1585</v>
      </c>
      <c r="E67" s="7" t="s">
        <v>1586</v>
      </c>
      <c r="F67" s="8" t="s">
        <v>1587</v>
      </c>
      <c r="G67" s="9" t="s">
        <v>1588</v>
      </c>
      <c r="H67" s="10" t="s">
        <v>1589</v>
      </c>
      <c r="I67" s="11" t="s">
        <v>1590</v>
      </c>
      <c r="J67" s="12" t="s">
        <v>1591</v>
      </c>
      <c r="K67" s="13" t="s">
        <v>1592</v>
      </c>
      <c r="L67" s="14">
        <v>44893</v>
      </c>
      <c r="M67" s="15"/>
      <c r="N67" s="16"/>
      <c r="O67" s="17" t="s">
        <v>1593</v>
      </c>
      <c r="P67" s="18" t="s">
        <v>1594</v>
      </c>
      <c r="Q67" s="19" t="s">
        <v>1595</v>
      </c>
      <c r="R67" s="20" t="s">
        <v>1596</v>
      </c>
      <c r="S67" s="21" t="s">
        <v>1597</v>
      </c>
      <c r="T67" s="22" t="s">
        <v>1598</v>
      </c>
      <c r="U67" s="23" t="s">
        <v>1599</v>
      </c>
      <c r="V67" s="24" t="s">
        <v>1600</v>
      </c>
      <c r="W67" s="25" t="s">
        <v>1601</v>
      </c>
      <c r="X67" s="26" t="s">
        <v>1602</v>
      </c>
      <c r="Y67" s="27" t="s">
        <v>1603</v>
      </c>
      <c r="Z67" s="28" t="s">
        <v>1604</v>
      </c>
      <c r="AA67" s="29" t="s">
        <v>1605</v>
      </c>
      <c r="AB67" s="30" t="s">
        <v>1606</v>
      </c>
      <c r="AC67" t="str">
        <f>IF(ISBLANK(H67),VLOOKUP(P67,'US Supervisor Map'!A:D,4,FALSE),MID(H67,4,6))</f>
        <v>211756</v>
      </c>
      <c r="AD67" t="str">
        <f>IFERROR(VLOOKUP(T67,'Org Map'!A:E,4),"BU Description Not Mapped")</f>
        <v>0088</v>
      </c>
      <c r="AE67">
        <f>IFERROR(VLOOKUP(V67,'Org Map'!C:E,3),"Home Department Code Not Mapped")</f>
        <v>5100</v>
      </c>
      <c r="AF67" t="str">
        <f>IFERROR(VLOOKUP(AA67,'Salary Map'!A:D,3,FALSE),"Salary Code Not Mapped")</f>
        <v>Default</v>
      </c>
      <c r="AG67" t="str">
        <f>IFERROR(VLOOKUP(AA67,'Salary Map'!A:D,4,FALSE),"Salary Code Not Mapped")</f>
        <v>General</v>
      </c>
      <c r="AH67" t="str">
        <f>IFERROR(VLOOKUP(Z67,'Country Map'!A:B,2,FALSE),"Legal Country Not Mapped")</f>
        <v>US</v>
      </c>
      <c r="AI67" t="str">
        <f>IFERROR(VLOOKUP(X67,'Language Map'!A:C,3,FALSE),IFERROR(VLOOKUP(T67,'Org Map'!A:F,6,FALSE),"ADP and BU Language Code Not Mapped"))&amp;AH67</f>
        <v>en_US</v>
      </c>
      <c r="AJ67" t="str">
        <f>IFERROR(VLOOKUP(T67,'Org Map'!A:G,7),"BU Currency Not Mapped")</f>
        <v>USD</v>
      </c>
      <c r="AK67" t="str">
        <f t="shared" si="1"/>
        <v/>
      </c>
      <c r="AL67" t="str">
        <f>IFERROR(VLOOKUP(O67,'Status Map'!A:B,2,FALSE),"Position Status Not Mapped")</f>
        <v>Y</v>
      </c>
      <c r="AM67" t="str">
        <f t="shared" si="6"/>
        <v/>
      </c>
      <c r="AO67" t="str">
        <f t="shared" si="2"/>
        <v>PatsyHamby</v>
      </c>
      <c r="AP67" t="str">
        <f t="shared" si="3"/>
        <v>Burchell</v>
      </c>
      <c r="AQ67" t="str">
        <f t="shared" si="4"/>
        <v>211756</v>
      </c>
      <c r="AR67" t="b">
        <f t="shared" si="5"/>
        <v>1</v>
      </c>
    </row>
    <row r="68" spans="1:44">
      <c r="A68" s="3" t="s">
        <v>1607</v>
      </c>
      <c r="B68" s="4" t="s">
        <v>1608</v>
      </c>
      <c r="C68" s="5" t="s">
        <v>1609</v>
      </c>
      <c r="D68" s="6" t="s">
        <v>1610</v>
      </c>
      <c r="E68" s="7" t="s">
        <v>1611</v>
      </c>
      <c r="F68" s="8" t="s">
        <v>1612</v>
      </c>
      <c r="G68" s="9" t="s">
        <v>1613</v>
      </c>
      <c r="H68" s="10" t="s">
        <v>1614</v>
      </c>
      <c r="I68" s="11" t="s">
        <v>1615</v>
      </c>
      <c r="J68" s="12" t="s">
        <v>1616</v>
      </c>
      <c r="K68" s="13" t="s">
        <v>1617</v>
      </c>
      <c r="L68" s="14">
        <v>45442</v>
      </c>
      <c r="M68" s="15">
        <v>46183</v>
      </c>
      <c r="N68" s="16"/>
      <c r="O68" s="17" t="s">
        <v>1618</v>
      </c>
      <c r="P68" s="18" t="s">
        <v>1619</v>
      </c>
      <c r="Q68" s="19" t="s">
        <v>1620</v>
      </c>
      <c r="R68" s="20" t="s">
        <v>1621</v>
      </c>
      <c r="S68" s="21" t="s">
        <v>1622</v>
      </c>
      <c r="T68" s="22" t="s">
        <v>1623</v>
      </c>
      <c r="U68" s="23" t="s">
        <v>1624</v>
      </c>
      <c r="V68" s="24" t="s">
        <v>1625</v>
      </c>
      <c r="W68" s="25" t="s">
        <v>1626</v>
      </c>
      <c r="X68" s="26" t="s">
        <v>1627</v>
      </c>
      <c r="Y68" s="27" t="s">
        <v>1628</v>
      </c>
      <c r="Z68" s="28" t="s">
        <v>1629</v>
      </c>
      <c r="AA68" s="29" t="s">
        <v>1630</v>
      </c>
      <c r="AB68" s="30" t="s">
        <v>1631</v>
      </c>
      <c r="AC68" t="str">
        <f>IF(ISBLANK(H68),VLOOKUP(P68,'US Supervisor Map'!A:D,4,FALSE),MID(H68,4,6))</f>
        <v>901934</v>
      </c>
      <c r="AD68" t="str">
        <f>IFERROR(VLOOKUP(T68,'Org Map'!A:E,4),"BU Description Not Mapped")</f>
        <v>0096</v>
      </c>
      <c r="AE68">
        <f>IFERROR(VLOOKUP(V68,'Org Map'!C:E,3),"Home Department Code Not Mapped")</f>
        <v>820</v>
      </c>
      <c r="AF68" t="str">
        <f>IFERROR(VLOOKUP(AA68,'Salary Map'!A:D,3,FALSE),"Salary Code Not Mapped")</f>
        <v>Default</v>
      </c>
      <c r="AG68" t="str">
        <f>IFERROR(VLOOKUP(AA68,'Salary Map'!A:D,4,FALSE),"Salary Code Not Mapped")</f>
        <v>General</v>
      </c>
      <c r="AH68" t="str">
        <f>IFERROR(VLOOKUP(Z68,'Country Map'!A:B,2,FALSE),"Legal Country Not Mapped")</f>
        <v>US</v>
      </c>
      <c r="AI68" t="str">
        <f>IFERROR(VLOOKUP(X68,'Language Map'!A:C,3,FALSE),IFERROR(VLOOKUP(T68,'Org Map'!A:F,6,FALSE),"ADP and BU Language Code Not Mapped"))&amp;AH68</f>
        <v>en_US</v>
      </c>
      <c r="AJ68" t="str">
        <f>IFERROR(VLOOKUP(T68,'Org Map'!A:G,7),"BU Currency Not Mapped")</f>
        <v>USD</v>
      </c>
      <c r="AK68" t="str">
        <f t="shared" si="1"/>
        <v/>
      </c>
      <c r="AL68" t="str">
        <f>IFERROR(VLOOKUP(O68,'Status Map'!A:B,2,FALSE),"Position Status Not Mapped")</f>
        <v>N</v>
      </c>
      <c r="AM68" t="str">
        <f t="shared" si="6"/>
        <v>20260610</v>
      </c>
      <c r="AN68" t="str">
        <f>IF(M68&gt;AN63,"Fix and Include Record","Exclude record termination over 45 days ago")</f>
        <v>Fix and Include Record</v>
      </c>
      <c r="AO68" t="str">
        <f t="shared" si="2"/>
        <v>JonHartman</v>
      </c>
      <c r="AP68" t="e">
        <f t="shared" si="3"/>
        <v>#VALUE!</v>
      </c>
      <c r="AQ68" t="str">
        <f t="shared" si="4"/>
        <v>No Reports to Name</v>
      </c>
      <c r="AR68" s="77" t="b">
        <f t="shared" si="5"/>
        <v>0</v>
      </c>
    </row>
    <row r="69" spans="1:44">
      <c r="A69" s="3" t="s">
        <v>1632</v>
      </c>
      <c r="B69" s="4" t="s">
        <v>1633</v>
      </c>
      <c r="C69" s="5" t="s">
        <v>1634</v>
      </c>
      <c r="D69" s="6" t="s">
        <v>1635</v>
      </c>
      <c r="E69" s="7" t="s">
        <v>1636</v>
      </c>
      <c r="F69" s="8" t="s">
        <v>1637</v>
      </c>
      <c r="G69" s="9" t="s">
        <v>1638</v>
      </c>
      <c r="H69" s="10" t="s">
        <v>1639</v>
      </c>
      <c r="I69" s="11" t="s">
        <v>1640</v>
      </c>
      <c r="J69" s="12" t="s">
        <v>1641</v>
      </c>
      <c r="K69" s="13" t="s">
        <v>1642</v>
      </c>
      <c r="L69" s="14">
        <v>46125</v>
      </c>
      <c r="M69" s="15"/>
      <c r="N69" s="16"/>
      <c r="O69" s="17" t="s">
        <v>1643</v>
      </c>
      <c r="P69" s="18" t="s">
        <v>1644</v>
      </c>
      <c r="Q69" s="19" t="s">
        <v>1645</v>
      </c>
      <c r="R69" s="20" t="s">
        <v>1646</v>
      </c>
      <c r="S69" s="21" t="s">
        <v>1647</v>
      </c>
      <c r="T69" s="22" t="s">
        <v>1648</v>
      </c>
      <c r="U69" s="23" t="s">
        <v>1649</v>
      </c>
      <c r="V69" s="24" t="s">
        <v>1650</v>
      </c>
      <c r="W69" s="25" t="s">
        <v>1651</v>
      </c>
      <c r="X69" s="26" t="s">
        <v>1652</v>
      </c>
      <c r="Y69" s="27" t="s">
        <v>1653</v>
      </c>
      <c r="Z69" s="28" t="s">
        <v>1654</v>
      </c>
      <c r="AA69" s="29" t="s">
        <v>1655</v>
      </c>
      <c r="AB69" s="30" t="s">
        <v>1656</v>
      </c>
      <c r="AC69" t="str">
        <f>IF(ISBLANK(H69),VLOOKUP(P69,'US Supervisor Map'!A:D,4,FALSE),MID(H69,4,6))</f>
        <v>211998</v>
      </c>
      <c r="AD69" t="str">
        <f>IFERROR(VLOOKUP(T69,'Org Map'!A:E,4),"BU Description Not Mapped")</f>
        <v>0096</v>
      </c>
      <c r="AE69">
        <f>IFERROR(VLOOKUP(V69,'Org Map'!C:E,3),"Home Department Code Not Mapped")</f>
        <v>850</v>
      </c>
      <c r="AF69" t="str">
        <f>IFERROR(VLOOKUP(AA69,'Salary Map'!A:D,3,FALSE),"Salary Code Not Mapped")</f>
        <v>Default</v>
      </c>
      <c r="AG69" t="str">
        <f>IFERROR(VLOOKUP(AA69,'Salary Map'!A:D,4,FALSE),"Salary Code Not Mapped")</f>
        <v>General</v>
      </c>
      <c r="AH69" t="str">
        <f>IFERROR(VLOOKUP(Z69,'Country Map'!A:B,2,FALSE),"Legal Country Not Mapped")</f>
        <v>US</v>
      </c>
      <c r="AI69" t="str">
        <f>IFERROR(VLOOKUP(X69,'Language Map'!A:C,3,FALSE),IFERROR(VLOOKUP(T69,'Org Map'!A:F,6,FALSE),"ADP and BU Language Code Not Mapped"))&amp;AH69</f>
        <v>en_US</v>
      </c>
      <c r="AJ69" t="str">
        <f>IFERROR(VLOOKUP(T69,'Org Map'!A:G,7),"BU Currency Not Mapped")</f>
        <v>USD</v>
      </c>
      <c r="AK69" t="str">
        <f t="shared" si="1"/>
        <v/>
      </c>
      <c r="AL69" t="str">
        <f>IFERROR(VLOOKUP(O69,'Status Map'!A:B,2,FALSE),"Position Status Not Mapped")</f>
        <v>Y</v>
      </c>
      <c r="AM69" t="str">
        <f t="shared" si="6"/>
        <v/>
      </c>
      <c r="AO69" t="str">
        <f t="shared" si="2"/>
        <v>CherieHassey</v>
      </c>
      <c r="AP69" t="str">
        <f t="shared" si="3"/>
        <v>Wallace</v>
      </c>
      <c r="AQ69" t="str">
        <f t="shared" si="4"/>
        <v>211998</v>
      </c>
      <c r="AR69" t="b">
        <f t="shared" si="5"/>
        <v>1</v>
      </c>
    </row>
    <row r="70" spans="1:44">
      <c r="A70" s="3" t="s">
        <v>1657</v>
      </c>
      <c r="B70" s="4" t="s">
        <v>1658</v>
      </c>
      <c r="C70" s="5" t="s">
        <v>1659</v>
      </c>
      <c r="D70" s="6" t="s">
        <v>1660</v>
      </c>
      <c r="E70" s="7" t="s">
        <v>1661</v>
      </c>
      <c r="F70" s="8" t="s">
        <v>1662</v>
      </c>
      <c r="G70" s="9" t="s">
        <v>1663</v>
      </c>
      <c r="H70" s="36" t="s">
        <v>1664</v>
      </c>
      <c r="I70" s="11" t="s">
        <v>1665</v>
      </c>
      <c r="J70" s="12" t="s">
        <v>1666</v>
      </c>
      <c r="K70" s="13" t="s">
        <v>1667</v>
      </c>
      <c r="L70" s="14">
        <v>46125</v>
      </c>
      <c r="M70" s="15">
        <v>46176</v>
      </c>
      <c r="N70" s="16"/>
      <c r="O70" s="17" t="s">
        <v>1668</v>
      </c>
      <c r="P70" s="18" t="s">
        <v>1669</v>
      </c>
      <c r="Q70" s="19" t="s">
        <v>1670</v>
      </c>
      <c r="R70" s="20" t="s">
        <v>1671</v>
      </c>
      <c r="S70" s="21" t="s">
        <v>1672</v>
      </c>
      <c r="T70" s="22" t="s">
        <v>1673</v>
      </c>
      <c r="U70" s="23" t="s">
        <v>1674</v>
      </c>
      <c r="V70" s="24" t="s">
        <v>1675</v>
      </c>
      <c r="W70" s="25" t="s">
        <v>1676</v>
      </c>
      <c r="X70" s="26" t="s">
        <v>1677</v>
      </c>
      <c r="Y70" s="27" t="s">
        <v>1678</v>
      </c>
      <c r="Z70" s="28" t="s">
        <v>1679</v>
      </c>
      <c r="AA70" s="29" t="s">
        <v>1680</v>
      </c>
      <c r="AB70" s="30" t="s">
        <v>1681</v>
      </c>
      <c r="AC70" s="77" t="str">
        <f>IF(ISBLANK(H70),VLOOKUP(P70,'US Supervisor Map'!A:D,4,FALSE),MID(H70,4,6))</f>
        <v/>
      </c>
      <c r="AD70" t="str">
        <f>IFERROR(VLOOKUP(T70,'Org Map'!A:E,4),"BU Description Not Mapped")</f>
        <v>0096</v>
      </c>
      <c r="AE70">
        <f>IFERROR(VLOOKUP(V70,'Org Map'!C:E,3),"Home Department Code Not Mapped")</f>
        <v>850</v>
      </c>
      <c r="AF70" t="str">
        <f>IFERROR(VLOOKUP(AA70,'Salary Map'!A:D,3,FALSE),"Salary Code Not Mapped")</f>
        <v>Default</v>
      </c>
      <c r="AG70" t="str">
        <f>IFERROR(VLOOKUP(AA70,'Salary Map'!A:D,4,FALSE),"Salary Code Not Mapped")</f>
        <v>General</v>
      </c>
      <c r="AH70" t="str">
        <f>IFERROR(VLOOKUP(Z70,'Country Map'!A:B,2,FALSE),"Legal Country Not Mapped")</f>
        <v>US</v>
      </c>
      <c r="AI70" t="str">
        <f>IFERROR(VLOOKUP(X70,'Language Map'!A:C,3,FALSE),IFERROR(VLOOKUP(T70,'Org Map'!A:F,6,FALSE),"ADP and BU Language Code Not Mapped"))&amp;AH70</f>
        <v>en_US</v>
      </c>
      <c r="AJ70" t="str">
        <f>IFERROR(VLOOKUP(T70,'Org Map'!A:G,7),"BU Currency Not Mapped")</f>
        <v>USD</v>
      </c>
      <c r="AK70" t="str">
        <f t="shared" ref="AK70:AK133" si="8">IF(ISBLANK(E70),"",TRIM(E70&amp;" "&amp;F70))</f>
        <v/>
      </c>
      <c r="AL70" t="str">
        <f>IFERROR(VLOOKUP(O70,'Status Map'!A:B,2,FALSE),"Position Status Not Mapped")</f>
        <v>N</v>
      </c>
      <c r="AM70" t="str">
        <f t="shared" si="6"/>
        <v>20260603</v>
      </c>
      <c r="AN70" t="str">
        <f>IF(M70&gt;AN65,"Fix and Include Record","Exclude record termination over 45 days ago")</f>
        <v>Fix and Include Record</v>
      </c>
      <c r="AO70" t="str">
        <f t="shared" ref="AO70:AO133" si="9">B70&amp;C70&amp;D70</f>
        <v>CherieHassey</v>
      </c>
      <c r="AP70" t="e">
        <f t="shared" ref="AP70:AP133" si="10">LEFT(G70,FIND(",",G70)-1)</f>
        <v>#VALUE!</v>
      </c>
      <c r="AQ70" t="str">
        <f t="shared" ref="AQ70:AQ133" si="11">IFERROR(VLOOKUP(AP70,D:P,13,FALSE),"No Reports to Name")</f>
        <v>No Reports to Name</v>
      </c>
      <c r="AR70" t="b">
        <f t="shared" ref="AR70:AR133" si="12">AQ70=MID(H70,4,6)</f>
        <v>0</v>
      </c>
    </row>
    <row r="71" spans="1:44">
      <c r="A71" s="3" t="s">
        <v>1682</v>
      </c>
      <c r="B71" s="4" t="s">
        <v>1683</v>
      </c>
      <c r="C71" s="5" t="s">
        <v>1684</v>
      </c>
      <c r="D71" s="6" t="s">
        <v>1685</v>
      </c>
      <c r="E71" s="7" t="s">
        <v>1686</v>
      </c>
      <c r="F71" s="8" t="s">
        <v>1687</v>
      </c>
      <c r="G71" s="9" t="s">
        <v>1688</v>
      </c>
      <c r="H71" s="10" t="s">
        <v>1689</v>
      </c>
      <c r="I71" s="11" t="s">
        <v>1690</v>
      </c>
      <c r="J71" s="12" t="s">
        <v>1691</v>
      </c>
      <c r="K71" s="13" t="s">
        <v>1692</v>
      </c>
      <c r="L71" s="14">
        <v>44893</v>
      </c>
      <c r="M71" s="15"/>
      <c r="N71" s="16"/>
      <c r="O71" s="17" t="s">
        <v>1693</v>
      </c>
      <c r="P71" s="18" t="s">
        <v>1694</v>
      </c>
      <c r="Q71" s="19" t="s">
        <v>1695</v>
      </c>
      <c r="R71" s="20" t="s">
        <v>1696</v>
      </c>
      <c r="S71" s="21" t="s">
        <v>1697</v>
      </c>
      <c r="T71" s="22" t="s">
        <v>1698</v>
      </c>
      <c r="U71" s="23" t="s">
        <v>1699</v>
      </c>
      <c r="V71" s="24" t="s">
        <v>1700</v>
      </c>
      <c r="W71" s="25" t="s">
        <v>1701</v>
      </c>
      <c r="X71" s="26" t="s">
        <v>1702</v>
      </c>
      <c r="Y71" s="27" t="s">
        <v>1703</v>
      </c>
      <c r="Z71" s="28" t="s">
        <v>1704</v>
      </c>
      <c r="AA71" s="29" t="s">
        <v>1705</v>
      </c>
      <c r="AB71" s="30" t="s">
        <v>1706</v>
      </c>
      <c r="AC71" t="str">
        <f>IF(ISBLANK(H71),VLOOKUP(P71,'US Supervisor Map'!A:D,4,FALSE),MID(H71,4,6))</f>
        <v>211756</v>
      </c>
      <c r="AD71" t="str">
        <f>IFERROR(VLOOKUP(T71,'Org Map'!A:E,4),"BU Description Not Mapped")</f>
        <v>0088</v>
      </c>
      <c r="AE71">
        <f>IFERROR(VLOOKUP(V71,'Org Map'!C:E,3),"Home Department Code Not Mapped")</f>
        <v>5100</v>
      </c>
      <c r="AF71" t="str">
        <f>IFERROR(VLOOKUP(AA71,'Salary Map'!A:D,3,FALSE),"Salary Code Not Mapped")</f>
        <v>Default</v>
      </c>
      <c r="AG71" t="str">
        <f>IFERROR(VLOOKUP(AA71,'Salary Map'!A:D,4,FALSE),"Salary Code Not Mapped")</f>
        <v>General</v>
      </c>
      <c r="AH71" t="str">
        <f>IFERROR(VLOOKUP(Z71,'Country Map'!A:B,2,FALSE),"Legal Country Not Mapped")</f>
        <v>US</v>
      </c>
      <c r="AI71" t="str">
        <f>IFERROR(VLOOKUP(X71,'Language Map'!A:C,3,FALSE),IFERROR(VLOOKUP(T71,'Org Map'!A:F,6,FALSE),"ADP and BU Language Code Not Mapped"))&amp;AH71</f>
        <v>en_US</v>
      </c>
      <c r="AJ71" t="str">
        <f>IFERROR(VLOOKUP(T71,'Org Map'!A:G,7),"BU Currency Not Mapped")</f>
        <v>USD</v>
      </c>
      <c r="AK71" t="str">
        <f t="shared" si="8"/>
        <v/>
      </c>
      <c r="AL71" t="str">
        <f>IFERROR(VLOOKUP(O71,'Status Map'!A:B,2,FALSE),"Position Status Not Mapped")</f>
        <v>Y</v>
      </c>
      <c r="AM71" t="str">
        <f t="shared" si="6"/>
        <v/>
      </c>
      <c r="AO71" t="str">
        <f t="shared" si="9"/>
        <v>KarlaHershberger</v>
      </c>
      <c r="AP71" t="str">
        <f t="shared" si="10"/>
        <v>Burchell</v>
      </c>
      <c r="AQ71" t="str">
        <f t="shared" si="11"/>
        <v>211756</v>
      </c>
      <c r="AR71" t="b">
        <f t="shared" si="12"/>
        <v>1</v>
      </c>
    </row>
    <row r="72" spans="1:44">
      <c r="A72" s="3" t="s">
        <v>1707</v>
      </c>
      <c r="B72" s="4" t="s">
        <v>1708</v>
      </c>
      <c r="C72" s="5" t="s">
        <v>1709</v>
      </c>
      <c r="D72" s="6" t="s">
        <v>1710</v>
      </c>
      <c r="E72" s="7" t="s">
        <v>1711</v>
      </c>
      <c r="F72" s="8" t="s">
        <v>1712</v>
      </c>
      <c r="G72" s="9" t="s">
        <v>1713</v>
      </c>
      <c r="H72" s="10" t="s">
        <v>1714</v>
      </c>
      <c r="I72" s="11" t="s">
        <v>1715</v>
      </c>
      <c r="J72" s="12" t="s">
        <v>1716</v>
      </c>
      <c r="K72" s="13" t="s">
        <v>1717</v>
      </c>
      <c r="L72" s="14">
        <v>45502</v>
      </c>
      <c r="M72" s="15">
        <v>46203</v>
      </c>
      <c r="N72" s="16"/>
      <c r="O72" s="17" t="s">
        <v>1718</v>
      </c>
      <c r="P72" s="18" t="s">
        <v>1719</v>
      </c>
      <c r="Q72" s="19" t="s">
        <v>1720</v>
      </c>
      <c r="R72" s="20" t="s">
        <v>1721</v>
      </c>
      <c r="S72" s="21" t="s">
        <v>1722</v>
      </c>
      <c r="T72" s="22" t="s">
        <v>1723</v>
      </c>
      <c r="U72" s="23" t="s">
        <v>1724</v>
      </c>
      <c r="V72" s="24" t="s">
        <v>1725</v>
      </c>
      <c r="W72" s="25" t="s">
        <v>1726</v>
      </c>
      <c r="X72" s="26" t="s">
        <v>1727</v>
      </c>
      <c r="Y72" s="27" t="s">
        <v>1728</v>
      </c>
      <c r="Z72" s="28" t="s">
        <v>1729</v>
      </c>
      <c r="AA72" s="29" t="s">
        <v>1730</v>
      </c>
      <c r="AB72" s="30" t="s">
        <v>1731</v>
      </c>
      <c r="AC72" t="str">
        <f>IF(ISBLANK(H72),VLOOKUP(P72,'US Supervisor Map'!A:D,4,FALSE),MID(H72,4,6))</f>
        <v>900848</v>
      </c>
      <c r="AD72" t="str">
        <f>IFERROR(VLOOKUP(T72,'Org Map'!A:E,4),"BU Description Not Mapped")</f>
        <v>0088</v>
      </c>
      <c r="AE72">
        <f>IFERROR(VLOOKUP(V72,'Org Map'!C:E,3),"Home Department Code Not Mapped")</f>
        <v>9150</v>
      </c>
      <c r="AF72" t="str">
        <f>IFERROR(VLOOKUP(AA72,'Salary Map'!A:D,3,FALSE),"Salary Code Not Mapped")</f>
        <v>Default</v>
      </c>
      <c r="AG72" t="str">
        <f>IFERROR(VLOOKUP(AA72,'Salary Map'!A:D,4,FALSE),"Salary Code Not Mapped")</f>
        <v>General</v>
      </c>
      <c r="AH72" t="str">
        <f>IFERROR(VLOOKUP(Z72,'Country Map'!A:B,2,FALSE),"Legal Country Not Mapped")</f>
        <v>US</v>
      </c>
      <c r="AI72" t="str">
        <f>IFERROR(VLOOKUP(X72,'Language Map'!A:C,3,FALSE),IFERROR(VLOOKUP(T72,'Org Map'!A:F,6,FALSE),"ADP and BU Language Code Not Mapped"))&amp;AH72</f>
        <v>en_US</v>
      </c>
      <c r="AJ72" t="str">
        <f>IFERROR(VLOOKUP(T72,'Org Map'!A:G,7),"BU Currency Not Mapped")</f>
        <v>USD</v>
      </c>
      <c r="AK72" t="str">
        <f t="shared" si="8"/>
        <v/>
      </c>
      <c r="AL72" t="str">
        <f>IFERROR(VLOOKUP(O72,'Status Map'!A:B,2,FALSE),"Position Status Not Mapped")</f>
        <v>N</v>
      </c>
      <c r="AM72" t="str">
        <f t="shared" si="6"/>
        <v>20260630</v>
      </c>
      <c r="AN72" t="str">
        <f>IF(M72&gt;AN67,"Fix and Include Record","Exclude record termination over 45 days ago")</f>
        <v>Fix and Include Record</v>
      </c>
      <c r="AO72" t="str">
        <f t="shared" si="9"/>
        <v>BrandonHibbitts</v>
      </c>
      <c r="AP72" t="e">
        <f t="shared" si="10"/>
        <v>#VALUE!</v>
      </c>
      <c r="AQ72" t="str">
        <f t="shared" si="11"/>
        <v>No Reports to Name</v>
      </c>
      <c r="AR72" s="77" t="b">
        <f t="shared" si="12"/>
        <v>0</v>
      </c>
    </row>
    <row r="73" spans="1:44">
      <c r="A73" s="3" t="s">
        <v>1732</v>
      </c>
      <c r="B73" s="4" t="s">
        <v>1733</v>
      </c>
      <c r="C73" s="5" t="s">
        <v>1734</v>
      </c>
      <c r="D73" s="6" t="s">
        <v>1735</v>
      </c>
      <c r="E73" s="7" t="s">
        <v>1736</v>
      </c>
      <c r="F73" s="8" t="s">
        <v>1737</v>
      </c>
      <c r="G73" s="9" t="s">
        <v>1738</v>
      </c>
      <c r="H73" s="10" t="s">
        <v>1739</v>
      </c>
      <c r="I73" s="11" t="s">
        <v>1740</v>
      </c>
      <c r="J73" s="12" t="s">
        <v>1741</v>
      </c>
      <c r="K73" s="13" t="s">
        <v>1742</v>
      </c>
      <c r="L73" s="14">
        <v>45502</v>
      </c>
      <c r="M73" s="15"/>
      <c r="N73" s="16"/>
      <c r="O73" s="17" t="s">
        <v>1743</v>
      </c>
      <c r="P73" s="18" t="s">
        <v>1744</v>
      </c>
      <c r="Q73" s="19" t="s">
        <v>1745</v>
      </c>
      <c r="R73" s="20" t="s">
        <v>1746</v>
      </c>
      <c r="S73" s="21" t="s">
        <v>1747</v>
      </c>
      <c r="T73" s="22" t="s">
        <v>1748</v>
      </c>
      <c r="U73" s="23" t="s">
        <v>1749</v>
      </c>
      <c r="V73" s="24" t="s">
        <v>1750</v>
      </c>
      <c r="W73" s="25" t="s">
        <v>1751</v>
      </c>
      <c r="X73" s="26" t="s">
        <v>1752</v>
      </c>
      <c r="Y73" s="27" t="s">
        <v>1753</v>
      </c>
      <c r="Z73" s="28" t="s">
        <v>1754</v>
      </c>
      <c r="AA73" s="29" t="s">
        <v>1755</v>
      </c>
      <c r="AB73" s="30" t="s">
        <v>1756</v>
      </c>
      <c r="AC73" t="str">
        <f>IF(ISBLANK(H73),VLOOKUP(P73,'US Supervisor Map'!A:D,4,FALSE),MID(H73,4,6))</f>
        <v>207199</v>
      </c>
      <c r="AD73" t="str">
        <f>IFERROR(VLOOKUP(T73,'Org Map'!A:E,4),"BU Description Not Mapped")</f>
        <v>0088</v>
      </c>
      <c r="AE73">
        <f>IFERROR(VLOOKUP(V73,'Org Map'!C:E,3),"Home Department Code Not Mapped")</f>
        <v>9150</v>
      </c>
      <c r="AF73" t="str">
        <f>IFERROR(VLOOKUP(AA73,'Salary Map'!A:D,3,FALSE),"Salary Code Not Mapped")</f>
        <v>Default</v>
      </c>
      <c r="AG73" t="str">
        <f>IFERROR(VLOOKUP(AA73,'Salary Map'!A:D,4,FALSE),"Salary Code Not Mapped")</f>
        <v>General</v>
      </c>
      <c r="AH73" t="str">
        <f>IFERROR(VLOOKUP(Z73,'Country Map'!A:B,2,FALSE),"Legal Country Not Mapped")</f>
        <v>US</v>
      </c>
      <c r="AI73" t="str">
        <f>IFERROR(VLOOKUP(X73,'Language Map'!A:C,3,FALSE),IFERROR(VLOOKUP(T73,'Org Map'!A:F,6,FALSE),"ADP and BU Language Code Not Mapped"))&amp;AH73</f>
        <v>en_US</v>
      </c>
      <c r="AJ73" t="str">
        <f>IFERROR(VLOOKUP(T73,'Org Map'!A:G,7),"BU Currency Not Mapped")</f>
        <v>USD</v>
      </c>
      <c r="AK73" t="str">
        <f t="shared" si="8"/>
        <v/>
      </c>
      <c r="AL73" t="str">
        <f>IFERROR(VLOOKUP(O73,'Status Map'!A:B,2,FALSE),"Position Status Not Mapped")</f>
        <v>Y</v>
      </c>
      <c r="AM73" t="str">
        <f t="shared" si="6"/>
        <v/>
      </c>
      <c r="AO73" t="str">
        <f t="shared" si="9"/>
        <v>BrandonHibbitts</v>
      </c>
      <c r="AP73" t="str">
        <f t="shared" si="10"/>
        <v>Erdogan</v>
      </c>
      <c r="AQ73" t="str">
        <f t="shared" si="11"/>
        <v>No Reports to Name</v>
      </c>
      <c r="AR73" s="77" t="b">
        <f t="shared" si="12"/>
        <v>0</v>
      </c>
    </row>
    <row r="74" spans="1:44">
      <c r="A74" s="3" t="s">
        <v>1757</v>
      </c>
      <c r="B74" s="4" t="s">
        <v>1758</v>
      </c>
      <c r="C74" s="5" t="s">
        <v>1759</v>
      </c>
      <c r="D74" s="6" t="s">
        <v>1760</v>
      </c>
      <c r="E74" s="7" t="s">
        <v>1761</v>
      </c>
      <c r="F74" s="8" t="s">
        <v>1762</v>
      </c>
      <c r="G74" s="9" t="s">
        <v>1763</v>
      </c>
      <c r="H74" s="10" t="s">
        <v>1764</v>
      </c>
      <c r="I74" s="11" t="s">
        <v>1765</v>
      </c>
      <c r="J74" s="12" t="s">
        <v>1766</v>
      </c>
      <c r="K74" s="13" t="s">
        <v>1767</v>
      </c>
      <c r="L74" s="14">
        <v>45481</v>
      </c>
      <c r="M74" s="15"/>
      <c r="N74" s="16"/>
      <c r="O74" s="17" t="s">
        <v>1768</v>
      </c>
      <c r="P74" s="18" t="s">
        <v>1769</v>
      </c>
      <c r="Q74" s="19" t="s">
        <v>1770</v>
      </c>
      <c r="R74" s="20" t="s">
        <v>1771</v>
      </c>
      <c r="S74" s="21" t="s">
        <v>1772</v>
      </c>
      <c r="T74" s="22" t="s">
        <v>1773</v>
      </c>
      <c r="U74" s="23" t="s">
        <v>1774</v>
      </c>
      <c r="V74" s="24" t="s">
        <v>1775</v>
      </c>
      <c r="W74" s="25" t="s">
        <v>1776</v>
      </c>
      <c r="X74" s="26" t="s">
        <v>1777</v>
      </c>
      <c r="Y74" s="27" t="s">
        <v>1778</v>
      </c>
      <c r="Z74" s="28" t="s">
        <v>1779</v>
      </c>
      <c r="AA74" s="29" t="s">
        <v>1780</v>
      </c>
      <c r="AB74" s="30" t="s">
        <v>1781</v>
      </c>
      <c r="AC74" t="str">
        <f>IF(ISBLANK(H74),VLOOKUP(P74,'US Supervisor Map'!A:D,4,FALSE),MID(H74,4,6))</f>
        <v>211998</v>
      </c>
      <c r="AD74" t="str">
        <f>IFERROR(VLOOKUP(T74,'Org Map'!A:E,4),"BU Description Not Mapped")</f>
        <v>0096</v>
      </c>
      <c r="AE74">
        <f>IFERROR(VLOOKUP(V74,'Org Map'!C:E,3),"Home Department Code Not Mapped")</f>
        <v>200</v>
      </c>
      <c r="AF74" t="str">
        <f>IFERROR(VLOOKUP(AA74,'Salary Map'!A:D,3,FALSE),"Salary Code Not Mapped")</f>
        <v>Default</v>
      </c>
      <c r="AG74" t="str">
        <f>IFERROR(VLOOKUP(AA74,'Salary Map'!A:D,4,FALSE),"Salary Code Not Mapped")</f>
        <v>General</v>
      </c>
      <c r="AH74" t="str">
        <f>IFERROR(VLOOKUP(Z74,'Country Map'!A:B,2,FALSE),"Legal Country Not Mapped")</f>
        <v>US</v>
      </c>
      <c r="AI74" t="str">
        <f>IFERROR(VLOOKUP(X74,'Language Map'!A:C,3,FALSE),IFERROR(VLOOKUP(T74,'Org Map'!A:F,6,FALSE),"ADP and BU Language Code Not Mapped"))&amp;AH74</f>
        <v>en_US</v>
      </c>
      <c r="AJ74" t="str">
        <f>IFERROR(VLOOKUP(T74,'Org Map'!A:G,7),"BU Currency Not Mapped")</f>
        <v>USD</v>
      </c>
      <c r="AK74" t="str">
        <f t="shared" si="8"/>
        <v/>
      </c>
      <c r="AL74" t="str">
        <f>IFERROR(VLOOKUP(O74,'Status Map'!A:B,2,FALSE),"Position Status Not Mapped")</f>
        <v>Y</v>
      </c>
      <c r="AM74" t="str">
        <f t="shared" ref="AM74:AM137" si="13">IF(AL74="N",TEXT(M74,"yyyymmdd"),"")</f>
        <v/>
      </c>
      <c r="AO74" t="str">
        <f t="shared" si="9"/>
        <v>BobbyHicks</v>
      </c>
      <c r="AP74" t="str">
        <f t="shared" si="10"/>
        <v>Wallace</v>
      </c>
      <c r="AQ74" t="str">
        <f t="shared" si="11"/>
        <v>211998</v>
      </c>
      <c r="AR74" t="b">
        <f t="shared" si="12"/>
        <v>1</v>
      </c>
    </row>
    <row r="75" spans="1:44">
      <c r="A75" s="3" t="s">
        <v>1782</v>
      </c>
      <c r="B75" s="4" t="s">
        <v>1783</v>
      </c>
      <c r="C75" s="5" t="s">
        <v>1784</v>
      </c>
      <c r="D75" s="6" t="s">
        <v>1785</v>
      </c>
      <c r="E75" s="7" t="s">
        <v>1786</v>
      </c>
      <c r="F75" s="8" t="s">
        <v>1787</v>
      </c>
      <c r="G75" s="9" t="s">
        <v>1788</v>
      </c>
      <c r="H75" s="10" t="s">
        <v>1789</v>
      </c>
      <c r="I75" s="11" t="s">
        <v>1790</v>
      </c>
      <c r="J75" s="12" t="s">
        <v>1791</v>
      </c>
      <c r="K75" s="13" t="s">
        <v>1792</v>
      </c>
      <c r="L75" s="14">
        <v>31049</v>
      </c>
      <c r="M75" s="15"/>
      <c r="N75" s="16"/>
      <c r="O75" s="17" t="s">
        <v>1793</v>
      </c>
      <c r="P75" s="18" t="s">
        <v>1794</v>
      </c>
      <c r="Q75" s="19" t="s">
        <v>1795</v>
      </c>
      <c r="R75" s="20" t="s">
        <v>1796</v>
      </c>
      <c r="S75" s="21" t="s">
        <v>1797</v>
      </c>
      <c r="T75" s="22" t="s">
        <v>1798</v>
      </c>
      <c r="U75" s="23" t="s">
        <v>1799</v>
      </c>
      <c r="V75" s="24" t="s">
        <v>1800</v>
      </c>
      <c r="W75" s="25" t="s">
        <v>1801</v>
      </c>
      <c r="X75" s="26" t="s">
        <v>1802</v>
      </c>
      <c r="Y75" s="27" t="s">
        <v>1803</v>
      </c>
      <c r="Z75" s="28" t="s">
        <v>1804</v>
      </c>
      <c r="AA75" s="29" t="s">
        <v>1805</v>
      </c>
      <c r="AB75" s="30" t="s">
        <v>1806</v>
      </c>
      <c r="AC75" t="str">
        <f>IF(ISBLANK(H75),VLOOKUP(P75,'US Supervisor Map'!A:D,4,FALSE),MID(H75,4,6))</f>
        <v>006780</v>
      </c>
      <c r="AD75" t="str">
        <f>IFERROR(VLOOKUP(T75,'Org Map'!A:E,4),"BU Description Not Mapped")</f>
        <v>0096</v>
      </c>
      <c r="AE75">
        <f>IFERROR(VLOOKUP(V75,'Org Map'!C:E,3),"Home Department Code Not Mapped")</f>
        <v>450</v>
      </c>
      <c r="AF75" t="str">
        <f>IFERROR(VLOOKUP(AA75,'Salary Map'!A:D,3,FALSE),"Salary Code Not Mapped")</f>
        <v>Default</v>
      </c>
      <c r="AG75" t="str">
        <f>IFERROR(VLOOKUP(AA75,'Salary Map'!A:D,4,FALSE),"Salary Code Not Mapped")</f>
        <v>General</v>
      </c>
      <c r="AH75" t="str">
        <f>IFERROR(VLOOKUP(Z75,'Country Map'!A:B,2,FALSE),"Legal Country Not Mapped")</f>
        <v>US</v>
      </c>
      <c r="AI75" t="str">
        <f>IFERROR(VLOOKUP(X75,'Language Map'!A:C,3,FALSE),IFERROR(VLOOKUP(T75,'Org Map'!A:F,6,FALSE),"ADP and BU Language Code Not Mapped"))&amp;AH75</f>
        <v>en_US</v>
      </c>
      <c r="AJ75" t="str">
        <f>IFERROR(VLOOKUP(T75,'Org Map'!A:G,7),"BU Currency Not Mapped")</f>
        <v>USD</v>
      </c>
      <c r="AK75" t="str">
        <f t="shared" si="8"/>
        <v/>
      </c>
      <c r="AL75" t="str">
        <f>IFERROR(VLOOKUP(O75,'Status Map'!A:B,2,FALSE),"Position Status Not Mapped")</f>
        <v>Y</v>
      </c>
      <c r="AM75" t="str">
        <f t="shared" si="13"/>
        <v/>
      </c>
      <c r="AO75" t="str">
        <f t="shared" si="9"/>
        <v>DarinHitti</v>
      </c>
      <c r="AP75" t="str">
        <f t="shared" si="10"/>
        <v>Gang</v>
      </c>
      <c r="AQ75" t="str">
        <f t="shared" si="11"/>
        <v>006780</v>
      </c>
      <c r="AR75" t="b">
        <f t="shared" si="12"/>
        <v>1</v>
      </c>
    </row>
    <row r="76" spans="1:44">
      <c r="A76" s="3" t="s">
        <v>1807</v>
      </c>
      <c r="B76" s="4" t="s">
        <v>1808</v>
      </c>
      <c r="C76" s="5" t="s">
        <v>1809</v>
      </c>
      <c r="D76" s="6" t="s">
        <v>1810</v>
      </c>
      <c r="E76" s="7" t="s">
        <v>1811</v>
      </c>
      <c r="F76" s="8" t="s">
        <v>1812</v>
      </c>
      <c r="G76" s="9" t="s">
        <v>1813</v>
      </c>
      <c r="H76" s="10" t="s">
        <v>1814</v>
      </c>
      <c r="I76" s="31" t="s">
        <v>1815</v>
      </c>
      <c r="J76" s="12" t="s">
        <v>1816</v>
      </c>
      <c r="K76" s="13" t="s">
        <v>1817</v>
      </c>
      <c r="L76" s="14">
        <v>46190</v>
      </c>
      <c r="M76" s="15">
        <v>46233</v>
      </c>
      <c r="N76" s="16"/>
      <c r="O76" s="17" t="s">
        <v>1818</v>
      </c>
      <c r="P76" s="18" t="s">
        <v>1819</v>
      </c>
      <c r="Q76" s="19" t="s">
        <v>1820</v>
      </c>
      <c r="R76" s="20" t="s">
        <v>1821</v>
      </c>
      <c r="S76" s="21" t="s">
        <v>1822</v>
      </c>
      <c r="T76" s="22" t="s">
        <v>1823</v>
      </c>
      <c r="U76" s="23" t="s">
        <v>1824</v>
      </c>
      <c r="V76" s="24" t="s">
        <v>1825</v>
      </c>
      <c r="W76" s="25" t="s">
        <v>1826</v>
      </c>
      <c r="X76" s="26" t="s">
        <v>1827</v>
      </c>
      <c r="Y76" s="27" t="s">
        <v>1828</v>
      </c>
      <c r="Z76" s="28" t="s">
        <v>1829</v>
      </c>
      <c r="AA76" s="29" t="s">
        <v>1830</v>
      </c>
      <c r="AB76" s="30" t="s">
        <v>1831</v>
      </c>
      <c r="AC76" t="str">
        <f>IF(ISBLANK(H76),VLOOKUP(P76,'US Supervisor Map'!A:D,4,FALSE),MID(H76,4,6))</f>
        <v>211062</v>
      </c>
      <c r="AD76" t="str">
        <f>IFERROR(VLOOKUP(T76,'Org Map'!A:E,4),"BU Description Not Mapped")</f>
        <v>0096</v>
      </c>
      <c r="AE76">
        <f>IFERROR(VLOOKUP(V76,'Org Map'!C:E,3),"Home Department Code Not Mapped")</f>
        <v>100</v>
      </c>
      <c r="AF76" t="str">
        <f>IFERROR(VLOOKUP(AA76,'Salary Map'!A:D,3,FALSE),"Salary Code Not Mapped")</f>
        <v>Default</v>
      </c>
      <c r="AG76" t="str">
        <f>IFERROR(VLOOKUP(AA76,'Salary Map'!A:D,4,FALSE),"Salary Code Not Mapped")</f>
        <v>General</v>
      </c>
      <c r="AH76" t="str">
        <f>IFERROR(VLOOKUP(Z76,'Country Map'!A:B,2,FALSE),"Legal Country Not Mapped")</f>
        <v>US</v>
      </c>
      <c r="AI76" t="str">
        <f>IFERROR(VLOOKUP(X76,'Language Map'!A:C,3,FALSE),IFERROR(VLOOKUP(T76,'Org Map'!A:F,6,FALSE),"ADP and BU Language Code Not Mapped"))&amp;AH76</f>
        <v>en_US</v>
      </c>
      <c r="AJ76" t="str">
        <f>IFERROR(VLOOKUP(T76,'Org Map'!A:G,7),"BU Currency Not Mapped")</f>
        <v>USD</v>
      </c>
      <c r="AK76" t="str">
        <f t="shared" si="8"/>
        <v/>
      </c>
      <c r="AL76" t="str">
        <f>IFERROR(VLOOKUP(O76,'Status Map'!A:B,2,FALSE),"Position Status Not Mapped")</f>
        <v>N</v>
      </c>
      <c r="AM76" t="str">
        <f t="shared" si="13"/>
        <v>20260730</v>
      </c>
      <c r="AN76" t="str">
        <f>IF(M76&gt;AN71,"Fix and Include Record","Exclude record termination over 45 days ago")</f>
        <v>Fix and Include Record</v>
      </c>
      <c r="AO76" t="str">
        <f t="shared" si="9"/>
        <v>MasonHitti</v>
      </c>
      <c r="AP76" t="e">
        <f t="shared" si="10"/>
        <v>#VALUE!</v>
      </c>
      <c r="AQ76" t="str">
        <f t="shared" si="11"/>
        <v>No Reports to Name</v>
      </c>
      <c r="AR76" s="77" t="b">
        <f t="shared" si="12"/>
        <v>0</v>
      </c>
    </row>
    <row r="77" spans="1:44">
      <c r="A77" s="3" t="s">
        <v>1832</v>
      </c>
      <c r="B77" s="4" t="s">
        <v>1833</v>
      </c>
      <c r="C77" s="5" t="s">
        <v>1834</v>
      </c>
      <c r="D77" s="6" t="s">
        <v>1835</v>
      </c>
      <c r="E77" s="7" t="s">
        <v>1836</v>
      </c>
      <c r="F77" s="8" t="s">
        <v>1837</v>
      </c>
      <c r="G77" s="9" t="s">
        <v>1838</v>
      </c>
      <c r="H77" s="10" t="s">
        <v>1839</v>
      </c>
      <c r="I77" s="11" t="s">
        <v>1840</v>
      </c>
      <c r="J77" s="12" t="s">
        <v>1841</v>
      </c>
      <c r="K77" s="13" t="s">
        <v>1842</v>
      </c>
      <c r="L77" s="14">
        <v>43101</v>
      </c>
      <c r="M77" s="15"/>
      <c r="N77" s="16"/>
      <c r="O77" s="17" t="s">
        <v>1843</v>
      </c>
      <c r="P77" s="18" t="s">
        <v>1844</v>
      </c>
      <c r="Q77" s="19" t="s">
        <v>1845</v>
      </c>
      <c r="R77" s="20" t="s">
        <v>1846</v>
      </c>
      <c r="S77" s="21" t="s">
        <v>1847</v>
      </c>
      <c r="T77" s="22" t="s">
        <v>1848</v>
      </c>
      <c r="U77" s="23" t="s">
        <v>1849</v>
      </c>
      <c r="V77" s="24" t="s">
        <v>1850</v>
      </c>
      <c r="W77" s="25" t="s">
        <v>1851</v>
      </c>
      <c r="X77" s="26" t="s">
        <v>1852</v>
      </c>
      <c r="Y77" s="27" t="s">
        <v>1853</v>
      </c>
      <c r="Z77" s="28" t="s">
        <v>1854</v>
      </c>
      <c r="AA77" s="29" t="s">
        <v>1855</v>
      </c>
      <c r="AB77" s="30" t="s">
        <v>1856</v>
      </c>
      <c r="AC77" t="str">
        <f>IF(ISBLANK(H77),VLOOKUP(P77,'US Supervisor Map'!A:D,4,FALSE),MID(H77,4,6))</f>
        <v>209181</v>
      </c>
      <c r="AD77" t="str">
        <f>IFERROR(VLOOKUP(T77,'Org Map'!A:E,4),"BU Description Not Mapped")</f>
        <v>0088</v>
      </c>
      <c r="AE77">
        <f>IFERROR(VLOOKUP(V77,'Org Map'!C:E,3),"Home Department Code Not Mapped")</f>
        <v>9200</v>
      </c>
      <c r="AF77" t="str">
        <f>IFERROR(VLOOKUP(AA77,'Salary Map'!A:D,3,FALSE),"Salary Code Not Mapped")</f>
        <v>Default</v>
      </c>
      <c r="AG77" t="str">
        <f>IFERROR(VLOOKUP(AA77,'Salary Map'!A:D,4,FALSE),"Salary Code Not Mapped")</f>
        <v>General</v>
      </c>
      <c r="AH77" t="str">
        <f>IFERROR(VLOOKUP(Z77,'Country Map'!A:B,2,FALSE),"Legal Country Not Mapped")</f>
        <v>US</v>
      </c>
      <c r="AI77" t="str">
        <f>IFERROR(VLOOKUP(X77,'Language Map'!A:C,3,FALSE),IFERROR(VLOOKUP(T77,'Org Map'!A:F,6,FALSE),"ADP and BU Language Code Not Mapped"))&amp;AH77</f>
        <v>en_US</v>
      </c>
      <c r="AJ77" t="str">
        <f>IFERROR(VLOOKUP(T77,'Org Map'!A:G,7),"BU Currency Not Mapped")</f>
        <v>USD</v>
      </c>
      <c r="AK77" t="str">
        <f t="shared" si="8"/>
        <v/>
      </c>
      <c r="AL77" t="str">
        <f>IFERROR(VLOOKUP(O77,'Status Map'!A:B,2,FALSE),"Position Status Not Mapped")</f>
        <v>Y</v>
      </c>
      <c r="AM77" t="str">
        <f t="shared" si="13"/>
        <v/>
      </c>
      <c r="AO77" t="str">
        <f t="shared" si="9"/>
        <v>CarrieMHoffman</v>
      </c>
      <c r="AP77" t="str">
        <f t="shared" si="10"/>
        <v>Oleksa</v>
      </c>
      <c r="AQ77" t="str">
        <f t="shared" si="11"/>
        <v>209181</v>
      </c>
      <c r="AR77" t="b">
        <f t="shared" si="12"/>
        <v>1</v>
      </c>
    </row>
    <row r="78" spans="1:44">
      <c r="A78" s="3" t="s">
        <v>1857</v>
      </c>
      <c r="B78" s="4" t="s">
        <v>1858</v>
      </c>
      <c r="C78" s="5" t="s">
        <v>1859</v>
      </c>
      <c r="D78" s="6" t="s">
        <v>1860</v>
      </c>
      <c r="E78" s="7" t="s">
        <v>1861</v>
      </c>
      <c r="F78" s="8" t="s">
        <v>1862</v>
      </c>
      <c r="G78" s="9" t="s">
        <v>1863</v>
      </c>
      <c r="H78" s="10" t="s">
        <v>1864</v>
      </c>
      <c r="I78" s="31" t="s">
        <v>1865</v>
      </c>
      <c r="J78" s="12" t="s">
        <v>1866</v>
      </c>
      <c r="K78" s="13" t="s">
        <v>1867</v>
      </c>
      <c r="L78" s="14">
        <v>46062</v>
      </c>
      <c r="M78" s="15"/>
      <c r="N78" s="16"/>
      <c r="O78" s="17" t="s">
        <v>1868</v>
      </c>
      <c r="P78" s="18" t="s">
        <v>1869</v>
      </c>
      <c r="Q78" s="19" t="s">
        <v>1870</v>
      </c>
      <c r="R78" s="20" t="s">
        <v>1871</v>
      </c>
      <c r="S78" s="21" t="s">
        <v>1872</v>
      </c>
      <c r="T78" s="22" t="s">
        <v>1873</v>
      </c>
      <c r="U78" s="23" t="s">
        <v>1874</v>
      </c>
      <c r="V78" s="24" t="s">
        <v>1875</v>
      </c>
      <c r="W78" s="25" t="s">
        <v>1876</v>
      </c>
      <c r="X78" s="26" t="s">
        <v>1877</v>
      </c>
      <c r="Y78" s="27" t="s">
        <v>1878</v>
      </c>
      <c r="Z78" s="28" t="s">
        <v>1879</v>
      </c>
      <c r="AA78" s="29" t="s">
        <v>1880</v>
      </c>
      <c r="AB78" s="30" t="s">
        <v>1881</v>
      </c>
      <c r="AC78" t="str">
        <f>IF(ISBLANK(H78),VLOOKUP(P78,'US Supervisor Map'!A:D,4,FALSE),MID(H78,4,6))</f>
        <v>207487</v>
      </c>
      <c r="AD78" t="str">
        <f>IFERROR(VLOOKUP(T78,'Org Map'!A:E,4),"BU Description Not Mapped")</f>
        <v>0088</v>
      </c>
      <c r="AE78">
        <f>IFERROR(VLOOKUP(V78,'Org Map'!C:E,3),"Home Department Code Not Mapped")</f>
        <v>5200</v>
      </c>
      <c r="AF78" t="str">
        <f>IFERROR(VLOOKUP(AA78,'Salary Map'!A:D,3,FALSE),"Salary Code Not Mapped")</f>
        <v>Default</v>
      </c>
      <c r="AG78" t="str">
        <f>IFERROR(VLOOKUP(AA78,'Salary Map'!A:D,4,FALSE),"Salary Code Not Mapped")</f>
        <v>General</v>
      </c>
      <c r="AH78" t="str">
        <f>IFERROR(VLOOKUP(Z78,'Country Map'!A:B,2,FALSE),"Legal Country Not Mapped")</f>
        <v>US</v>
      </c>
      <c r="AI78" t="str">
        <f>IFERROR(VLOOKUP(X78,'Language Map'!A:C,3,FALSE),IFERROR(VLOOKUP(T78,'Org Map'!A:F,6,FALSE),"ADP and BU Language Code Not Mapped"))&amp;AH78</f>
        <v>en_US</v>
      </c>
      <c r="AJ78" t="str">
        <f>IFERROR(VLOOKUP(T78,'Org Map'!A:G,7),"BU Currency Not Mapped")</f>
        <v>USD</v>
      </c>
      <c r="AK78" t="str">
        <f t="shared" si="8"/>
        <v/>
      </c>
      <c r="AL78" t="str">
        <f>IFERROR(VLOOKUP(O78,'Status Map'!A:B,2,FALSE),"Position Status Not Mapped")</f>
        <v>Y</v>
      </c>
      <c r="AM78" t="str">
        <f t="shared" si="13"/>
        <v/>
      </c>
      <c r="AO78" t="str">
        <f t="shared" si="9"/>
        <v>LaMarrHogue</v>
      </c>
      <c r="AP78" t="str">
        <f t="shared" si="10"/>
        <v>Rogers</v>
      </c>
      <c r="AQ78" t="str">
        <f t="shared" si="11"/>
        <v>207487</v>
      </c>
      <c r="AR78" t="b">
        <f t="shared" si="12"/>
        <v>1</v>
      </c>
    </row>
    <row r="79" spans="1:44">
      <c r="A79" s="3" t="s">
        <v>1882</v>
      </c>
      <c r="B79" s="4" t="s">
        <v>1883</v>
      </c>
      <c r="C79" s="5" t="s">
        <v>1884</v>
      </c>
      <c r="D79" s="6" t="s">
        <v>1885</v>
      </c>
      <c r="E79" s="7" t="s">
        <v>1886</v>
      </c>
      <c r="F79" s="8" t="s">
        <v>1887</v>
      </c>
      <c r="G79" s="9" t="s">
        <v>1888</v>
      </c>
      <c r="H79" s="10" t="s">
        <v>1889</v>
      </c>
      <c r="I79" s="11" t="s">
        <v>1890</v>
      </c>
      <c r="J79" s="12" t="s">
        <v>1891</v>
      </c>
      <c r="K79" s="13" t="s">
        <v>1892</v>
      </c>
      <c r="L79" s="14">
        <v>45768</v>
      </c>
      <c r="M79" s="15"/>
      <c r="N79" s="16"/>
      <c r="O79" s="17" t="s">
        <v>1893</v>
      </c>
      <c r="P79" s="18" t="s">
        <v>1894</v>
      </c>
      <c r="Q79" s="19" t="s">
        <v>1895</v>
      </c>
      <c r="R79" s="20" t="s">
        <v>1896</v>
      </c>
      <c r="S79" s="21" t="s">
        <v>1897</v>
      </c>
      <c r="T79" s="22" t="s">
        <v>1898</v>
      </c>
      <c r="U79" s="23" t="s">
        <v>1899</v>
      </c>
      <c r="V79" s="24" t="s">
        <v>1900</v>
      </c>
      <c r="W79" s="25" t="s">
        <v>1901</v>
      </c>
      <c r="X79" s="26" t="s">
        <v>1902</v>
      </c>
      <c r="Y79" s="27" t="s">
        <v>1903</v>
      </c>
      <c r="Z79" s="28" t="s">
        <v>1904</v>
      </c>
      <c r="AA79" s="29" t="s">
        <v>1905</v>
      </c>
      <c r="AB79" s="30" t="s">
        <v>1906</v>
      </c>
      <c r="AC79" t="str">
        <f>IF(ISBLANK(H79),VLOOKUP(P79,'US Supervisor Map'!A:D,4,FALSE),MID(H79,4,6))</f>
        <v>211736</v>
      </c>
      <c r="AD79" t="str">
        <f>IFERROR(VLOOKUP(T79,'Org Map'!A:E,4),"BU Description Not Mapped")</f>
        <v>0088</v>
      </c>
      <c r="AE79">
        <f>IFERROR(VLOOKUP(V79,'Org Map'!C:E,3),"Home Department Code Not Mapped")</f>
        <v>5200</v>
      </c>
      <c r="AF79" t="str">
        <f>IFERROR(VLOOKUP(AA79,'Salary Map'!A:D,3,FALSE),"Salary Code Not Mapped")</f>
        <v>Default</v>
      </c>
      <c r="AG79" t="str">
        <f>IFERROR(VLOOKUP(AA79,'Salary Map'!A:D,4,FALSE),"Salary Code Not Mapped")</f>
        <v>General</v>
      </c>
      <c r="AH79" t="str">
        <f>IFERROR(VLOOKUP(Z79,'Country Map'!A:B,2,FALSE),"Legal Country Not Mapped")</f>
        <v>US</v>
      </c>
      <c r="AI79" t="str">
        <f>IFERROR(VLOOKUP(X79,'Language Map'!A:C,3,FALSE),IFERROR(VLOOKUP(T79,'Org Map'!A:F,6,FALSE),"ADP and BU Language Code Not Mapped"))&amp;AH79</f>
        <v>en_US</v>
      </c>
      <c r="AJ79" t="str">
        <f>IFERROR(VLOOKUP(T79,'Org Map'!A:G,7),"BU Currency Not Mapped")</f>
        <v>USD</v>
      </c>
      <c r="AK79" t="str">
        <f t="shared" si="8"/>
        <v/>
      </c>
      <c r="AL79" t="str">
        <f>IFERROR(VLOOKUP(O79,'Status Map'!A:B,2,FALSE),"Position Status Not Mapped")</f>
        <v>Y</v>
      </c>
      <c r="AM79" t="str">
        <f t="shared" si="13"/>
        <v/>
      </c>
      <c r="AO79" t="str">
        <f t="shared" si="9"/>
        <v>RichardWHutt</v>
      </c>
      <c r="AP79" t="str">
        <f t="shared" si="10"/>
        <v>LaPlante</v>
      </c>
      <c r="AQ79" t="str">
        <f t="shared" si="11"/>
        <v>211736</v>
      </c>
      <c r="AR79" t="b">
        <f t="shared" si="12"/>
        <v>1</v>
      </c>
    </row>
    <row r="80" spans="1:44">
      <c r="A80" s="3" t="s">
        <v>1907</v>
      </c>
      <c r="B80" s="4" t="s">
        <v>1908</v>
      </c>
      <c r="C80" s="5" t="s">
        <v>1909</v>
      </c>
      <c r="D80" s="6" t="s">
        <v>1910</v>
      </c>
      <c r="E80" s="7" t="s">
        <v>1911</v>
      </c>
      <c r="F80" s="8" t="s">
        <v>1912</v>
      </c>
      <c r="G80" s="9" t="s">
        <v>1913</v>
      </c>
      <c r="H80" s="10" t="s">
        <v>1914</v>
      </c>
      <c r="I80" s="11" t="s">
        <v>1915</v>
      </c>
      <c r="J80" s="12" t="s">
        <v>1916</v>
      </c>
      <c r="K80" s="13" t="s">
        <v>1917</v>
      </c>
      <c r="L80" s="14">
        <v>44410</v>
      </c>
      <c r="M80" s="15"/>
      <c r="N80" s="16"/>
      <c r="O80" s="17" t="s">
        <v>1918</v>
      </c>
      <c r="P80" s="18" t="s">
        <v>1919</v>
      </c>
      <c r="Q80" s="19" t="s">
        <v>1920</v>
      </c>
      <c r="R80" s="20" t="s">
        <v>1921</v>
      </c>
      <c r="S80" s="21" t="s">
        <v>1922</v>
      </c>
      <c r="T80" s="22" t="s">
        <v>1923</v>
      </c>
      <c r="U80" s="23" t="s">
        <v>1924</v>
      </c>
      <c r="V80" s="24" t="s">
        <v>1925</v>
      </c>
      <c r="W80" s="25" t="s">
        <v>1926</v>
      </c>
      <c r="X80" s="26" t="s">
        <v>1927</v>
      </c>
      <c r="Y80" s="27" t="s">
        <v>1928</v>
      </c>
      <c r="Z80" s="28" t="s">
        <v>1929</v>
      </c>
      <c r="AA80" s="29" t="s">
        <v>1930</v>
      </c>
      <c r="AB80" s="30" t="s">
        <v>1931</v>
      </c>
      <c r="AC80" t="str">
        <f>IF(ISBLANK(H80),VLOOKUP(P80,'US Supervisor Map'!A:D,4,FALSE),MID(H80,4,6))</f>
        <v>211601</v>
      </c>
      <c r="AD80" t="str">
        <f>IFERROR(VLOOKUP(T80,'Org Map'!A:E,4),"BU Description Not Mapped")</f>
        <v>0096</v>
      </c>
      <c r="AE80">
        <f>IFERROR(VLOOKUP(V80,'Org Map'!C:E,3),"Home Department Code Not Mapped")</f>
        <v>801</v>
      </c>
      <c r="AF80" t="str">
        <f>IFERROR(VLOOKUP(AA80,'Salary Map'!A:D,3,FALSE),"Salary Code Not Mapped")</f>
        <v>Default</v>
      </c>
      <c r="AG80" t="str">
        <f>IFERROR(VLOOKUP(AA80,'Salary Map'!A:D,4,FALSE),"Salary Code Not Mapped")</f>
        <v>General</v>
      </c>
      <c r="AH80" t="str">
        <f>IFERROR(VLOOKUP(Z80,'Country Map'!A:B,2,FALSE),"Legal Country Not Mapped")</f>
        <v>US</v>
      </c>
      <c r="AI80" t="str">
        <f>IFERROR(VLOOKUP(X80,'Language Map'!A:C,3,FALSE),IFERROR(VLOOKUP(T80,'Org Map'!A:F,6,FALSE),"ADP and BU Language Code Not Mapped"))&amp;AH80</f>
        <v>en_US</v>
      </c>
      <c r="AJ80" t="str">
        <f>IFERROR(VLOOKUP(T80,'Org Map'!A:G,7),"BU Currency Not Mapped")</f>
        <v>USD</v>
      </c>
      <c r="AK80" t="str">
        <f t="shared" si="8"/>
        <v/>
      </c>
      <c r="AL80" t="str">
        <f>IFERROR(VLOOKUP(O80,'Status Map'!A:B,2,FALSE),"Position Status Not Mapped")</f>
        <v>Y</v>
      </c>
      <c r="AM80" t="str">
        <f t="shared" si="13"/>
        <v/>
      </c>
      <c r="AO80" t="str">
        <f t="shared" si="9"/>
        <v>FrankIzzo</v>
      </c>
      <c r="AP80" t="str">
        <f t="shared" si="10"/>
        <v>Valetta</v>
      </c>
      <c r="AQ80" t="str">
        <f t="shared" si="11"/>
        <v>211601</v>
      </c>
      <c r="AR80" t="b">
        <f t="shared" si="12"/>
        <v>1</v>
      </c>
    </row>
    <row r="81" spans="1:44">
      <c r="A81" s="3" t="s">
        <v>1932</v>
      </c>
      <c r="B81" s="4" t="s">
        <v>1933</v>
      </c>
      <c r="C81" s="5" t="s">
        <v>1934</v>
      </c>
      <c r="D81" s="6" t="s">
        <v>1935</v>
      </c>
      <c r="E81" s="7" t="s">
        <v>1936</v>
      </c>
      <c r="F81" s="8" t="s">
        <v>1937</v>
      </c>
      <c r="G81" s="9" t="s">
        <v>1938</v>
      </c>
      <c r="H81" s="10" t="s">
        <v>1939</v>
      </c>
      <c r="I81" s="11" t="s">
        <v>1940</v>
      </c>
      <c r="J81" s="12" t="s">
        <v>1941</v>
      </c>
      <c r="K81" s="13" t="s">
        <v>1942</v>
      </c>
      <c r="L81" s="14">
        <v>44410</v>
      </c>
      <c r="M81" s="15">
        <v>46204</v>
      </c>
      <c r="N81" s="16"/>
      <c r="O81" s="17" t="s">
        <v>1943</v>
      </c>
      <c r="P81" s="18" t="s">
        <v>1944</v>
      </c>
      <c r="Q81" s="19" t="s">
        <v>1945</v>
      </c>
      <c r="R81" s="20" t="s">
        <v>1946</v>
      </c>
      <c r="S81" s="21" t="s">
        <v>1947</v>
      </c>
      <c r="T81" s="22" t="s">
        <v>1948</v>
      </c>
      <c r="U81" s="23" t="s">
        <v>1949</v>
      </c>
      <c r="V81" s="24" t="s">
        <v>1950</v>
      </c>
      <c r="W81" s="25" t="s">
        <v>1951</v>
      </c>
      <c r="X81" s="26" t="s">
        <v>1952</v>
      </c>
      <c r="Y81" s="27" t="s">
        <v>1953</v>
      </c>
      <c r="Z81" s="28" t="s">
        <v>1954</v>
      </c>
      <c r="AA81" s="29" t="s">
        <v>1955</v>
      </c>
      <c r="AB81" s="30" t="s">
        <v>1956</v>
      </c>
      <c r="AC81" t="str">
        <f>IF(ISBLANK(H81),VLOOKUP(P81,'US Supervisor Map'!A:D,4,FALSE),MID(H81,4,6))</f>
        <v>211601</v>
      </c>
      <c r="AD81" t="str">
        <f>IFERROR(VLOOKUP(T81,'Org Map'!A:E,4),"BU Description Not Mapped")</f>
        <v>0096</v>
      </c>
      <c r="AE81">
        <f>IFERROR(VLOOKUP(V81,'Org Map'!C:E,3),"Home Department Code Not Mapped")</f>
        <v>801</v>
      </c>
      <c r="AF81" t="str">
        <f>IFERROR(VLOOKUP(AA81,'Salary Map'!A:D,3,FALSE),"Salary Code Not Mapped")</f>
        <v>Default</v>
      </c>
      <c r="AG81" t="str">
        <f>IFERROR(VLOOKUP(AA81,'Salary Map'!A:D,4,FALSE),"Salary Code Not Mapped")</f>
        <v>General</v>
      </c>
      <c r="AH81" t="str">
        <f>IFERROR(VLOOKUP(Z81,'Country Map'!A:B,2,FALSE),"Legal Country Not Mapped")</f>
        <v>US</v>
      </c>
      <c r="AI81" t="str">
        <f>IFERROR(VLOOKUP(X81,'Language Map'!A:C,3,FALSE),IFERROR(VLOOKUP(T81,'Org Map'!A:F,6,FALSE),"ADP and BU Language Code Not Mapped"))&amp;AH81</f>
        <v>en_US</v>
      </c>
      <c r="AJ81" t="str">
        <f>IFERROR(VLOOKUP(T81,'Org Map'!A:G,7),"BU Currency Not Mapped")</f>
        <v>USD</v>
      </c>
      <c r="AK81" t="str">
        <f t="shared" si="8"/>
        <v/>
      </c>
      <c r="AL81" t="str">
        <f>IFERROR(VLOOKUP(O81,'Status Map'!A:B,2,FALSE),"Position Status Not Mapped")</f>
        <v>N</v>
      </c>
      <c r="AM81" t="str">
        <f t="shared" si="13"/>
        <v>20260701</v>
      </c>
      <c r="AN81" t="str">
        <f t="shared" ref="AN81:AN82" si="14">IF(M81&gt;AN76,"Fix and Include Record","Exclude record termination over 45 days ago")</f>
        <v>Exclude record termination over 45 days ago</v>
      </c>
      <c r="AO81" t="str">
        <f t="shared" si="9"/>
        <v>FrankIzzo</v>
      </c>
      <c r="AP81" t="e">
        <f t="shared" si="10"/>
        <v>#VALUE!</v>
      </c>
      <c r="AQ81" t="str">
        <f t="shared" si="11"/>
        <v>No Reports to Name</v>
      </c>
      <c r="AR81" s="77" t="b">
        <f t="shared" si="12"/>
        <v>0</v>
      </c>
    </row>
    <row r="82" spans="1:44">
      <c r="A82" s="3" t="s">
        <v>1957</v>
      </c>
      <c r="B82" s="4" t="s">
        <v>1958</v>
      </c>
      <c r="C82" s="5" t="s">
        <v>1959</v>
      </c>
      <c r="D82" s="6" t="s">
        <v>1960</v>
      </c>
      <c r="E82" s="7" t="s">
        <v>1961</v>
      </c>
      <c r="F82" s="8" t="s">
        <v>1962</v>
      </c>
      <c r="G82" s="9" t="s">
        <v>1963</v>
      </c>
      <c r="H82" s="36" t="s">
        <v>1964</v>
      </c>
      <c r="I82" s="11" t="s">
        <v>1965</v>
      </c>
      <c r="J82" s="12" t="s">
        <v>1966</v>
      </c>
      <c r="K82" s="13" t="s">
        <v>1967</v>
      </c>
      <c r="L82" s="14">
        <v>45915</v>
      </c>
      <c r="M82" s="15">
        <v>46122</v>
      </c>
      <c r="N82" s="16"/>
      <c r="O82" s="17" t="s">
        <v>1968</v>
      </c>
      <c r="P82" s="18" t="s">
        <v>1969</v>
      </c>
      <c r="Q82" s="19" t="s">
        <v>1970</v>
      </c>
      <c r="R82" s="20" t="s">
        <v>1971</v>
      </c>
      <c r="S82" s="21" t="s">
        <v>1972</v>
      </c>
      <c r="T82" s="22" t="s">
        <v>1973</v>
      </c>
      <c r="U82" s="23" t="s">
        <v>1974</v>
      </c>
      <c r="V82" s="24" t="s">
        <v>1975</v>
      </c>
      <c r="W82" s="25" t="s">
        <v>1976</v>
      </c>
      <c r="X82" s="26" t="s">
        <v>1977</v>
      </c>
      <c r="Y82" s="27" t="s">
        <v>1978</v>
      </c>
      <c r="Z82" s="28" t="s">
        <v>1979</v>
      </c>
      <c r="AA82" s="29" t="s">
        <v>1980</v>
      </c>
      <c r="AB82" s="30" t="s">
        <v>1981</v>
      </c>
      <c r="AC82" s="77" t="str">
        <f>IF(ISBLANK(H82),VLOOKUP(P82,'US Supervisor Map'!A:D,4,FALSE),MID(H82,4,6))</f>
        <v/>
      </c>
      <c r="AD82" t="str">
        <f>IFERROR(VLOOKUP(T82,'Org Map'!A:E,4),"BU Description Not Mapped")</f>
        <v>0088</v>
      </c>
      <c r="AE82">
        <f>IFERROR(VLOOKUP(V82,'Org Map'!C:E,3),"Home Department Code Not Mapped")</f>
        <v>8200</v>
      </c>
      <c r="AF82" t="str">
        <f>IFERROR(VLOOKUP(AA82,'Salary Map'!A:D,3,FALSE),"Salary Code Not Mapped")</f>
        <v>Default</v>
      </c>
      <c r="AG82" t="str">
        <f>IFERROR(VLOOKUP(AA82,'Salary Map'!A:D,4,FALSE),"Salary Code Not Mapped")</f>
        <v>General</v>
      </c>
      <c r="AH82" t="str">
        <f>IFERROR(VLOOKUP(Z82,'Country Map'!A:B,2,FALSE),"Legal Country Not Mapped")</f>
        <v>US</v>
      </c>
      <c r="AI82" t="str">
        <f>IFERROR(VLOOKUP(X82,'Language Map'!A:C,3,FALSE),IFERROR(VLOOKUP(T82,'Org Map'!A:F,6,FALSE),"ADP and BU Language Code Not Mapped"))&amp;AH82</f>
        <v>en_US</v>
      </c>
      <c r="AJ82" t="str">
        <f>IFERROR(VLOOKUP(T82,'Org Map'!A:G,7),"BU Currency Not Mapped")</f>
        <v>USD</v>
      </c>
      <c r="AK82" t="str">
        <f t="shared" si="8"/>
        <v/>
      </c>
      <c r="AL82" t="str">
        <f>IFERROR(VLOOKUP(O82,'Status Map'!A:B,2,FALSE),"Position Status Not Mapped")</f>
        <v>N</v>
      </c>
      <c r="AM82" t="str">
        <f t="shared" si="13"/>
        <v>20260410</v>
      </c>
      <c r="AN82" t="str">
        <f t="shared" si="14"/>
        <v>Fix and Include Record</v>
      </c>
      <c r="AO82" t="str">
        <f t="shared" si="9"/>
        <v>ChristopherGJablonsky</v>
      </c>
      <c r="AP82" t="e">
        <f t="shared" si="10"/>
        <v>#VALUE!</v>
      </c>
      <c r="AQ82" t="str">
        <f t="shared" si="11"/>
        <v>No Reports to Name</v>
      </c>
      <c r="AR82" t="b">
        <f t="shared" si="12"/>
        <v>0</v>
      </c>
    </row>
    <row r="83" spans="1:44">
      <c r="A83" s="3" t="s">
        <v>1982</v>
      </c>
      <c r="B83" s="4" t="s">
        <v>1983</v>
      </c>
      <c r="C83" s="5" t="s">
        <v>1984</v>
      </c>
      <c r="D83" s="6" t="s">
        <v>1985</v>
      </c>
      <c r="E83" s="7" t="s">
        <v>1986</v>
      </c>
      <c r="F83" s="8" t="s">
        <v>1987</v>
      </c>
      <c r="G83" s="9" t="s">
        <v>1988</v>
      </c>
      <c r="H83" s="10" t="s">
        <v>1989</v>
      </c>
      <c r="I83" s="31" t="s">
        <v>1990</v>
      </c>
      <c r="J83" s="12" t="s">
        <v>1991</v>
      </c>
      <c r="K83" s="13" t="s">
        <v>1992</v>
      </c>
      <c r="L83" s="14">
        <v>45771</v>
      </c>
      <c r="M83" s="15"/>
      <c r="N83" s="16"/>
      <c r="O83" s="17" t="s">
        <v>1993</v>
      </c>
      <c r="P83" s="18" t="s">
        <v>1994</v>
      </c>
      <c r="Q83" s="19" t="s">
        <v>1995</v>
      </c>
      <c r="R83" s="20" t="s">
        <v>1996</v>
      </c>
      <c r="S83" s="21" t="s">
        <v>1997</v>
      </c>
      <c r="T83" s="22" t="s">
        <v>1998</v>
      </c>
      <c r="U83" s="23" t="s">
        <v>1999</v>
      </c>
      <c r="V83" s="24" t="s">
        <v>2000</v>
      </c>
      <c r="W83" s="25" t="s">
        <v>2001</v>
      </c>
      <c r="X83" s="26" t="s">
        <v>2002</v>
      </c>
      <c r="Y83" s="27" t="s">
        <v>2003</v>
      </c>
      <c r="Z83" s="28" t="s">
        <v>2004</v>
      </c>
      <c r="AA83" s="29" t="s">
        <v>2005</v>
      </c>
      <c r="AB83" s="30" t="s">
        <v>2006</v>
      </c>
      <c r="AC83" t="str">
        <f>IF(ISBLANK(H83),VLOOKUP(P83,'US Supervisor Map'!A:D,4,FALSE),MID(H83,4,6))</f>
        <v>211062</v>
      </c>
      <c r="AD83" t="str">
        <f>IFERROR(VLOOKUP(T83,'Org Map'!A:E,4),"BU Description Not Mapped")</f>
        <v>0096</v>
      </c>
      <c r="AE83">
        <f>IFERROR(VLOOKUP(V83,'Org Map'!C:E,3),"Home Department Code Not Mapped")</f>
        <v>200</v>
      </c>
      <c r="AF83" t="str">
        <f>IFERROR(VLOOKUP(AA83,'Salary Map'!A:D,3,FALSE),"Salary Code Not Mapped")</f>
        <v>Default</v>
      </c>
      <c r="AG83" t="str">
        <f>IFERROR(VLOOKUP(AA83,'Salary Map'!A:D,4,FALSE),"Salary Code Not Mapped")</f>
        <v>General</v>
      </c>
      <c r="AH83" t="str">
        <f>IFERROR(VLOOKUP(Z83,'Country Map'!A:B,2,FALSE),"Legal Country Not Mapped")</f>
        <v>US</v>
      </c>
      <c r="AI83" t="str">
        <f>IFERROR(VLOOKUP(X83,'Language Map'!A:C,3,FALSE),IFERROR(VLOOKUP(T83,'Org Map'!A:F,6,FALSE),"ADP and BU Language Code Not Mapped"))&amp;AH83</f>
        <v>en_US</v>
      </c>
      <c r="AJ83" t="str">
        <f>IFERROR(VLOOKUP(T83,'Org Map'!A:G,7),"BU Currency Not Mapped")</f>
        <v>USD</v>
      </c>
      <c r="AK83" t="str">
        <f t="shared" si="8"/>
        <v/>
      </c>
      <c r="AL83" t="str">
        <f>IFERROR(VLOOKUP(O83,'Status Map'!A:B,2,FALSE),"Position Status Not Mapped")</f>
        <v>Y</v>
      </c>
      <c r="AM83" t="str">
        <f t="shared" si="13"/>
        <v/>
      </c>
      <c r="AO83" t="str">
        <f t="shared" si="9"/>
        <v>JordanJames</v>
      </c>
      <c r="AP83" t="str">
        <f t="shared" si="10"/>
        <v>Steen</v>
      </c>
      <c r="AQ83" t="str">
        <f t="shared" si="11"/>
        <v>211062</v>
      </c>
      <c r="AR83" t="b">
        <f t="shared" si="12"/>
        <v>1</v>
      </c>
    </row>
    <row r="84" spans="1:44">
      <c r="A84" s="3" t="s">
        <v>2007</v>
      </c>
      <c r="B84" s="4" t="s">
        <v>2008</v>
      </c>
      <c r="C84" s="5" t="s">
        <v>2009</v>
      </c>
      <c r="D84" s="6" t="s">
        <v>2010</v>
      </c>
      <c r="E84" s="7" t="s">
        <v>2011</v>
      </c>
      <c r="F84" s="8" t="s">
        <v>2012</v>
      </c>
      <c r="G84" s="9" t="s">
        <v>2013</v>
      </c>
      <c r="H84" s="10" t="s">
        <v>2014</v>
      </c>
      <c r="I84" s="11" t="s">
        <v>2015</v>
      </c>
      <c r="J84" s="12" t="s">
        <v>2016</v>
      </c>
      <c r="K84" s="13" t="s">
        <v>2017</v>
      </c>
      <c r="L84" s="14">
        <v>42828</v>
      </c>
      <c r="M84" s="15"/>
      <c r="N84" s="16"/>
      <c r="O84" s="17" t="s">
        <v>2018</v>
      </c>
      <c r="P84" s="18" t="s">
        <v>2019</v>
      </c>
      <c r="Q84" s="19" t="s">
        <v>2020</v>
      </c>
      <c r="R84" s="20" t="s">
        <v>2021</v>
      </c>
      <c r="S84" s="21" t="s">
        <v>2022</v>
      </c>
      <c r="T84" s="22" t="s">
        <v>2023</v>
      </c>
      <c r="U84" s="23" t="s">
        <v>2024</v>
      </c>
      <c r="V84" s="24" t="s">
        <v>2025</v>
      </c>
      <c r="W84" s="25" t="s">
        <v>2026</v>
      </c>
      <c r="X84" s="26" t="s">
        <v>2027</v>
      </c>
      <c r="Y84" s="27" t="s">
        <v>2028</v>
      </c>
      <c r="Z84" s="28" t="s">
        <v>2029</v>
      </c>
      <c r="AA84" s="29" t="s">
        <v>2030</v>
      </c>
      <c r="AB84" s="30" t="s">
        <v>2031</v>
      </c>
      <c r="AC84" t="str">
        <f>IF(ISBLANK(H84),VLOOKUP(P84,'US Supervisor Map'!A:D,4,FALSE),MID(H84,4,6))</f>
        <v>207487</v>
      </c>
      <c r="AD84" t="str">
        <f>IFERROR(VLOOKUP(T84,'Org Map'!A:E,4),"BU Description Not Mapped")</f>
        <v>0088</v>
      </c>
      <c r="AE84">
        <f>IFERROR(VLOOKUP(V84,'Org Map'!C:E,3),"Home Department Code Not Mapped")</f>
        <v>5200</v>
      </c>
      <c r="AF84" t="str">
        <f>IFERROR(VLOOKUP(AA84,'Salary Map'!A:D,3,FALSE),"Salary Code Not Mapped")</f>
        <v>Default</v>
      </c>
      <c r="AG84" t="str">
        <f>IFERROR(VLOOKUP(AA84,'Salary Map'!A:D,4,FALSE),"Salary Code Not Mapped")</f>
        <v>General</v>
      </c>
      <c r="AH84" t="str">
        <f>IFERROR(VLOOKUP(Z84,'Country Map'!A:B,2,FALSE),"Legal Country Not Mapped")</f>
        <v>US</v>
      </c>
      <c r="AI84" t="str">
        <f>IFERROR(VLOOKUP(X84,'Language Map'!A:C,3,FALSE),IFERROR(VLOOKUP(T84,'Org Map'!A:F,6,FALSE),"ADP and BU Language Code Not Mapped"))&amp;AH84</f>
        <v>en_US</v>
      </c>
      <c r="AJ84" t="str">
        <f>IFERROR(VLOOKUP(T84,'Org Map'!A:G,7),"BU Currency Not Mapped")</f>
        <v>USD</v>
      </c>
      <c r="AK84" t="str">
        <f t="shared" si="8"/>
        <v/>
      </c>
      <c r="AL84" t="str">
        <f>IFERROR(VLOOKUP(O84,'Status Map'!A:B,2,FALSE),"Position Status Not Mapped")</f>
        <v>Y</v>
      </c>
      <c r="AM84" t="str">
        <f t="shared" si="13"/>
        <v/>
      </c>
      <c r="AO84" t="str">
        <f t="shared" si="9"/>
        <v>KeithLJames</v>
      </c>
      <c r="AP84" t="str">
        <f t="shared" si="10"/>
        <v>Rogers</v>
      </c>
      <c r="AQ84" t="str">
        <f t="shared" si="11"/>
        <v>207487</v>
      </c>
      <c r="AR84" t="b">
        <f t="shared" si="12"/>
        <v>1</v>
      </c>
    </row>
    <row r="85" spans="1:44">
      <c r="A85" s="3" t="s">
        <v>2032</v>
      </c>
      <c r="B85" s="4" t="s">
        <v>2033</v>
      </c>
      <c r="C85" s="5" t="s">
        <v>2034</v>
      </c>
      <c r="D85" s="6" t="s">
        <v>2035</v>
      </c>
      <c r="E85" s="7" t="s">
        <v>2036</v>
      </c>
      <c r="F85" s="8" t="s">
        <v>2037</v>
      </c>
      <c r="G85" s="9" t="s">
        <v>2038</v>
      </c>
      <c r="H85" s="10" t="s">
        <v>2039</v>
      </c>
      <c r="I85" s="11" t="s">
        <v>2040</v>
      </c>
      <c r="J85" s="12" t="s">
        <v>2041</v>
      </c>
      <c r="K85" s="13" t="s">
        <v>2042</v>
      </c>
      <c r="L85" s="14">
        <v>45895</v>
      </c>
      <c r="M85" s="15"/>
      <c r="N85" s="16"/>
      <c r="O85" s="17" t="s">
        <v>2043</v>
      </c>
      <c r="P85" s="18" t="s">
        <v>2044</v>
      </c>
      <c r="Q85" s="19" t="s">
        <v>2045</v>
      </c>
      <c r="R85" s="20" t="s">
        <v>2046</v>
      </c>
      <c r="S85" s="21" t="s">
        <v>2047</v>
      </c>
      <c r="T85" s="22" t="s">
        <v>2048</v>
      </c>
      <c r="U85" s="23" t="s">
        <v>2049</v>
      </c>
      <c r="V85" s="24" t="s">
        <v>2050</v>
      </c>
      <c r="W85" s="25" t="s">
        <v>2051</v>
      </c>
      <c r="X85" s="26" t="s">
        <v>2052</v>
      </c>
      <c r="Y85" s="27" t="s">
        <v>2053</v>
      </c>
      <c r="Z85" s="28" t="s">
        <v>2054</v>
      </c>
      <c r="AA85" s="29" t="s">
        <v>2055</v>
      </c>
      <c r="AB85" s="30" t="s">
        <v>2056</v>
      </c>
      <c r="AC85" t="str">
        <f>IF(ISBLANK(H85),VLOOKUP(P85,'US Supervisor Map'!A:D,4,FALSE),MID(H85,4,6))</f>
        <v>207588</v>
      </c>
      <c r="AD85" t="str">
        <f>IFERROR(VLOOKUP(T85,'Org Map'!A:E,4),"BU Description Not Mapped")</f>
        <v>0088</v>
      </c>
      <c r="AE85">
        <f>IFERROR(VLOOKUP(V85,'Org Map'!C:E,3),"Home Department Code Not Mapped")</f>
        <v>8200</v>
      </c>
      <c r="AF85" t="str">
        <f>IFERROR(VLOOKUP(AA85,'Salary Map'!A:D,3,FALSE),"Salary Code Not Mapped")</f>
        <v>Default</v>
      </c>
      <c r="AG85" t="str">
        <f>IFERROR(VLOOKUP(AA85,'Salary Map'!A:D,4,FALSE),"Salary Code Not Mapped")</f>
        <v>General</v>
      </c>
      <c r="AH85" t="str">
        <f>IFERROR(VLOOKUP(Z85,'Country Map'!A:B,2,FALSE),"Legal Country Not Mapped")</f>
        <v>US</v>
      </c>
      <c r="AI85" t="str">
        <f>IFERROR(VLOOKUP(X85,'Language Map'!A:C,3,FALSE),IFERROR(VLOOKUP(T85,'Org Map'!A:F,6,FALSE),"ADP and BU Language Code Not Mapped"))&amp;AH85</f>
        <v>en_US</v>
      </c>
      <c r="AJ85" t="str">
        <f>IFERROR(VLOOKUP(T85,'Org Map'!A:G,7),"BU Currency Not Mapped")</f>
        <v>USD</v>
      </c>
      <c r="AK85" t="str">
        <f t="shared" si="8"/>
        <v/>
      </c>
      <c r="AL85" t="str">
        <f>IFERROR(VLOOKUP(O85,'Status Map'!A:B,2,FALSE),"Position Status Not Mapped")</f>
        <v>Y</v>
      </c>
      <c r="AM85" t="str">
        <f t="shared" si="13"/>
        <v/>
      </c>
      <c r="AO85" t="str">
        <f t="shared" si="9"/>
        <v>MichaelJones</v>
      </c>
      <c r="AP85" t="str">
        <f t="shared" si="10"/>
        <v>Rodriguez</v>
      </c>
      <c r="AQ85" t="str">
        <f t="shared" si="11"/>
        <v>212338</v>
      </c>
      <c r="AR85" s="77" t="b">
        <f t="shared" si="12"/>
        <v>0</v>
      </c>
    </row>
    <row r="86" spans="1:44">
      <c r="A86" s="3" t="s">
        <v>2057</v>
      </c>
      <c r="B86" s="4" t="s">
        <v>2058</v>
      </c>
      <c r="C86" s="5" t="s">
        <v>2059</v>
      </c>
      <c r="D86" s="6" t="s">
        <v>2060</v>
      </c>
      <c r="E86" s="7" t="s">
        <v>2061</v>
      </c>
      <c r="F86" s="8" t="s">
        <v>2062</v>
      </c>
      <c r="G86" s="9" t="s">
        <v>2063</v>
      </c>
      <c r="H86" s="10" t="s">
        <v>2064</v>
      </c>
      <c r="I86" s="11" t="s">
        <v>2065</v>
      </c>
      <c r="J86" s="12" t="s">
        <v>2066</v>
      </c>
      <c r="K86" s="13" t="s">
        <v>2067</v>
      </c>
      <c r="L86" s="14">
        <v>46049</v>
      </c>
      <c r="M86" s="15"/>
      <c r="N86" s="16"/>
      <c r="O86" s="17" t="s">
        <v>2068</v>
      </c>
      <c r="P86" s="18" t="s">
        <v>2069</v>
      </c>
      <c r="Q86" s="19" t="s">
        <v>2070</v>
      </c>
      <c r="R86" s="20" t="s">
        <v>2071</v>
      </c>
      <c r="S86" s="21" t="s">
        <v>2072</v>
      </c>
      <c r="T86" s="22" t="s">
        <v>2073</v>
      </c>
      <c r="U86" s="23" t="s">
        <v>2074</v>
      </c>
      <c r="V86" s="24" t="s">
        <v>2075</v>
      </c>
      <c r="W86" s="25" t="s">
        <v>2076</v>
      </c>
      <c r="X86" s="26" t="s">
        <v>2077</v>
      </c>
      <c r="Y86" s="27" t="s">
        <v>2078</v>
      </c>
      <c r="Z86" s="28" t="s">
        <v>2079</v>
      </c>
      <c r="AA86" s="29" t="s">
        <v>2080</v>
      </c>
      <c r="AB86" s="30" t="s">
        <v>2081</v>
      </c>
      <c r="AC86" t="str">
        <f>IF(ISBLANK(H86),VLOOKUP(P86,'US Supervisor Map'!A:D,4,FALSE),MID(H86,4,6))</f>
        <v>202533</v>
      </c>
      <c r="AD86" t="str">
        <f>IFERROR(VLOOKUP(T86,'Org Map'!A:E,4),"BU Description Not Mapped")</f>
        <v>0088</v>
      </c>
      <c r="AE86">
        <f>IFERROR(VLOOKUP(V86,'Org Map'!C:E,3),"Home Department Code Not Mapped")</f>
        <v>8100</v>
      </c>
      <c r="AF86" t="str">
        <f>IFERROR(VLOOKUP(AA86,'Salary Map'!A:D,3,FALSE),"Salary Code Not Mapped")</f>
        <v>Default</v>
      </c>
      <c r="AG86" t="str">
        <f>IFERROR(VLOOKUP(AA86,'Salary Map'!A:D,4,FALSE),"Salary Code Not Mapped")</f>
        <v>General</v>
      </c>
      <c r="AH86" t="str">
        <f>IFERROR(VLOOKUP(Z86,'Country Map'!A:B,2,FALSE),"Legal Country Not Mapped")</f>
        <v>US</v>
      </c>
      <c r="AI86" t="str">
        <f>IFERROR(VLOOKUP(X86,'Language Map'!A:C,3,FALSE),IFERROR(VLOOKUP(T86,'Org Map'!A:F,6,FALSE),"ADP and BU Language Code Not Mapped"))&amp;AH86</f>
        <v>en_US</v>
      </c>
      <c r="AJ86" t="str">
        <f>IFERROR(VLOOKUP(T86,'Org Map'!A:G,7),"BU Currency Not Mapped")</f>
        <v>USD</v>
      </c>
      <c r="AK86" t="str">
        <f t="shared" si="8"/>
        <v/>
      </c>
      <c r="AL86" t="str">
        <f>IFERROR(VLOOKUP(O86,'Status Map'!A:B,2,FALSE),"Position Status Not Mapped")</f>
        <v>Y</v>
      </c>
      <c r="AM86" t="str">
        <f t="shared" si="13"/>
        <v/>
      </c>
      <c r="AO86" t="str">
        <f t="shared" si="9"/>
        <v>ShelleionJones</v>
      </c>
      <c r="AP86" t="str">
        <f t="shared" si="10"/>
        <v>Williams</v>
      </c>
      <c r="AQ86" t="str">
        <f t="shared" si="11"/>
        <v>202533</v>
      </c>
      <c r="AR86" t="b">
        <f t="shared" si="12"/>
        <v>1</v>
      </c>
    </row>
    <row r="87" spans="1:44">
      <c r="A87" s="3" t="s">
        <v>2082</v>
      </c>
      <c r="B87" s="4" t="s">
        <v>2083</v>
      </c>
      <c r="C87" s="5" t="s">
        <v>2084</v>
      </c>
      <c r="D87" s="6" t="s">
        <v>2085</v>
      </c>
      <c r="E87" s="7" t="s">
        <v>2086</v>
      </c>
      <c r="F87" s="8" t="s">
        <v>2087</v>
      </c>
      <c r="G87" s="9" t="s">
        <v>2088</v>
      </c>
      <c r="H87" s="10" t="s">
        <v>2089</v>
      </c>
      <c r="I87" s="31" t="s">
        <v>2090</v>
      </c>
      <c r="J87" s="12" t="s">
        <v>2091</v>
      </c>
      <c r="K87" s="13" t="s">
        <v>2092</v>
      </c>
      <c r="L87" s="14">
        <v>46155</v>
      </c>
      <c r="M87" s="15">
        <v>46248</v>
      </c>
      <c r="N87" s="16"/>
      <c r="O87" s="17" t="s">
        <v>2093</v>
      </c>
      <c r="P87" s="18" t="s">
        <v>2094</v>
      </c>
      <c r="Q87" s="19" t="s">
        <v>2095</v>
      </c>
      <c r="R87" s="20" t="s">
        <v>2096</v>
      </c>
      <c r="S87" s="21" t="s">
        <v>2097</v>
      </c>
      <c r="T87" s="22" t="s">
        <v>2098</v>
      </c>
      <c r="U87" s="23" t="s">
        <v>2099</v>
      </c>
      <c r="V87" s="24" t="s">
        <v>2100</v>
      </c>
      <c r="W87" s="25" t="s">
        <v>2101</v>
      </c>
      <c r="X87" s="26" t="s">
        <v>2102</v>
      </c>
      <c r="Y87" s="27" t="s">
        <v>2103</v>
      </c>
      <c r="Z87" s="28" t="s">
        <v>2104</v>
      </c>
      <c r="AA87" s="29" t="s">
        <v>2105</v>
      </c>
      <c r="AB87" s="30" t="s">
        <v>2106</v>
      </c>
      <c r="AC87" t="str">
        <f>IF(ISBLANK(H87),VLOOKUP(P87,'US Supervisor Map'!A:D,4,FALSE),MID(H87,4,6))</f>
        <v>210892</v>
      </c>
      <c r="AD87" t="str">
        <f>IFERROR(VLOOKUP(T87,'Org Map'!A:E,4),"BU Description Not Mapped")</f>
        <v>0088</v>
      </c>
      <c r="AE87">
        <f>IFERROR(VLOOKUP(V87,'Org Map'!C:E,3),"Home Department Code Not Mapped")</f>
        <v>9500</v>
      </c>
      <c r="AF87" t="str">
        <f>IFERROR(VLOOKUP(AA87,'Salary Map'!A:D,3,FALSE),"Salary Code Not Mapped")</f>
        <v>Default</v>
      </c>
      <c r="AG87" t="str">
        <f>IFERROR(VLOOKUP(AA87,'Salary Map'!A:D,4,FALSE),"Salary Code Not Mapped")</f>
        <v>General</v>
      </c>
      <c r="AH87" t="str">
        <f>IFERROR(VLOOKUP(Z87,'Country Map'!A:B,2,FALSE),"Legal Country Not Mapped")</f>
        <v>US</v>
      </c>
      <c r="AI87" t="str">
        <f>IFERROR(VLOOKUP(X87,'Language Map'!A:C,3,FALSE),IFERROR(VLOOKUP(T87,'Org Map'!A:F,6,FALSE),"ADP and BU Language Code Not Mapped"))&amp;AH87</f>
        <v>en_US</v>
      </c>
      <c r="AJ87" t="str">
        <f>IFERROR(VLOOKUP(T87,'Org Map'!A:G,7),"BU Currency Not Mapped")</f>
        <v>USD</v>
      </c>
      <c r="AK87" t="str">
        <f t="shared" si="8"/>
        <v/>
      </c>
      <c r="AL87" t="str">
        <f>IFERROR(VLOOKUP(O87,'Status Map'!A:B,2,FALSE),"Position Status Not Mapped")</f>
        <v>N</v>
      </c>
      <c r="AM87" t="str">
        <f t="shared" si="13"/>
        <v>20260814</v>
      </c>
      <c r="AN87" t="str">
        <f>IF(M87&gt;AN82,"Fix and Include Record","Exclude record termination over 45 days ago")</f>
        <v>Exclude record termination over 45 days ago</v>
      </c>
      <c r="AO87" t="str">
        <f t="shared" si="9"/>
        <v>BrandonKelly</v>
      </c>
      <c r="AP87" t="str">
        <f t="shared" si="10"/>
        <v>Alexander</v>
      </c>
      <c r="AQ87" t="str">
        <f t="shared" si="11"/>
        <v>210892</v>
      </c>
      <c r="AR87" t="b">
        <f t="shared" si="12"/>
        <v>1</v>
      </c>
    </row>
    <row r="88" spans="1:44">
      <c r="A88" s="3" t="s">
        <v>2107</v>
      </c>
      <c r="B88" s="4" t="s">
        <v>2108</v>
      </c>
      <c r="C88" s="5" t="s">
        <v>2109</v>
      </c>
      <c r="D88" s="6" t="s">
        <v>2110</v>
      </c>
      <c r="E88" s="7" t="s">
        <v>2111</v>
      </c>
      <c r="F88" s="8" t="s">
        <v>2112</v>
      </c>
      <c r="G88" s="9" t="s">
        <v>2113</v>
      </c>
      <c r="H88" s="10" t="s">
        <v>2114</v>
      </c>
      <c r="I88" s="31" t="s">
        <v>2115</v>
      </c>
      <c r="J88" s="12" t="s">
        <v>2116</v>
      </c>
      <c r="K88" s="13" t="s">
        <v>2117</v>
      </c>
      <c r="L88" s="14">
        <v>44480</v>
      </c>
      <c r="M88" s="15"/>
      <c r="N88" s="16"/>
      <c r="O88" s="17" t="s">
        <v>2118</v>
      </c>
      <c r="P88" s="18" t="s">
        <v>2119</v>
      </c>
      <c r="Q88" s="19" t="s">
        <v>2120</v>
      </c>
      <c r="R88" s="20" t="s">
        <v>2121</v>
      </c>
      <c r="S88" s="21" t="s">
        <v>2122</v>
      </c>
      <c r="T88" s="22" t="s">
        <v>2123</v>
      </c>
      <c r="U88" s="23" t="s">
        <v>2124</v>
      </c>
      <c r="V88" s="24" t="s">
        <v>2125</v>
      </c>
      <c r="W88" s="25" t="s">
        <v>2126</v>
      </c>
      <c r="X88" s="26" t="s">
        <v>2127</v>
      </c>
      <c r="Y88" s="27" t="s">
        <v>2128</v>
      </c>
      <c r="Z88" s="28" t="s">
        <v>2129</v>
      </c>
      <c r="AA88" s="29" t="s">
        <v>2130</v>
      </c>
      <c r="AB88" s="30" t="s">
        <v>2131</v>
      </c>
      <c r="AC88" t="str">
        <f>IF(ISBLANK(H88),VLOOKUP(P88,'US Supervisor Map'!A:D,4,FALSE),MID(H88,4,6))</f>
        <v>211062</v>
      </c>
      <c r="AD88" t="str">
        <f>IFERROR(VLOOKUP(T88,'Org Map'!A:E,4),"BU Description Not Mapped")</f>
        <v>0096</v>
      </c>
      <c r="AE88">
        <f>IFERROR(VLOOKUP(V88,'Org Map'!C:E,3),"Home Department Code Not Mapped")</f>
        <v>100</v>
      </c>
      <c r="AF88" t="str">
        <f>IFERROR(VLOOKUP(AA88,'Salary Map'!A:D,3,FALSE),"Salary Code Not Mapped")</f>
        <v>Default</v>
      </c>
      <c r="AG88" t="str">
        <f>IFERROR(VLOOKUP(AA88,'Salary Map'!A:D,4,FALSE),"Salary Code Not Mapped")</f>
        <v>General</v>
      </c>
      <c r="AH88" t="str">
        <f>IFERROR(VLOOKUP(Z88,'Country Map'!A:B,2,FALSE),"Legal Country Not Mapped")</f>
        <v>US</v>
      </c>
      <c r="AI88" t="str">
        <f>IFERROR(VLOOKUP(X88,'Language Map'!A:C,3,FALSE),IFERROR(VLOOKUP(T88,'Org Map'!A:F,6,FALSE),"ADP and BU Language Code Not Mapped"))&amp;AH88</f>
        <v>en_US</v>
      </c>
      <c r="AJ88" t="str">
        <f>IFERROR(VLOOKUP(T88,'Org Map'!A:G,7),"BU Currency Not Mapped")</f>
        <v>USD</v>
      </c>
      <c r="AK88" t="str">
        <f t="shared" si="8"/>
        <v/>
      </c>
      <c r="AL88" t="str">
        <f>IFERROR(VLOOKUP(O88,'Status Map'!A:B,2,FALSE),"Position Status Not Mapped")</f>
        <v>Y</v>
      </c>
      <c r="AM88" t="str">
        <f t="shared" si="13"/>
        <v/>
      </c>
      <c r="AO88" t="str">
        <f t="shared" si="9"/>
        <v>MasonRKelly</v>
      </c>
      <c r="AP88" t="str">
        <f t="shared" si="10"/>
        <v>Steen</v>
      </c>
      <c r="AQ88" t="str">
        <f t="shared" si="11"/>
        <v>211062</v>
      </c>
      <c r="AR88" t="b">
        <f t="shared" si="12"/>
        <v>1</v>
      </c>
    </row>
    <row r="89" spans="1:44">
      <c r="A89" s="3" t="s">
        <v>2132</v>
      </c>
      <c r="B89" s="4" t="s">
        <v>2133</v>
      </c>
      <c r="C89" s="5" t="s">
        <v>2134</v>
      </c>
      <c r="D89" s="6" t="s">
        <v>2135</v>
      </c>
      <c r="E89" s="7" t="s">
        <v>2136</v>
      </c>
      <c r="F89" s="8" t="s">
        <v>2137</v>
      </c>
      <c r="G89" s="9" t="s">
        <v>2138</v>
      </c>
      <c r="H89" s="10" t="s">
        <v>2139</v>
      </c>
      <c r="I89" s="11" t="s">
        <v>2140</v>
      </c>
      <c r="J89" s="12" t="s">
        <v>2141</v>
      </c>
      <c r="K89" s="13" t="s">
        <v>2142</v>
      </c>
      <c r="L89" s="14">
        <v>45712</v>
      </c>
      <c r="M89" s="15"/>
      <c r="N89" s="16"/>
      <c r="O89" s="17" t="s">
        <v>2143</v>
      </c>
      <c r="P89" s="18" t="s">
        <v>2144</v>
      </c>
      <c r="Q89" s="19" t="s">
        <v>2145</v>
      </c>
      <c r="R89" s="20" t="s">
        <v>2146</v>
      </c>
      <c r="S89" s="21" t="s">
        <v>2147</v>
      </c>
      <c r="T89" s="22" t="s">
        <v>2148</v>
      </c>
      <c r="U89" s="23" t="s">
        <v>2149</v>
      </c>
      <c r="V89" s="24" t="s">
        <v>2150</v>
      </c>
      <c r="W89" s="25" t="s">
        <v>2151</v>
      </c>
      <c r="X89" s="26" t="s">
        <v>2152</v>
      </c>
      <c r="Y89" s="27" t="s">
        <v>2153</v>
      </c>
      <c r="Z89" s="28" t="s">
        <v>2154</v>
      </c>
      <c r="AA89" s="29" t="s">
        <v>2155</v>
      </c>
      <c r="AB89" s="30" t="s">
        <v>2156</v>
      </c>
      <c r="AC89" t="str">
        <f>IF(ISBLANK(H89),VLOOKUP(P89,'US Supervisor Map'!A:D,4,FALSE),MID(H89,4,6))</f>
        <v>207709</v>
      </c>
      <c r="AD89" t="str">
        <f>IFERROR(VLOOKUP(T89,'Org Map'!A:E,4),"BU Description Not Mapped")</f>
        <v>0088</v>
      </c>
      <c r="AE89">
        <f>IFERROR(VLOOKUP(V89,'Org Map'!C:E,3),"Home Department Code Not Mapped")</f>
        <v>9450</v>
      </c>
      <c r="AF89" t="str">
        <f>IFERROR(VLOOKUP(AA89,'Salary Map'!A:D,3,FALSE),"Salary Code Not Mapped")</f>
        <v>Default</v>
      </c>
      <c r="AG89" t="str">
        <f>IFERROR(VLOOKUP(AA89,'Salary Map'!A:D,4,FALSE),"Salary Code Not Mapped")</f>
        <v>General</v>
      </c>
      <c r="AH89" t="str">
        <f>IFERROR(VLOOKUP(Z89,'Country Map'!A:B,2,FALSE),"Legal Country Not Mapped")</f>
        <v>US</v>
      </c>
      <c r="AI89" t="str">
        <f>IFERROR(VLOOKUP(X89,'Language Map'!A:C,3,FALSE),IFERROR(VLOOKUP(T89,'Org Map'!A:F,6,FALSE),"ADP and BU Language Code Not Mapped"))&amp;AH89</f>
        <v>en_US</v>
      </c>
      <c r="AJ89" t="str">
        <f>IFERROR(VLOOKUP(T89,'Org Map'!A:G,7),"BU Currency Not Mapped")</f>
        <v>USD</v>
      </c>
      <c r="AK89" t="str">
        <f t="shared" si="8"/>
        <v/>
      </c>
      <c r="AL89" t="str">
        <f>IFERROR(VLOOKUP(O89,'Status Map'!A:B,2,FALSE),"Position Status Not Mapped")</f>
        <v>Y</v>
      </c>
      <c r="AM89" t="str">
        <f t="shared" si="13"/>
        <v/>
      </c>
      <c r="AO89" t="str">
        <f t="shared" si="9"/>
        <v>GregKemenah</v>
      </c>
      <c r="AP89" t="str">
        <f t="shared" si="10"/>
        <v>Bair</v>
      </c>
      <c r="AQ89" t="str">
        <f t="shared" si="11"/>
        <v>207709</v>
      </c>
      <c r="AR89" t="b">
        <f t="shared" si="12"/>
        <v>1</v>
      </c>
    </row>
    <row r="90" spans="1:44">
      <c r="A90" s="3" t="s">
        <v>2157</v>
      </c>
      <c r="B90" s="4" t="s">
        <v>2158</v>
      </c>
      <c r="C90" s="5" t="s">
        <v>2159</v>
      </c>
      <c r="D90" s="6" t="s">
        <v>2160</v>
      </c>
      <c r="E90" s="7" t="s">
        <v>2161</v>
      </c>
      <c r="F90" s="8" t="s">
        <v>2162</v>
      </c>
      <c r="G90" s="9" t="s">
        <v>2163</v>
      </c>
      <c r="H90" s="10" t="s">
        <v>2164</v>
      </c>
      <c r="I90" s="31" t="s">
        <v>2165</v>
      </c>
      <c r="J90" s="12" t="s">
        <v>2166</v>
      </c>
      <c r="K90" s="13" t="s">
        <v>2167</v>
      </c>
      <c r="L90" s="14">
        <v>46153</v>
      </c>
      <c r="M90" s="15">
        <v>46248</v>
      </c>
      <c r="N90" s="16"/>
      <c r="O90" s="17" t="s">
        <v>2168</v>
      </c>
      <c r="P90" s="18" t="s">
        <v>2169</v>
      </c>
      <c r="Q90" s="19" t="s">
        <v>2170</v>
      </c>
      <c r="R90" s="20" t="s">
        <v>2171</v>
      </c>
      <c r="S90" s="21" t="s">
        <v>2172</v>
      </c>
      <c r="T90" s="22" t="s">
        <v>2173</v>
      </c>
      <c r="U90" s="23" t="s">
        <v>2174</v>
      </c>
      <c r="V90" s="24" t="s">
        <v>2175</v>
      </c>
      <c r="W90" s="25" t="s">
        <v>2176</v>
      </c>
      <c r="X90" s="26" t="s">
        <v>2177</v>
      </c>
      <c r="Y90" s="27" t="s">
        <v>2178</v>
      </c>
      <c r="Z90" s="28" t="s">
        <v>2179</v>
      </c>
      <c r="AA90" s="29" t="s">
        <v>2180</v>
      </c>
      <c r="AB90" s="30" t="s">
        <v>2181</v>
      </c>
      <c r="AC90" t="str">
        <f>IF(ISBLANK(H90),VLOOKUP(P90,'US Supervisor Map'!A:D,4,FALSE),MID(H90,4,6))</f>
        <v>008750</v>
      </c>
      <c r="AD90" t="str">
        <f>IFERROR(VLOOKUP(T90,'Org Map'!A:E,4),"BU Description Not Mapped")</f>
        <v>0088</v>
      </c>
      <c r="AE90">
        <f>IFERROR(VLOOKUP(V90,'Org Map'!C:E,3),"Home Department Code Not Mapped")</f>
        <v>9100</v>
      </c>
      <c r="AF90" t="str">
        <f>IFERROR(VLOOKUP(AA90,'Salary Map'!A:D,3,FALSE),"Salary Code Not Mapped")</f>
        <v>Default</v>
      </c>
      <c r="AG90" t="str">
        <f>IFERROR(VLOOKUP(AA90,'Salary Map'!A:D,4,FALSE),"Salary Code Not Mapped")</f>
        <v>General</v>
      </c>
      <c r="AH90" t="str">
        <f>IFERROR(VLOOKUP(Z90,'Country Map'!A:B,2,FALSE),"Legal Country Not Mapped")</f>
        <v>US</v>
      </c>
      <c r="AI90" t="str">
        <f>IFERROR(VLOOKUP(X90,'Language Map'!A:C,3,FALSE),IFERROR(VLOOKUP(T90,'Org Map'!A:F,6,FALSE),"ADP and BU Language Code Not Mapped"))&amp;AH90</f>
        <v>en_US</v>
      </c>
      <c r="AJ90" t="str">
        <f>IFERROR(VLOOKUP(T90,'Org Map'!A:G,7),"BU Currency Not Mapped")</f>
        <v>USD</v>
      </c>
      <c r="AK90" t="str">
        <f t="shared" si="8"/>
        <v/>
      </c>
      <c r="AL90" t="str">
        <f>IFERROR(VLOOKUP(O90,'Status Map'!A:B,2,FALSE),"Position Status Not Mapped")</f>
        <v>N</v>
      </c>
      <c r="AM90" t="str">
        <f t="shared" si="13"/>
        <v>20260814</v>
      </c>
      <c r="AN90" t="str">
        <f>IF(M90&gt;AN85,"Fix and Include Record","Exclude record termination over 45 days ago")</f>
        <v>Fix and Include Record</v>
      </c>
      <c r="AO90" t="str">
        <f t="shared" si="9"/>
        <v>JacobAKemenah</v>
      </c>
      <c r="AP90" t="str">
        <f t="shared" si="10"/>
        <v>Warner</v>
      </c>
      <c r="AQ90" t="str">
        <f t="shared" si="11"/>
        <v>008750</v>
      </c>
      <c r="AR90" t="b">
        <f t="shared" si="12"/>
        <v>1</v>
      </c>
    </row>
    <row r="91" spans="1:44">
      <c r="A91" s="3" t="s">
        <v>2182</v>
      </c>
      <c r="B91" s="4" t="s">
        <v>2183</v>
      </c>
      <c r="C91" s="5" t="s">
        <v>2184</v>
      </c>
      <c r="D91" s="6" t="s">
        <v>2185</v>
      </c>
      <c r="E91" s="7" t="s">
        <v>2186</v>
      </c>
      <c r="F91" s="8" t="s">
        <v>2187</v>
      </c>
      <c r="G91" s="9" t="s">
        <v>2188</v>
      </c>
      <c r="H91" s="10" t="s">
        <v>2189</v>
      </c>
      <c r="I91" s="11" t="s">
        <v>2190</v>
      </c>
      <c r="J91" s="12" t="s">
        <v>2191</v>
      </c>
      <c r="K91" s="13" t="s">
        <v>2192</v>
      </c>
      <c r="L91" s="14">
        <v>45461</v>
      </c>
      <c r="M91" s="15"/>
      <c r="N91" s="16"/>
      <c r="O91" s="17" t="s">
        <v>2193</v>
      </c>
      <c r="P91" s="18" t="s">
        <v>2194</v>
      </c>
      <c r="Q91" s="19" t="s">
        <v>2195</v>
      </c>
      <c r="R91" s="20" t="s">
        <v>2196</v>
      </c>
      <c r="S91" s="21" t="s">
        <v>2197</v>
      </c>
      <c r="T91" s="22" t="s">
        <v>2198</v>
      </c>
      <c r="U91" s="23" t="s">
        <v>2199</v>
      </c>
      <c r="V91" s="24" t="s">
        <v>2200</v>
      </c>
      <c r="W91" s="25" t="s">
        <v>2201</v>
      </c>
      <c r="X91" s="26" t="s">
        <v>2202</v>
      </c>
      <c r="Y91" s="27" t="s">
        <v>2203</v>
      </c>
      <c r="Z91" s="28" t="s">
        <v>2204</v>
      </c>
      <c r="AA91" s="29" t="s">
        <v>2205</v>
      </c>
      <c r="AB91" s="30" t="s">
        <v>2206</v>
      </c>
      <c r="AC91" t="str">
        <f>IF(ISBLANK(H91),VLOOKUP(P91,'US Supervisor Map'!A:D,4,FALSE),MID(H91,4,6))</f>
        <v>211766</v>
      </c>
      <c r="AD91" t="str">
        <f>IFERROR(VLOOKUP(T91,'Org Map'!A:E,4),"BU Description Not Mapped")</f>
        <v>0088</v>
      </c>
      <c r="AE91">
        <f>IFERROR(VLOOKUP(V91,'Org Map'!C:E,3),"Home Department Code Not Mapped")</f>
        <v>8300</v>
      </c>
      <c r="AF91" t="str">
        <f>IFERROR(VLOOKUP(AA91,'Salary Map'!A:D,3,FALSE),"Salary Code Not Mapped")</f>
        <v>Default</v>
      </c>
      <c r="AG91" t="str">
        <f>IFERROR(VLOOKUP(AA91,'Salary Map'!A:D,4,FALSE),"Salary Code Not Mapped")</f>
        <v>General</v>
      </c>
      <c r="AH91" t="str">
        <f>IFERROR(VLOOKUP(Z91,'Country Map'!A:B,2,FALSE),"Legal Country Not Mapped")</f>
        <v>US</v>
      </c>
      <c r="AI91" t="str">
        <f>IFERROR(VLOOKUP(X91,'Language Map'!A:C,3,FALSE),IFERROR(VLOOKUP(T91,'Org Map'!A:F,6,FALSE),"ADP and BU Language Code Not Mapped"))&amp;AH91</f>
        <v>en_US</v>
      </c>
      <c r="AJ91" t="str">
        <f>IFERROR(VLOOKUP(T91,'Org Map'!A:G,7),"BU Currency Not Mapped")</f>
        <v>USD</v>
      </c>
      <c r="AK91" t="str">
        <f t="shared" si="8"/>
        <v/>
      </c>
      <c r="AL91" t="str">
        <f>IFERROR(VLOOKUP(O91,'Status Map'!A:B,2,FALSE),"Position Status Not Mapped")</f>
        <v>Y</v>
      </c>
      <c r="AM91" t="str">
        <f t="shared" si="13"/>
        <v/>
      </c>
      <c r="AO91" t="str">
        <f t="shared" si="9"/>
        <v>Sai AnushaKodali</v>
      </c>
      <c r="AP91" t="str">
        <f t="shared" si="10"/>
        <v>Kemenah</v>
      </c>
      <c r="AQ91" t="str">
        <f t="shared" si="11"/>
        <v>211766</v>
      </c>
      <c r="AR91" t="b">
        <f t="shared" si="12"/>
        <v>1</v>
      </c>
    </row>
    <row r="92" spans="1:44">
      <c r="A92" s="3" t="s">
        <v>2207</v>
      </c>
      <c r="B92" s="4" t="s">
        <v>2208</v>
      </c>
      <c r="C92" s="5" t="s">
        <v>2209</v>
      </c>
      <c r="D92" s="6" t="s">
        <v>2210</v>
      </c>
      <c r="E92" s="7" t="s">
        <v>2211</v>
      </c>
      <c r="F92" s="8" t="s">
        <v>2212</v>
      </c>
      <c r="G92" s="9" t="s">
        <v>2213</v>
      </c>
      <c r="H92" s="10" t="s">
        <v>2214</v>
      </c>
      <c r="I92" s="31" t="s">
        <v>2215</v>
      </c>
      <c r="J92" s="12" t="s">
        <v>2216</v>
      </c>
      <c r="K92" s="13" t="s">
        <v>2217</v>
      </c>
      <c r="L92" s="14">
        <v>32405</v>
      </c>
      <c r="M92" s="15"/>
      <c r="N92" s="16"/>
      <c r="O92" s="17" t="s">
        <v>2218</v>
      </c>
      <c r="P92" s="18" t="s">
        <v>2219</v>
      </c>
      <c r="Q92" s="19" t="s">
        <v>2220</v>
      </c>
      <c r="R92" s="20" t="s">
        <v>2221</v>
      </c>
      <c r="S92" s="21" t="s">
        <v>2222</v>
      </c>
      <c r="T92" s="22" t="s">
        <v>2223</v>
      </c>
      <c r="U92" s="23" t="s">
        <v>2224</v>
      </c>
      <c r="V92" s="24" t="s">
        <v>2225</v>
      </c>
      <c r="W92" s="25" t="s">
        <v>2226</v>
      </c>
      <c r="X92" s="26" t="s">
        <v>2227</v>
      </c>
      <c r="Y92" s="27" t="s">
        <v>2228</v>
      </c>
      <c r="Z92" s="28" t="s">
        <v>2229</v>
      </c>
      <c r="AA92" s="29" t="s">
        <v>2230</v>
      </c>
      <c r="AB92" s="30" t="s">
        <v>2231</v>
      </c>
      <c r="AC92" t="str">
        <f>IF(ISBLANK(H92),VLOOKUP(P92,'US Supervisor Map'!A:D,4,FALSE),MID(H92,4,6))</f>
        <v>211062</v>
      </c>
      <c r="AD92" t="str">
        <f>IFERROR(VLOOKUP(T92,'Org Map'!A:E,4),"BU Description Not Mapped")</f>
        <v>0096</v>
      </c>
      <c r="AE92">
        <f>IFERROR(VLOOKUP(V92,'Org Map'!C:E,3),"Home Department Code Not Mapped")</f>
        <v>100</v>
      </c>
      <c r="AF92" t="str">
        <f>IFERROR(VLOOKUP(AA92,'Salary Map'!A:D,3,FALSE),"Salary Code Not Mapped")</f>
        <v>Default</v>
      </c>
      <c r="AG92" t="str">
        <f>IFERROR(VLOOKUP(AA92,'Salary Map'!A:D,4,FALSE),"Salary Code Not Mapped")</f>
        <v>General</v>
      </c>
      <c r="AH92" t="str">
        <f>IFERROR(VLOOKUP(Z92,'Country Map'!A:B,2,FALSE),"Legal Country Not Mapped")</f>
        <v>US</v>
      </c>
      <c r="AI92" t="str">
        <f>IFERROR(VLOOKUP(X92,'Language Map'!A:C,3,FALSE),IFERROR(VLOOKUP(T92,'Org Map'!A:F,6,FALSE),"ADP and BU Language Code Not Mapped"))&amp;AH92</f>
        <v>en_US</v>
      </c>
      <c r="AJ92" t="str">
        <f>IFERROR(VLOOKUP(T92,'Org Map'!A:G,7),"BU Currency Not Mapped")</f>
        <v>USD</v>
      </c>
      <c r="AK92" t="str">
        <f t="shared" si="8"/>
        <v/>
      </c>
      <c r="AL92" t="str">
        <f>IFERROR(VLOOKUP(O92,'Status Map'!A:B,2,FALSE),"Position Status Not Mapped")</f>
        <v>Y</v>
      </c>
      <c r="AM92" t="str">
        <f t="shared" si="13"/>
        <v/>
      </c>
      <c r="AO92" t="str">
        <f t="shared" si="9"/>
        <v>ChristopherJKostohryz</v>
      </c>
      <c r="AP92" t="str">
        <f t="shared" si="10"/>
        <v>Steen</v>
      </c>
      <c r="AQ92" t="str">
        <f t="shared" si="11"/>
        <v>211062</v>
      </c>
      <c r="AR92" t="b">
        <f t="shared" si="12"/>
        <v>1</v>
      </c>
    </row>
    <row r="93" spans="1:44">
      <c r="A93" s="3" t="s">
        <v>2232</v>
      </c>
      <c r="B93" s="4" t="s">
        <v>2233</v>
      </c>
      <c r="C93" s="5" t="s">
        <v>2234</v>
      </c>
      <c r="D93" s="6" t="s">
        <v>2235</v>
      </c>
      <c r="E93" s="7" t="s">
        <v>2236</v>
      </c>
      <c r="F93" s="8" t="s">
        <v>2237</v>
      </c>
      <c r="G93" s="9" t="s">
        <v>2238</v>
      </c>
      <c r="H93" s="10" t="s">
        <v>2239</v>
      </c>
      <c r="I93" s="11" t="s">
        <v>2240</v>
      </c>
      <c r="J93" s="12" t="s">
        <v>2241</v>
      </c>
      <c r="K93" s="13" t="s">
        <v>2242</v>
      </c>
      <c r="L93" s="14">
        <v>46174</v>
      </c>
      <c r="M93" s="15"/>
      <c r="N93" s="16"/>
      <c r="O93" s="17" t="s">
        <v>2243</v>
      </c>
      <c r="P93" s="18" t="s">
        <v>2244</v>
      </c>
      <c r="Q93" s="19" t="s">
        <v>2245</v>
      </c>
      <c r="R93" s="20" t="s">
        <v>2246</v>
      </c>
      <c r="S93" s="21" t="s">
        <v>2247</v>
      </c>
      <c r="T93" s="22" t="s">
        <v>2248</v>
      </c>
      <c r="U93" s="23" t="s">
        <v>2249</v>
      </c>
      <c r="V93" s="24" t="s">
        <v>2250</v>
      </c>
      <c r="W93" s="25" t="s">
        <v>2251</v>
      </c>
      <c r="X93" s="26" t="s">
        <v>2252</v>
      </c>
      <c r="Y93" s="27" t="s">
        <v>2253</v>
      </c>
      <c r="Z93" s="28" t="s">
        <v>2254</v>
      </c>
      <c r="AA93" s="29" t="s">
        <v>2255</v>
      </c>
      <c r="AB93" s="30" t="s">
        <v>2256</v>
      </c>
      <c r="AC93" t="str">
        <f>IF(ISBLANK(H93),VLOOKUP(P93,'US Supervisor Map'!A:D,4,FALSE),MID(H93,4,6))</f>
        <v>202533</v>
      </c>
      <c r="AD93" t="str">
        <f>IFERROR(VLOOKUP(T93,'Org Map'!A:E,4),"BU Description Not Mapped")</f>
        <v>0088</v>
      </c>
      <c r="AE93">
        <f>IFERROR(VLOOKUP(V93,'Org Map'!C:E,3),"Home Department Code Not Mapped")</f>
        <v>8100</v>
      </c>
      <c r="AF93" t="str">
        <f>IFERROR(VLOOKUP(AA93,'Salary Map'!A:D,3,FALSE),"Salary Code Not Mapped")</f>
        <v>Default</v>
      </c>
      <c r="AG93" t="str">
        <f>IFERROR(VLOOKUP(AA93,'Salary Map'!A:D,4,FALSE),"Salary Code Not Mapped")</f>
        <v>General</v>
      </c>
      <c r="AH93" t="str">
        <f>IFERROR(VLOOKUP(Z93,'Country Map'!A:B,2,FALSE),"Legal Country Not Mapped")</f>
        <v>US</v>
      </c>
      <c r="AI93" t="str">
        <f>IFERROR(VLOOKUP(X93,'Language Map'!A:C,3,FALSE),IFERROR(VLOOKUP(T93,'Org Map'!A:F,6,FALSE),"ADP and BU Language Code Not Mapped"))&amp;AH93</f>
        <v>en_US</v>
      </c>
      <c r="AJ93" t="str">
        <f>IFERROR(VLOOKUP(T93,'Org Map'!A:G,7),"BU Currency Not Mapped")</f>
        <v>USD</v>
      </c>
      <c r="AK93" t="str">
        <f t="shared" si="8"/>
        <v/>
      </c>
      <c r="AL93" t="str">
        <f>IFERROR(VLOOKUP(O93,'Status Map'!A:B,2,FALSE),"Position Status Not Mapped")</f>
        <v>Y</v>
      </c>
      <c r="AM93" t="str">
        <f t="shared" si="13"/>
        <v/>
      </c>
      <c r="AO93" t="str">
        <f t="shared" si="9"/>
        <v>WendyKozicki</v>
      </c>
      <c r="AP93" t="str">
        <f t="shared" si="10"/>
        <v>Williams</v>
      </c>
      <c r="AQ93" t="str">
        <f t="shared" si="11"/>
        <v>202533</v>
      </c>
      <c r="AR93" t="b">
        <f t="shared" si="12"/>
        <v>1</v>
      </c>
    </row>
    <row r="94" spans="1:44">
      <c r="A94" s="3" t="s">
        <v>2257</v>
      </c>
      <c r="B94" s="4" t="s">
        <v>2258</v>
      </c>
      <c r="C94" s="5" t="s">
        <v>2259</v>
      </c>
      <c r="D94" s="6" t="s">
        <v>2260</v>
      </c>
      <c r="E94" s="7" t="s">
        <v>2261</v>
      </c>
      <c r="F94" s="8" t="s">
        <v>2262</v>
      </c>
      <c r="G94" s="9" t="s">
        <v>2263</v>
      </c>
      <c r="H94" s="10" t="s">
        <v>2264</v>
      </c>
      <c r="I94" s="31" t="s">
        <v>2265</v>
      </c>
      <c r="J94" s="12" t="s">
        <v>2266</v>
      </c>
      <c r="K94" s="13" t="s">
        <v>2267</v>
      </c>
      <c r="L94" s="14">
        <v>45831</v>
      </c>
      <c r="M94" s="15"/>
      <c r="N94" s="16"/>
      <c r="O94" s="17" t="s">
        <v>2268</v>
      </c>
      <c r="P94" s="18" t="s">
        <v>2269</v>
      </c>
      <c r="Q94" s="19" t="s">
        <v>2270</v>
      </c>
      <c r="R94" s="20" t="s">
        <v>2271</v>
      </c>
      <c r="S94" s="21" t="s">
        <v>2272</v>
      </c>
      <c r="T94" s="22" t="s">
        <v>2273</v>
      </c>
      <c r="U94" s="23" t="s">
        <v>2274</v>
      </c>
      <c r="V94" s="24" t="s">
        <v>2275</v>
      </c>
      <c r="W94" s="25" t="s">
        <v>2276</v>
      </c>
      <c r="X94" s="26" t="s">
        <v>2277</v>
      </c>
      <c r="Y94" s="27" t="s">
        <v>2278</v>
      </c>
      <c r="Z94" s="28" t="s">
        <v>2279</v>
      </c>
      <c r="AA94" s="29" t="s">
        <v>2280</v>
      </c>
      <c r="AB94" s="30" t="s">
        <v>2281</v>
      </c>
      <c r="AC94" t="str">
        <f>IF(ISBLANK(H94),VLOOKUP(P94,'US Supervisor Map'!A:D,4,FALSE),MID(H94,4,6))</f>
        <v>211736</v>
      </c>
      <c r="AD94" t="str">
        <f>IFERROR(VLOOKUP(T94,'Org Map'!A:E,4),"BU Description Not Mapped")</f>
        <v>0088</v>
      </c>
      <c r="AE94">
        <f>IFERROR(VLOOKUP(V94,'Org Map'!C:E,3),"Home Department Code Not Mapped")</f>
        <v>5200</v>
      </c>
      <c r="AF94" t="str">
        <f>IFERROR(VLOOKUP(AA94,'Salary Map'!A:D,3,FALSE),"Salary Code Not Mapped")</f>
        <v>Default</v>
      </c>
      <c r="AG94" t="str">
        <f>IFERROR(VLOOKUP(AA94,'Salary Map'!A:D,4,FALSE),"Salary Code Not Mapped")</f>
        <v>General</v>
      </c>
      <c r="AH94" t="str">
        <f>IFERROR(VLOOKUP(Z94,'Country Map'!A:B,2,FALSE),"Legal Country Not Mapped")</f>
        <v>US</v>
      </c>
      <c r="AI94" t="str">
        <f>IFERROR(VLOOKUP(X94,'Language Map'!A:C,3,FALSE),IFERROR(VLOOKUP(T94,'Org Map'!A:F,6,FALSE),"ADP and BU Language Code Not Mapped"))&amp;AH94</f>
        <v>en_US</v>
      </c>
      <c r="AJ94" t="str">
        <f>IFERROR(VLOOKUP(T94,'Org Map'!A:G,7),"BU Currency Not Mapped")</f>
        <v>USD</v>
      </c>
      <c r="AK94" t="str">
        <f t="shared" si="8"/>
        <v/>
      </c>
      <c r="AL94" t="str">
        <f>IFERROR(VLOOKUP(O94,'Status Map'!A:B,2,FALSE),"Position Status Not Mapped")</f>
        <v>Y</v>
      </c>
      <c r="AM94" t="str">
        <f t="shared" si="13"/>
        <v/>
      </c>
      <c r="AO94" t="str">
        <f t="shared" si="9"/>
        <v>MitchellKuhlman</v>
      </c>
      <c r="AP94" t="str">
        <f t="shared" si="10"/>
        <v>LaPlante</v>
      </c>
      <c r="AQ94" t="str">
        <f t="shared" si="11"/>
        <v>211736</v>
      </c>
      <c r="AR94" t="b">
        <f t="shared" si="12"/>
        <v>1</v>
      </c>
    </row>
    <row r="95" spans="1:44">
      <c r="A95" s="3" t="s">
        <v>2282</v>
      </c>
      <c r="B95" s="4" t="s">
        <v>2283</v>
      </c>
      <c r="C95" s="5" t="s">
        <v>2284</v>
      </c>
      <c r="D95" s="6" t="s">
        <v>2285</v>
      </c>
      <c r="E95" s="7" t="s">
        <v>2286</v>
      </c>
      <c r="F95" s="8" t="s">
        <v>2287</v>
      </c>
      <c r="G95" s="9" t="s">
        <v>2288</v>
      </c>
      <c r="H95" s="10" t="s">
        <v>2289</v>
      </c>
      <c r="I95" s="11" t="s">
        <v>2290</v>
      </c>
      <c r="J95" s="12" t="s">
        <v>2291</v>
      </c>
      <c r="K95" s="13" t="s">
        <v>2292</v>
      </c>
      <c r="L95" s="14">
        <v>45705</v>
      </c>
      <c r="M95" s="15"/>
      <c r="N95" s="16"/>
      <c r="O95" s="17" t="s">
        <v>2293</v>
      </c>
      <c r="P95" s="18" t="s">
        <v>2294</v>
      </c>
      <c r="Q95" s="19" t="s">
        <v>2295</v>
      </c>
      <c r="R95" s="20" t="s">
        <v>2296</v>
      </c>
      <c r="S95" s="21" t="s">
        <v>2297</v>
      </c>
      <c r="T95" s="22" t="s">
        <v>2298</v>
      </c>
      <c r="U95" s="23" t="s">
        <v>2299</v>
      </c>
      <c r="V95" s="24" t="s">
        <v>2300</v>
      </c>
      <c r="W95" s="25" t="s">
        <v>2301</v>
      </c>
      <c r="X95" s="26" t="s">
        <v>2302</v>
      </c>
      <c r="Y95" s="27" t="s">
        <v>2303</v>
      </c>
      <c r="Z95" s="28" t="s">
        <v>2304</v>
      </c>
      <c r="AA95" s="29" t="s">
        <v>2305</v>
      </c>
      <c r="AB95" s="30" t="s">
        <v>2306</v>
      </c>
      <c r="AC95" t="str">
        <f>IF(ISBLANK(H95),VLOOKUP(P95,'US Supervisor Map'!A:D,4,FALSE),MID(H95,4,6))</f>
        <v>211464</v>
      </c>
      <c r="AD95" t="str">
        <f>IFERROR(VLOOKUP(T95,'Org Map'!A:E,4),"BU Description Not Mapped")</f>
        <v>0088</v>
      </c>
      <c r="AE95">
        <f>IFERROR(VLOOKUP(V95,'Org Map'!C:E,3),"Home Department Code Not Mapped")</f>
        <v>5200</v>
      </c>
      <c r="AF95" t="str">
        <f>IFERROR(VLOOKUP(AA95,'Salary Map'!A:D,3,FALSE),"Salary Code Not Mapped")</f>
        <v>Default</v>
      </c>
      <c r="AG95" t="str">
        <f>IFERROR(VLOOKUP(AA95,'Salary Map'!A:D,4,FALSE),"Salary Code Not Mapped")</f>
        <v>General</v>
      </c>
      <c r="AH95" t="str">
        <f>IFERROR(VLOOKUP(Z95,'Country Map'!A:B,2,FALSE),"Legal Country Not Mapped")</f>
        <v>US</v>
      </c>
      <c r="AI95" t="str">
        <f>IFERROR(VLOOKUP(X95,'Language Map'!A:C,3,FALSE),IFERROR(VLOOKUP(T95,'Org Map'!A:F,6,FALSE),"ADP and BU Language Code Not Mapped"))&amp;AH95</f>
        <v>en_US</v>
      </c>
      <c r="AJ95" t="str">
        <f>IFERROR(VLOOKUP(T95,'Org Map'!A:G,7),"BU Currency Not Mapped")</f>
        <v>USD</v>
      </c>
      <c r="AK95" t="str">
        <f t="shared" si="8"/>
        <v/>
      </c>
      <c r="AL95" t="str">
        <f>IFERROR(VLOOKUP(O95,'Status Map'!A:B,2,FALSE),"Position Status Not Mapped")</f>
        <v>Y</v>
      </c>
      <c r="AM95" t="str">
        <f t="shared" si="13"/>
        <v/>
      </c>
      <c r="AO95" t="str">
        <f t="shared" si="9"/>
        <v>DerekLaPlante</v>
      </c>
      <c r="AP95" t="str">
        <f t="shared" si="10"/>
        <v>Bailey</v>
      </c>
      <c r="AQ95" t="str">
        <f t="shared" si="11"/>
        <v>902688</v>
      </c>
      <c r="AR95" s="77" t="b">
        <f t="shared" si="12"/>
        <v>0</v>
      </c>
    </row>
    <row r="96" spans="1:44">
      <c r="A96" s="3" t="s">
        <v>2307</v>
      </c>
      <c r="B96" s="4" t="s">
        <v>2308</v>
      </c>
      <c r="C96" s="5" t="s">
        <v>2309</v>
      </c>
      <c r="D96" s="6" t="s">
        <v>2310</v>
      </c>
      <c r="E96" s="7" t="s">
        <v>2311</v>
      </c>
      <c r="F96" s="8" t="s">
        <v>2312</v>
      </c>
      <c r="G96" s="9" t="s">
        <v>2313</v>
      </c>
      <c r="H96" s="10" t="s">
        <v>2314</v>
      </c>
      <c r="I96" s="31" t="s">
        <v>2315</v>
      </c>
      <c r="J96" s="12" t="s">
        <v>2316</v>
      </c>
      <c r="K96" s="13" t="s">
        <v>2317</v>
      </c>
      <c r="L96" s="14">
        <v>45229</v>
      </c>
      <c r="M96" s="15"/>
      <c r="N96" s="16"/>
      <c r="O96" s="17" t="s">
        <v>2318</v>
      </c>
      <c r="P96" s="18" t="s">
        <v>2319</v>
      </c>
      <c r="Q96" s="19" t="s">
        <v>2320</v>
      </c>
      <c r="R96" s="20" t="s">
        <v>2321</v>
      </c>
      <c r="S96" s="21" t="s">
        <v>2322</v>
      </c>
      <c r="T96" s="22" t="s">
        <v>2323</v>
      </c>
      <c r="U96" s="23" t="s">
        <v>2324</v>
      </c>
      <c r="V96" s="24" t="s">
        <v>2325</v>
      </c>
      <c r="W96" s="25" t="s">
        <v>2326</v>
      </c>
      <c r="X96" s="26" t="s">
        <v>2327</v>
      </c>
      <c r="Y96" s="27" t="s">
        <v>2328</v>
      </c>
      <c r="Z96" s="28" t="s">
        <v>2329</v>
      </c>
      <c r="AA96" s="29" t="s">
        <v>2330</v>
      </c>
      <c r="AB96" s="30" t="s">
        <v>2331</v>
      </c>
      <c r="AC96" t="str">
        <f>IF(ISBLANK(H96),VLOOKUP(P96,'US Supervisor Map'!A:D,4,FALSE),MID(H96,4,6))</f>
        <v>211756</v>
      </c>
      <c r="AD96" t="str">
        <f>IFERROR(VLOOKUP(T96,'Org Map'!A:E,4),"BU Description Not Mapped")</f>
        <v>0088</v>
      </c>
      <c r="AE96">
        <f>IFERROR(VLOOKUP(V96,'Org Map'!C:E,3),"Home Department Code Not Mapped")</f>
        <v>5100</v>
      </c>
      <c r="AF96" t="str">
        <f>IFERROR(VLOOKUP(AA96,'Salary Map'!A:D,3,FALSE),"Salary Code Not Mapped")</f>
        <v>Default</v>
      </c>
      <c r="AG96" t="str">
        <f>IFERROR(VLOOKUP(AA96,'Salary Map'!A:D,4,FALSE),"Salary Code Not Mapped")</f>
        <v>General</v>
      </c>
      <c r="AH96" t="str">
        <f>IFERROR(VLOOKUP(Z96,'Country Map'!A:B,2,FALSE),"Legal Country Not Mapped")</f>
        <v>US</v>
      </c>
      <c r="AI96" t="str">
        <f>IFERROR(VLOOKUP(X96,'Language Map'!A:C,3,FALSE),IFERROR(VLOOKUP(T96,'Org Map'!A:F,6,FALSE),"ADP and BU Language Code Not Mapped"))&amp;AH96</f>
        <v>en_US</v>
      </c>
      <c r="AJ96" t="str">
        <f>IFERROR(VLOOKUP(T96,'Org Map'!A:G,7),"BU Currency Not Mapped")</f>
        <v>USD</v>
      </c>
      <c r="AK96" t="str">
        <f t="shared" si="8"/>
        <v/>
      </c>
      <c r="AL96" t="str">
        <f>IFERROR(VLOOKUP(O96,'Status Map'!A:B,2,FALSE),"Position Status Not Mapped")</f>
        <v>Y</v>
      </c>
      <c r="AM96" t="str">
        <f t="shared" si="13"/>
        <v/>
      </c>
      <c r="AO96" t="str">
        <f t="shared" si="9"/>
        <v>Moulay AbdellahLamini</v>
      </c>
      <c r="AP96" t="str">
        <f t="shared" si="10"/>
        <v>Burchell</v>
      </c>
      <c r="AQ96" t="str">
        <f t="shared" si="11"/>
        <v>211756</v>
      </c>
      <c r="AR96" t="b">
        <f t="shared" si="12"/>
        <v>1</v>
      </c>
    </row>
    <row r="97" spans="1:44">
      <c r="A97" s="3" t="s">
        <v>2332</v>
      </c>
      <c r="B97" s="4" t="s">
        <v>2333</v>
      </c>
      <c r="C97" s="5" t="s">
        <v>2334</v>
      </c>
      <c r="D97" s="6" t="s">
        <v>2335</v>
      </c>
      <c r="E97" s="7" t="s">
        <v>2336</v>
      </c>
      <c r="F97" s="8" t="s">
        <v>2337</v>
      </c>
      <c r="G97" s="9" t="s">
        <v>2338</v>
      </c>
      <c r="H97" s="10" t="s">
        <v>2339</v>
      </c>
      <c r="I97" s="11" t="s">
        <v>2340</v>
      </c>
      <c r="J97" s="12" t="s">
        <v>2341</v>
      </c>
      <c r="K97" s="13" t="s">
        <v>2342</v>
      </c>
      <c r="L97" s="14">
        <v>45397</v>
      </c>
      <c r="M97" s="15"/>
      <c r="N97" s="16"/>
      <c r="O97" s="17" t="s">
        <v>2343</v>
      </c>
      <c r="P97" s="18" t="s">
        <v>2344</v>
      </c>
      <c r="Q97" s="19" t="s">
        <v>2345</v>
      </c>
      <c r="R97" s="20" t="s">
        <v>2346</v>
      </c>
      <c r="S97" s="21" t="s">
        <v>2347</v>
      </c>
      <c r="T97" s="22" t="s">
        <v>2348</v>
      </c>
      <c r="U97" s="23" t="s">
        <v>2349</v>
      </c>
      <c r="V97" s="24" t="s">
        <v>2350</v>
      </c>
      <c r="W97" s="25" t="s">
        <v>2351</v>
      </c>
      <c r="X97" s="26" t="s">
        <v>2352</v>
      </c>
      <c r="Y97" s="27" t="s">
        <v>2353</v>
      </c>
      <c r="Z97" s="28" t="s">
        <v>2354</v>
      </c>
      <c r="AA97" s="29" t="s">
        <v>2355</v>
      </c>
      <c r="AB97" s="30" t="s">
        <v>2356</v>
      </c>
      <c r="AC97" t="str">
        <f>IF(ISBLANK(H97),VLOOKUP(P97,'US Supervisor Map'!A:D,4,FALSE),MID(H97,4,6))</f>
        <v>213037</v>
      </c>
      <c r="AD97" t="str">
        <f>IFERROR(VLOOKUP(T97,'Org Map'!A:E,4),"BU Description Not Mapped")</f>
        <v>0096</v>
      </c>
      <c r="AE97">
        <f>IFERROR(VLOOKUP(V97,'Org Map'!C:E,3),"Home Department Code Not Mapped")</f>
        <v>555</v>
      </c>
      <c r="AF97" t="str">
        <f>IFERROR(VLOOKUP(AA97,'Salary Map'!A:D,3,FALSE),"Salary Code Not Mapped")</f>
        <v>Default</v>
      </c>
      <c r="AG97" t="str">
        <f>IFERROR(VLOOKUP(AA97,'Salary Map'!A:D,4,FALSE),"Salary Code Not Mapped")</f>
        <v>General</v>
      </c>
      <c r="AH97" t="str">
        <f>IFERROR(VLOOKUP(Z97,'Country Map'!A:B,2,FALSE),"Legal Country Not Mapped")</f>
        <v>US</v>
      </c>
      <c r="AI97" t="str">
        <f>IFERROR(VLOOKUP(X97,'Language Map'!A:C,3,FALSE),IFERROR(VLOOKUP(T97,'Org Map'!A:F,6,FALSE),"ADP and BU Language Code Not Mapped"))&amp;AH97</f>
        <v>en_US</v>
      </c>
      <c r="AJ97" t="str">
        <f>IFERROR(VLOOKUP(T97,'Org Map'!A:G,7),"BU Currency Not Mapped")</f>
        <v>USD</v>
      </c>
      <c r="AK97" t="str">
        <f t="shared" si="8"/>
        <v/>
      </c>
      <c r="AL97" t="str">
        <f>IFERROR(VLOOKUP(O97,'Status Map'!A:B,2,FALSE),"Position Status Not Mapped")</f>
        <v>Y</v>
      </c>
      <c r="AM97" t="str">
        <f t="shared" si="13"/>
        <v/>
      </c>
      <c r="AO97" t="str">
        <f t="shared" si="9"/>
        <v>WayneLeftrict</v>
      </c>
      <c r="AP97" t="str">
        <f t="shared" si="10"/>
        <v>Bate</v>
      </c>
      <c r="AQ97" t="str">
        <f t="shared" si="11"/>
        <v>213037</v>
      </c>
      <c r="AR97" t="b">
        <f t="shared" si="12"/>
        <v>1</v>
      </c>
    </row>
    <row r="98" spans="1:44">
      <c r="A98" s="3" t="s">
        <v>2357</v>
      </c>
      <c r="B98" s="4" t="s">
        <v>2358</v>
      </c>
      <c r="C98" s="5" t="s">
        <v>2359</v>
      </c>
      <c r="D98" s="6" t="s">
        <v>2360</v>
      </c>
      <c r="E98" s="7" t="s">
        <v>2361</v>
      </c>
      <c r="F98" s="8" t="s">
        <v>2362</v>
      </c>
      <c r="G98" s="9" t="s">
        <v>2363</v>
      </c>
      <c r="H98" s="10" t="s">
        <v>2364</v>
      </c>
      <c r="I98" s="11" t="s">
        <v>2365</v>
      </c>
      <c r="J98" s="12" t="s">
        <v>2366</v>
      </c>
      <c r="K98" s="13" t="s">
        <v>2367</v>
      </c>
      <c r="L98" s="14">
        <v>46078</v>
      </c>
      <c r="M98" s="15"/>
      <c r="N98" s="16"/>
      <c r="O98" s="17" t="s">
        <v>2368</v>
      </c>
      <c r="P98" s="18" t="s">
        <v>2369</v>
      </c>
      <c r="Q98" s="19" t="s">
        <v>2370</v>
      </c>
      <c r="R98" s="20" t="s">
        <v>2371</v>
      </c>
      <c r="S98" s="21" t="s">
        <v>2372</v>
      </c>
      <c r="T98" s="22" t="s">
        <v>2373</v>
      </c>
      <c r="U98" s="23" t="s">
        <v>2374</v>
      </c>
      <c r="V98" s="24" t="s">
        <v>2375</v>
      </c>
      <c r="W98" s="25" t="s">
        <v>2376</v>
      </c>
      <c r="X98" s="26" t="s">
        <v>2377</v>
      </c>
      <c r="Y98" s="27" t="s">
        <v>2378</v>
      </c>
      <c r="Z98" s="28" t="s">
        <v>2379</v>
      </c>
      <c r="AA98" s="29" t="s">
        <v>2380</v>
      </c>
      <c r="AB98" s="30" t="s">
        <v>2381</v>
      </c>
      <c r="AC98" t="str">
        <f>IF(ISBLANK(H98),VLOOKUP(P98,'US Supervisor Map'!A:D,4,FALSE),MID(H98,4,6))</f>
        <v>209181</v>
      </c>
      <c r="AD98" t="str">
        <f>IFERROR(VLOOKUP(T98,'Org Map'!A:E,4),"BU Description Not Mapped")</f>
        <v>0088</v>
      </c>
      <c r="AE98">
        <f>IFERROR(VLOOKUP(V98,'Org Map'!C:E,3),"Home Department Code Not Mapped")</f>
        <v>9200</v>
      </c>
      <c r="AF98" t="str">
        <f>IFERROR(VLOOKUP(AA98,'Salary Map'!A:D,3,FALSE),"Salary Code Not Mapped")</f>
        <v>Default</v>
      </c>
      <c r="AG98" t="str">
        <f>IFERROR(VLOOKUP(AA98,'Salary Map'!A:D,4,FALSE),"Salary Code Not Mapped")</f>
        <v>General</v>
      </c>
      <c r="AH98" t="str">
        <f>IFERROR(VLOOKUP(Z98,'Country Map'!A:B,2,FALSE),"Legal Country Not Mapped")</f>
        <v>US</v>
      </c>
      <c r="AI98" t="str">
        <f>IFERROR(VLOOKUP(X98,'Language Map'!A:C,3,FALSE),IFERROR(VLOOKUP(T98,'Org Map'!A:F,6,FALSE),"ADP and BU Language Code Not Mapped"))&amp;AH98</f>
        <v>en_US</v>
      </c>
      <c r="AJ98" t="str">
        <f>IFERROR(VLOOKUP(T98,'Org Map'!A:G,7),"BU Currency Not Mapped")</f>
        <v>USD</v>
      </c>
      <c r="AK98" t="str">
        <f t="shared" si="8"/>
        <v/>
      </c>
      <c r="AL98" t="str">
        <f>IFERROR(VLOOKUP(O98,'Status Map'!A:B,2,FALSE),"Position Status Not Mapped")</f>
        <v>Y</v>
      </c>
      <c r="AM98" t="str">
        <f t="shared" si="13"/>
        <v/>
      </c>
      <c r="AO98" t="str">
        <f t="shared" si="9"/>
        <v>TamaraKLipp</v>
      </c>
      <c r="AP98" t="str">
        <f t="shared" si="10"/>
        <v>Oleksa</v>
      </c>
      <c r="AQ98" t="str">
        <f t="shared" si="11"/>
        <v>209181</v>
      </c>
      <c r="AR98" t="b">
        <f t="shared" si="12"/>
        <v>1</v>
      </c>
    </row>
    <row r="99" spans="1:44">
      <c r="A99" s="3" t="s">
        <v>2382</v>
      </c>
      <c r="B99" s="4" t="s">
        <v>2383</v>
      </c>
      <c r="C99" s="5" t="s">
        <v>2384</v>
      </c>
      <c r="D99" s="6" t="s">
        <v>2385</v>
      </c>
      <c r="E99" s="7" t="s">
        <v>2386</v>
      </c>
      <c r="F99" s="8" t="s">
        <v>2387</v>
      </c>
      <c r="G99" s="9" t="s">
        <v>2388</v>
      </c>
      <c r="H99" s="36" t="s">
        <v>2389</v>
      </c>
      <c r="I99" s="11" t="s">
        <v>2390</v>
      </c>
      <c r="J99" s="12" t="s">
        <v>2391</v>
      </c>
      <c r="K99" s="13" t="s">
        <v>2392</v>
      </c>
      <c r="L99" s="14">
        <v>45923</v>
      </c>
      <c r="M99" s="15">
        <v>46176</v>
      </c>
      <c r="N99" s="16"/>
      <c r="O99" s="17" t="s">
        <v>2393</v>
      </c>
      <c r="P99" s="18" t="s">
        <v>2394</v>
      </c>
      <c r="Q99" s="19" t="s">
        <v>2395</v>
      </c>
      <c r="R99" s="20" t="s">
        <v>2396</v>
      </c>
      <c r="S99" s="21" t="s">
        <v>2397</v>
      </c>
      <c r="T99" s="22" t="s">
        <v>2398</v>
      </c>
      <c r="U99" s="23" t="s">
        <v>2399</v>
      </c>
      <c r="V99" s="24" t="s">
        <v>2400</v>
      </c>
      <c r="W99" s="25" t="s">
        <v>2401</v>
      </c>
      <c r="X99" s="26" t="s">
        <v>2402</v>
      </c>
      <c r="Y99" s="27" t="s">
        <v>2403</v>
      </c>
      <c r="Z99" s="28" t="s">
        <v>2404</v>
      </c>
      <c r="AA99" s="29" t="s">
        <v>2405</v>
      </c>
      <c r="AB99" s="30" t="s">
        <v>2406</v>
      </c>
      <c r="AC99" s="77" t="str">
        <f>IF(ISBLANK(H99),VLOOKUP(P99,'US Supervisor Map'!A:D,4,FALSE),MID(H99,4,6))</f>
        <v/>
      </c>
      <c r="AD99" t="str">
        <f>IFERROR(VLOOKUP(T99,'Org Map'!A:E,4),"BU Description Not Mapped")</f>
        <v>0096</v>
      </c>
      <c r="AE99">
        <f>IFERROR(VLOOKUP(V99,'Org Map'!C:E,3),"Home Department Code Not Mapped")</f>
        <v>850</v>
      </c>
      <c r="AF99" t="str">
        <f>IFERROR(VLOOKUP(AA99,'Salary Map'!A:D,3,FALSE),"Salary Code Not Mapped")</f>
        <v>Default</v>
      </c>
      <c r="AG99" t="str">
        <f>IFERROR(VLOOKUP(AA99,'Salary Map'!A:D,4,FALSE),"Salary Code Not Mapped")</f>
        <v>General</v>
      </c>
      <c r="AH99" t="str">
        <f>IFERROR(VLOOKUP(Z99,'Country Map'!A:B,2,FALSE),"Legal Country Not Mapped")</f>
        <v>US</v>
      </c>
      <c r="AI99" t="str">
        <f>IFERROR(VLOOKUP(X99,'Language Map'!A:C,3,FALSE),IFERROR(VLOOKUP(T99,'Org Map'!A:F,6,FALSE),"ADP and BU Language Code Not Mapped"))&amp;AH99</f>
        <v>en_US</v>
      </c>
      <c r="AJ99" t="str">
        <f>IFERROR(VLOOKUP(T99,'Org Map'!A:G,7),"BU Currency Not Mapped")</f>
        <v>USD</v>
      </c>
      <c r="AK99" t="str">
        <f t="shared" si="8"/>
        <v/>
      </c>
      <c r="AL99" t="str">
        <f>IFERROR(VLOOKUP(O99,'Status Map'!A:B,2,FALSE),"Position Status Not Mapped")</f>
        <v>N</v>
      </c>
      <c r="AM99" t="str">
        <f t="shared" si="13"/>
        <v>20260603</v>
      </c>
      <c r="AN99" t="str">
        <f t="shared" ref="AN99:AN100" si="15">IF(M99&gt;AN94,"Fix and Include Record","Exclude record termination over 45 days ago")</f>
        <v>Fix and Include Record</v>
      </c>
      <c r="AO99" t="str">
        <f t="shared" si="9"/>
        <v>JosephMLorenz</v>
      </c>
      <c r="AP99" t="e">
        <f t="shared" si="10"/>
        <v>#VALUE!</v>
      </c>
      <c r="AQ99" t="str">
        <f t="shared" si="11"/>
        <v>No Reports to Name</v>
      </c>
      <c r="AR99" t="b">
        <f t="shared" si="12"/>
        <v>0</v>
      </c>
    </row>
    <row r="100" spans="1:44">
      <c r="A100" s="3" t="s">
        <v>2407</v>
      </c>
      <c r="B100" s="4" t="s">
        <v>2408</v>
      </c>
      <c r="C100" s="5" t="s">
        <v>2409</v>
      </c>
      <c r="D100" s="6" t="s">
        <v>2410</v>
      </c>
      <c r="E100" s="7" t="s">
        <v>2411</v>
      </c>
      <c r="F100" s="8" t="s">
        <v>2412</v>
      </c>
      <c r="G100" s="9" t="s">
        <v>2413</v>
      </c>
      <c r="H100" s="36" t="s">
        <v>2414</v>
      </c>
      <c r="I100" s="11" t="s">
        <v>2415</v>
      </c>
      <c r="J100" s="12" t="s">
        <v>2416</v>
      </c>
      <c r="K100" s="13" t="s">
        <v>2417</v>
      </c>
      <c r="L100" s="14">
        <v>45923</v>
      </c>
      <c r="M100" s="15">
        <v>46176</v>
      </c>
      <c r="N100" s="16"/>
      <c r="O100" s="17" t="s">
        <v>2418</v>
      </c>
      <c r="P100" s="18" t="s">
        <v>2419</v>
      </c>
      <c r="Q100" s="19" t="s">
        <v>2420</v>
      </c>
      <c r="R100" s="20" t="s">
        <v>2421</v>
      </c>
      <c r="S100" s="21" t="s">
        <v>2422</v>
      </c>
      <c r="T100" s="22" t="s">
        <v>2423</v>
      </c>
      <c r="U100" s="23" t="s">
        <v>2424</v>
      </c>
      <c r="V100" s="24" t="s">
        <v>2425</v>
      </c>
      <c r="W100" s="25" t="s">
        <v>2426</v>
      </c>
      <c r="X100" s="26" t="s">
        <v>2427</v>
      </c>
      <c r="Y100" s="27" t="s">
        <v>2428</v>
      </c>
      <c r="Z100" s="28" t="s">
        <v>2429</v>
      </c>
      <c r="AA100" s="29" t="s">
        <v>2430</v>
      </c>
      <c r="AB100" s="30" t="s">
        <v>2431</v>
      </c>
      <c r="AC100" s="77" t="str">
        <f>IF(ISBLANK(H100),VLOOKUP(P100,'US Supervisor Map'!A:D,4,FALSE),MID(H100,4,6))</f>
        <v/>
      </c>
      <c r="AD100" t="str">
        <f>IFERROR(VLOOKUP(T100,'Org Map'!A:E,4),"BU Description Not Mapped")</f>
        <v>0096</v>
      </c>
      <c r="AE100">
        <f>IFERROR(VLOOKUP(V100,'Org Map'!C:E,3),"Home Department Code Not Mapped")</f>
        <v>850</v>
      </c>
      <c r="AF100" t="str">
        <f>IFERROR(VLOOKUP(AA100,'Salary Map'!A:D,3,FALSE),"Salary Code Not Mapped")</f>
        <v>Default</v>
      </c>
      <c r="AG100" t="str">
        <f>IFERROR(VLOOKUP(AA100,'Salary Map'!A:D,4,FALSE),"Salary Code Not Mapped")</f>
        <v>General</v>
      </c>
      <c r="AH100" t="str">
        <f>IFERROR(VLOOKUP(Z100,'Country Map'!A:B,2,FALSE),"Legal Country Not Mapped")</f>
        <v>US</v>
      </c>
      <c r="AI100" t="str">
        <f>IFERROR(VLOOKUP(X100,'Language Map'!A:C,3,FALSE),IFERROR(VLOOKUP(T100,'Org Map'!A:F,6,FALSE),"ADP and BU Language Code Not Mapped"))&amp;AH100</f>
        <v>en_US</v>
      </c>
      <c r="AJ100" t="str">
        <f>IFERROR(VLOOKUP(T100,'Org Map'!A:G,7),"BU Currency Not Mapped")</f>
        <v>USD</v>
      </c>
      <c r="AK100" t="str">
        <f t="shared" si="8"/>
        <v/>
      </c>
      <c r="AL100" t="str">
        <f>IFERROR(VLOOKUP(O100,'Status Map'!A:B,2,FALSE),"Position Status Not Mapped")</f>
        <v>N</v>
      </c>
      <c r="AM100" t="str">
        <f t="shared" si="13"/>
        <v>20260603</v>
      </c>
      <c r="AN100" t="str">
        <f t="shared" si="15"/>
        <v>Fix and Include Record</v>
      </c>
      <c r="AO100" t="str">
        <f t="shared" si="9"/>
        <v>JosephMLorenz</v>
      </c>
      <c r="AP100" t="e">
        <f t="shared" si="10"/>
        <v>#VALUE!</v>
      </c>
      <c r="AQ100" t="str">
        <f t="shared" si="11"/>
        <v>No Reports to Name</v>
      </c>
      <c r="AR100" t="b">
        <f t="shared" si="12"/>
        <v>0</v>
      </c>
    </row>
    <row r="101" spans="1:44">
      <c r="A101" s="3" t="s">
        <v>2432</v>
      </c>
      <c r="B101" s="4" t="s">
        <v>2433</v>
      </c>
      <c r="C101" s="5" t="s">
        <v>2434</v>
      </c>
      <c r="D101" s="6" t="s">
        <v>2435</v>
      </c>
      <c r="E101" s="7" t="s">
        <v>2436</v>
      </c>
      <c r="F101" s="8" t="s">
        <v>2437</v>
      </c>
      <c r="G101" s="9" t="s">
        <v>2438</v>
      </c>
      <c r="H101" s="10" t="s">
        <v>2439</v>
      </c>
      <c r="I101" s="11" t="s">
        <v>2440</v>
      </c>
      <c r="J101" s="12" t="s">
        <v>2441</v>
      </c>
      <c r="K101" s="13" t="s">
        <v>2442</v>
      </c>
      <c r="L101" s="14">
        <v>45923</v>
      </c>
      <c r="M101" s="15"/>
      <c r="N101" s="16"/>
      <c r="O101" s="17" t="s">
        <v>2443</v>
      </c>
      <c r="P101" s="18" t="s">
        <v>2444</v>
      </c>
      <c r="Q101" s="19" t="s">
        <v>2445</v>
      </c>
      <c r="R101" s="20" t="s">
        <v>2446</v>
      </c>
      <c r="S101" s="21" t="s">
        <v>2447</v>
      </c>
      <c r="T101" s="22" t="s">
        <v>2448</v>
      </c>
      <c r="U101" s="23" t="s">
        <v>2449</v>
      </c>
      <c r="V101" s="24" t="s">
        <v>2450</v>
      </c>
      <c r="W101" s="25" t="s">
        <v>2451</v>
      </c>
      <c r="X101" s="26" t="s">
        <v>2452</v>
      </c>
      <c r="Y101" s="27" t="s">
        <v>2453</v>
      </c>
      <c r="Z101" s="28" t="s">
        <v>2454</v>
      </c>
      <c r="AA101" s="29" t="s">
        <v>2455</v>
      </c>
      <c r="AB101" s="30" t="s">
        <v>2456</v>
      </c>
      <c r="AC101" t="str">
        <f>IF(ISBLANK(H101),VLOOKUP(P101,'US Supervisor Map'!A:D,4,FALSE),MID(H101,4,6))</f>
        <v>211998</v>
      </c>
      <c r="AD101" t="str">
        <f>IFERROR(VLOOKUP(T101,'Org Map'!A:E,4),"BU Description Not Mapped")</f>
        <v>0096</v>
      </c>
      <c r="AE101">
        <f>IFERROR(VLOOKUP(V101,'Org Map'!C:E,3),"Home Department Code Not Mapped")</f>
        <v>850</v>
      </c>
      <c r="AF101" t="str">
        <f>IFERROR(VLOOKUP(AA101,'Salary Map'!A:D,3,FALSE),"Salary Code Not Mapped")</f>
        <v>Default</v>
      </c>
      <c r="AG101" t="str">
        <f>IFERROR(VLOOKUP(AA101,'Salary Map'!A:D,4,FALSE),"Salary Code Not Mapped")</f>
        <v>General</v>
      </c>
      <c r="AH101" t="str">
        <f>IFERROR(VLOOKUP(Z101,'Country Map'!A:B,2,FALSE),"Legal Country Not Mapped")</f>
        <v>US</v>
      </c>
      <c r="AI101" t="str">
        <f>IFERROR(VLOOKUP(X101,'Language Map'!A:C,3,FALSE),IFERROR(VLOOKUP(T101,'Org Map'!A:F,6,FALSE),"ADP and BU Language Code Not Mapped"))&amp;AH101</f>
        <v>en_US</v>
      </c>
      <c r="AJ101" t="str">
        <f>IFERROR(VLOOKUP(T101,'Org Map'!A:G,7),"BU Currency Not Mapped")</f>
        <v>USD</v>
      </c>
      <c r="AK101" t="str">
        <f t="shared" si="8"/>
        <v/>
      </c>
      <c r="AL101" t="str">
        <f>IFERROR(VLOOKUP(O101,'Status Map'!A:B,2,FALSE),"Position Status Not Mapped")</f>
        <v>Y</v>
      </c>
      <c r="AM101" t="str">
        <f t="shared" si="13"/>
        <v/>
      </c>
      <c r="AO101" t="str">
        <f t="shared" si="9"/>
        <v>JosephMLorenz</v>
      </c>
      <c r="AP101" t="str">
        <f t="shared" si="10"/>
        <v>Wallace</v>
      </c>
      <c r="AQ101" t="str">
        <f t="shared" si="11"/>
        <v>211998</v>
      </c>
      <c r="AR101" t="b">
        <f t="shared" si="12"/>
        <v>1</v>
      </c>
    </row>
    <row r="102" spans="1:44">
      <c r="A102" s="3" t="s">
        <v>2457</v>
      </c>
      <c r="B102" s="4" t="s">
        <v>2458</v>
      </c>
      <c r="C102" s="5" t="s">
        <v>2459</v>
      </c>
      <c r="D102" s="6" t="s">
        <v>2460</v>
      </c>
      <c r="E102" s="7" t="s">
        <v>2461</v>
      </c>
      <c r="F102" s="8" t="s">
        <v>2462</v>
      </c>
      <c r="G102" s="9" t="s">
        <v>2463</v>
      </c>
      <c r="H102" s="10" t="s">
        <v>2464</v>
      </c>
      <c r="I102" s="31" t="s">
        <v>2465</v>
      </c>
      <c r="J102" s="12" t="s">
        <v>2466</v>
      </c>
      <c r="K102" s="13" t="s">
        <v>2467</v>
      </c>
      <c r="L102" s="14">
        <v>45208</v>
      </c>
      <c r="M102" s="15"/>
      <c r="N102" s="16"/>
      <c r="O102" s="17" t="s">
        <v>2468</v>
      </c>
      <c r="P102" s="18" t="s">
        <v>2469</v>
      </c>
      <c r="Q102" s="19" t="s">
        <v>2470</v>
      </c>
      <c r="R102" s="20" t="s">
        <v>2471</v>
      </c>
      <c r="S102" s="21" t="s">
        <v>2472</v>
      </c>
      <c r="T102" s="22" t="s">
        <v>2473</v>
      </c>
      <c r="U102" s="23" t="s">
        <v>2474</v>
      </c>
      <c r="V102" s="24" t="s">
        <v>2475</v>
      </c>
      <c r="W102" s="25" t="s">
        <v>2476</v>
      </c>
      <c r="X102" s="26" t="s">
        <v>2477</v>
      </c>
      <c r="Y102" s="27" t="s">
        <v>2478</v>
      </c>
      <c r="Z102" s="28" t="s">
        <v>2479</v>
      </c>
      <c r="AA102" s="29" t="s">
        <v>2480</v>
      </c>
      <c r="AB102" s="30" t="s">
        <v>2481</v>
      </c>
      <c r="AC102" t="str">
        <f>IF(ISBLANK(H102),VLOOKUP(P102,'US Supervisor Map'!A:D,4,FALSE),MID(H102,4,6))</f>
        <v>211756</v>
      </c>
      <c r="AD102" t="str">
        <f>IFERROR(VLOOKUP(T102,'Org Map'!A:E,4),"BU Description Not Mapped")</f>
        <v>0088</v>
      </c>
      <c r="AE102">
        <f>IFERROR(VLOOKUP(V102,'Org Map'!C:E,3),"Home Department Code Not Mapped")</f>
        <v>5100</v>
      </c>
      <c r="AF102" t="str">
        <f>IFERROR(VLOOKUP(AA102,'Salary Map'!A:D,3,FALSE),"Salary Code Not Mapped")</f>
        <v>Default</v>
      </c>
      <c r="AG102" t="str">
        <f>IFERROR(VLOOKUP(AA102,'Salary Map'!A:D,4,FALSE),"Salary Code Not Mapped")</f>
        <v>General</v>
      </c>
      <c r="AH102" t="str">
        <f>IFERROR(VLOOKUP(Z102,'Country Map'!A:B,2,FALSE),"Legal Country Not Mapped")</f>
        <v>US</v>
      </c>
      <c r="AI102" t="str">
        <f>IFERROR(VLOOKUP(X102,'Language Map'!A:C,3,FALSE),IFERROR(VLOOKUP(T102,'Org Map'!A:F,6,FALSE),"ADP and BU Language Code Not Mapped"))&amp;AH102</f>
        <v>en_US</v>
      </c>
      <c r="AJ102" t="str">
        <f>IFERROR(VLOOKUP(T102,'Org Map'!A:G,7),"BU Currency Not Mapped")</f>
        <v>USD</v>
      </c>
      <c r="AK102" t="str">
        <f t="shared" si="8"/>
        <v/>
      </c>
      <c r="AL102" t="str">
        <f>IFERROR(VLOOKUP(O102,'Status Map'!A:B,2,FALSE),"Position Status Not Mapped")</f>
        <v>Y</v>
      </c>
      <c r="AM102" t="str">
        <f t="shared" si="13"/>
        <v/>
      </c>
      <c r="AO102" t="str">
        <f t="shared" si="9"/>
        <v>AbdellatefMMahmoud</v>
      </c>
      <c r="AP102" t="str">
        <f t="shared" si="10"/>
        <v>Burchell</v>
      </c>
      <c r="AQ102" t="str">
        <f t="shared" si="11"/>
        <v>211756</v>
      </c>
      <c r="AR102" t="b">
        <f t="shared" si="12"/>
        <v>1</v>
      </c>
    </row>
    <row r="103" spans="1:44">
      <c r="A103" s="3" t="s">
        <v>2482</v>
      </c>
      <c r="B103" s="4" t="s">
        <v>2483</v>
      </c>
      <c r="C103" s="5" t="s">
        <v>2484</v>
      </c>
      <c r="D103" s="6" t="s">
        <v>2485</v>
      </c>
      <c r="E103" s="7" t="s">
        <v>2486</v>
      </c>
      <c r="F103" s="8" t="s">
        <v>2487</v>
      </c>
      <c r="G103" s="9" t="s">
        <v>2488</v>
      </c>
      <c r="H103" s="10" t="s">
        <v>2489</v>
      </c>
      <c r="I103" s="11" t="s">
        <v>2490</v>
      </c>
      <c r="J103" s="12" t="s">
        <v>2491</v>
      </c>
      <c r="K103" s="13" t="s">
        <v>2492</v>
      </c>
      <c r="L103" s="14">
        <v>34869</v>
      </c>
      <c r="M103" s="15"/>
      <c r="N103" s="16"/>
      <c r="O103" s="17" t="s">
        <v>2493</v>
      </c>
      <c r="P103" s="18" t="s">
        <v>2494</v>
      </c>
      <c r="Q103" s="19" t="s">
        <v>2495</v>
      </c>
      <c r="R103" s="20" t="s">
        <v>2496</v>
      </c>
      <c r="S103" s="21" t="s">
        <v>2497</v>
      </c>
      <c r="T103" s="22" t="s">
        <v>2498</v>
      </c>
      <c r="U103" s="23" t="s">
        <v>2499</v>
      </c>
      <c r="V103" s="24" t="s">
        <v>2500</v>
      </c>
      <c r="W103" s="25" t="s">
        <v>2501</v>
      </c>
      <c r="X103" s="26" t="s">
        <v>2502</v>
      </c>
      <c r="Y103" s="27" t="s">
        <v>2503</v>
      </c>
      <c r="Z103" s="28" t="s">
        <v>2504</v>
      </c>
      <c r="AA103" s="29" t="s">
        <v>2505</v>
      </c>
      <c r="AB103" s="30" t="s">
        <v>2506</v>
      </c>
      <c r="AC103" t="str">
        <f>IF(ISBLANK(H103),VLOOKUP(P103,'US Supervisor Map'!A:D,4,FALSE),MID(H103,4,6))</f>
        <v>212699</v>
      </c>
      <c r="AD103" t="str">
        <f>IFERROR(VLOOKUP(T103,'Org Map'!A:E,4),"BU Description Not Mapped")</f>
        <v>0088</v>
      </c>
      <c r="AE103">
        <f>IFERROR(VLOOKUP(V103,'Org Map'!C:E,3),"Home Department Code Not Mapped")</f>
        <v>9400</v>
      </c>
      <c r="AF103" t="str">
        <f>IFERROR(VLOOKUP(AA103,'Salary Map'!A:D,3,FALSE),"Salary Code Not Mapped")</f>
        <v>Default</v>
      </c>
      <c r="AG103" t="str">
        <f>IFERROR(VLOOKUP(AA103,'Salary Map'!A:D,4,FALSE),"Salary Code Not Mapped")</f>
        <v>General</v>
      </c>
      <c r="AH103" t="str">
        <f>IFERROR(VLOOKUP(Z103,'Country Map'!A:B,2,FALSE),"Legal Country Not Mapped")</f>
        <v>US</v>
      </c>
      <c r="AI103" t="str">
        <f>IFERROR(VLOOKUP(X103,'Language Map'!A:C,3,FALSE),IFERROR(VLOOKUP(T103,'Org Map'!A:F,6,FALSE),"ADP and BU Language Code Not Mapped"))&amp;AH103</f>
        <v>en_US</v>
      </c>
      <c r="AJ103" t="str">
        <f>IFERROR(VLOOKUP(T103,'Org Map'!A:G,7),"BU Currency Not Mapped")</f>
        <v>USD</v>
      </c>
      <c r="AK103" t="str">
        <f t="shared" si="8"/>
        <v/>
      </c>
      <c r="AL103" t="str">
        <f>IFERROR(VLOOKUP(O103,'Status Map'!A:B,2,FALSE),"Position Status Not Mapped")</f>
        <v>Y</v>
      </c>
      <c r="AM103" t="str">
        <f t="shared" si="13"/>
        <v/>
      </c>
      <c r="AO103" t="str">
        <f t="shared" si="9"/>
        <v>JasonMajewski</v>
      </c>
      <c r="AP103" t="str">
        <f t="shared" si="10"/>
        <v>Creager</v>
      </c>
      <c r="AQ103" t="str">
        <f t="shared" si="11"/>
        <v>212699</v>
      </c>
      <c r="AR103" t="b">
        <f t="shared" si="12"/>
        <v>1</v>
      </c>
    </row>
    <row r="104" spans="1:44">
      <c r="A104" s="3" t="s">
        <v>2507</v>
      </c>
      <c r="B104" s="4" t="s">
        <v>2508</v>
      </c>
      <c r="C104" s="5" t="s">
        <v>2509</v>
      </c>
      <c r="D104" s="6" t="s">
        <v>2510</v>
      </c>
      <c r="E104" s="7" t="s">
        <v>2511</v>
      </c>
      <c r="F104" s="8" t="s">
        <v>2512</v>
      </c>
      <c r="G104" s="9" t="s">
        <v>2513</v>
      </c>
      <c r="H104" s="10" t="s">
        <v>2514</v>
      </c>
      <c r="I104" s="11" t="s">
        <v>2515</v>
      </c>
      <c r="J104" s="12" t="s">
        <v>2516</v>
      </c>
      <c r="K104" s="13" t="s">
        <v>2517</v>
      </c>
      <c r="L104" s="14">
        <v>34869</v>
      </c>
      <c r="M104" s="15">
        <v>46235</v>
      </c>
      <c r="N104" s="16"/>
      <c r="O104" s="17" t="s">
        <v>2518</v>
      </c>
      <c r="P104" s="18" t="s">
        <v>2519</v>
      </c>
      <c r="Q104" s="19" t="s">
        <v>2520</v>
      </c>
      <c r="R104" s="20" t="s">
        <v>2521</v>
      </c>
      <c r="S104" s="21" t="s">
        <v>2522</v>
      </c>
      <c r="T104" s="22" t="s">
        <v>2523</v>
      </c>
      <c r="U104" s="23" t="s">
        <v>2524</v>
      </c>
      <c r="V104" s="24" t="s">
        <v>2525</v>
      </c>
      <c r="W104" s="25" t="s">
        <v>2526</v>
      </c>
      <c r="X104" s="26" t="s">
        <v>2527</v>
      </c>
      <c r="Y104" s="27" t="s">
        <v>2528</v>
      </c>
      <c r="Z104" s="28" t="s">
        <v>2529</v>
      </c>
      <c r="AA104" s="29" t="s">
        <v>2530</v>
      </c>
      <c r="AB104" s="30" t="s">
        <v>2531</v>
      </c>
      <c r="AC104" t="str">
        <f>IF(ISBLANK(H104),VLOOKUP(P104,'US Supervisor Map'!A:D,4,FALSE),MID(H104,4,6))</f>
        <v>213037</v>
      </c>
      <c r="AD104" t="str">
        <f>IFERROR(VLOOKUP(T104,'Org Map'!A:E,4),"BU Description Not Mapped")</f>
        <v>0096</v>
      </c>
      <c r="AE104">
        <f>IFERROR(VLOOKUP(V104,'Org Map'!C:E,3),"Home Department Code Not Mapped")</f>
        <v>555</v>
      </c>
      <c r="AF104" t="str">
        <f>IFERROR(VLOOKUP(AA104,'Salary Map'!A:D,3,FALSE),"Salary Code Not Mapped")</f>
        <v>Default</v>
      </c>
      <c r="AG104" t="str">
        <f>IFERROR(VLOOKUP(AA104,'Salary Map'!A:D,4,FALSE),"Salary Code Not Mapped")</f>
        <v>General</v>
      </c>
      <c r="AH104" t="str">
        <f>IFERROR(VLOOKUP(Z104,'Country Map'!A:B,2,FALSE),"Legal Country Not Mapped")</f>
        <v>US</v>
      </c>
      <c r="AI104" t="str">
        <f>IFERROR(VLOOKUP(X104,'Language Map'!A:C,3,FALSE),IFERROR(VLOOKUP(T104,'Org Map'!A:F,6,FALSE),"ADP and BU Language Code Not Mapped"))&amp;AH104</f>
        <v>en_US</v>
      </c>
      <c r="AJ104" t="str">
        <f>IFERROR(VLOOKUP(T104,'Org Map'!A:G,7),"BU Currency Not Mapped")</f>
        <v>USD</v>
      </c>
      <c r="AK104" t="str">
        <f t="shared" si="8"/>
        <v/>
      </c>
      <c r="AL104" t="str">
        <f>IFERROR(VLOOKUP(O104,'Status Map'!A:B,2,FALSE),"Position Status Not Mapped")</f>
        <v>N</v>
      </c>
      <c r="AM104" t="str">
        <f t="shared" si="13"/>
        <v>20260801</v>
      </c>
      <c r="AN104" t="str">
        <f>IF(M104&gt;AN99,"Fix and Include Record","Exclude record termination over 45 days ago")</f>
        <v>Exclude record termination over 45 days ago</v>
      </c>
      <c r="AO104" t="str">
        <f t="shared" si="9"/>
        <v>JasonMajewski</v>
      </c>
      <c r="AP104" t="str">
        <f t="shared" si="10"/>
        <v>Bate</v>
      </c>
      <c r="AQ104" t="str">
        <f t="shared" si="11"/>
        <v>213037</v>
      </c>
      <c r="AR104" t="b">
        <f t="shared" si="12"/>
        <v>1</v>
      </c>
    </row>
    <row r="105" spans="1:44">
      <c r="A105" s="3" t="s">
        <v>2532</v>
      </c>
      <c r="B105" s="4" t="s">
        <v>2533</v>
      </c>
      <c r="C105" s="5" t="s">
        <v>2534</v>
      </c>
      <c r="D105" s="6" t="s">
        <v>2535</v>
      </c>
      <c r="E105" s="7" t="s">
        <v>2536</v>
      </c>
      <c r="F105" s="8" t="s">
        <v>2537</v>
      </c>
      <c r="G105" s="9" t="s">
        <v>2538</v>
      </c>
      <c r="H105" s="10" t="s">
        <v>2539</v>
      </c>
      <c r="I105" s="11" t="s">
        <v>2540</v>
      </c>
      <c r="J105" s="12" t="s">
        <v>2541</v>
      </c>
      <c r="K105" s="13" t="s">
        <v>2542</v>
      </c>
      <c r="L105" s="14">
        <v>44270</v>
      </c>
      <c r="M105" s="15"/>
      <c r="N105" s="16"/>
      <c r="O105" s="17" t="s">
        <v>2543</v>
      </c>
      <c r="P105" s="18" t="s">
        <v>2544</v>
      </c>
      <c r="Q105" s="19" t="s">
        <v>2545</v>
      </c>
      <c r="R105" s="20" t="s">
        <v>2546</v>
      </c>
      <c r="S105" s="21" t="s">
        <v>2547</v>
      </c>
      <c r="T105" s="22" t="s">
        <v>2548</v>
      </c>
      <c r="U105" s="23" t="s">
        <v>2549</v>
      </c>
      <c r="V105" s="24" t="s">
        <v>2550</v>
      </c>
      <c r="W105" s="25" t="s">
        <v>2551</v>
      </c>
      <c r="X105" s="26" t="s">
        <v>2552</v>
      </c>
      <c r="Y105" s="27" t="s">
        <v>2553</v>
      </c>
      <c r="Z105" s="28" t="s">
        <v>2554</v>
      </c>
      <c r="AA105" s="29" t="s">
        <v>2555</v>
      </c>
      <c r="AB105" s="30" t="s">
        <v>2556</v>
      </c>
      <c r="AC105" t="str">
        <f>IF(ISBLANK(H105),VLOOKUP(P105,'US Supervisor Map'!A:D,4,FALSE),MID(H105,4,6))</f>
        <v>210910</v>
      </c>
      <c r="AD105" t="str">
        <f>IFERROR(VLOOKUP(T105,'Org Map'!A:E,4),"BU Description Not Mapped")</f>
        <v>0096</v>
      </c>
      <c r="AE105">
        <f>IFERROR(VLOOKUP(V105,'Org Map'!C:E,3),"Home Department Code Not Mapped")</f>
        <v>500</v>
      </c>
      <c r="AF105" t="str">
        <f>IFERROR(VLOOKUP(AA105,'Salary Map'!A:D,3,FALSE),"Salary Code Not Mapped")</f>
        <v>Default</v>
      </c>
      <c r="AG105" t="str">
        <f>IFERROR(VLOOKUP(AA105,'Salary Map'!A:D,4,FALSE),"Salary Code Not Mapped")</f>
        <v>General</v>
      </c>
      <c r="AH105" t="str">
        <f>IFERROR(VLOOKUP(Z105,'Country Map'!A:B,2,FALSE),"Legal Country Not Mapped")</f>
        <v>US</v>
      </c>
      <c r="AI105" t="str">
        <f>IFERROR(VLOOKUP(X105,'Language Map'!A:C,3,FALSE),IFERROR(VLOOKUP(T105,'Org Map'!A:F,6,FALSE),"ADP and BU Language Code Not Mapped"))&amp;AH105</f>
        <v>en_US</v>
      </c>
      <c r="AJ105" t="str">
        <f>IFERROR(VLOOKUP(T105,'Org Map'!A:G,7),"BU Currency Not Mapped")</f>
        <v>USD</v>
      </c>
      <c r="AK105" t="str">
        <f t="shared" si="8"/>
        <v/>
      </c>
      <c r="AL105" t="str">
        <f>IFERROR(VLOOKUP(O105,'Status Map'!A:B,2,FALSE),"Position Status Not Mapped")</f>
        <v>Y</v>
      </c>
      <c r="AM105" t="str">
        <f t="shared" si="13"/>
        <v/>
      </c>
      <c r="AO105" t="str">
        <f t="shared" si="9"/>
        <v>ChrisFMartin</v>
      </c>
      <c r="AP105" t="str">
        <f t="shared" si="10"/>
        <v>Leftrict</v>
      </c>
      <c r="AQ105" t="str">
        <f t="shared" si="11"/>
        <v>210910</v>
      </c>
      <c r="AR105" t="b">
        <f t="shared" si="12"/>
        <v>1</v>
      </c>
    </row>
    <row r="106" spans="1:44">
      <c r="A106" s="3" t="s">
        <v>2557</v>
      </c>
      <c r="B106" s="4" t="s">
        <v>2558</v>
      </c>
      <c r="C106" s="5" t="s">
        <v>2559</v>
      </c>
      <c r="D106" s="6" t="s">
        <v>2560</v>
      </c>
      <c r="E106" s="7" t="s">
        <v>2561</v>
      </c>
      <c r="F106" s="8" t="s">
        <v>2562</v>
      </c>
      <c r="G106" s="9" t="s">
        <v>2563</v>
      </c>
      <c r="H106" s="10" t="s">
        <v>2564</v>
      </c>
      <c r="I106" s="11" t="s">
        <v>2565</v>
      </c>
      <c r="J106" s="12" t="s">
        <v>2566</v>
      </c>
      <c r="K106" s="13" t="s">
        <v>2567</v>
      </c>
      <c r="L106" s="14">
        <v>43283</v>
      </c>
      <c r="M106" s="15"/>
      <c r="N106" s="16"/>
      <c r="O106" s="17" t="s">
        <v>2568</v>
      </c>
      <c r="P106" s="18" t="s">
        <v>2569</v>
      </c>
      <c r="Q106" s="19" t="s">
        <v>2570</v>
      </c>
      <c r="R106" s="20" t="s">
        <v>2571</v>
      </c>
      <c r="S106" s="21" t="s">
        <v>2572</v>
      </c>
      <c r="T106" s="22" t="s">
        <v>2573</v>
      </c>
      <c r="U106" s="23" t="s">
        <v>2574</v>
      </c>
      <c r="V106" s="24" t="s">
        <v>2575</v>
      </c>
      <c r="W106" s="25" t="s">
        <v>2576</v>
      </c>
      <c r="X106" s="26" t="s">
        <v>2577</v>
      </c>
      <c r="Y106" s="27" t="s">
        <v>2578</v>
      </c>
      <c r="Z106" s="28" t="s">
        <v>2579</v>
      </c>
      <c r="AA106" s="29" t="s">
        <v>2580</v>
      </c>
      <c r="AB106" s="30" t="s">
        <v>2581</v>
      </c>
      <c r="AC106" t="str">
        <f>IF(ISBLANK(H106),VLOOKUP(P106,'US Supervisor Map'!A:D,4,FALSE),MID(H106,4,6))</f>
        <v>211756</v>
      </c>
      <c r="AD106" t="str">
        <f>IFERROR(VLOOKUP(T106,'Org Map'!A:E,4),"BU Description Not Mapped")</f>
        <v>0088</v>
      </c>
      <c r="AE106">
        <f>IFERROR(VLOOKUP(V106,'Org Map'!C:E,3),"Home Department Code Not Mapped")</f>
        <v>5100</v>
      </c>
      <c r="AF106" t="str">
        <f>IFERROR(VLOOKUP(AA106,'Salary Map'!A:D,3,FALSE),"Salary Code Not Mapped")</f>
        <v>Default</v>
      </c>
      <c r="AG106" t="str">
        <f>IFERROR(VLOOKUP(AA106,'Salary Map'!A:D,4,FALSE),"Salary Code Not Mapped")</f>
        <v>General</v>
      </c>
      <c r="AH106" t="str">
        <f>IFERROR(VLOOKUP(Z106,'Country Map'!A:B,2,FALSE),"Legal Country Not Mapped")</f>
        <v>US</v>
      </c>
      <c r="AI106" t="str">
        <f>IFERROR(VLOOKUP(X106,'Language Map'!A:C,3,FALSE),IFERROR(VLOOKUP(T106,'Org Map'!A:F,6,FALSE),"ADP and BU Language Code Not Mapped"))&amp;AH106</f>
        <v>en_US</v>
      </c>
      <c r="AJ106" t="str">
        <f>IFERROR(VLOOKUP(T106,'Org Map'!A:G,7),"BU Currency Not Mapped")</f>
        <v>USD</v>
      </c>
      <c r="AK106" t="str">
        <f t="shared" si="8"/>
        <v/>
      </c>
      <c r="AL106" t="str">
        <f>IFERROR(VLOOKUP(O106,'Status Map'!A:B,2,FALSE),"Position Status Not Mapped")</f>
        <v>Y</v>
      </c>
      <c r="AM106" t="str">
        <f t="shared" si="13"/>
        <v/>
      </c>
      <c r="AO106" t="str">
        <f t="shared" si="9"/>
        <v>MartinMartinez</v>
      </c>
      <c r="AP106" t="str">
        <f t="shared" si="10"/>
        <v>Burchell</v>
      </c>
      <c r="AQ106" t="str">
        <f t="shared" si="11"/>
        <v>211756</v>
      </c>
      <c r="AR106" t="b">
        <f t="shared" si="12"/>
        <v>1</v>
      </c>
    </row>
    <row r="107" spans="1:44">
      <c r="A107" s="3" t="s">
        <v>2582</v>
      </c>
      <c r="B107" s="4" t="s">
        <v>2583</v>
      </c>
      <c r="C107" s="5" t="s">
        <v>2584</v>
      </c>
      <c r="D107" s="6" t="s">
        <v>2585</v>
      </c>
      <c r="E107" s="7" t="s">
        <v>2586</v>
      </c>
      <c r="F107" s="8" t="s">
        <v>2587</v>
      </c>
      <c r="G107" s="9" t="s">
        <v>2588</v>
      </c>
      <c r="H107" s="10" t="s">
        <v>2589</v>
      </c>
      <c r="I107" s="11" t="s">
        <v>2590</v>
      </c>
      <c r="J107" s="12" t="s">
        <v>2591</v>
      </c>
      <c r="K107" s="13" t="s">
        <v>2592</v>
      </c>
      <c r="L107" s="14">
        <v>46223</v>
      </c>
      <c r="M107" s="15"/>
      <c r="N107" s="16"/>
      <c r="O107" s="17" t="s">
        <v>2593</v>
      </c>
      <c r="P107" s="18" t="s">
        <v>2594</v>
      </c>
      <c r="Q107" s="19" t="s">
        <v>2595</v>
      </c>
      <c r="R107" s="20" t="s">
        <v>2596</v>
      </c>
      <c r="S107" s="21" t="s">
        <v>2597</v>
      </c>
      <c r="T107" s="22" t="s">
        <v>2598</v>
      </c>
      <c r="U107" s="23" t="s">
        <v>2599</v>
      </c>
      <c r="V107" s="24" t="s">
        <v>2600</v>
      </c>
      <c r="W107" s="25" t="s">
        <v>2601</v>
      </c>
      <c r="X107" s="26" t="s">
        <v>2602</v>
      </c>
      <c r="Y107" s="27" t="s">
        <v>2603</v>
      </c>
      <c r="Z107" s="28" t="s">
        <v>2604</v>
      </c>
      <c r="AA107" s="29" t="s">
        <v>2605</v>
      </c>
      <c r="AB107" s="30" t="s">
        <v>2606</v>
      </c>
      <c r="AC107" t="str">
        <f>IF(ISBLANK(H107),VLOOKUP(P107,'US Supervisor Map'!A:D,4,FALSE),MID(H107,4,6))</f>
        <v>207588</v>
      </c>
      <c r="AD107" t="str">
        <f>IFERROR(VLOOKUP(T107,'Org Map'!A:E,4),"BU Description Not Mapped")</f>
        <v>0088</v>
      </c>
      <c r="AE107">
        <f>IFERROR(VLOOKUP(V107,'Org Map'!C:E,3),"Home Department Code Not Mapped")</f>
        <v>8200</v>
      </c>
      <c r="AF107" t="str">
        <f>IFERROR(VLOOKUP(AA107,'Salary Map'!A:D,3,FALSE),"Salary Code Not Mapped")</f>
        <v>Default</v>
      </c>
      <c r="AG107" t="str">
        <f>IFERROR(VLOOKUP(AA107,'Salary Map'!A:D,4,FALSE),"Salary Code Not Mapped")</f>
        <v>General</v>
      </c>
      <c r="AH107" t="str">
        <f>IFERROR(VLOOKUP(Z107,'Country Map'!A:B,2,FALSE),"Legal Country Not Mapped")</f>
        <v>US</v>
      </c>
      <c r="AI107" t="str">
        <f>IFERROR(VLOOKUP(X107,'Language Map'!A:C,3,FALSE),IFERROR(VLOOKUP(T107,'Org Map'!A:F,6,FALSE),"ADP and BU Language Code Not Mapped"))&amp;AH107</f>
        <v>en_US</v>
      </c>
      <c r="AJ107" t="str">
        <f>IFERROR(VLOOKUP(T107,'Org Map'!A:G,7),"BU Currency Not Mapped")</f>
        <v>USD</v>
      </c>
      <c r="AK107" t="str">
        <f t="shared" si="8"/>
        <v>Brad Masters</v>
      </c>
      <c r="AL107" t="str">
        <f>IFERROR(VLOOKUP(O107,'Status Map'!A:B,2,FALSE),"Position Status Not Mapped")</f>
        <v>Y</v>
      </c>
      <c r="AM107" t="str">
        <f t="shared" si="13"/>
        <v/>
      </c>
      <c r="AO107" t="str">
        <f t="shared" si="9"/>
        <v>BradleyMasters</v>
      </c>
      <c r="AP107" t="str">
        <f t="shared" si="10"/>
        <v>Rodriguez</v>
      </c>
      <c r="AQ107" t="str">
        <f t="shared" si="11"/>
        <v>212338</v>
      </c>
      <c r="AR107" s="77" t="b">
        <f t="shared" si="12"/>
        <v>0</v>
      </c>
    </row>
    <row r="108" spans="1:44">
      <c r="A108" s="3" t="s">
        <v>2607</v>
      </c>
      <c r="B108" s="4" t="s">
        <v>2608</v>
      </c>
      <c r="C108" s="5" t="s">
        <v>2609</v>
      </c>
      <c r="D108" s="6" t="s">
        <v>2610</v>
      </c>
      <c r="E108" s="7" t="s">
        <v>2611</v>
      </c>
      <c r="F108" s="8" t="s">
        <v>2612</v>
      </c>
      <c r="G108" s="9" t="s">
        <v>2613</v>
      </c>
      <c r="H108" s="10" t="s">
        <v>2614</v>
      </c>
      <c r="I108" s="11" t="s">
        <v>2615</v>
      </c>
      <c r="J108" s="12" t="s">
        <v>2616</v>
      </c>
      <c r="K108" s="13" t="s">
        <v>2617</v>
      </c>
      <c r="L108" s="14">
        <v>43388</v>
      </c>
      <c r="M108" s="15"/>
      <c r="N108" s="16"/>
      <c r="O108" s="17" t="s">
        <v>2618</v>
      </c>
      <c r="P108" s="18" t="s">
        <v>2619</v>
      </c>
      <c r="Q108" s="19" t="s">
        <v>2620</v>
      </c>
      <c r="R108" s="20" t="s">
        <v>2621</v>
      </c>
      <c r="S108" s="21" t="s">
        <v>2622</v>
      </c>
      <c r="T108" s="22" t="s">
        <v>2623</v>
      </c>
      <c r="U108" s="23" t="s">
        <v>2624</v>
      </c>
      <c r="V108" s="24" t="s">
        <v>2625</v>
      </c>
      <c r="W108" s="25" t="s">
        <v>2626</v>
      </c>
      <c r="X108" s="26" t="s">
        <v>2627</v>
      </c>
      <c r="Y108" s="27" t="s">
        <v>2628</v>
      </c>
      <c r="Z108" s="28" t="s">
        <v>2629</v>
      </c>
      <c r="AA108" s="29" t="s">
        <v>2630</v>
      </c>
      <c r="AB108" s="30" t="s">
        <v>2631</v>
      </c>
      <c r="AC108" t="str">
        <f>IF(ISBLANK(H108),VLOOKUP(P108,'US Supervisor Map'!A:D,4,FALSE),MID(H108,4,6))</f>
        <v>211736</v>
      </c>
      <c r="AD108" t="str">
        <f>IFERROR(VLOOKUP(T108,'Org Map'!A:E,4),"BU Description Not Mapped")</f>
        <v>0088</v>
      </c>
      <c r="AE108">
        <f>IFERROR(VLOOKUP(V108,'Org Map'!C:E,3),"Home Department Code Not Mapped")</f>
        <v>5200</v>
      </c>
      <c r="AF108" t="str">
        <f>IFERROR(VLOOKUP(AA108,'Salary Map'!A:D,3,FALSE),"Salary Code Not Mapped")</f>
        <v>Default</v>
      </c>
      <c r="AG108" t="str">
        <f>IFERROR(VLOOKUP(AA108,'Salary Map'!A:D,4,FALSE),"Salary Code Not Mapped")</f>
        <v>General</v>
      </c>
      <c r="AH108" t="str">
        <f>IFERROR(VLOOKUP(Z108,'Country Map'!A:B,2,FALSE),"Legal Country Not Mapped")</f>
        <v>US</v>
      </c>
      <c r="AI108" t="str">
        <f>IFERROR(VLOOKUP(X108,'Language Map'!A:C,3,FALSE),IFERROR(VLOOKUP(T108,'Org Map'!A:F,6,FALSE),"ADP and BU Language Code Not Mapped"))&amp;AH108</f>
        <v>en_US</v>
      </c>
      <c r="AJ108" t="str">
        <f>IFERROR(VLOOKUP(T108,'Org Map'!A:G,7),"BU Currency Not Mapped")</f>
        <v>USD</v>
      </c>
      <c r="AK108" t="str">
        <f t="shared" si="8"/>
        <v/>
      </c>
      <c r="AL108" t="str">
        <f>IFERROR(VLOOKUP(O108,'Status Map'!A:B,2,FALSE),"Position Status Not Mapped")</f>
        <v>Y</v>
      </c>
      <c r="AM108" t="str">
        <f t="shared" si="13"/>
        <v/>
      </c>
      <c r="AO108" t="str">
        <f t="shared" si="9"/>
        <v>CraigMata</v>
      </c>
      <c r="AP108" t="str">
        <f t="shared" si="10"/>
        <v>LaPlante</v>
      </c>
      <c r="AQ108" t="str">
        <f t="shared" si="11"/>
        <v>211736</v>
      </c>
      <c r="AR108" t="b">
        <f t="shared" si="12"/>
        <v>1</v>
      </c>
    </row>
    <row r="109" spans="1:44">
      <c r="A109" s="3" t="s">
        <v>2632</v>
      </c>
      <c r="B109" s="4" t="s">
        <v>2633</v>
      </c>
      <c r="C109" s="5" t="s">
        <v>2634</v>
      </c>
      <c r="D109" s="6" t="s">
        <v>2635</v>
      </c>
      <c r="E109" s="7" t="s">
        <v>2636</v>
      </c>
      <c r="F109" s="8" t="s">
        <v>2637</v>
      </c>
      <c r="G109" s="9" t="s">
        <v>2638</v>
      </c>
      <c r="H109" s="10" t="s">
        <v>2639</v>
      </c>
      <c r="I109" s="11" t="s">
        <v>2640</v>
      </c>
      <c r="J109" s="12" t="s">
        <v>2641</v>
      </c>
      <c r="K109" s="13" t="s">
        <v>2642</v>
      </c>
      <c r="L109" s="14">
        <v>38887</v>
      </c>
      <c r="M109" s="15"/>
      <c r="N109" s="16"/>
      <c r="O109" s="17" t="s">
        <v>2643</v>
      </c>
      <c r="P109" s="18" t="s">
        <v>2644</v>
      </c>
      <c r="Q109" s="19" t="s">
        <v>2645</v>
      </c>
      <c r="R109" s="20" t="s">
        <v>2646</v>
      </c>
      <c r="S109" s="21" t="s">
        <v>2647</v>
      </c>
      <c r="T109" s="22" t="s">
        <v>2648</v>
      </c>
      <c r="U109" s="23" t="s">
        <v>2649</v>
      </c>
      <c r="V109" s="24" t="s">
        <v>2650</v>
      </c>
      <c r="W109" s="25" t="s">
        <v>2651</v>
      </c>
      <c r="X109" s="26" t="s">
        <v>2652</v>
      </c>
      <c r="Y109" s="27" t="s">
        <v>2653</v>
      </c>
      <c r="Z109" s="28" t="s">
        <v>2654</v>
      </c>
      <c r="AA109" s="29" t="s">
        <v>2655</v>
      </c>
      <c r="AB109" s="30" t="s">
        <v>2656</v>
      </c>
      <c r="AC109" t="str">
        <f>IF(ISBLANK(H109),VLOOKUP(P109,'US Supervisor Map'!A:D,4,FALSE),MID(H109,4,6))</f>
        <v>211756</v>
      </c>
      <c r="AD109" t="str">
        <f>IFERROR(VLOOKUP(T109,'Org Map'!A:E,4),"BU Description Not Mapped")</f>
        <v>0088</v>
      </c>
      <c r="AE109">
        <f>IFERROR(VLOOKUP(V109,'Org Map'!C:E,3),"Home Department Code Not Mapped")</f>
        <v>5100</v>
      </c>
      <c r="AF109" t="str">
        <f>IFERROR(VLOOKUP(AA109,'Salary Map'!A:D,3,FALSE),"Salary Code Not Mapped")</f>
        <v>Default</v>
      </c>
      <c r="AG109" t="str">
        <f>IFERROR(VLOOKUP(AA109,'Salary Map'!A:D,4,FALSE),"Salary Code Not Mapped")</f>
        <v>General</v>
      </c>
      <c r="AH109" t="str">
        <f>IFERROR(VLOOKUP(Z109,'Country Map'!A:B,2,FALSE),"Legal Country Not Mapped")</f>
        <v>US</v>
      </c>
      <c r="AI109" t="str">
        <f>IFERROR(VLOOKUP(X109,'Language Map'!A:C,3,FALSE),IFERROR(VLOOKUP(T109,'Org Map'!A:F,6,FALSE),"ADP and BU Language Code Not Mapped"))&amp;AH109</f>
        <v>en_US</v>
      </c>
      <c r="AJ109" t="str">
        <f>IFERROR(VLOOKUP(T109,'Org Map'!A:G,7),"BU Currency Not Mapped")</f>
        <v>USD</v>
      </c>
      <c r="AK109" t="str">
        <f t="shared" si="8"/>
        <v/>
      </c>
      <c r="AL109" t="str">
        <f>IFERROR(VLOOKUP(O109,'Status Map'!A:B,2,FALSE),"Position Status Not Mapped")</f>
        <v>Y</v>
      </c>
      <c r="AM109" t="str">
        <f t="shared" si="13"/>
        <v/>
      </c>
      <c r="AO109" t="str">
        <f t="shared" si="9"/>
        <v>ScottTMazzei</v>
      </c>
      <c r="AP109" t="str">
        <f t="shared" si="10"/>
        <v>Burchell</v>
      </c>
      <c r="AQ109" t="str">
        <f t="shared" si="11"/>
        <v>211756</v>
      </c>
      <c r="AR109" t="b">
        <f t="shared" si="12"/>
        <v>1</v>
      </c>
    </row>
    <row r="110" spans="1:44">
      <c r="A110" s="3" t="s">
        <v>2657</v>
      </c>
      <c r="B110" s="4" t="s">
        <v>2658</v>
      </c>
      <c r="C110" s="5" t="s">
        <v>2659</v>
      </c>
      <c r="D110" s="6" t="s">
        <v>2660</v>
      </c>
      <c r="E110" s="7" t="s">
        <v>2661</v>
      </c>
      <c r="F110" s="8" t="s">
        <v>2662</v>
      </c>
      <c r="G110" s="9" t="s">
        <v>2663</v>
      </c>
      <c r="H110" s="10" t="s">
        <v>2664</v>
      </c>
      <c r="I110" s="31" t="s">
        <v>2665</v>
      </c>
      <c r="J110" s="12" t="s">
        <v>2666</v>
      </c>
      <c r="K110" s="13" t="s">
        <v>2667</v>
      </c>
      <c r="L110" s="14">
        <v>31130</v>
      </c>
      <c r="M110" s="15"/>
      <c r="N110" s="16"/>
      <c r="O110" s="17" t="s">
        <v>2668</v>
      </c>
      <c r="P110" s="18" t="s">
        <v>2669</v>
      </c>
      <c r="Q110" s="19" t="s">
        <v>2670</v>
      </c>
      <c r="R110" s="20" t="s">
        <v>2671</v>
      </c>
      <c r="S110" s="21" t="s">
        <v>2672</v>
      </c>
      <c r="T110" s="22" t="s">
        <v>2673</v>
      </c>
      <c r="U110" s="23" t="s">
        <v>2674</v>
      </c>
      <c r="V110" s="24" t="s">
        <v>2675</v>
      </c>
      <c r="W110" s="25" t="s">
        <v>2676</v>
      </c>
      <c r="X110" s="26" t="s">
        <v>2677</v>
      </c>
      <c r="Y110" s="27" t="s">
        <v>2678</v>
      </c>
      <c r="Z110" s="28" t="s">
        <v>2679</v>
      </c>
      <c r="AA110" s="29" t="s">
        <v>2680</v>
      </c>
      <c r="AB110" s="30" t="s">
        <v>2681</v>
      </c>
      <c r="AC110" t="str">
        <f>IF(ISBLANK(H110),VLOOKUP(P110,'US Supervisor Map'!A:D,4,FALSE),MID(H110,4,6))</f>
        <v>211062</v>
      </c>
      <c r="AD110" t="str">
        <f>IFERROR(VLOOKUP(T110,'Org Map'!A:E,4),"BU Description Not Mapped")</f>
        <v>0096</v>
      </c>
      <c r="AE110">
        <f>IFERROR(VLOOKUP(V110,'Org Map'!C:E,3),"Home Department Code Not Mapped")</f>
        <v>350</v>
      </c>
      <c r="AF110" t="str">
        <f>IFERROR(VLOOKUP(AA110,'Salary Map'!A:D,3,FALSE),"Salary Code Not Mapped")</f>
        <v>Default</v>
      </c>
      <c r="AG110" t="str">
        <f>IFERROR(VLOOKUP(AA110,'Salary Map'!A:D,4,FALSE),"Salary Code Not Mapped")</f>
        <v>General</v>
      </c>
      <c r="AH110" t="str">
        <f>IFERROR(VLOOKUP(Z110,'Country Map'!A:B,2,FALSE),"Legal Country Not Mapped")</f>
        <v>US</v>
      </c>
      <c r="AI110" t="str">
        <f>IFERROR(VLOOKUP(X110,'Language Map'!A:C,3,FALSE),IFERROR(VLOOKUP(T110,'Org Map'!A:F,6,FALSE),"ADP and BU Language Code Not Mapped"))&amp;AH110</f>
        <v>en_US</v>
      </c>
      <c r="AJ110" t="str">
        <f>IFERROR(VLOOKUP(T110,'Org Map'!A:G,7),"BU Currency Not Mapped")</f>
        <v>USD</v>
      </c>
      <c r="AK110" t="str">
        <f t="shared" si="8"/>
        <v/>
      </c>
      <c r="AL110" t="str">
        <f>IFERROR(VLOOKUP(O110,'Status Map'!A:B,2,FALSE),"Position Status Not Mapped")</f>
        <v>Y</v>
      </c>
      <c r="AM110" t="str">
        <f t="shared" si="13"/>
        <v/>
      </c>
      <c r="AO110" t="str">
        <f t="shared" si="9"/>
        <v>JamesMcConnell</v>
      </c>
      <c r="AP110" t="str">
        <f t="shared" si="10"/>
        <v>Steen</v>
      </c>
      <c r="AQ110" t="str">
        <f t="shared" si="11"/>
        <v>211062</v>
      </c>
      <c r="AR110" t="b">
        <f t="shared" si="12"/>
        <v>1</v>
      </c>
    </row>
    <row r="111" spans="1:44">
      <c r="A111" s="3" t="s">
        <v>2682</v>
      </c>
      <c r="B111" s="4" t="s">
        <v>2683</v>
      </c>
      <c r="C111" s="5" t="s">
        <v>2684</v>
      </c>
      <c r="D111" s="6" t="s">
        <v>2685</v>
      </c>
      <c r="E111" s="7" t="s">
        <v>2686</v>
      </c>
      <c r="F111" s="8" t="s">
        <v>2687</v>
      </c>
      <c r="G111" s="9" t="s">
        <v>2688</v>
      </c>
      <c r="H111" s="10" t="s">
        <v>2689</v>
      </c>
      <c r="I111" s="11" t="s">
        <v>2690</v>
      </c>
      <c r="J111" s="12" t="s">
        <v>2691</v>
      </c>
      <c r="K111" s="13" t="s">
        <v>2692</v>
      </c>
      <c r="L111" s="14">
        <v>41771</v>
      </c>
      <c r="M111" s="15"/>
      <c r="N111" s="16"/>
      <c r="O111" s="17" t="s">
        <v>2693</v>
      </c>
      <c r="P111" s="18" t="s">
        <v>2694</v>
      </c>
      <c r="Q111" s="19" t="s">
        <v>2695</v>
      </c>
      <c r="R111" s="20" t="s">
        <v>2696</v>
      </c>
      <c r="S111" s="21" t="s">
        <v>2697</v>
      </c>
      <c r="T111" s="22" t="s">
        <v>2698</v>
      </c>
      <c r="U111" s="23" t="s">
        <v>2699</v>
      </c>
      <c r="V111" s="24" t="s">
        <v>2700</v>
      </c>
      <c r="W111" s="25" t="s">
        <v>2701</v>
      </c>
      <c r="X111" s="26" t="s">
        <v>2702</v>
      </c>
      <c r="Y111" s="27" t="s">
        <v>2703</v>
      </c>
      <c r="Z111" s="28" t="s">
        <v>2704</v>
      </c>
      <c r="AA111" s="29" t="s">
        <v>2705</v>
      </c>
      <c r="AB111" s="30" t="s">
        <v>2706</v>
      </c>
      <c r="AC111" t="str">
        <f>IF(ISBLANK(H111),VLOOKUP(P111,'US Supervisor Map'!A:D,4,FALSE),MID(H111,4,6))</f>
        <v>211766</v>
      </c>
      <c r="AD111" t="str">
        <f>IFERROR(VLOOKUP(T111,'Org Map'!A:E,4),"BU Description Not Mapped")</f>
        <v>0088</v>
      </c>
      <c r="AE111">
        <f>IFERROR(VLOOKUP(V111,'Org Map'!C:E,3),"Home Department Code Not Mapped")</f>
        <v>9450</v>
      </c>
      <c r="AF111" t="str">
        <f>IFERROR(VLOOKUP(AA111,'Salary Map'!A:D,3,FALSE),"Salary Code Not Mapped")</f>
        <v>Default</v>
      </c>
      <c r="AG111" t="str">
        <f>IFERROR(VLOOKUP(AA111,'Salary Map'!A:D,4,FALSE),"Salary Code Not Mapped")</f>
        <v>General</v>
      </c>
      <c r="AH111" t="str">
        <f>IFERROR(VLOOKUP(Z111,'Country Map'!A:B,2,FALSE),"Legal Country Not Mapped")</f>
        <v>US</v>
      </c>
      <c r="AI111" t="str">
        <f>IFERROR(VLOOKUP(X111,'Language Map'!A:C,3,FALSE),IFERROR(VLOOKUP(T111,'Org Map'!A:F,6,FALSE),"ADP and BU Language Code Not Mapped"))&amp;AH111</f>
        <v>en_US</v>
      </c>
      <c r="AJ111" t="str">
        <f>IFERROR(VLOOKUP(T111,'Org Map'!A:G,7),"BU Currency Not Mapped")</f>
        <v>USD</v>
      </c>
      <c r="AK111" t="str">
        <f t="shared" si="8"/>
        <v/>
      </c>
      <c r="AL111" t="str">
        <f>IFERROR(VLOOKUP(O111,'Status Map'!A:B,2,FALSE),"Position Status Not Mapped")</f>
        <v>Y</v>
      </c>
      <c r="AM111" t="str">
        <f t="shared" si="13"/>
        <v/>
      </c>
      <c r="AO111" t="str">
        <f t="shared" si="9"/>
        <v>JoelEMcCoy</v>
      </c>
      <c r="AP111" t="str">
        <f t="shared" si="10"/>
        <v>Kemenah</v>
      </c>
      <c r="AQ111" t="str">
        <f t="shared" si="11"/>
        <v>211766</v>
      </c>
      <c r="AR111" t="b">
        <f t="shared" si="12"/>
        <v>1</v>
      </c>
    </row>
    <row r="112" spans="1:44">
      <c r="A112" s="3" t="s">
        <v>2707</v>
      </c>
      <c r="B112" s="4" t="s">
        <v>2708</v>
      </c>
      <c r="C112" s="5" t="s">
        <v>2709</v>
      </c>
      <c r="D112" s="6" t="s">
        <v>2710</v>
      </c>
      <c r="E112" s="7" t="s">
        <v>2711</v>
      </c>
      <c r="F112" s="8" t="s">
        <v>2712</v>
      </c>
      <c r="G112" s="9" t="s">
        <v>2713</v>
      </c>
      <c r="H112" s="10" t="s">
        <v>2714</v>
      </c>
      <c r="I112" s="31" t="s">
        <v>2715</v>
      </c>
      <c r="J112" s="12" t="s">
        <v>2716</v>
      </c>
      <c r="K112" s="13" t="s">
        <v>2717</v>
      </c>
      <c r="L112" s="14">
        <v>46202</v>
      </c>
      <c r="M112" s="15"/>
      <c r="N112" s="16"/>
      <c r="O112" s="17" t="s">
        <v>2718</v>
      </c>
      <c r="P112" s="18" t="s">
        <v>2719</v>
      </c>
      <c r="Q112" s="19" t="s">
        <v>2720</v>
      </c>
      <c r="R112" s="20" t="s">
        <v>2721</v>
      </c>
      <c r="S112" s="21" t="s">
        <v>2722</v>
      </c>
      <c r="T112" s="22" t="s">
        <v>2723</v>
      </c>
      <c r="U112" s="23" t="s">
        <v>2724</v>
      </c>
      <c r="V112" s="24" t="s">
        <v>2725</v>
      </c>
      <c r="W112" s="25" t="s">
        <v>2726</v>
      </c>
      <c r="X112" s="26" t="s">
        <v>2727</v>
      </c>
      <c r="Y112" s="27" t="s">
        <v>2728</v>
      </c>
      <c r="Z112" s="28" t="s">
        <v>2729</v>
      </c>
      <c r="AA112" s="29" t="s">
        <v>2730</v>
      </c>
      <c r="AB112" s="30" t="s">
        <v>2731</v>
      </c>
      <c r="AC112" t="str">
        <f>IF(ISBLANK(H112),VLOOKUP(P112,'US Supervisor Map'!A:D,4,FALSE),MID(H112,4,6))</f>
        <v>211062</v>
      </c>
      <c r="AD112" t="str">
        <f>IFERROR(VLOOKUP(T112,'Org Map'!A:E,4),"BU Description Not Mapped")</f>
        <v>0096</v>
      </c>
      <c r="AE112">
        <f>IFERROR(VLOOKUP(V112,'Org Map'!C:E,3),"Home Department Code Not Mapped")</f>
        <v>100</v>
      </c>
      <c r="AF112" t="str">
        <f>IFERROR(VLOOKUP(AA112,'Salary Map'!A:D,3,FALSE),"Salary Code Not Mapped")</f>
        <v>Default</v>
      </c>
      <c r="AG112" t="str">
        <f>IFERROR(VLOOKUP(AA112,'Salary Map'!A:D,4,FALSE),"Salary Code Not Mapped")</f>
        <v>General</v>
      </c>
      <c r="AH112" t="str">
        <f>IFERROR(VLOOKUP(Z112,'Country Map'!A:B,2,FALSE),"Legal Country Not Mapped")</f>
        <v>US</v>
      </c>
      <c r="AI112" t="str">
        <f>IFERROR(VLOOKUP(X112,'Language Map'!A:C,3,FALSE),IFERROR(VLOOKUP(T112,'Org Map'!A:F,6,FALSE),"ADP and BU Language Code Not Mapped"))&amp;AH112</f>
        <v>en_US</v>
      </c>
      <c r="AJ112" t="str">
        <f>IFERROR(VLOOKUP(T112,'Org Map'!A:G,7),"BU Currency Not Mapped")</f>
        <v>USD</v>
      </c>
      <c r="AK112" t="str">
        <f t="shared" si="8"/>
        <v/>
      </c>
      <c r="AL112" t="str">
        <f>IFERROR(VLOOKUP(O112,'Status Map'!A:B,2,FALSE),"Position Status Not Mapped")</f>
        <v>Y</v>
      </c>
      <c r="AM112" t="str">
        <f t="shared" si="13"/>
        <v/>
      </c>
      <c r="AO112" t="str">
        <f t="shared" si="9"/>
        <v>CharlesMcDavid</v>
      </c>
      <c r="AP112" t="e">
        <f t="shared" si="10"/>
        <v>#VALUE!</v>
      </c>
      <c r="AQ112" t="str">
        <f t="shared" si="11"/>
        <v>No Reports to Name</v>
      </c>
      <c r="AR112" s="77" t="b">
        <f t="shared" si="12"/>
        <v>0</v>
      </c>
    </row>
    <row r="113" spans="1:44">
      <c r="A113" s="3" t="s">
        <v>2732</v>
      </c>
      <c r="B113" s="4" t="s">
        <v>2733</v>
      </c>
      <c r="C113" s="5" t="s">
        <v>2734</v>
      </c>
      <c r="D113" s="6" t="s">
        <v>2735</v>
      </c>
      <c r="E113" s="7" t="s">
        <v>2736</v>
      </c>
      <c r="F113" s="8" t="s">
        <v>2737</v>
      </c>
      <c r="G113" s="9" t="s">
        <v>2738</v>
      </c>
      <c r="H113" s="10" t="s">
        <v>2739</v>
      </c>
      <c r="I113" s="11" t="s">
        <v>2740</v>
      </c>
      <c r="J113" s="12" t="s">
        <v>2741</v>
      </c>
      <c r="K113" s="13" t="s">
        <v>2742</v>
      </c>
      <c r="L113" s="14">
        <v>35338</v>
      </c>
      <c r="M113" s="15"/>
      <c r="N113" s="16"/>
      <c r="O113" s="17" t="s">
        <v>2743</v>
      </c>
      <c r="P113" s="18" t="s">
        <v>2744</v>
      </c>
      <c r="Q113" s="19" t="s">
        <v>2745</v>
      </c>
      <c r="R113" s="20" t="s">
        <v>2746</v>
      </c>
      <c r="S113" s="21" t="s">
        <v>2747</v>
      </c>
      <c r="T113" s="22" t="s">
        <v>2748</v>
      </c>
      <c r="U113" s="23" t="s">
        <v>2749</v>
      </c>
      <c r="V113" s="24" t="s">
        <v>2750</v>
      </c>
      <c r="W113" s="25" t="s">
        <v>2751</v>
      </c>
      <c r="X113" s="26" t="s">
        <v>2752</v>
      </c>
      <c r="Y113" s="27" t="s">
        <v>2753</v>
      </c>
      <c r="Z113" s="28" t="s">
        <v>2754</v>
      </c>
      <c r="AA113" s="29" t="s">
        <v>2755</v>
      </c>
      <c r="AB113" s="30" t="s">
        <v>2756</v>
      </c>
      <c r="AC113" t="str">
        <f>IF(ISBLANK(H113),VLOOKUP(P113,'US Supervisor Map'!A:D,4,FALSE),MID(H113,4,6))</f>
        <v>008750</v>
      </c>
      <c r="AD113" t="str">
        <f>IFERROR(VLOOKUP(T113,'Org Map'!A:E,4),"BU Description Not Mapped")</f>
        <v>0096</v>
      </c>
      <c r="AE113">
        <f>IFERROR(VLOOKUP(V113,'Org Map'!C:E,3),"Home Department Code Not Mapped")</f>
        <v>910</v>
      </c>
      <c r="AF113" t="str">
        <f>IFERROR(VLOOKUP(AA113,'Salary Map'!A:D,3,FALSE),"Salary Code Not Mapped")</f>
        <v>Default</v>
      </c>
      <c r="AG113" t="str">
        <f>IFERROR(VLOOKUP(AA113,'Salary Map'!A:D,4,FALSE),"Salary Code Not Mapped")</f>
        <v>General</v>
      </c>
      <c r="AH113" t="str">
        <f>IFERROR(VLOOKUP(Z113,'Country Map'!A:B,2,FALSE),"Legal Country Not Mapped")</f>
        <v>US</v>
      </c>
      <c r="AI113" t="str">
        <f>IFERROR(VLOOKUP(X113,'Language Map'!A:C,3,FALSE),IFERROR(VLOOKUP(T113,'Org Map'!A:F,6,FALSE),"ADP and BU Language Code Not Mapped"))&amp;AH113</f>
        <v>en_US</v>
      </c>
      <c r="AJ113" t="str">
        <f>IFERROR(VLOOKUP(T113,'Org Map'!A:G,7),"BU Currency Not Mapped")</f>
        <v>USD</v>
      </c>
      <c r="AK113" t="str">
        <f t="shared" si="8"/>
        <v/>
      </c>
      <c r="AL113" t="str">
        <f>IFERROR(VLOOKUP(O113,'Status Map'!A:B,2,FALSE),"Position Status Not Mapped")</f>
        <v>Y</v>
      </c>
      <c r="AM113" t="str">
        <f t="shared" si="13"/>
        <v/>
      </c>
      <c r="AO113" t="str">
        <f t="shared" si="9"/>
        <v>AmyCMcGuire</v>
      </c>
      <c r="AP113" t="str">
        <f t="shared" si="10"/>
        <v>Warner</v>
      </c>
      <c r="AQ113" t="str">
        <f t="shared" si="11"/>
        <v>008750</v>
      </c>
      <c r="AR113" t="b">
        <f t="shared" si="12"/>
        <v>1</v>
      </c>
    </row>
    <row r="114" spans="1:44">
      <c r="A114" s="3" t="s">
        <v>2757</v>
      </c>
      <c r="B114" s="4" t="s">
        <v>2758</v>
      </c>
      <c r="C114" s="5" t="s">
        <v>2759</v>
      </c>
      <c r="D114" s="6" t="s">
        <v>2760</v>
      </c>
      <c r="E114" s="7" t="s">
        <v>2761</v>
      </c>
      <c r="F114" s="8" t="s">
        <v>2762</v>
      </c>
      <c r="G114" s="9" t="s">
        <v>2763</v>
      </c>
      <c r="H114" s="10" t="s">
        <v>2764</v>
      </c>
      <c r="I114" s="31" t="s">
        <v>2765</v>
      </c>
      <c r="J114" s="12" t="s">
        <v>2766</v>
      </c>
      <c r="K114" s="13" t="s">
        <v>2767</v>
      </c>
      <c r="L114" s="14">
        <v>46190</v>
      </c>
      <c r="M114" s="15">
        <v>46234</v>
      </c>
      <c r="N114" s="16"/>
      <c r="O114" s="17" t="s">
        <v>2768</v>
      </c>
      <c r="P114" s="18" t="s">
        <v>2769</v>
      </c>
      <c r="Q114" s="19" t="s">
        <v>2770</v>
      </c>
      <c r="R114" s="20" t="s">
        <v>2771</v>
      </c>
      <c r="S114" s="21" t="s">
        <v>2772</v>
      </c>
      <c r="T114" s="22" t="s">
        <v>2773</v>
      </c>
      <c r="U114" s="23" t="s">
        <v>2774</v>
      </c>
      <c r="V114" s="24" t="s">
        <v>2775</v>
      </c>
      <c r="W114" s="25" t="s">
        <v>2776</v>
      </c>
      <c r="X114" s="26" t="s">
        <v>2777</v>
      </c>
      <c r="Y114" s="27" t="s">
        <v>2778</v>
      </c>
      <c r="Z114" s="28" t="s">
        <v>2779</v>
      </c>
      <c r="AA114" s="29" t="s">
        <v>2780</v>
      </c>
      <c r="AB114" s="30" t="s">
        <v>2781</v>
      </c>
      <c r="AC114" t="str">
        <f>IF(ISBLANK(H114),VLOOKUP(P114,'US Supervisor Map'!A:D,4,FALSE),MID(H114,4,6))</f>
        <v>211998</v>
      </c>
      <c r="AD114" t="str">
        <f>IFERROR(VLOOKUP(T114,'Org Map'!A:E,4),"BU Description Not Mapped")</f>
        <v>0096</v>
      </c>
      <c r="AE114">
        <f>IFERROR(VLOOKUP(V114,'Org Map'!C:E,3),"Home Department Code Not Mapped")</f>
        <v>200</v>
      </c>
      <c r="AF114" t="str">
        <f>IFERROR(VLOOKUP(AA114,'Salary Map'!A:D,3,FALSE),"Salary Code Not Mapped")</f>
        <v>Default</v>
      </c>
      <c r="AG114" t="str">
        <f>IFERROR(VLOOKUP(AA114,'Salary Map'!A:D,4,FALSE),"Salary Code Not Mapped")</f>
        <v>General</v>
      </c>
      <c r="AH114" t="str">
        <f>IFERROR(VLOOKUP(Z114,'Country Map'!A:B,2,FALSE),"Legal Country Not Mapped")</f>
        <v>US</v>
      </c>
      <c r="AI114" t="str">
        <f>IFERROR(VLOOKUP(X114,'Language Map'!A:C,3,FALSE),IFERROR(VLOOKUP(T114,'Org Map'!A:F,6,FALSE),"ADP and BU Language Code Not Mapped"))&amp;AH114</f>
        <v>en_US</v>
      </c>
      <c r="AJ114" t="str">
        <f>IFERROR(VLOOKUP(T114,'Org Map'!A:G,7),"BU Currency Not Mapped")</f>
        <v>USD</v>
      </c>
      <c r="AK114" t="str">
        <f t="shared" si="8"/>
        <v/>
      </c>
      <c r="AL114" t="str">
        <f>IFERROR(VLOOKUP(O114,'Status Map'!A:B,2,FALSE),"Position Status Not Mapped")</f>
        <v>N</v>
      </c>
      <c r="AM114" t="str">
        <f t="shared" si="13"/>
        <v>20260731</v>
      </c>
      <c r="AN114" t="str">
        <f t="shared" ref="AN114:AN115" si="16">IF(M114&gt;AN109,"Fix and Include Record","Exclude record termination over 45 days ago")</f>
        <v>Fix and Include Record</v>
      </c>
      <c r="AO114" t="str">
        <f t="shared" si="9"/>
        <v>JermeyMcKinney</v>
      </c>
      <c r="AP114" t="e">
        <f t="shared" si="10"/>
        <v>#VALUE!</v>
      </c>
      <c r="AQ114" t="str">
        <f t="shared" si="11"/>
        <v>No Reports to Name</v>
      </c>
      <c r="AR114" s="77" t="b">
        <f t="shared" si="12"/>
        <v>0</v>
      </c>
    </row>
    <row r="115" spans="1:44">
      <c r="A115" s="3" t="s">
        <v>2782</v>
      </c>
      <c r="B115" s="4" t="s">
        <v>2783</v>
      </c>
      <c r="C115" s="5" t="s">
        <v>2784</v>
      </c>
      <c r="D115" s="6" t="s">
        <v>2785</v>
      </c>
      <c r="E115" s="7" t="s">
        <v>2786</v>
      </c>
      <c r="F115" s="8" t="s">
        <v>2787</v>
      </c>
      <c r="G115" s="9" t="s">
        <v>2788</v>
      </c>
      <c r="H115" s="10" t="s">
        <v>2789</v>
      </c>
      <c r="I115" s="31" t="s">
        <v>2790</v>
      </c>
      <c r="J115" s="12" t="s">
        <v>2791</v>
      </c>
      <c r="K115" s="13" t="s">
        <v>2792</v>
      </c>
      <c r="L115" s="14">
        <v>45755</v>
      </c>
      <c r="M115" s="15">
        <v>46227</v>
      </c>
      <c r="N115" s="16"/>
      <c r="O115" s="17" t="s">
        <v>2793</v>
      </c>
      <c r="P115" s="18" t="s">
        <v>2794</v>
      </c>
      <c r="Q115" s="19" t="s">
        <v>2795</v>
      </c>
      <c r="R115" s="20" t="s">
        <v>2796</v>
      </c>
      <c r="S115" s="21" t="s">
        <v>2797</v>
      </c>
      <c r="T115" s="22" t="s">
        <v>2798</v>
      </c>
      <c r="U115" s="23" t="s">
        <v>2799</v>
      </c>
      <c r="V115" s="24" t="s">
        <v>2800</v>
      </c>
      <c r="W115" s="25" t="s">
        <v>2801</v>
      </c>
      <c r="X115" s="26" t="s">
        <v>2802</v>
      </c>
      <c r="Y115" s="27" t="s">
        <v>2803</v>
      </c>
      <c r="Z115" s="28" t="s">
        <v>2804</v>
      </c>
      <c r="AA115" s="29" t="s">
        <v>2805</v>
      </c>
      <c r="AB115" s="30" t="s">
        <v>2806</v>
      </c>
      <c r="AC115" t="str">
        <f>IF(ISBLANK(H115),VLOOKUP(P115,'US Supervisor Map'!A:D,4,FALSE),MID(H115,4,6))</f>
        <v>211062</v>
      </c>
      <c r="AD115" t="str">
        <f>IFERROR(VLOOKUP(T115,'Org Map'!A:E,4),"BU Description Not Mapped")</f>
        <v>0096</v>
      </c>
      <c r="AE115">
        <f>IFERROR(VLOOKUP(V115,'Org Map'!C:E,3),"Home Department Code Not Mapped")</f>
        <v>100</v>
      </c>
      <c r="AF115" t="str">
        <f>IFERROR(VLOOKUP(AA115,'Salary Map'!A:D,3,FALSE),"Salary Code Not Mapped")</f>
        <v>Default</v>
      </c>
      <c r="AG115" t="str">
        <f>IFERROR(VLOOKUP(AA115,'Salary Map'!A:D,4,FALSE),"Salary Code Not Mapped")</f>
        <v>General</v>
      </c>
      <c r="AH115" t="str">
        <f>IFERROR(VLOOKUP(Z115,'Country Map'!A:B,2,FALSE),"Legal Country Not Mapped")</f>
        <v>US</v>
      </c>
      <c r="AI115" t="str">
        <f>IFERROR(VLOOKUP(X115,'Language Map'!A:C,3,FALSE),IFERROR(VLOOKUP(T115,'Org Map'!A:F,6,FALSE),"ADP and BU Language Code Not Mapped"))&amp;AH115</f>
        <v>en_US</v>
      </c>
      <c r="AJ115" t="str">
        <f>IFERROR(VLOOKUP(T115,'Org Map'!A:G,7),"BU Currency Not Mapped")</f>
        <v>USD</v>
      </c>
      <c r="AK115" t="str">
        <f t="shared" si="8"/>
        <v/>
      </c>
      <c r="AL115" t="str">
        <f>IFERROR(VLOOKUP(O115,'Status Map'!A:B,2,FALSE),"Position Status Not Mapped")</f>
        <v>N</v>
      </c>
      <c r="AM115" t="str">
        <f t="shared" si="13"/>
        <v>20260724</v>
      </c>
      <c r="AN115" t="str">
        <f t="shared" si="16"/>
        <v>Fix and Include Record</v>
      </c>
      <c r="AO115" t="str">
        <f t="shared" si="9"/>
        <v>MitchellCMcLaughlin</v>
      </c>
      <c r="AP115" t="e">
        <f t="shared" si="10"/>
        <v>#VALUE!</v>
      </c>
      <c r="AQ115" t="str">
        <f t="shared" si="11"/>
        <v>No Reports to Name</v>
      </c>
      <c r="AR115" s="77" t="b">
        <f t="shared" si="12"/>
        <v>0</v>
      </c>
    </row>
    <row r="116" spans="1:44">
      <c r="A116" s="3" t="s">
        <v>2807</v>
      </c>
      <c r="B116" s="4" t="s">
        <v>2808</v>
      </c>
      <c r="C116" s="5" t="s">
        <v>2809</v>
      </c>
      <c r="D116" s="6" t="s">
        <v>2810</v>
      </c>
      <c r="E116" s="7" t="s">
        <v>2811</v>
      </c>
      <c r="F116" s="8" t="s">
        <v>2812</v>
      </c>
      <c r="G116" s="9" t="s">
        <v>2813</v>
      </c>
      <c r="H116" s="10" t="s">
        <v>2814</v>
      </c>
      <c r="I116" s="11" t="s">
        <v>2815</v>
      </c>
      <c r="J116" s="12" t="s">
        <v>2816</v>
      </c>
      <c r="K116" s="13" t="s">
        <v>2817</v>
      </c>
      <c r="L116" s="14">
        <v>45551</v>
      </c>
      <c r="M116" s="15"/>
      <c r="N116" s="16"/>
      <c r="O116" s="17" t="s">
        <v>2818</v>
      </c>
      <c r="P116" s="18" t="s">
        <v>2819</v>
      </c>
      <c r="Q116" s="19" t="s">
        <v>2820</v>
      </c>
      <c r="R116" s="20" t="s">
        <v>2821</v>
      </c>
      <c r="S116" s="21" t="s">
        <v>2822</v>
      </c>
      <c r="T116" s="22" t="s">
        <v>2823</v>
      </c>
      <c r="U116" s="23" t="s">
        <v>2824</v>
      </c>
      <c r="V116" s="24" t="s">
        <v>2825</v>
      </c>
      <c r="W116" s="25" t="s">
        <v>2826</v>
      </c>
      <c r="X116" s="26" t="s">
        <v>2827</v>
      </c>
      <c r="Y116" s="27" t="s">
        <v>2828</v>
      </c>
      <c r="Z116" s="28" t="s">
        <v>2829</v>
      </c>
      <c r="AA116" s="29" t="s">
        <v>2830</v>
      </c>
      <c r="AB116" s="30" t="s">
        <v>2831</v>
      </c>
      <c r="AC116" t="str">
        <f>IF(ISBLANK(H116),VLOOKUP(P116,'US Supervisor Map'!A:D,4,FALSE),MID(H116,4,6))</f>
        <v>211756</v>
      </c>
      <c r="AD116" t="str">
        <f>IFERROR(VLOOKUP(T116,'Org Map'!A:E,4),"BU Description Not Mapped")</f>
        <v>0088</v>
      </c>
      <c r="AE116">
        <f>IFERROR(VLOOKUP(V116,'Org Map'!C:E,3),"Home Department Code Not Mapped")</f>
        <v>5100</v>
      </c>
      <c r="AF116" t="str">
        <f>IFERROR(VLOOKUP(AA116,'Salary Map'!A:D,3,FALSE),"Salary Code Not Mapped")</f>
        <v>Default</v>
      </c>
      <c r="AG116" t="str">
        <f>IFERROR(VLOOKUP(AA116,'Salary Map'!A:D,4,FALSE),"Salary Code Not Mapped")</f>
        <v>General</v>
      </c>
      <c r="AH116" t="str">
        <f>IFERROR(VLOOKUP(Z116,'Country Map'!A:B,2,FALSE),"Legal Country Not Mapped")</f>
        <v>US</v>
      </c>
      <c r="AI116" t="str">
        <f>IFERROR(VLOOKUP(X116,'Language Map'!A:C,3,FALSE),IFERROR(VLOOKUP(T116,'Org Map'!A:F,6,FALSE),"ADP and BU Language Code Not Mapped"))&amp;AH116</f>
        <v>en_US</v>
      </c>
      <c r="AJ116" t="str">
        <f>IFERROR(VLOOKUP(T116,'Org Map'!A:G,7),"BU Currency Not Mapped")</f>
        <v>USD</v>
      </c>
      <c r="AK116" t="str">
        <f t="shared" si="8"/>
        <v/>
      </c>
      <c r="AL116" t="str">
        <f>IFERROR(VLOOKUP(O116,'Status Map'!A:B,2,FALSE),"Position Status Not Mapped")</f>
        <v>Y</v>
      </c>
      <c r="AM116" t="str">
        <f t="shared" si="13"/>
        <v/>
      </c>
      <c r="AO116" t="str">
        <f t="shared" si="9"/>
        <v>ShawntaMcglory</v>
      </c>
      <c r="AP116" t="str">
        <f t="shared" si="10"/>
        <v>Burchell</v>
      </c>
      <c r="AQ116" t="str">
        <f t="shared" si="11"/>
        <v>211756</v>
      </c>
      <c r="AR116" t="b">
        <f t="shared" si="12"/>
        <v>1</v>
      </c>
    </row>
    <row r="117" spans="1:44">
      <c r="A117" s="3" t="s">
        <v>2832</v>
      </c>
      <c r="B117" s="4" t="s">
        <v>2833</v>
      </c>
      <c r="C117" s="5" t="s">
        <v>2834</v>
      </c>
      <c r="D117" s="6" t="s">
        <v>2835</v>
      </c>
      <c r="E117" s="7" t="s">
        <v>2836</v>
      </c>
      <c r="F117" s="8" t="s">
        <v>2837</v>
      </c>
      <c r="G117" s="9" t="s">
        <v>2838</v>
      </c>
      <c r="H117" s="36" t="s">
        <v>2839</v>
      </c>
      <c r="I117" s="11" t="s">
        <v>2840</v>
      </c>
      <c r="J117" s="12" t="s">
        <v>2841</v>
      </c>
      <c r="K117" s="13" t="s">
        <v>2842</v>
      </c>
      <c r="L117" s="14">
        <v>45141</v>
      </c>
      <c r="M117" s="15">
        <v>46148</v>
      </c>
      <c r="N117" s="16"/>
      <c r="O117" s="17" t="s">
        <v>2843</v>
      </c>
      <c r="P117" s="18" t="s">
        <v>2844</v>
      </c>
      <c r="Q117" s="19" t="s">
        <v>2845</v>
      </c>
      <c r="R117" s="20" t="s">
        <v>2846</v>
      </c>
      <c r="S117" s="21" t="s">
        <v>2847</v>
      </c>
      <c r="T117" s="22" t="s">
        <v>2848</v>
      </c>
      <c r="U117" s="23" t="s">
        <v>2849</v>
      </c>
      <c r="V117" s="24" t="s">
        <v>2850</v>
      </c>
      <c r="W117" s="25" t="s">
        <v>2851</v>
      </c>
      <c r="X117" s="26" t="s">
        <v>2852</v>
      </c>
      <c r="Y117" s="27" t="s">
        <v>2853</v>
      </c>
      <c r="Z117" s="28" t="s">
        <v>2854</v>
      </c>
      <c r="AA117" s="29" t="s">
        <v>2855</v>
      </c>
      <c r="AB117" s="30" t="s">
        <v>2856</v>
      </c>
      <c r="AC117" s="77" t="str">
        <f>IF(ISBLANK(H117),VLOOKUP(P117,'US Supervisor Map'!A:D,4,FALSE),MID(H117,4,6))</f>
        <v/>
      </c>
      <c r="AD117" t="str">
        <f>IFERROR(VLOOKUP(T117,'Org Map'!A:E,4),"BU Description Not Mapped")</f>
        <v>0088</v>
      </c>
      <c r="AE117">
        <f>IFERROR(VLOOKUP(V117,'Org Map'!C:E,3),"Home Department Code Not Mapped")</f>
        <v>5100</v>
      </c>
      <c r="AF117" t="str">
        <f>IFERROR(VLOOKUP(AA117,'Salary Map'!A:D,3,FALSE),"Salary Code Not Mapped")</f>
        <v>Default</v>
      </c>
      <c r="AG117" t="str">
        <f>IFERROR(VLOOKUP(AA117,'Salary Map'!A:D,4,FALSE),"Salary Code Not Mapped")</f>
        <v>General</v>
      </c>
      <c r="AH117" t="str">
        <f>IFERROR(VLOOKUP(Z117,'Country Map'!A:B,2,FALSE),"Legal Country Not Mapped")</f>
        <v>US</v>
      </c>
      <c r="AI117" t="str">
        <f>IFERROR(VLOOKUP(X117,'Language Map'!A:C,3,FALSE),IFERROR(VLOOKUP(T117,'Org Map'!A:F,6,FALSE),"ADP and BU Language Code Not Mapped"))&amp;AH117</f>
        <v>en_US</v>
      </c>
      <c r="AJ117" t="str">
        <f>IFERROR(VLOOKUP(T117,'Org Map'!A:G,7),"BU Currency Not Mapped")</f>
        <v>USD</v>
      </c>
      <c r="AK117" t="str">
        <f t="shared" si="8"/>
        <v/>
      </c>
      <c r="AL117" t="str">
        <f>IFERROR(VLOOKUP(O117,'Status Map'!A:B,2,FALSE),"Position Status Not Mapped")</f>
        <v>N</v>
      </c>
      <c r="AM117" t="str">
        <f t="shared" si="13"/>
        <v>20260506</v>
      </c>
      <c r="AN117" t="str">
        <f t="shared" ref="AN117:AN121" si="17">IF(M117&gt;AN112,"Fix and Include Record","Exclude record termination over 45 days ago")</f>
        <v>Fix and Include Record</v>
      </c>
      <c r="AO117" t="str">
        <f t="shared" si="9"/>
        <v>KyleJMickens</v>
      </c>
      <c r="AP117" t="e">
        <f t="shared" si="10"/>
        <v>#VALUE!</v>
      </c>
      <c r="AQ117" t="str">
        <f t="shared" si="11"/>
        <v>No Reports to Name</v>
      </c>
      <c r="AR117" t="b">
        <f t="shared" si="12"/>
        <v>0</v>
      </c>
    </row>
    <row r="118" spans="1:44">
      <c r="A118" s="3" t="s">
        <v>2857</v>
      </c>
      <c r="B118" s="4" t="s">
        <v>2858</v>
      </c>
      <c r="C118" s="5" t="s">
        <v>2859</v>
      </c>
      <c r="D118" s="6" t="s">
        <v>2860</v>
      </c>
      <c r="E118" s="7" t="s">
        <v>2861</v>
      </c>
      <c r="F118" s="8" t="s">
        <v>2862</v>
      </c>
      <c r="G118" s="9" t="s">
        <v>2863</v>
      </c>
      <c r="H118" s="36" t="s">
        <v>2864</v>
      </c>
      <c r="I118" s="11" t="s">
        <v>2865</v>
      </c>
      <c r="J118" s="12" t="s">
        <v>2866</v>
      </c>
      <c r="K118" s="13" t="s">
        <v>2867</v>
      </c>
      <c r="L118" s="14">
        <v>45810</v>
      </c>
      <c r="M118" s="15">
        <v>46176</v>
      </c>
      <c r="N118" s="16"/>
      <c r="O118" s="17" t="s">
        <v>2868</v>
      </c>
      <c r="P118" s="18" t="s">
        <v>2869</v>
      </c>
      <c r="Q118" s="19" t="s">
        <v>2870</v>
      </c>
      <c r="R118" s="20" t="s">
        <v>2871</v>
      </c>
      <c r="S118" s="21" t="s">
        <v>2872</v>
      </c>
      <c r="T118" s="22" t="s">
        <v>2873</v>
      </c>
      <c r="U118" s="23" t="s">
        <v>2874</v>
      </c>
      <c r="V118" s="24" t="s">
        <v>2875</v>
      </c>
      <c r="W118" s="25" t="s">
        <v>2876</v>
      </c>
      <c r="X118" s="26" t="s">
        <v>2877</v>
      </c>
      <c r="Y118" s="27" t="s">
        <v>2878</v>
      </c>
      <c r="Z118" s="28" t="s">
        <v>2879</v>
      </c>
      <c r="AA118" s="29" t="s">
        <v>2880</v>
      </c>
      <c r="AB118" s="30" t="s">
        <v>2881</v>
      </c>
      <c r="AC118" s="77" t="str">
        <f>IF(ISBLANK(H118),VLOOKUP(P118,'US Supervisor Map'!A:D,4,FALSE),MID(H118,4,6))</f>
        <v/>
      </c>
      <c r="AD118" t="str">
        <f>IFERROR(VLOOKUP(T118,'Org Map'!A:E,4),"BU Description Not Mapped")</f>
        <v>0096</v>
      </c>
      <c r="AE118">
        <f>IFERROR(VLOOKUP(V118,'Org Map'!C:E,3),"Home Department Code Not Mapped")</f>
        <v>900</v>
      </c>
      <c r="AF118" t="str">
        <f>IFERROR(VLOOKUP(AA118,'Salary Map'!A:D,3,FALSE),"Salary Code Not Mapped")</f>
        <v>Default</v>
      </c>
      <c r="AG118" t="str">
        <f>IFERROR(VLOOKUP(AA118,'Salary Map'!A:D,4,FALSE),"Salary Code Not Mapped")</f>
        <v>General</v>
      </c>
      <c r="AH118" t="str">
        <f>IFERROR(VLOOKUP(Z118,'Country Map'!A:B,2,FALSE),"Legal Country Not Mapped")</f>
        <v>US</v>
      </c>
      <c r="AI118" t="str">
        <f>IFERROR(VLOOKUP(X118,'Language Map'!A:C,3,FALSE),IFERROR(VLOOKUP(T118,'Org Map'!A:F,6,FALSE),"ADP and BU Language Code Not Mapped"))&amp;AH118</f>
        <v>en_US</v>
      </c>
      <c r="AJ118" t="str">
        <f>IFERROR(VLOOKUP(T118,'Org Map'!A:G,7),"BU Currency Not Mapped")</f>
        <v>USD</v>
      </c>
      <c r="AK118" t="str">
        <f t="shared" si="8"/>
        <v/>
      </c>
      <c r="AL118" t="str">
        <f>IFERROR(VLOOKUP(O118,'Status Map'!A:B,2,FALSE),"Position Status Not Mapped")</f>
        <v>N</v>
      </c>
      <c r="AM118" t="str">
        <f t="shared" si="13"/>
        <v>20260603</v>
      </c>
      <c r="AN118" t="str">
        <f t="shared" si="17"/>
        <v>Fix and Include Record</v>
      </c>
      <c r="AO118" t="str">
        <f t="shared" si="9"/>
        <v>AnthonyJMoavero</v>
      </c>
      <c r="AP118" t="str">
        <f t="shared" si="10"/>
        <v>Brower</v>
      </c>
      <c r="AQ118" t="str">
        <f t="shared" si="11"/>
        <v>006769</v>
      </c>
      <c r="AR118" t="b">
        <f t="shared" si="12"/>
        <v>0</v>
      </c>
    </row>
    <row r="119" spans="1:44">
      <c r="A119" s="3" t="s">
        <v>2882</v>
      </c>
      <c r="B119" s="4" t="s">
        <v>2883</v>
      </c>
      <c r="C119" s="5" t="s">
        <v>2884</v>
      </c>
      <c r="D119" s="6" t="s">
        <v>2885</v>
      </c>
      <c r="E119" s="7" t="s">
        <v>2886</v>
      </c>
      <c r="F119" s="8" t="s">
        <v>2887</v>
      </c>
      <c r="G119" s="9" t="s">
        <v>2888</v>
      </c>
      <c r="H119" s="36" t="s">
        <v>2889</v>
      </c>
      <c r="I119" s="11" t="s">
        <v>2890</v>
      </c>
      <c r="J119" s="12" t="s">
        <v>2891</v>
      </c>
      <c r="K119" s="13" t="s">
        <v>2892</v>
      </c>
      <c r="L119" s="14">
        <v>45810</v>
      </c>
      <c r="M119" s="15">
        <v>45878</v>
      </c>
      <c r="N119" s="16"/>
      <c r="O119" s="17" t="s">
        <v>2893</v>
      </c>
      <c r="P119" s="18" t="s">
        <v>2894</v>
      </c>
      <c r="Q119" s="19" t="s">
        <v>2895</v>
      </c>
      <c r="R119" s="20" t="s">
        <v>2896</v>
      </c>
      <c r="S119" s="21" t="s">
        <v>2897</v>
      </c>
      <c r="T119" s="22" t="s">
        <v>2898</v>
      </c>
      <c r="U119" s="23" t="s">
        <v>2899</v>
      </c>
      <c r="V119" s="24" t="s">
        <v>2900</v>
      </c>
      <c r="W119" s="25" t="s">
        <v>2901</v>
      </c>
      <c r="X119" s="26" t="s">
        <v>2902</v>
      </c>
      <c r="Y119" s="27" t="s">
        <v>2903</v>
      </c>
      <c r="Z119" s="28" t="s">
        <v>2904</v>
      </c>
      <c r="AA119" s="29" t="s">
        <v>2905</v>
      </c>
      <c r="AB119" s="30" t="s">
        <v>2906</v>
      </c>
      <c r="AC119" s="77" t="str">
        <f>IF(ISBLANK(H119),VLOOKUP(P119,'US Supervisor Map'!A:D,4,FALSE),MID(H119,4,6))</f>
        <v/>
      </c>
      <c r="AD119" t="str">
        <f>IFERROR(VLOOKUP(T119,'Org Map'!A:E,4),"BU Description Not Mapped")</f>
        <v>BU Description Not Mapped</v>
      </c>
      <c r="AE119" t="str">
        <f>IFERROR(VLOOKUP(V119,'Org Map'!C:E,3),"Home Department Code Not Mapped")</f>
        <v>Home Department Code Not Mapped</v>
      </c>
      <c r="AF119" t="str">
        <f>IFERROR(VLOOKUP(AA119,'Salary Map'!A:D,3,FALSE),"Salary Code Not Mapped")</f>
        <v>Salary Code Not Mapped</v>
      </c>
      <c r="AG119" t="str">
        <f>IFERROR(VLOOKUP(AA119,'Salary Map'!A:D,4,FALSE),"Salary Code Not Mapped")</f>
        <v>Salary Code Not Mapped</v>
      </c>
      <c r="AH119" t="str">
        <f>IFERROR(VLOOKUP(Z119,'Country Map'!A:B,2,FALSE),"Legal Country Not Mapped")</f>
        <v>US</v>
      </c>
      <c r="AI119" t="str">
        <f>IFERROR(VLOOKUP(X119,'Language Map'!A:C,3,FALSE),IFERROR(VLOOKUP(T119,'Org Map'!A:F,6,FALSE),"ADP and BU Language Code Not Mapped"))&amp;AH119</f>
        <v>ADP and BU Language Code Not MappedUS</v>
      </c>
      <c r="AJ119" t="str">
        <f>IFERROR(VLOOKUP(T119,'Org Map'!A:G,7),"BU Currency Not Mapped")</f>
        <v>BU Currency Not Mapped</v>
      </c>
      <c r="AK119" t="str">
        <f t="shared" si="8"/>
        <v/>
      </c>
      <c r="AL119" t="str">
        <f>IFERROR(VLOOKUP(O119,'Status Map'!A:B,2,FALSE),"Position Status Not Mapped")</f>
        <v>N</v>
      </c>
      <c r="AM119" t="str">
        <f t="shared" si="13"/>
        <v>20250809</v>
      </c>
      <c r="AN119" t="str">
        <f t="shared" si="17"/>
        <v>Exclude record termination over 45 days ago</v>
      </c>
      <c r="AO119" t="str">
        <f t="shared" si="9"/>
        <v>AnthonyJMoavero</v>
      </c>
      <c r="AP119" t="e">
        <f t="shared" si="10"/>
        <v>#VALUE!</v>
      </c>
      <c r="AQ119" t="str">
        <f t="shared" si="11"/>
        <v>No Reports to Name</v>
      </c>
      <c r="AR119" t="b">
        <f t="shared" si="12"/>
        <v>0</v>
      </c>
    </row>
    <row r="120" spans="1:44">
      <c r="A120" s="3" t="s">
        <v>2907</v>
      </c>
      <c r="B120" s="4" t="s">
        <v>2908</v>
      </c>
      <c r="C120" s="5" t="s">
        <v>2909</v>
      </c>
      <c r="D120" s="6" t="s">
        <v>2910</v>
      </c>
      <c r="E120" s="7" t="s">
        <v>2911</v>
      </c>
      <c r="F120" s="8" t="s">
        <v>2912</v>
      </c>
      <c r="G120" s="9" t="s">
        <v>2913</v>
      </c>
      <c r="H120" s="10" t="s">
        <v>2914</v>
      </c>
      <c r="I120" s="11" t="s">
        <v>2915</v>
      </c>
      <c r="J120" s="12" t="s">
        <v>2916</v>
      </c>
      <c r="K120" s="13" t="s">
        <v>2917</v>
      </c>
      <c r="L120" s="14">
        <v>45810</v>
      </c>
      <c r="M120" s="15">
        <v>46248</v>
      </c>
      <c r="N120" s="16"/>
      <c r="O120" s="17" t="s">
        <v>2918</v>
      </c>
      <c r="P120" s="18" t="s">
        <v>2919</v>
      </c>
      <c r="Q120" s="19" t="s">
        <v>2920</v>
      </c>
      <c r="R120" s="20" t="s">
        <v>2921</v>
      </c>
      <c r="S120" s="21" t="s">
        <v>2922</v>
      </c>
      <c r="T120" s="22" t="s">
        <v>2923</v>
      </c>
      <c r="U120" s="23" t="s">
        <v>2924</v>
      </c>
      <c r="V120" s="24" t="s">
        <v>2925</v>
      </c>
      <c r="W120" s="25" t="s">
        <v>2926</v>
      </c>
      <c r="X120" s="26" t="s">
        <v>2927</v>
      </c>
      <c r="Y120" s="27" t="s">
        <v>2928</v>
      </c>
      <c r="Z120" s="28" t="s">
        <v>2929</v>
      </c>
      <c r="AA120" s="29" t="s">
        <v>2930</v>
      </c>
      <c r="AB120" s="30" t="s">
        <v>2931</v>
      </c>
      <c r="AC120" t="str">
        <f>IF(ISBLANK(H120),VLOOKUP(P120,'US Supervisor Map'!A:D,4,FALSE),MID(H120,4,6))</f>
        <v>006769</v>
      </c>
      <c r="AD120" t="str">
        <f>IFERROR(VLOOKUP(T120,'Org Map'!A:E,4),"BU Description Not Mapped")</f>
        <v>0096</v>
      </c>
      <c r="AE120">
        <f>IFERROR(VLOOKUP(V120,'Org Map'!C:E,3),"Home Department Code Not Mapped")</f>
        <v>900</v>
      </c>
      <c r="AF120" t="str">
        <f>IFERROR(VLOOKUP(AA120,'Salary Map'!A:D,3,FALSE),"Salary Code Not Mapped")</f>
        <v>Default</v>
      </c>
      <c r="AG120" t="str">
        <f>IFERROR(VLOOKUP(AA120,'Salary Map'!A:D,4,FALSE),"Salary Code Not Mapped")</f>
        <v>General</v>
      </c>
      <c r="AH120" t="str">
        <f>IFERROR(VLOOKUP(Z120,'Country Map'!A:B,2,FALSE),"Legal Country Not Mapped")</f>
        <v>US</v>
      </c>
      <c r="AI120" t="str">
        <f>IFERROR(VLOOKUP(X120,'Language Map'!A:C,3,FALSE),IFERROR(VLOOKUP(T120,'Org Map'!A:F,6,FALSE),"ADP and BU Language Code Not Mapped"))&amp;AH120</f>
        <v>en_US</v>
      </c>
      <c r="AJ120" t="str">
        <f>IFERROR(VLOOKUP(T120,'Org Map'!A:G,7),"BU Currency Not Mapped")</f>
        <v>USD</v>
      </c>
      <c r="AK120" t="str">
        <f t="shared" si="8"/>
        <v/>
      </c>
      <c r="AL120" t="str">
        <f>IFERROR(VLOOKUP(O120,'Status Map'!A:B,2,FALSE),"Position Status Not Mapped")</f>
        <v>N</v>
      </c>
      <c r="AM120" t="str">
        <f t="shared" si="13"/>
        <v>20260814</v>
      </c>
      <c r="AN120" t="str">
        <f t="shared" si="17"/>
        <v>Exclude record termination over 45 days ago</v>
      </c>
      <c r="AO120" t="str">
        <f t="shared" si="9"/>
        <v>AnthonyJMoavero</v>
      </c>
      <c r="AP120" t="str">
        <f t="shared" si="10"/>
        <v>Brower</v>
      </c>
      <c r="AQ120" t="str">
        <f t="shared" si="11"/>
        <v>006769</v>
      </c>
      <c r="AR120" t="b">
        <f t="shared" si="12"/>
        <v>1</v>
      </c>
    </row>
    <row r="121" spans="1:44">
      <c r="A121" s="3" t="s">
        <v>2932</v>
      </c>
      <c r="B121" s="4" t="s">
        <v>2933</v>
      </c>
      <c r="C121" s="5" t="s">
        <v>2934</v>
      </c>
      <c r="D121" s="6" t="s">
        <v>2935</v>
      </c>
      <c r="E121" s="7" t="s">
        <v>2936</v>
      </c>
      <c r="F121" s="8" t="s">
        <v>2937</v>
      </c>
      <c r="G121" s="9" t="s">
        <v>2938</v>
      </c>
      <c r="H121" s="36" t="s">
        <v>2939</v>
      </c>
      <c r="I121" s="11" t="s">
        <v>2940</v>
      </c>
      <c r="J121" s="12" t="s">
        <v>2941</v>
      </c>
      <c r="K121" s="13" t="s">
        <v>2942</v>
      </c>
      <c r="L121" s="14">
        <v>45810</v>
      </c>
      <c r="M121" s="15">
        <v>46176</v>
      </c>
      <c r="N121" s="16"/>
      <c r="O121" s="17" t="s">
        <v>2943</v>
      </c>
      <c r="P121" s="18" t="s">
        <v>2944</v>
      </c>
      <c r="Q121" s="19" t="s">
        <v>2945</v>
      </c>
      <c r="R121" s="20" t="s">
        <v>2946</v>
      </c>
      <c r="S121" s="21" t="s">
        <v>2947</v>
      </c>
      <c r="T121" s="22" t="s">
        <v>2948</v>
      </c>
      <c r="U121" s="23" t="s">
        <v>2949</v>
      </c>
      <c r="V121" s="24" t="s">
        <v>2950</v>
      </c>
      <c r="W121" s="25" t="s">
        <v>2951</v>
      </c>
      <c r="X121" s="26" t="s">
        <v>2952</v>
      </c>
      <c r="Y121" s="27" t="s">
        <v>2953</v>
      </c>
      <c r="Z121" s="28" t="s">
        <v>2954</v>
      </c>
      <c r="AA121" s="29" t="s">
        <v>2955</v>
      </c>
      <c r="AB121" s="30" t="s">
        <v>2956</v>
      </c>
      <c r="AC121" s="77" t="str">
        <f>IF(ISBLANK(H121),VLOOKUP(P121,'US Supervisor Map'!A:D,4,FALSE),MID(H121,4,6))</f>
        <v/>
      </c>
      <c r="AD121" t="str">
        <f>IFERROR(VLOOKUP(T121,'Org Map'!A:E,4),"BU Description Not Mapped")</f>
        <v>0096</v>
      </c>
      <c r="AE121">
        <f>IFERROR(VLOOKUP(V121,'Org Map'!C:E,3),"Home Department Code Not Mapped")</f>
        <v>900</v>
      </c>
      <c r="AF121" t="str">
        <f>IFERROR(VLOOKUP(AA121,'Salary Map'!A:D,3,FALSE),"Salary Code Not Mapped")</f>
        <v>Default</v>
      </c>
      <c r="AG121" t="str">
        <f>IFERROR(VLOOKUP(AA121,'Salary Map'!A:D,4,FALSE),"Salary Code Not Mapped")</f>
        <v>General</v>
      </c>
      <c r="AH121" t="str">
        <f>IFERROR(VLOOKUP(Z121,'Country Map'!A:B,2,FALSE),"Legal Country Not Mapped")</f>
        <v>US</v>
      </c>
      <c r="AI121" t="str">
        <f>IFERROR(VLOOKUP(X121,'Language Map'!A:C,3,FALSE),IFERROR(VLOOKUP(T121,'Org Map'!A:F,6,FALSE),"ADP and BU Language Code Not Mapped"))&amp;AH121</f>
        <v>en_US</v>
      </c>
      <c r="AJ121" t="str">
        <f>IFERROR(VLOOKUP(T121,'Org Map'!A:G,7),"BU Currency Not Mapped")</f>
        <v>USD</v>
      </c>
      <c r="AK121" t="str">
        <f t="shared" si="8"/>
        <v/>
      </c>
      <c r="AL121" t="str">
        <f>IFERROR(VLOOKUP(O121,'Status Map'!A:B,2,FALSE),"Position Status Not Mapped")</f>
        <v>N</v>
      </c>
      <c r="AM121" t="str">
        <f t="shared" si="13"/>
        <v>20260603</v>
      </c>
      <c r="AN121" t="str">
        <f t="shared" si="17"/>
        <v>Fix and Include Record</v>
      </c>
      <c r="AO121" t="str">
        <f t="shared" si="9"/>
        <v>AnthonyJMoavero</v>
      </c>
      <c r="AP121" t="str">
        <f t="shared" si="10"/>
        <v>Brower</v>
      </c>
      <c r="AQ121" t="str">
        <f t="shared" si="11"/>
        <v>006769</v>
      </c>
      <c r="AR121" t="b">
        <f t="shared" si="12"/>
        <v>0</v>
      </c>
    </row>
    <row r="122" spans="1:44">
      <c r="A122" s="3" t="s">
        <v>2957</v>
      </c>
      <c r="B122" s="4" t="s">
        <v>2958</v>
      </c>
      <c r="C122" s="5" t="s">
        <v>2959</v>
      </c>
      <c r="D122" s="6" t="s">
        <v>2960</v>
      </c>
      <c r="E122" s="7" t="s">
        <v>2961</v>
      </c>
      <c r="F122" s="8" t="s">
        <v>2962</v>
      </c>
      <c r="G122" s="9" t="s">
        <v>2963</v>
      </c>
      <c r="H122" s="10" t="s">
        <v>2964</v>
      </c>
      <c r="I122" s="11" t="s">
        <v>2965</v>
      </c>
      <c r="J122" s="12" t="s">
        <v>2966</v>
      </c>
      <c r="K122" s="13" t="s">
        <v>2967</v>
      </c>
      <c r="L122" s="14">
        <v>45040</v>
      </c>
      <c r="M122" s="15"/>
      <c r="N122" s="16"/>
      <c r="O122" s="17" t="s">
        <v>2968</v>
      </c>
      <c r="P122" s="18" t="s">
        <v>2969</v>
      </c>
      <c r="Q122" s="19" t="s">
        <v>2970</v>
      </c>
      <c r="R122" s="20" t="s">
        <v>2971</v>
      </c>
      <c r="S122" s="21" t="s">
        <v>2972</v>
      </c>
      <c r="T122" s="22" t="s">
        <v>2973</v>
      </c>
      <c r="U122" s="23" t="s">
        <v>2974</v>
      </c>
      <c r="V122" s="24" t="s">
        <v>2975</v>
      </c>
      <c r="W122" s="25" t="s">
        <v>2976</v>
      </c>
      <c r="X122" s="26" t="s">
        <v>2977</v>
      </c>
      <c r="Y122" s="27" t="s">
        <v>2978</v>
      </c>
      <c r="Z122" s="28" t="s">
        <v>2979</v>
      </c>
      <c r="AA122" s="29" t="s">
        <v>2980</v>
      </c>
      <c r="AB122" s="30" t="s">
        <v>2981</v>
      </c>
      <c r="AC122" t="str">
        <f>IF(ISBLANK(H122),VLOOKUP(P122,'US Supervisor Map'!A:D,4,FALSE),MID(H122,4,6))</f>
        <v>211131</v>
      </c>
      <c r="AD122" t="str">
        <f>IFERROR(VLOOKUP(T122,'Org Map'!A:E,4),"BU Description Not Mapped")</f>
        <v>0088</v>
      </c>
      <c r="AE122">
        <f>IFERROR(VLOOKUP(V122,'Org Map'!C:E,3),"Home Department Code Not Mapped")</f>
        <v>8100</v>
      </c>
      <c r="AF122" t="str">
        <f>IFERROR(VLOOKUP(AA122,'Salary Map'!A:D,3,FALSE),"Salary Code Not Mapped")</f>
        <v>Default</v>
      </c>
      <c r="AG122" t="str">
        <f>IFERROR(VLOOKUP(AA122,'Salary Map'!A:D,4,FALSE),"Salary Code Not Mapped")</f>
        <v>General</v>
      </c>
      <c r="AH122" t="str">
        <f>IFERROR(VLOOKUP(Z122,'Country Map'!A:B,2,FALSE),"Legal Country Not Mapped")</f>
        <v>US</v>
      </c>
      <c r="AI122" t="str">
        <f>IFERROR(VLOOKUP(X122,'Language Map'!A:C,3,FALSE),IFERROR(VLOOKUP(T122,'Org Map'!A:F,6,FALSE),"ADP and BU Language Code Not Mapped"))&amp;AH122</f>
        <v>en_US</v>
      </c>
      <c r="AJ122" t="str">
        <f>IFERROR(VLOOKUP(T122,'Org Map'!A:G,7),"BU Currency Not Mapped")</f>
        <v>USD</v>
      </c>
      <c r="AK122" t="str">
        <f t="shared" si="8"/>
        <v/>
      </c>
      <c r="AL122" t="str">
        <f>IFERROR(VLOOKUP(O122,'Status Map'!A:B,2,FALSE),"Position Status Not Mapped")</f>
        <v>Y</v>
      </c>
      <c r="AM122" t="str">
        <f t="shared" si="13"/>
        <v/>
      </c>
      <c r="AO122" t="str">
        <f t="shared" si="9"/>
        <v>MichaelMolnar</v>
      </c>
      <c r="AP122" t="str">
        <f t="shared" si="10"/>
        <v>Rafferty</v>
      </c>
      <c r="AQ122" t="str">
        <f t="shared" si="11"/>
        <v>211131</v>
      </c>
      <c r="AR122" t="b">
        <f t="shared" si="12"/>
        <v>1</v>
      </c>
    </row>
    <row r="123" spans="1:44">
      <c r="A123" s="3" t="s">
        <v>2982</v>
      </c>
      <c r="B123" s="4" t="s">
        <v>2983</v>
      </c>
      <c r="C123" s="5" t="s">
        <v>2984</v>
      </c>
      <c r="D123" s="6" t="s">
        <v>2985</v>
      </c>
      <c r="E123" s="7" t="s">
        <v>2986</v>
      </c>
      <c r="F123" s="8" t="s">
        <v>2987</v>
      </c>
      <c r="G123" s="9" t="s">
        <v>2988</v>
      </c>
      <c r="H123" s="10" t="s">
        <v>2989</v>
      </c>
      <c r="I123" s="11" t="s">
        <v>2990</v>
      </c>
      <c r="J123" s="12" t="s">
        <v>2991</v>
      </c>
      <c r="K123" s="13" t="s">
        <v>2992</v>
      </c>
      <c r="L123" s="14">
        <v>45040</v>
      </c>
      <c r="M123" s="15"/>
      <c r="N123" s="16"/>
      <c r="O123" s="17" t="s">
        <v>2993</v>
      </c>
      <c r="P123" s="18" t="s">
        <v>2994</v>
      </c>
      <c r="Q123" s="19" t="s">
        <v>2995</v>
      </c>
      <c r="R123" s="20" t="s">
        <v>2996</v>
      </c>
      <c r="S123" s="21" t="s">
        <v>2997</v>
      </c>
      <c r="T123" s="22" t="s">
        <v>2998</v>
      </c>
      <c r="U123" s="23" t="s">
        <v>2999</v>
      </c>
      <c r="V123" s="24" t="s">
        <v>3000</v>
      </c>
      <c r="W123" s="25" t="s">
        <v>3001</v>
      </c>
      <c r="X123" s="26" t="s">
        <v>3002</v>
      </c>
      <c r="Y123" s="27" t="s">
        <v>3003</v>
      </c>
      <c r="Z123" s="28" t="s">
        <v>3004</v>
      </c>
      <c r="AA123" s="29" t="s">
        <v>3005</v>
      </c>
      <c r="AB123" s="30" t="s">
        <v>3006</v>
      </c>
      <c r="AC123" t="str">
        <f>IF(ISBLANK(H123),VLOOKUP(P123,'US Supervisor Map'!A:D,4,FALSE),MID(H123,4,6))</f>
        <v>211131</v>
      </c>
      <c r="AD123" t="str">
        <f>IFERROR(VLOOKUP(T123,'Org Map'!A:E,4),"BU Description Not Mapped")</f>
        <v>0088</v>
      </c>
      <c r="AE123">
        <f>IFERROR(VLOOKUP(V123,'Org Map'!C:E,3),"Home Department Code Not Mapped")</f>
        <v>8100</v>
      </c>
      <c r="AF123" t="str">
        <f>IFERROR(VLOOKUP(AA123,'Salary Map'!A:D,3,FALSE),"Salary Code Not Mapped")</f>
        <v>Default</v>
      </c>
      <c r="AG123" t="str">
        <f>IFERROR(VLOOKUP(AA123,'Salary Map'!A:D,4,FALSE),"Salary Code Not Mapped")</f>
        <v>General</v>
      </c>
      <c r="AH123" t="str">
        <f>IFERROR(VLOOKUP(Z123,'Country Map'!A:B,2,FALSE),"Legal Country Not Mapped")</f>
        <v>US</v>
      </c>
      <c r="AI123" t="str">
        <f>IFERROR(VLOOKUP(X123,'Language Map'!A:C,3,FALSE),IFERROR(VLOOKUP(T123,'Org Map'!A:F,6,FALSE),"ADP and BU Language Code Not Mapped"))&amp;AH123</f>
        <v>en_US</v>
      </c>
      <c r="AJ123" t="str">
        <f>IFERROR(VLOOKUP(T123,'Org Map'!A:G,7),"BU Currency Not Mapped")</f>
        <v>USD</v>
      </c>
      <c r="AK123" t="str">
        <f t="shared" si="8"/>
        <v/>
      </c>
      <c r="AL123" t="str">
        <f>IFERROR(VLOOKUP(O123,'Status Map'!A:B,2,FALSE),"Position Status Not Mapped")</f>
        <v>Y</v>
      </c>
      <c r="AM123" t="str">
        <f t="shared" si="13"/>
        <v/>
      </c>
      <c r="AO123" t="str">
        <f t="shared" si="9"/>
        <v>MichaelMolnar</v>
      </c>
      <c r="AP123" t="str">
        <f t="shared" si="10"/>
        <v>Rafferty</v>
      </c>
      <c r="AQ123" t="str">
        <f t="shared" si="11"/>
        <v>211131</v>
      </c>
      <c r="AR123" t="b">
        <f t="shared" si="12"/>
        <v>1</v>
      </c>
    </row>
    <row r="124" spans="1:44">
      <c r="A124" s="3" t="s">
        <v>3007</v>
      </c>
      <c r="B124" s="4" t="s">
        <v>3008</v>
      </c>
      <c r="C124" s="5" t="s">
        <v>3009</v>
      </c>
      <c r="D124" s="6" t="s">
        <v>3010</v>
      </c>
      <c r="E124" s="7" t="s">
        <v>3011</v>
      </c>
      <c r="F124" s="8" t="s">
        <v>3012</v>
      </c>
      <c r="G124" s="9" t="s">
        <v>3013</v>
      </c>
      <c r="H124" s="36" t="s">
        <v>3014</v>
      </c>
      <c r="I124" s="11" t="s">
        <v>3015</v>
      </c>
      <c r="J124" s="12" t="s">
        <v>3016</v>
      </c>
      <c r="K124" s="13" t="s">
        <v>3017</v>
      </c>
      <c r="L124" s="14">
        <v>45040</v>
      </c>
      <c r="M124" s="15">
        <v>46175</v>
      </c>
      <c r="N124" s="16"/>
      <c r="O124" s="17" t="s">
        <v>3018</v>
      </c>
      <c r="P124" s="18" t="s">
        <v>3019</v>
      </c>
      <c r="Q124" s="19" t="s">
        <v>3020</v>
      </c>
      <c r="R124" s="20" t="s">
        <v>3021</v>
      </c>
      <c r="S124" s="21" t="s">
        <v>3022</v>
      </c>
      <c r="T124" s="22" t="s">
        <v>3023</v>
      </c>
      <c r="U124" s="23" t="s">
        <v>3024</v>
      </c>
      <c r="V124" s="24" t="s">
        <v>3025</v>
      </c>
      <c r="W124" s="25" t="s">
        <v>3026</v>
      </c>
      <c r="X124" s="26" t="s">
        <v>3027</v>
      </c>
      <c r="Y124" s="27" t="s">
        <v>3028</v>
      </c>
      <c r="Z124" s="28" t="s">
        <v>3029</v>
      </c>
      <c r="AA124" s="29" t="s">
        <v>3030</v>
      </c>
      <c r="AB124" s="30" t="s">
        <v>3031</v>
      </c>
      <c r="AC124" s="77" t="str">
        <f>IF(ISBLANK(H124),VLOOKUP(P124,'US Supervisor Map'!A:D,4,FALSE),MID(H124,4,6))</f>
        <v/>
      </c>
      <c r="AD124" t="str">
        <f>IFERROR(VLOOKUP(T124,'Org Map'!A:E,4),"BU Description Not Mapped")</f>
        <v>0088</v>
      </c>
      <c r="AE124">
        <f>IFERROR(VLOOKUP(V124,'Org Map'!C:E,3),"Home Department Code Not Mapped")</f>
        <v>8100</v>
      </c>
      <c r="AF124" t="str">
        <f>IFERROR(VLOOKUP(AA124,'Salary Map'!A:D,3,FALSE),"Salary Code Not Mapped")</f>
        <v>Default</v>
      </c>
      <c r="AG124" t="str">
        <f>IFERROR(VLOOKUP(AA124,'Salary Map'!A:D,4,FALSE),"Salary Code Not Mapped")</f>
        <v>General</v>
      </c>
      <c r="AH124" t="str">
        <f>IFERROR(VLOOKUP(Z124,'Country Map'!A:B,2,FALSE),"Legal Country Not Mapped")</f>
        <v>US</v>
      </c>
      <c r="AI124" t="str">
        <f>IFERROR(VLOOKUP(X124,'Language Map'!A:C,3,FALSE),IFERROR(VLOOKUP(T124,'Org Map'!A:F,6,FALSE),"ADP and BU Language Code Not Mapped"))&amp;AH124</f>
        <v>en_US</v>
      </c>
      <c r="AJ124" t="str">
        <f>IFERROR(VLOOKUP(T124,'Org Map'!A:G,7),"BU Currency Not Mapped")</f>
        <v>USD</v>
      </c>
      <c r="AK124" t="str">
        <f t="shared" si="8"/>
        <v/>
      </c>
      <c r="AL124" t="str">
        <f>IFERROR(VLOOKUP(O124,'Status Map'!A:B,2,FALSE),"Position Status Not Mapped")</f>
        <v>N</v>
      </c>
      <c r="AM124" t="str">
        <f t="shared" si="13"/>
        <v>20260602</v>
      </c>
      <c r="AN124" t="str">
        <f>IF(M124&gt;AN119,"Fix and Include Record","Exclude record termination over 45 days ago")</f>
        <v>Exclude record termination over 45 days ago</v>
      </c>
      <c r="AO124" t="str">
        <f t="shared" si="9"/>
        <v>MichaelMolnar</v>
      </c>
      <c r="AP124" t="e">
        <f t="shared" si="10"/>
        <v>#VALUE!</v>
      </c>
      <c r="AQ124" t="str">
        <f t="shared" si="11"/>
        <v>No Reports to Name</v>
      </c>
      <c r="AR124" t="b">
        <f t="shared" si="12"/>
        <v>0</v>
      </c>
    </row>
    <row r="125" spans="1:44">
      <c r="A125" s="3" t="s">
        <v>3032</v>
      </c>
      <c r="B125" s="4" t="s">
        <v>3033</v>
      </c>
      <c r="C125" s="5" t="s">
        <v>3034</v>
      </c>
      <c r="D125" s="6" t="s">
        <v>3035</v>
      </c>
      <c r="E125" s="7" t="s">
        <v>3036</v>
      </c>
      <c r="F125" s="8" t="s">
        <v>3037</v>
      </c>
      <c r="G125" s="9" t="s">
        <v>3038</v>
      </c>
      <c r="H125" s="10" t="s">
        <v>3039</v>
      </c>
      <c r="I125" s="11" t="s">
        <v>3040</v>
      </c>
      <c r="J125" s="12" t="s">
        <v>3041</v>
      </c>
      <c r="K125" s="13" t="s">
        <v>3042</v>
      </c>
      <c r="L125" s="14">
        <v>35947</v>
      </c>
      <c r="M125" s="15"/>
      <c r="N125" s="16"/>
      <c r="O125" s="17" t="s">
        <v>3043</v>
      </c>
      <c r="P125" s="18" t="s">
        <v>3044</v>
      </c>
      <c r="Q125" s="19" t="s">
        <v>3045</v>
      </c>
      <c r="R125" s="20" t="s">
        <v>3046</v>
      </c>
      <c r="S125" s="21" t="s">
        <v>3047</v>
      </c>
      <c r="T125" s="22" t="s">
        <v>3048</v>
      </c>
      <c r="U125" s="23" t="s">
        <v>3049</v>
      </c>
      <c r="V125" s="24" t="s">
        <v>3050</v>
      </c>
      <c r="W125" s="25" t="s">
        <v>3051</v>
      </c>
      <c r="X125" s="26" t="s">
        <v>3052</v>
      </c>
      <c r="Y125" s="27" t="s">
        <v>3053</v>
      </c>
      <c r="Z125" s="28" t="s">
        <v>3054</v>
      </c>
      <c r="AA125" s="29" t="s">
        <v>3055</v>
      </c>
      <c r="AB125" s="30" t="s">
        <v>3056</v>
      </c>
      <c r="AC125" t="str">
        <f>IF(ISBLANK(H125),VLOOKUP(P125,'US Supervisor Map'!A:D,4,FALSE),MID(H125,4,6))</f>
        <v>210892</v>
      </c>
      <c r="AD125" t="str">
        <f>IFERROR(VLOOKUP(T125,'Org Map'!A:E,4),"BU Description Not Mapped")</f>
        <v>0088</v>
      </c>
      <c r="AE125">
        <f>IFERROR(VLOOKUP(V125,'Org Map'!C:E,3),"Home Department Code Not Mapped")</f>
        <v>9500</v>
      </c>
      <c r="AF125" t="str">
        <f>IFERROR(VLOOKUP(AA125,'Salary Map'!A:D,3,FALSE),"Salary Code Not Mapped")</f>
        <v>Default</v>
      </c>
      <c r="AG125" t="str">
        <f>IFERROR(VLOOKUP(AA125,'Salary Map'!A:D,4,FALSE),"Salary Code Not Mapped")</f>
        <v>General</v>
      </c>
      <c r="AH125" t="str">
        <f>IFERROR(VLOOKUP(Z125,'Country Map'!A:B,2,FALSE),"Legal Country Not Mapped")</f>
        <v>US</v>
      </c>
      <c r="AI125" t="str">
        <f>IFERROR(VLOOKUP(X125,'Language Map'!A:C,3,FALSE),IFERROR(VLOOKUP(T125,'Org Map'!A:F,6,FALSE),"ADP and BU Language Code Not Mapped"))&amp;AH125</f>
        <v>en_US</v>
      </c>
      <c r="AJ125" t="str">
        <f>IFERROR(VLOOKUP(T125,'Org Map'!A:G,7),"BU Currency Not Mapped")</f>
        <v>USD</v>
      </c>
      <c r="AK125" t="str">
        <f t="shared" si="8"/>
        <v/>
      </c>
      <c r="AL125" t="str">
        <f>IFERROR(VLOOKUP(O125,'Status Map'!A:B,2,FALSE),"Position Status Not Mapped")</f>
        <v>Y</v>
      </c>
      <c r="AM125" t="str">
        <f t="shared" si="13"/>
        <v/>
      </c>
      <c r="AO125" t="str">
        <f t="shared" si="9"/>
        <v>CandiMMorales</v>
      </c>
      <c r="AP125" t="str">
        <f t="shared" si="10"/>
        <v>Alexander</v>
      </c>
      <c r="AQ125" t="str">
        <f t="shared" si="11"/>
        <v>210892</v>
      </c>
      <c r="AR125" t="b">
        <f t="shared" si="12"/>
        <v>1</v>
      </c>
    </row>
    <row r="126" spans="1:44">
      <c r="A126" s="3" t="s">
        <v>3057</v>
      </c>
      <c r="B126" s="4" t="s">
        <v>3058</v>
      </c>
      <c r="C126" s="5" t="s">
        <v>3059</v>
      </c>
      <c r="D126" s="6" t="s">
        <v>3060</v>
      </c>
      <c r="E126" s="7" t="s">
        <v>3061</v>
      </c>
      <c r="F126" s="8" t="s">
        <v>3062</v>
      </c>
      <c r="G126" s="9" t="s">
        <v>3063</v>
      </c>
      <c r="H126" s="10" t="s">
        <v>3064</v>
      </c>
      <c r="I126" s="11" t="s">
        <v>3065</v>
      </c>
      <c r="J126" s="12" t="s">
        <v>3066</v>
      </c>
      <c r="K126" s="13" t="s">
        <v>3067</v>
      </c>
      <c r="L126" s="14">
        <v>46153</v>
      </c>
      <c r="M126" s="15"/>
      <c r="N126" s="16"/>
      <c r="O126" s="17" t="s">
        <v>3068</v>
      </c>
      <c r="P126" s="18" t="s">
        <v>3069</v>
      </c>
      <c r="Q126" s="19" t="s">
        <v>3070</v>
      </c>
      <c r="R126" s="20" t="s">
        <v>3071</v>
      </c>
      <c r="S126" s="21" t="s">
        <v>3072</v>
      </c>
      <c r="T126" s="22" t="s">
        <v>3073</v>
      </c>
      <c r="U126" s="23" t="s">
        <v>3074</v>
      </c>
      <c r="V126" s="24" t="s">
        <v>3075</v>
      </c>
      <c r="W126" s="25" t="s">
        <v>3076</v>
      </c>
      <c r="X126" s="26" t="s">
        <v>3077</v>
      </c>
      <c r="Y126" s="27" t="s">
        <v>3078</v>
      </c>
      <c r="Z126" s="28" t="s">
        <v>3079</v>
      </c>
      <c r="AA126" s="29" t="s">
        <v>3080</v>
      </c>
      <c r="AB126" s="30" t="s">
        <v>3081</v>
      </c>
      <c r="AC126" t="str">
        <f>IF(ISBLANK(H126),VLOOKUP(P126,'US Supervisor Map'!A:D,4,FALSE),MID(H126,4,6))</f>
        <v>211131</v>
      </c>
      <c r="AD126" t="str">
        <f>IFERROR(VLOOKUP(T126,'Org Map'!A:E,4),"BU Description Not Mapped")</f>
        <v>0088</v>
      </c>
      <c r="AE126">
        <f>IFERROR(VLOOKUP(V126,'Org Map'!C:E,3),"Home Department Code Not Mapped")</f>
        <v>8100</v>
      </c>
      <c r="AF126" t="str">
        <f>IFERROR(VLOOKUP(AA126,'Salary Map'!A:D,3,FALSE),"Salary Code Not Mapped")</f>
        <v>Default</v>
      </c>
      <c r="AG126" t="str">
        <f>IFERROR(VLOOKUP(AA126,'Salary Map'!A:D,4,FALSE),"Salary Code Not Mapped")</f>
        <v>General</v>
      </c>
      <c r="AH126" t="str">
        <f>IFERROR(VLOOKUP(Z126,'Country Map'!A:B,2,FALSE),"Legal Country Not Mapped")</f>
        <v>US</v>
      </c>
      <c r="AI126" t="str">
        <f>IFERROR(VLOOKUP(X126,'Language Map'!A:C,3,FALSE),IFERROR(VLOOKUP(T126,'Org Map'!A:F,6,FALSE),"ADP and BU Language Code Not Mapped"))&amp;AH126</f>
        <v>en_US</v>
      </c>
      <c r="AJ126" t="str">
        <f>IFERROR(VLOOKUP(T126,'Org Map'!A:G,7),"BU Currency Not Mapped")</f>
        <v>USD</v>
      </c>
      <c r="AK126" t="str">
        <f t="shared" si="8"/>
        <v/>
      </c>
      <c r="AL126" t="str">
        <f>IFERROR(VLOOKUP(O126,'Status Map'!A:B,2,FALSE),"Position Status Not Mapped")</f>
        <v>Y</v>
      </c>
      <c r="AM126" t="str">
        <f t="shared" si="13"/>
        <v/>
      </c>
      <c r="AO126" t="str">
        <f t="shared" si="9"/>
        <v>PeterMorgan</v>
      </c>
      <c r="AP126" t="str">
        <f t="shared" si="10"/>
        <v>Rafferty</v>
      </c>
      <c r="AQ126" t="str">
        <f t="shared" si="11"/>
        <v>211131</v>
      </c>
      <c r="AR126" t="b">
        <f t="shared" si="12"/>
        <v>1</v>
      </c>
    </row>
    <row r="127" spans="1:44">
      <c r="A127" s="3" t="s">
        <v>3082</v>
      </c>
      <c r="B127" s="4" t="s">
        <v>3083</v>
      </c>
      <c r="C127" s="5" t="s">
        <v>3084</v>
      </c>
      <c r="D127" s="6" t="s">
        <v>3085</v>
      </c>
      <c r="E127" s="7" t="s">
        <v>3086</v>
      </c>
      <c r="F127" s="8" t="s">
        <v>3087</v>
      </c>
      <c r="G127" s="9" t="s">
        <v>3088</v>
      </c>
      <c r="H127" s="10" t="s">
        <v>3089</v>
      </c>
      <c r="I127" s="31" t="s">
        <v>3090</v>
      </c>
      <c r="J127" s="12" t="s">
        <v>3091</v>
      </c>
      <c r="K127" s="13" t="s">
        <v>3092</v>
      </c>
      <c r="L127" s="14">
        <v>45881</v>
      </c>
      <c r="M127" s="15"/>
      <c r="N127" s="16"/>
      <c r="O127" s="17" t="s">
        <v>3093</v>
      </c>
      <c r="P127" s="18" t="s">
        <v>3094</v>
      </c>
      <c r="Q127" s="19" t="s">
        <v>3095</v>
      </c>
      <c r="R127" s="20" t="s">
        <v>3096</v>
      </c>
      <c r="S127" s="21" t="s">
        <v>3097</v>
      </c>
      <c r="T127" s="22" t="s">
        <v>3098</v>
      </c>
      <c r="U127" s="23" t="s">
        <v>3099</v>
      </c>
      <c r="V127" s="24" t="s">
        <v>3100</v>
      </c>
      <c r="W127" s="25" t="s">
        <v>3101</v>
      </c>
      <c r="X127" s="26" t="s">
        <v>3102</v>
      </c>
      <c r="Y127" s="27" t="s">
        <v>3103</v>
      </c>
      <c r="Z127" s="28" t="s">
        <v>3104</v>
      </c>
      <c r="AA127" s="29" t="s">
        <v>3105</v>
      </c>
      <c r="AB127" s="30" t="s">
        <v>3106</v>
      </c>
      <c r="AC127" t="str">
        <f>IF(ISBLANK(H127),VLOOKUP(P127,'US Supervisor Map'!A:D,4,FALSE),MID(H127,4,6))</f>
        <v>211756</v>
      </c>
      <c r="AD127" t="str">
        <f>IFERROR(VLOOKUP(T127,'Org Map'!A:E,4),"BU Description Not Mapped")</f>
        <v>0088</v>
      </c>
      <c r="AE127">
        <f>IFERROR(VLOOKUP(V127,'Org Map'!C:E,3),"Home Department Code Not Mapped")</f>
        <v>5100</v>
      </c>
      <c r="AF127" t="str">
        <f>IFERROR(VLOOKUP(AA127,'Salary Map'!A:D,3,FALSE),"Salary Code Not Mapped")</f>
        <v>Default</v>
      </c>
      <c r="AG127" t="str">
        <f>IFERROR(VLOOKUP(AA127,'Salary Map'!A:D,4,FALSE),"Salary Code Not Mapped")</f>
        <v>General</v>
      </c>
      <c r="AH127" t="str">
        <f>IFERROR(VLOOKUP(Z127,'Country Map'!A:B,2,FALSE),"Legal Country Not Mapped")</f>
        <v>US</v>
      </c>
      <c r="AI127" t="str">
        <f>IFERROR(VLOOKUP(X127,'Language Map'!A:C,3,FALSE),IFERROR(VLOOKUP(T127,'Org Map'!A:F,6,FALSE),"ADP and BU Language Code Not Mapped"))&amp;AH127</f>
        <v>en_US</v>
      </c>
      <c r="AJ127" t="str">
        <f>IFERROR(VLOOKUP(T127,'Org Map'!A:G,7),"BU Currency Not Mapped")</f>
        <v>USD</v>
      </c>
      <c r="AK127" t="str">
        <f t="shared" si="8"/>
        <v/>
      </c>
      <c r="AL127" t="str">
        <f>IFERROR(VLOOKUP(O127,'Status Map'!A:B,2,FALSE),"Position Status Not Mapped")</f>
        <v>Y</v>
      </c>
      <c r="AM127" t="str">
        <f t="shared" si="13"/>
        <v/>
      </c>
      <c r="AO127" t="str">
        <f t="shared" si="9"/>
        <v>AngelaMyers</v>
      </c>
      <c r="AP127" t="str">
        <f t="shared" si="10"/>
        <v>Burchell</v>
      </c>
      <c r="AQ127" t="str">
        <f t="shared" si="11"/>
        <v>211756</v>
      </c>
      <c r="AR127" t="b">
        <f t="shared" si="12"/>
        <v>1</v>
      </c>
    </row>
    <row r="128" spans="1:44">
      <c r="A128" s="3" t="s">
        <v>3107</v>
      </c>
      <c r="B128" s="4" t="s">
        <v>3108</v>
      </c>
      <c r="C128" s="5" t="s">
        <v>3109</v>
      </c>
      <c r="D128" s="6" t="s">
        <v>3110</v>
      </c>
      <c r="E128" s="7" t="s">
        <v>3111</v>
      </c>
      <c r="F128" s="8" t="s">
        <v>3112</v>
      </c>
      <c r="G128" s="9" t="s">
        <v>3113</v>
      </c>
      <c r="H128" s="10" t="s">
        <v>3114</v>
      </c>
      <c r="I128" s="11" t="s">
        <v>3115</v>
      </c>
      <c r="J128" s="12" t="s">
        <v>3116</v>
      </c>
      <c r="K128" s="13" t="s">
        <v>3117</v>
      </c>
      <c r="L128" s="14">
        <v>45832</v>
      </c>
      <c r="M128" s="15"/>
      <c r="N128" s="16"/>
      <c r="O128" s="17" t="s">
        <v>3118</v>
      </c>
      <c r="P128" s="18" t="s">
        <v>3119</v>
      </c>
      <c r="Q128" s="19" t="s">
        <v>3120</v>
      </c>
      <c r="R128" s="20" t="s">
        <v>3121</v>
      </c>
      <c r="S128" s="21" t="s">
        <v>3122</v>
      </c>
      <c r="T128" s="22" t="s">
        <v>3123</v>
      </c>
      <c r="U128" s="23" t="s">
        <v>3124</v>
      </c>
      <c r="V128" s="24" t="s">
        <v>3125</v>
      </c>
      <c r="W128" s="25" t="s">
        <v>3126</v>
      </c>
      <c r="X128" s="26" t="s">
        <v>3127</v>
      </c>
      <c r="Y128" s="27" t="s">
        <v>3128</v>
      </c>
      <c r="Z128" s="28" t="s">
        <v>3129</v>
      </c>
      <c r="AA128" s="29" t="s">
        <v>3130</v>
      </c>
      <c r="AB128" s="30" t="s">
        <v>3131</v>
      </c>
      <c r="AC128" t="str">
        <f>IF(ISBLANK(H128),VLOOKUP(P128,'US Supervisor Map'!A:D,4,FALSE),MID(H128,4,6))</f>
        <v>211766</v>
      </c>
      <c r="AD128" t="str">
        <f>IFERROR(VLOOKUP(T128,'Org Map'!A:E,4),"BU Description Not Mapped")</f>
        <v>0088</v>
      </c>
      <c r="AE128">
        <f>IFERROR(VLOOKUP(V128,'Org Map'!C:E,3),"Home Department Code Not Mapped")</f>
        <v>8100</v>
      </c>
      <c r="AF128" t="str">
        <f>IFERROR(VLOOKUP(AA128,'Salary Map'!A:D,3,FALSE),"Salary Code Not Mapped")</f>
        <v>Default</v>
      </c>
      <c r="AG128" t="str">
        <f>IFERROR(VLOOKUP(AA128,'Salary Map'!A:D,4,FALSE),"Salary Code Not Mapped")</f>
        <v>General</v>
      </c>
      <c r="AH128" t="str">
        <f>IFERROR(VLOOKUP(Z128,'Country Map'!A:B,2,FALSE),"Legal Country Not Mapped")</f>
        <v>US</v>
      </c>
      <c r="AI128" t="str">
        <f>IFERROR(VLOOKUP(X128,'Language Map'!A:C,3,FALSE),IFERROR(VLOOKUP(T128,'Org Map'!A:F,6,FALSE),"ADP and BU Language Code Not Mapped"))&amp;AH128</f>
        <v>en_US</v>
      </c>
      <c r="AJ128" t="str">
        <f>IFERROR(VLOOKUP(T128,'Org Map'!A:G,7),"BU Currency Not Mapped")</f>
        <v>USD</v>
      </c>
      <c r="AK128" t="str">
        <f t="shared" si="8"/>
        <v/>
      </c>
      <c r="AL128" t="str">
        <f>IFERROR(VLOOKUP(O128,'Status Map'!A:B,2,FALSE),"Position Status Not Mapped")</f>
        <v>Y</v>
      </c>
      <c r="AM128" t="str">
        <f t="shared" si="13"/>
        <v/>
      </c>
      <c r="AO128" t="str">
        <f t="shared" si="9"/>
        <v>RachelENeri</v>
      </c>
      <c r="AP128" t="str">
        <f t="shared" si="10"/>
        <v>Kemenah</v>
      </c>
      <c r="AQ128" t="str">
        <f t="shared" si="11"/>
        <v>211766</v>
      </c>
      <c r="AR128" t="b">
        <f t="shared" si="12"/>
        <v>1</v>
      </c>
    </row>
    <row r="129" spans="1:44">
      <c r="A129" s="3" t="s">
        <v>3132</v>
      </c>
      <c r="B129" s="4" t="s">
        <v>3133</v>
      </c>
      <c r="C129" s="5" t="s">
        <v>3134</v>
      </c>
      <c r="D129" s="6" t="s">
        <v>3135</v>
      </c>
      <c r="E129" s="7" t="s">
        <v>3136</v>
      </c>
      <c r="F129" s="8" t="s">
        <v>3137</v>
      </c>
      <c r="G129" s="9" t="s">
        <v>3138</v>
      </c>
      <c r="H129" s="10" t="s">
        <v>3139</v>
      </c>
      <c r="I129" s="11" t="s">
        <v>3140</v>
      </c>
      <c r="J129" s="12" t="s">
        <v>3141</v>
      </c>
      <c r="K129" s="13" t="s">
        <v>3142</v>
      </c>
      <c r="L129" s="14">
        <v>39329</v>
      </c>
      <c r="M129" s="15"/>
      <c r="N129" s="16"/>
      <c r="O129" s="17" t="s">
        <v>3143</v>
      </c>
      <c r="P129" s="18" t="s">
        <v>3144</v>
      </c>
      <c r="Q129" s="19" t="s">
        <v>3145</v>
      </c>
      <c r="R129" s="20" t="s">
        <v>3146</v>
      </c>
      <c r="S129" s="21" t="s">
        <v>3147</v>
      </c>
      <c r="T129" s="22" t="s">
        <v>3148</v>
      </c>
      <c r="U129" s="23" t="s">
        <v>3149</v>
      </c>
      <c r="V129" s="24" t="s">
        <v>3150</v>
      </c>
      <c r="W129" s="25" t="s">
        <v>3151</v>
      </c>
      <c r="X129" s="26" t="s">
        <v>3152</v>
      </c>
      <c r="Y129" s="27" t="s">
        <v>3153</v>
      </c>
      <c r="Z129" s="28" t="s">
        <v>3154</v>
      </c>
      <c r="AA129" s="29" t="s">
        <v>3155</v>
      </c>
      <c r="AB129" s="30" t="s">
        <v>3156</v>
      </c>
      <c r="AC129" t="str">
        <f>IF(ISBLANK(H129),VLOOKUP(P129,'US Supervisor Map'!A:D,4,FALSE),MID(H129,4,6))</f>
        <v>211756</v>
      </c>
      <c r="AD129" t="str">
        <f>IFERROR(VLOOKUP(T129,'Org Map'!A:E,4),"BU Description Not Mapped")</f>
        <v>0088</v>
      </c>
      <c r="AE129">
        <f>IFERROR(VLOOKUP(V129,'Org Map'!C:E,3),"Home Department Code Not Mapped")</f>
        <v>5100</v>
      </c>
      <c r="AF129" t="str">
        <f>IFERROR(VLOOKUP(AA129,'Salary Map'!A:D,3,FALSE),"Salary Code Not Mapped")</f>
        <v>Default</v>
      </c>
      <c r="AG129" t="str">
        <f>IFERROR(VLOOKUP(AA129,'Salary Map'!A:D,4,FALSE),"Salary Code Not Mapped")</f>
        <v>General</v>
      </c>
      <c r="AH129" t="str">
        <f>IFERROR(VLOOKUP(Z129,'Country Map'!A:B,2,FALSE),"Legal Country Not Mapped")</f>
        <v>US</v>
      </c>
      <c r="AI129" t="str">
        <f>IFERROR(VLOOKUP(X129,'Language Map'!A:C,3,FALSE),IFERROR(VLOOKUP(T129,'Org Map'!A:F,6,FALSE),"ADP and BU Language Code Not Mapped"))&amp;AH129</f>
        <v>en_US</v>
      </c>
      <c r="AJ129" t="str">
        <f>IFERROR(VLOOKUP(T129,'Org Map'!A:G,7),"BU Currency Not Mapped")</f>
        <v>USD</v>
      </c>
      <c r="AK129" t="str">
        <f t="shared" si="8"/>
        <v/>
      </c>
      <c r="AL129" t="str">
        <f>IFERROR(VLOOKUP(O129,'Status Map'!A:B,2,FALSE),"Position Status Not Mapped")</f>
        <v>Y</v>
      </c>
      <c r="AM129" t="str">
        <f t="shared" si="13"/>
        <v/>
      </c>
      <c r="AO129" t="str">
        <f t="shared" si="9"/>
        <v>ShannonKO'Day</v>
      </c>
      <c r="AP129" t="str">
        <f t="shared" si="10"/>
        <v>Burchell</v>
      </c>
      <c r="AQ129" t="str">
        <f t="shared" si="11"/>
        <v>211756</v>
      </c>
      <c r="AR129" t="b">
        <f t="shared" si="12"/>
        <v>1</v>
      </c>
    </row>
    <row r="130" spans="1:44">
      <c r="A130" s="3" t="s">
        <v>3157</v>
      </c>
      <c r="B130" s="4" t="s">
        <v>3158</v>
      </c>
      <c r="C130" s="5" t="s">
        <v>3159</v>
      </c>
      <c r="D130" s="6" t="s">
        <v>3160</v>
      </c>
      <c r="E130" s="7" t="s">
        <v>3161</v>
      </c>
      <c r="F130" s="8" t="s">
        <v>3162</v>
      </c>
      <c r="G130" s="9" t="s">
        <v>3163</v>
      </c>
      <c r="H130" s="10" t="s">
        <v>3164</v>
      </c>
      <c r="I130" s="11" t="s">
        <v>3165</v>
      </c>
      <c r="J130" s="12" t="s">
        <v>3166</v>
      </c>
      <c r="K130" s="13" t="s">
        <v>3167</v>
      </c>
      <c r="L130" s="14">
        <v>45953</v>
      </c>
      <c r="M130" s="15"/>
      <c r="N130" s="16"/>
      <c r="O130" s="17" t="s">
        <v>3168</v>
      </c>
      <c r="P130" s="18" t="s">
        <v>3169</v>
      </c>
      <c r="Q130" s="19" t="s">
        <v>3170</v>
      </c>
      <c r="R130" s="20" t="s">
        <v>3171</v>
      </c>
      <c r="S130" s="21" t="s">
        <v>3172</v>
      </c>
      <c r="T130" s="22" t="s">
        <v>3173</v>
      </c>
      <c r="U130" s="23" t="s">
        <v>3174</v>
      </c>
      <c r="V130" s="24" t="s">
        <v>3175</v>
      </c>
      <c r="W130" s="25" t="s">
        <v>3176</v>
      </c>
      <c r="X130" s="26" t="s">
        <v>3177</v>
      </c>
      <c r="Y130" s="27" t="s">
        <v>3178</v>
      </c>
      <c r="Z130" s="28" t="s">
        <v>3179</v>
      </c>
      <c r="AA130" s="29" t="s">
        <v>3180</v>
      </c>
      <c r="AB130" s="30" t="s">
        <v>3181</v>
      </c>
      <c r="AC130" t="str">
        <f>IF(ISBLANK(H130),VLOOKUP(P130,'US Supervisor Map'!A:D,4,FALSE),MID(H130,4,6))</f>
        <v>901934</v>
      </c>
      <c r="AD130" t="str">
        <f>IFERROR(VLOOKUP(T130,'Org Map'!A:E,4),"BU Description Not Mapped")</f>
        <v>0096</v>
      </c>
      <c r="AE130">
        <f>IFERROR(VLOOKUP(V130,'Org Map'!C:E,3),"Home Department Code Not Mapped")</f>
        <v>820</v>
      </c>
      <c r="AF130" t="str">
        <f>IFERROR(VLOOKUP(AA130,'Salary Map'!A:D,3,FALSE),"Salary Code Not Mapped")</f>
        <v>Default</v>
      </c>
      <c r="AG130" t="str">
        <f>IFERROR(VLOOKUP(AA130,'Salary Map'!A:D,4,FALSE),"Salary Code Not Mapped")</f>
        <v>General</v>
      </c>
      <c r="AH130" t="str">
        <f>IFERROR(VLOOKUP(Z130,'Country Map'!A:B,2,FALSE),"Legal Country Not Mapped")</f>
        <v>US</v>
      </c>
      <c r="AI130" t="str">
        <f>IFERROR(VLOOKUP(X130,'Language Map'!A:C,3,FALSE),IFERROR(VLOOKUP(T130,'Org Map'!A:F,6,FALSE),"ADP and BU Language Code Not Mapped"))&amp;AH130</f>
        <v>en_US</v>
      </c>
      <c r="AJ130" t="str">
        <f>IFERROR(VLOOKUP(T130,'Org Map'!A:G,7),"BU Currency Not Mapped")</f>
        <v>USD</v>
      </c>
      <c r="AK130" t="str">
        <f t="shared" si="8"/>
        <v/>
      </c>
      <c r="AL130" t="str">
        <f>IFERROR(VLOOKUP(O130,'Status Map'!A:B,2,FALSE),"Position Status Not Mapped")</f>
        <v>Y</v>
      </c>
      <c r="AM130" t="str">
        <f t="shared" si="13"/>
        <v/>
      </c>
      <c r="AO130" t="str">
        <f t="shared" si="9"/>
        <v>KevinDOConnor</v>
      </c>
      <c r="AP130" t="str">
        <f t="shared" si="10"/>
        <v>Wilkins</v>
      </c>
      <c r="AQ130" t="str">
        <f t="shared" si="11"/>
        <v>901934</v>
      </c>
      <c r="AR130" t="b">
        <f t="shared" si="12"/>
        <v>1</v>
      </c>
    </row>
    <row r="131" spans="1:44">
      <c r="A131" s="3" t="s">
        <v>3182</v>
      </c>
      <c r="B131" s="4" t="s">
        <v>3183</v>
      </c>
      <c r="C131" s="5" t="s">
        <v>3184</v>
      </c>
      <c r="D131" s="6" t="s">
        <v>3185</v>
      </c>
      <c r="E131" s="7" t="s">
        <v>3186</v>
      </c>
      <c r="F131" s="8" t="s">
        <v>3187</v>
      </c>
      <c r="G131" s="9" t="s">
        <v>3188</v>
      </c>
      <c r="H131" s="36" t="s">
        <v>3189</v>
      </c>
      <c r="I131" s="11" t="s">
        <v>3190</v>
      </c>
      <c r="J131" s="12" t="s">
        <v>3191</v>
      </c>
      <c r="K131" s="13" t="s">
        <v>3192</v>
      </c>
      <c r="L131" s="14">
        <v>44837</v>
      </c>
      <c r="M131" s="15"/>
      <c r="N131" s="16"/>
      <c r="O131" s="17" t="s">
        <v>3193</v>
      </c>
      <c r="P131" s="18" t="s">
        <v>3194</v>
      </c>
      <c r="Q131" s="19" t="s">
        <v>3195</v>
      </c>
      <c r="R131" s="20" t="s">
        <v>3196</v>
      </c>
      <c r="S131" s="21" t="s">
        <v>3197</v>
      </c>
      <c r="T131" s="22" t="s">
        <v>3198</v>
      </c>
      <c r="U131" s="23" t="s">
        <v>3199</v>
      </c>
      <c r="V131" s="24" t="s">
        <v>3200</v>
      </c>
      <c r="W131" s="25" t="s">
        <v>3201</v>
      </c>
      <c r="X131" s="26" t="s">
        <v>3202</v>
      </c>
      <c r="Y131" s="27" t="s">
        <v>3203</v>
      </c>
      <c r="Z131" s="28" t="s">
        <v>3204</v>
      </c>
      <c r="AA131" s="29" t="s">
        <v>3205</v>
      </c>
      <c r="AB131" s="30" t="s">
        <v>3206</v>
      </c>
      <c r="AC131" s="77" t="str">
        <f>IF(ISBLANK(H131),VLOOKUP(P131,'US Supervisor Map'!A:D,4,FALSE),MID(H131,4,6))</f>
        <v/>
      </c>
      <c r="AD131" t="str">
        <f>IFERROR(VLOOKUP(T131,'Org Map'!A:E,4),"BU Description Not Mapped")</f>
        <v>0096</v>
      </c>
      <c r="AE131" s="77" t="str">
        <f>IFERROR(VLOOKUP(V131,'Org Map'!C:E,3),"Home Department Code Not Mapped")</f>
        <v>0007</v>
      </c>
      <c r="AF131" t="str">
        <f>IFERROR(VLOOKUP(AA131,'Salary Map'!A:D,3,FALSE),"Salary Code Not Mapped")</f>
        <v>Default</v>
      </c>
      <c r="AG131" t="str">
        <f>IFERROR(VLOOKUP(AA131,'Salary Map'!A:D,4,FALSE),"Salary Code Not Mapped")</f>
        <v>General</v>
      </c>
      <c r="AH131" t="str">
        <f>IFERROR(VLOOKUP(Z131,'Country Map'!A:B,2,FALSE),"Legal Country Not Mapped")</f>
        <v>US</v>
      </c>
      <c r="AI131" t="str">
        <f>IFERROR(VLOOKUP(X131,'Language Map'!A:C,3,FALSE),IFERROR(VLOOKUP(T131,'Org Map'!A:F,6,FALSE),"ADP and BU Language Code Not Mapped"))&amp;AH131</f>
        <v>en_US</v>
      </c>
      <c r="AJ131" t="str">
        <f>IFERROR(VLOOKUP(T131,'Org Map'!A:G,7),"BU Currency Not Mapped")</f>
        <v>USD</v>
      </c>
      <c r="AK131" t="str">
        <f t="shared" si="8"/>
        <v/>
      </c>
      <c r="AL131" t="str">
        <f>IFERROR(VLOOKUP(O131,'Status Map'!A:B,2,FALSE),"Position Status Not Mapped")</f>
        <v>Y</v>
      </c>
      <c r="AM131" t="str">
        <f t="shared" si="13"/>
        <v/>
      </c>
      <c r="AO131" t="str">
        <f t="shared" si="9"/>
        <v>LauraZOleksa</v>
      </c>
      <c r="AP131" t="str">
        <f t="shared" si="10"/>
        <v>Adewalure</v>
      </c>
      <c r="AQ131" t="str">
        <f t="shared" si="11"/>
        <v>No Reports to Name</v>
      </c>
      <c r="AR131" t="b">
        <f t="shared" si="12"/>
        <v>0</v>
      </c>
    </row>
    <row r="132" spans="1:44">
      <c r="A132" s="3" t="s">
        <v>3207</v>
      </c>
      <c r="B132" s="4" t="s">
        <v>3208</v>
      </c>
      <c r="C132" s="5" t="s">
        <v>3209</v>
      </c>
      <c r="D132" s="6" t="s">
        <v>3210</v>
      </c>
      <c r="E132" s="7" t="s">
        <v>3211</v>
      </c>
      <c r="F132" s="8" t="s">
        <v>3212</v>
      </c>
      <c r="G132" s="9" t="s">
        <v>3213</v>
      </c>
      <c r="H132" s="10" t="s">
        <v>3214</v>
      </c>
      <c r="I132" s="11" t="s">
        <v>3215</v>
      </c>
      <c r="J132" s="12" t="s">
        <v>3216</v>
      </c>
      <c r="K132" s="13" t="s">
        <v>3217</v>
      </c>
      <c r="L132" s="14">
        <v>44970</v>
      </c>
      <c r="M132" s="15">
        <v>46213</v>
      </c>
      <c r="N132" s="16"/>
      <c r="O132" s="17" t="s">
        <v>3218</v>
      </c>
      <c r="P132" s="18" t="s">
        <v>3219</v>
      </c>
      <c r="Q132" s="19" t="s">
        <v>3220</v>
      </c>
      <c r="R132" s="20" t="s">
        <v>3221</v>
      </c>
      <c r="S132" s="21" t="s">
        <v>3222</v>
      </c>
      <c r="T132" s="22" t="s">
        <v>3223</v>
      </c>
      <c r="U132" s="23" t="s">
        <v>3224</v>
      </c>
      <c r="V132" s="24" t="s">
        <v>3225</v>
      </c>
      <c r="W132" s="25" t="s">
        <v>3226</v>
      </c>
      <c r="X132" s="26" t="s">
        <v>3227</v>
      </c>
      <c r="Y132" s="27" t="s">
        <v>3228</v>
      </c>
      <c r="Z132" s="28" t="s">
        <v>3229</v>
      </c>
      <c r="AA132" s="29" t="s">
        <v>3230</v>
      </c>
      <c r="AB132" s="30" t="s">
        <v>3231</v>
      </c>
      <c r="AC132" t="str">
        <f>IF(ISBLANK(H132),VLOOKUP(P132,'US Supervisor Map'!A:D,4,FALSE),MID(H132,4,6))</f>
        <v>212699</v>
      </c>
      <c r="AD132" t="str">
        <f>IFERROR(VLOOKUP(T132,'Org Map'!A:E,4),"BU Description Not Mapped")</f>
        <v>0088</v>
      </c>
      <c r="AE132">
        <f>IFERROR(VLOOKUP(V132,'Org Map'!C:E,3),"Home Department Code Not Mapped")</f>
        <v>9400</v>
      </c>
      <c r="AF132" t="str">
        <f>IFERROR(VLOOKUP(AA132,'Salary Map'!A:D,3,FALSE),"Salary Code Not Mapped")</f>
        <v>Default</v>
      </c>
      <c r="AG132" t="str">
        <f>IFERROR(VLOOKUP(AA132,'Salary Map'!A:D,4,FALSE),"Salary Code Not Mapped")</f>
        <v>General</v>
      </c>
      <c r="AH132" t="str">
        <f>IFERROR(VLOOKUP(Z132,'Country Map'!A:B,2,FALSE),"Legal Country Not Mapped")</f>
        <v>US</v>
      </c>
      <c r="AI132" t="str">
        <f>IFERROR(VLOOKUP(X132,'Language Map'!A:C,3,FALSE),IFERROR(VLOOKUP(T132,'Org Map'!A:F,6,FALSE),"ADP and BU Language Code Not Mapped"))&amp;AH132</f>
        <v>en_US</v>
      </c>
      <c r="AJ132" t="str">
        <f>IFERROR(VLOOKUP(T132,'Org Map'!A:G,7),"BU Currency Not Mapped")</f>
        <v>USD</v>
      </c>
      <c r="AK132" t="str">
        <f t="shared" si="8"/>
        <v/>
      </c>
      <c r="AL132" t="str">
        <f>IFERROR(VLOOKUP(O132,'Status Map'!A:B,2,FALSE),"Position Status Not Mapped")</f>
        <v>N</v>
      </c>
      <c r="AM132" t="str">
        <f t="shared" si="13"/>
        <v>20260710</v>
      </c>
      <c r="AN132" t="str">
        <f>IF(M132&gt;AN127,"Fix and Include Record","Exclude record termination over 45 days ago")</f>
        <v>Fix and Include Record</v>
      </c>
      <c r="AO132" t="str">
        <f t="shared" si="9"/>
        <v>KyleOuthouse</v>
      </c>
      <c r="AP132" t="e">
        <f t="shared" si="10"/>
        <v>#VALUE!</v>
      </c>
      <c r="AQ132" t="str">
        <f t="shared" si="11"/>
        <v>No Reports to Name</v>
      </c>
      <c r="AR132" s="77" t="b">
        <f t="shared" si="12"/>
        <v>0</v>
      </c>
    </row>
    <row r="133" spans="1:44">
      <c r="A133" s="3" t="s">
        <v>3232</v>
      </c>
      <c r="B133" s="4" t="s">
        <v>3233</v>
      </c>
      <c r="C133" s="5" t="s">
        <v>3234</v>
      </c>
      <c r="D133" s="6" t="s">
        <v>3235</v>
      </c>
      <c r="E133" s="7" t="s">
        <v>3236</v>
      </c>
      <c r="F133" s="8" t="s">
        <v>3237</v>
      </c>
      <c r="G133" s="9" t="s">
        <v>3238</v>
      </c>
      <c r="H133" s="10" t="s">
        <v>3239</v>
      </c>
      <c r="I133" s="11" t="s">
        <v>3240</v>
      </c>
      <c r="J133" s="12" t="s">
        <v>3241</v>
      </c>
      <c r="K133" s="13" t="s">
        <v>3242</v>
      </c>
      <c r="L133" s="14">
        <v>45964</v>
      </c>
      <c r="M133" s="15"/>
      <c r="N133" s="16"/>
      <c r="O133" s="17" t="s">
        <v>3243</v>
      </c>
      <c r="P133" s="18" t="s">
        <v>3244</v>
      </c>
      <c r="Q133" s="19" t="s">
        <v>3245</v>
      </c>
      <c r="R133" s="20" t="s">
        <v>3246</v>
      </c>
      <c r="S133" s="21" t="s">
        <v>3247</v>
      </c>
      <c r="T133" s="22" t="s">
        <v>3248</v>
      </c>
      <c r="U133" s="23" t="s">
        <v>3249</v>
      </c>
      <c r="V133" s="24" t="s">
        <v>3250</v>
      </c>
      <c r="W133" s="25" t="s">
        <v>3251</v>
      </c>
      <c r="X133" s="26" t="s">
        <v>3252</v>
      </c>
      <c r="Y133" s="27" t="s">
        <v>3253</v>
      </c>
      <c r="Z133" s="28" t="s">
        <v>3254</v>
      </c>
      <c r="AA133" s="29" t="s">
        <v>3255</v>
      </c>
      <c r="AB133" s="30" t="s">
        <v>3256</v>
      </c>
      <c r="AC133" t="str">
        <f>IF(ISBLANK(H133),VLOOKUP(P133,'US Supervisor Map'!A:D,4,FALSE),MID(H133,4,6))</f>
        <v>213037</v>
      </c>
      <c r="AD133" t="str">
        <f>IFERROR(VLOOKUP(T133,'Org Map'!A:E,4),"BU Description Not Mapped")</f>
        <v>0088</v>
      </c>
      <c r="AE133">
        <f>IFERROR(VLOOKUP(V133,'Org Map'!C:E,3),"Home Department Code Not Mapped")</f>
        <v>9450</v>
      </c>
      <c r="AF133" t="str">
        <f>IFERROR(VLOOKUP(AA133,'Salary Map'!A:D,3,FALSE),"Salary Code Not Mapped")</f>
        <v>Default</v>
      </c>
      <c r="AG133" t="str">
        <f>IFERROR(VLOOKUP(AA133,'Salary Map'!A:D,4,FALSE),"Salary Code Not Mapped")</f>
        <v>General</v>
      </c>
      <c r="AH133" t="str">
        <f>IFERROR(VLOOKUP(Z133,'Country Map'!A:B,2,FALSE),"Legal Country Not Mapped")</f>
        <v>US</v>
      </c>
      <c r="AI133" t="str">
        <f>IFERROR(VLOOKUP(X133,'Language Map'!A:C,3,FALSE),IFERROR(VLOOKUP(T133,'Org Map'!A:F,6,FALSE),"ADP and BU Language Code Not Mapped"))&amp;AH133</f>
        <v>en_US</v>
      </c>
      <c r="AJ133" t="str">
        <f>IFERROR(VLOOKUP(T133,'Org Map'!A:G,7),"BU Currency Not Mapped")</f>
        <v>USD</v>
      </c>
      <c r="AK133" t="str">
        <f t="shared" si="8"/>
        <v/>
      </c>
      <c r="AL133" t="str">
        <f>IFERROR(VLOOKUP(O133,'Status Map'!A:B,2,FALSE),"Position Status Not Mapped")</f>
        <v>Y</v>
      </c>
      <c r="AM133" t="str">
        <f t="shared" si="13"/>
        <v/>
      </c>
      <c r="AO133" t="str">
        <f t="shared" si="9"/>
        <v>DavidJPage</v>
      </c>
      <c r="AP133" t="str">
        <f t="shared" si="10"/>
        <v>Bate</v>
      </c>
      <c r="AQ133" t="str">
        <f t="shared" si="11"/>
        <v>213037</v>
      </c>
      <c r="AR133" t="b">
        <f t="shared" si="12"/>
        <v>1</v>
      </c>
    </row>
    <row r="134" spans="1:44">
      <c r="A134" s="3" t="s">
        <v>3257</v>
      </c>
      <c r="B134" s="4" t="s">
        <v>3258</v>
      </c>
      <c r="C134" s="5" t="s">
        <v>3259</v>
      </c>
      <c r="D134" s="6" t="s">
        <v>3260</v>
      </c>
      <c r="E134" s="7" t="s">
        <v>3261</v>
      </c>
      <c r="F134" s="8" t="s">
        <v>3262</v>
      </c>
      <c r="G134" s="9" t="s">
        <v>3263</v>
      </c>
      <c r="H134" s="10" t="s">
        <v>3264</v>
      </c>
      <c r="I134" s="11" t="s">
        <v>3265</v>
      </c>
      <c r="J134" s="12" t="s">
        <v>3266</v>
      </c>
      <c r="K134" s="13" t="s">
        <v>3267</v>
      </c>
      <c r="L134" s="14">
        <v>45831</v>
      </c>
      <c r="M134" s="15"/>
      <c r="N134" s="16"/>
      <c r="O134" s="17" t="s">
        <v>3268</v>
      </c>
      <c r="P134" s="18" t="s">
        <v>3269</v>
      </c>
      <c r="Q134" s="19" t="s">
        <v>3270</v>
      </c>
      <c r="R134" s="20" t="s">
        <v>3271</v>
      </c>
      <c r="S134" s="21" t="s">
        <v>3272</v>
      </c>
      <c r="T134" s="22" t="s">
        <v>3273</v>
      </c>
      <c r="U134" s="23" t="s">
        <v>3274</v>
      </c>
      <c r="V134" s="24" t="s">
        <v>3275</v>
      </c>
      <c r="W134" s="25" t="s">
        <v>3276</v>
      </c>
      <c r="X134" s="26" t="s">
        <v>3277</v>
      </c>
      <c r="Y134" s="27" t="s">
        <v>3278</v>
      </c>
      <c r="Z134" s="28" t="s">
        <v>3279</v>
      </c>
      <c r="AA134" s="29" t="s">
        <v>3280</v>
      </c>
      <c r="AB134" s="30" t="s">
        <v>3281</v>
      </c>
      <c r="AC134" t="str">
        <f>IF(ISBLANK(H134),VLOOKUP(P134,'US Supervisor Map'!A:D,4,FALSE),MID(H134,4,6))</f>
        <v>212699</v>
      </c>
      <c r="AD134" t="str">
        <f>IFERROR(VLOOKUP(T134,'Org Map'!A:E,4),"BU Description Not Mapped")</f>
        <v>0088</v>
      </c>
      <c r="AE134">
        <f>IFERROR(VLOOKUP(V134,'Org Map'!C:E,3),"Home Department Code Not Mapped")</f>
        <v>9400</v>
      </c>
      <c r="AF134" t="str">
        <f>IFERROR(VLOOKUP(AA134,'Salary Map'!A:D,3,FALSE),"Salary Code Not Mapped")</f>
        <v>Default</v>
      </c>
      <c r="AG134" t="str">
        <f>IFERROR(VLOOKUP(AA134,'Salary Map'!A:D,4,FALSE),"Salary Code Not Mapped")</f>
        <v>General</v>
      </c>
      <c r="AH134" t="str">
        <f>IFERROR(VLOOKUP(Z134,'Country Map'!A:B,2,FALSE),"Legal Country Not Mapped")</f>
        <v>US</v>
      </c>
      <c r="AI134" t="str">
        <f>IFERROR(VLOOKUP(X134,'Language Map'!A:C,3,FALSE),IFERROR(VLOOKUP(T134,'Org Map'!A:F,6,FALSE),"ADP and BU Language Code Not Mapped"))&amp;AH134</f>
        <v>en_US</v>
      </c>
      <c r="AJ134" t="str">
        <f>IFERROR(VLOOKUP(T134,'Org Map'!A:G,7),"BU Currency Not Mapped")</f>
        <v>USD</v>
      </c>
      <c r="AK134" t="str">
        <f t="shared" ref="AK134:AK197" si="18">IF(ISBLANK(E134),"",TRIM(E134&amp;" "&amp;F134))</f>
        <v/>
      </c>
      <c r="AL134" t="str">
        <f>IFERROR(VLOOKUP(O134,'Status Map'!A:B,2,FALSE),"Position Status Not Mapped")</f>
        <v>Y</v>
      </c>
      <c r="AM134" t="str">
        <f t="shared" si="13"/>
        <v/>
      </c>
      <c r="AO134" t="str">
        <f t="shared" ref="AO134:AO197" si="19">B134&amp;C134&amp;D134</f>
        <v>AlexPalicki</v>
      </c>
      <c r="AP134" t="str">
        <f t="shared" ref="AP134:AP197" si="20">LEFT(G134,FIND(",",G134)-1)</f>
        <v>Creager</v>
      </c>
      <c r="AQ134" t="str">
        <f t="shared" ref="AQ134:AQ197" si="21">IFERROR(VLOOKUP(AP134,D:P,13,FALSE),"No Reports to Name")</f>
        <v>212699</v>
      </c>
      <c r="AR134" t="b">
        <f t="shared" ref="AR134:AR197" si="22">AQ134=MID(H134,4,6)</f>
        <v>1</v>
      </c>
    </row>
    <row r="135" spans="1:44">
      <c r="A135" s="3" t="s">
        <v>3282</v>
      </c>
      <c r="B135" s="4" t="s">
        <v>3283</v>
      </c>
      <c r="C135" s="5" t="s">
        <v>3284</v>
      </c>
      <c r="D135" s="6" t="s">
        <v>3285</v>
      </c>
      <c r="E135" s="7" t="s">
        <v>3286</v>
      </c>
      <c r="F135" s="8" t="s">
        <v>3287</v>
      </c>
      <c r="G135" s="9" t="s">
        <v>3288</v>
      </c>
      <c r="H135" s="10" t="s">
        <v>3289</v>
      </c>
      <c r="I135" s="11" t="s">
        <v>3290</v>
      </c>
      <c r="J135" s="12" t="s">
        <v>3291</v>
      </c>
      <c r="K135" s="13" t="s">
        <v>3292</v>
      </c>
      <c r="L135" s="14">
        <v>46237</v>
      </c>
      <c r="M135" s="15"/>
      <c r="N135" s="16"/>
      <c r="O135" s="17" t="s">
        <v>3293</v>
      </c>
      <c r="P135" s="18" t="s">
        <v>3294</v>
      </c>
      <c r="Q135" s="19" t="s">
        <v>3295</v>
      </c>
      <c r="R135" s="20" t="s">
        <v>3296</v>
      </c>
      <c r="S135" s="21" t="s">
        <v>3297</v>
      </c>
      <c r="T135" s="22" t="s">
        <v>3298</v>
      </c>
      <c r="U135" s="23" t="s">
        <v>3299</v>
      </c>
      <c r="V135" s="24" t="s">
        <v>3300</v>
      </c>
      <c r="W135" s="25" t="s">
        <v>3301</v>
      </c>
      <c r="X135" s="26" t="s">
        <v>3302</v>
      </c>
      <c r="Y135" s="27" t="s">
        <v>3303</v>
      </c>
      <c r="Z135" s="28" t="s">
        <v>3304</v>
      </c>
      <c r="AA135" s="29" t="s">
        <v>3305</v>
      </c>
      <c r="AB135" s="30" t="s">
        <v>3306</v>
      </c>
      <c r="AC135" t="str">
        <f>IF(ISBLANK(H135),VLOOKUP(P135,'US Supervisor Map'!A:D,4,FALSE),MID(H135,4,6))</f>
        <v>211131</v>
      </c>
      <c r="AD135" t="str">
        <f>IFERROR(VLOOKUP(T135,'Org Map'!A:E,4),"BU Description Not Mapped")</f>
        <v>0088</v>
      </c>
      <c r="AE135">
        <f>IFERROR(VLOOKUP(V135,'Org Map'!C:E,3),"Home Department Code Not Mapped")</f>
        <v>8100</v>
      </c>
      <c r="AF135" t="str">
        <f>IFERROR(VLOOKUP(AA135,'Salary Map'!A:D,3,FALSE),"Salary Code Not Mapped")</f>
        <v>Default</v>
      </c>
      <c r="AG135" t="str">
        <f>IFERROR(VLOOKUP(AA135,'Salary Map'!A:D,4,FALSE),"Salary Code Not Mapped")</f>
        <v>General</v>
      </c>
      <c r="AH135" t="str">
        <f>IFERROR(VLOOKUP(Z135,'Country Map'!A:B,2,FALSE),"Legal Country Not Mapped")</f>
        <v>US</v>
      </c>
      <c r="AI135" t="str">
        <f>IFERROR(VLOOKUP(X135,'Language Map'!A:C,3,FALSE),IFERROR(VLOOKUP(T135,'Org Map'!A:F,6,FALSE),"ADP and BU Language Code Not Mapped"))&amp;AH135</f>
        <v>en_US</v>
      </c>
      <c r="AJ135" t="str">
        <f>IFERROR(VLOOKUP(T135,'Org Map'!A:G,7),"BU Currency Not Mapped")</f>
        <v>USD</v>
      </c>
      <c r="AK135" t="str">
        <f t="shared" si="18"/>
        <v/>
      </c>
      <c r="AL135" t="str">
        <f>IFERROR(VLOOKUP(O135,'Status Map'!A:B,2,FALSE),"Position Status Not Mapped")</f>
        <v>Y</v>
      </c>
      <c r="AM135" t="str">
        <f t="shared" si="13"/>
        <v/>
      </c>
      <c r="AO135" t="str">
        <f t="shared" si="19"/>
        <v>LinetteWParks</v>
      </c>
      <c r="AP135" t="str">
        <f t="shared" si="20"/>
        <v>Rafferty</v>
      </c>
      <c r="AQ135" t="str">
        <f t="shared" si="21"/>
        <v>211131</v>
      </c>
      <c r="AR135" t="b">
        <f t="shared" si="22"/>
        <v>1</v>
      </c>
    </row>
    <row r="136" spans="1:44">
      <c r="A136" s="3" t="s">
        <v>3307</v>
      </c>
      <c r="B136" s="4" t="s">
        <v>3308</v>
      </c>
      <c r="C136" s="5" t="s">
        <v>3309</v>
      </c>
      <c r="D136" s="6" t="s">
        <v>3310</v>
      </c>
      <c r="E136" s="7" t="s">
        <v>3311</v>
      </c>
      <c r="F136" s="8" t="s">
        <v>3312</v>
      </c>
      <c r="G136" s="9" t="s">
        <v>3313</v>
      </c>
      <c r="H136" s="10" t="s">
        <v>3314</v>
      </c>
      <c r="I136" s="11" t="s">
        <v>3315</v>
      </c>
      <c r="J136" s="12" t="s">
        <v>3316</v>
      </c>
      <c r="K136" s="13" t="s">
        <v>3317</v>
      </c>
      <c r="L136" s="14">
        <v>43836</v>
      </c>
      <c r="M136" s="15"/>
      <c r="N136" s="16"/>
      <c r="O136" s="17" t="s">
        <v>3318</v>
      </c>
      <c r="P136" s="18" t="s">
        <v>3319</v>
      </c>
      <c r="Q136" s="19" t="s">
        <v>3320</v>
      </c>
      <c r="R136" s="20" t="s">
        <v>3321</v>
      </c>
      <c r="S136" s="21" t="s">
        <v>3322</v>
      </c>
      <c r="T136" s="22" t="s">
        <v>3323</v>
      </c>
      <c r="U136" s="23" t="s">
        <v>3324</v>
      </c>
      <c r="V136" s="24" t="s">
        <v>3325</v>
      </c>
      <c r="W136" s="25" t="s">
        <v>3326</v>
      </c>
      <c r="X136" s="26" t="s">
        <v>3327</v>
      </c>
      <c r="Y136" s="27" t="s">
        <v>3328</v>
      </c>
      <c r="Z136" s="28" t="s">
        <v>3329</v>
      </c>
      <c r="AA136" s="29" t="s">
        <v>3330</v>
      </c>
      <c r="AB136" s="30" t="s">
        <v>3331</v>
      </c>
      <c r="AC136" t="str">
        <f>IF(ISBLANK(H136),VLOOKUP(P136,'US Supervisor Map'!A:D,4,FALSE),MID(H136,4,6))</f>
        <v>212699</v>
      </c>
      <c r="AD136" t="str">
        <f>IFERROR(VLOOKUP(T136,'Org Map'!A:E,4),"BU Description Not Mapped")</f>
        <v>0088</v>
      </c>
      <c r="AE136">
        <f>IFERROR(VLOOKUP(V136,'Org Map'!C:E,3),"Home Department Code Not Mapped")</f>
        <v>9400</v>
      </c>
      <c r="AF136" t="str">
        <f>IFERROR(VLOOKUP(AA136,'Salary Map'!A:D,3,FALSE),"Salary Code Not Mapped")</f>
        <v>Default</v>
      </c>
      <c r="AG136" t="str">
        <f>IFERROR(VLOOKUP(AA136,'Salary Map'!A:D,4,FALSE),"Salary Code Not Mapped")</f>
        <v>General</v>
      </c>
      <c r="AH136" t="str">
        <f>IFERROR(VLOOKUP(Z136,'Country Map'!A:B,2,FALSE),"Legal Country Not Mapped")</f>
        <v>US</v>
      </c>
      <c r="AI136" t="str">
        <f>IFERROR(VLOOKUP(X136,'Language Map'!A:C,3,FALSE),IFERROR(VLOOKUP(T136,'Org Map'!A:F,6,FALSE),"ADP and BU Language Code Not Mapped"))&amp;AH136</f>
        <v>en_US</v>
      </c>
      <c r="AJ136" t="str">
        <f>IFERROR(VLOOKUP(T136,'Org Map'!A:G,7),"BU Currency Not Mapped")</f>
        <v>USD</v>
      </c>
      <c r="AK136" t="str">
        <f t="shared" si="18"/>
        <v/>
      </c>
      <c r="AL136" t="str">
        <f>IFERROR(VLOOKUP(O136,'Status Map'!A:B,2,FALSE),"Position Status Not Mapped")</f>
        <v>Y</v>
      </c>
      <c r="AM136" t="str">
        <f t="shared" si="13"/>
        <v/>
      </c>
      <c r="AO136" t="str">
        <f t="shared" si="19"/>
        <v>ShivamPatel</v>
      </c>
      <c r="AP136" t="str">
        <f t="shared" si="20"/>
        <v>Creager</v>
      </c>
      <c r="AQ136" t="str">
        <f t="shared" si="21"/>
        <v>212699</v>
      </c>
      <c r="AR136" t="b">
        <f t="shared" si="22"/>
        <v>1</v>
      </c>
    </row>
    <row r="137" spans="1:44">
      <c r="A137" s="3" t="s">
        <v>3332</v>
      </c>
      <c r="B137" s="4" t="s">
        <v>3333</v>
      </c>
      <c r="C137" s="5" t="s">
        <v>3334</v>
      </c>
      <c r="D137" s="6" t="s">
        <v>3335</v>
      </c>
      <c r="E137" s="7" t="s">
        <v>3336</v>
      </c>
      <c r="F137" s="8" t="s">
        <v>3337</v>
      </c>
      <c r="G137" s="9" t="s">
        <v>3338</v>
      </c>
      <c r="H137" s="10" t="s">
        <v>3339</v>
      </c>
      <c r="I137" s="31" t="s">
        <v>3340</v>
      </c>
      <c r="J137" s="12" t="s">
        <v>3341</v>
      </c>
      <c r="K137" s="13" t="s">
        <v>3342</v>
      </c>
      <c r="L137" s="14">
        <v>37292</v>
      </c>
      <c r="M137" s="15"/>
      <c r="N137" s="16"/>
      <c r="O137" s="17" t="s">
        <v>3343</v>
      </c>
      <c r="P137" s="18" t="s">
        <v>3344</v>
      </c>
      <c r="Q137" s="19" t="s">
        <v>3345</v>
      </c>
      <c r="R137" s="20" t="s">
        <v>3346</v>
      </c>
      <c r="S137" s="21" t="s">
        <v>3347</v>
      </c>
      <c r="T137" s="22" t="s">
        <v>3348</v>
      </c>
      <c r="U137" s="23" t="s">
        <v>3349</v>
      </c>
      <c r="V137" s="24" t="s">
        <v>3350</v>
      </c>
      <c r="W137" s="25" t="s">
        <v>3351</v>
      </c>
      <c r="X137" s="26" t="s">
        <v>3352</v>
      </c>
      <c r="Y137" s="27" t="s">
        <v>3353</v>
      </c>
      <c r="Z137" s="28" t="s">
        <v>3354</v>
      </c>
      <c r="AA137" s="29" t="s">
        <v>3355</v>
      </c>
      <c r="AB137" s="30" t="s">
        <v>3356</v>
      </c>
      <c r="AC137" t="str">
        <f>IF(ISBLANK(H137),VLOOKUP(P137,'US Supervisor Map'!A:D,4,FALSE),MID(H137,4,6))</f>
        <v>211062</v>
      </c>
      <c r="AD137" t="str">
        <f>IFERROR(VLOOKUP(T137,'Org Map'!A:E,4),"BU Description Not Mapped")</f>
        <v>0096</v>
      </c>
      <c r="AE137">
        <f>IFERROR(VLOOKUP(V137,'Org Map'!C:E,3),"Home Department Code Not Mapped")</f>
        <v>350</v>
      </c>
      <c r="AF137" t="str">
        <f>IFERROR(VLOOKUP(AA137,'Salary Map'!A:D,3,FALSE),"Salary Code Not Mapped")</f>
        <v>Default</v>
      </c>
      <c r="AG137" t="str">
        <f>IFERROR(VLOOKUP(AA137,'Salary Map'!A:D,4,FALSE),"Salary Code Not Mapped")</f>
        <v>General</v>
      </c>
      <c r="AH137" t="str">
        <f>IFERROR(VLOOKUP(Z137,'Country Map'!A:B,2,FALSE),"Legal Country Not Mapped")</f>
        <v>US</v>
      </c>
      <c r="AI137" t="str">
        <f>IFERROR(VLOOKUP(X137,'Language Map'!A:C,3,FALSE),IFERROR(VLOOKUP(T137,'Org Map'!A:F,6,FALSE),"ADP and BU Language Code Not Mapped"))&amp;AH137</f>
        <v>en_US</v>
      </c>
      <c r="AJ137" t="str">
        <f>IFERROR(VLOOKUP(T137,'Org Map'!A:G,7),"BU Currency Not Mapped")</f>
        <v>USD</v>
      </c>
      <c r="AK137" t="str">
        <f t="shared" si="18"/>
        <v/>
      </c>
      <c r="AL137" t="str">
        <f>IFERROR(VLOOKUP(O137,'Status Map'!A:B,2,FALSE),"Position Status Not Mapped")</f>
        <v>Y</v>
      </c>
      <c r="AM137" t="str">
        <f t="shared" si="13"/>
        <v/>
      </c>
      <c r="AO137" t="str">
        <f t="shared" si="19"/>
        <v>ShawnPatterson</v>
      </c>
      <c r="AP137" t="str">
        <f t="shared" si="20"/>
        <v>Steen</v>
      </c>
      <c r="AQ137" t="str">
        <f t="shared" si="21"/>
        <v>211062</v>
      </c>
      <c r="AR137" t="b">
        <f t="shared" si="22"/>
        <v>1</v>
      </c>
    </row>
    <row r="138" spans="1:44">
      <c r="A138" s="3" t="s">
        <v>3357</v>
      </c>
      <c r="B138" s="4" t="s">
        <v>3358</v>
      </c>
      <c r="C138" s="5" t="s">
        <v>3359</v>
      </c>
      <c r="D138" s="6" t="s">
        <v>3360</v>
      </c>
      <c r="E138" s="7" t="s">
        <v>3361</v>
      </c>
      <c r="F138" s="8" t="s">
        <v>3362</v>
      </c>
      <c r="G138" s="9" t="s">
        <v>3363</v>
      </c>
      <c r="H138" s="10" t="s">
        <v>3364</v>
      </c>
      <c r="I138" s="11" t="s">
        <v>3365</v>
      </c>
      <c r="J138" s="12" t="s">
        <v>3366</v>
      </c>
      <c r="K138" s="13" t="s">
        <v>3367</v>
      </c>
      <c r="L138" s="14">
        <v>41407</v>
      </c>
      <c r="M138" s="15"/>
      <c r="N138" s="16"/>
      <c r="O138" s="17" t="s">
        <v>3368</v>
      </c>
      <c r="P138" s="18" t="s">
        <v>3369</v>
      </c>
      <c r="Q138" s="19" t="s">
        <v>3370</v>
      </c>
      <c r="R138" s="20" t="s">
        <v>3371</v>
      </c>
      <c r="S138" s="21" t="s">
        <v>3372</v>
      </c>
      <c r="T138" s="22" t="s">
        <v>3373</v>
      </c>
      <c r="U138" s="23" t="s">
        <v>3374</v>
      </c>
      <c r="V138" s="24" t="s">
        <v>3375</v>
      </c>
      <c r="W138" s="25" t="s">
        <v>3376</v>
      </c>
      <c r="X138" s="26" t="s">
        <v>3377</v>
      </c>
      <c r="Y138" s="27" t="s">
        <v>3378</v>
      </c>
      <c r="Z138" s="28" t="s">
        <v>3379</v>
      </c>
      <c r="AA138" s="29" t="s">
        <v>3380</v>
      </c>
      <c r="AB138" s="30" t="s">
        <v>3381</v>
      </c>
      <c r="AC138" t="str">
        <f>IF(ISBLANK(H138),VLOOKUP(P138,'US Supervisor Map'!A:D,4,FALSE),MID(H138,4,6))</f>
        <v>211736</v>
      </c>
      <c r="AD138" t="str">
        <f>IFERROR(VLOOKUP(T138,'Org Map'!A:E,4),"BU Description Not Mapped")</f>
        <v>0088</v>
      </c>
      <c r="AE138">
        <f>IFERROR(VLOOKUP(V138,'Org Map'!C:E,3),"Home Department Code Not Mapped")</f>
        <v>5200</v>
      </c>
      <c r="AF138" t="str">
        <f>IFERROR(VLOOKUP(AA138,'Salary Map'!A:D,3,FALSE),"Salary Code Not Mapped")</f>
        <v>Default</v>
      </c>
      <c r="AG138" t="str">
        <f>IFERROR(VLOOKUP(AA138,'Salary Map'!A:D,4,FALSE),"Salary Code Not Mapped")</f>
        <v>General</v>
      </c>
      <c r="AH138" t="str">
        <f>IFERROR(VLOOKUP(Z138,'Country Map'!A:B,2,FALSE),"Legal Country Not Mapped")</f>
        <v>US</v>
      </c>
      <c r="AI138" t="str">
        <f>IFERROR(VLOOKUP(X138,'Language Map'!A:C,3,FALSE),IFERROR(VLOOKUP(T138,'Org Map'!A:F,6,FALSE),"ADP and BU Language Code Not Mapped"))&amp;AH138</f>
        <v>en_US</v>
      </c>
      <c r="AJ138" t="str">
        <f>IFERROR(VLOOKUP(T138,'Org Map'!A:G,7),"BU Currency Not Mapped")</f>
        <v>USD</v>
      </c>
      <c r="AK138" t="str">
        <f t="shared" si="18"/>
        <v/>
      </c>
      <c r="AL138" t="str">
        <f>IFERROR(VLOOKUP(O138,'Status Map'!A:B,2,FALSE),"Position Status Not Mapped")</f>
        <v>Y</v>
      </c>
      <c r="AM138" t="str">
        <f t="shared" ref="AM138:AM201" si="23">IF(AL138="N",TEXT(M138,"yyyymmdd"),"")</f>
        <v/>
      </c>
      <c r="AO138" t="str">
        <f t="shared" si="19"/>
        <v>JoshuaSPaulsen</v>
      </c>
      <c r="AP138" t="str">
        <f t="shared" si="20"/>
        <v>LaPlante</v>
      </c>
      <c r="AQ138" t="str">
        <f t="shared" si="21"/>
        <v>211736</v>
      </c>
      <c r="AR138" t="b">
        <f t="shared" si="22"/>
        <v>1</v>
      </c>
    </row>
    <row r="139" spans="1:44">
      <c r="A139" s="3" t="s">
        <v>3382</v>
      </c>
      <c r="B139" s="4" t="s">
        <v>3383</v>
      </c>
      <c r="C139" s="5" t="s">
        <v>3384</v>
      </c>
      <c r="D139" s="6" t="s">
        <v>3385</v>
      </c>
      <c r="E139" s="7" t="s">
        <v>3386</v>
      </c>
      <c r="F139" s="8" t="s">
        <v>3387</v>
      </c>
      <c r="G139" s="9" t="s">
        <v>3388</v>
      </c>
      <c r="H139" s="10" t="s">
        <v>3389</v>
      </c>
      <c r="I139" s="11" t="s">
        <v>3390</v>
      </c>
      <c r="J139" s="12" t="s">
        <v>3391</v>
      </c>
      <c r="K139" s="13" t="s">
        <v>3392</v>
      </c>
      <c r="L139" s="14">
        <v>45909</v>
      </c>
      <c r="M139" s="15"/>
      <c r="N139" s="16"/>
      <c r="O139" s="17" t="s">
        <v>3393</v>
      </c>
      <c r="P139" s="18" t="s">
        <v>3394</v>
      </c>
      <c r="Q139" s="19" t="s">
        <v>3395</v>
      </c>
      <c r="R139" s="20" t="s">
        <v>3396</v>
      </c>
      <c r="S139" s="21" t="s">
        <v>3397</v>
      </c>
      <c r="T139" s="22" t="s">
        <v>3398</v>
      </c>
      <c r="U139" s="23" t="s">
        <v>3399</v>
      </c>
      <c r="V139" s="24" t="s">
        <v>3400</v>
      </c>
      <c r="W139" s="25" t="s">
        <v>3401</v>
      </c>
      <c r="X139" s="26" t="s">
        <v>3402</v>
      </c>
      <c r="Y139" s="27" t="s">
        <v>3403</v>
      </c>
      <c r="Z139" s="28" t="s">
        <v>3404</v>
      </c>
      <c r="AA139" s="29" t="s">
        <v>3405</v>
      </c>
      <c r="AB139" s="30" t="s">
        <v>3406</v>
      </c>
      <c r="AC139" t="str">
        <f>IF(ISBLANK(H139),VLOOKUP(P139,'US Supervisor Map'!A:D,4,FALSE),MID(H139,4,6))</f>
        <v>207588</v>
      </c>
      <c r="AD139" t="str">
        <f>IFERROR(VLOOKUP(T139,'Org Map'!A:E,4),"BU Description Not Mapped")</f>
        <v>0088</v>
      </c>
      <c r="AE139">
        <f>IFERROR(VLOOKUP(V139,'Org Map'!C:E,3),"Home Department Code Not Mapped")</f>
        <v>8200</v>
      </c>
      <c r="AF139" t="str">
        <f>IFERROR(VLOOKUP(AA139,'Salary Map'!A:D,3,FALSE),"Salary Code Not Mapped")</f>
        <v>Default</v>
      </c>
      <c r="AG139" t="str">
        <f>IFERROR(VLOOKUP(AA139,'Salary Map'!A:D,4,FALSE),"Salary Code Not Mapped")</f>
        <v>General</v>
      </c>
      <c r="AH139" t="str">
        <f>IFERROR(VLOOKUP(Z139,'Country Map'!A:B,2,FALSE),"Legal Country Not Mapped")</f>
        <v>US</v>
      </c>
      <c r="AI139" t="str">
        <f>IFERROR(VLOOKUP(X139,'Language Map'!A:C,3,FALSE),IFERROR(VLOOKUP(T139,'Org Map'!A:F,6,FALSE),"ADP and BU Language Code Not Mapped"))&amp;AH139</f>
        <v>en_US</v>
      </c>
      <c r="AJ139" t="str">
        <f>IFERROR(VLOOKUP(T139,'Org Map'!A:G,7),"BU Currency Not Mapped")</f>
        <v>USD</v>
      </c>
      <c r="AK139" t="str">
        <f t="shared" si="18"/>
        <v/>
      </c>
      <c r="AL139" t="str">
        <f>IFERROR(VLOOKUP(O139,'Status Map'!A:B,2,FALSE),"Position Status Not Mapped")</f>
        <v>Y</v>
      </c>
      <c r="AM139" t="str">
        <f t="shared" si="23"/>
        <v/>
      </c>
      <c r="AO139" t="str">
        <f t="shared" si="19"/>
        <v>CarolPhillips</v>
      </c>
      <c r="AP139" t="str">
        <f t="shared" si="20"/>
        <v>Rodriguez</v>
      </c>
      <c r="AQ139" t="str">
        <f t="shared" si="21"/>
        <v>212338</v>
      </c>
      <c r="AR139" s="77" t="b">
        <f t="shared" si="22"/>
        <v>0</v>
      </c>
    </row>
    <row r="140" spans="1:44">
      <c r="A140" s="3" t="s">
        <v>3407</v>
      </c>
      <c r="B140" s="4" t="s">
        <v>3408</v>
      </c>
      <c r="C140" s="5" t="s">
        <v>3409</v>
      </c>
      <c r="D140" s="6" t="s">
        <v>3410</v>
      </c>
      <c r="E140" s="7" t="s">
        <v>3411</v>
      </c>
      <c r="F140" s="8" t="s">
        <v>3412</v>
      </c>
      <c r="G140" s="9" t="s">
        <v>3413</v>
      </c>
      <c r="H140" s="10" t="s">
        <v>3414</v>
      </c>
      <c r="I140" s="11" t="s">
        <v>3415</v>
      </c>
      <c r="J140" s="12" t="s">
        <v>3416</v>
      </c>
      <c r="K140" s="13" t="s">
        <v>3417</v>
      </c>
      <c r="L140" s="14">
        <v>45243</v>
      </c>
      <c r="M140" s="15">
        <v>46248</v>
      </c>
      <c r="N140" s="16"/>
      <c r="O140" s="17" t="s">
        <v>3418</v>
      </c>
      <c r="P140" s="18" t="s">
        <v>3419</v>
      </c>
      <c r="Q140" s="19" t="s">
        <v>3420</v>
      </c>
      <c r="R140" s="20" t="s">
        <v>3421</v>
      </c>
      <c r="S140" s="21" t="s">
        <v>3422</v>
      </c>
      <c r="T140" s="22" t="s">
        <v>3423</v>
      </c>
      <c r="U140" s="23" t="s">
        <v>3424</v>
      </c>
      <c r="V140" s="24" t="s">
        <v>3425</v>
      </c>
      <c r="W140" s="25" t="s">
        <v>3426</v>
      </c>
      <c r="X140" s="26" t="s">
        <v>3427</v>
      </c>
      <c r="Y140" s="27" t="s">
        <v>3428</v>
      </c>
      <c r="Z140" s="28" t="s">
        <v>3429</v>
      </c>
      <c r="AA140" s="29" t="s">
        <v>3430</v>
      </c>
      <c r="AB140" s="30" t="s">
        <v>3431</v>
      </c>
      <c r="AC140" t="str">
        <f>IF(ISBLANK(H140),VLOOKUP(P140,'US Supervisor Map'!A:D,4,FALSE),MID(H140,4,6))</f>
        <v>901934</v>
      </c>
      <c r="AD140" t="str">
        <f>IFERROR(VLOOKUP(T140,'Org Map'!A:E,4),"BU Description Not Mapped")</f>
        <v>0096</v>
      </c>
      <c r="AE140">
        <f>IFERROR(VLOOKUP(V140,'Org Map'!C:E,3),"Home Department Code Not Mapped")</f>
        <v>820</v>
      </c>
      <c r="AF140" t="str">
        <f>IFERROR(VLOOKUP(AA140,'Salary Map'!A:D,3,FALSE),"Salary Code Not Mapped")</f>
        <v>Default</v>
      </c>
      <c r="AG140" t="str">
        <f>IFERROR(VLOOKUP(AA140,'Salary Map'!A:D,4,FALSE),"Salary Code Not Mapped")</f>
        <v>General</v>
      </c>
      <c r="AH140" t="str">
        <f>IFERROR(VLOOKUP(Z140,'Country Map'!A:B,2,FALSE),"Legal Country Not Mapped")</f>
        <v>US</v>
      </c>
      <c r="AI140" t="str">
        <f>IFERROR(VLOOKUP(X140,'Language Map'!A:C,3,FALSE),IFERROR(VLOOKUP(T140,'Org Map'!A:F,6,FALSE),"ADP and BU Language Code Not Mapped"))&amp;AH140</f>
        <v>en_US</v>
      </c>
      <c r="AJ140" t="str">
        <f>IFERROR(VLOOKUP(T140,'Org Map'!A:G,7),"BU Currency Not Mapped")</f>
        <v>USD</v>
      </c>
      <c r="AK140" t="str">
        <f t="shared" si="18"/>
        <v/>
      </c>
      <c r="AL140" t="str">
        <f>IFERROR(VLOOKUP(O140,'Status Map'!A:B,2,FALSE),"Position Status Not Mapped")</f>
        <v>N</v>
      </c>
      <c r="AM140" t="str">
        <f t="shared" si="23"/>
        <v>20260814</v>
      </c>
      <c r="AN140" t="str">
        <f>IF(M140&gt;AN135,"Fix and Include Record","Exclude record termination over 45 days ago")</f>
        <v>Fix and Include Record</v>
      </c>
      <c r="AO140" t="str">
        <f t="shared" si="19"/>
        <v>ChadPhillips</v>
      </c>
      <c r="AP140" t="str">
        <f t="shared" si="20"/>
        <v>Wilkins</v>
      </c>
      <c r="AQ140" t="str">
        <f t="shared" si="21"/>
        <v>901934</v>
      </c>
      <c r="AR140" t="b">
        <f t="shared" si="22"/>
        <v>1</v>
      </c>
    </row>
    <row r="141" spans="1:44">
      <c r="A141" s="3" t="s">
        <v>3432</v>
      </c>
      <c r="B141" s="4" t="s">
        <v>3433</v>
      </c>
      <c r="C141" s="5" t="s">
        <v>3434</v>
      </c>
      <c r="D141" s="6" t="s">
        <v>3435</v>
      </c>
      <c r="E141" s="7" t="s">
        <v>3436</v>
      </c>
      <c r="F141" s="8" t="s">
        <v>3437</v>
      </c>
      <c r="G141" s="9" t="s">
        <v>3438</v>
      </c>
      <c r="H141" s="10" t="s">
        <v>3439</v>
      </c>
      <c r="I141" s="11" t="s">
        <v>3440</v>
      </c>
      <c r="J141" s="12" t="s">
        <v>3441</v>
      </c>
      <c r="K141" s="13" t="s">
        <v>3442</v>
      </c>
      <c r="L141" s="14">
        <v>45593</v>
      </c>
      <c r="M141" s="15"/>
      <c r="N141" s="16"/>
      <c r="O141" s="17" t="s">
        <v>3443</v>
      </c>
      <c r="P141" s="18" t="s">
        <v>3444</v>
      </c>
      <c r="Q141" s="19" t="s">
        <v>3445</v>
      </c>
      <c r="R141" s="20" t="s">
        <v>3446</v>
      </c>
      <c r="S141" s="21" t="s">
        <v>3447</v>
      </c>
      <c r="T141" s="22" t="s">
        <v>3448</v>
      </c>
      <c r="U141" s="23" t="s">
        <v>3449</v>
      </c>
      <c r="V141" s="24" t="s">
        <v>3450</v>
      </c>
      <c r="W141" s="25" t="s">
        <v>3451</v>
      </c>
      <c r="X141" s="26" t="s">
        <v>3452</v>
      </c>
      <c r="Y141" s="27" t="s">
        <v>3453</v>
      </c>
      <c r="Z141" s="28" t="s">
        <v>3454</v>
      </c>
      <c r="AA141" s="29" t="s">
        <v>3455</v>
      </c>
      <c r="AB141" s="30" t="s">
        <v>3456</v>
      </c>
      <c r="AC141" t="str">
        <f>IF(ISBLANK(H141),VLOOKUP(P141,'US Supervisor Map'!A:D,4,FALSE),MID(H141,4,6))</f>
        <v>211736</v>
      </c>
      <c r="AD141" t="str">
        <f>IFERROR(VLOOKUP(T141,'Org Map'!A:E,4),"BU Description Not Mapped")</f>
        <v>0088</v>
      </c>
      <c r="AE141">
        <f>IFERROR(VLOOKUP(V141,'Org Map'!C:E,3),"Home Department Code Not Mapped")</f>
        <v>5200</v>
      </c>
      <c r="AF141" t="str">
        <f>IFERROR(VLOOKUP(AA141,'Salary Map'!A:D,3,FALSE),"Salary Code Not Mapped")</f>
        <v>Default</v>
      </c>
      <c r="AG141" t="str">
        <f>IFERROR(VLOOKUP(AA141,'Salary Map'!A:D,4,FALSE),"Salary Code Not Mapped")</f>
        <v>General</v>
      </c>
      <c r="AH141" t="str">
        <f>IFERROR(VLOOKUP(Z141,'Country Map'!A:B,2,FALSE),"Legal Country Not Mapped")</f>
        <v>US</v>
      </c>
      <c r="AI141" t="str">
        <f>IFERROR(VLOOKUP(X141,'Language Map'!A:C,3,FALSE),IFERROR(VLOOKUP(T141,'Org Map'!A:F,6,FALSE),"ADP and BU Language Code Not Mapped"))&amp;AH141</f>
        <v>en_US</v>
      </c>
      <c r="AJ141" t="str">
        <f>IFERROR(VLOOKUP(T141,'Org Map'!A:G,7),"BU Currency Not Mapped")</f>
        <v>USD</v>
      </c>
      <c r="AK141" t="str">
        <f t="shared" si="18"/>
        <v/>
      </c>
      <c r="AL141" t="str">
        <f>IFERROR(VLOOKUP(O141,'Status Map'!A:B,2,FALSE),"Position Status Not Mapped")</f>
        <v>Y</v>
      </c>
      <c r="AM141" t="str">
        <f t="shared" si="23"/>
        <v/>
      </c>
      <c r="AO141" t="str">
        <f t="shared" si="19"/>
        <v>WilliamPhoenix</v>
      </c>
      <c r="AP141" t="str">
        <f t="shared" si="20"/>
        <v>LaPlante</v>
      </c>
      <c r="AQ141" t="str">
        <f t="shared" si="21"/>
        <v>211736</v>
      </c>
      <c r="AR141" t="b">
        <f t="shared" si="22"/>
        <v>1</v>
      </c>
    </row>
    <row r="142" spans="1:44">
      <c r="A142" s="3" t="s">
        <v>3457</v>
      </c>
      <c r="B142" s="4" t="s">
        <v>3458</v>
      </c>
      <c r="C142" s="5" t="s">
        <v>3459</v>
      </c>
      <c r="D142" s="6" t="s">
        <v>3460</v>
      </c>
      <c r="E142" s="7" t="s">
        <v>3461</v>
      </c>
      <c r="F142" s="8" t="s">
        <v>3462</v>
      </c>
      <c r="G142" s="9" t="s">
        <v>3463</v>
      </c>
      <c r="H142" s="10" t="s">
        <v>3464</v>
      </c>
      <c r="I142" s="11" t="s">
        <v>3465</v>
      </c>
      <c r="J142" s="12" t="s">
        <v>3466</v>
      </c>
      <c r="K142" s="13" t="s">
        <v>3467</v>
      </c>
      <c r="L142" s="14">
        <v>43836</v>
      </c>
      <c r="M142" s="15"/>
      <c r="N142" s="16"/>
      <c r="O142" s="17" t="s">
        <v>3468</v>
      </c>
      <c r="P142" s="18" t="s">
        <v>3469</v>
      </c>
      <c r="Q142" s="19" t="s">
        <v>3470</v>
      </c>
      <c r="R142" s="20" t="s">
        <v>3471</v>
      </c>
      <c r="S142" s="21" t="s">
        <v>3472</v>
      </c>
      <c r="T142" s="22" t="s">
        <v>3473</v>
      </c>
      <c r="U142" s="23" t="s">
        <v>3474</v>
      </c>
      <c r="V142" s="24" t="s">
        <v>3475</v>
      </c>
      <c r="W142" s="25" t="s">
        <v>3476</v>
      </c>
      <c r="X142" s="26" t="s">
        <v>3477</v>
      </c>
      <c r="Y142" s="27" t="s">
        <v>3478</v>
      </c>
      <c r="Z142" s="28" t="s">
        <v>3479</v>
      </c>
      <c r="AA142" s="29" t="s">
        <v>3480</v>
      </c>
      <c r="AB142" s="30" t="s">
        <v>3481</v>
      </c>
      <c r="AC142" t="str">
        <f>IF(ISBLANK(H142),VLOOKUP(P142,'US Supervisor Map'!A:D,4,FALSE),MID(H142,4,6))</f>
        <v>212699</v>
      </c>
      <c r="AD142" t="str">
        <f>IFERROR(VLOOKUP(T142,'Org Map'!A:E,4),"BU Description Not Mapped")</f>
        <v>0088</v>
      </c>
      <c r="AE142">
        <f>IFERROR(VLOOKUP(V142,'Org Map'!C:E,3),"Home Department Code Not Mapped")</f>
        <v>9400</v>
      </c>
      <c r="AF142" t="str">
        <f>IFERROR(VLOOKUP(AA142,'Salary Map'!A:D,3,FALSE),"Salary Code Not Mapped")</f>
        <v>Default</v>
      </c>
      <c r="AG142" t="str">
        <f>IFERROR(VLOOKUP(AA142,'Salary Map'!A:D,4,FALSE),"Salary Code Not Mapped")</f>
        <v>General</v>
      </c>
      <c r="AH142" t="str">
        <f>IFERROR(VLOOKUP(Z142,'Country Map'!A:B,2,FALSE),"Legal Country Not Mapped")</f>
        <v>US</v>
      </c>
      <c r="AI142" t="str">
        <f>IFERROR(VLOOKUP(X142,'Language Map'!A:C,3,FALSE),IFERROR(VLOOKUP(T142,'Org Map'!A:F,6,FALSE),"ADP and BU Language Code Not Mapped"))&amp;AH142</f>
        <v>en_US</v>
      </c>
      <c r="AJ142" t="str">
        <f>IFERROR(VLOOKUP(T142,'Org Map'!A:G,7),"BU Currency Not Mapped")</f>
        <v>USD</v>
      </c>
      <c r="AK142" t="str">
        <f t="shared" si="18"/>
        <v/>
      </c>
      <c r="AL142" t="str">
        <f>IFERROR(VLOOKUP(O142,'Status Map'!A:B,2,FALSE),"Position Status Not Mapped")</f>
        <v>Y</v>
      </c>
      <c r="AM142" t="str">
        <f t="shared" si="23"/>
        <v/>
      </c>
      <c r="AO142" t="str">
        <f t="shared" si="19"/>
        <v>ZacharyPlotts</v>
      </c>
      <c r="AP142" t="str">
        <f t="shared" si="20"/>
        <v>Creager</v>
      </c>
      <c r="AQ142" t="str">
        <f t="shared" si="21"/>
        <v>212699</v>
      </c>
      <c r="AR142" t="b">
        <f t="shared" si="22"/>
        <v>1</v>
      </c>
    </row>
    <row r="143" spans="1:44">
      <c r="A143" s="3" t="s">
        <v>3482</v>
      </c>
      <c r="B143" s="4" t="s">
        <v>3483</v>
      </c>
      <c r="C143" s="5" t="s">
        <v>3484</v>
      </c>
      <c r="D143" s="6" t="s">
        <v>3485</v>
      </c>
      <c r="E143" s="7" t="s">
        <v>3486</v>
      </c>
      <c r="F143" s="8" t="s">
        <v>3487</v>
      </c>
      <c r="G143" s="9" t="s">
        <v>3488</v>
      </c>
      <c r="H143" s="10" t="s">
        <v>3489</v>
      </c>
      <c r="I143" s="11" t="s">
        <v>3490</v>
      </c>
      <c r="J143" s="12" t="s">
        <v>3491</v>
      </c>
      <c r="K143" s="13" t="s">
        <v>3492</v>
      </c>
      <c r="L143" s="14">
        <v>44529</v>
      </c>
      <c r="M143" s="15"/>
      <c r="N143" s="16"/>
      <c r="O143" s="17" t="s">
        <v>3493</v>
      </c>
      <c r="P143" s="18" t="s">
        <v>3494</v>
      </c>
      <c r="Q143" s="19" t="s">
        <v>3495</v>
      </c>
      <c r="R143" s="20" t="s">
        <v>3496</v>
      </c>
      <c r="S143" s="21" t="s">
        <v>3497</v>
      </c>
      <c r="T143" s="22" t="s">
        <v>3498</v>
      </c>
      <c r="U143" s="23" t="s">
        <v>3499</v>
      </c>
      <c r="V143" s="24" t="s">
        <v>3500</v>
      </c>
      <c r="W143" s="25" t="s">
        <v>3501</v>
      </c>
      <c r="X143" s="26" t="s">
        <v>3502</v>
      </c>
      <c r="Y143" s="27" t="s">
        <v>3503</v>
      </c>
      <c r="Z143" s="28" t="s">
        <v>3504</v>
      </c>
      <c r="AA143" s="29" t="s">
        <v>3505</v>
      </c>
      <c r="AB143" s="30" t="s">
        <v>3506</v>
      </c>
      <c r="AC143" t="str">
        <f>IF(ISBLANK(H143),VLOOKUP(P143,'US Supervisor Map'!A:D,4,FALSE),MID(H143,4,6))</f>
        <v>213037</v>
      </c>
      <c r="AD143" t="str">
        <f>IFERROR(VLOOKUP(T143,'Org Map'!A:E,4),"BU Description Not Mapped")</f>
        <v>0096</v>
      </c>
      <c r="AE143">
        <f>IFERROR(VLOOKUP(V143,'Org Map'!C:E,3),"Home Department Code Not Mapped")</f>
        <v>718</v>
      </c>
      <c r="AF143" t="str">
        <f>IFERROR(VLOOKUP(AA143,'Salary Map'!A:D,3,FALSE),"Salary Code Not Mapped")</f>
        <v>Default</v>
      </c>
      <c r="AG143" t="str">
        <f>IFERROR(VLOOKUP(AA143,'Salary Map'!A:D,4,FALSE),"Salary Code Not Mapped")</f>
        <v>General</v>
      </c>
      <c r="AH143" t="str">
        <f>IFERROR(VLOOKUP(Z143,'Country Map'!A:B,2,FALSE),"Legal Country Not Mapped")</f>
        <v>US</v>
      </c>
      <c r="AI143" t="str">
        <f>IFERROR(VLOOKUP(X143,'Language Map'!A:C,3,FALSE),IFERROR(VLOOKUP(T143,'Org Map'!A:F,6,FALSE),"ADP and BU Language Code Not Mapped"))&amp;AH143</f>
        <v>en_US</v>
      </c>
      <c r="AJ143" t="str">
        <f>IFERROR(VLOOKUP(T143,'Org Map'!A:G,7),"BU Currency Not Mapped")</f>
        <v>USD</v>
      </c>
      <c r="AK143" t="str">
        <f t="shared" si="18"/>
        <v/>
      </c>
      <c r="AL143" t="str">
        <f>IFERROR(VLOOKUP(O143,'Status Map'!A:B,2,FALSE),"Position Status Not Mapped")</f>
        <v>Y</v>
      </c>
      <c r="AM143" t="str">
        <f t="shared" si="23"/>
        <v/>
      </c>
      <c r="AO143" t="str">
        <f t="shared" si="19"/>
        <v>RobertProsowski</v>
      </c>
      <c r="AP143" t="str">
        <f t="shared" si="20"/>
        <v>Bate</v>
      </c>
      <c r="AQ143" t="str">
        <f t="shared" si="21"/>
        <v>213037</v>
      </c>
      <c r="AR143" t="b">
        <f t="shared" si="22"/>
        <v>1</v>
      </c>
    </row>
    <row r="144" spans="1:44">
      <c r="A144" s="3" t="s">
        <v>3507</v>
      </c>
      <c r="B144" s="4" t="s">
        <v>3508</v>
      </c>
      <c r="C144" s="5" t="s">
        <v>3509</v>
      </c>
      <c r="D144" s="6" t="s">
        <v>3510</v>
      </c>
      <c r="E144" s="7" t="s">
        <v>3511</v>
      </c>
      <c r="F144" s="8" t="s">
        <v>3512</v>
      </c>
      <c r="G144" s="9" t="s">
        <v>3513</v>
      </c>
      <c r="H144" s="10" t="s">
        <v>3514</v>
      </c>
      <c r="I144" s="11" t="s">
        <v>3515</v>
      </c>
      <c r="J144" s="12" t="s">
        <v>3516</v>
      </c>
      <c r="K144" s="13" t="s">
        <v>3517</v>
      </c>
      <c r="L144" s="14">
        <v>45113</v>
      </c>
      <c r="M144" s="15"/>
      <c r="N144" s="16"/>
      <c r="O144" s="17" t="s">
        <v>3518</v>
      </c>
      <c r="P144" s="18" t="s">
        <v>3519</v>
      </c>
      <c r="Q144" s="19" t="s">
        <v>3520</v>
      </c>
      <c r="R144" s="20" t="s">
        <v>3521</v>
      </c>
      <c r="S144" s="21" t="s">
        <v>3522</v>
      </c>
      <c r="T144" s="22" t="s">
        <v>3523</v>
      </c>
      <c r="U144" s="23" t="s">
        <v>3524</v>
      </c>
      <c r="V144" s="24" t="s">
        <v>3525</v>
      </c>
      <c r="W144" s="25" t="s">
        <v>3526</v>
      </c>
      <c r="X144" s="26" t="s">
        <v>3527</v>
      </c>
      <c r="Y144" s="27" t="s">
        <v>3528</v>
      </c>
      <c r="Z144" s="28" t="s">
        <v>3529</v>
      </c>
      <c r="AA144" s="29" t="s">
        <v>3530</v>
      </c>
      <c r="AB144" s="30" t="s">
        <v>3531</v>
      </c>
      <c r="AC144" t="str">
        <f>IF(ISBLANK(H144),VLOOKUP(P144,'US Supervisor Map'!A:D,4,FALSE),MID(H144,4,6))</f>
        <v>207588</v>
      </c>
      <c r="AD144" t="str">
        <f>IFERROR(VLOOKUP(T144,'Org Map'!A:E,4),"BU Description Not Mapped")</f>
        <v>0088</v>
      </c>
      <c r="AE144">
        <f>IFERROR(VLOOKUP(V144,'Org Map'!C:E,3),"Home Department Code Not Mapped")</f>
        <v>8200</v>
      </c>
      <c r="AF144" t="str">
        <f>IFERROR(VLOOKUP(AA144,'Salary Map'!A:D,3,FALSE),"Salary Code Not Mapped")</f>
        <v>Default</v>
      </c>
      <c r="AG144" t="str">
        <f>IFERROR(VLOOKUP(AA144,'Salary Map'!A:D,4,FALSE),"Salary Code Not Mapped")</f>
        <v>General</v>
      </c>
      <c r="AH144" t="str">
        <f>IFERROR(VLOOKUP(Z144,'Country Map'!A:B,2,FALSE),"Legal Country Not Mapped")</f>
        <v>US</v>
      </c>
      <c r="AI144" t="str">
        <f>IFERROR(VLOOKUP(X144,'Language Map'!A:C,3,FALSE),IFERROR(VLOOKUP(T144,'Org Map'!A:F,6,FALSE),"ADP and BU Language Code Not Mapped"))&amp;AH144</f>
        <v>en_US</v>
      </c>
      <c r="AJ144" t="str">
        <f>IFERROR(VLOOKUP(T144,'Org Map'!A:G,7),"BU Currency Not Mapped")</f>
        <v>USD</v>
      </c>
      <c r="AK144" t="str">
        <f t="shared" si="18"/>
        <v/>
      </c>
      <c r="AL144" t="str">
        <f>IFERROR(VLOOKUP(O144,'Status Map'!A:B,2,FALSE),"Position Status Not Mapped")</f>
        <v>Y</v>
      </c>
      <c r="AM144" t="str">
        <f t="shared" si="23"/>
        <v/>
      </c>
      <c r="AO144" t="str">
        <f t="shared" si="19"/>
        <v>JeffRaese</v>
      </c>
      <c r="AP144" t="str">
        <f t="shared" si="20"/>
        <v>Rodriguez</v>
      </c>
      <c r="AQ144" t="str">
        <f t="shared" si="21"/>
        <v>212338</v>
      </c>
      <c r="AR144" s="77" t="b">
        <f t="shared" si="22"/>
        <v>0</v>
      </c>
    </row>
    <row r="145" spans="1:44">
      <c r="A145" s="3" t="s">
        <v>3532</v>
      </c>
      <c r="B145" s="4" t="s">
        <v>3533</v>
      </c>
      <c r="C145" s="5" t="s">
        <v>3534</v>
      </c>
      <c r="D145" s="6" t="s">
        <v>3535</v>
      </c>
      <c r="E145" s="7" t="s">
        <v>3536</v>
      </c>
      <c r="F145" s="8" t="s">
        <v>3537</v>
      </c>
      <c r="G145" s="9" t="s">
        <v>3538</v>
      </c>
      <c r="H145" s="36" t="s">
        <v>3539</v>
      </c>
      <c r="I145" s="11" t="s">
        <v>3540</v>
      </c>
      <c r="J145" s="12" t="s">
        <v>3541</v>
      </c>
      <c r="K145" s="13" t="s">
        <v>3542</v>
      </c>
      <c r="L145" s="14">
        <v>45474</v>
      </c>
      <c r="M145" s="15">
        <v>46175</v>
      </c>
      <c r="N145" s="16"/>
      <c r="O145" s="17" t="s">
        <v>3543</v>
      </c>
      <c r="P145" s="18" t="s">
        <v>3544</v>
      </c>
      <c r="Q145" s="19" t="s">
        <v>3545</v>
      </c>
      <c r="R145" s="20" t="s">
        <v>3546</v>
      </c>
      <c r="S145" s="21" t="s">
        <v>3547</v>
      </c>
      <c r="T145" s="22" t="s">
        <v>3548</v>
      </c>
      <c r="U145" s="23" t="s">
        <v>3549</v>
      </c>
      <c r="V145" s="24" t="s">
        <v>3550</v>
      </c>
      <c r="W145" s="25" t="s">
        <v>3551</v>
      </c>
      <c r="X145" s="26" t="s">
        <v>3552</v>
      </c>
      <c r="Y145" s="27" t="s">
        <v>3553</v>
      </c>
      <c r="Z145" s="28" t="s">
        <v>3554</v>
      </c>
      <c r="AA145" s="29" t="s">
        <v>3555</v>
      </c>
      <c r="AB145" s="30" t="s">
        <v>3556</v>
      </c>
      <c r="AC145" s="77" t="str">
        <f>IF(ISBLANK(H145),VLOOKUP(P145,'US Supervisor Map'!A:D,4,FALSE),MID(H145,4,6))</f>
        <v/>
      </c>
      <c r="AD145" t="str">
        <f>IFERROR(VLOOKUP(T145,'Org Map'!A:E,4),"BU Description Not Mapped")</f>
        <v>0088</v>
      </c>
      <c r="AE145" t="str">
        <f>IFERROR(VLOOKUP(V145,'Org Map'!C:E,3),"Home Department Code Not Mapped")</f>
        <v>Home Department Code Not Mapped</v>
      </c>
      <c r="AF145" t="str">
        <f>IFERROR(VLOOKUP(AA145,'Salary Map'!A:D,3,FALSE),"Salary Code Not Mapped")</f>
        <v>Default</v>
      </c>
      <c r="AG145" t="str">
        <f>IFERROR(VLOOKUP(AA145,'Salary Map'!A:D,4,FALSE),"Salary Code Not Mapped")</f>
        <v>General</v>
      </c>
      <c r="AH145" t="str">
        <f>IFERROR(VLOOKUP(Z145,'Country Map'!A:B,2,FALSE),"Legal Country Not Mapped")</f>
        <v>US</v>
      </c>
      <c r="AI145" t="str">
        <f>IFERROR(VLOOKUP(X145,'Language Map'!A:C,3,FALSE),IFERROR(VLOOKUP(T145,'Org Map'!A:F,6,FALSE),"ADP and BU Language Code Not Mapped"))&amp;AH145</f>
        <v>en_US</v>
      </c>
      <c r="AJ145" t="str">
        <f>IFERROR(VLOOKUP(T145,'Org Map'!A:G,7),"BU Currency Not Mapped")</f>
        <v>USD</v>
      </c>
      <c r="AK145" t="str">
        <f t="shared" si="18"/>
        <v/>
      </c>
      <c r="AL145" t="str">
        <f>IFERROR(VLOOKUP(O145,'Status Map'!A:B,2,FALSE),"Position Status Not Mapped")</f>
        <v>N</v>
      </c>
      <c r="AM145" t="str">
        <f t="shared" si="23"/>
        <v>20260602</v>
      </c>
      <c r="AN145" t="str">
        <f>IF(M145&gt;AN140,"Fix and Include Record","Exclude record termination over 45 days ago")</f>
        <v>Exclude record termination over 45 days ago</v>
      </c>
      <c r="AO145" t="str">
        <f t="shared" si="19"/>
        <v>JonathanRafferty</v>
      </c>
      <c r="AP145" t="e">
        <f t="shared" si="20"/>
        <v>#VALUE!</v>
      </c>
      <c r="AQ145" t="str">
        <f t="shared" si="21"/>
        <v>No Reports to Name</v>
      </c>
      <c r="AR145" t="b">
        <f t="shared" si="22"/>
        <v>0</v>
      </c>
    </row>
    <row r="146" spans="1:44">
      <c r="A146" s="3" t="s">
        <v>3557</v>
      </c>
      <c r="B146" s="4" t="s">
        <v>3558</v>
      </c>
      <c r="C146" s="5" t="s">
        <v>3559</v>
      </c>
      <c r="D146" s="6" t="s">
        <v>3560</v>
      </c>
      <c r="E146" s="7" t="s">
        <v>3561</v>
      </c>
      <c r="F146" s="8" t="s">
        <v>3562</v>
      </c>
      <c r="G146" s="9" t="s">
        <v>3563</v>
      </c>
      <c r="H146" s="10" t="s">
        <v>3564</v>
      </c>
      <c r="I146" s="11" t="s">
        <v>3565</v>
      </c>
      <c r="J146" s="12" t="s">
        <v>3566</v>
      </c>
      <c r="K146" s="13" t="s">
        <v>3567</v>
      </c>
      <c r="L146" s="14">
        <v>45474</v>
      </c>
      <c r="M146" s="15"/>
      <c r="N146" s="16"/>
      <c r="O146" s="17" t="s">
        <v>3568</v>
      </c>
      <c r="P146" s="18" t="s">
        <v>3569</v>
      </c>
      <c r="Q146" s="19" t="s">
        <v>3570</v>
      </c>
      <c r="R146" s="20" t="s">
        <v>3571</v>
      </c>
      <c r="S146" s="21" t="s">
        <v>3572</v>
      </c>
      <c r="T146" s="22" t="s">
        <v>3573</v>
      </c>
      <c r="U146" s="23" t="s">
        <v>3574</v>
      </c>
      <c r="V146" s="24" t="s">
        <v>3575</v>
      </c>
      <c r="W146" s="25" t="s">
        <v>3576</v>
      </c>
      <c r="X146" s="26" t="s">
        <v>3577</v>
      </c>
      <c r="Y146" s="27" t="s">
        <v>3578</v>
      </c>
      <c r="Z146" s="28" t="s">
        <v>3579</v>
      </c>
      <c r="AA146" s="29" t="s">
        <v>3580</v>
      </c>
      <c r="AB146" s="30" t="s">
        <v>3581</v>
      </c>
      <c r="AC146" t="str">
        <f>IF(ISBLANK(H146),VLOOKUP(P146,'US Supervisor Map'!A:D,4,FALSE),MID(H146,4,6))</f>
        <v>211766</v>
      </c>
      <c r="AD146" t="str">
        <f>IFERROR(VLOOKUP(T146,'Org Map'!A:E,4),"BU Description Not Mapped")</f>
        <v>0088</v>
      </c>
      <c r="AE146">
        <f>IFERROR(VLOOKUP(V146,'Org Map'!C:E,3),"Home Department Code Not Mapped")</f>
        <v>8100</v>
      </c>
      <c r="AF146" t="str">
        <f>IFERROR(VLOOKUP(AA146,'Salary Map'!A:D,3,FALSE),"Salary Code Not Mapped")</f>
        <v>Default</v>
      </c>
      <c r="AG146" t="str">
        <f>IFERROR(VLOOKUP(AA146,'Salary Map'!A:D,4,FALSE),"Salary Code Not Mapped")</f>
        <v>General</v>
      </c>
      <c r="AH146" t="str">
        <f>IFERROR(VLOOKUP(Z146,'Country Map'!A:B,2,FALSE),"Legal Country Not Mapped")</f>
        <v>US</v>
      </c>
      <c r="AI146" t="str">
        <f>IFERROR(VLOOKUP(X146,'Language Map'!A:C,3,FALSE),IFERROR(VLOOKUP(T146,'Org Map'!A:F,6,FALSE),"ADP and BU Language Code Not Mapped"))&amp;AH146</f>
        <v>en_US</v>
      </c>
      <c r="AJ146" t="str">
        <f>IFERROR(VLOOKUP(T146,'Org Map'!A:G,7),"BU Currency Not Mapped")</f>
        <v>USD</v>
      </c>
      <c r="AK146" t="str">
        <f t="shared" si="18"/>
        <v/>
      </c>
      <c r="AL146" t="str">
        <f>IFERROR(VLOOKUP(O146,'Status Map'!A:B,2,FALSE),"Position Status Not Mapped")</f>
        <v>Y</v>
      </c>
      <c r="AM146" t="str">
        <f t="shared" si="23"/>
        <v/>
      </c>
      <c r="AO146" t="str">
        <f t="shared" si="19"/>
        <v>JonathanRafferty</v>
      </c>
      <c r="AP146" t="str">
        <f t="shared" si="20"/>
        <v>Kemenah</v>
      </c>
      <c r="AQ146" t="str">
        <f t="shared" si="21"/>
        <v>211766</v>
      </c>
      <c r="AR146" t="b">
        <f t="shared" si="22"/>
        <v>1</v>
      </c>
    </row>
    <row r="147" spans="1:44">
      <c r="A147" s="3" t="s">
        <v>3582</v>
      </c>
      <c r="B147" s="4" t="s">
        <v>3583</v>
      </c>
      <c r="C147" s="5" t="s">
        <v>3584</v>
      </c>
      <c r="D147" s="6" t="s">
        <v>3585</v>
      </c>
      <c r="E147" s="7" t="s">
        <v>3586</v>
      </c>
      <c r="F147" s="8" t="s">
        <v>3587</v>
      </c>
      <c r="G147" s="9" t="s">
        <v>3588</v>
      </c>
      <c r="H147" s="10" t="s">
        <v>3589</v>
      </c>
      <c r="I147" s="11" t="s">
        <v>3590</v>
      </c>
      <c r="J147" s="12" t="s">
        <v>3591</v>
      </c>
      <c r="K147" s="13" t="s">
        <v>3592</v>
      </c>
      <c r="L147" s="14">
        <v>45117</v>
      </c>
      <c r="M147" s="15"/>
      <c r="N147" s="16"/>
      <c r="O147" s="17" t="s">
        <v>3593</v>
      </c>
      <c r="P147" s="18" t="s">
        <v>3594</v>
      </c>
      <c r="Q147" s="19" t="s">
        <v>3595</v>
      </c>
      <c r="R147" s="20" t="s">
        <v>3596</v>
      </c>
      <c r="S147" s="21" t="s">
        <v>3597</v>
      </c>
      <c r="T147" s="22" t="s">
        <v>3598</v>
      </c>
      <c r="U147" s="23" t="s">
        <v>3599</v>
      </c>
      <c r="V147" s="24" t="s">
        <v>3600</v>
      </c>
      <c r="W147" s="25" t="s">
        <v>3601</v>
      </c>
      <c r="X147" s="26" t="s">
        <v>3602</v>
      </c>
      <c r="Y147" s="27" t="s">
        <v>3603</v>
      </c>
      <c r="Z147" s="28" t="s">
        <v>3604</v>
      </c>
      <c r="AA147" s="29" t="s">
        <v>3605</v>
      </c>
      <c r="AB147" s="30" t="s">
        <v>3606</v>
      </c>
      <c r="AC147" t="str">
        <f>IF(ISBLANK(H147),VLOOKUP(P147,'US Supervisor Map'!A:D,4,FALSE),MID(H147,4,6))</f>
        <v>211736</v>
      </c>
      <c r="AD147" t="str">
        <f>IFERROR(VLOOKUP(T147,'Org Map'!A:E,4),"BU Description Not Mapped")</f>
        <v>0088</v>
      </c>
      <c r="AE147">
        <f>IFERROR(VLOOKUP(V147,'Org Map'!C:E,3),"Home Department Code Not Mapped")</f>
        <v>5200</v>
      </c>
      <c r="AF147" t="str">
        <f>IFERROR(VLOOKUP(AA147,'Salary Map'!A:D,3,FALSE),"Salary Code Not Mapped")</f>
        <v>Default</v>
      </c>
      <c r="AG147" t="str">
        <f>IFERROR(VLOOKUP(AA147,'Salary Map'!A:D,4,FALSE),"Salary Code Not Mapped")</f>
        <v>General</v>
      </c>
      <c r="AH147" t="str">
        <f>IFERROR(VLOOKUP(Z147,'Country Map'!A:B,2,FALSE),"Legal Country Not Mapped")</f>
        <v>US</v>
      </c>
      <c r="AI147" t="str">
        <f>IFERROR(VLOOKUP(X147,'Language Map'!A:C,3,FALSE),IFERROR(VLOOKUP(T147,'Org Map'!A:F,6,FALSE),"ADP and BU Language Code Not Mapped"))&amp;AH147</f>
        <v>en_US</v>
      </c>
      <c r="AJ147" t="str">
        <f>IFERROR(VLOOKUP(T147,'Org Map'!A:G,7),"BU Currency Not Mapped")</f>
        <v>USD</v>
      </c>
      <c r="AK147" t="str">
        <f t="shared" si="18"/>
        <v/>
      </c>
      <c r="AL147" t="str">
        <f>IFERROR(VLOOKUP(O147,'Status Map'!A:B,2,FALSE),"Position Status Not Mapped")</f>
        <v>Y</v>
      </c>
      <c r="AM147" t="str">
        <f t="shared" si="23"/>
        <v/>
      </c>
      <c r="AO147" t="str">
        <f t="shared" si="19"/>
        <v>JacquelineMReed</v>
      </c>
      <c r="AP147" t="str">
        <f t="shared" si="20"/>
        <v>LaPlante</v>
      </c>
      <c r="AQ147" t="str">
        <f t="shared" si="21"/>
        <v>211736</v>
      </c>
      <c r="AR147" t="b">
        <f t="shared" si="22"/>
        <v>1</v>
      </c>
    </row>
    <row r="148" spans="1:44">
      <c r="A148" s="3" t="s">
        <v>3607</v>
      </c>
      <c r="B148" s="4" t="s">
        <v>3608</v>
      </c>
      <c r="C148" s="5" t="s">
        <v>3609</v>
      </c>
      <c r="D148" s="6" t="s">
        <v>3610</v>
      </c>
      <c r="E148" s="7" t="s">
        <v>3611</v>
      </c>
      <c r="F148" s="8" t="s">
        <v>3612</v>
      </c>
      <c r="G148" s="9" t="s">
        <v>3613</v>
      </c>
      <c r="H148" s="10" t="s">
        <v>3614</v>
      </c>
      <c r="I148" s="11" t="s">
        <v>3615</v>
      </c>
      <c r="J148" s="12" t="s">
        <v>3616</v>
      </c>
      <c r="K148" s="13" t="s">
        <v>3617</v>
      </c>
      <c r="L148" s="14">
        <v>45817</v>
      </c>
      <c r="M148" s="15"/>
      <c r="N148" s="16"/>
      <c r="O148" s="17" t="s">
        <v>3618</v>
      </c>
      <c r="P148" s="18" t="s">
        <v>3619</v>
      </c>
      <c r="Q148" s="19" t="s">
        <v>3620</v>
      </c>
      <c r="R148" s="20" t="s">
        <v>3621</v>
      </c>
      <c r="S148" s="21" t="s">
        <v>3622</v>
      </c>
      <c r="T148" s="22" t="s">
        <v>3623</v>
      </c>
      <c r="U148" s="23" t="s">
        <v>3624</v>
      </c>
      <c r="V148" s="24" t="s">
        <v>3625</v>
      </c>
      <c r="W148" s="25" t="s">
        <v>3626</v>
      </c>
      <c r="X148" s="26" t="s">
        <v>3627</v>
      </c>
      <c r="Y148" s="27" t="s">
        <v>3628</v>
      </c>
      <c r="Z148" s="28" t="s">
        <v>3629</v>
      </c>
      <c r="AA148" s="29" t="s">
        <v>3630</v>
      </c>
      <c r="AB148" s="30" t="s">
        <v>3631</v>
      </c>
      <c r="AC148" t="str">
        <f>IF(ISBLANK(H148),VLOOKUP(P148,'US Supervisor Map'!A:D,4,FALSE),MID(H148,4,6))</f>
        <v>211756</v>
      </c>
      <c r="AD148" t="str">
        <f>IFERROR(VLOOKUP(T148,'Org Map'!A:E,4),"BU Description Not Mapped")</f>
        <v>0088</v>
      </c>
      <c r="AE148">
        <f>IFERROR(VLOOKUP(V148,'Org Map'!C:E,3),"Home Department Code Not Mapped")</f>
        <v>5100</v>
      </c>
      <c r="AF148" t="str">
        <f>IFERROR(VLOOKUP(AA148,'Salary Map'!A:D,3,FALSE),"Salary Code Not Mapped")</f>
        <v>Default</v>
      </c>
      <c r="AG148" t="str">
        <f>IFERROR(VLOOKUP(AA148,'Salary Map'!A:D,4,FALSE),"Salary Code Not Mapped")</f>
        <v>General</v>
      </c>
      <c r="AH148" t="str">
        <f>IFERROR(VLOOKUP(Z148,'Country Map'!A:B,2,FALSE),"Legal Country Not Mapped")</f>
        <v>US</v>
      </c>
      <c r="AI148" t="str">
        <f>IFERROR(VLOOKUP(X148,'Language Map'!A:C,3,FALSE),IFERROR(VLOOKUP(T148,'Org Map'!A:F,6,FALSE),"ADP and BU Language Code Not Mapped"))&amp;AH148</f>
        <v>en_US</v>
      </c>
      <c r="AJ148" t="str">
        <f>IFERROR(VLOOKUP(T148,'Org Map'!A:G,7),"BU Currency Not Mapped")</f>
        <v>USD</v>
      </c>
      <c r="AK148" t="str">
        <f t="shared" si="18"/>
        <v/>
      </c>
      <c r="AL148" t="str">
        <f>IFERROR(VLOOKUP(O148,'Status Map'!A:B,2,FALSE),"Position Status Not Mapped")</f>
        <v>Y</v>
      </c>
      <c r="AM148" t="str">
        <f t="shared" si="23"/>
        <v/>
      </c>
      <c r="AO148" t="str">
        <f t="shared" si="19"/>
        <v>JohnnyAReyes</v>
      </c>
      <c r="AP148" t="str">
        <f t="shared" si="20"/>
        <v>Burchell</v>
      </c>
      <c r="AQ148" t="str">
        <f t="shared" si="21"/>
        <v>211756</v>
      </c>
      <c r="AR148" t="b">
        <f t="shared" si="22"/>
        <v>1</v>
      </c>
    </row>
    <row r="149" spans="1:44">
      <c r="A149" s="3" t="s">
        <v>3632</v>
      </c>
      <c r="B149" s="4" t="s">
        <v>3633</v>
      </c>
      <c r="C149" s="5" t="s">
        <v>3634</v>
      </c>
      <c r="D149" s="6" t="s">
        <v>3635</v>
      </c>
      <c r="E149" s="7" t="s">
        <v>3636</v>
      </c>
      <c r="F149" s="8" t="s">
        <v>3637</v>
      </c>
      <c r="G149" s="9" t="s">
        <v>3638</v>
      </c>
      <c r="H149" s="10" t="s">
        <v>3639</v>
      </c>
      <c r="I149" s="11" t="s">
        <v>3640</v>
      </c>
      <c r="J149" s="12" t="s">
        <v>3641</v>
      </c>
      <c r="K149" s="13" t="s">
        <v>3642</v>
      </c>
      <c r="L149" s="14">
        <v>45334</v>
      </c>
      <c r="M149" s="15">
        <v>46262</v>
      </c>
      <c r="N149" s="16"/>
      <c r="O149" s="17" t="s">
        <v>3643</v>
      </c>
      <c r="P149" s="18" t="s">
        <v>3644</v>
      </c>
      <c r="Q149" s="19" t="s">
        <v>3645</v>
      </c>
      <c r="R149" s="20" t="s">
        <v>3646</v>
      </c>
      <c r="S149" s="21" t="s">
        <v>3647</v>
      </c>
      <c r="T149" s="22" t="s">
        <v>3648</v>
      </c>
      <c r="U149" s="23" t="s">
        <v>3649</v>
      </c>
      <c r="V149" s="24" t="s">
        <v>3650</v>
      </c>
      <c r="W149" s="25" t="s">
        <v>3651</v>
      </c>
      <c r="X149" s="26" t="s">
        <v>3652</v>
      </c>
      <c r="Y149" s="27" t="s">
        <v>3653</v>
      </c>
      <c r="Z149" s="28" t="s">
        <v>3654</v>
      </c>
      <c r="AA149" s="29" t="s">
        <v>3655</v>
      </c>
      <c r="AB149" s="30" t="s">
        <v>3656</v>
      </c>
      <c r="AC149" t="str">
        <f>IF(ISBLANK(H149),VLOOKUP(P149,'US Supervisor Map'!A:D,4,FALSE),MID(H149,4,6))</f>
        <v>211736</v>
      </c>
      <c r="AD149" t="str">
        <f>IFERROR(VLOOKUP(T149,'Org Map'!A:E,4),"BU Description Not Mapped")</f>
        <v>0088</v>
      </c>
      <c r="AE149">
        <f>IFERROR(VLOOKUP(V149,'Org Map'!C:E,3),"Home Department Code Not Mapped")</f>
        <v>5200</v>
      </c>
      <c r="AF149" t="str">
        <f>IFERROR(VLOOKUP(AA149,'Salary Map'!A:D,3,FALSE),"Salary Code Not Mapped")</f>
        <v>Default</v>
      </c>
      <c r="AG149" t="str">
        <f>IFERROR(VLOOKUP(AA149,'Salary Map'!A:D,4,FALSE),"Salary Code Not Mapped")</f>
        <v>General</v>
      </c>
      <c r="AH149" t="str">
        <f>IFERROR(VLOOKUP(Z149,'Country Map'!A:B,2,FALSE),"Legal Country Not Mapped")</f>
        <v>US</v>
      </c>
      <c r="AI149" t="str">
        <f>IFERROR(VLOOKUP(X149,'Language Map'!A:C,3,FALSE),IFERROR(VLOOKUP(T149,'Org Map'!A:F,6,FALSE),"ADP and BU Language Code Not Mapped"))&amp;AH149</f>
        <v>en_US</v>
      </c>
      <c r="AJ149" t="str">
        <f>IFERROR(VLOOKUP(T149,'Org Map'!A:G,7),"BU Currency Not Mapped")</f>
        <v>USD</v>
      </c>
      <c r="AK149" t="str">
        <f t="shared" si="18"/>
        <v/>
      </c>
      <c r="AL149" t="str">
        <f>IFERROR(VLOOKUP(O149,'Status Map'!A:B,2,FALSE),"Position Status Not Mapped")</f>
        <v>N</v>
      </c>
      <c r="AM149" t="str">
        <f t="shared" si="23"/>
        <v>20260828</v>
      </c>
      <c r="AN149" t="str">
        <f t="shared" ref="AN149:AN150" si="24">IF(M149&gt;AN144,"Fix and Include Record","Exclude record termination over 45 days ago")</f>
        <v>Fix and Include Record</v>
      </c>
      <c r="AO149" t="str">
        <f t="shared" si="19"/>
        <v>CassandraGRichards</v>
      </c>
      <c r="AP149" t="str">
        <f t="shared" si="20"/>
        <v>LaPlante</v>
      </c>
      <c r="AQ149" t="str">
        <f t="shared" si="21"/>
        <v>211736</v>
      </c>
      <c r="AR149" t="b">
        <f t="shared" si="22"/>
        <v>1</v>
      </c>
    </row>
    <row r="150" spans="1:44">
      <c r="A150" s="3" t="s">
        <v>3657</v>
      </c>
      <c r="B150" s="4" t="s">
        <v>3658</v>
      </c>
      <c r="C150" s="5" t="s">
        <v>3659</v>
      </c>
      <c r="D150" s="6" t="s">
        <v>3660</v>
      </c>
      <c r="E150" s="7" t="s">
        <v>3661</v>
      </c>
      <c r="F150" s="8" t="s">
        <v>3662</v>
      </c>
      <c r="G150" s="9" t="s">
        <v>3663</v>
      </c>
      <c r="H150" s="36" t="s">
        <v>3664</v>
      </c>
      <c r="I150" s="31" t="s">
        <v>3665</v>
      </c>
      <c r="J150" s="12" t="s">
        <v>3666</v>
      </c>
      <c r="K150" s="13" t="s">
        <v>3667</v>
      </c>
      <c r="L150" s="14">
        <v>46053</v>
      </c>
      <c r="M150" s="15">
        <v>46054</v>
      </c>
      <c r="N150" s="16"/>
      <c r="O150" s="17" t="s">
        <v>3668</v>
      </c>
      <c r="P150" s="18" t="s">
        <v>3669</v>
      </c>
      <c r="Q150" s="19" t="s">
        <v>3670</v>
      </c>
      <c r="R150" s="20" t="s">
        <v>3671</v>
      </c>
      <c r="S150" s="21" t="s">
        <v>3672</v>
      </c>
      <c r="T150" s="22" t="s">
        <v>3673</v>
      </c>
      <c r="U150" s="23" t="s">
        <v>3674</v>
      </c>
      <c r="V150" s="24" t="s">
        <v>3675</v>
      </c>
      <c r="W150" s="25" t="s">
        <v>3676</v>
      </c>
      <c r="X150" s="26" t="s">
        <v>3677</v>
      </c>
      <c r="Y150" s="27" t="s">
        <v>3678</v>
      </c>
      <c r="Z150" s="28" t="s">
        <v>3679</v>
      </c>
      <c r="AA150" s="29" t="s">
        <v>3680</v>
      </c>
      <c r="AB150" s="30" t="s">
        <v>3681</v>
      </c>
      <c r="AC150" s="77" t="str">
        <f>IF(ISBLANK(H150),VLOOKUP(P150,'US Supervisor Map'!A:D,4,FALSE),MID(H150,4,6))</f>
        <v/>
      </c>
      <c r="AD150" t="str">
        <f>IFERROR(VLOOKUP(T150,'Org Map'!A:E,4),"BU Description Not Mapped")</f>
        <v>BU Description Not Mapped</v>
      </c>
      <c r="AE150" t="str">
        <f>IFERROR(VLOOKUP(V150,'Org Map'!C:E,3),"Home Department Code Not Mapped")</f>
        <v>Home Department Code Not Mapped</v>
      </c>
      <c r="AF150" t="str">
        <f>IFERROR(VLOOKUP(AA150,'Salary Map'!A:D,3,FALSE),"Salary Code Not Mapped")</f>
        <v>Salary Code Not Mapped</v>
      </c>
      <c r="AG150" t="str">
        <f>IFERROR(VLOOKUP(AA150,'Salary Map'!A:D,4,FALSE),"Salary Code Not Mapped")</f>
        <v>Salary Code Not Mapped</v>
      </c>
      <c r="AH150" t="str">
        <f>IFERROR(VLOOKUP(Z150,'Country Map'!A:B,2,FALSE),"Legal Country Not Mapped")</f>
        <v>US</v>
      </c>
      <c r="AI150" t="str">
        <f>IFERROR(VLOOKUP(X150,'Language Map'!A:C,3,FALSE),IFERROR(VLOOKUP(T150,'Org Map'!A:F,6,FALSE),"ADP and BU Language Code Not Mapped"))&amp;AH150</f>
        <v>ADP and BU Language Code Not MappedUS</v>
      </c>
      <c r="AJ150" t="str">
        <f>IFERROR(VLOOKUP(T150,'Org Map'!A:G,7),"BU Currency Not Mapped")</f>
        <v>BU Currency Not Mapped</v>
      </c>
      <c r="AK150" t="str">
        <f t="shared" si="18"/>
        <v/>
      </c>
      <c r="AL150" t="str">
        <f>IFERROR(VLOOKUP(O150,'Status Map'!A:B,2,FALSE),"Position Status Not Mapped")</f>
        <v>N</v>
      </c>
      <c r="AM150" t="str">
        <f t="shared" si="23"/>
        <v>20260201</v>
      </c>
      <c r="AN150" t="str">
        <f t="shared" si="24"/>
        <v>Exclude record termination over 45 days ago</v>
      </c>
      <c r="AO150" t="str">
        <f t="shared" si="19"/>
        <v>JillRockow</v>
      </c>
      <c r="AP150" t="e">
        <f t="shared" si="20"/>
        <v>#VALUE!</v>
      </c>
      <c r="AQ150" t="str">
        <f t="shared" si="21"/>
        <v>No Reports to Name</v>
      </c>
      <c r="AR150" t="b">
        <f t="shared" si="22"/>
        <v>0</v>
      </c>
    </row>
    <row r="151" spans="1:44">
      <c r="A151" s="3" t="s">
        <v>3682</v>
      </c>
      <c r="B151" s="4" t="s">
        <v>3683</v>
      </c>
      <c r="C151" s="5" t="s">
        <v>3684</v>
      </c>
      <c r="D151" s="6" t="s">
        <v>3685</v>
      </c>
      <c r="E151" s="7" t="s">
        <v>3686</v>
      </c>
      <c r="F151" s="8" t="s">
        <v>3687</v>
      </c>
      <c r="G151" s="9" t="s">
        <v>3688</v>
      </c>
      <c r="H151" s="10" t="s">
        <v>3689</v>
      </c>
      <c r="I151" s="31" t="s">
        <v>3690</v>
      </c>
      <c r="J151" s="12" t="s">
        <v>3691</v>
      </c>
      <c r="K151" s="13" t="s">
        <v>3692</v>
      </c>
      <c r="L151" s="14">
        <v>45880</v>
      </c>
      <c r="M151" s="15"/>
      <c r="N151" s="16"/>
      <c r="O151" s="17" t="s">
        <v>3693</v>
      </c>
      <c r="P151" s="18" t="s">
        <v>3694</v>
      </c>
      <c r="Q151" s="19" t="s">
        <v>3695</v>
      </c>
      <c r="R151" s="20" t="s">
        <v>3696</v>
      </c>
      <c r="S151" s="21" t="s">
        <v>3697</v>
      </c>
      <c r="T151" s="22" t="s">
        <v>3698</v>
      </c>
      <c r="U151" s="23" t="s">
        <v>3699</v>
      </c>
      <c r="V151" s="24" t="s">
        <v>3700</v>
      </c>
      <c r="W151" s="25" t="s">
        <v>3701</v>
      </c>
      <c r="X151" s="26" t="s">
        <v>3702</v>
      </c>
      <c r="Y151" s="27" t="s">
        <v>3703</v>
      </c>
      <c r="Z151" s="28" t="s">
        <v>3704</v>
      </c>
      <c r="AA151" s="29" t="s">
        <v>3705</v>
      </c>
      <c r="AB151" s="30" t="s">
        <v>3706</v>
      </c>
      <c r="AC151" t="str">
        <f>IF(ISBLANK(H151),VLOOKUP(P151,'US Supervisor Map'!A:D,4,FALSE),MID(H151,4,6))</f>
        <v>211998</v>
      </c>
      <c r="AD151" t="str">
        <f>IFERROR(VLOOKUP(T151,'Org Map'!A:E,4),"BU Description Not Mapped")</f>
        <v>0096</v>
      </c>
      <c r="AE151">
        <f>IFERROR(VLOOKUP(V151,'Org Map'!C:E,3),"Home Department Code Not Mapped")</f>
        <v>200</v>
      </c>
      <c r="AF151" t="str">
        <f>IFERROR(VLOOKUP(AA151,'Salary Map'!A:D,3,FALSE),"Salary Code Not Mapped")</f>
        <v>Default</v>
      </c>
      <c r="AG151" t="str">
        <f>IFERROR(VLOOKUP(AA151,'Salary Map'!A:D,4,FALSE),"Salary Code Not Mapped")</f>
        <v>General</v>
      </c>
      <c r="AH151" t="str">
        <f>IFERROR(VLOOKUP(Z151,'Country Map'!A:B,2,FALSE),"Legal Country Not Mapped")</f>
        <v>US</v>
      </c>
      <c r="AI151" t="str">
        <f>IFERROR(VLOOKUP(X151,'Language Map'!A:C,3,FALSE),IFERROR(VLOOKUP(T151,'Org Map'!A:F,6,FALSE),"ADP and BU Language Code Not Mapped"))&amp;AH151</f>
        <v>en_US</v>
      </c>
      <c r="AJ151" t="str">
        <f>IFERROR(VLOOKUP(T151,'Org Map'!A:G,7),"BU Currency Not Mapped")</f>
        <v>USD</v>
      </c>
      <c r="AK151" t="str">
        <f t="shared" si="18"/>
        <v/>
      </c>
      <c r="AL151" t="str">
        <f>IFERROR(VLOOKUP(O151,'Status Map'!A:B,2,FALSE),"Position Status Not Mapped")</f>
        <v>Y</v>
      </c>
      <c r="AM151" t="str">
        <f t="shared" si="23"/>
        <v/>
      </c>
      <c r="AO151" t="str">
        <f t="shared" si="19"/>
        <v>RamonARodriguez</v>
      </c>
      <c r="AP151" t="str">
        <f t="shared" si="20"/>
        <v>Wallace</v>
      </c>
      <c r="AQ151" t="str">
        <f t="shared" si="21"/>
        <v>211998</v>
      </c>
      <c r="AR151" t="b">
        <f t="shared" si="22"/>
        <v>1</v>
      </c>
    </row>
    <row r="152" spans="1:44">
      <c r="A152" s="3" t="s">
        <v>3707</v>
      </c>
      <c r="B152" s="4" t="s">
        <v>3708</v>
      </c>
      <c r="C152" s="5" t="s">
        <v>3709</v>
      </c>
      <c r="D152" s="6" t="s">
        <v>3710</v>
      </c>
      <c r="E152" s="7" t="s">
        <v>3711</v>
      </c>
      <c r="F152" s="8" t="s">
        <v>3712</v>
      </c>
      <c r="G152" s="9" t="s">
        <v>3713</v>
      </c>
      <c r="H152" s="10" t="s">
        <v>3714</v>
      </c>
      <c r="I152" s="11" t="s">
        <v>3715</v>
      </c>
      <c r="J152" s="12" t="s">
        <v>3716</v>
      </c>
      <c r="K152" s="13" t="s">
        <v>3717</v>
      </c>
      <c r="L152" s="14">
        <v>44697</v>
      </c>
      <c r="M152" s="15"/>
      <c r="N152" s="16"/>
      <c r="O152" s="17" t="s">
        <v>3718</v>
      </c>
      <c r="P152" s="18" t="s">
        <v>3719</v>
      </c>
      <c r="Q152" s="19" t="s">
        <v>3720</v>
      </c>
      <c r="R152" s="20" t="s">
        <v>3721</v>
      </c>
      <c r="S152" s="21" t="s">
        <v>3722</v>
      </c>
      <c r="T152" s="22" t="s">
        <v>3723</v>
      </c>
      <c r="U152" s="23" t="s">
        <v>3724</v>
      </c>
      <c r="V152" s="24" t="s">
        <v>3725</v>
      </c>
      <c r="W152" s="25" t="s">
        <v>3726</v>
      </c>
      <c r="X152" s="26" t="s">
        <v>3727</v>
      </c>
      <c r="Y152" s="27" t="s">
        <v>3728</v>
      </c>
      <c r="Z152" s="28" t="s">
        <v>3729</v>
      </c>
      <c r="AA152" s="29" t="s">
        <v>3730</v>
      </c>
      <c r="AB152" s="30" t="s">
        <v>3731</v>
      </c>
      <c r="AC152" t="str">
        <f>IF(ISBLANK(H152),VLOOKUP(P152,'US Supervisor Map'!A:D,4,FALSE),MID(H152,4,6))</f>
        <v>207709</v>
      </c>
      <c r="AD152" t="str">
        <f>IFERROR(VLOOKUP(T152,'Org Map'!A:E,4),"BU Description Not Mapped")</f>
        <v>0096</v>
      </c>
      <c r="AE152">
        <f>IFERROR(VLOOKUP(V152,'Org Map'!C:E,3),"Home Department Code Not Mapped")</f>
        <v>820</v>
      </c>
      <c r="AF152" t="str">
        <f>IFERROR(VLOOKUP(AA152,'Salary Map'!A:D,3,FALSE),"Salary Code Not Mapped")</f>
        <v>Default</v>
      </c>
      <c r="AG152" t="str">
        <f>IFERROR(VLOOKUP(AA152,'Salary Map'!A:D,4,FALSE),"Salary Code Not Mapped")</f>
        <v>General</v>
      </c>
      <c r="AH152" t="str">
        <f>IFERROR(VLOOKUP(Z152,'Country Map'!A:B,2,FALSE),"Legal Country Not Mapped")</f>
        <v>US</v>
      </c>
      <c r="AI152" t="str">
        <f>IFERROR(VLOOKUP(X152,'Language Map'!A:C,3,FALSE),IFERROR(VLOOKUP(T152,'Org Map'!A:F,6,FALSE),"ADP and BU Language Code Not Mapped"))&amp;AH152</f>
        <v>en_US</v>
      </c>
      <c r="AJ152" t="str">
        <f>IFERROR(VLOOKUP(T152,'Org Map'!A:G,7),"BU Currency Not Mapped")</f>
        <v>USD</v>
      </c>
      <c r="AK152" t="str">
        <f t="shared" si="18"/>
        <v/>
      </c>
      <c r="AL152" t="str">
        <f>IFERROR(VLOOKUP(O152,'Status Map'!A:B,2,FALSE),"Position Status Not Mapped")</f>
        <v>Y</v>
      </c>
      <c r="AM152" t="str">
        <f t="shared" si="23"/>
        <v/>
      </c>
      <c r="AO152" t="str">
        <f t="shared" si="19"/>
        <v>SiobhanRodriguez</v>
      </c>
      <c r="AP152" t="str">
        <f t="shared" si="20"/>
        <v>Bair</v>
      </c>
      <c r="AQ152" t="str">
        <f t="shared" si="21"/>
        <v>207709</v>
      </c>
      <c r="AR152" t="b">
        <f t="shared" si="22"/>
        <v>1</v>
      </c>
    </row>
    <row r="153" spans="1:44">
      <c r="A153" s="3" t="s">
        <v>3732</v>
      </c>
      <c r="B153" s="4" t="s">
        <v>3733</v>
      </c>
      <c r="C153" s="5" t="s">
        <v>3734</v>
      </c>
      <c r="D153" s="6" t="s">
        <v>3735</v>
      </c>
      <c r="E153" s="7" t="s">
        <v>3736</v>
      </c>
      <c r="F153" s="8" t="s">
        <v>3737</v>
      </c>
      <c r="G153" s="9" t="s">
        <v>3738</v>
      </c>
      <c r="H153" s="10" t="s">
        <v>3739</v>
      </c>
      <c r="I153" s="11" t="s">
        <v>3740</v>
      </c>
      <c r="J153" s="12" t="s">
        <v>3740</v>
      </c>
      <c r="K153" s="13" t="s">
        <v>3741</v>
      </c>
      <c r="L153" s="14">
        <v>44655</v>
      </c>
      <c r="M153" s="15"/>
      <c r="N153" s="16"/>
      <c r="O153" s="17" t="s">
        <v>3742</v>
      </c>
      <c r="P153" s="18" t="s">
        <v>3743</v>
      </c>
      <c r="Q153" s="19" t="s">
        <v>3744</v>
      </c>
      <c r="R153" s="20" t="s">
        <v>3745</v>
      </c>
      <c r="S153" s="21" t="s">
        <v>3746</v>
      </c>
      <c r="T153" s="22" t="s">
        <v>3747</v>
      </c>
      <c r="U153" s="23" t="s">
        <v>3748</v>
      </c>
      <c r="V153" s="24" t="s">
        <v>3749</v>
      </c>
      <c r="W153" s="25" t="s">
        <v>3750</v>
      </c>
      <c r="X153" s="26" t="s">
        <v>3751</v>
      </c>
      <c r="Y153" s="27" t="s">
        <v>3752</v>
      </c>
      <c r="Z153" s="28" t="s">
        <v>3753</v>
      </c>
      <c r="AA153" s="29" t="s">
        <v>3754</v>
      </c>
      <c r="AB153" s="30" t="s">
        <v>3755</v>
      </c>
      <c r="AC153" t="str">
        <f>IF(ISBLANK(H153),VLOOKUP(P153,'US Supervisor Map'!A:D,4,FALSE),MID(H153,4,6))</f>
        <v>211464</v>
      </c>
      <c r="AD153" t="str">
        <f>IFERROR(VLOOKUP(T153,'Org Map'!A:E,4),"BU Description Not Mapped")</f>
        <v>0088</v>
      </c>
      <c r="AE153">
        <f>IFERROR(VLOOKUP(V153,'Org Map'!C:E,3),"Home Department Code Not Mapped")</f>
        <v>5200</v>
      </c>
      <c r="AF153" t="str">
        <f>IFERROR(VLOOKUP(AA153,'Salary Map'!A:D,3,FALSE),"Salary Code Not Mapped")</f>
        <v>Default</v>
      </c>
      <c r="AG153" t="str">
        <f>IFERROR(VLOOKUP(AA153,'Salary Map'!A:D,4,FALSE),"Salary Code Not Mapped")</f>
        <v>General</v>
      </c>
      <c r="AH153" t="str">
        <f>IFERROR(VLOOKUP(Z153,'Country Map'!A:B,2,FALSE),"Legal Country Not Mapped")</f>
        <v>US</v>
      </c>
      <c r="AI153" t="str">
        <f>IFERROR(VLOOKUP(X153,'Language Map'!A:C,3,FALSE),IFERROR(VLOOKUP(T153,'Org Map'!A:F,6,FALSE),"ADP and BU Language Code Not Mapped"))&amp;AH153</f>
        <v>en_US</v>
      </c>
      <c r="AJ153" t="str">
        <f>IFERROR(VLOOKUP(T153,'Org Map'!A:G,7),"BU Currency Not Mapped")</f>
        <v>USD</v>
      </c>
      <c r="AK153" t="str">
        <f t="shared" si="18"/>
        <v/>
      </c>
      <c r="AL153" t="str">
        <f>IFERROR(VLOOKUP(O153,'Status Map'!A:B,2,FALSE),"Position Status Not Mapped")</f>
        <v>Y</v>
      </c>
      <c r="AM153" t="str">
        <f t="shared" si="23"/>
        <v/>
      </c>
      <c r="AO153" t="str">
        <f t="shared" si="19"/>
        <v>WayneARogers</v>
      </c>
      <c r="AP153" t="str">
        <f t="shared" si="20"/>
        <v>Bailey</v>
      </c>
      <c r="AQ153" t="str">
        <f t="shared" si="21"/>
        <v>902688</v>
      </c>
      <c r="AR153" s="77" t="b">
        <f t="shared" si="22"/>
        <v>0</v>
      </c>
    </row>
    <row r="154" spans="1:44">
      <c r="A154" s="3" t="s">
        <v>3756</v>
      </c>
      <c r="B154" s="4" t="s">
        <v>3757</v>
      </c>
      <c r="C154" s="5" t="s">
        <v>3758</v>
      </c>
      <c r="D154" s="6" t="s">
        <v>3759</v>
      </c>
      <c r="E154" s="7" t="s">
        <v>3760</v>
      </c>
      <c r="F154" s="8" t="s">
        <v>3761</v>
      </c>
      <c r="G154" s="9" t="s">
        <v>3762</v>
      </c>
      <c r="H154" s="10" t="s">
        <v>3763</v>
      </c>
      <c r="I154" s="31" t="s">
        <v>3764</v>
      </c>
      <c r="J154" s="12" t="s">
        <v>3765</v>
      </c>
      <c r="K154" s="13" t="s">
        <v>3766</v>
      </c>
      <c r="L154" s="14">
        <v>46190</v>
      </c>
      <c r="M154" s="15">
        <v>46205</v>
      </c>
      <c r="N154" s="16"/>
      <c r="O154" s="17" t="s">
        <v>3767</v>
      </c>
      <c r="P154" s="18" t="s">
        <v>3768</v>
      </c>
      <c r="Q154" s="19" t="s">
        <v>3769</v>
      </c>
      <c r="R154" s="20" t="s">
        <v>3770</v>
      </c>
      <c r="S154" s="21" t="s">
        <v>3771</v>
      </c>
      <c r="T154" s="22" t="s">
        <v>3772</v>
      </c>
      <c r="U154" s="23" t="s">
        <v>3773</v>
      </c>
      <c r="V154" s="24" t="s">
        <v>3774</v>
      </c>
      <c r="W154" s="25" t="s">
        <v>3775</v>
      </c>
      <c r="X154" s="26" t="s">
        <v>3776</v>
      </c>
      <c r="Y154" s="27" t="s">
        <v>3777</v>
      </c>
      <c r="Z154" s="28" t="s">
        <v>3778</v>
      </c>
      <c r="AA154" s="29" t="s">
        <v>3779</v>
      </c>
      <c r="AB154" s="30" t="s">
        <v>3780</v>
      </c>
      <c r="AC154" t="str">
        <f>IF(ISBLANK(H154),VLOOKUP(P154,'US Supervisor Map'!A:D,4,FALSE),MID(H154,4,6))</f>
        <v>207487</v>
      </c>
      <c r="AD154" t="str">
        <f>IFERROR(VLOOKUP(T154,'Org Map'!A:E,4),"BU Description Not Mapped")</f>
        <v>0088</v>
      </c>
      <c r="AE154">
        <f>IFERROR(VLOOKUP(V154,'Org Map'!C:E,3),"Home Department Code Not Mapped")</f>
        <v>5200</v>
      </c>
      <c r="AF154" t="str">
        <f>IFERROR(VLOOKUP(AA154,'Salary Map'!A:D,3,FALSE),"Salary Code Not Mapped")</f>
        <v>Default</v>
      </c>
      <c r="AG154" t="str">
        <f>IFERROR(VLOOKUP(AA154,'Salary Map'!A:D,4,FALSE),"Salary Code Not Mapped")</f>
        <v>General</v>
      </c>
      <c r="AH154" t="str">
        <f>IFERROR(VLOOKUP(Z154,'Country Map'!A:B,2,FALSE),"Legal Country Not Mapped")</f>
        <v>US</v>
      </c>
      <c r="AI154" t="str">
        <f>IFERROR(VLOOKUP(X154,'Language Map'!A:C,3,FALSE),IFERROR(VLOOKUP(T154,'Org Map'!A:F,6,FALSE),"ADP and BU Language Code Not Mapped"))&amp;AH154</f>
        <v>en_US</v>
      </c>
      <c r="AJ154" t="str">
        <f>IFERROR(VLOOKUP(T154,'Org Map'!A:G,7),"BU Currency Not Mapped")</f>
        <v>USD</v>
      </c>
      <c r="AK154" t="str">
        <f t="shared" si="18"/>
        <v/>
      </c>
      <c r="AL154" t="str">
        <f>IFERROR(VLOOKUP(O154,'Status Map'!A:B,2,FALSE),"Position Status Not Mapped")</f>
        <v>N</v>
      </c>
      <c r="AM154" t="str">
        <f t="shared" si="23"/>
        <v>20260702</v>
      </c>
      <c r="AN154" t="str">
        <f>IF(M154&gt;AN149,"Fix and Include Record","Exclude record termination over 45 days ago")</f>
        <v>Exclude record termination over 45 days ago</v>
      </c>
      <c r="AO154" t="str">
        <f t="shared" si="19"/>
        <v>DayShawnRome</v>
      </c>
      <c r="AP154" t="e">
        <f t="shared" si="20"/>
        <v>#VALUE!</v>
      </c>
      <c r="AQ154" t="str">
        <f t="shared" si="21"/>
        <v>No Reports to Name</v>
      </c>
      <c r="AR154" s="77" t="b">
        <f t="shared" si="22"/>
        <v>0</v>
      </c>
    </row>
    <row r="155" spans="1:44">
      <c r="A155" s="3" t="s">
        <v>3781</v>
      </c>
      <c r="B155" s="4" t="s">
        <v>3782</v>
      </c>
      <c r="C155" s="5" t="s">
        <v>3783</v>
      </c>
      <c r="D155" s="6" t="s">
        <v>3784</v>
      </c>
      <c r="E155" s="7" t="s">
        <v>3785</v>
      </c>
      <c r="F155" s="8" t="s">
        <v>3786</v>
      </c>
      <c r="G155" s="9" t="s">
        <v>3787</v>
      </c>
      <c r="H155" s="10" t="s">
        <v>3788</v>
      </c>
      <c r="I155" s="11" t="s">
        <v>3789</v>
      </c>
      <c r="J155" s="12" t="s">
        <v>3790</v>
      </c>
      <c r="K155" s="13" t="s">
        <v>3791</v>
      </c>
      <c r="L155" s="14">
        <v>36535</v>
      </c>
      <c r="M155" s="15"/>
      <c r="N155" s="16">
        <v>46119</v>
      </c>
      <c r="O155" s="17" t="s">
        <v>3792</v>
      </c>
      <c r="P155" s="18" t="s">
        <v>3793</v>
      </c>
      <c r="Q155" s="19" t="s">
        <v>3794</v>
      </c>
      <c r="R155" s="20" t="s">
        <v>3795</v>
      </c>
      <c r="S155" s="21" t="s">
        <v>3796</v>
      </c>
      <c r="T155" s="22" t="s">
        <v>3797</v>
      </c>
      <c r="U155" s="23" t="s">
        <v>3798</v>
      </c>
      <c r="V155" s="24" t="s">
        <v>3799</v>
      </c>
      <c r="W155" s="25" t="s">
        <v>3800</v>
      </c>
      <c r="X155" s="26" t="s">
        <v>3801</v>
      </c>
      <c r="Y155" s="27" t="s">
        <v>3802</v>
      </c>
      <c r="Z155" s="28" t="s">
        <v>3803</v>
      </c>
      <c r="AA155" s="29" t="s">
        <v>3804</v>
      </c>
      <c r="AB155" s="30" t="s">
        <v>3805</v>
      </c>
      <c r="AC155" t="str">
        <f>IF(ISBLANK(H155),VLOOKUP(P155,'US Supervisor Map'!A:D,4,FALSE),MID(H155,4,6))</f>
        <v>008750</v>
      </c>
      <c r="AD155" t="str">
        <f>IFERROR(VLOOKUP(T155,'Org Map'!A:E,4),"BU Description Not Mapped")</f>
        <v>0088</v>
      </c>
      <c r="AE155">
        <f>IFERROR(VLOOKUP(V155,'Org Map'!C:E,3),"Home Department Code Not Mapped")</f>
        <v>9100</v>
      </c>
      <c r="AF155" t="str">
        <f>IFERROR(VLOOKUP(AA155,'Salary Map'!A:D,3,FALSE),"Salary Code Not Mapped")</f>
        <v>Default</v>
      </c>
      <c r="AG155" t="str">
        <f>IFERROR(VLOOKUP(AA155,'Salary Map'!A:D,4,FALSE),"Salary Code Not Mapped")</f>
        <v>General</v>
      </c>
      <c r="AH155" t="str">
        <f>IFERROR(VLOOKUP(Z155,'Country Map'!A:B,2,FALSE),"Legal Country Not Mapped")</f>
        <v>US</v>
      </c>
      <c r="AI155" t="str">
        <f>IFERROR(VLOOKUP(X155,'Language Map'!A:C,3,FALSE),IFERROR(VLOOKUP(T155,'Org Map'!A:F,6,FALSE),"ADP and BU Language Code Not Mapped"))&amp;AH155</f>
        <v>en_US</v>
      </c>
      <c r="AJ155" t="str">
        <f>IFERROR(VLOOKUP(T155,'Org Map'!A:G,7),"BU Currency Not Mapped")</f>
        <v>USD</v>
      </c>
      <c r="AK155" t="str">
        <f t="shared" si="18"/>
        <v/>
      </c>
      <c r="AL155" t="str">
        <f>IFERROR(VLOOKUP(O155,'Status Map'!A:B,2,FALSE),"Position Status Not Mapped")</f>
        <v>Y</v>
      </c>
      <c r="AM155" t="str">
        <f t="shared" si="23"/>
        <v/>
      </c>
      <c r="AO155" t="str">
        <f t="shared" si="19"/>
        <v>GwendolynLRome</v>
      </c>
      <c r="AP155" t="str">
        <f t="shared" si="20"/>
        <v>Warner</v>
      </c>
      <c r="AQ155" t="str">
        <f t="shared" si="21"/>
        <v>008750</v>
      </c>
      <c r="AR155" t="b">
        <f t="shared" si="22"/>
        <v>1</v>
      </c>
    </row>
    <row r="156" spans="1:44">
      <c r="A156" s="3" t="s">
        <v>3806</v>
      </c>
      <c r="B156" s="4" t="s">
        <v>3807</v>
      </c>
      <c r="C156" s="5" t="s">
        <v>3808</v>
      </c>
      <c r="D156" s="6" t="s">
        <v>3809</v>
      </c>
      <c r="E156" s="7" t="s">
        <v>3810</v>
      </c>
      <c r="F156" s="8" t="s">
        <v>3811</v>
      </c>
      <c r="G156" s="9" t="s">
        <v>3812</v>
      </c>
      <c r="H156" s="10" t="s">
        <v>3813</v>
      </c>
      <c r="I156" s="31" t="s">
        <v>3814</v>
      </c>
      <c r="J156" s="12" t="s">
        <v>3815</v>
      </c>
      <c r="K156" s="13" t="s">
        <v>3816</v>
      </c>
      <c r="L156" s="14">
        <v>38139</v>
      </c>
      <c r="M156" s="15"/>
      <c r="N156" s="16"/>
      <c r="O156" s="17" t="s">
        <v>3817</v>
      </c>
      <c r="P156" s="18" t="s">
        <v>3818</v>
      </c>
      <c r="Q156" s="19" t="s">
        <v>3819</v>
      </c>
      <c r="R156" s="20" t="s">
        <v>3820</v>
      </c>
      <c r="S156" s="21" t="s">
        <v>3821</v>
      </c>
      <c r="T156" s="22" t="s">
        <v>3822</v>
      </c>
      <c r="U156" s="23" t="s">
        <v>3823</v>
      </c>
      <c r="V156" s="24" t="s">
        <v>3824</v>
      </c>
      <c r="W156" s="25" t="s">
        <v>3825</v>
      </c>
      <c r="X156" s="26" t="s">
        <v>3826</v>
      </c>
      <c r="Y156" s="27" t="s">
        <v>3827</v>
      </c>
      <c r="Z156" s="28" t="s">
        <v>3828</v>
      </c>
      <c r="AA156" s="29" t="s">
        <v>3829</v>
      </c>
      <c r="AB156" s="30" t="s">
        <v>3830</v>
      </c>
      <c r="AC156" t="str">
        <f>IF(ISBLANK(H156),VLOOKUP(P156,'US Supervisor Map'!A:D,4,FALSE),MID(H156,4,6))</f>
        <v>211062</v>
      </c>
      <c r="AD156" t="str">
        <f>IFERROR(VLOOKUP(T156,'Org Map'!A:E,4),"BU Description Not Mapped")</f>
        <v>0096</v>
      </c>
      <c r="AE156">
        <f>IFERROR(VLOOKUP(V156,'Org Map'!C:E,3),"Home Department Code Not Mapped")</f>
        <v>100</v>
      </c>
      <c r="AF156" t="str">
        <f>IFERROR(VLOOKUP(AA156,'Salary Map'!A:D,3,FALSE),"Salary Code Not Mapped")</f>
        <v>Default</v>
      </c>
      <c r="AG156" t="str">
        <f>IFERROR(VLOOKUP(AA156,'Salary Map'!A:D,4,FALSE),"Salary Code Not Mapped")</f>
        <v>General</v>
      </c>
      <c r="AH156" t="str">
        <f>IFERROR(VLOOKUP(Z156,'Country Map'!A:B,2,FALSE),"Legal Country Not Mapped")</f>
        <v>US</v>
      </c>
      <c r="AI156" t="str">
        <f>IFERROR(VLOOKUP(X156,'Language Map'!A:C,3,FALSE),IFERROR(VLOOKUP(T156,'Org Map'!A:F,6,FALSE),"ADP and BU Language Code Not Mapped"))&amp;AH156</f>
        <v>en_US</v>
      </c>
      <c r="AJ156" t="str">
        <f>IFERROR(VLOOKUP(T156,'Org Map'!A:G,7),"BU Currency Not Mapped")</f>
        <v>USD</v>
      </c>
      <c r="AK156" t="str">
        <f t="shared" si="18"/>
        <v/>
      </c>
      <c r="AL156" t="str">
        <f>IFERROR(VLOOKUP(O156,'Status Map'!A:B,2,FALSE),"Position Status Not Mapped")</f>
        <v>Y</v>
      </c>
      <c r="AM156" t="str">
        <f t="shared" si="23"/>
        <v/>
      </c>
      <c r="AO156" t="str">
        <f t="shared" si="19"/>
        <v>MatthewJSaid</v>
      </c>
      <c r="AP156" t="str">
        <f t="shared" si="20"/>
        <v>Steen</v>
      </c>
      <c r="AQ156" t="str">
        <f t="shared" si="21"/>
        <v>211062</v>
      </c>
      <c r="AR156" t="b">
        <f t="shared" si="22"/>
        <v>1</v>
      </c>
    </row>
    <row r="157" spans="1:44">
      <c r="A157" s="3" t="s">
        <v>3831</v>
      </c>
      <c r="B157" s="4" t="s">
        <v>3832</v>
      </c>
      <c r="C157" s="5" t="s">
        <v>3833</v>
      </c>
      <c r="D157" s="6" t="s">
        <v>3834</v>
      </c>
      <c r="E157" s="7" t="s">
        <v>3835</v>
      </c>
      <c r="F157" s="8" t="s">
        <v>3836</v>
      </c>
      <c r="G157" s="9" t="s">
        <v>3837</v>
      </c>
      <c r="H157" s="10" t="s">
        <v>3838</v>
      </c>
      <c r="I157" s="31" t="s">
        <v>3839</v>
      </c>
      <c r="J157" s="12" t="s">
        <v>3840</v>
      </c>
      <c r="K157" s="13" t="s">
        <v>3841</v>
      </c>
      <c r="L157" s="14">
        <v>46104</v>
      </c>
      <c r="M157" s="15"/>
      <c r="N157" s="16"/>
      <c r="O157" s="17" t="s">
        <v>3842</v>
      </c>
      <c r="P157" s="18" t="s">
        <v>3843</v>
      </c>
      <c r="Q157" s="19" t="s">
        <v>3844</v>
      </c>
      <c r="R157" s="20" t="s">
        <v>3845</v>
      </c>
      <c r="S157" s="21" t="s">
        <v>3846</v>
      </c>
      <c r="T157" s="22" t="s">
        <v>3847</v>
      </c>
      <c r="U157" s="23" t="s">
        <v>3848</v>
      </c>
      <c r="V157" s="24" t="s">
        <v>3849</v>
      </c>
      <c r="W157" s="25" t="s">
        <v>3850</v>
      </c>
      <c r="X157" s="26" t="s">
        <v>3851</v>
      </c>
      <c r="Y157" s="27" t="s">
        <v>3852</v>
      </c>
      <c r="Z157" s="28" t="s">
        <v>3853</v>
      </c>
      <c r="AA157" s="29" t="s">
        <v>3854</v>
      </c>
      <c r="AB157" s="30" t="s">
        <v>3855</v>
      </c>
      <c r="AC157" t="str">
        <f>IF(ISBLANK(H157),VLOOKUP(P157,'US Supervisor Map'!A:D,4,FALSE),MID(H157,4,6))</f>
        <v>207487</v>
      </c>
      <c r="AD157" t="str">
        <f>IFERROR(VLOOKUP(T157,'Org Map'!A:E,4),"BU Description Not Mapped")</f>
        <v>0088</v>
      </c>
      <c r="AE157">
        <f>IFERROR(VLOOKUP(V157,'Org Map'!C:E,3),"Home Department Code Not Mapped")</f>
        <v>5200</v>
      </c>
      <c r="AF157" t="str">
        <f>IFERROR(VLOOKUP(AA157,'Salary Map'!A:D,3,FALSE),"Salary Code Not Mapped")</f>
        <v>Default</v>
      </c>
      <c r="AG157" t="str">
        <f>IFERROR(VLOOKUP(AA157,'Salary Map'!A:D,4,FALSE),"Salary Code Not Mapped")</f>
        <v>General</v>
      </c>
      <c r="AH157" t="str">
        <f>IFERROR(VLOOKUP(Z157,'Country Map'!A:B,2,FALSE),"Legal Country Not Mapped")</f>
        <v>US</v>
      </c>
      <c r="AI157" t="str">
        <f>IFERROR(VLOOKUP(X157,'Language Map'!A:C,3,FALSE),IFERROR(VLOOKUP(T157,'Org Map'!A:F,6,FALSE),"ADP and BU Language Code Not Mapped"))&amp;AH157</f>
        <v>en_US</v>
      </c>
      <c r="AJ157" t="str">
        <f>IFERROR(VLOOKUP(T157,'Org Map'!A:G,7),"BU Currency Not Mapped")</f>
        <v>USD</v>
      </c>
      <c r="AK157" t="str">
        <f t="shared" si="18"/>
        <v/>
      </c>
      <c r="AL157" t="str">
        <f>IFERROR(VLOOKUP(O157,'Status Map'!A:B,2,FALSE),"Position Status Not Mapped")</f>
        <v>Y</v>
      </c>
      <c r="AM157" t="str">
        <f t="shared" si="23"/>
        <v/>
      </c>
      <c r="AO157" t="str">
        <f t="shared" si="19"/>
        <v>ChristopherDSanderson</v>
      </c>
      <c r="AP157" t="str">
        <f t="shared" si="20"/>
        <v>Rogers</v>
      </c>
      <c r="AQ157" t="str">
        <f t="shared" si="21"/>
        <v>207487</v>
      </c>
      <c r="AR157" t="b">
        <f t="shared" si="22"/>
        <v>1</v>
      </c>
    </row>
    <row r="158" spans="1:44">
      <c r="A158" s="3" t="s">
        <v>3856</v>
      </c>
      <c r="B158" s="4" t="s">
        <v>3857</v>
      </c>
      <c r="C158" s="5" t="s">
        <v>3858</v>
      </c>
      <c r="D158" s="6" t="s">
        <v>3859</v>
      </c>
      <c r="E158" s="7" t="s">
        <v>3860</v>
      </c>
      <c r="F158" s="8" t="s">
        <v>3861</v>
      </c>
      <c r="G158" s="9" t="s">
        <v>3862</v>
      </c>
      <c r="H158" s="10" t="s">
        <v>3863</v>
      </c>
      <c r="I158" s="11" t="s">
        <v>3864</v>
      </c>
      <c r="J158" s="12" t="s">
        <v>3865</v>
      </c>
      <c r="K158" s="13" t="s">
        <v>3866</v>
      </c>
      <c r="L158" s="14">
        <v>41052</v>
      </c>
      <c r="M158" s="15"/>
      <c r="N158" s="16"/>
      <c r="O158" s="17" t="s">
        <v>3867</v>
      </c>
      <c r="P158" s="18" t="s">
        <v>3868</v>
      </c>
      <c r="Q158" s="19" t="s">
        <v>3869</v>
      </c>
      <c r="R158" s="20" t="s">
        <v>3870</v>
      </c>
      <c r="S158" s="21" t="s">
        <v>3871</v>
      </c>
      <c r="T158" s="22" t="s">
        <v>3872</v>
      </c>
      <c r="U158" s="23" t="s">
        <v>3873</v>
      </c>
      <c r="V158" s="24" t="s">
        <v>3874</v>
      </c>
      <c r="W158" s="25" t="s">
        <v>3875</v>
      </c>
      <c r="X158" s="26" t="s">
        <v>3876</v>
      </c>
      <c r="Y158" s="27" t="s">
        <v>3877</v>
      </c>
      <c r="Z158" s="28" t="s">
        <v>3878</v>
      </c>
      <c r="AA158" s="29" t="s">
        <v>3879</v>
      </c>
      <c r="AB158" s="30" t="s">
        <v>3880</v>
      </c>
      <c r="AC158" t="str">
        <f>IF(ISBLANK(H158),VLOOKUP(P158,'US Supervisor Map'!A:D,4,FALSE),MID(H158,4,6))</f>
        <v>213037</v>
      </c>
      <c r="AD158" t="str">
        <f>IFERROR(VLOOKUP(T158,'Org Map'!A:E,4),"BU Description Not Mapped")</f>
        <v>0096</v>
      </c>
      <c r="AE158">
        <f>IFERROR(VLOOKUP(V158,'Org Map'!C:E,3),"Home Department Code Not Mapped")</f>
        <v>718</v>
      </c>
      <c r="AF158" t="str">
        <f>IFERROR(VLOOKUP(AA158,'Salary Map'!A:D,3,FALSE),"Salary Code Not Mapped")</f>
        <v>Default</v>
      </c>
      <c r="AG158" t="str">
        <f>IFERROR(VLOOKUP(AA158,'Salary Map'!A:D,4,FALSE),"Salary Code Not Mapped")</f>
        <v>General</v>
      </c>
      <c r="AH158" t="str">
        <f>IFERROR(VLOOKUP(Z158,'Country Map'!A:B,2,FALSE),"Legal Country Not Mapped")</f>
        <v>US</v>
      </c>
      <c r="AI158" t="str">
        <f>IFERROR(VLOOKUP(X158,'Language Map'!A:C,3,FALSE),IFERROR(VLOOKUP(T158,'Org Map'!A:F,6,FALSE),"ADP and BU Language Code Not Mapped"))&amp;AH158</f>
        <v>en_US</v>
      </c>
      <c r="AJ158" t="str">
        <f>IFERROR(VLOOKUP(T158,'Org Map'!A:G,7),"BU Currency Not Mapped")</f>
        <v>USD</v>
      </c>
      <c r="AK158" t="str">
        <f t="shared" si="18"/>
        <v/>
      </c>
      <c r="AL158" t="str">
        <f>IFERROR(VLOOKUP(O158,'Status Map'!A:B,2,FALSE),"Position Status Not Mapped")</f>
        <v>Y</v>
      </c>
      <c r="AM158" t="str">
        <f t="shared" si="23"/>
        <v/>
      </c>
      <c r="AO158" t="str">
        <f t="shared" si="19"/>
        <v>RichardSasak</v>
      </c>
      <c r="AP158" t="str">
        <f t="shared" si="20"/>
        <v>Bate</v>
      </c>
      <c r="AQ158" t="str">
        <f t="shared" si="21"/>
        <v>213037</v>
      </c>
      <c r="AR158" t="b">
        <f t="shared" si="22"/>
        <v>1</v>
      </c>
    </row>
    <row r="159" spans="1:44">
      <c r="A159" s="3" t="s">
        <v>3881</v>
      </c>
      <c r="B159" s="4" t="s">
        <v>3882</v>
      </c>
      <c r="C159" s="5" t="s">
        <v>3883</v>
      </c>
      <c r="D159" s="6" t="s">
        <v>3884</v>
      </c>
      <c r="E159" s="7" t="s">
        <v>3885</v>
      </c>
      <c r="F159" s="8" t="s">
        <v>3886</v>
      </c>
      <c r="G159" s="9" t="s">
        <v>3887</v>
      </c>
      <c r="H159" s="10" t="s">
        <v>3888</v>
      </c>
      <c r="I159" s="11" t="s">
        <v>3889</v>
      </c>
      <c r="J159" s="12" t="s">
        <v>3890</v>
      </c>
      <c r="K159" s="13" t="s">
        <v>3891</v>
      </c>
      <c r="L159" s="14">
        <v>45138</v>
      </c>
      <c r="M159" s="15"/>
      <c r="N159" s="16"/>
      <c r="O159" s="17" t="s">
        <v>3892</v>
      </c>
      <c r="P159" s="18" t="s">
        <v>3893</v>
      </c>
      <c r="Q159" s="19" t="s">
        <v>3894</v>
      </c>
      <c r="R159" s="20" t="s">
        <v>3895</v>
      </c>
      <c r="S159" s="21" t="s">
        <v>3896</v>
      </c>
      <c r="T159" s="22" t="s">
        <v>3897</v>
      </c>
      <c r="U159" s="23" t="s">
        <v>3898</v>
      </c>
      <c r="V159" s="24" t="s">
        <v>3899</v>
      </c>
      <c r="W159" s="25" t="s">
        <v>3900</v>
      </c>
      <c r="X159" s="26" t="s">
        <v>3901</v>
      </c>
      <c r="Y159" s="27" t="s">
        <v>3902</v>
      </c>
      <c r="Z159" s="28" t="s">
        <v>3903</v>
      </c>
      <c r="AA159" s="29" t="s">
        <v>3904</v>
      </c>
      <c r="AB159" s="30" t="s">
        <v>3905</v>
      </c>
      <c r="AC159" t="str">
        <f>IF(ISBLANK(H159),VLOOKUP(P159,'US Supervisor Map'!A:D,4,FALSE),MID(H159,4,6))</f>
        <v>211736</v>
      </c>
      <c r="AD159" t="str">
        <f>IFERROR(VLOOKUP(T159,'Org Map'!A:E,4),"BU Description Not Mapped")</f>
        <v>0088</v>
      </c>
      <c r="AE159">
        <f>IFERROR(VLOOKUP(V159,'Org Map'!C:E,3),"Home Department Code Not Mapped")</f>
        <v>5200</v>
      </c>
      <c r="AF159" t="str">
        <f>IFERROR(VLOOKUP(AA159,'Salary Map'!A:D,3,FALSE),"Salary Code Not Mapped")</f>
        <v>Default</v>
      </c>
      <c r="AG159" t="str">
        <f>IFERROR(VLOOKUP(AA159,'Salary Map'!A:D,4,FALSE),"Salary Code Not Mapped")</f>
        <v>General</v>
      </c>
      <c r="AH159" t="str">
        <f>IFERROR(VLOOKUP(Z159,'Country Map'!A:B,2,FALSE),"Legal Country Not Mapped")</f>
        <v>US</v>
      </c>
      <c r="AI159" t="str">
        <f>IFERROR(VLOOKUP(X159,'Language Map'!A:C,3,FALSE),IFERROR(VLOOKUP(T159,'Org Map'!A:F,6,FALSE),"ADP and BU Language Code Not Mapped"))&amp;AH159</f>
        <v>en_US</v>
      </c>
      <c r="AJ159" t="str">
        <f>IFERROR(VLOOKUP(T159,'Org Map'!A:G,7),"BU Currency Not Mapped")</f>
        <v>USD</v>
      </c>
      <c r="AK159" t="str">
        <f t="shared" si="18"/>
        <v/>
      </c>
      <c r="AL159" t="str">
        <f>IFERROR(VLOOKUP(O159,'Status Map'!A:B,2,FALSE),"Position Status Not Mapped")</f>
        <v>Y</v>
      </c>
      <c r="AM159" t="str">
        <f t="shared" si="23"/>
        <v/>
      </c>
      <c r="AO159" t="str">
        <f t="shared" si="19"/>
        <v>HeatherASchmidt</v>
      </c>
      <c r="AP159" t="str">
        <f t="shared" si="20"/>
        <v>LaPlante</v>
      </c>
      <c r="AQ159" t="str">
        <f t="shared" si="21"/>
        <v>211736</v>
      </c>
      <c r="AR159" t="b">
        <f t="shared" si="22"/>
        <v>1</v>
      </c>
    </row>
    <row r="160" spans="1:44">
      <c r="A160" s="3" t="s">
        <v>3906</v>
      </c>
      <c r="B160" s="4" t="s">
        <v>3907</v>
      </c>
      <c r="C160" s="5" t="s">
        <v>3908</v>
      </c>
      <c r="D160" s="6" t="s">
        <v>3909</v>
      </c>
      <c r="E160" s="7" t="s">
        <v>3910</v>
      </c>
      <c r="F160" s="8" t="s">
        <v>3911</v>
      </c>
      <c r="G160" s="9" t="s">
        <v>3912</v>
      </c>
      <c r="H160" s="36" t="s">
        <v>3913</v>
      </c>
      <c r="I160" s="11" t="s">
        <v>3914</v>
      </c>
      <c r="J160" s="12" t="s">
        <v>3915</v>
      </c>
      <c r="K160" s="13" t="s">
        <v>3916</v>
      </c>
      <c r="L160" s="14">
        <v>45895</v>
      </c>
      <c r="M160" s="15">
        <v>46175</v>
      </c>
      <c r="N160" s="16">
        <v>46175</v>
      </c>
      <c r="O160" s="17" t="s">
        <v>3917</v>
      </c>
      <c r="P160" s="18" t="s">
        <v>3918</v>
      </c>
      <c r="Q160" s="19" t="s">
        <v>3919</v>
      </c>
      <c r="R160" s="20" t="s">
        <v>3920</v>
      </c>
      <c r="S160" s="21" t="s">
        <v>3921</v>
      </c>
      <c r="T160" s="22" t="s">
        <v>3922</v>
      </c>
      <c r="U160" s="23" t="s">
        <v>3923</v>
      </c>
      <c r="V160" s="24" t="s">
        <v>3924</v>
      </c>
      <c r="W160" s="25" t="s">
        <v>3925</v>
      </c>
      <c r="X160" s="26" t="s">
        <v>3926</v>
      </c>
      <c r="Y160" s="27" t="s">
        <v>3927</v>
      </c>
      <c r="Z160" s="28" t="s">
        <v>3928</v>
      </c>
      <c r="AA160" s="29" t="s">
        <v>3929</v>
      </c>
      <c r="AB160" s="30" t="s">
        <v>3930</v>
      </c>
      <c r="AC160" s="77" t="str">
        <f>IF(ISBLANK(H160),VLOOKUP(P160,'US Supervisor Map'!A:D,4,FALSE),MID(H160,4,6))</f>
        <v/>
      </c>
      <c r="AD160" t="str">
        <f>IFERROR(VLOOKUP(T160,'Org Map'!A:E,4),"BU Description Not Mapped")</f>
        <v>0088</v>
      </c>
      <c r="AE160">
        <f>IFERROR(VLOOKUP(V160,'Org Map'!C:E,3),"Home Department Code Not Mapped")</f>
        <v>8200</v>
      </c>
      <c r="AF160" t="str">
        <f>IFERROR(VLOOKUP(AA160,'Salary Map'!A:D,3,FALSE),"Salary Code Not Mapped")</f>
        <v>Default</v>
      </c>
      <c r="AG160" t="str">
        <f>IFERROR(VLOOKUP(AA160,'Salary Map'!A:D,4,FALSE),"Salary Code Not Mapped")</f>
        <v>General</v>
      </c>
      <c r="AH160" t="str">
        <f>IFERROR(VLOOKUP(Z160,'Country Map'!A:B,2,FALSE),"Legal Country Not Mapped")</f>
        <v>US</v>
      </c>
      <c r="AI160" t="str">
        <f>IFERROR(VLOOKUP(X160,'Language Map'!A:C,3,FALSE),IFERROR(VLOOKUP(T160,'Org Map'!A:F,6,FALSE),"ADP and BU Language Code Not Mapped"))&amp;AH160</f>
        <v>en_US</v>
      </c>
      <c r="AJ160" t="str">
        <f>IFERROR(VLOOKUP(T160,'Org Map'!A:G,7),"BU Currency Not Mapped")</f>
        <v>USD</v>
      </c>
      <c r="AK160" t="str">
        <f t="shared" si="18"/>
        <v/>
      </c>
      <c r="AL160" t="str">
        <f>IFERROR(VLOOKUP(O160,'Status Map'!A:B,2,FALSE),"Position Status Not Mapped")</f>
        <v>N</v>
      </c>
      <c r="AM160" t="str">
        <f t="shared" si="23"/>
        <v>20260602</v>
      </c>
      <c r="AN160" t="str">
        <f t="shared" ref="AN160:AN161" si="25">IF(M160&gt;AN155,"Fix and Include Record","Exclude record termination over 45 days ago")</f>
        <v>Fix and Include Record</v>
      </c>
      <c r="AO160" t="str">
        <f t="shared" si="19"/>
        <v>TimothyRSeksinsky</v>
      </c>
      <c r="AP160" t="e">
        <f t="shared" si="20"/>
        <v>#VALUE!</v>
      </c>
      <c r="AQ160" t="str">
        <f t="shared" si="21"/>
        <v>No Reports to Name</v>
      </c>
      <c r="AR160" t="b">
        <f t="shared" si="22"/>
        <v>0</v>
      </c>
    </row>
    <row r="161" spans="1:44">
      <c r="A161" s="3" t="s">
        <v>3931</v>
      </c>
      <c r="B161" s="4" t="s">
        <v>3932</v>
      </c>
      <c r="C161" s="5" t="s">
        <v>3933</v>
      </c>
      <c r="D161" s="6" t="s">
        <v>3934</v>
      </c>
      <c r="E161" s="7" t="s">
        <v>3935</v>
      </c>
      <c r="F161" s="8" t="s">
        <v>3936</v>
      </c>
      <c r="G161" s="9" t="s">
        <v>3937</v>
      </c>
      <c r="H161" s="10" t="s">
        <v>3938</v>
      </c>
      <c r="I161" s="31" t="s">
        <v>3939</v>
      </c>
      <c r="J161" s="12" t="s">
        <v>3940</v>
      </c>
      <c r="K161" s="13" t="s">
        <v>3941</v>
      </c>
      <c r="L161" s="14">
        <v>46190</v>
      </c>
      <c r="M161" s="15">
        <v>46251</v>
      </c>
      <c r="N161" s="16"/>
      <c r="O161" s="17" t="s">
        <v>3942</v>
      </c>
      <c r="P161" s="18" t="s">
        <v>3943</v>
      </c>
      <c r="Q161" s="19" t="s">
        <v>3944</v>
      </c>
      <c r="R161" s="20" t="s">
        <v>3945</v>
      </c>
      <c r="S161" s="21" t="s">
        <v>3946</v>
      </c>
      <c r="T161" s="22" t="s">
        <v>3947</v>
      </c>
      <c r="U161" s="23" t="s">
        <v>3948</v>
      </c>
      <c r="V161" s="24" t="s">
        <v>3949</v>
      </c>
      <c r="W161" s="25" t="s">
        <v>3950</v>
      </c>
      <c r="X161" s="26" t="s">
        <v>3951</v>
      </c>
      <c r="Y161" s="27" t="s">
        <v>3952</v>
      </c>
      <c r="Z161" s="28" t="s">
        <v>3953</v>
      </c>
      <c r="AA161" s="29" t="s">
        <v>3954</v>
      </c>
      <c r="AB161" s="30" t="s">
        <v>3955</v>
      </c>
      <c r="AC161" t="str">
        <f>IF(ISBLANK(H161),VLOOKUP(P161,'US Supervisor Map'!A:D,4,FALSE),MID(H161,4,6))</f>
        <v>211756</v>
      </c>
      <c r="AD161" t="str">
        <f>IFERROR(VLOOKUP(T161,'Org Map'!A:E,4),"BU Description Not Mapped")</f>
        <v>0088</v>
      </c>
      <c r="AE161">
        <f>IFERROR(VLOOKUP(V161,'Org Map'!C:E,3),"Home Department Code Not Mapped")</f>
        <v>5100</v>
      </c>
      <c r="AF161" t="str">
        <f>IFERROR(VLOOKUP(AA161,'Salary Map'!A:D,3,FALSE),"Salary Code Not Mapped")</f>
        <v>Default</v>
      </c>
      <c r="AG161" t="str">
        <f>IFERROR(VLOOKUP(AA161,'Salary Map'!A:D,4,FALSE),"Salary Code Not Mapped")</f>
        <v>General</v>
      </c>
      <c r="AH161" t="str">
        <f>IFERROR(VLOOKUP(Z161,'Country Map'!A:B,2,FALSE),"Legal Country Not Mapped")</f>
        <v>US</v>
      </c>
      <c r="AI161" t="str">
        <f>IFERROR(VLOOKUP(X161,'Language Map'!A:C,3,FALSE),IFERROR(VLOOKUP(T161,'Org Map'!A:F,6,FALSE),"ADP and BU Language Code Not Mapped"))&amp;AH161</f>
        <v>en_US</v>
      </c>
      <c r="AJ161" t="str">
        <f>IFERROR(VLOOKUP(T161,'Org Map'!A:G,7),"BU Currency Not Mapped")</f>
        <v>USD</v>
      </c>
      <c r="AK161" t="str">
        <f t="shared" si="18"/>
        <v/>
      </c>
      <c r="AL161" t="str">
        <f>IFERROR(VLOOKUP(O161,'Status Map'!A:B,2,FALSE),"Position Status Not Mapped")</f>
        <v>N</v>
      </c>
      <c r="AM161" t="str">
        <f t="shared" si="23"/>
        <v>20260817</v>
      </c>
      <c r="AN161" t="str">
        <f t="shared" si="25"/>
        <v>Fix and Include Record</v>
      </c>
      <c r="AO161" t="str">
        <f t="shared" si="19"/>
        <v>AsiaSexton</v>
      </c>
      <c r="AP161" t="str">
        <f t="shared" si="20"/>
        <v>Burchell</v>
      </c>
      <c r="AQ161" t="str">
        <f t="shared" si="21"/>
        <v>211756</v>
      </c>
      <c r="AR161" t="b">
        <f t="shared" si="22"/>
        <v>1</v>
      </c>
    </row>
    <row r="162" spans="1:44">
      <c r="A162" s="3" t="s">
        <v>3956</v>
      </c>
      <c r="B162" s="4" t="s">
        <v>3957</v>
      </c>
      <c r="C162" s="5" t="s">
        <v>3958</v>
      </c>
      <c r="D162" s="6" t="s">
        <v>3959</v>
      </c>
      <c r="E162" s="7" t="s">
        <v>3960</v>
      </c>
      <c r="F162" s="8" t="s">
        <v>3961</v>
      </c>
      <c r="G162" s="9" t="s">
        <v>3962</v>
      </c>
      <c r="H162" s="10" t="s">
        <v>3963</v>
      </c>
      <c r="I162" s="11" t="s">
        <v>3964</v>
      </c>
      <c r="J162" s="12" t="s">
        <v>3965</v>
      </c>
      <c r="K162" s="13" t="s">
        <v>3966</v>
      </c>
      <c r="L162" s="14">
        <v>44648</v>
      </c>
      <c r="M162" s="15"/>
      <c r="N162" s="16"/>
      <c r="O162" s="17" t="s">
        <v>3967</v>
      </c>
      <c r="P162" s="18" t="s">
        <v>3968</v>
      </c>
      <c r="Q162" s="19" t="s">
        <v>3969</v>
      </c>
      <c r="R162" s="20" t="s">
        <v>3970</v>
      </c>
      <c r="S162" s="21" t="s">
        <v>3971</v>
      </c>
      <c r="T162" s="22" t="s">
        <v>3972</v>
      </c>
      <c r="U162" s="23" t="s">
        <v>3973</v>
      </c>
      <c r="V162" s="24" t="s">
        <v>3974</v>
      </c>
      <c r="W162" s="25" t="s">
        <v>3975</v>
      </c>
      <c r="X162" s="26" t="s">
        <v>3976</v>
      </c>
      <c r="Y162" s="27" t="s">
        <v>3977</v>
      </c>
      <c r="Z162" s="28" t="s">
        <v>3978</v>
      </c>
      <c r="AA162" s="29" t="s">
        <v>3979</v>
      </c>
      <c r="AB162" s="30" t="s">
        <v>3980</v>
      </c>
      <c r="AC162" t="str">
        <f>IF(ISBLANK(H162),VLOOKUP(P162,'US Supervisor Map'!A:D,4,FALSE),MID(H162,4,6))</f>
        <v>211756</v>
      </c>
      <c r="AD162" t="str">
        <f>IFERROR(VLOOKUP(T162,'Org Map'!A:E,4),"BU Description Not Mapped")</f>
        <v>0088</v>
      </c>
      <c r="AE162">
        <f>IFERROR(VLOOKUP(V162,'Org Map'!C:E,3),"Home Department Code Not Mapped")</f>
        <v>5100</v>
      </c>
      <c r="AF162" t="str">
        <f>IFERROR(VLOOKUP(AA162,'Salary Map'!A:D,3,FALSE),"Salary Code Not Mapped")</f>
        <v>Default</v>
      </c>
      <c r="AG162" t="str">
        <f>IFERROR(VLOOKUP(AA162,'Salary Map'!A:D,4,FALSE),"Salary Code Not Mapped")</f>
        <v>General</v>
      </c>
      <c r="AH162" t="str">
        <f>IFERROR(VLOOKUP(Z162,'Country Map'!A:B,2,FALSE),"Legal Country Not Mapped")</f>
        <v>US</v>
      </c>
      <c r="AI162" t="str">
        <f>IFERROR(VLOOKUP(X162,'Language Map'!A:C,3,FALSE),IFERROR(VLOOKUP(T162,'Org Map'!A:F,6,FALSE),"ADP and BU Language Code Not Mapped"))&amp;AH162</f>
        <v>en_US</v>
      </c>
      <c r="AJ162" t="str">
        <f>IFERROR(VLOOKUP(T162,'Org Map'!A:G,7),"BU Currency Not Mapped")</f>
        <v>USD</v>
      </c>
      <c r="AK162" t="str">
        <f t="shared" si="18"/>
        <v/>
      </c>
      <c r="AL162" t="str">
        <f>IFERROR(VLOOKUP(O162,'Status Map'!A:B,2,FALSE),"Position Status Not Mapped")</f>
        <v>Y</v>
      </c>
      <c r="AM162" t="str">
        <f t="shared" si="23"/>
        <v/>
      </c>
      <c r="AO162" t="str">
        <f t="shared" si="19"/>
        <v>RogerlShook</v>
      </c>
      <c r="AP162" t="str">
        <f t="shared" si="20"/>
        <v>Burchell</v>
      </c>
      <c r="AQ162" t="str">
        <f t="shared" si="21"/>
        <v>211756</v>
      </c>
      <c r="AR162" t="b">
        <f t="shared" si="22"/>
        <v>1</v>
      </c>
    </row>
    <row r="163" spans="1:44">
      <c r="A163" s="3" t="s">
        <v>3981</v>
      </c>
      <c r="B163" s="4" t="s">
        <v>3982</v>
      </c>
      <c r="C163" s="5" t="s">
        <v>3983</v>
      </c>
      <c r="D163" s="6" t="s">
        <v>3984</v>
      </c>
      <c r="E163" s="7" t="s">
        <v>3985</v>
      </c>
      <c r="F163" s="8" t="s">
        <v>3986</v>
      </c>
      <c r="G163" s="9" t="s">
        <v>3987</v>
      </c>
      <c r="H163" s="10" t="s">
        <v>3988</v>
      </c>
      <c r="I163" s="11" t="s">
        <v>3989</v>
      </c>
      <c r="J163" s="12" t="s">
        <v>3990</v>
      </c>
      <c r="K163" s="13" t="s">
        <v>3991</v>
      </c>
      <c r="L163" s="14">
        <v>45187</v>
      </c>
      <c r="M163" s="15"/>
      <c r="N163" s="16"/>
      <c r="O163" s="17" t="s">
        <v>3992</v>
      </c>
      <c r="P163" s="18" t="s">
        <v>3993</v>
      </c>
      <c r="Q163" s="19" t="s">
        <v>3994</v>
      </c>
      <c r="R163" s="20" t="s">
        <v>3995</v>
      </c>
      <c r="S163" s="21" t="s">
        <v>3996</v>
      </c>
      <c r="T163" s="22" t="s">
        <v>3997</v>
      </c>
      <c r="U163" s="23" t="s">
        <v>3998</v>
      </c>
      <c r="V163" s="24" t="s">
        <v>3999</v>
      </c>
      <c r="W163" s="25" t="s">
        <v>4000</v>
      </c>
      <c r="X163" s="26" t="s">
        <v>4001</v>
      </c>
      <c r="Y163" s="27" t="s">
        <v>4002</v>
      </c>
      <c r="Z163" s="28" t="s">
        <v>4003</v>
      </c>
      <c r="AA163" s="29" t="s">
        <v>4004</v>
      </c>
      <c r="AB163" s="30" t="s">
        <v>4005</v>
      </c>
      <c r="AC163" t="str">
        <f>IF(ISBLANK(H163),VLOOKUP(P163,'US Supervisor Map'!A:D,4,FALSE),MID(H163,4,6))</f>
        <v>211736</v>
      </c>
      <c r="AD163" t="str">
        <f>IFERROR(VLOOKUP(T163,'Org Map'!A:E,4),"BU Description Not Mapped")</f>
        <v>0088</v>
      </c>
      <c r="AE163">
        <f>IFERROR(VLOOKUP(V163,'Org Map'!C:E,3),"Home Department Code Not Mapped")</f>
        <v>5200</v>
      </c>
      <c r="AF163" t="str">
        <f>IFERROR(VLOOKUP(AA163,'Salary Map'!A:D,3,FALSE),"Salary Code Not Mapped")</f>
        <v>Default</v>
      </c>
      <c r="AG163" t="str">
        <f>IFERROR(VLOOKUP(AA163,'Salary Map'!A:D,4,FALSE),"Salary Code Not Mapped")</f>
        <v>General</v>
      </c>
      <c r="AH163" t="str">
        <f>IFERROR(VLOOKUP(Z163,'Country Map'!A:B,2,FALSE),"Legal Country Not Mapped")</f>
        <v>US</v>
      </c>
      <c r="AI163" t="str">
        <f>IFERROR(VLOOKUP(X163,'Language Map'!A:C,3,FALSE),IFERROR(VLOOKUP(T163,'Org Map'!A:F,6,FALSE),"ADP and BU Language Code Not Mapped"))&amp;AH163</f>
        <v>en_US</v>
      </c>
      <c r="AJ163" t="str">
        <f>IFERROR(VLOOKUP(T163,'Org Map'!A:G,7),"BU Currency Not Mapped")</f>
        <v>USD</v>
      </c>
      <c r="AK163" t="str">
        <f t="shared" si="18"/>
        <v/>
      </c>
      <c r="AL163" t="str">
        <f>IFERROR(VLOOKUP(O163,'Status Map'!A:B,2,FALSE),"Position Status Not Mapped")</f>
        <v>Y</v>
      </c>
      <c r="AM163" t="str">
        <f t="shared" si="23"/>
        <v/>
      </c>
      <c r="AO163" t="str">
        <f t="shared" si="19"/>
        <v>MomikaSmith</v>
      </c>
      <c r="AP163" t="str">
        <f t="shared" si="20"/>
        <v>LaPlante</v>
      </c>
      <c r="AQ163" t="str">
        <f t="shared" si="21"/>
        <v>211736</v>
      </c>
      <c r="AR163" t="b">
        <f t="shared" si="22"/>
        <v>1</v>
      </c>
    </row>
    <row r="164" spans="1:44">
      <c r="A164" s="3" t="s">
        <v>4006</v>
      </c>
      <c r="B164" s="4" t="s">
        <v>4007</v>
      </c>
      <c r="C164" s="5" t="s">
        <v>4008</v>
      </c>
      <c r="D164" s="6" t="s">
        <v>4009</v>
      </c>
      <c r="E164" s="7" t="s">
        <v>4010</v>
      </c>
      <c r="F164" s="8" t="s">
        <v>4011</v>
      </c>
      <c r="G164" s="9" t="s">
        <v>4012</v>
      </c>
      <c r="H164" s="10" t="s">
        <v>4013</v>
      </c>
      <c r="I164" s="11" t="s">
        <v>4014</v>
      </c>
      <c r="J164" s="12" t="s">
        <v>4015</v>
      </c>
      <c r="K164" s="13" t="s">
        <v>4016</v>
      </c>
      <c r="L164" s="14">
        <v>45453</v>
      </c>
      <c r="M164" s="15"/>
      <c r="N164" s="16"/>
      <c r="O164" s="17" t="s">
        <v>4017</v>
      </c>
      <c r="P164" s="18" t="s">
        <v>4018</v>
      </c>
      <c r="Q164" s="19" t="s">
        <v>4019</v>
      </c>
      <c r="R164" s="20" t="s">
        <v>4020</v>
      </c>
      <c r="S164" s="21" t="s">
        <v>4021</v>
      </c>
      <c r="T164" s="22" t="s">
        <v>4022</v>
      </c>
      <c r="U164" s="23" t="s">
        <v>4023</v>
      </c>
      <c r="V164" s="24" t="s">
        <v>4024</v>
      </c>
      <c r="W164" s="25" t="s">
        <v>4025</v>
      </c>
      <c r="X164" s="26" t="s">
        <v>4026</v>
      </c>
      <c r="Y164" s="27" t="s">
        <v>4027</v>
      </c>
      <c r="Z164" s="28" t="s">
        <v>4028</v>
      </c>
      <c r="AA164" s="29" t="s">
        <v>4029</v>
      </c>
      <c r="AB164" s="30" t="s">
        <v>4030</v>
      </c>
      <c r="AC164" t="str">
        <f>IF(ISBLANK(H164),VLOOKUP(P164,'US Supervisor Map'!A:D,4,FALSE),MID(H164,4,6))</f>
        <v>006780</v>
      </c>
      <c r="AD164" t="str">
        <f>IFERROR(VLOOKUP(T164,'Org Map'!A:E,4),"BU Description Not Mapped")</f>
        <v>0096</v>
      </c>
      <c r="AE164">
        <f>IFERROR(VLOOKUP(V164,'Org Map'!C:E,3),"Home Department Code Not Mapped")</f>
        <v>515</v>
      </c>
      <c r="AF164" t="str">
        <f>IFERROR(VLOOKUP(AA164,'Salary Map'!A:D,3,FALSE),"Salary Code Not Mapped")</f>
        <v>Default</v>
      </c>
      <c r="AG164" t="str">
        <f>IFERROR(VLOOKUP(AA164,'Salary Map'!A:D,4,FALSE),"Salary Code Not Mapped")</f>
        <v>General</v>
      </c>
      <c r="AH164" t="str">
        <f>IFERROR(VLOOKUP(Z164,'Country Map'!A:B,2,FALSE),"Legal Country Not Mapped")</f>
        <v>US</v>
      </c>
      <c r="AI164" t="str">
        <f>IFERROR(VLOOKUP(X164,'Language Map'!A:C,3,FALSE),IFERROR(VLOOKUP(T164,'Org Map'!A:F,6,FALSE),"ADP and BU Language Code Not Mapped"))&amp;AH164</f>
        <v>en_US</v>
      </c>
      <c r="AJ164" t="str">
        <f>IFERROR(VLOOKUP(T164,'Org Map'!A:G,7),"BU Currency Not Mapped")</f>
        <v>USD</v>
      </c>
      <c r="AK164" t="str">
        <f t="shared" si="18"/>
        <v/>
      </c>
      <c r="AL164" t="str">
        <f>IFERROR(VLOOKUP(O164,'Status Map'!A:B,2,FALSE),"Position Status Not Mapped")</f>
        <v>Y</v>
      </c>
      <c r="AM164" t="str">
        <f t="shared" si="23"/>
        <v/>
      </c>
      <c r="AO164" t="str">
        <f t="shared" si="19"/>
        <v>MichaelSteen</v>
      </c>
      <c r="AP164" t="str">
        <f t="shared" si="20"/>
        <v>Gang</v>
      </c>
      <c r="AQ164" t="str">
        <f t="shared" si="21"/>
        <v>006780</v>
      </c>
      <c r="AR164" t="b">
        <f t="shared" si="22"/>
        <v>1</v>
      </c>
    </row>
    <row r="165" spans="1:44">
      <c r="A165" s="3" t="s">
        <v>4031</v>
      </c>
      <c r="B165" s="4" t="s">
        <v>4032</v>
      </c>
      <c r="C165" s="5" t="s">
        <v>4033</v>
      </c>
      <c r="D165" s="6" t="s">
        <v>4034</v>
      </c>
      <c r="E165" s="7" t="s">
        <v>4035</v>
      </c>
      <c r="F165" s="8" t="s">
        <v>4036</v>
      </c>
      <c r="G165" s="9" t="s">
        <v>4037</v>
      </c>
      <c r="H165" s="10" t="s">
        <v>4038</v>
      </c>
      <c r="I165" s="11" t="s">
        <v>4039</v>
      </c>
      <c r="J165" s="12" t="s">
        <v>4040</v>
      </c>
      <c r="K165" s="13" t="s">
        <v>4041</v>
      </c>
      <c r="L165" s="14">
        <v>45840</v>
      </c>
      <c r="M165" s="15">
        <v>46235</v>
      </c>
      <c r="N165" s="16"/>
      <c r="O165" s="17" t="s">
        <v>4042</v>
      </c>
      <c r="P165" s="18" t="s">
        <v>4043</v>
      </c>
      <c r="Q165" s="19" t="s">
        <v>4044</v>
      </c>
      <c r="R165" s="20" t="s">
        <v>4045</v>
      </c>
      <c r="S165" s="21" t="s">
        <v>4046</v>
      </c>
      <c r="T165" s="22" t="s">
        <v>4047</v>
      </c>
      <c r="U165" s="23" t="s">
        <v>4048</v>
      </c>
      <c r="V165" s="24" t="s">
        <v>4049</v>
      </c>
      <c r="W165" s="25" t="s">
        <v>4050</v>
      </c>
      <c r="X165" s="26" t="s">
        <v>4051</v>
      </c>
      <c r="Y165" s="27" t="s">
        <v>4052</v>
      </c>
      <c r="Z165" s="28" t="s">
        <v>4053</v>
      </c>
      <c r="AA165" s="29" t="s">
        <v>4054</v>
      </c>
      <c r="AB165" s="30" t="s">
        <v>4055</v>
      </c>
      <c r="AC165" t="str">
        <f>IF(ISBLANK(H165),VLOOKUP(P165,'US Supervisor Map'!A:D,4,FALSE),MID(H165,4,6))</f>
        <v>211601</v>
      </c>
      <c r="AD165" t="str">
        <f>IFERROR(VLOOKUP(T165,'Org Map'!A:E,4),"BU Description Not Mapped")</f>
        <v>0088</v>
      </c>
      <c r="AE165">
        <f>IFERROR(VLOOKUP(V165,'Org Map'!C:E,3),"Home Department Code Not Mapped")</f>
        <v>9400</v>
      </c>
      <c r="AF165" t="str">
        <f>IFERROR(VLOOKUP(AA165,'Salary Map'!A:D,3,FALSE),"Salary Code Not Mapped")</f>
        <v>Default</v>
      </c>
      <c r="AG165" t="str">
        <f>IFERROR(VLOOKUP(AA165,'Salary Map'!A:D,4,FALSE),"Salary Code Not Mapped")</f>
        <v>General</v>
      </c>
      <c r="AH165" t="str">
        <f>IFERROR(VLOOKUP(Z165,'Country Map'!A:B,2,FALSE),"Legal Country Not Mapped")</f>
        <v>US</v>
      </c>
      <c r="AI165" t="str">
        <f>IFERROR(VLOOKUP(X165,'Language Map'!A:C,3,FALSE),IFERROR(VLOOKUP(T165,'Org Map'!A:F,6,FALSE),"ADP and BU Language Code Not Mapped"))&amp;AH165</f>
        <v>en_US</v>
      </c>
      <c r="AJ165" t="str">
        <f>IFERROR(VLOOKUP(T165,'Org Map'!A:G,7),"BU Currency Not Mapped")</f>
        <v>USD</v>
      </c>
      <c r="AK165" t="str">
        <f t="shared" si="18"/>
        <v/>
      </c>
      <c r="AL165" t="str">
        <f>IFERROR(VLOOKUP(O165,'Status Map'!A:B,2,FALSE),"Position Status Not Mapped")</f>
        <v>N</v>
      </c>
      <c r="AM165" t="str">
        <f t="shared" si="23"/>
        <v>20260801</v>
      </c>
      <c r="AN165" t="str">
        <f>IF(M165&gt;AN160,"Fix and Include Record","Exclude record termination over 45 days ago")</f>
        <v>Exclude record termination over 45 days ago</v>
      </c>
      <c r="AO165" t="str">
        <f t="shared" si="19"/>
        <v>JamesStefancin</v>
      </c>
      <c r="AP165" t="str">
        <f t="shared" si="20"/>
        <v>Valetta</v>
      </c>
      <c r="AQ165" t="str">
        <f t="shared" si="21"/>
        <v>211601</v>
      </c>
      <c r="AR165" t="b">
        <f t="shared" si="22"/>
        <v>1</v>
      </c>
    </row>
    <row r="166" spans="1:44">
      <c r="A166" s="3" t="s">
        <v>4056</v>
      </c>
      <c r="B166" s="4" t="s">
        <v>4057</v>
      </c>
      <c r="C166" s="5" t="s">
        <v>4058</v>
      </c>
      <c r="D166" s="6" t="s">
        <v>4059</v>
      </c>
      <c r="E166" s="7" t="s">
        <v>4060</v>
      </c>
      <c r="F166" s="8" t="s">
        <v>4061</v>
      </c>
      <c r="G166" s="9" t="s">
        <v>4062</v>
      </c>
      <c r="H166" s="10" t="s">
        <v>4063</v>
      </c>
      <c r="I166" s="11" t="s">
        <v>4064</v>
      </c>
      <c r="J166" s="12" t="s">
        <v>4065</v>
      </c>
      <c r="K166" s="13" t="s">
        <v>4066</v>
      </c>
      <c r="L166" s="14">
        <v>45840</v>
      </c>
      <c r="M166" s="15"/>
      <c r="N166" s="16"/>
      <c r="O166" s="17" t="s">
        <v>4067</v>
      </c>
      <c r="P166" s="18" t="s">
        <v>4068</v>
      </c>
      <c r="Q166" s="19" t="s">
        <v>4069</v>
      </c>
      <c r="R166" s="20" t="s">
        <v>4070</v>
      </c>
      <c r="S166" s="21" t="s">
        <v>4071</v>
      </c>
      <c r="T166" s="22" t="s">
        <v>4072</v>
      </c>
      <c r="U166" s="23" t="s">
        <v>4073</v>
      </c>
      <c r="V166" s="24" t="s">
        <v>4074</v>
      </c>
      <c r="W166" s="25" t="s">
        <v>4075</v>
      </c>
      <c r="X166" s="26" t="s">
        <v>4076</v>
      </c>
      <c r="Y166" s="27" t="s">
        <v>4077</v>
      </c>
      <c r="Z166" s="28" t="s">
        <v>4078</v>
      </c>
      <c r="AA166" s="29" t="s">
        <v>4079</v>
      </c>
      <c r="AB166" s="30" t="s">
        <v>4080</v>
      </c>
      <c r="AC166" t="str">
        <f>IF(ISBLANK(H166),VLOOKUP(P166,'US Supervisor Map'!A:D,4,FALSE),MID(H166,4,6))</f>
        <v>213037</v>
      </c>
      <c r="AD166" t="str">
        <f>IFERROR(VLOOKUP(T166,'Org Map'!A:E,4),"BU Description Not Mapped")</f>
        <v>0096</v>
      </c>
      <c r="AE166" s="77" t="str">
        <f>IFERROR(VLOOKUP(V166,'Org Map'!C:E,3),"Home Department Code Not Mapped")</f>
        <v>0007</v>
      </c>
      <c r="AF166" t="str">
        <f>IFERROR(VLOOKUP(AA166,'Salary Map'!A:D,3,FALSE),"Salary Code Not Mapped")</f>
        <v>Default</v>
      </c>
      <c r="AG166" t="str">
        <f>IFERROR(VLOOKUP(AA166,'Salary Map'!A:D,4,FALSE),"Salary Code Not Mapped")</f>
        <v>General</v>
      </c>
      <c r="AH166" t="str">
        <f>IFERROR(VLOOKUP(Z166,'Country Map'!A:B,2,FALSE),"Legal Country Not Mapped")</f>
        <v>US</v>
      </c>
      <c r="AI166" t="str">
        <f>IFERROR(VLOOKUP(X166,'Language Map'!A:C,3,FALSE),IFERROR(VLOOKUP(T166,'Org Map'!A:F,6,FALSE),"ADP and BU Language Code Not Mapped"))&amp;AH166</f>
        <v>en_US</v>
      </c>
      <c r="AJ166" t="str">
        <f>IFERROR(VLOOKUP(T166,'Org Map'!A:G,7),"BU Currency Not Mapped")</f>
        <v>USD</v>
      </c>
      <c r="AK166" t="str">
        <f t="shared" si="18"/>
        <v/>
      </c>
      <c r="AL166" t="str">
        <f>IFERROR(VLOOKUP(O166,'Status Map'!A:B,2,FALSE),"Position Status Not Mapped")</f>
        <v>Y</v>
      </c>
      <c r="AM166" t="str">
        <f t="shared" si="23"/>
        <v/>
      </c>
      <c r="AO166" t="str">
        <f t="shared" si="19"/>
        <v>JamesStefancin</v>
      </c>
      <c r="AP166" t="str">
        <f t="shared" si="20"/>
        <v>Bate</v>
      </c>
      <c r="AQ166" t="str">
        <f t="shared" si="21"/>
        <v>213037</v>
      </c>
      <c r="AR166" t="b">
        <f t="shared" si="22"/>
        <v>1</v>
      </c>
    </row>
    <row r="167" spans="1:44">
      <c r="A167" s="3" t="s">
        <v>4081</v>
      </c>
      <c r="B167" s="4" t="s">
        <v>4082</v>
      </c>
      <c r="C167" s="5" t="s">
        <v>4083</v>
      </c>
      <c r="D167" s="6" t="s">
        <v>4084</v>
      </c>
      <c r="E167" s="7" t="s">
        <v>4085</v>
      </c>
      <c r="F167" s="8" t="s">
        <v>4086</v>
      </c>
      <c r="G167" s="9" t="s">
        <v>4087</v>
      </c>
      <c r="H167" s="10" t="s">
        <v>4088</v>
      </c>
      <c r="I167" s="31" t="s">
        <v>4089</v>
      </c>
      <c r="J167" s="12" t="s">
        <v>4090</v>
      </c>
      <c r="K167" s="13" t="s">
        <v>4091</v>
      </c>
      <c r="L167" s="14">
        <v>37292</v>
      </c>
      <c r="M167" s="15"/>
      <c r="N167" s="16"/>
      <c r="O167" s="17" t="s">
        <v>4092</v>
      </c>
      <c r="P167" s="18" t="s">
        <v>4093</v>
      </c>
      <c r="Q167" s="19" t="s">
        <v>4094</v>
      </c>
      <c r="R167" s="20" t="s">
        <v>4095</v>
      </c>
      <c r="S167" s="21" t="s">
        <v>4096</v>
      </c>
      <c r="T167" s="22" t="s">
        <v>4097</v>
      </c>
      <c r="U167" s="23" t="s">
        <v>4098</v>
      </c>
      <c r="V167" s="24" t="s">
        <v>4099</v>
      </c>
      <c r="W167" s="25" t="s">
        <v>4100</v>
      </c>
      <c r="X167" s="26" t="s">
        <v>4101</v>
      </c>
      <c r="Y167" s="27" t="s">
        <v>4102</v>
      </c>
      <c r="Z167" s="28" t="s">
        <v>4103</v>
      </c>
      <c r="AA167" s="29" t="s">
        <v>4104</v>
      </c>
      <c r="AB167" s="30" t="s">
        <v>4105</v>
      </c>
      <c r="AC167" t="str">
        <f>IF(ISBLANK(H167),VLOOKUP(P167,'US Supervisor Map'!A:D,4,FALSE),MID(H167,4,6))</f>
        <v>211062</v>
      </c>
      <c r="AD167" t="str">
        <f>IFERROR(VLOOKUP(T167,'Org Map'!A:E,4),"BU Description Not Mapped")</f>
        <v>0096</v>
      </c>
      <c r="AE167">
        <f>IFERROR(VLOOKUP(V167,'Org Map'!C:E,3),"Home Department Code Not Mapped")</f>
        <v>100</v>
      </c>
      <c r="AF167" t="str">
        <f>IFERROR(VLOOKUP(AA167,'Salary Map'!A:D,3,FALSE),"Salary Code Not Mapped")</f>
        <v>Default</v>
      </c>
      <c r="AG167" t="str">
        <f>IFERROR(VLOOKUP(AA167,'Salary Map'!A:D,4,FALSE),"Salary Code Not Mapped")</f>
        <v>General</v>
      </c>
      <c r="AH167" t="str">
        <f>IFERROR(VLOOKUP(Z167,'Country Map'!A:B,2,FALSE),"Legal Country Not Mapped")</f>
        <v>US</v>
      </c>
      <c r="AI167" t="str">
        <f>IFERROR(VLOOKUP(X167,'Language Map'!A:C,3,FALSE),IFERROR(VLOOKUP(T167,'Org Map'!A:F,6,FALSE),"ADP and BU Language Code Not Mapped"))&amp;AH167</f>
        <v>en_US</v>
      </c>
      <c r="AJ167" t="str">
        <f>IFERROR(VLOOKUP(T167,'Org Map'!A:G,7),"BU Currency Not Mapped")</f>
        <v>USD</v>
      </c>
      <c r="AK167" t="str">
        <f t="shared" si="18"/>
        <v/>
      </c>
      <c r="AL167" t="str">
        <f>IFERROR(VLOOKUP(O167,'Status Map'!A:B,2,FALSE),"Position Status Not Mapped")</f>
        <v>Y</v>
      </c>
      <c r="AM167" t="str">
        <f t="shared" si="23"/>
        <v/>
      </c>
      <c r="AO167" t="str">
        <f t="shared" si="19"/>
        <v>MarvinStone</v>
      </c>
      <c r="AP167" t="str">
        <f t="shared" si="20"/>
        <v>Steen</v>
      </c>
      <c r="AQ167" t="str">
        <f t="shared" si="21"/>
        <v>211062</v>
      </c>
      <c r="AR167" t="b">
        <f t="shared" si="22"/>
        <v>1</v>
      </c>
    </row>
    <row r="168" spans="1:44">
      <c r="A168" s="3" t="s">
        <v>4106</v>
      </c>
      <c r="B168" s="4" t="s">
        <v>4107</v>
      </c>
      <c r="C168" s="5" t="s">
        <v>4108</v>
      </c>
      <c r="D168" s="6" t="s">
        <v>4109</v>
      </c>
      <c r="E168" s="7" t="s">
        <v>4110</v>
      </c>
      <c r="F168" s="8" t="s">
        <v>4111</v>
      </c>
      <c r="G168" s="9" t="s">
        <v>4112</v>
      </c>
      <c r="H168" s="10" t="s">
        <v>4113</v>
      </c>
      <c r="I168" s="11" t="s">
        <v>4114</v>
      </c>
      <c r="J168" s="12" t="s">
        <v>4115</v>
      </c>
      <c r="K168" s="13" t="s">
        <v>4116</v>
      </c>
      <c r="L168" s="14">
        <v>45131</v>
      </c>
      <c r="M168" s="15"/>
      <c r="N168" s="16"/>
      <c r="O168" s="17" t="s">
        <v>4117</v>
      </c>
      <c r="P168" s="18" t="s">
        <v>4118</v>
      </c>
      <c r="Q168" s="19" t="s">
        <v>4119</v>
      </c>
      <c r="R168" s="20" t="s">
        <v>4120</v>
      </c>
      <c r="S168" s="21" t="s">
        <v>4121</v>
      </c>
      <c r="T168" s="22" t="s">
        <v>4122</v>
      </c>
      <c r="U168" s="23" t="s">
        <v>4123</v>
      </c>
      <c r="V168" s="24" t="s">
        <v>4124</v>
      </c>
      <c r="W168" s="25" t="s">
        <v>4125</v>
      </c>
      <c r="X168" s="26" t="s">
        <v>4126</v>
      </c>
      <c r="Y168" s="27" t="s">
        <v>4127</v>
      </c>
      <c r="Z168" s="28" t="s">
        <v>4128</v>
      </c>
      <c r="AA168" s="29" t="s">
        <v>4129</v>
      </c>
      <c r="AB168" s="30" t="s">
        <v>4130</v>
      </c>
      <c r="AC168" t="str">
        <f>IF(ISBLANK(H168),VLOOKUP(P168,'US Supervisor Map'!A:D,4,FALSE),MID(H168,4,6))</f>
        <v>212699</v>
      </c>
      <c r="AD168" t="str">
        <f>IFERROR(VLOOKUP(T168,'Org Map'!A:E,4),"BU Description Not Mapped")</f>
        <v>0088</v>
      </c>
      <c r="AE168">
        <f>IFERROR(VLOOKUP(V168,'Org Map'!C:E,3),"Home Department Code Not Mapped")</f>
        <v>9400</v>
      </c>
      <c r="AF168" t="str">
        <f>IFERROR(VLOOKUP(AA168,'Salary Map'!A:D,3,FALSE),"Salary Code Not Mapped")</f>
        <v>Default</v>
      </c>
      <c r="AG168" t="str">
        <f>IFERROR(VLOOKUP(AA168,'Salary Map'!A:D,4,FALSE),"Salary Code Not Mapped")</f>
        <v>General</v>
      </c>
      <c r="AH168" t="str">
        <f>IFERROR(VLOOKUP(Z168,'Country Map'!A:B,2,FALSE),"Legal Country Not Mapped")</f>
        <v>US</v>
      </c>
      <c r="AI168" t="str">
        <f>IFERROR(VLOOKUP(X168,'Language Map'!A:C,3,FALSE),IFERROR(VLOOKUP(T168,'Org Map'!A:F,6,FALSE),"ADP and BU Language Code Not Mapped"))&amp;AH168</f>
        <v>en_US</v>
      </c>
      <c r="AJ168" t="str">
        <f>IFERROR(VLOOKUP(T168,'Org Map'!A:G,7),"BU Currency Not Mapped")</f>
        <v>USD</v>
      </c>
      <c r="AK168" t="str">
        <f t="shared" si="18"/>
        <v/>
      </c>
      <c r="AL168" t="str">
        <f>IFERROR(VLOOKUP(O168,'Status Map'!A:B,2,FALSE),"Position Status Not Mapped")</f>
        <v>Y</v>
      </c>
      <c r="AM168" t="str">
        <f t="shared" si="23"/>
        <v/>
      </c>
      <c r="AO168" t="str">
        <f t="shared" si="19"/>
        <v>BenjaminSullivan</v>
      </c>
      <c r="AP168" t="str">
        <f t="shared" si="20"/>
        <v>Creager</v>
      </c>
      <c r="AQ168" t="str">
        <f t="shared" si="21"/>
        <v>212699</v>
      </c>
      <c r="AR168" t="b">
        <f t="shared" si="22"/>
        <v>1</v>
      </c>
    </row>
    <row r="169" spans="1:44">
      <c r="A169" s="3" t="s">
        <v>4131</v>
      </c>
      <c r="B169" s="4" t="s">
        <v>4132</v>
      </c>
      <c r="C169" s="5" t="s">
        <v>4133</v>
      </c>
      <c r="D169" s="6" t="s">
        <v>4134</v>
      </c>
      <c r="E169" s="7" t="s">
        <v>4135</v>
      </c>
      <c r="F169" s="8" t="s">
        <v>4136</v>
      </c>
      <c r="G169" s="9" t="s">
        <v>4137</v>
      </c>
      <c r="H169" s="10" t="s">
        <v>4138</v>
      </c>
      <c r="I169" s="11" t="s">
        <v>4139</v>
      </c>
      <c r="J169" s="12" t="s">
        <v>4140</v>
      </c>
      <c r="K169" s="13" t="s">
        <v>4141</v>
      </c>
      <c r="L169" s="14">
        <v>45838</v>
      </c>
      <c r="M169" s="15"/>
      <c r="N169" s="16"/>
      <c r="O169" s="17" t="s">
        <v>4142</v>
      </c>
      <c r="P169" s="18" t="s">
        <v>4143</v>
      </c>
      <c r="Q169" s="19" t="s">
        <v>4144</v>
      </c>
      <c r="R169" s="20" t="s">
        <v>4145</v>
      </c>
      <c r="S169" s="21" t="s">
        <v>4146</v>
      </c>
      <c r="T169" s="22" t="s">
        <v>4147</v>
      </c>
      <c r="U169" s="23" t="s">
        <v>4148</v>
      </c>
      <c r="V169" s="24" t="s">
        <v>4149</v>
      </c>
      <c r="W169" s="25" t="s">
        <v>4150</v>
      </c>
      <c r="X169" s="26" t="s">
        <v>4151</v>
      </c>
      <c r="Y169" s="27" t="s">
        <v>4152</v>
      </c>
      <c r="Z169" s="28" t="s">
        <v>4153</v>
      </c>
      <c r="AA169" s="29" t="s">
        <v>4154</v>
      </c>
      <c r="AB169" s="30" t="s">
        <v>4155</v>
      </c>
      <c r="AC169" t="str">
        <f>IF(ISBLANK(H169),VLOOKUP(P169,'US Supervisor Map'!A:D,4,FALSE),MID(H169,4,6))</f>
        <v>008750</v>
      </c>
      <c r="AD169" t="str">
        <f>IFERROR(VLOOKUP(T169,'Org Map'!A:E,4),"BU Description Not Mapped")</f>
        <v>0088</v>
      </c>
      <c r="AE169">
        <f>IFERROR(VLOOKUP(V169,'Org Map'!C:E,3),"Home Department Code Not Mapped")</f>
        <v>9100</v>
      </c>
      <c r="AF169" t="str">
        <f>IFERROR(VLOOKUP(AA169,'Salary Map'!A:D,3,FALSE),"Salary Code Not Mapped")</f>
        <v>Default</v>
      </c>
      <c r="AG169" t="str">
        <f>IFERROR(VLOOKUP(AA169,'Salary Map'!A:D,4,FALSE),"Salary Code Not Mapped")</f>
        <v>General</v>
      </c>
      <c r="AH169" t="str">
        <f>IFERROR(VLOOKUP(Z169,'Country Map'!A:B,2,FALSE),"Legal Country Not Mapped")</f>
        <v>US</v>
      </c>
      <c r="AI169" t="str">
        <f>IFERROR(VLOOKUP(X169,'Language Map'!A:C,3,FALSE),IFERROR(VLOOKUP(T169,'Org Map'!A:F,6,FALSE),"ADP and BU Language Code Not Mapped"))&amp;AH169</f>
        <v>en_US</v>
      </c>
      <c r="AJ169" t="str">
        <f>IFERROR(VLOOKUP(T169,'Org Map'!A:G,7),"BU Currency Not Mapped")</f>
        <v>USD</v>
      </c>
      <c r="AK169" t="str">
        <f t="shared" si="18"/>
        <v/>
      </c>
      <c r="AL169" t="str">
        <f>IFERROR(VLOOKUP(O169,'Status Map'!A:B,2,FALSE),"Position Status Not Mapped")</f>
        <v>Y</v>
      </c>
      <c r="AM169" t="str">
        <f t="shared" si="23"/>
        <v/>
      </c>
      <c r="AO169" t="str">
        <f t="shared" si="19"/>
        <v>JoyceLSzpila</v>
      </c>
      <c r="AP169" t="str">
        <f t="shared" si="20"/>
        <v>Warner</v>
      </c>
      <c r="AQ169" t="str">
        <f t="shared" si="21"/>
        <v>008750</v>
      </c>
      <c r="AR169" t="b">
        <f t="shared" si="22"/>
        <v>1</v>
      </c>
    </row>
    <row r="170" spans="1:44">
      <c r="A170" s="3" t="s">
        <v>4156</v>
      </c>
      <c r="B170" s="4" t="s">
        <v>4157</v>
      </c>
      <c r="C170" s="5" t="s">
        <v>4158</v>
      </c>
      <c r="D170" s="6" t="s">
        <v>4159</v>
      </c>
      <c r="E170" s="7" t="s">
        <v>4160</v>
      </c>
      <c r="F170" s="8" t="s">
        <v>4161</v>
      </c>
      <c r="G170" s="9" t="s">
        <v>4162</v>
      </c>
      <c r="H170" s="10" t="s">
        <v>4163</v>
      </c>
      <c r="I170" s="11" t="s">
        <v>4164</v>
      </c>
      <c r="J170" s="12" t="s">
        <v>4165</v>
      </c>
      <c r="K170" s="13" t="s">
        <v>4166</v>
      </c>
      <c r="L170" s="14">
        <v>46153</v>
      </c>
      <c r="M170" s="15">
        <v>46255</v>
      </c>
      <c r="N170" s="16"/>
      <c r="O170" s="17" t="s">
        <v>4167</v>
      </c>
      <c r="P170" s="18" t="s">
        <v>4168</v>
      </c>
      <c r="Q170" s="19" t="s">
        <v>4169</v>
      </c>
      <c r="R170" s="20" t="s">
        <v>4170</v>
      </c>
      <c r="S170" s="21" t="s">
        <v>4171</v>
      </c>
      <c r="T170" s="22" t="s">
        <v>4172</v>
      </c>
      <c r="U170" s="23" t="s">
        <v>4173</v>
      </c>
      <c r="V170" s="24" t="s">
        <v>4174</v>
      </c>
      <c r="W170" s="25" t="s">
        <v>4175</v>
      </c>
      <c r="X170" s="26" t="s">
        <v>4176</v>
      </c>
      <c r="Y170" s="27" t="s">
        <v>4177</v>
      </c>
      <c r="Z170" s="28" t="s">
        <v>4178</v>
      </c>
      <c r="AA170" s="29" t="s">
        <v>4179</v>
      </c>
      <c r="AB170" s="30" t="s">
        <v>4180</v>
      </c>
      <c r="AC170" t="str">
        <f>IF(ISBLANK(H170),VLOOKUP(P170,'US Supervisor Map'!A:D,4,FALSE),MID(H170,4,6))</f>
        <v>210910</v>
      </c>
      <c r="AD170" t="str">
        <f>IFERROR(VLOOKUP(T170,'Org Map'!A:E,4),"BU Description Not Mapped")</f>
        <v>0096</v>
      </c>
      <c r="AE170">
        <f>IFERROR(VLOOKUP(V170,'Org Map'!C:E,3),"Home Department Code Not Mapped")</f>
        <v>500</v>
      </c>
      <c r="AF170" t="str">
        <f>IFERROR(VLOOKUP(AA170,'Salary Map'!A:D,3,FALSE),"Salary Code Not Mapped")</f>
        <v>Default</v>
      </c>
      <c r="AG170" t="str">
        <f>IFERROR(VLOOKUP(AA170,'Salary Map'!A:D,4,FALSE),"Salary Code Not Mapped")</f>
        <v>General</v>
      </c>
      <c r="AH170" t="str">
        <f>IFERROR(VLOOKUP(Z170,'Country Map'!A:B,2,FALSE),"Legal Country Not Mapped")</f>
        <v>US</v>
      </c>
      <c r="AI170" t="str">
        <f>IFERROR(VLOOKUP(X170,'Language Map'!A:C,3,FALSE),IFERROR(VLOOKUP(T170,'Org Map'!A:F,6,FALSE),"ADP and BU Language Code Not Mapped"))&amp;AH170</f>
        <v>en_US</v>
      </c>
      <c r="AJ170" t="str">
        <f>IFERROR(VLOOKUP(T170,'Org Map'!A:G,7),"BU Currency Not Mapped")</f>
        <v>USD</v>
      </c>
      <c r="AK170" t="str">
        <f t="shared" si="18"/>
        <v/>
      </c>
      <c r="AL170" t="str">
        <f>IFERROR(VLOOKUP(O170,'Status Map'!A:B,2,FALSE),"Position Status Not Mapped")</f>
        <v>N</v>
      </c>
      <c r="AM170" t="str">
        <f t="shared" si="23"/>
        <v>20260821</v>
      </c>
      <c r="AN170" t="str">
        <f t="shared" ref="AN170:AN172" si="26">IF(M170&gt;AN165,"Fix and Include Record","Exclude record termination over 45 days ago")</f>
        <v>Exclude record termination over 45 days ago</v>
      </c>
      <c r="AO170" t="str">
        <f t="shared" si="19"/>
        <v>IsaakRTaiclet</v>
      </c>
      <c r="AP170" t="str">
        <f t="shared" si="20"/>
        <v>Leftrict</v>
      </c>
      <c r="AQ170" t="str">
        <f t="shared" si="21"/>
        <v>210910</v>
      </c>
      <c r="AR170" t="b">
        <f t="shared" si="22"/>
        <v>1</v>
      </c>
    </row>
    <row r="171" spans="1:44">
      <c r="A171" s="3" t="s">
        <v>4181</v>
      </c>
      <c r="B171" s="4" t="s">
        <v>4182</v>
      </c>
      <c r="C171" s="5" t="s">
        <v>4183</v>
      </c>
      <c r="D171" s="6" t="s">
        <v>4184</v>
      </c>
      <c r="E171" s="7" t="s">
        <v>4185</v>
      </c>
      <c r="F171" s="8" t="s">
        <v>4186</v>
      </c>
      <c r="G171" s="9" t="s">
        <v>4187</v>
      </c>
      <c r="H171" s="36" t="s">
        <v>4188</v>
      </c>
      <c r="I171" s="11" t="s">
        <v>4189</v>
      </c>
      <c r="J171" s="12" t="s">
        <v>4190</v>
      </c>
      <c r="K171" s="13" t="s">
        <v>4191</v>
      </c>
      <c r="L171" s="14">
        <v>46153</v>
      </c>
      <c r="M171" s="15">
        <v>46176</v>
      </c>
      <c r="N171" s="16"/>
      <c r="O171" s="17" t="s">
        <v>4192</v>
      </c>
      <c r="P171" s="18" t="s">
        <v>4193</v>
      </c>
      <c r="Q171" s="19" t="s">
        <v>4194</v>
      </c>
      <c r="R171" s="20" t="s">
        <v>4195</v>
      </c>
      <c r="S171" s="21" t="s">
        <v>4196</v>
      </c>
      <c r="T171" s="22" t="s">
        <v>4197</v>
      </c>
      <c r="U171" s="23" t="s">
        <v>4198</v>
      </c>
      <c r="V171" s="24" t="s">
        <v>4199</v>
      </c>
      <c r="W171" s="25" t="s">
        <v>4200</v>
      </c>
      <c r="X171" s="26" t="s">
        <v>4201</v>
      </c>
      <c r="Y171" s="27" t="s">
        <v>4202</v>
      </c>
      <c r="Z171" s="28" t="s">
        <v>4203</v>
      </c>
      <c r="AA171" s="29" t="s">
        <v>4204</v>
      </c>
      <c r="AB171" s="30" t="s">
        <v>4205</v>
      </c>
      <c r="AC171" s="77" t="str">
        <f>IF(ISBLANK(H171),VLOOKUP(P171,'US Supervisor Map'!A:D,4,FALSE),MID(H171,4,6))</f>
        <v/>
      </c>
      <c r="AD171" t="str">
        <f>IFERROR(VLOOKUP(T171,'Org Map'!A:E,4),"BU Description Not Mapped")</f>
        <v>0096</v>
      </c>
      <c r="AE171">
        <f>IFERROR(VLOOKUP(V171,'Org Map'!C:E,3),"Home Department Code Not Mapped")</f>
        <v>500</v>
      </c>
      <c r="AF171" t="str">
        <f>IFERROR(VLOOKUP(AA171,'Salary Map'!A:D,3,FALSE),"Salary Code Not Mapped")</f>
        <v>Default</v>
      </c>
      <c r="AG171" t="str">
        <f>IFERROR(VLOOKUP(AA171,'Salary Map'!A:D,4,FALSE),"Salary Code Not Mapped")</f>
        <v>General</v>
      </c>
      <c r="AH171" t="str">
        <f>IFERROR(VLOOKUP(Z171,'Country Map'!A:B,2,FALSE),"Legal Country Not Mapped")</f>
        <v>US</v>
      </c>
      <c r="AI171" t="str">
        <f>IFERROR(VLOOKUP(X171,'Language Map'!A:C,3,FALSE),IFERROR(VLOOKUP(T171,'Org Map'!A:F,6,FALSE),"ADP and BU Language Code Not Mapped"))&amp;AH171</f>
        <v>en_US</v>
      </c>
      <c r="AJ171" t="str">
        <f>IFERROR(VLOOKUP(T171,'Org Map'!A:G,7),"BU Currency Not Mapped")</f>
        <v>USD</v>
      </c>
      <c r="AK171" t="str">
        <f t="shared" si="18"/>
        <v/>
      </c>
      <c r="AL171" t="str">
        <f>IFERROR(VLOOKUP(O171,'Status Map'!A:B,2,FALSE),"Position Status Not Mapped")</f>
        <v>N</v>
      </c>
      <c r="AM171" t="str">
        <f t="shared" si="23"/>
        <v>20260603</v>
      </c>
      <c r="AN171" t="str">
        <f t="shared" si="26"/>
        <v>Fix and Include Record</v>
      </c>
      <c r="AO171" t="str">
        <f t="shared" si="19"/>
        <v>IsaakRTaiclet</v>
      </c>
      <c r="AP171" t="e">
        <f t="shared" si="20"/>
        <v>#VALUE!</v>
      </c>
      <c r="AQ171" t="str">
        <f t="shared" si="21"/>
        <v>No Reports to Name</v>
      </c>
      <c r="AR171" t="b">
        <f t="shared" si="22"/>
        <v>0</v>
      </c>
    </row>
    <row r="172" spans="1:44">
      <c r="A172" s="3" t="s">
        <v>4206</v>
      </c>
      <c r="B172" s="4" t="s">
        <v>4207</v>
      </c>
      <c r="C172" s="5" t="s">
        <v>4208</v>
      </c>
      <c r="D172" s="6" t="s">
        <v>4209</v>
      </c>
      <c r="E172" s="7" t="s">
        <v>4210</v>
      </c>
      <c r="F172" s="8" t="s">
        <v>4211</v>
      </c>
      <c r="G172" s="9" t="s">
        <v>4212</v>
      </c>
      <c r="H172" s="36" t="s">
        <v>4213</v>
      </c>
      <c r="I172" s="11" t="s">
        <v>4214</v>
      </c>
      <c r="J172" s="12" t="s">
        <v>4215</v>
      </c>
      <c r="K172" s="13" t="s">
        <v>4216</v>
      </c>
      <c r="L172" s="14">
        <v>46153</v>
      </c>
      <c r="M172" s="15">
        <v>46176</v>
      </c>
      <c r="N172" s="16"/>
      <c r="O172" s="17" t="s">
        <v>4217</v>
      </c>
      <c r="P172" s="18" t="s">
        <v>4218</v>
      </c>
      <c r="Q172" s="19" t="s">
        <v>4219</v>
      </c>
      <c r="R172" s="20" t="s">
        <v>4220</v>
      </c>
      <c r="S172" s="21" t="s">
        <v>4221</v>
      </c>
      <c r="T172" s="22" t="s">
        <v>4222</v>
      </c>
      <c r="U172" s="23" t="s">
        <v>4223</v>
      </c>
      <c r="V172" s="24" t="s">
        <v>4224</v>
      </c>
      <c r="W172" s="25" t="s">
        <v>4225</v>
      </c>
      <c r="X172" s="26" t="s">
        <v>4226</v>
      </c>
      <c r="Y172" s="27" t="s">
        <v>4227</v>
      </c>
      <c r="Z172" s="28" t="s">
        <v>4228</v>
      </c>
      <c r="AA172" s="29" t="s">
        <v>4229</v>
      </c>
      <c r="AB172" s="30" t="s">
        <v>4230</v>
      </c>
      <c r="AC172" s="77" t="str">
        <f>IF(ISBLANK(H172),VLOOKUP(P172,'US Supervisor Map'!A:D,4,FALSE),MID(H172,4,6))</f>
        <v/>
      </c>
      <c r="AD172" t="str">
        <f>IFERROR(VLOOKUP(T172,'Org Map'!A:E,4),"BU Description Not Mapped")</f>
        <v>0096</v>
      </c>
      <c r="AE172">
        <f>IFERROR(VLOOKUP(V172,'Org Map'!C:E,3),"Home Department Code Not Mapped")</f>
        <v>500</v>
      </c>
      <c r="AF172" t="str">
        <f>IFERROR(VLOOKUP(AA172,'Salary Map'!A:D,3,FALSE),"Salary Code Not Mapped")</f>
        <v>Default</v>
      </c>
      <c r="AG172" t="str">
        <f>IFERROR(VLOOKUP(AA172,'Salary Map'!A:D,4,FALSE),"Salary Code Not Mapped")</f>
        <v>General</v>
      </c>
      <c r="AH172" t="str">
        <f>IFERROR(VLOOKUP(Z172,'Country Map'!A:B,2,FALSE),"Legal Country Not Mapped")</f>
        <v>US</v>
      </c>
      <c r="AI172" t="str">
        <f>IFERROR(VLOOKUP(X172,'Language Map'!A:C,3,FALSE),IFERROR(VLOOKUP(T172,'Org Map'!A:F,6,FALSE),"ADP and BU Language Code Not Mapped"))&amp;AH172</f>
        <v>en_US</v>
      </c>
      <c r="AJ172" t="str">
        <f>IFERROR(VLOOKUP(T172,'Org Map'!A:G,7),"BU Currency Not Mapped")</f>
        <v>USD</v>
      </c>
      <c r="AK172" t="str">
        <f t="shared" si="18"/>
        <v/>
      </c>
      <c r="AL172" t="str">
        <f>IFERROR(VLOOKUP(O172,'Status Map'!A:B,2,FALSE),"Position Status Not Mapped")</f>
        <v>N</v>
      </c>
      <c r="AM172" t="str">
        <f t="shared" si="23"/>
        <v>20260603</v>
      </c>
      <c r="AN172" t="str">
        <f t="shared" si="26"/>
        <v>Fix and Include Record</v>
      </c>
      <c r="AO172" t="str">
        <f t="shared" si="19"/>
        <v>IsaakRTaiclet</v>
      </c>
      <c r="AP172" t="e">
        <f t="shared" si="20"/>
        <v>#VALUE!</v>
      </c>
      <c r="AQ172" t="str">
        <f t="shared" si="21"/>
        <v>No Reports to Name</v>
      </c>
      <c r="AR172" t="b">
        <f t="shared" si="22"/>
        <v>0</v>
      </c>
    </row>
    <row r="173" spans="1:44">
      <c r="A173" s="3" t="s">
        <v>4231</v>
      </c>
      <c r="B173" s="4" t="s">
        <v>4232</v>
      </c>
      <c r="C173" s="5" t="s">
        <v>4233</v>
      </c>
      <c r="D173" s="6" t="s">
        <v>4234</v>
      </c>
      <c r="E173" s="7" t="s">
        <v>4235</v>
      </c>
      <c r="F173" s="8" t="s">
        <v>4236</v>
      </c>
      <c r="G173" s="9" t="s">
        <v>4237</v>
      </c>
      <c r="H173" s="10" t="s">
        <v>4238</v>
      </c>
      <c r="I173" s="11" t="s">
        <v>4239</v>
      </c>
      <c r="J173" s="12" t="s">
        <v>4240</v>
      </c>
      <c r="K173" s="13" t="s">
        <v>4241</v>
      </c>
      <c r="L173" s="14">
        <v>42786</v>
      </c>
      <c r="M173" s="15"/>
      <c r="N173" s="16"/>
      <c r="O173" s="17" t="s">
        <v>4242</v>
      </c>
      <c r="P173" s="18" t="s">
        <v>4243</v>
      </c>
      <c r="Q173" s="19" t="s">
        <v>4244</v>
      </c>
      <c r="R173" s="20" t="s">
        <v>4245</v>
      </c>
      <c r="S173" s="21" t="s">
        <v>4246</v>
      </c>
      <c r="T173" s="22" t="s">
        <v>4247</v>
      </c>
      <c r="U173" s="23" t="s">
        <v>4248</v>
      </c>
      <c r="V173" s="24" t="s">
        <v>4249</v>
      </c>
      <c r="W173" s="25" t="s">
        <v>4250</v>
      </c>
      <c r="X173" s="26" t="s">
        <v>4251</v>
      </c>
      <c r="Y173" s="27" t="s">
        <v>4252</v>
      </c>
      <c r="Z173" s="28" t="s">
        <v>4253</v>
      </c>
      <c r="AA173" s="29" t="s">
        <v>4254</v>
      </c>
      <c r="AB173" s="30" t="s">
        <v>4255</v>
      </c>
      <c r="AC173" t="str">
        <f>IF(ISBLANK(H173),VLOOKUP(P173,'US Supervisor Map'!A:D,4,FALSE),MID(H173,4,6))</f>
        <v>008750</v>
      </c>
      <c r="AD173" t="str">
        <f>IFERROR(VLOOKUP(T173,'Org Map'!A:E,4),"BU Description Not Mapped")</f>
        <v>0096</v>
      </c>
      <c r="AE173">
        <f>IFERROR(VLOOKUP(V173,'Org Map'!C:E,3),"Home Department Code Not Mapped")</f>
        <v>910</v>
      </c>
      <c r="AF173" t="str">
        <f>IFERROR(VLOOKUP(AA173,'Salary Map'!A:D,3,FALSE),"Salary Code Not Mapped")</f>
        <v>Default</v>
      </c>
      <c r="AG173" t="str">
        <f>IFERROR(VLOOKUP(AA173,'Salary Map'!A:D,4,FALSE),"Salary Code Not Mapped")</f>
        <v>General</v>
      </c>
      <c r="AH173" t="str">
        <f>IFERROR(VLOOKUP(Z173,'Country Map'!A:B,2,FALSE),"Legal Country Not Mapped")</f>
        <v>US</v>
      </c>
      <c r="AI173" t="str">
        <f>IFERROR(VLOOKUP(X173,'Language Map'!A:C,3,FALSE),IFERROR(VLOOKUP(T173,'Org Map'!A:F,6,FALSE),"ADP and BU Language Code Not Mapped"))&amp;AH173</f>
        <v>en_US</v>
      </c>
      <c r="AJ173" t="str">
        <f>IFERROR(VLOOKUP(T173,'Org Map'!A:G,7),"BU Currency Not Mapped")</f>
        <v>USD</v>
      </c>
      <c r="AK173" t="str">
        <f t="shared" si="18"/>
        <v/>
      </c>
      <c r="AL173" t="str">
        <f>IFERROR(VLOOKUP(O173,'Status Map'!A:B,2,FALSE),"Position Status Not Mapped")</f>
        <v>Y</v>
      </c>
      <c r="AM173" t="str">
        <f t="shared" si="23"/>
        <v/>
      </c>
      <c r="AO173" t="str">
        <f t="shared" si="19"/>
        <v>RichardETaiclet</v>
      </c>
      <c r="AP173" t="str">
        <f t="shared" si="20"/>
        <v>Warner</v>
      </c>
      <c r="AQ173" t="str">
        <f t="shared" si="21"/>
        <v>008750</v>
      </c>
      <c r="AR173" t="b">
        <f t="shared" si="22"/>
        <v>1</v>
      </c>
    </row>
    <row r="174" spans="1:44">
      <c r="A174" s="3" t="s">
        <v>4256</v>
      </c>
      <c r="B174" s="4" t="s">
        <v>4257</v>
      </c>
      <c r="C174" s="5" t="s">
        <v>4258</v>
      </c>
      <c r="D174" s="6" t="s">
        <v>4259</v>
      </c>
      <c r="E174" s="7" t="s">
        <v>4260</v>
      </c>
      <c r="F174" s="8" t="s">
        <v>4261</v>
      </c>
      <c r="G174" s="9" t="s">
        <v>4262</v>
      </c>
      <c r="H174" s="10" t="s">
        <v>4263</v>
      </c>
      <c r="I174" s="11" t="s">
        <v>4264</v>
      </c>
      <c r="J174" s="12" t="s">
        <v>4265</v>
      </c>
      <c r="K174" s="13" t="s">
        <v>4266</v>
      </c>
      <c r="L174" s="14">
        <v>45586</v>
      </c>
      <c r="M174" s="15"/>
      <c r="N174" s="16"/>
      <c r="O174" s="17" t="s">
        <v>4267</v>
      </c>
      <c r="P174" s="18" t="s">
        <v>4268</v>
      </c>
      <c r="Q174" s="19" t="s">
        <v>4269</v>
      </c>
      <c r="R174" s="20" t="s">
        <v>4270</v>
      </c>
      <c r="S174" s="21" t="s">
        <v>4271</v>
      </c>
      <c r="T174" s="22" t="s">
        <v>4272</v>
      </c>
      <c r="U174" s="23" t="s">
        <v>4273</v>
      </c>
      <c r="V174" s="24" t="s">
        <v>4274</v>
      </c>
      <c r="W174" s="25" t="s">
        <v>4275</v>
      </c>
      <c r="X174" s="26" t="s">
        <v>4276</v>
      </c>
      <c r="Y174" s="27" t="s">
        <v>4277</v>
      </c>
      <c r="Z174" s="28" t="s">
        <v>4278</v>
      </c>
      <c r="AA174" s="29" t="s">
        <v>4279</v>
      </c>
      <c r="AB174" s="30" t="s">
        <v>4280</v>
      </c>
      <c r="AC174" t="str">
        <f>IF(ISBLANK(H174),VLOOKUP(P174,'US Supervisor Map'!A:D,4,FALSE),MID(H174,4,6))</f>
        <v>211736</v>
      </c>
      <c r="AD174" t="str">
        <f>IFERROR(VLOOKUP(T174,'Org Map'!A:E,4),"BU Description Not Mapped")</f>
        <v>0088</v>
      </c>
      <c r="AE174">
        <f>IFERROR(VLOOKUP(V174,'Org Map'!C:E,3),"Home Department Code Not Mapped")</f>
        <v>5200</v>
      </c>
      <c r="AF174" t="str">
        <f>IFERROR(VLOOKUP(AA174,'Salary Map'!A:D,3,FALSE),"Salary Code Not Mapped")</f>
        <v>Default</v>
      </c>
      <c r="AG174" t="str">
        <f>IFERROR(VLOOKUP(AA174,'Salary Map'!A:D,4,FALSE),"Salary Code Not Mapped")</f>
        <v>General</v>
      </c>
      <c r="AH174" t="str">
        <f>IFERROR(VLOOKUP(Z174,'Country Map'!A:B,2,FALSE),"Legal Country Not Mapped")</f>
        <v>US</v>
      </c>
      <c r="AI174" t="str">
        <f>IFERROR(VLOOKUP(X174,'Language Map'!A:C,3,FALSE),IFERROR(VLOOKUP(T174,'Org Map'!A:F,6,FALSE),"ADP and BU Language Code Not Mapped"))&amp;AH174</f>
        <v>en_US</v>
      </c>
      <c r="AJ174" t="str">
        <f>IFERROR(VLOOKUP(T174,'Org Map'!A:G,7),"BU Currency Not Mapped")</f>
        <v>USD</v>
      </c>
      <c r="AK174" t="str">
        <f t="shared" si="18"/>
        <v/>
      </c>
      <c r="AL174" t="str">
        <f>IFERROR(VLOOKUP(O174,'Status Map'!A:B,2,FALSE),"Position Status Not Mapped")</f>
        <v>Y</v>
      </c>
      <c r="AM174" t="str">
        <f t="shared" si="23"/>
        <v/>
      </c>
      <c r="AO174" t="str">
        <f t="shared" si="19"/>
        <v>KevinThaboun</v>
      </c>
      <c r="AP174" t="str">
        <f t="shared" si="20"/>
        <v>LaPlante</v>
      </c>
      <c r="AQ174" t="str">
        <f t="shared" si="21"/>
        <v>211736</v>
      </c>
      <c r="AR174" t="b">
        <f t="shared" si="22"/>
        <v>1</v>
      </c>
    </row>
    <row r="175" spans="1:44">
      <c r="A175" s="3" t="s">
        <v>4281</v>
      </c>
      <c r="B175" s="4" t="s">
        <v>4282</v>
      </c>
      <c r="C175" s="5" t="s">
        <v>4283</v>
      </c>
      <c r="D175" s="6" t="s">
        <v>4284</v>
      </c>
      <c r="E175" s="7" t="s">
        <v>4285</v>
      </c>
      <c r="F175" s="8" t="s">
        <v>4286</v>
      </c>
      <c r="G175" s="9" t="s">
        <v>4287</v>
      </c>
      <c r="H175" s="10" t="s">
        <v>4288</v>
      </c>
      <c r="I175" s="11" t="s">
        <v>4289</v>
      </c>
      <c r="J175" s="12" t="s">
        <v>4290</v>
      </c>
      <c r="K175" s="13" t="s">
        <v>4291</v>
      </c>
      <c r="L175" s="14">
        <v>42835</v>
      </c>
      <c r="M175" s="15"/>
      <c r="N175" s="16">
        <v>46146</v>
      </c>
      <c r="O175" s="17" t="s">
        <v>4292</v>
      </c>
      <c r="P175" s="18" t="s">
        <v>4293</v>
      </c>
      <c r="Q175" s="19" t="s">
        <v>4294</v>
      </c>
      <c r="R175" s="20" t="s">
        <v>4295</v>
      </c>
      <c r="S175" s="21" t="s">
        <v>4296</v>
      </c>
      <c r="T175" s="22" t="s">
        <v>4297</v>
      </c>
      <c r="U175" s="23" t="s">
        <v>4298</v>
      </c>
      <c r="V175" s="24" t="s">
        <v>4299</v>
      </c>
      <c r="W175" s="25" t="s">
        <v>4300</v>
      </c>
      <c r="X175" s="26" t="s">
        <v>4301</v>
      </c>
      <c r="Y175" s="27" t="s">
        <v>4302</v>
      </c>
      <c r="Z175" s="28" t="s">
        <v>4303</v>
      </c>
      <c r="AA175" s="29" t="s">
        <v>4304</v>
      </c>
      <c r="AB175" s="30" t="s">
        <v>4305</v>
      </c>
      <c r="AC175" t="str">
        <f>IF(ISBLANK(H175),VLOOKUP(P175,'US Supervisor Map'!A:D,4,FALSE),MID(H175,4,6))</f>
        <v>008750</v>
      </c>
      <c r="AD175" t="str">
        <f>IFERROR(VLOOKUP(T175,'Org Map'!A:E,4),"BU Description Not Mapped")</f>
        <v>0088</v>
      </c>
      <c r="AE175">
        <f>IFERROR(VLOOKUP(V175,'Org Map'!C:E,3),"Home Department Code Not Mapped")</f>
        <v>9100</v>
      </c>
      <c r="AF175" t="str">
        <f>IFERROR(VLOOKUP(AA175,'Salary Map'!A:D,3,FALSE),"Salary Code Not Mapped")</f>
        <v>Default</v>
      </c>
      <c r="AG175" t="str">
        <f>IFERROR(VLOOKUP(AA175,'Salary Map'!A:D,4,FALSE),"Salary Code Not Mapped")</f>
        <v>General</v>
      </c>
      <c r="AH175" t="str">
        <f>IFERROR(VLOOKUP(Z175,'Country Map'!A:B,2,FALSE),"Legal Country Not Mapped")</f>
        <v>US</v>
      </c>
      <c r="AI175" t="str">
        <f>IFERROR(VLOOKUP(X175,'Language Map'!A:C,3,FALSE),IFERROR(VLOOKUP(T175,'Org Map'!A:F,6,FALSE),"ADP and BU Language Code Not Mapped"))&amp;AH175</f>
        <v>en_US</v>
      </c>
      <c r="AJ175" t="str">
        <f>IFERROR(VLOOKUP(T175,'Org Map'!A:G,7),"BU Currency Not Mapped")</f>
        <v>USD</v>
      </c>
      <c r="AK175" t="str">
        <f t="shared" si="18"/>
        <v/>
      </c>
      <c r="AL175" t="str">
        <f>IFERROR(VLOOKUP(O175,'Status Map'!A:B,2,FALSE),"Position Status Not Mapped")</f>
        <v>Y</v>
      </c>
      <c r="AM175" t="str">
        <f t="shared" si="23"/>
        <v/>
      </c>
      <c r="AO175" t="str">
        <f t="shared" si="19"/>
        <v>KugaginiThineshkumar</v>
      </c>
      <c r="AP175" t="str">
        <f t="shared" si="20"/>
        <v>Warner</v>
      </c>
      <c r="AQ175" t="str">
        <f t="shared" si="21"/>
        <v>008750</v>
      </c>
      <c r="AR175" t="b">
        <f t="shared" si="22"/>
        <v>1</v>
      </c>
    </row>
    <row r="176" spans="1:44">
      <c r="A176" s="3" t="s">
        <v>4306</v>
      </c>
      <c r="B176" s="4" t="s">
        <v>4307</v>
      </c>
      <c r="C176" s="5" t="s">
        <v>4308</v>
      </c>
      <c r="D176" s="6" t="s">
        <v>4309</v>
      </c>
      <c r="E176" s="7" t="s">
        <v>4310</v>
      </c>
      <c r="F176" s="8" t="s">
        <v>4311</v>
      </c>
      <c r="G176" s="9" t="s">
        <v>4312</v>
      </c>
      <c r="H176" s="10" t="s">
        <v>4313</v>
      </c>
      <c r="I176" s="11" t="s">
        <v>4314</v>
      </c>
      <c r="J176" s="12" t="s">
        <v>4315</v>
      </c>
      <c r="K176" s="13" t="s">
        <v>4316</v>
      </c>
      <c r="L176" s="14">
        <v>46160</v>
      </c>
      <c r="M176" s="15"/>
      <c r="N176" s="16"/>
      <c r="O176" s="17" t="s">
        <v>4317</v>
      </c>
      <c r="P176" s="18" t="s">
        <v>4318</v>
      </c>
      <c r="Q176" s="19" t="s">
        <v>4319</v>
      </c>
      <c r="R176" s="20" t="s">
        <v>4320</v>
      </c>
      <c r="S176" s="21" t="s">
        <v>4321</v>
      </c>
      <c r="T176" s="22" t="s">
        <v>4322</v>
      </c>
      <c r="U176" s="23" t="s">
        <v>4323</v>
      </c>
      <c r="V176" s="24" t="s">
        <v>4324</v>
      </c>
      <c r="W176" s="25" t="s">
        <v>4325</v>
      </c>
      <c r="X176" s="26" t="s">
        <v>4326</v>
      </c>
      <c r="Y176" s="27" t="s">
        <v>4327</v>
      </c>
      <c r="Z176" s="28" t="s">
        <v>4328</v>
      </c>
      <c r="AA176" s="29" t="s">
        <v>4329</v>
      </c>
      <c r="AB176" s="30" t="s">
        <v>4330</v>
      </c>
      <c r="AC176" t="str">
        <f>IF(ISBLANK(H176),VLOOKUP(P176,'US Supervisor Map'!A:D,4,FALSE),MID(H176,4,6))</f>
        <v>211131</v>
      </c>
      <c r="AD176" t="str">
        <f>IFERROR(VLOOKUP(T176,'Org Map'!A:E,4),"BU Description Not Mapped")</f>
        <v>0088</v>
      </c>
      <c r="AE176">
        <f>IFERROR(VLOOKUP(V176,'Org Map'!C:E,3),"Home Department Code Not Mapped")</f>
        <v>8100</v>
      </c>
      <c r="AF176" t="str">
        <f>IFERROR(VLOOKUP(AA176,'Salary Map'!A:D,3,FALSE),"Salary Code Not Mapped")</f>
        <v>Default</v>
      </c>
      <c r="AG176" t="str">
        <f>IFERROR(VLOOKUP(AA176,'Salary Map'!A:D,4,FALSE),"Salary Code Not Mapped")</f>
        <v>General</v>
      </c>
      <c r="AH176" t="str">
        <f>IFERROR(VLOOKUP(Z176,'Country Map'!A:B,2,FALSE),"Legal Country Not Mapped")</f>
        <v>US</v>
      </c>
      <c r="AI176" t="str">
        <f>IFERROR(VLOOKUP(X176,'Language Map'!A:C,3,FALSE),IFERROR(VLOOKUP(T176,'Org Map'!A:F,6,FALSE),"ADP and BU Language Code Not Mapped"))&amp;AH176</f>
        <v>en_US</v>
      </c>
      <c r="AJ176" t="str">
        <f>IFERROR(VLOOKUP(T176,'Org Map'!A:G,7),"BU Currency Not Mapped")</f>
        <v>USD</v>
      </c>
      <c r="AK176" t="str">
        <f t="shared" si="18"/>
        <v/>
      </c>
      <c r="AL176" t="str">
        <f>IFERROR(VLOOKUP(O176,'Status Map'!A:B,2,FALSE),"Position Status Not Mapped")</f>
        <v>Y</v>
      </c>
      <c r="AM176" t="str">
        <f t="shared" si="23"/>
        <v/>
      </c>
      <c r="AO176" t="str">
        <f t="shared" si="19"/>
        <v>TadeyshiaToney</v>
      </c>
      <c r="AP176" t="str">
        <f t="shared" si="20"/>
        <v>Rafferty</v>
      </c>
      <c r="AQ176" t="str">
        <f t="shared" si="21"/>
        <v>211131</v>
      </c>
      <c r="AR176" t="b">
        <f t="shared" si="22"/>
        <v>1</v>
      </c>
    </row>
    <row r="177" spans="1:44">
      <c r="A177" s="3" t="s">
        <v>4331</v>
      </c>
      <c r="B177" s="4" t="s">
        <v>4332</v>
      </c>
      <c r="C177" s="5" t="s">
        <v>4333</v>
      </c>
      <c r="D177" s="6" t="s">
        <v>4334</v>
      </c>
      <c r="E177" s="7" t="s">
        <v>4335</v>
      </c>
      <c r="F177" s="8" t="s">
        <v>4336</v>
      </c>
      <c r="G177" s="9" t="s">
        <v>4337</v>
      </c>
      <c r="H177" s="10" t="s">
        <v>4338</v>
      </c>
      <c r="I177" s="11" t="s">
        <v>4339</v>
      </c>
      <c r="J177" s="12" t="s">
        <v>4340</v>
      </c>
      <c r="K177" s="13" t="s">
        <v>4341</v>
      </c>
      <c r="L177" s="14">
        <v>44466</v>
      </c>
      <c r="M177" s="15"/>
      <c r="N177" s="16"/>
      <c r="O177" s="17" t="s">
        <v>4342</v>
      </c>
      <c r="P177" s="18" t="s">
        <v>4343</v>
      </c>
      <c r="Q177" s="19" t="s">
        <v>4344</v>
      </c>
      <c r="R177" s="20" t="s">
        <v>4345</v>
      </c>
      <c r="S177" s="21" t="s">
        <v>4346</v>
      </c>
      <c r="T177" s="22" t="s">
        <v>4347</v>
      </c>
      <c r="U177" s="23" t="s">
        <v>4348</v>
      </c>
      <c r="V177" s="24" t="s">
        <v>4349</v>
      </c>
      <c r="W177" s="25" t="s">
        <v>4350</v>
      </c>
      <c r="X177" s="26" t="s">
        <v>4351</v>
      </c>
      <c r="Y177" s="27" t="s">
        <v>4352</v>
      </c>
      <c r="Z177" s="28" t="s">
        <v>4353</v>
      </c>
      <c r="AA177" s="29" t="s">
        <v>4354</v>
      </c>
      <c r="AB177" s="30" t="s">
        <v>4355</v>
      </c>
      <c r="AC177" t="str">
        <f>IF(ISBLANK(H177),VLOOKUP(P177,'US Supervisor Map'!A:D,4,FALSE),MID(H177,4,6))</f>
        <v>212699</v>
      </c>
      <c r="AD177" t="str">
        <f>IFERROR(VLOOKUP(T177,'Org Map'!A:E,4),"BU Description Not Mapped")</f>
        <v>0088</v>
      </c>
      <c r="AE177">
        <f>IFERROR(VLOOKUP(V177,'Org Map'!C:E,3),"Home Department Code Not Mapped")</f>
        <v>9400</v>
      </c>
      <c r="AF177" t="str">
        <f>IFERROR(VLOOKUP(AA177,'Salary Map'!A:D,3,FALSE),"Salary Code Not Mapped")</f>
        <v>Default</v>
      </c>
      <c r="AG177" t="str">
        <f>IFERROR(VLOOKUP(AA177,'Salary Map'!A:D,4,FALSE),"Salary Code Not Mapped")</f>
        <v>General</v>
      </c>
      <c r="AH177" t="str">
        <f>IFERROR(VLOOKUP(Z177,'Country Map'!A:B,2,FALSE),"Legal Country Not Mapped")</f>
        <v>US</v>
      </c>
      <c r="AI177" t="str">
        <f>IFERROR(VLOOKUP(X177,'Language Map'!A:C,3,FALSE),IFERROR(VLOOKUP(T177,'Org Map'!A:F,6,FALSE),"ADP and BU Language Code Not Mapped"))&amp;AH177</f>
        <v>en_US</v>
      </c>
      <c r="AJ177" t="str">
        <f>IFERROR(VLOOKUP(T177,'Org Map'!A:G,7),"BU Currency Not Mapped")</f>
        <v>USD</v>
      </c>
      <c r="AK177" t="str">
        <f t="shared" si="18"/>
        <v/>
      </c>
      <c r="AL177" t="str">
        <f>IFERROR(VLOOKUP(O177,'Status Map'!A:B,2,FALSE),"Position Status Not Mapped")</f>
        <v>Y</v>
      </c>
      <c r="AM177" t="str">
        <f t="shared" si="23"/>
        <v/>
      </c>
      <c r="AO177" t="str">
        <f t="shared" si="19"/>
        <v>MacyJTudor</v>
      </c>
      <c r="AP177" t="str">
        <f t="shared" si="20"/>
        <v>Creager</v>
      </c>
      <c r="AQ177" t="str">
        <f t="shared" si="21"/>
        <v>212699</v>
      </c>
      <c r="AR177" t="b">
        <f t="shared" si="22"/>
        <v>1</v>
      </c>
    </row>
    <row r="178" spans="1:44">
      <c r="A178" s="3" t="s">
        <v>4356</v>
      </c>
      <c r="B178" s="4" t="s">
        <v>4357</v>
      </c>
      <c r="C178" s="5" t="s">
        <v>4358</v>
      </c>
      <c r="D178" s="6" t="s">
        <v>4359</v>
      </c>
      <c r="E178" s="7" t="s">
        <v>4360</v>
      </c>
      <c r="F178" s="8" t="s">
        <v>4361</v>
      </c>
      <c r="G178" s="9" t="s">
        <v>4362</v>
      </c>
      <c r="H178" s="10" t="s">
        <v>4363</v>
      </c>
      <c r="I178" s="11" t="s">
        <v>4364</v>
      </c>
      <c r="J178" s="12" t="s">
        <v>4365</v>
      </c>
      <c r="K178" s="13" t="s">
        <v>4366</v>
      </c>
      <c r="L178" s="14">
        <v>45208</v>
      </c>
      <c r="M178" s="15">
        <v>46227</v>
      </c>
      <c r="N178" s="16"/>
      <c r="O178" s="17" t="s">
        <v>4367</v>
      </c>
      <c r="P178" s="18" t="s">
        <v>4368</v>
      </c>
      <c r="Q178" s="19" t="s">
        <v>4369</v>
      </c>
      <c r="R178" s="20" t="s">
        <v>4370</v>
      </c>
      <c r="S178" s="21" t="s">
        <v>4371</v>
      </c>
      <c r="T178" s="22" t="s">
        <v>4372</v>
      </c>
      <c r="U178" s="23" t="s">
        <v>4373</v>
      </c>
      <c r="V178" s="24" t="s">
        <v>4374</v>
      </c>
      <c r="W178" s="25" t="s">
        <v>4375</v>
      </c>
      <c r="X178" s="26" t="s">
        <v>4376</v>
      </c>
      <c r="Y178" s="27" t="s">
        <v>4377</v>
      </c>
      <c r="Z178" s="28" t="s">
        <v>4378</v>
      </c>
      <c r="AA178" s="29" t="s">
        <v>4379</v>
      </c>
      <c r="AB178" s="30" t="s">
        <v>4380</v>
      </c>
      <c r="AC178" t="str">
        <f>IF(ISBLANK(H178),VLOOKUP(P178,'US Supervisor Map'!A:D,4,FALSE),MID(H178,4,6))</f>
        <v>008750</v>
      </c>
      <c r="AD178" t="str">
        <f>IFERROR(VLOOKUP(T178,'Org Map'!A:E,4),"BU Description Not Mapped")</f>
        <v>0088</v>
      </c>
      <c r="AE178">
        <f>IFERROR(VLOOKUP(V178,'Org Map'!C:E,3),"Home Department Code Not Mapped")</f>
        <v>9100</v>
      </c>
      <c r="AF178" t="str">
        <f>IFERROR(VLOOKUP(AA178,'Salary Map'!A:D,3,FALSE),"Salary Code Not Mapped")</f>
        <v>Default</v>
      </c>
      <c r="AG178" t="str">
        <f>IFERROR(VLOOKUP(AA178,'Salary Map'!A:D,4,FALSE),"Salary Code Not Mapped")</f>
        <v>General</v>
      </c>
      <c r="AH178" t="str">
        <f>IFERROR(VLOOKUP(Z178,'Country Map'!A:B,2,FALSE),"Legal Country Not Mapped")</f>
        <v>US</v>
      </c>
      <c r="AI178" t="str">
        <f>IFERROR(VLOOKUP(X178,'Language Map'!A:C,3,FALSE),IFERROR(VLOOKUP(T178,'Org Map'!A:F,6,FALSE),"ADP and BU Language Code Not Mapped"))&amp;AH178</f>
        <v>en_US</v>
      </c>
      <c r="AJ178" t="str">
        <f>IFERROR(VLOOKUP(T178,'Org Map'!A:G,7),"BU Currency Not Mapped")</f>
        <v>USD</v>
      </c>
      <c r="AK178" t="str">
        <f t="shared" si="18"/>
        <v/>
      </c>
      <c r="AL178" t="str">
        <f>IFERROR(VLOOKUP(O178,'Status Map'!A:B,2,FALSE),"Position Status Not Mapped")</f>
        <v>N</v>
      </c>
      <c r="AM178" t="str">
        <f t="shared" si="23"/>
        <v>20260724</v>
      </c>
      <c r="AN178" t="str">
        <f>IF(M178&gt;AN173,"Fix and Include Record","Exclude record termination over 45 days ago")</f>
        <v>Fix and Include Record</v>
      </c>
      <c r="AO178" t="str">
        <f t="shared" si="19"/>
        <v>DanielPTuller</v>
      </c>
      <c r="AP178" t="e">
        <f t="shared" si="20"/>
        <v>#VALUE!</v>
      </c>
      <c r="AQ178" t="str">
        <f t="shared" si="21"/>
        <v>No Reports to Name</v>
      </c>
      <c r="AR178" s="77" t="b">
        <f t="shared" si="22"/>
        <v>0</v>
      </c>
    </row>
    <row r="179" spans="1:44">
      <c r="A179" s="3" t="s">
        <v>4381</v>
      </c>
      <c r="B179" s="4" t="s">
        <v>4382</v>
      </c>
      <c r="C179" s="5" t="s">
        <v>4383</v>
      </c>
      <c r="D179" s="6" t="s">
        <v>4384</v>
      </c>
      <c r="E179" s="7" t="s">
        <v>4385</v>
      </c>
      <c r="F179" s="8" t="s">
        <v>4386</v>
      </c>
      <c r="G179" s="9" t="s">
        <v>4387</v>
      </c>
      <c r="H179" s="10" t="s">
        <v>4388</v>
      </c>
      <c r="I179" s="31" t="s">
        <v>4389</v>
      </c>
      <c r="J179" s="12" t="s">
        <v>4390</v>
      </c>
      <c r="K179" s="13" t="s">
        <v>4391</v>
      </c>
      <c r="L179" s="14">
        <v>44312</v>
      </c>
      <c r="M179" s="15"/>
      <c r="N179" s="16"/>
      <c r="O179" s="17" t="s">
        <v>4392</v>
      </c>
      <c r="P179" s="18" t="s">
        <v>4393</v>
      </c>
      <c r="Q179" s="19" t="s">
        <v>4394</v>
      </c>
      <c r="R179" s="20" t="s">
        <v>4395</v>
      </c>
      <c r="S179" s="21" t="s">
        <v>4396</v>
      </c>
      <c r="T179" s="22" t="s">
        <v>4397</v>
      </c>
      <c r="U179" s="23" t="s">
        <v>4398</v>
      </c>
      <c r="V179" s="24" t="s">
        <v>4399</v>
      </c>
      <c r="W179" s="25" t="s">
        <v>4400</v>
      </c>
      <c r="X179" s="26" t="s">
        <v>4401</v>
      </c>
      <c r="Y179" s="27" t="s">
        <v>4402</v>
      </c>
      <c r="Z179" s="28" t="s">
        <v>4403</v>
      </c>
      <c r="AA179" s="29" t="s">
        <v>4404</v>
      </c>
      <c r="AB179" s="30" t="s">
        <v>4405</v>
      </c>
      <c r="AC179" t="str">
        <f>IF(ISBLANK(H179),VLOOKUP(P179,'US Supervisor Map'!A:D,4,FALSE),MID(H179,4,6))</f>
        <v>211062</v>
      </c>
      <c r="AD179" t="str">
        <f>IFERROR(VLOOKUP(T179,'Org Map'!A:E,4),"BU Description Not Mapped")</f>
        <v>0096</v>
      </c>
      <c r="AE179">
        <f>IFERROR(VLOOKUP(V179,'Org Map'!C:E,3),"Home Department Code Not Mapped")</f>
        <v>100</v>
      </c>
      <c r="AF179" t="str">
        <f>IFERROR(VLOOKUP(AA179,'Salary Map'!A:D,3,FALSE),"Salary Code Not Mapped")</f>
        <v>Default</v>
      </c>
      <c r="AG179" t="str">
        <f>IFERROR(VLOOKUP(AA179,'Salary Map'!A:D,4,FALSE),"Salary Code Not Mapped")</f>
        <v>General</v>
      </c>
      <c r="AH179" t="str">
        <f>IFERROR(VLOOKUP(Z179,'Country Map'!A:B,2,FALSE),"Legal Country Not Mapped")</f>
        <v>US</v>
      </c>
      <c r="AI179" t="str">
        <f>IFERROR(VLOOKUP(X179,'Language Map'!A:C,3,FALSE),IFERROR(VLOOKUP(T179,'Org Map'!A:F,6,FALSE),"ADP and BU Language Code Not Mapped"))&amp;AH179</f>
        <v>en_US</v>
      </c>
      <c r="AJ179" t="str">
        <f>IFERROR(VLOOKUP(T179,'Org Map'!A:G,7),"BU Currency Not Mapped")</f>
        <v>USD</v>
      </c>
      <c r="AK179" t="str">
        <f t="shared" si="18"/>
        <v/>
      </c>
      <c r="AL179" t="str">
        <f>IFERROR(VLOOKUP(O179,'Status Map'!A:B,2,FALSE),"Position Status Not Mapped")</f>
        <v>Y</v>
      </c>
      <c r="AM179" t="str">
        <f t="shared" si="23"/>
        <v/>
      </c>
      <c r="AO179" t="str">
        <f t="shared" si="19"/>
        <v>DuaneATurner</v>
      </c>
      <c r="AP179" t="str">
        <f t="shared" si="20"/>
        <v>Steen</v>
      </c>
      <c r="AQ179" t="str">
        <f t="shared" si="21"/>
        <v>211062</v>
      </c>
      <c r="AR179" t="b">
        <f t="shared" si="22"/>
        <v>1</v>
      </c>
    </row>
    <row r="180" spans="1:44">
      <c r="A180" s="3" t="s">
        <v>4406</v>
      </c>
      <c r="B180" s="4" t="s">
        <v>4407</v>
      </c>
      <c r="C180" s="5" t="s">
        <v>4408</v>
      </c>
      <c r="D180" s="6" t="s">
        <v>4409</v>
      </c>
      <c r="E180" s="7" t="s">
        <v>4410</v>
      </c>
      <c r="F180" s="8" t="s">
        <v>4411</v>
      </c>
      <c r="G180" s="9" t="s">
        <v>4412</v>
      </c>
      <c r="H180" s="10" t="s">
        <v>4413</v>
      </c>
      <c r="I180" s="11" t="s">
        <v>4414</v>
      </c>
      <c r="J180" s="12" t="s">
        <v>4415</v>
      </c>
      <c r="K180" s="13" t="s">
        <v>4416</v>
      </c>
      <c r="L180" s="14">
        <v>45867</v>
      </c>
      <c r="M180" s="15"/>
      <c r="N180" s="16"/>
      <c r="O180" s="17" t="s">
        <v>4417</v>
      </c>
      <c r="P180" s="18" t="s">
        <v>4418</v>
      </c>
      <c r="Q180" s="19" t="s">
        <v>4419</v>
      </c>
      <c r="R180" s="20" t="s">
        <v>4420</v>
      </c>
      <c r="S180" s="21" t="s">
        <v>4421</v>
      </c>
      <c r="T180" s="22" t="s">
        <v>4422</v>
      </c>
      <c r="U180" s="23" t="s">
        <v>4423</v>
      </c>
      <c r="V180" s="24" t="s">
        <v>4424</v>
      </c>
      <c r="W180" s="25" t="s">
        <v>4425</v>
      </c>
      <c r="X180" s="26" t="s">
        <v>4426</v>
      </c>
      <c r="Y180" s="27" t="s">
        <v>4427</v>
      </c>
      <c r="Z180" s="28" t="s">
        <v>4428</v>
      </c>
      <c r="AA180" s="29" t="s">
        <v>4429</v>
      </c>
      <c r="AB180" s="30" t="s">
        <v>4430</v>
      </c>
      <c r="AC180" t="str">
        <f>IF(ISBLANK(H180),VLOOKUP(P180,'US Supervisor Map'!A:D,4,FALSE),MID(H180,4,6))</f>
        <v>211131</v>
      </c>
      <c r="AD180" t="str">
        <f>IFERROR(VLOOKUP(T180,'Org Map'!A:E,4),"BU Description Not Mapped")</f>
        <v>0088</v>
      </c>
      <c r="AE180">
        <f>IFERROR(VLOOKUP(V180,'Org Map'!C:E,3),"Home Department Code Not Mapped")</f>
        <v>8100</v>
      </c>
      <c r="AF180" t="str">
        <f>IFERROR(VLOOKUP(AA180,'Salary Map'!A:D,3,FALSE),"Salary Code Not Mapped")</f>
        <v>Default</v>
      </c>
      <c r="AG180" t="str">
        <f>IFERROR(VLOOKUP(AA180,'Salary Map'!A:D,4,FALSE),"Salary Code Not Mapped")</f>
        <v>General</v>
      </c>
      <c r="AH180" t="str">
        <f>IFERROR(VLOOKUP(Z180,'Country Map'!A:B,2,FALSE),"Legal Country Not Mapped")</f>
        <v>US</v>
      </c>
      <c r="AI180" t="str">
        <f>IFERROR(VLOOKUP(X180,'Language Map'!A:C,3,FALSE),IFERROR(VLOOKUP(T180,'Org Map'!A:F,6,FALSE),"ADP and BU Language Code Not Mapped"))&amp;AH180</f>
        <v>en_US</v>
      </c>
      <c r="AJ180" t="str">
        <f>IFERROR(VLOOKUP(T180,'Org Map'!A:G,7),"BU Currency Not Mapped")</f>
        <v>USD</v>
      </c>
      <c r="AK180" t="str">
        <f t="shared" si="18"/>
        <v/>
      </c>
      <c r="AL180" t="str">
        <f>IFERROR(VLOOKUP(O180,'Status Map'!A:B,2,FALSE),"Position Status Not Mapped")</f>
        <v>Y</v>
      </c>
      <c r="AM180" t="str">
        <f t="shared" si="23"/>
        <v/>
      </c>
      <c r="AO180" t="str">
        <f t="shared" si="19"/>
        <v>BenjaminDUncapher</v>
      </c>
      <c r="AP180" t="str">
        <f t="shared" si="20"/>
        <v>Rafferty</v>
      </c>
      <c r="AQ180" t="str">
        <f t="shared" si="21"/>
        <v>211131</v>
      </c>
      <c r="AR180" t="b">
        <f t="shared" si="22"/>
        <v>1</v>
      </c>
    </row>
    <row r="181" spans="1:44">
      <c r="A181" s="3" t="s">
        <v>4431</v>
      </c>
      <c r="B181" s="4" t="s">
        <v>4432</v>
      </c>
      <c r="C181" s="5" t="s">
        <v>4433</v>
      </c>
      <c r="D181" s="6" t="s">
        <v>4434</v>
      </c>
      <c r="E181" s="7" t="s">
        <v>4435</v>
      </c>
      <c r="F181" s="8" t="s">
        <v>4436</v>
      </c>
      <c r="G181" s="9" t="s">
        <v>4437</v>
      </c>
      <c r="H181" s="36" t="s">
        <v>4438</v>
      </c>
      <c r="I181" s="11" t="s">
        <v>4439</v>
      </c>
      <c r="J181" s="12" t="s">
        <v>4440</v>
      </c>
      <c r="K181" s="13" t="s">
        <v>4441</v>
      </c>
      <c r="L181" s="14">
        <v>45867</v>
      </c>
      <c r="M181" s="15">
        <v>46175</v>
      </c>
      <c r="N181" s="16"/>
      <c r="O181" s="17" t="s">
        <v>4442</v>
      </c>
      <c r="P181" s="18" t="s">
        <v>4443</v>
      </c>
      <c r="Q181" s="19" t="s">
        <v>4444</v>
      </c>
      <c r="R181" s="20" t="s">
        <v>4445</v>
      </c>
      <c r="S181" s="21" t="s">
        <v>4446</v>
      </c>
      <c r="T181" s="22" t="s">
        <v>4447</v>
      </c>
      <c r="U181" s="23" t="s">
        <v>4448</v>
      </c>
      <c r="V181" s="24" t="s">
        <v>4449</v>
      </c>
      <c r="W181" s="25" t="s">
        <v>4450</v>
      </c>
      <c r="X181" s="26" t="s">
        <v>4451</v>
      </c>
      <c r="Y181" s="27" t="s">
        <v>4452</v>
      </c>
      <c r="Z181" s="28" t="s">
        <v>4453</v>
      </c>
      <c r="AA181" s="29" t="s">
        <v>4454</v>
      </c>
      <c r="AB181" s="30" t="s">
        <v>4455</v>
      </c>
      <c r="AC181" s="77" t="str">
        <f>IF(ISBLANK(H181),VLOOKUP(P181,'US Supervisor Map'!A:D,4,FALSE),MID(H181,4,6))</f>
        <v/>
      </c>
      <c r="AD181" t="str">
        <f>IFERROR(VLOOKUP(T181,'Org Map'!A:E,4),"BU Description Not Mapped")</f>
        <v>0088</v>
      </c>
      <c r="AE181">
        <f>IFERROR(VLOOKUP(V181,'Org Map'!C:E,3),"Home Department Code Not Mapped")</f>
        <v>8100</v>
      </c>
      <c r="AF181" t="str">
        <f>IFERROR(VLOOKUP(AA181,'Salary Map'!A:D,3,FALSE),"Salary Code Not Mapped")</f>
        <v>Default</v>
      </c>
      <c r="AG181" t="str">
        <f>IFERROR(VLOOKUP(AA181,'Salary Map'!A:D,4,FALSE),"Salary Code Not Mapped")</f>
        <v>General</v>
      </c>
      <c r="AH181" t="str">
        <f>IFERROR(VLOOKUP(Z181,'Country Map'!A:B,2,FALSE),"Legal Country Not Mapped")</f>
        <v>US</v>
      </c>
      <c r="AI181" t="str">
        <f>IFERROR(VLOOKUP(X181,'Language Map'!A:C,3,FALSE),IFERROR(VLOOKUP(T181,'Org Map'!A:F,6,FALSE),"ADP and BU Language Code Not Mapped"))&amp;AH181</f>
        <v>en_US</v>
      </c>
      <c r="AJ181" t="str">
        <f>IFERROR(VLOOKUP(T181,'Org Map'!A:G,7),"BU Currency Not Mapped")</f>
        <v>USD</v>
      </c>
      <c r="AK181" t="str">
        <f t="shared" si="18"/>
        <v/>
      </c>
      <c r="AL181" t="str">
        <f>IFERROR(VLOOKUP(O181,'Status Map'!A:B,2,FALSE),"Position Status Not Mapped")</f>
        <v>N</v>
      </c>
      <c r="AM181" t="str">
        <f t="shared" si="23"/>
        <v>20260602</v>
      </c>
      <c r="AN181" t="str">
        <f>IF(M181&gt;AN176,"Fix and Include Record","Exclude record termination over 45 days ago")</f>
        <v>Fix and Include Record</v>
      </c>
      <c r="AO181" t="str">
        <f t="shared" si="19"/>
        <v>BenjaminDUncapher</v>
      </c>
      <c r="AP181" t="e">
        <f t="shared" si="20"/>
        <v>#VALUE!</v>
      </c>
      <c r="AQ181" t="str">
        <f t="shared" si="21"/>
        <v>No Reports to Name</v>
      </c>
      <c r="AR181" t="b">
        <f t="shared" si="22"/>
        <v>0</v>
      </c>
    </row>
    <row r="182" spans="1:44">
      <c r="A182" s="3" t="s">
        <v>4456</v>
      </c>
      <c r="B182" s="4" t="s">
        <v>4457</v>
      </c>
      <c r="C182" s="5" t="s">
        <v>4458</v>
      </c>
      <c r="D182" s="6" t="s">
        <v>4459</v>
      </c>
      <c r="E182" s="7" t="s">
        <v>4460</v>
      </c>
      <c r="F182" s="8" t="s">
        <v>4461</v>
      </c>
      <c r="G182" s="9" t="s">
        <v>4462</v>
      </c>
      <c r="H182" s="10" t="s">
        <v>4463</v>
      </c>
      <c r="I182" s="11" t="s">
        <v>4464</v>
      </c>
      <c r="J182" s="12" t="s">
        <v>4465</v>
      </c>
      <c r="K182" s="13" t="s">
        <v>4466</v>
      </c>
      <c r="L182" s="14">
        <v>45642</v>
      </c>
      <c r="M182" s="15"/>
      <c r="N182" s="16"/>
      <c r="O182" s="17" t="s">
        <v>4467</v>
      </c>
      <c r="P182" s="18" t="s">
        <v>4468</v>
      </c>
      <c r="Q182" s="19" t="s">
        <v>4469</v>
      </c>
      <c r="R182" s="20" t="s">
        <v>4470</v>
      </c>
      <c r="S182" s="21" t="s">
        <v>4471</v>
      </c>
      <c r="T182" s="22" t="s">
        <v>4472</v>
      </c>
      <c r="U182" s="23" t="s">
        <v>4473</v>
      </c>
      <c r="V182" s="24" t="s">
        <v>4474</v>
      </c>
      <c r="W182" s="25" t="s">
        <v>4475</v>
      </c>
      <c r="X182" s="26" t="s">
        <v>4476</v>
      </c>
      <c r="Y182" s="27" t="s">
        <v>4477</v>
      </c>
      <c r="Z182" s="28" t="s">
        <v>4478</v>
      </c>
      <c r="AA182" s="29" t="s">
        <v>4479</v>
      </c>
      <c r="AB182" s="30" t="s">
        <v>4480</v>
      </c>
      <c r="AC182" t="str">
        <f>IF(ISBLANK(H182),VLOOKUP(P182,'US Supervisor Map'!A:D,4,FALSE),MID(H182,4,6))</f>
        <v>207709</v>
      </c>
      <c r="AD182" t="str">
        <f>IFERROR(VLOOKUP(T182,'Org Map'!A:E,4),"BU Description Not Mapped")</f>
        <v>0096</v>
      </c>
      <c r="AE182">
        <f>IFERROR(VLOOKUP(V182,'Org Map'!C:E,3),"Home Department Code Not Mapped")</f>
        <v>820</v>
      </c>
      <c r="AF182" t="str">
        <f>IFERROR(VLOOKUP(AA182,'Salary Map'!A:D,3,FALSE),"Salary Code Not Mapped")</f>
        <v>Default</v>
      </c>
      <c r="AG182" t="str">
        <f>IFERROR(VLOOKUP(AA182,'Salary Map'!A:D,4,FALSE),"Salary Code Not Mapped")</f>
        <v>General</v>
      </c>
      <c r="AH182" t="str">
        <f>IFERROR(VLOOKUP(Z182,'Country Map'!A:B,2,FALSE),"Legal Country Not Mapped")</f>
        <v>US</v>
      </c>
      <c r="AI182" t="str">
        <f>IFERROR(VLOOKUP(X182,'Language Map'!A:C,3,FALSE),IFERROR(VLOOKUP(T182,'Org Map'!A:F,6,FALSE),"ADP and BU Language Code Not Mapped"))&amp;AH182</f>
        <v>en_US</v>
      </c>
      <c r="AJ182" t="str">
        <f>IFERROR(VLOOKUP(T182,'Org Map'!A:G,7),"BU Currency Not Mapped")</f>
        <v>USD</v>
      </c>
      <c r="AK182" t="str">
        <f t="shared" si="18"/>
        <v/>
      </c>
      <c r="AL182" t="str">
        <f>IFERROR(VLOOKUP(O182,'Status Map'!A:B,2,FALSE),"Position Status Not Mapped")</f>
        <v>Y</v>
      </c>
      <c r="AM182" t="str">
        <f t="shared" si="23"/>
        <v/>
      </c>
      <c r="AO182" t="str">
        <f t="shared" si="19"/>
        <v>DavidValetta</v>
      </c>
      <c r="AP182" t="str">
        <f t="shared" si="20"/>
        <v>Bair</v>
      </c>
      <c r="AQ182" t="str">
        <f t="shared" si="21"/>
        <v>207709</v>
      </c>
      <c r="AR182" t="b">
        <f t="shared" si="22"/>
        <v>1</v>
      </c>
    </row>
    <row r="183" spans="1:44">
      <c r="A183" s="3" t="s">
        <v>4481</v>
      </c>
      <c r="B183" s="4" t="s">
        <v>4482</v>
      </c>
      <c r="C183" s="5" t="s">
        <v>4483</v>
      </c>
      <c r="D183" s="6" t="s">
        <v>4484</v>
      </c>
      <c r="E183" s="7" t="s">
        <v>4485</v>
      </c>
      <c r="F183" s="8" t="s">
        <v>4486</v>
      </c>
      <c r="G183" s="9" t="s">
        <v>4487</v>
      </c>
      <c r="H183" s="10" t="s">
        <v>4488</v>
      </c>
      <c r="I183" s="11" t="s">
        <v>4489</v>
      </c>
      <c r="J183" s="12" t="s">
        <v>4490</v>
      </c>
      <c r="K183" s="13" t="s">
        <v>4491</v>
      </c>
      <c r="L183" s="14">
        <v>44361</v>
      </c>
      <c r="M183" s="15"/>
      <c r="N183" s="16"/>
      <c r="O183" s="17" t="s">
        <v>4492</v>
      </c>
      <c r="P183" s="18" t="s">
        <v>4493</v>
      </c>
      <c r="Q183" s="19" t="s">
        <v>4494</v>
      </c>
      <c r="R183" s="20" t="s">
        <v>4495</v>
      </c>
      <c r="S183" s="21" t="s">
        <v>4496</v>
      </c>
      <c r="T183" s="22" t="s">
        <v>4497</v>
      </c>
      <c r="U183" s="23" t="s">
        <v>4498</v>
      </c>
      <c r="V183" s="24" t="s">
        <v>4499</v>
      </c>
      <c r="W183" s="25" t="s">
        <v>4500</v>
      </c>
      <c r="X183" s="26" t="s">
        <v>4501</v>
      </c>
      <c r="Y183" s="27" t="s">
        <v>4502</v>
      </c>
      <c r="Z183" s="28" t="s">
        <v>4503</v>
      </c>
      <c r="AA183" s="29" t="s">
        <v>4504</v>
      </c>
      <c r="AB183" s="30" t="s">
        <v>4505</v>
      </c>
      <c r="AC183" t="str">
        <f>IF(ISBLANK(H183),VLOOKUP(P183,'US Supervisor Map'!A:D,4,FALSE),MID(H183,4,6))</f>
        <v>211062</v>
      </c>
      <c r="AD183" t="str">
        <f>IFERROR(VLOOKUP(T183,'Org Map'!A:E,4),"BU Description Not Mapped")</f>
        <v>0096</v>
      </c>
      <c r="AE183">
        <f>IFERROR(VLOOKUP(V183,'Org Map'!C:E,3),"Home Department Code Not Mapped")</f>
        <v>100</v>
      </c>
      <c r="AF183" t="str">
        <f>IFERROR(VLOOKUP(AA183,'Salary Map'!A:D,3,FALSE),"Salary Code Not Mapped")</f>
        <v>Default</v>
      </c>
      <c r="AG183" t="str">
        <f>IFERROR(VLOOKUP(AA183,'Salary Map'!A:D,4,FALSE),"Salary Code Not Mapped")</f>
        <v>General</v>
      </c>
      <c r="AH183" t="str">
        <f>IFERROR(VLOOKUP(Z183,'Country Map'!A:B,2,FALSE),"Legal Country Not Mapped")</f>
        <v>US</v>
      </c>
      <c r="AI183" t="str">
        <f>IFERROR(VLOOKUP(X183,'Language Map'!A:C,3,FALSE),IFERROR(VLOOKUP(T183,'Org Map'!A:F,6,FALSE),"ADP and BU Language Code Not Mapped"))&amp;AH183</f>
        <v>en_US</v>
      </c>
      <c r="AJ183" t="str">
        <f>IFERROR(VLOOKUP(T183,'Org Map'!A:G,7),"BU Currency Not Mapped")</f>
        <v>USD</v>
      </c>
      <c r="AK183" t="str">
        <f t="shared" si="18"/>
        <v/>
      </c>
      <c r="AL183" t="str">
        <f>IFERROR(VLOOKUP(O183,'Status Map'!A:B,2,FALSE),"Position Status Not Mapped")</f>
        <v>Y</v>
      </c>
      <c r="AM183" t="str">
        <f t="shared" si="23"/>
        <v/>
      </c>
      <c r="AO183" t="str">
        <f t="shared" si="19"/>
        <v>BrennenGValley</v>
      </c>
      <c r="AP183" t="str">
        <f t="shared" si="20"/>
        <v>Steen</v>
      </c>
      <c r="AQ183" t="str">
        <f t="shared" si="21"/>
        <v>211062</v>
      </c>
      <c r="AR183" t="b">
        <f t="shared" si="22"/>
        <v>1</v>
      </c>
    </row>
    <row r="184" spans="1:44">
      <c r="A184" s="3" t="s">
        <v>4506</v>
      </c>
      <c r="B184" s="4" t="s">
        <v>4507</v>
      </c>
      <c r="C184" s="5" t="s">
        <v>4508</v>
      </c>
      <c r="D184" s="6" t="s">
        <v>4509</v>
      </c>
      <c r="E184" s="7" t="s">
        <v>4510</v>
      </c>
      <c r="F184" s="8" t="s">
        <v>4511</v>
      </c>
      <c r="G184" s="9" t="s">
        <v>4512</v>
      </c>
      <c r="H184" s="36" t="s">
        <v>4513</v>
      </c>
      <c r="I184" s="11" t="s">
        <v>4514</v>
      </c>
      <c r="J184" s="12" t="s">
        <v>4515</v>
      </c>
      <c r="K184" s="13" t="s">
        <v>4516</v>
      </c>
      <c r="L184" s="14">
        <v>45951</v>
      </c>
      <c r="M184" s="15">
        <v>46136</v>
      </c>
      <c r="N184" s="16"/>
      <c r="O184" s="17" t="s">
        <v>4517</v>
      </c>
      <c r="P184" s="18" t="s">
        <v>4518</v>
      </c>
      <c r="Q184" s="19" t="s">
        <v>4519</v>
      </c>
      <c r="R184" s="20" t="s">
        <v>4520</v>
      </c>
      <c r="S184" s="21" t="s">
        <v>4521</v>
      </c>
      <c r="T184" s="22" t="s">
        <v>4522</v>
      </c>
      <c r="U184" s="23" t="s">
        <v>4523</v>
      </c>
      <c r="V184" s="24" t="s">
        <v>4524</v>
      </c>
      <c r="W184" s="25" t="s">
        <v>4525</v>
      </c>
      <c r="X184" s="26" t="s">
        <v>4526</v>
      </c>
      <c r="Y184" s="27" t="s">
        <v>4527</v>
      </c>
      <c r="Z184" s="28" t="s">
        <v>4528</v>
      </c>
      <c r="AA184" s="29" t="s">
        <v>4529</v>
      </c>
      <c r="AB184" s="30" t="s">
        <v>4530</v>
      </c>
      <c r="AC184" s="77" t="str">
        <f>IF(ISBLANK(H184),VLOOKUP(P184,'US Supervisor Map'!A:D,4,FALSE),MID(H184,4,6))</f>
        <v/>
      </c>
      <c r="AD184" t="str">
        <f>IFERROR(VLOOKUP(T184,'Org Map'!A:E,4),"BU Description Not Mapped")</f>
        <v>0088</v>
      </c>
      <c r="AE184">
        <f>IFERROR(VLOOKUP(V184,'Org Map'!C:E,3),"Home Department Code Not Mapped")</f>
        <v>8100</v>
      </c>
      <c r="AF184" t="str">
        <f>IFERROR(VLOOKUP(AA184,'Salary Map'!A:D,3,FALSE),"Salary Code Not Mapped")</f>
        <v>Default</v>
      </c>
      <c r="AG184" t="str">
        <f>IFERROR(VLOOKUP(AA184,'Salary Map'!A:D,4,FALSE),"Salary Code Not Mapped")</f>
        <v>General</v>
      </c>
      <c r="AH184" t="str">
        <f>IFERROR(VLOOKUP(Z184,'Country Map'!A:B,2,FALSE),"Legal Country Not Mapped")</f>
        <v>US</v>
      </c>
      <c r="AI184" t="str">
        <f>IFERROR(VLOOKUP(X184,'Language Map'!A:C,3,FALSE),IFERROR(VLOOKUP(T184,'Org Map'!A:F,6,FALSE),"ADP and BU Language Code Not Mapped"))&amp;AH184</f>
        <v>en_US</v>
      </c>
      <c r="AJ184" t="str">
        <f>IFERROR(VLOOKUP(T184,'Org Map'!A:G,7),"BU Currency Not Mapped")</f>
        <v>USD</v>
      </c>
      <c r="AK184" t="str">
        <f t="shared" si="18"/>
        <v/>
      </c>
      <c r="AL184" t="str">
        <f>IFERROR(VLOOKUP(O184,'Status Map'!A:B,2,FALSE),"Position Status Not Mapped")</f>
        <v>N</v>
      </c>
      <c r="AM184" t="str">
        <f t="shared" si="23"/>
        <v>20260424</v>
      </c>
      <c r="AN184" t="str">
        <f>IF(M184&gt;AN179,"Fix and Include Record","Exclude record termination over 45 days ago")</f>
        <v>Fix and Include Record</v>
      </c>
      <c r="AO184" t="str">
        <f t="shared" si="19"/>
        <v>BrittanyMVelner</v>
      </c>
      <c r="AP184" t="e">
        <f t="shared" si="20"/>
        <v>#VALUE!</v>
      </c>
      <c r="AQ184" t="str">
        <f t="shared" si="21"/>
        <v>No Reports to Name</v>
      </c>
      <c r="AR184" t="b">
        <f t="shared" si="22"/>
        <v>0</v>
      </c>
    </row>
    <row r="185" spans="1:44">
      <c r="A185" s="3" t="s">
        <v>4531</v>
      </c>
      <c r="B185" s="4" t="s">
        <v>4532</v>
      </c>
      <c r="C185" s="5" t="s">
        <v>4533</v>
      </c>
      <c r="D185" s="6" t="s">
        <v>4534</v>
      </c>
      <c r="E185" s="7" t="s">
        <v>4535</v>
      </c>
      <c r="F185" s="8" t="s">
        <v>4536</v>
      </c>
      <c r="G185" s="9" t="s">
        <v>4537</v>
      </c>
      <c r="H185" s="10" t="s">
        <v>4538</v>
      </c>
      <c r="I185" s="11" t="s">
        <v>4539</v>
      </c>
      <c r="J185" s="12" t="s">
        <v>4540</v>
      </c>
      <c r="K185" s="13" t="s">
        <v>4541</v>
      </c>
      <c r="L185" s="14">
        <v>44348</v>
      </c>
      <c r="M185" s="15"/>
      <c r="N185" s="16"/>
      <c r="O185" s="17" t="s">
        <v>4542</v>
      </c>
      <c r="P185" s="18" t="s">
        <v>4543</v>
      </c>
      <c r="Q185" s="19" t="s">
        <v>4544</v>
      </c>
      <c r="R185" s="20" t="s">
        <v>4545</v>
      </c>
      <c r="S185" s="21" t="s">
        <v>4546</v>
      </c>
      <c r="T185" s="22" t="s">
        <v>4547</v>
      </c>
      <c r="U185" s="23" t="s">
        <v>4548</v>
      </c>
      <c r="V185" s="24" t="s">
        <v>4549</v>
      </c>
      <c r="W185" s="25" t="s">
        <v>4550</v>
      </c>
      <c r="X185" s="26" t="s">
        <v>4551</v>
      </c>
      <c r="Y185" s="27" t="s">
        <v>4552</v>
      </c>
      <c r="Z185" s="28" t="s">
        <v>4553</v>
      </c>
      <c r="AA185" s="29" t="s">
        <v>4554</v>
      </c>
      <c r="AB185" s="30" t="s">
        <v>4555</v>
      </c>
      <c r="AC185" t="str">
        <f>IF(ISBLANK(H185),VLOOKUP(P185,'US Supervisor Map'!A:D,4,FALSE),MID(H185,4,6))</f>
        <v>211756</v>
      </c>
      <c r="AD185" t="str">
        <f>IFERROR(VLOOKUP(T185,'Org Map'!A:E,4),"BU Description Not Mapped")</f>
        <v>0088</v>
      </c>
      <c r="AE185">
        <f>IFERROR(VLOOKUP(V185,'Org Map'!C:E,3),"Home Department Code Not Mapped")</f>
        <v>5100</v>
      </c>
      <c r="AF185" t="str">
        <f>IFERROR(VLOOKUP(AA185,'Salary Map'!A:D,3,FALSE),"Salary Code Not Mapped")</f>
        <v>Default</v>
      </c>
      <c r="AG185" t="str">
        <f>IFERROR(VLOOKUP(AA185,'Salary Map'!A:D,4,FALSE),"Salary Code Not Mapped")</f>
        <v>General</v>
      </c>
      <c r="AH185" t="str">
        <f>IFERROR(VLOOKUP(Z185,'Country Map'!A:B,2,FALSE),"Legal Country Not Mapped")</f>
        <v>US</v>
      </c>
      <c r="AI185" t="str">
        <f>IFERROR(VLOOKUP(X185,'Language Map'!A:C,3,FALSE),IFERROR(VLOOKUP(T185,'Org Map'!A:F,6,FALSE),"ADP and BU Language Code Not Mapped"))&amp;AH185</f>
        <v>en_US</v>
      </c>
      <c r="AJ185" t="str">
        <f>IFERROR(VLOOKUP(T185,'Org Map'!A:G,7),"BU Currency Not Mapped")</f>
        <v>USD</v>
      </c>
      <c r="AK185" t="str">
        <f t="shared" si="18"/>
        <v/>
      </c>
      <c r="AL185" t="str">
        <f>IFERROR(VLOOKUP(O185,'Status Map'!A:B,2,FALSE),"Position Status Not Mapped")</f>
        <v>Y</v>
      </c>
      <c r="AM185" t="str">
        <f t="shared" si="23"/>
        <v/>
      </c>
      <c r="AO185" t="str">
        <f t="shared" si="19"/>
        <v>CraigWagner</v>
      </c>
      <c r="AP185" t="str">
        <f t="shared" si="20"/>
        <v>Burchell</v>
      </c>
      <c r="AQ185" t="str">
        <f t="shared" si="21"/>
        <v>211756</v>
      </c>
      <c r="AR185" t="b">
        <f t="shared" si="22"/>
        <v>1</v>
      </c>
    </row>
    <row r="186" spans="1:44">
      <c r="A186" s="3" t="s">
        <v>4556</v>
      </c>
      <c r="B186" s="4" t="s">
        <v>4557</v>
      </c>
      <c r="C186" s="5" t="s">
        <v>4558</v>
      </c>
      <c r="D186" s="6" t="s">
        <v>4559</v>
      </c>
      <c r="E186" s="7" t="s">
        <v>4560</v>
      </c>
      <c r="F186" s="8" t="s">
        <v>4561</v>
      </c>
      <c r="G186" s="9" t="s">
        <v>4562</v>
      </c>
      <c r="H186" s="36" t="s">
        <v>4563</v>
      </c>
      <c r="I186" s="11" t="s">
        <v>4564</v>
      </c>
      <c r="J186" s="12" t="s">
        <v>4565</v>
      </c>
      <c r="K186" s="13" t="s">
        <v>4566</v>
      </c>
      <c r="L186" s="14">
        <v>45440</v>
      </c>
      <c r="M186" s="15">
        <v>46175</v>
      </c>
      <c r="N186" s="16"/>
      <c r="O186" s="17" t="s">
        <v>4567</v>
      </c>
      <c r="P186" s="18" t="s">
        <v>4568</v>
      </c>
      <c r="Q186" s="19" t="s">
        <v>4569</v>
      </c>
      <c r="R186" s="20" t="s">
        <v>4570</v>
      </c>
      <c r="S186" s="21" t="s">
        <v>4571</v>
      </c>
      <c r="T186" s="22" t="s">
        <v>4572</v>
      </c>
      <c r="U186" s="23" t="s">
        <v>4573</v>
      </c>
      <c r="V186" s="24" t="s">
        <v>4574</v>
      </c>
      <c r="W186" s="25" t="s">
        <v>4575</v>
      </c>
      <c r="X186" s="26" t="s">
        <v>4576</v>
      </c>
      <c r="Y186" s="27" t="s">
        <v>4577</v>
      </c>
      <c r="Z186" s="28" t="s">
        <v>4578</v>
      </c>
      <c r="AA186" s="29" t="s">
        <v>4579</v>
      </c>
      <c r="AB186" s="30" t="s">
        <v>4580</v>
      </c>
      <c r="AC186" s="77" t="str">
        <f>IF(ISBLANK(H186),VLOOKUP(P186,'US Supervisor Map'!A:D,4,FALSE),MID(H186,4,6))</f>
        <v/>
      </c>
      <c r="AD186" t="str">
        <f>IFERROR(VLOOKUP(T186,'Org Map'!A:E,4),"BU Description Not Mapped")</f>
        <v>0096</v>
      </c>
      <c r="AE186">
        <f>IFERROR(VLOOKUP(V186,'Org Map'!C:E,3),"Home Department Code Not Mapped")</f>
        <v>850</v>
      </c>
      <c r="AF186" t="str">
        <f>IFERROR(VLOOKUP(AA186,'Salary Map'!A:D,3,FALSE),"Salary Code Not Mapped")</f>
        <v>Default</v>
      </c>
      <c r="AG186" t="str">
        <f>IFERROR(VLOOKUP(AA186,'Salary Map'!A:D,4,FALSE),"Salary Code Not Mapped")</f>
        <v>General</v>
      </c>
      <c r="AH186" t="str">
        <f>IFERROR(VLOOKUP(Z186,'Country Map'!A:B,2,FALSE),"Legal Country Not Mapped")</f>
        <v>US</v>
      </c>
      <c r="AI186" t="str">
        <f>IFERROR(VLOOKUP(X186,'Language Map'!A:C,3,FALSE),IFERROR(VLOOKUP(T186,'Org Map'!A:F,6,FALSE),"ADP and BU Language Code Not Mapped"))&amp;AH186</f>
        <v>en_US</v>
      </c>
      <c r="AJ186" t="str">
        <f>IFERROR(VLOOKUP(T186,'Org Map'!A:G,7),"BU Currency Not Mapped")</f>
        <v>USD</v>
      </c>
      <c r="AK186" t="str">
        <f t="shared" si="18"/>
        <v/>
      </c>
      <c r="AL186" t="str">
        <f>IFERROR(VLOOKUP(O186,'Status Map'!A:B,2,FALSE),"Position Status Not Mapped")</f>
        <v>N</v>
      </c>
      <c r="AM186" t="str">
        <f t="shared" si="23"/>
        <v>20260602</v>
      </c>
      <c r="AN186" t="str">
        <f t="shared" ref="AN186:AN187" si="27">IF(M186&gt;AN181,"Fix and Include Record","Exclude record termination over 45 days ago")</f>
        <v>Exclude record termination over 45 days ago</v>
      </c>
      <c r="AO186" t="str">
        <f t="shared" si="19"/>
        <v>TerryWagner</v>
      </c>
      <c r="AP186" t="e">
        <f t="shared" si="20"/>
        <v>#VALUE!</v>
      </c>
      <c r="AQ186" t="str">
        <f t="shared" si="21"/>
        <v>No Reports to Name</v>
      </c>
      <c r="AR186" t="b">
        <f t="shared" si="22"/>
        <v>0</v>
      </c>
    </row>
    <row r="187" spans="1:44">
      <c r="A187" s="3" t="s">
        <v>4581</v>
      </c>
      <c r="B187" s="4" t="s">
        <v>4582</v>
      </c>
      <c r="C187" s="5" t="s">
        <v>4583</v>
      </c>
      <c r="D187" s="6" t="s">
        <v>4584</v>
      </c>
      <c r="E187" s="7" t="s">
        <v>4585</v>
      </c>
      <c r="F187" s="8" t="s">
        <v>4586</v>
      </c>
      <c r="G187" s="9" t="s">
        <v>4587</v>
      </c>
      <c r="H187" s="36" t="s">
        <v>4588</v>
      </c>
      <c r="I187" s="11" t="s">
        <v>4589</v>
      </c>
      <c r="J187" s="12" t="s">
        <v>4590</v>
      </c>
      <c r="K187" s="13" t="s">
        <v>4591</v>
      </c>
      <c r="L187" s="14">
        <v>45440</v>
      </c>
      <c r="M187" s="15">
        <v>46175</v>
      </c>
      <c r="N187" s="16"/>
      <c r="O187" s="17" t="s">
        <v>4592</v>
      </c>
      <c r="P187" s="18" t="s">
        <v>4593</v>
      </c>
      <c r="Q187" s="19" t="s">
        <v>4594</v>
      </c>
      <c r="R187" s="20" t="s">
        <v>4595</v>
      </c>
      <c r="S187" s="21" t="s">
        <v>4596</v>
      </c>
      <c r="T187" s="22" t="s">
        <v>4597</v>
      </c>
      <c r="U187" s="23" t="s">
        <v>4598</v>
      </c>
      <c r="V187" s="24" t="s">
        <v>4599</v>
      </c>
      <c r="W187" s="25" t="s">
        <v>4600</v>
      </c>
      <c r="X187" s="26" t="s">
        <v>4601</v>
      </c>
      <c r="Y187" s="27" t="s">
        <v>4602</v>
      </c>
      <c r="Z187" s="28" t="s">
        <v>4603</v>
      </c>
      <c r="AA187" s="29" t="s">
        <v>4604</v>
      </c>
      <c r="AB187" s="30" t="s">
        <v>4605</v>
      </c>
      <c r="AC187" s="77" t="str">
        <f>IF(ISBLANK(H187),VLOOKUP(P187,'US Supervisor Map'!A:D,4,FALSE),MID(H187,4,6))</f>
        <v/>
      </c>
      <c r="AD187" t="str">
        <f>IFERROR(VLOOKUP(T187,'Org Map'!A:E,4),"BU Description Not Mapped")</f>
        <v>0096</v>
      </c>
      <c r="AE187">
        <f>IFERROR(VLOOKUP(V187,'Org Map'!C:E,3),"Home Department Code Not Mapped")</f>
        <v>850</v>
      </c>
      <c r="AF187" t="str">
        <f>IFERROR(VLOOKUP(AA187,'Salary Map'!A:D,3,FALSE),"Salary Code Not Mapped")</f>
        <v>Default</v>
      </c>
      <c r="AG187" t="str">
        <f>IFERROR(VLOOKUP(AA187,'Salary Map'!A:D,4,FALSE),"Salary Code Not Mapped")</f>
        <v>General</v>
      </c>
      <c r="AH187" t="str">
        <f>IFERROR(VLOOKUP(Z187,'Country Map'!A:B,2,FALSE),"Legal Country Not Mapped")</f>
        <v>US</v>
      </c>
      <c r="AI187" t="str">
        <f>IFERROR(VLOOKUP(X187,'Language Map'!A:C,3,FALSE),IFERROR(VLOOKUP(T187,'Org Map'!A:F,6,FALSE),"ADP and BU Language Code Not Mapped"))&amp;AH187</f>
        <v>en_US</v>
      </c>
      <c r="AJ187" t="str">
        <f>IFERROR(VLOOKUP(T187,'Org Map'!A:G,7),"BU Currency Not Mapped")</f>
        <v>USD</v>
      </c>
      <c r="AK187" t="str">
        <f t="shared" si="18"/>
        <v/>
      </c>
      <c r="AL187" t="str">
        <f>IFERROR(VLOOKUP(O187,'Status Map'!A:B,2,FALSE),"Position Status Not Mapped")</f>
        <v>N</v>
      </c>
      <c r="AM187" t="str">
        <f t="shared" si="23"/>
        <v>20260602</v>
      </c>
      <c r="AN187" t="str">
        <f t="shared" si="27"/>
        <v>Fix and Include Record</v>
      </c>
      <c r="AO187" t="str">
        <f t="shared" si="19"/>
        <v>TerryWagner</v>
      </c>
      <c r="AP187" t="e">
        <f t="shared" si="20"/>
        <v>#VALUE!</v>
      </c>
      <c r="AQ187" t="str">
        <f t="shared" si="21"/>
        <v>No Reports to Name</v>
      </c>
      <c r="AR187" t="b">
        <f t="shared" si="22"/>
        <v>0</v>
      </c>
    </row>
    <row r="188" spans="1:44">
      <c r="A188" s="3" t="s">
        <v>4606</v>
      </c>
      <c r="B188" s="4" t="s">
        <v>4607</v>
      </c>
      <c r="C188" s="5" t="s">
        <v>4608</v>
      </c>
      <c r="D188" s="6" t="s">
        <v>4609</v>
      </c>
      <c r="E188" s="7" t="s">
        <v>4610</v>
      </c>
      <c r="F188" s="8" t="s">
        <v>4611</v>
      </c>
      <c r="G188" s="9" t="s">
        <v>4612</v>
      </c>
      <c r="H188" s="10" t="s">
        <v>4613</v>
      </c>
      <c r="I188" s="11" t="s">
        <v>4614</v>
      </c>
      <c r="J188" s="12" t="s">
        <v>4615</v>
      </c>
      <c r="K188" s="13" t="s">
        <v>4616</v>
      </c>
      <c r="L188" s="14">
        <v>45440</v>
      </c>
      <c r="M188" s="15"/>
      <c r="N188" s="16"/>
      <c r="O188" s="17" t="s">
        <v>4617</v>
      </c>
      <c r="P188" s="18" t="s">
        <v>4618</v>
      </c>
      <c r="Q188" s="19" t="s">
        <v>4619</v>
      </c>
      <c r="R188" s="20" t="s">
        <v>4620</v>
      </c>
      <c r="S188" s="21" t="s">
        <v>4621</v>
      </c>
      <c r="T188" s="22" t="s">
        <v>4622</v>
      </c>
      <c r="U188" s="23" t="s">
        <v>4623</v>
      </c>
      <c r="V188" s="24" t="s">
        <v>4624</v>
      </c>
      <c r="W188" s="25" t="s">
        <v>4625</v>
      </c>
      <c r="X188" s="26" t="s">
        <v>4626</v>
      </c>
      <c r="Y188" s="27" t="s">
        <v>4627</v>
      </c>
      <c r="Z188" s="28" t="s">
        <v>4628</v>
      </c>
      <c r="AA188" s="29" t="s">
        <v>4629</v>
      </c>
      <c r="AB188" s="30" t="s">
        <v>4630</v>
      </c>
      <c r="AC188" t="str">
        <f>IF(ISBLANK(H188),VLOOKUP(P188,'US Supervisor Map'!A:D,4,FALSE),MID(H188,4,6))</f>
        <v>211998</v>
      </c>
      <c r="AD188" t="str">
        <f>IFERROR(VLOOKUP(T188,'Org Map'!A:E,4),"BU Description Not Mapped")</f>
        <v>0096</v>
      </c>
      <c r="AE188">
        <f>IFERROR(VLOOKUP(V188,'Org Map'!C:E,3),"Home Department Code Not Mapped")</f>
        <v>850</v>
      </c>
      <c r="AF188" t="str">
        <f>IFERROR(VLOOKUP(AA188,'Salary Map'!A:D,3,FALSE),"Salary Code Not Mapped")</f>
        <v>Default</v>
      </c>
      <c r="AG188" t="str">
        <f>IFERROR(VLOOKUP(AA188,'Salary Map'!A:D,4,FALSE),"Salary Code Not Mapped")</f>
        <v>General</v>
      </c>
      <c r="AH188" t="str">
        <f>IFERROR(VLOOKUP(Z188,'Country Map'!A:B,2,FALSE),"Legal Country Not Mapped")</f>
        <v>US</v>
      </c>
      <c r="AI188" t="str">
        <f>IFERROR(VLOOKUP(X188,'Language Map'!A:C,3,FALSE),IFERROR(VLOOKUP(T188,'Org Map'!A:F,6,FALSE),"ADP and BU Language Code Not Mapped"))&amp;AH188</f>
        <v>en_US</v>
      </c>
      <c r="AJ188" t="str">
        <f>IFERROR(VLOOKUP(T188,'Org Map'!A:G,7),"BU Currency Not Mapped")</f>
        <v>USD</v>
      </c>
      <c r="AK188" t="str">
        <f t="shared" si="18"/>
        <v/>
      </c>
      <c r="AL188" t="str">
        <f>IFERROR(VLOOKUP(O188,'Status Map'!A:B,2,FALSE),"Position Status Not Mapped")</f>
        <v>Y</v>
      </c>
      <c r="AM188" t="str">
        <f t="shared" si="23"/>
        <v/>
      </c>
      <c r="AO188" t="str">
        <f t="shared" si="19"/>
        <v>TerryWagner</v>
      </c>
      <c r="AP188" t="str">
        <f t="shared" si="20"/>
        <v>Wallace</v>
      </c>
      <c r="AQ188" t="str">
        <f t="shared" si="21"/>
        <v>211998</v>
      </c>
      <c r="AR188" t="b">
        <f t="shared" si="22"/>
        <v>1</v>
      </c>
    </row>
    <row r="189" spans="1:44">
      <c r="A189" s="3" t="s">
        <v>4631</v>
      </c>
      <c r="B189" s="4" t="s">
        <v>4632</v>
      </c>
      <c r="C189" s="5" t="s">
        <v>4633</v>
      </c>
      <c r="D189" s="6" t="s">
        <v>4634</v>
      </c>
      <c r="E189" s="7" t="s">
        <v>4635</v>
      </c>
      <c r="F189" s="8" t="s">
        <v>4636</v>
      </c>
      <c r="G189" s="9" t="s">
        <v>4637</v>
      </c>
      <c r="H189" s="10" t="s">
        <v>4638</v>
      </c>
      <c r="I189" s="11" t="s">
        <v>4639</v>
      </c>
      <c r="J189" s="12" t="s">
        <v>4640</v>
      </c>
      <c r="K189" s="13" t="s">
        <v>4641</v>
      </c>
      <c r="L189" s="14">
        <v>45789</v>
      </c>
      <c r="M189" s="15"/>
      <c r="N189" s="16"/>
      <c r="O189" s="17" t="s">
        <v>4642</v>
      </c>
      <c r="P189" s="18" t="s">
        <v>4643</v>
      </c>
      <c r="Q189" s="19" t="s">
        <v>4644</v>
      </c>
      <c r="R189" s="20" t="s">
        <v>4645</v>
      </c>
      <c r="S189" s="21" t="s">
        <v>4646</v>
      </c>
      <c r="T189" s="22" t="s">
        <v>4647</v>
      </c>
      <c r="U189" s="23" t="s">
        <v>4648</v>
      </c>
      <c r="V189" s="24" t="s">
        <v>4649</v>
      </c>
      <c r="W189" s="25" t="s">
        <v>4650</v>
      </c>
      <c r="X189" s="26" t="s">
        <v>4651</v>
      </c>
      <c r="Y189" s="27" t="s">
        <v>4652</v>
      </c>
      <c r="Z189" s="28" t="s">
        <v>4653</v>
      </c>
      <c r="AA189" s="29" t="s">
        <v>4654</v>
      </c>
      <c r="AB189" s="30" t="s">
        <v>4655</v>
      </c>
      <c r="AC189" t="str">
        <f>IF(ISBLANK(H189),VLOOKUP(P189,'US Supervisor Map'!A:D,4,FALSE),MID(H189,4,6))</f>
        <v>213037</v>
      </c>
      <c r="AD189" t="str">
        <f>IFERROR(VLOOKUP(T189,'Org Map'!A:E,4),"BU Description Not Mapped")</f>
        <v>0096</v>
      </c>
      <c r="AE189">
        <f>IFERROR(VLOOKUP(V189,'Org Map'!C:E,3),"Home Department Code Not Mapped")</f>
        <v>850</v>
      </c>
      <c r="AF189" t="str">
        <f>IFERROR(VLOOKUP(AA189,'Salary Map'!A:D,3,FALSE),"Salary Code Not Mapped")</f>
        <v>Default</v>
      </c>
      <c r="AG189" t="str">
        <f>IFERROR(VLOOKUP(AA189,'Salary Map'!A:D,4,FALSE),"Salary Code Not Mapped")</f>
        <v>General</v>
      </c>
      <c r="AH189" t="str">
        <f>IFERROR(VLOOKUP(Z189,'Country Map'!A:B,2,FALSE),"Legal Country Not Mapped")</f>
        <v>US</v>
      </c>
      <c r="AI189" t="str">
        <f>IFERROR(VLOOKUP(X189,'Language Map'!A:C,3,FALSE),IFERROR(VLOOKUP(T189,'Org Map'!A:F,6,FALSE),"ADP and BU Language Code Not Mapped"))&amp;AH189</f>
        <v>en_US</v>
      </c>
      <c r="AJ189" t="str">
        <f>IFERROR(VLOOKUP(T189,'Org Map'!A:G,7),"BU Currency Not Mapped")</f>
        <v>USD</v>
      </c>
      <c r="AK189" t="str">
        <f t="shared" si="18"/>
        <v/>
      </c>
      <c r="AL189" t="str">
        <f>IFERROR(VLOOKUP(O189,'Status Map'!A:B,2,FALSE),"Position Status Not Mapped")</f>
        <v>Y</v>
      </c>
      <c r="AM189" t="str">
        <f t="shared" si="23"/>
        <v/>
      </c>
      <c r="AO189" t="str">
        <f t="shared" si="19"/>
        <v>DerronWallace</v>
      </c>
      <c r="AP189" t="str">
        <f t="shared" si="20"/>
        <v>Bate</v>
      </c>
      <c r="AQ189" t="str">
        <f t="shared" si="21"/>
        <v>213037</v>
      </c>
      <c r="AR189" t="b">
        <f t="shared" si="22"/>
        <v>1</v>
      </c>
    </row>
    <row r="190" spans="1:44">
      <c r="A190" s="3" t="s">
        <v>4656</v>
      </c>
      <c r="B190" s="4" t="s">
        <v>4657</v>
      </c>
      <c r="C190" s="5" t="s">
        <v>4658</v>
      </c>
      <c r="D190" s="6" t="s">
        <v>4659</v>
      </c>
      <c r="E190" s="7" t="s">
        <v>4660</v>
      </c>
      <c r="F190" s="8" t="s">
        <v>4661</v>
      </c>
      <c r="G190" s="9" t="s">
        <v>4662</v>
      </c>
      <c r="H190" s="10" t="s">
        <v>4663</v>
      </c>
      <c r="I190" s="11" t="s">
        <v>4664</v>
      </c>
      <c r="J190" s="12" t="s">
        <v>4665</v>
      </c>
      <c r="K190" s="13" t="s">
        <v>4666</v>
      </c>
      <c r="L190" s="14">
        <v>38691</v>
      </c>
      <c r="M190" s="15"/>
      <c r="N190" s="16"/>
      <c r="O190" s="17" t="s">
        <v>4667</v>
      </c>
      <c r="P190" s="18" t="s">
        <v>4668</v>
      </c>
      <c r="Q190" s="19" t="s">
        <v>4669</v>
      </c>
      <c r="R190" s="20" t="s">
        <v>4670</v>
      </c>
      <c r="S190" s="21" t="s">
        <v>4671</v>
      </c>
      <c r="T190" s="22" t="s">
        <v>4672</v>
      </c>
      <c r="U190" s="23" t="s">
        <v>4673</v>
      </c>
      <c r="V190" s="24" t="s">
        <v>4674</v>
      </c>
      <c r="W190" s="25" t="s">
        <v>4675</v>
      </c>
      <c r="X190" s="26" t="s">
        <v>4676</v>
      </c>
      <c r="Y190" s="27" t="s">
        <v>4677</v>
      </c>
      <c r="Z190" s="28" t="s">
        <v>4678</v>
      </c>
      <c r="AA190" s="29" t="s">
        <v>4679</v>
      </c>
      <c r="AB190" s="30" t="s">
        <v>4680</v>
      </c>
      <c r="AC190" t="str">
        <f>IF(ISBLANK(H190),VLOOKUP(P190,'US Supervisor Map'!A:D,4,FALSE),MID(H190,4,6))</f>
        <v>207709</v>
      </c>
      <c r="AD190" t="str">
        <f>IFERROR(VLOOKUP(T190,'Org Map'!A:E,4),"BU Description Not Mapped")</f>
        <v>0096</v>
      </c>
      <c r="AE190">
        <f>IFERROR(VLOOKUP(V190,'Org Map'!C:E,3),"Home Department Code Not Mapped")</f>
        <v>910</v>
      </c>
      <c r="AF190" t="str">
        <f>IFERROR(VLOOKUP(AA190,'Salary Map'!A:D,3,FALSE),"Salary Code Not Mapped")</f>
        <v>Default</v>
      </c>
      <c r="AG190" t="str">
        <f>IFERROR(VLOOKUP(AA190,'Salary Map'!A:D,4,FALSE),"Salary Code Not Mapped")</f>
        <v>General</v>
      </c>
      <c r="AH190" t="str">
        <f>IFERROR(VLOOKUP(Z190,'Country Map'!A:B,2,FALSE),"Legal Country Not Mapped")</f>
        <v>US</v>
      </c>
      <c r="AI190" t="str">
        <f>IFERROR(VLOOKUP(X190,'Language Map'!A:C,3,FALSE),IFERROR(VLOOKUP(T190,'Org Map'!A:F,6,FALSE),"ADP and BU Language Code Not Mapped"))&amp;AH190</f>
        <v>en_US</v>
      </c>
      <c r="AJ190" t="str">
        <f>IFERROR(VLOOKUP(T190,'Org Map'!A:G,7),"BU Currency Not Mapped")</f>
        <v>USD</v>
      </c>
      <c r="AK190" t="str">
        <f t="shared" si="18"/>
        <v/>
      </c>
      <c r="AL190" t="str">
        <f>IFERROR(VLOOKUP(O190,'Status Map'!A:B,2,FALSE),"Position Status Not Mapped")</f>
        <v>Y</v>
      </c>
      <c r="AM190" t="str">
        <f t="shared" si="23"/>
        <v/>
      </c>
      <c r="AO190" t="str">
        <f t="shared" si="19"/>
        <v>DwightAWarner</v>
      </c>
      <c r="AP190" t="str">
        <f t="shared" si="20"/>
        <v>Bair</v>
      </c>
      <c r="AQ190" t="str">
        <f t="shared" si="21"/>
        <v>207709</v>
      </c>
      <c r="AR190" t="b">
        <f t="shared" si="22"/>
        <v>1</v>
      </c>
    </row>
    <row r="191" spans="1:44">
      <c r="A191" s="3" t="s">
        <v>4681</v>
      </c>
      <c r="B191" s="4" t="s">
        <v>4682</v>
      </c>
      <c r="C191" s="5" t="s">
        <v>4683</v>
      </c>
      <c r="D191" s="6" t="s">
        <v>4684</v>
      </c>
      <c r="E191" s="7" t="s">
        <v>4685</v>
      </c>
      <c r="F191" s="8" t="s">
        <v>4686</v>
      </c>
      <c r="G191" s="9" t="s">
        <v>4687</v>
      </c>
      <c r="H191" s="10" t="s">
        <v>4688</v>
      </c>
      <c r="I191" s="11" t="s">
        <v>4689</v>
      </c>
      <c r="J191" s="12" t="s">
        <v>4690</v>
      </c>
      <c r="K191" s="13" t="s">
        <v>4691</v>
      </c>
      <c r="L191" s="14">
        <v>45958</v>
      </c>
      <c r="M191" s="15"/>
      <c r="N191" s="16"/>
      <c r="O191" s="17" t="s">
        <v>4692</v>
      </c>
      <c r="P191" s="18" t="s">
        <v>4693</v>
      </c>
      <c r="Q191" s="19" t="s">
        <v>4694</v>
      </c>
      <c r="R191" s="20" t="s">
        <v>4695</v>
      </c>
      <c r="S191" s="21" t="s">
        <v>4696</v>
      </c>
      <c r="T191" s="22" t="s">
        <v>4697</v>
      </c>
      <c r="U191" s="23" t="s">
        <v>4698</v>
      </c>
      <c r="V191" s="24" t="s">
        <v>4699</v>
      </c>
      <c r="W191" s="25" t="s">
        <v>4700</v>
      </c>
      <c r="X191" s="26" t="s">
        <v>4701</v>
      </c>
      <c r="Y191" s="27" t="s">
        <v>4702</v>
      </c>
      <c r="Z191" s="28" t="s">
        <v>4703</v>
      </c>
      <c r="AA191" s="29" t="s">
        <v>4704</v>
      </c>
      <c r="AB191" s="30" t="s">
        <v>4705</v>
      </c>
      <c r="AC191" t="str">
        <f>IF(ISBLANK(H191),VLOOKUP(P191,'US Supervisor Map'!A:D,4,FALSE),MID(H191,4,6))</f>
        <v>209181</v>
      </c>
      <c r="AD191" t="str">
        <f>IFERROR(VLOOKUP(T191,'Org Map'!A:E,4),"BU Description Not Mapped")</f>
        <v>0088</v>
      </c>
      <c r="AE191">
        <f>IFERROR(VLOOKUP(V191,'Org Map'!C:E,3),"Home Department Code Not Mapped")</f>
        <v>9210</v>
      </c>
      <c r="AF191" t="str">
        <f>IFERROR(VLOOKUP(AA191,'Salary Map'!A:D,3,FALSE),"Salary Code Not Mapped")</f>
        <v>Default</v>
      </c>
      <c r="AG191" t="str">
        <f>IFERROR(VLOOKUP(AA191,'Salary Map'!A:D,4,FALSE),"Salary Code Not Mapped")</f>
        <v>General</v>
      </c>
      <c r="AH191" t="str">
        <f>IFERROR(VLOOKUP(Z191,'Country Map'!A:B,2,FALSE),"Legal Country Not Mapped")</f>
        <v>US</v>
      </c>
      <c r="AI191" t="str">
        <f>IFERROR(VLOOKUP(X191,'Language Map'!A:C,3,FALSE),IFERROR(VLOOKUP(T191,'Org Map'!A:F,6,FALSE),"ADP and BU Language Code Not Mapped"))&amp;AH191</f>
        <v>en_US</v>
      </c>
      <c r="AJ191" t="str">
        <f>IFERROR(VLOOKUP(T191,'Org Map'!A:G,7),"BU Currency Not Mapped")</f>
        <v>USD</v>
      </c>
      <c r="AK191" t="str">
        <f t="shared" si="18"/>
        <v/>
      </c>
      <c r="AL191" t="str">
        <f>IFERROR(VLOOKUP(O191,'Status Map'!A:B,2,FALSE),"Position Status Not Mapped")</f>
        <v>Y</v>
      </c>
      <c r="AM191" t="str">
        <f t="shared" si="23"/>
        <v/>
      </c>
      <c r="AO191" t="str">
        <f t="shared" si="19"/>
        <v>BonnettaDWarren</v>
      </c>
      <c r="AP191" t="str">
        <f t="shared" si="20"/>
        <v>Oleksa</v>
      </c>
      <c r="AQ191" t="str">
        <f t="shared" si="21"/>
        <v>209181</v>
      </c>
      <c r="AR191" t="b">
        <f t="shared" si="22"/>
        <v>1</v>
      </c>
    </row>
    <row r="192" spans="1:44">
      <c r="A192" s="3" t="s">
        <v>4706</v>
      </c>
      <c r="B192" s="4" t="s">
        <v>4707</v>
      </c>
      <c r="C192" s="5" t="s">
        <v>4708</v>
      </c>
      <c r="D192" s="6" t="s">
        <v>4709</v>
      </c>
      <c r="E192" s="7" t="s">
        <v>4710</v>
      </c>
      <c r="F192" s="8" t="s">
        <v>4711</v>
      </c>
      <c r="G192" s="9" t="s">
        <v>4712</v>
      </c>
      <c r="H192" s="10" t="s">
        <v>4713</v>
      </c>
      <c r="I192" s="31" t="s">
        <v>4714</v>
      </c>
      <c r="J192" s="12" t="s">
        <v>4715</v>
      </c>
      <c r="K192" s="13" t="s">
        <v>4716</v>
      </c>
      <c r="L192" s="14">
        <v>46169</v>
      </c>
      <c r="M192" s="15">
        <v>46183</v>
      </c>
      <c r="N192" s="16"/>
      <c r="O192" s="17" t="s">
        <v>4717</v>
      </c>
      <c r="P192" s="18" t="s">
        <v>4718</v>
      </c>
      <c r="Q192" s="19" t="s">
        <v>4719</v>
      </c>
      <c r="R192" s="20" t="s">
        <v>4720</v>
      </c>
      <c r="S192" s="21" t="s">
        <v>4721</v>
      </c>
      <c r="T192" s="22" t="s">
        <v>4722</v>
      </c>
      <c r="U192" s="23" t="s">
        <v>4723</v>
      </c>
      <c r="V192" s="24" t="s">
        <v>4724</v>
      </c>
      <c r="W192" s="25" t="s">
        <v>4725</v>
      </c>
      <c r="X192" s="26" t="s">
        <v>4726</v>
      </c>
      <c r="Y192" s="27" t="s">
        <v>4727</v>
      </c>
      <c r="Z192" s="28" t="s">
        <v>4728</v>
      </c>
      <c r="AA192" s="29" t="s">
        <v>4729</v>
      </c>
      <c r="AB192" s="30" t="s">
        <v>4730</v>
      </c>
      <c r="AC192" t="str">
        <f>IF(ISBLANK(H192),VLOOKUP(P192,'US Supervisor Map'!A:D,4,FALSE),MID(H192,4,6))</f>
        <v>202533</v>
      </c>
      <c r="AD192" t="str">
        <f>IFERROR(VLOOKUP(T192,'Org Map'!A:E,4),"BU Description Not Mapped")</f>
        <v>0088</v>
      </c>
      <c r="AE192">
        <f>IFERROR(VLOOKUP(V192,'Org Map'!C:E,3),"Home Department Code Not Mapped")</f>
        <v>8100</v>
      </c>
      <c r="AF192" t="str">
        <f>IFERROR(VLOOKUP(AA192,'Salary Map'!A:D,3,FALSE),"Salary Code Not Mapped")</f>
        <v>Default</v>
      </c>
      <c r="AG192" t="str">
        <f>IFERROR(VLOOKUP(AA192,'Salary Map'!A:D,4,FALSE),"Salary Code Not Mapped")</f>
        <v>General</v>
      </c>
      <c r="AH192" t="str">
        <f>IFERROR(VLOOKUP(Z192,'Country Map'!A:B,2,FALSE),"Legal Country Not Mapped")</f>
        <v>US</v>
      </c>
      <c r="AI192" t="str">
        <f>IFERROR(VLOOKUP(X192,'Language Map'!A:C,3,FALSE),IFERROR(VLOOKUP(T192,'Org Map'!A:F,6,FALSE),"ADP and BU Language Code Not Mapped"))&amp;AH192</f>
        <v>en_US</v>
      </c>
      <c r="AJ192" t="str">
        <f>IFERROR(VLOOKUP(T192,'Org Map'!A:G,7),"BU Currency Not Mapped")</f>
        <v>USD</v>
      </c>
      <c r="AK192" t="str">
        <f t="shared" si="18"/>
        <v/>
      </c>
      <c r="AL192" t="str">
        <f>IFERROR(VLOOKUP(O192,'Status Map'!A:B,2,FALSE),"Position Status Not Mapped")</f>
        <v>N</v>
      </c>
      <c r="AM192" t="str">
        <f t="shared" si="23"/>
        <v>20260610</v>
      </c>
      <c r="AN192" t="str">
        <f>IF(M192&gt;AN187,"Fix and Include Record","Exclude record termination over 45 days ago")</f>
        <v>Exclude record termination over 45 days ago</v>
      </c>
      <c r="AO192" t="str">
        <f t="shared" si="19"/>
        <v>LatashaCWatkins</v>
      </c>
      <c r="AP192" t="e">
        <f t="shared" si="20"/>
        <v>#VALUE!</v>
      </c>
      <c r="AQ192" t="str">
        <f t="shared" si="21"/>
        <v>No Reports to Name</v>
      </c>
      <c r="AR192" s="77" t="b">
        <f t="shared" si="22"/>
        <v>0</v>
      </c>
    </row>
    <row r="193" spans="1:44">
      <c r="A193" s="3" t="s">
        <v>4731</v>
      </c>
      <c r="B193" s="4" t="s">
        <v>4732</v>
      </c>
      <c r="C193" s="5" t="s">
        <v>4733</v>
      </c>
      <c r="D193" s="6" t="s">
        <v>4734</v>
      </c>
      <c r="E193" s="7" t="s">
        <v>4735</v>
      </c>
      <c r="F193" s="8" t="s">
        <v>4736</v>
      </c>
      <c r="G193" s="9" t="s">
        <v>4737</v>
      </c>
      <c r="H193" s="10" t="s">
        <v>4738</v>
      </c>
      <c r="I193" s="11" t="s">
        <v>4739</v>
      </c>
      <c r="J193" s="12" t="s">
        <v>4740</v>
      </c>
      <c r="K193" s="13" t="s">
        <v>4741</v>
      </c>
      <c r="L193" s="14">
        <v>41641</v>
      </c>
      <c r="M193" s="15"/>
      <c r="N193" s="16"/>
      <c r="O193" s="17" t="s">
        <v>4742</v>
      </c>
      <c r="P193" s="18" t="s">
        <v>4743</v>
      </c>
      <c r="Q193" s="19" t="s">
        <v>4744</v>
      </c>
      <c r="R193" s="20" t="s">
        <v>4745</v>
      </c>
      <c r="S193" s="21" t="s">
        <v>4746</v>
      </c>
      <c r="T193" s="22" t="s">
        <v>4747</v>
      </c>
      <c r="U193" s="23" t="s">
        <v>4748</v>
      </c>
      <c r="V193" s="24" t="s">
        <v>4749</v>
      </c>
      <c r="W193" s="25" t="s">
        <v>4750</v>
      </c>
      <c r="X193" s="26" t="s">
        <v>4751</v>
      </c>
      <c r="Y193" s="27" t="s">
        <v>4752</v>
      </c>
      <c r="Z193" s="28" t="s">
        <v>4753</v>
      </c>
      <c r="AA193" s="29" t="s">
        <v>4754</v>
      </c>
      <c r="AB193" s="30" t="s">
        <v>4755</v>
      </c>
      <c r="AC193" t="str">
        <f>IF(ISBLANK(H193),VLOOKUP(P193,'US Supervisor Map'!A:D,4,FALSE),MID(H193,4,6))</f>
        <v>213037</v>
      </c>
      <c r="AD193" t="str">
        <f>IFERROR(VLOOKUP(T193,'Org Map'!A:E,4),"BU Description Not Mapped")</f>
        <v>0096</v>
      </c>
      <c r="AE193">
        <f>IFERROR(VLOOKUP(V193,'Org Map'!C:E,3),"Home Department Code Not Mapped")</f>
        <v>713</v>
      </c>
      <c r="AF193" t="str">
        <f>IFERROR(VLOOKUP(AA193,'Salary Map'!A:D,3,FALSE),"Salary Code Not Mapped")</f>
        <v>Default</v>
      </c>
      <c r="AG193" t="str">
        <f>IFERROR(VLOOKUP(AA193,'Salary Map'!A:D,4,FALSE),"Salary Code Not Mapped")</f>
        <v>General</v>
      </c>
      <c r="AH193" t="str">
        <f>IFERROR(VLOOKUP(Z193,'Country Map'!A:B,2,FALSE),"Legal Country Not Mapped")</f>
        <v>US</v>
      </c>
      <c r="AI193" t="str">
        <f>IFERROR(VLOOKUP(X193,'Language Map'!A:C,3,FALSE),IFERROR(VLOOKUP(T193,'Org Map'!A:F,6,FALSE),"ADP and BU Language Code Not Mapped"))&amp;AH193</f>
        <v>en_US</v>
      </c>
      <c r="AJ193" t="str">
        <f>IFERROR(VLOOKUP(T193,'Org Map'!A:G,7),"BU Currency Not Mapped")</f>
        <v>USD</v>
      </c>
      <c r="AK193" t="str">
        <f t="shared" si="18"/>
        <v/>
      </c>
      <c r="AL193" t="str">
        <f>IFERROR(VLOOKUP(O193,'Status Map'!A:B,2,FALSE),"Position Status Not Mapped")</f>
        <v>Y</v>
      </c>
      <c r="AM193" t="str">
        <f t="shared" si="23"/>
        <v/>
      </c>
      <c r="AO193" t="str">
        <f t="shared" si="19"/>
        <v>RussellLWeaver</v>
      </c>
      <c r="AP193" t="str">
        <f t="shared" si="20"/>
        <v>Bate</v>
      </c>
      <c r="AQ193" t="str">
        <f t="shared" si="21"/>
        <v>213037</v>
      </c>
      <c r="AR193" t="b">
        <f t="shared" si="22"/>
        <v>1</v>
      </c>
    </row>
    <row r="194" spans="1:44">
      <c r="A194" s="3" t="s">
        <v>4756</v>
      </c>
      <c r="B194" s="4" t="s">
        <v>4757</v>
      </c>
      <c r="C194" s="5" t="s">
        <v>4758</v>
      </c>
      <c r="D194" s="6" t="s">
        <v>4759</v>
      </c>
      <c r="E194" s="7" t="s">
        <v>4760</v>
      </c>
      <c r="F194" s="8" t="s">
        <v>4761</v>
      </c>
      <c r="G194" s="9" t="s">
        <v>4762</v>
      </c>
      <c r="H194" s="10" t="s">
        <v>4763</v>
      </c>
      <c r="I194" s="31" t="s">
        <v>4764</v>
      </c>
      <c r="J194" s="12" t="s">
        <v>4765</v>
      </c>
      <c r="K194" s="13" t="s">
        <v>4766</v>
      </c>
      <c r="L194" s="14">
        <v>44776</v>
      </c>
      <c r="M194" s="15"/>
      <c r="N194" s="16"/>
      <c r="O194" s="17" t="s">
        <v>4767</v>
      </c>
      <c r="P194" s="18" t="s">
        <v>4768</v>
      </c>
      <c r="Q194" s="19" t="s">
        <v>4769</v>
      </c>
      <c r="R194" s="20" t="s">
        <v>4770</v>
      </c>
      <c r="S194" s="21" t="s">
        <v>4771</v>
      </c>
      <c r="T194" s="22" t="s">
        <v>4772</v>
      </c>
      <c r="U194" s="23" t="s">
        <v>4773</v>
      </c>
      <c r="V194" s="24" t="s">
        <v>4774</v>
      </c>
      <c r="W194" s="25" t="s">
        <v>4775</v>
      </c>
      <c r="X194" s="26" t="s">
        <v>4776</v>
      </c>
      <c r="Y194" s="27" t="s">
        <v>4777</v>
      </c>
      <c r="Z194" s="28" t="s">
        <v>4778</v>
      </c>
      <c r="AA194" s="29" t="s">
        <v>4779</v>
      </c>
      <c r="AB194" s="30" t="s">
        <v>4780</v>
      </c>
      <c r="AC194" t="str">
        <f>IF(ISBLANK(H194),VLOOKUP(P194,'US Supervisor Map'!A:D,4,FALSE),MID(H194,4,6))</f>
        <v>211601</v>
      </c>
      <c r="AD194" t="str">
        <f>IFERROR(VLOOKUP(T194,'Org Map'!A:E,4),"BU Description Not Mapped")</f>
        <v>0088</v>
      </c>
      <c r="AE194">
        <f>IFERROR(VLOOKUP(V194,'Org Map'!C:E,3),"Home Department Code Not Mapped")</f>
        <v>8200</v>
      </c>
      <c r="AF194" t="str">
        <f>IFERROR(VLOOKUP(AA194,'Salary Map'!A:D,3,FALSE),"Salary Code Not Mapped")</f>
        <v>Default</v>
      </c>
      <c r="AG194" t="str">
        <f>IFERROR(VLOOKUP(AA194,'Salary Map'!A:D,4,FALSE),"Salary Code Not Mapped")</f>
        <v>General</v>
      </c>
      <c r="AH194" t="str">
        <f>IFERROR(VLOOKUP(Z194,'Country Map'!A:B,2,FALSE),"Legal Country Not Mapped")</f>
        <v>US</v>
      </c>
      <c r="AI194" t="str">
        <f>IFERROR(VLOOKUP(X194,'Language Map'!A:C,3,FALSE),IFERROR(VLOOKUP(T194,'Org Map'!A:F,6,FALSE),"ADP and BU Language Code Not Mapped"))&amp;AH194</f>
        <v>en_US</v>
      </c>
      <c r="AJ194" t="str">
        <f>IFERROR(VLOOKUP(T194,'Org Map'!A:G,7),"BU Currency Not Mapped")</f>
        <v>USD</v>
      </c>
      <c r="AK194" t="str">
        <f t="shared" si="18"/>
        <v/>
      </c>
      <c r="AL194" t="str">
        <f>IFERROR(VLOOKUP(O194,'Status Map'!A:B,2,FALSE),"Position Status Not Mapped")</f>
        <v>Y</v>
      </c>
      <c r="AM194" t="str">
        <f t="shared" si="23"/>
        <v/>
      </c>
      <c r="AO194" t="str">
        <f t="shared" si="19"/>
        <v>JoannWhaley</v>
      </c>
      <c r="AP194" t="str">
        <f t="shared" si="20"/>
        <v>Valetta</v>
      </c>
      <c r="AQ194" t="str">
        <f t="shared" si="21"/>
        <v>211601</v>
      </c>
      <c r="AR194" t="b">
        <f t="shared" si="22"/>
        <v>1</v>
      </c>
    </row>
    <row r="195" spans="1:44">
      <c r="A195" s="3" t="s">
        <v>4781</v>
      </c>
      <c r="B195" s="4" t="s">
        <v>4782</v>
      </c>
      <c r="C195" s="5" t="s">
        <v>4783</v>
      </c>
      <c r="D195" s="6" t="s">
        <v>4784</v>
      </c>
      <c r="E195" s="7" t="s">
        <v>4785</v>
      </c>
      <c r="F195" s="8" t="s">
        <v>4786</v>
      </c>
      <c r="G195" s="9" t="s">
        <v>4787</v>
      </c>
      <c r="H195" s="10" t="s">
        <v>4788</v>
      </c>
      <c r="I195" s="11" t="s">
        <v>4789</v>
      </c>
      <c r="J195" s="12" t="s">
        <v>4790</v>
      </c>
      <c r="K195" s="13" t="s">
        <v>4791</v>
      </c>
      <c r="L195" s="14">
        <v>45769</v>
      </c>
      <c r="M195" s="15"/>
      <c r="N195" s="16"/>
      <c r="O195" s="17" t="s">
        <v>4792</v>
      </c>
      <c r="P195" s="18" t="s">
        <v>4793</v>
      </c>
      <c r="Q195" s="19" t="s">
        <v>4794</v>
      </c>
      <c r="R195" s="20" t="s">
        <v>4795</v>
      </c>
      <c r="S195" s="21" t="s">
        <v>4796</v>
      </c>
      <c r="T195" s="22" t="s">
        <v>4797</v>
      </c>
      <c r="U195" s="23" t="s">
        <v>4798</v>
      </c>
      <c r="V195" s="24" t="s">
        <v>4799</v>
      </c>
      <c r="W195" s="25" t="s">
        <v>4800</v>
      </c>
      <c r="X195" s="26" t="s">
        <v>4801</v>
      </c>
      <c r="Y195" s="27" t="s">
        <v>4802</v>
      </c>
      <c r="Z195" s="28" t="s">
        <v>4803</v>
      </c>
      <c r="AA195" s="29" t="s">
        <v>4804</v>
      </c>
      <c r="AB195" s="30" t="s">
        <v>4805</v>
      </c>
      <c r="AC195" t="str">
        <f>IF(ISBLANK(H195),VLOOKUP(P195,'US Supervisor Map'!A:D,4,FALSE),MID(H195,4,6))</f>
        <v>211998</v>
      </c>
      <c r="AD195" t="str">
        <f>IFERROR(VLOOKUP(T195,'Org Map'!A:E,4),"BU Description Not Mapped")</f>
        <v>0096</v>
      </c>
      <c r="AE195">
        <f>IFERROR(VLOOKUP(V195,'Org Map'!C:E,3),"Home Department Code Not Mapped")</f>
        <v>850</v>
      </c>
      <c r="AF195" t="str">
        <f>IFERROR(VLOOKUP(AA195,'Salary Map'!A:D,3,FALSE),"Salary Code Not Mapped")</f>
        <v>Default</v>
      </c>
      <c r="AG195" t="str">
        <f>IFERROR(VLOOKUP(AA195,'Salary Map'!A:D,4,FALSE),"Salary Code Not Mapped")</f>
        <v>General</v>
      </c>
      <c r="AH195" t="str">
        <f>IFERROR(VLOOKUP(Z195,'Country Map'!A:B,2,FALSE),"Legal Country Not Mapped")</f>
        <v>US</v>
      </c>
      <c r="AI195" t="str">
        <f>IFERROR(VLOOKUP(X195,'Language Map'!A:C,3,FALSE),IFERROR(VLOOKUP(T195,'Org Map'!A:F,6,FALSE),"ADP and BU Language Code Not Mapped"))&amp;AH195</f>
        <v>en_US</v>
      </c>
      <c r="AJ195" t="str">
        <f>IFERROR(VLOOKUP(T195,'Org Map'!A:G,7),"BU Currency Not Mapped")</f>
        <v>USD</v>
      </c>
      <c r="AK195" t="str">
        <f t="shared" si="18"/>
        <v/>
      </c>
      <c r="AL195" t="str">
        <f>IFERROR(VLOOKUP(O195,'Status Map'!A:B,2,FALSE),"Position Status Not Mapped")</f>
        <v>Y</v>
      </c>
      <c r="AM195" t="str">
        <f t="shared" si="23"/>
        <v/>
      </c>
      <c r="AO195" t="str">
        <f t="shared" si="19"/>
        <v>DanielWhite</v>
      </c>
      <c r="AP195" t="str">
        <f t="shared" si="20"/>
        <v>Wallace</v>
      </c>
      <c r="AQ195" t="str">
        <f t="shared" si="21"/>
        <v>211998</v>
      </c>
      <c r="AR195" t="b">
        <f t="shared" si="22"/>
        <v>1</v>
      </c>
    </row>
    <row r="196" spans="1:44">
      <c r="A196" s="3" t="s">
        <v>4806</v>
      </c>
      <c r="B196" s="4" t="s">
        <v>4807</v>
      </c>
      <c r="C196" s="5" t="s">
        <v>4808</v>
      </c>
      <c r="D196" s="6" t="s">
        <v>4809</v>
      </c>
      <c r="E196" s="7" t="s">
        <v>4810</v>
      </c>
      <c r="F196" s="8" t="s">
        <v>4811</v>
      </c>
      <c r="G196" s="9" t="s">
        <v>4812</v>
      </c>
      <c r="H196" s="36" t="s">
        <v>4813</v>
      </c>
      <c r="I196" s="11" t="s">
        <v>4814</v>
      </c>
      <c r="J196" s="12" t="s">
        <v>4815</v>
      </c>
      <c r="K196" s="13" t="s">
        <v>4816</v>
      </c>
      <c r="L196" s="14">
        <v>45769</v>
      </c>
      <c r="M196" s="15">
        <v>46175</v>
      </c>
      <c r="N196" s="16"/>
      <c r="O196" s="17" t="s">
        <v>4817</v>
      </c>
      <c r="P196" s="18" t="s">
        <v>4818</v>
      </c>
      <c r="Q196" s="19" t="s">
        <v>4819</v>
      </c>
      <c r="R196" s="20" t="s">
        <v>4820</v>
      </c>
      <c r="S196" s="21" t="s">
        <v>4821</v>
      </c>
      <c r="T196" s="22" t="s">
        <v>4822</v>
      </c>
      <c r="U196" s="23" t="s">
        <v>4823</v>
      </c>
      <c r="V196" s="24" t="s">
        <v>4824</v>
      </c>
      <c r="W196" s="25" t="s">
        <v>4825</v>
      </c>
      <c r="X196" s="26" t="s">
        <v>4826</v>
      </c>
      <c r="Y196" s="27" t="s">
        <v>4827</v>
      </c>
      <c r="Z196" s="28" t="s">
        <v>4828</v>
      </c>
      <c r="AA196" s="29" t="s">
        <v>4829</v>
      </c>
      <c r="AB196" s="30" t="s">
        <v>4830</v>
      </c>
      <c r="AC196" s="77" t="str">
        <f>IF(ISBLANK(H196),VLOOKUP(P196,'US Supervisor Map'!A:D,4,FALSE),MID(H196,4,6))</f>
        <v/>
      </c>
      <c r="AD196" t="str">
        <f>IFERROR(VLOOKUP(T196,'Org Map'!A:E,4),"BU Description Not Mapped")</f>
        <v>0096</v>
      </c>
      <c r="AE196">
        <f>IFERROR(VLOOKUP(V196,'Org Map'!C:E,3),"Home Department Code Not Mapped")</f>
        <v>850</v>
      </c>
      <c r="AF196" t="str">
        <f>IFERROR(VLOOKUP(AA196,'Salary Map'!A:D,3,FALSE),"Salary Code Not Mapped")</f>
        <v>Default</v>
      </c>
      <c r="AG196" t="str">
        <f>IFERROR(VLOOKUP(AA196,'Salary Map'!A:D,4,FALSE),"Salary Code Not Mapped")</f>
        <v>General</v>
      </c>
      <c r="AH196" t="str">
        <f>IFERROR(VLOOKUP(Z196,'Country Map'!A:B,2,FALSE),"Legal Country Not Mapped")</f>
        <v>US</v>
      </c>
      <c r="AI196" t="str">
        <f>IFERROR(VLOOKUP(X196,'Language Map'!A:C,3,FALSE),IFERROR(VLOOKUP(T196,'Org Map'!A:F,6,FALSE),"ADP and BU Language Code Not Mapped"))&amp;AH196</f>
        <v>en_US</v>
      </c>
      <c r="AJ196" t="str">
        <f>IFERROR(VLOOKUP(T196,'Org Map'!A:G,7),"BU Currency Not Mapped")</f>
        <v>USD</v>
      </c>
      <c r="AK196" t="str">
        <f t="shared" si="18"/>
        <v/>
      </c>
      <c r="AL196" t="str">
        <f>IFERROR(VLOOKUP(O196,'Status Map'!A:B,2,FALSE),"Position Status Not Mapped")</f>
        <v>N</v>
      </c>
      <c r="AM196" t="str">
        <f t="shared" si="23"/>
        <v>20260602</v>
      </c>
      <c r="AN196" t="str">
        <f t="shared" ref="AN196:AN197" si="28">IF(M196&gt;AN191,"Fix and Include Record","Exclude record termination over 45 days ago")</f>
        <v>Fix and Include Record</v>
      </c>
      <c r="AO196" t="str">
        <f t="shared" si="19"/>
        <v>DanielWhite</v>
      </c>
      <c r="AP196" t="e">
        <f t="shared" si="20"/>
        <v>#VALUE!</v>
      </c>
      <c r="AQ196" t="str">
        <f t="shared" si="21"/>
        <v>No Reports to Name</v>
      </c>
      <c r="AR196" t="b">
        <f t="shared" si="22"/>
        <v>0</v>
      </c>
    </row>
    <row r="197" spans="1:44">
      <c r="A197" s="3" t="s">
        <v>4831</v>
      </c>
      <c r="B197" s="4" t="s">
        <v>4832</v>
      </c>
      <c r="C197" s="5" t="s">
        <v>4833</v>
      </c>
      <c r="D197" s="6" t="s">
        <v>4834</v>
      </c>
      <c r="E197" s="7" t="s">
        <v>4835</v>
      </c>
      <c r="F197" s="8" t="s">
        <v>4836</v>
      </c>
      <c r="G197" s="9" t="s">
        <v>4837</v>
      </c>
      <c r="H197" s="36" t="s">
        <v>4838</v>
      </c>
      <c r="I197" s="11" t="s">
        <v>4839</v>
      </c>
      <c r="J197" s="12" t="s">
        <v>4840</v>
      </c>
      <c r="K197" s="13" t="s">
        <v>4841</v>
      </c>
      <c r="L197" s="14">
        <v>45769</v>
      </c>
      <c r="M197" s="15">
        <v>46175</v>
      </c>
      <c r="N197" s="16"/>
      <c r="O197" s="17" t="s">
        <v>4842</v>
      </c>
      <c r="P197" s="18" t="s">
        <v>4843</v>
      </c>
      <c r="Q197" s="19" t="s">
        <v>4844</v>
      </c>
      <c r="R197" s="20" t="s">
        <v>4845</v>
      </c>
      <c r="S197" s="21" t="s">
        <v>4846</v>
      </c>
      <c r="T197" s="22" t="s">
        <v>4847</v>
      </c>
      <c r="U197" s="23" t="s">
        <v>4848</v>
      </c>
      <c r="V197" s="24" t="s">
        <v>4849</v>
      </c>
      <c r="W197" s="25" t="s">
        <v>4850</v>
      </c>
      <c r="X197" s="26" t="s">
        <v>4851</v>
      </c>
      <c r="Y197" s="27" t="s">
        <v>4852</v>
      </c>
      <c r="Z197" s="28" t="s">
        <v>4853</v>
      </c>
      <c r="AA197" s="29" t="s">
        <v>4854</v>
      </c>
      <c r="AB197" s="30" t="s">
        <v>4855</v>
      </c>
      <c r="AC197" s="77" t="str">
        <f>IF(ISBLANK(H197),VLOOKUP(P197,'US Supervisor Map'!A:D,4,FALSE),MID(H197,4,6))</f>
        <v/>
      </c>
      <c r="AD197" t="str">
        <f>IFERROR(VLOOKUP(T197,'Org Map'!A:E,4),"BU Description Not Mapped")</f>
        <v>0096</v>
      </c>
      <c r="AE197">
        <f>IFERROR(VLOOKUP(V197,'Org Map'!C:E,3),"Home Department Code Not Mapped")</f>
        <v>850</v>
      </c>
      <c r="AF197" t="str">
        <f>IFERROR(VLOOKUP(AA197,'Salary Map'!A:D,3,FALSE),"Salary Code Not Mapped")</f>
        <v>Default</v>
      </c>
      <c r="AG197" t="str">
        <f>IFERROR(VLOOKUP(AA197,'Salary Map'!A:D,4,FALSE),"Salary Code Not Mapped")</f>
        <v>General</v>
      </c>
      <c r="AH197" t="str">
        <f>IFERROR(VLOOKUP(Z197,'Country Map'!A:B,2,FALSE),"Legal Country Not Mapped")</f>
        <v>US</v>
      </c>
      <c r="AI197" t="str">
        <f>IFERROR(VLOOKUP(X197,'Language Map'!A:C,3,FALSE),IFERROR(VLOOKUP(T197,'Org Map'!A:F,6,FALSE),"ADP and BU Language Code Not Mapped"))&amp;AH197</f>
        <v>en_US</v>
      </c>
      <c r="AJ197" t="str">
        <f>IFERROR(VLOOKUP(T197,'Org Map'!A:G,7),"BU Currency Not Mapped")</f>
        <v>USD</v>
      </c>
      <c r="AK197" t="str">
        <f t="shared" si="18"/>
        <v/>
      </c>
      <c r="AL197" t="str">
        <f>IFERROR(VLOOKUP(O197,'Status Map'!A:B,2,FALSE),"Position Status Not Mapped")</f>
        <v>N</v>
      </c>
      <c r="AM197" t="str">
        <f t="shared" si="23"/>
        <v>20260602</v>
      </c>
      <c r="AN197" t="str">
        <f t="shared" si="28"/>
        <v>Exclude record termination over 45 days ago</v>
      </c>
      <c r="AO197" t="str">
        <f t="shared" si="19"/>
        <v>DanielWhite</v>
      </c>
      <c r="AP197" t="e">
        <f t="shared" si="20"/>
        <v>#VALUE!</v>
      </c>
      <c r="AQ197" t="str">
        <f t="shared" si="21"/>
        <v>No Reports to Name</v>
      </c>
      <c r="AR197" t="b">
        <f t="shared" si="22"/>
        <v>0</v>
      </c>
    </row>
    <row r="198" spans="1:44">
      <c r="A198" s="3" t="s">
        <v>4856</v>
      </c>
      <c r="B198" s="4" t="s">
        <v>4857</v>
      </c>
      <c r="C198" s="5" t="s">
        <v>4858</v>
      </c>
      <c r="D198" s="6" t="s">
        <v>4859</v>
      </c>
      <c r="E198" s="7" t="s">
        <v>4860</v>
      </c>
      <c r="F198" s="8" t="s">
        <v>4861</v>
      </c>
      <c r="G198" s="9" t="s">
        <v>4862</v>
      </c>
      <c r="H198" s="10" t="s">
        <v>4863</v>
      </c>
      <c r="I198" s="11" t="s">
        <v>4864</v>
      </c>
      <c r="J198" s="12" t="s">
        <v>4865</v>
      </c>
      <c r="K198" s="13" t="s">
        <v>4866</v>
      </c>
      <c r="L198" s="14">
        <v>42772</v>
      </c>
      <c r="M198" s="15"/>
      <c r="N198" s="16"/>
      <c r="O198" s="17" t="s">
        <v>4867</v>
      </c>
      <c r="P198" s="18" t="s">
        <v>4868</v>
      </c>
      <c r="Q198" s="19" t="s">
        <v>4869</v>
      </c>
      <c r="R198" s="20" t="s">
        <v>4870</v>
      </c>
      <c r="S198" s="21" t="s">
        <v>4871</v>
      </c>
      <c r="T198" s="22" t="s">
        <v>4872</v>
      </c>
      <c r="U198" s="23" t="s">
        <v>4873</v>
      </c>
      <c r="V198" s="24" t="s">
        <v>4874</v>
      </c>
      <c r="W198" s="25" t="s">
        <v>4875</v>
      </c>
      <c r="X198" s="26" t="s">
        <v>4876</v>
      </c>
      <c r="Y198" s="27" t="s">
        <v>4877</v>
      </c>
      <c r="Z198" s="28" t="s">
        <v>4878</v>
      </c>
      <c r="AA198" s="29" t="s">
        <v>4879</v>
      </c>
      <c r="AB198" s="30" t="s">
        <v>4880</v>
      </c>
      <c r="AC198" t="str">
        <f>IF(ISBLANK(H198),VLOOKUP(P198,'US Supervisor Map'!A:D,4,FALSE),MID(H198,4,6))</f>
        <v>207588</v>
      </c>
      <c r="AD198" t="str">
        <f>IFERROR(VLOOKUP(T198,'Org Map'!A:E,4),"BU Description Not Mapped")</f>
        <v>0096</v>
      </c>
      <c r="AE198">
        <f>IFERROR(VLOOKUP(V198,'Org Map'!C:E,3),"Home Department Code Not Mapped")</f>
        <v>820</v>
      </c>
      <c r="AF198" t="str">
        <f>IFERROR(VLOOKUP(AA198,'Salary Map'!A:D,3,FALSE),"Salary Code Not Mapped")</f>
        <v>Default</v>
      </c>
      <c r="AG198" t="str">
        <f>IFERROR(VLOOKUP(AA198,'Salary Map'!A:D,4,FALSE),"Salary Code Not Mapped")</f>
        <v>General</v>
      </c>
      <c r="AH198" t="str">
        <f>IFERROR(VLOOKUP(Z198,'Country Map'!A:B,2,FALSE),"Legal Country Not Mapped")</f>
        <v>US</v>
      </c>
      <c r="AI198" t="str">
        <f>IFERROR(VLOOKUP(X198,'Language Map'!A:C,3,FALSE),IFERROR(VLOOKUP(T198,'Org Map'!A:F,6,FALSE),"ADP and BU Language Code Not Mapped"))&amp;AH198</f>
        <v>en_US</v>
      </c>
      <c r="AJ198" t="str">
        <f>IFERROR(VLOOKUP(T198,'Org Map'!A:G,7),"BU Currency Not Mapped")</f>
        <v>USD</v>
      </c>
      <c r="AK198" t="str">
        <f t="shared" ref="AK198:AK203" si="29">IF(ISBLANK(E198),"",TRIM(E198&amp;" "&amp;F198))</f>
        <v/>
      </c>
      <c r="AL198" t="str">
        <f>IFERROR(VLOOKUP(O198,'Status Map'!A:B,2,FALSE),"Position Status Not Mapped")</f>
        <v>Y</v>
      </c>
      <c r="AM198" t="str">
        <f t="shared" si="23"/>
        <v/>
      </c>
      <c r="AO198" t="str">
        <f t="shared" ref="AO198:AO202" si="30">B198&amp;C198&amp;D198</f>
        <v>WilliamMWilkins</v>
      </c>
      <c r="AP198" t="str">
        <f t="shared" ref="AP198:AP202" si="31">LEFT(G198,FIND(",",G198)-1)</f>
        <v>Rodriguez</v>
      </c>
      <c r="AQ198" t="str">
        <f t="shared" ref="AQ198:AQ202" si="32">IFERROR(VLOOKUP(AP198,D:P,13,FALSE),"No Reports to Name")</f>
        <v>212338</v>
      </c>
      <c r="AR198" s="77" t="b">
        <f t="shared" ref="AR198:AR202" si="33">AQ198=MID(H198,4,6)</f>
        <v>0</v>
      </c>
    </row>
    <row r="199" spans="1:44">
      <c r="A199" s="3" t="s">
        <v>4881</v>
      </c>
      <c r="B199" s="4" t="s">
        <v>4882</v>
      </c>
      <c r="C199" s="5" t="s">
        <v>4883</v>
      </c>
      <c r="D199" s="6" t="s">
        <v>4884</v>
      </c>
      <c r="E199" s="7" t="s">
        <v>4885</v>
      </c>
      <c r="F199" s="8" t="s">
        <v>4886</v>
      </c>
      <c r="G199" s="9" t="s">
        <v>4887</v>
      </c>
      <c r="H199" s="10" t="s">
        <v>4888</v>
      </c>
      <c r="I199" s="31" t="s">
        <v>4889</v>
      </c>
      <c r="J199" s="12" t="s">
        <v>4890</v>
      </c>
      <c r="K199" s="13" t="s">
        <v>4891</v>
      </c>
      <c r="L199" s="14">
        <v>44942</v>
      </c>
      <c r="M199" s="15"/>
      <c r="N199" s="16"/>
      <c r="O199" s="17" t="s">
        <v>4892</v>
      </c>
      <c r="P199" s="18" t="s">
        <v>4893</v>
      </c>
      <c r="Q199" s="19" t="s">
        <v>4894</v>
      </c>
      <c r="R199" s="20" t="s">
        <v>4895</v>
      </c>
      <c r="S199" s="21" t="s">
        <v>4896</v>
      </c>
      <c r="T199" s="22" t="s">
        <v>4897</v>
      </c>
      <c r="U199" s="23" t="s">
        <v>4898</v>
      </c>
      <c r="V199" s="24" t="s">
        <v>4899</v>
      </c>
      <c r="W199" s="25" t="s">
        <v>4900</v>
      </c>
      <c r="X199" s="26" t="s">
        <v>4901</v>
      </c>
      <c r="Y199" s="27" t="s">
        <v>4902</v>
      </c>
      <c r="Z199" s="28" t="s">
        <v>4903</v>
      </c>
      <c r="AA199" s="29" t="s">
        <v>4904</v>
      </c>
      <c r="AB199" s="30" t="s">
        <v>4905</v>
      </c>
      <c r="AC199" t="str">
        <f>IF(ISBLANK(H199),VLOOKUP(P199,'US Supervisor Map'!A:D,4,FALSE),MID(H199,4,6))</f>
        <v>211756</v>
      </c>
      <c r="AD199" t="str">
        <f>IFERROR(VLOOKUP(T199,'Org Map'!A:E,4),"BU Description Not Mapped")</f>
        <v>0088</v>
      </c>
      <c r="AE199">
        <f>IFERROR(VLOOKUP(V199,'Org Map'!C:E,3),"Home Department Code Not Mapped")</f>
        <v>5100</v>
      </c>
      <c r="AF199" t="str">
        <f>IFERROR(VLOOKUP(AA199,'Salary Map'!A:D,3,FALSE),"Salary Code Not Mapped")</f>
        <v>Default</v>
      </c>
      <c r="AG199" t="str">
        <f>IFERROR(VLOOKUP(AA199,'Salary Map'!A:D,4,FALSE),"Salary Code Not Mapped")</f>
        <v>General</v>
      </c>
      <c r="AH199" t="str">
        <f>IFERROR(VLOOKUP(Z199,'Country Map'!A:B,2,FALSE),"Legal Country Not Mapped")</f>
        <v>US</v>
      </c>
      <c r="AI199" t="str">
        <f>IFERROR(VLOOKUP(X199,'Language Map'!A:C,3,FALSE),IFERROR(VLOOKUP(T199,'Org Map'!A:F,6,FALSE),"ADP and BU Language Code Not Mapped"))&amp;AH199</f>
        <v>en_US</v>
      </c>
      <c r="AJ199" t="str">
        <f>IFERROR(VLOOKUP(T199,'Org Map'!A:G,7),"BU Currency Not Mapped")</f>
        <v>USD</v>
      </c>
      <c r="AK199" t="str">
        <f t="shared" si="29"/>
        <v/>
      </c>
      <c r="AL199" t="str">
        <f>IFERROR(VLOOKUP(O199,'Status Map'!A:B,2,FALSE),"Position Status Not Mapped")</f>
        <v>Y</v>
      </c>
      <c r="AM199" t="str">
        <f t="shared" si="23"/>
        <v/>
      </c>
      <c r="AO199" t="str">
        <f t="shared" si="30"/>
        <v>BarbaraCWilkinson</v>
      </c>
      <c r="AP199" t="str">
        <f t="shared" si="31"/>
        <v>Burchell</v>
      </c>
      <c r="AQ199" t="str">
        <f t="shared" si="32"/>
        <v>211756</v>
      </c>
      <c r="AR199" t="b">
        <f t="shared" si="33"/>
        <v>1</v>
      </c>
    </row>
    <row r="200" spans="1:44">
      <c r="A200" s="3" t="s">
        <v>4906</v>
      </c>
      <c r="B200" s="4" t="s">
        <v>4907</v>
      </c>
      <c r="C200" s="5" t="s">
        <v>4908</v>
      </c>
      <c r="D200" s="6" t="s">
        <v>4909</v>
      </c>
      <c r="E200" s="7" t="s">
        <v>4910</v>
      </c>
      <c r="F200" s="8" t="s">
        <v>4911</v>
      </c>
      <c r="G200" s="9" t="s">
        <v>4912</v>
      </c>
      <c r="H200" s="10" t="s">
        <v>4913</v>
      </c>
      <c r="I200" s="11" t="s">
        <v>4914</v>
      </c>
      <c r="J200" s="12" t="s">
        <v>4915</v>
      </c>
      <c r="K200" s="13" t="s">
        <v>4916</v>
      </c>
      <c r="L200" s="14">
        <v>44208</v>
      </c>
      <c r="M200" s="15"/>
      <c r="N200" s="16"/>
      <c r="O200" s="17" t="s">
        <v>4917</v>
      </c>
      <c r="P200" s="18" t="s">
        <v>4918</v>
      </c>
      <c r="Q200" s="19" t="s">
        <v>4919</v>
      </c>
      <c r="R200" s="20" t="s">
        <v>4920</v>
      </c>
      <c r="S200" s="21" t="s">
        <v>4921</v>
      </c>
      <c r="T200" s="22" t="s">
        <v>4922</v>
      </c>
      <c r="U200" s="23" t="s">
        <v>4923</v>
      </c>
      <c r="V200" s="24" t="s">
        <v>4924</v>
      </c>
      <c r="W200" s="25" t="s">
        <v>4925</v>
      </c>
      <c r="X200" s="26" t="s">
        <v>4926</v>
      </c>
      <c r="Y200" s="27" t="s">
        <v>4927</v>
      </c>
      <c r="Z200" s="28" t="s">
        <v>4928</v>
      </c>
      <c r="AA200" s="29" t="s">
        <v>4929</v>
      </c>
      <c r="AB200" s="30" t="s">
        <v>4930</v>
      </c>
      <c r="AC200" t="str">
        <f>IF(ISBLANK(H200),VLOOKUP(P200,'US Supervisor Map'!A:D,4,FALSE),MID(H200,4,6))</f>
        <v>211766</v>
      </c>
      <c r="AD200" t="str">
        <f>IFERROR(VLOOKUP(T200,'Org Map'!A:E,4),"BU Description Not Mapped")</f>
        <v>0088</v>
      </c>
      <c r="AE200">
        <f>IFERROR(VLOOKUP(V200,'Org Map'!C:E,3),"Home Department Code Not Mapped")</f>
        <v>8100</v>
      </c>
      <c r="AF200" t="str">
        <f>IFERROR(VLOOKUP(AA200,'Salary Map'!A:D,3,FALSE),"Salary Code Not Mapped")</f>
        <v>Default</v>
      </c>
      <c r="AG200" t="str">
        <f>IFERROR(VLOOKUP(AA200,'Salary Map'!A:D,4,FALSE),"Salary Code Not Mapped")</f>
        <v>General</v>
      </c>
      <c r="AH200" t="str">
        <f>IFERROR(VLOOKUP(Z200,'Country Map'!A:B,2,FALSE),"Legal Country Not Mapped")</f>
        <v>US</v>
      </c>
      <c r="AI200" t="str">
        <f>IFERROR(VLOOKUP(X200,'Language Map'!A:C,3,FALSE),IFERROR(VLOOKUP(T200,'Org Map'!A:F,6,FALSE),"ADP and BU Language Code Not Mapped"))&amp;AH200</f>
        <v>en_US</v>
      </c>
      <c r="AJ200" t="str">
        <f>IFERROR(VLOOKUP(T200,'Org Map'!A:G,7),"BU Currency Not Mapped")</f>
        <v>USD</v>
      </c>
      <c r="AK200" t="str">
        <f t="shared" si="29"/>
        <v/>
      </c>
      <c r="AL200" t="str">
        <f>IFERROR(VLOOKUP(O200,'Status Map'!A:B,2,FALSE),"Position Status Not Mapped")</f>
        <v>Y</v>
      </c>
      <c r="AM200" t="str">
        <f t="shared" si="23"/>
        <v/>
      </c>
      <c r="AO200" t="str">
        <f t="shared" si="30"/>
        <v>RachelLWilliams</v>
      </c>
      <c r="AP200" t="str">
        <f t="shared" si="31"/>
        <v>Kemenah</v>
      </c>
      <c r="AQ200" t="str">
        <f t="shared" si="32"/>
        <v>211766</v>
      </c>
      <c r="AR200" t="b">
        <f t="shared" si="33"/>
        <v>1</v>
      </c>
    </row>
    <row r="201" spans="1:44">
      <c r="A201" s="3" t="s">
        <v>4931</v>
      </c>
      <c r="B201" s="4" t="s">
        <v>4932</v>
      </c>
      <c r="C201" s="5" t="s">
        <v>4933</v>
      </c>
      <c r="D201" s="6" t="s">
        <v>4934</v>
      </c>
      <c r="E201" s="7" t="s">
        <v>4935</v>
      </c>
      <c r="F201" s="8" t="s">
        <v>4936</v>
      </c>
      <c r="G201" s="9" t="s">
        <v>4937</v>
      </c>
      <c r="H201" s="10" t="s">
        <v>4938</v>
      </c>
      <c r="I201" s="11" t="s">
        <v>4939</v>
      </c>
      <c r="J201" s="12" t="s">
        <v>4940</v>
      </c>
      <c r="K201" s="13" t="s">
        <v>4941</v>
      </c>
      <c r="L201" s="14">
        <v>44475</v>
      </c>
      <c r="M201" s="15"/>
      <c r="N201" s="16"/>
      <c r="O201" s="17" t="s">
        <v>4942</v>
      </c>
      <c r="P201" s="18" t="s">
        <v>4943</v>
      </c>
      <c r="Q201" s="19" t="s">
        <v>4944</v>
      </c>
      <c r="R201" s="20" t="s">
        <v>4945</v>
      </c>
      <c r="S201" s="21" t="s">
        <v>4946</v>
      </c>
      <c r="T201" s="22" t="s">
        <v>4947</v>
      </c>
      <c r="U201" s="23" t="s">
        <v>4948</v>
      </c>
      <c r="V201" s="24" t="s">
        <v>4949</v>
      </c>
      <c r="W201" s="25" t="s">
        <v>4950</v>
      </c>
      <c r="X201" s="26" t="s">
        <v>4951</v>
      </c>
      <c r="Y201" s="27" t="s">
        <v>4952</v>
      </c>
      <c r="Z201" s="28" t="s">
        <v>4953</v>
      </c>
      <c r="AA201" s="29" t="s">
        <v>4954</v>
      </c>
      <c r="AB201" s="30" t="s">
        <v>4955</v>
      </c>
      <c r="AC201" t="str">
        <f>IF(ISBLANK(H201),VLOOKUP(P201,'US Supervisor Map'!A:D,4,FALSE),MID(H201,4,6))</f>
        <v>212699</v>
      </c>
      <c r="AD201" t="str">
        <f>IFERROR(VLOOKUP(T201,'Org Map'!A:E,4),"BU Description Not Mapped")</f>
        <v>0088</v>
      </c>
      <c r="AE201">
        <f>IFERROR(VLOOKUP(V201,'Org Map'!C:E,3),"Home Department Code Not Mapped")</f>
        <v>9400</v>
      </c>
      <c r="AF201" t="str">
        <f>IFERROR(VLOOKUP(AA201,'Salary Map'!A:D,3,FALSE),"Salary Code Not Mapped")</f>
        <v>Default</v>
      </c>
      <c r="AG201" t="str">
        <f>IFERROR(VLOOKUP(AA201,'Salary Map'!A:D,4,FALSE),"Salary Code Not Mapped")</f>
        <v>General</v>
      </c>
      <c r="AH201" t="str">
        <f>IFERROR(VLOOKUP(Z201,'Country Map'!A:B,2,FALSE),"Legal Country Not Mapped")</f>
        <v>US</v>
      </c>
      <c r="AI201" t="str">
        <f>IFERROR(VLOOKUP(X201,'Language Map'!A:C,3,FALSE),IFERROR(VLOOKUP(T201,'Org Map'!A:F,6,FALSE),"ADP and BU Language Code Not Mapped"))&amp;AH201</f>
        <v>en_US</v>
      </c>
      <c r="AJ201" t="str">
        <f>IFERROR(VLOOKUP(T201,'Org Map'!A:G,7),"BU Currency Not Mapped")</f>
        <v>USD</v>
      </c>
      <c r="AK201" t="str">
        <f t="shared" si="29"/>
        <v/>
      </c>
      <c r="AL201" t="str">
        <f>IFERROR(VLOOKUP(O201,'Status Map'!A:B,2,FALSE),"Position Status Not Mapped")</f>
        <v>Y</v>
      </c>
      <c r="AM201" t="str">
        <f t="shared" si="23"/>
        <v/>
      </c>
      <c r="AO201" t="str">
        <f t="shared" si="30"/>
        <v>ShellyRWillis-Garza</v>
      </c>
      <c r="AP201" t="str">
        <f t="shared" si="31"/>
        <v>Creager</v>
      </c>
      <c r="AQ201" t="str">
        <f t="shared" si="32"/>
        <v>212699</v>
      </c>
      <c r="AR201" t="b">
        <f t="shared" si="33"/>
        <v>1</v>
      </c>
    </row>
    <row r="202" spans="1:44">
      <c r="A202" s="3" t="s">
        <v>4956</v>
      </c>
      <c r="B202" s="4" t="s">
        <v>4957</v>
      </c>
      <c r="C202" s="5" t="s">
        <v>4958</v>
      </c>
      <c r="D202" s="6" t="s">
        <v>4959</v>
      </c>
      <c r="E202" s="7" t="s">
        <v>4960</v>
      </c>
      <c r="F202" s="8" t="s">
        <v>4961</v>
      </c>
      <c r="G202" s="9" t="s">
        <v>4962</v>
      </c>
      <c r="H202" s="10" t="s">
        <v>4963</v>
      </c>
      <c r="I202" s="11" t="s">
        <v>4964</v>
      </c>
      <c r="J202" s="12" t="s">
        <v>4965</v>
      </c>
      <c r="K202" s="13" t="s">
        <v>4966</v>
      </c>
      <c r="L202" s="14">
        <v>44767</v>
      </c>
      <c r="M202" s="15"/>
      <c r="N202" s="16"/>
      <c r="O202" s="17" t="s">
        <v>4967</v>
      </c>
      <c r="P202" s="18" t="s">
        <v>4968</v>
      </c>
      <c r="Q202" s="19" t="s">
        <v>4969</v>
      </c>
      <c r="R202" s="20" t="s">
        <v>4970</v>
      </c>
      <c r="S202" s="21" t="s">
        <v>4971</v>
      </c>
      <c r="T202" s="22" t="s">
        <v>4972</v>
      </c>
      <c r="U202" s="23" t="s">
        <v>4973</v>
      </c>
      <c r="V202" s="24" t="s">
        <v>4974</v>
      </c>
      <c r="W202" s="25" t="s">
        <v>4975</v>
      </c>
      <c r="X202" s="26" t="s">
        <v>4976</v>
      </c>
      <c r="Y202" s="27" t="s">
        <v>4977</v>
      </c>
      <c r="Z202" s="28" t="s">
        <v>4978</v>
      </c>
      <c r="AA202" s="29" t="s">
        <v>4979</v>
      </c>
      <c r="AB202" s="30" t="s">
        <v>4980</v>
      </c>
      <c r="AC202" t="str">
        <f>IF(ISBLANK(H202),VLOOKUP(P202,'US Supervisor Map'!A:D,4,FALSE),MID(H202,4,6))</f>
        <v>210892</v>
      </c>
      <c r="AD202" t="str">
        <f>IFERROR(VLOOKUP(T202,'Org Map'!A:E,4),"BU Description Not Mapped")</f>
        <v>0088</v>
      </c>
      <c r="AE202">
        <f>IFERROR(VLOOKUP(V202,'Org Map'!C:E,3),"Home Department Code Not Mapped")</f>
        <v>9500</v>
      </c>
      <c r="AF202" t="str">
        <f>IFERROR(VLOOKUP(AA202,'Salary Map'!A:D,3,FALSE),"Salary Code Not Mapped")</f>
        <v>Default</v>
      </c>
      <c r="AG202" t="str">
        <f>IFERROR(VLOOKUP(AA202,'Salary Map'!A:D,4,FALSE),"Salary Code Not Mapped")</f>
        <v>General</v>
      </c>
      <c r="AH202" t="str">
        <f>IFERROR(VLOOKUP(Z202,'Country Map'!A:B,2,FALSE),"Legal Country Not Mapped")</f>
        <v>US</v>
      </c>
      <c r="AI202" t="str">
        <f>IFERROR(VLOOKUP(X202,'Language Map'!A:C,3,FALSE),IFERROR(VLOOKUP(T202,'Org Map'!A:F,6,FALSE),"ADP and BU Language Code Not Mapped"))&amp;AH202</f>
        <v>en_US</v>
      </c>
      <c r="AJ202" t="str">
        <f>IFERROR(VLOOKUP(T202,'Org Map'!A:G,7),"BU Currency Not Mapped")</f>
        <v>USD</v>
      </c>
      <c r="AK202" t="str">
        <f t="shared" si="29"/>
        <v/>
      </c>
      <c r="AL202" t="str">
        <f>IFERROR(VLOOKUP(O202,'Status Map'!A:B,2,FALSE),"Position Status Not Mapped")</f>
        <v>Y</v>
      </c>
      <c r="AM202" t="str">
        <f t="shared" ref="AM202:AM203" si="34">IF(AL202="N",TEXT(M202,"yyyymmdd"),"")</f>
        <v/>
      </c>
      <c r="AO202" t="str">
        <f t="shared" si="30"/>
        <v>DavidWilson</v>
      </c>
      <c r="AP202" t="str">
        <f t="shared" si="31"/>
        <v>Alexander</v>
      </c>
      <c r="AQ202" t="str">
        <f t="shared" si="32"/>
        <v>210892</v>
      </c>
      <c r="AR202" t="b">
        <f t="shared" si="33"/>
        <v>1</v>
      </c>
    </row>
    <row r="203" spans="1:44">
      <c r="A203" s="3" t="s">
        <v>4981</v>
      </c>
      <c r="B203" s="4" t="s">
        <v>4982</v>
      </c>
      <c r="C203" s="5" t="s">
        <v>4983</v>
      </c>
      <c r="D203" s="6" t="s">
        <v>4984</v>
      </c>
      <c r="E203" s="7" t="s">
        <v>4985</v>
      </c>
      <c r="F203" s="8" t="s">
        <v>4986</v>
      </c>
      <c r="G203" s="9" t="s">
        <v>4987</v>
      </c>
      <c r="H203" s="10" t="s">
        <v>4988</v>
      </c>
      <c r="I203" s="11" t="s">
        <v>4989</v>
      </c>
      <c r="J203" s="12" t="s">
        <v>4990</v>
      </c>
      <c r="K203" s="13" t="s">
        <v>4991</v>
      </c>
      <c r="L203" s="14">
        <v>45817</v>
      </c>
      <c r="M203" s="15"/>
      <c r="N203" s="16"/>
      <c r="O203" s="17" t="s">
        <v>4992</v>
      </c>
      <c r="P203" s="18" t="s">
        <v>4993</v>
      </c>
      <c r="Q203" s="19" t="s">
        <v>4994</v>
      </c>
      <c r="R203" s="20" t="s">
        <v>4995</v>
      </c>
      <c r="S203" s="21" t="s">
        <v>4996</v>
      </c>
      <c r="T203" s="22" t="s">
        <v>4997</v>
      </c>
      <c r="U203" s="23" t="s">
        <v>4998</v>
      </c>
      <c r="V203" s="24" t="s">
        <v>4999</v>
      </c>
      <c r="W203" s="25" t="s">
        <v>5000</v>
      </c>
      <c r="X203" s="26" t="s">
        <v>5001</v>
      </c>
      <c r="Y203" s="27" t="s">
        <v>5002</v>
      </c>
      <c r="Z203" s="28" t="s">
        <v>5003</v>
      </c>
      <c r="AA203" s="29" t="s">
        <v>5004</v>
      </c>
      <c r="AB203" s="30" t="s">
        <v>5005</v>
      </c>
      <c r="AC203" t="str">
        <f>IF(ISBLANK(H203),VLOOKUP(P203,'US Supervisor Map'!A:D,4,FALSE),MID(H203,4,6))</f>
        <v>006780</v>
      </c>
      <c r="AD203" t="str">
        <f>IFERROR(VLOOKUP(T203,'Org Map'!A:E,4),"BU Description Not Mapped")</f>
        <v>0096</v>
      </c>
      <c r="AE203">
        <f>IFERROR(VLOOKUP(V203,'Org Map'!C:E,3),"Home Department Code Not Mapped")</f>
        <v>450</v>
      </c>
      <c r="AF203" t="str">
        <f>IFERROR(VLOOKUP(AA203,'Salary Map'!A:D,3,FALSE),"Salary Code Not Mapped")</f>
        <v>Default</v>
      </c>
      <c r="AG203" t="str">
        <f>IFERROR(VLOOKUP(AA203,'Salary Map'!A:D,4,FALSE),"Salary Code Not Mapped")</f>
        <v>General</v>
      </c>
      <c r="AH203" t="str">
        <f>IFERROR(VLOOKUP(Z203,'Country Map'!A:B,2,FALSE),"Legal Country Not Mapped")</f>
        <v>US</v>
      </c>
      <c r="AI203" t="str">
        <f>IFERROR(VLOOKUP(X203,'Language Map'!A:C,3,FALSE),IFERROR(VLOOKUP(T203,'Org Map'!A:F,6,FALSE),"ADP and BU Language Code Not Mapped"))&amp;AH203</f>
        <v>en_US</v>
      </c>
      <c r="AJ203" t="str">
        <f>IFERROR(VLOOKUP(T203,'Org Map'!A:G,7),"BU Currency Not Mapped")</f>
        <v>USD</v>
      </c>
      <c r="AK203" t="str">
        <f t="shared" si="29"/>
        <v>Max Wright</v>
      </c>
      <c r="AL203" t="str">
        <f>IFERROR(VLOOKUP(O203,'Status Map'!A:B,2,FALSE),"Position Status Not Mapped")</f>
        <v>Y</v>
      </c>
      <c r="AM203" t="str">
        <f t="shared" si="34"/>
        <v/>
      </c>
      <c r="AO203" t="str">
        <f>B203&amp;C203&amp;D203</f>
        <v>RichardMWright</v>
      </c>
      <c r="AP203" t="str">
        <f>LEFT(G203,FIND(",",G203)-1)</f>
        <v>Gang</v>
      </c>
      <c r="AQ203" t="str">
        <f>IFERROR(VLOOKUP(AP203,D:P,13,FALSE),"No Reports to Name")</f>
        <v>006780</v>
      </c>
      <c r="AR203" t="b">
        <f>AQ203=MID(H203,4,6)</f>
        <v>1</v>
      </c>
    </row>
  </sheetData>
  <autoFilter ref="A4:AR203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6750-DF94-8A4F-963D-2CF7FE97D8C8}">
  <dimension ref="A1:B5"/>
  <sheetViews>
    <sheetView workbookViewId="0">
      <selection activeCell="B6" sqref="B6"/>
    </sheetView>
  </sheetViews>
  <sheetFormatPr baseColWidth="10" defaultRowHeight="15"/>
  <cols>
    <col min="1" max="1" width="17.6640625" customWidth="1"/>
  </cols>
  <sheetData>
    <row r="1" spans="1:2">
      <c r="A1" s="71" t="s">
        <v>20</v>
      </c>
      <c r="B1" s="39" t="s">
        <v>5393</v>
      </c>
    </row>
    <row r="2" spans="1:2">
      <c r="A2" s="73" t="s">
        <v>43</v>
      </c>
      <c r="B2" s="39" t="s">
        <v>5381</v>
      </c>
    </row>
    <row r="3" spans="1:2">
      <c r="A3" s="72" t="s">
        <v>143</v>
      </c>
      <c r="B3" s="39" t="s">
        <v>5153</v>
      </c>
    </row>
    <row r="4" spans="1:2">
      <c r="A4" s="17" t="s">
        <v>1468</v>
      </c>
      <c r="B4" s="39" t="s">
        <v>5153</v>
      </c>
    </row>
    <row r="5" spans="1:2">
      <c r="A5" s="17" t="s">
        <v>2193</v>
      </c>
      <c r="B5" s="39" t="s">
        <v>5381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25B4-22F8-5D4C-9B84-662AAC086664}">
  <dimension ref="A1:H11"/>
  <sheetViews>
    <sheetView workbookViewId="0">
      <selection activeCell="F14" sqref="F14"/>
    </sheetView>
  </sheetViews>
  <sheetFormatPr baseColWidth="10" defaultRowHeight="15"/>
  <sheetData>
    <row r="1" spans="1:8" ht="16">
      <c r="A1" s="38" t="s">
        <v>31</v>
      </c>
      <c r="B1" s="39" t="s">
        <v>5365</v>
      </c>
      <c r="C1" s="39" t="s">
        <v>5881</v>
      </c>
      <c r="E1" s="83" t="s">
        <v>5882</v>
      </c>
      <c r="F1" s="83" t="s">
        <v>5883</v>
      </c>
      <c r="G1" s="83" t="s">
        <v>5884</v>
      </c>
      <c r="H1" s="83" t="s">
        <v>5881</v>
      </c>
    </row>
    <row r="2" spans="1:8" ht="16">
      <c r="A2" s="28" t="s">
        <v>54</v>
      </c>
      <c r="B2" s="39" t="s">
        <v>5366</v>
      </c>
      <c r="E2" s="84" t="s">
        <v>5864</v>
      </c>
      <c r="F2" s="84" t="s">
        <v>5885</v>
      </c>
      <c r="G2" s="83" t="s">
        <v>5886</v>
      </c>
      <c r="H2" s="84" t="s">
        <v>5887</v>
      </c>
    </row>
    <row r="3" spans="1:8" ht="16">
      <c r="E3" s="84" t="s">
        <v>5865</v>
      </c>
      <c r="F3" s="84" t="s">
        <v>5888</v>
      </c>
      <c r="G3" s="83" t="s">
        <v>5889</v>
      </c>
      <c r="H3" s="84" t="s">
        <v>5890</v>
      </c>
    </row>
    <row r="4" spans="1:8" ht="16">
      <c r="E4" s="84" t="s">
        <v>5366</v>
      </c>
      <c r="F4" s="84" t="s">
        <v>5891</v>
      </c>
      <c r="G4" s="83" t="s">
        <v>5383</v>
      </c>
      <c r="H4" s="84" t="s">
        <v>5892</v>
      </c>
    </row>
    <row r="5" spans="1:8" ht="16">
      <c r="E5" s="84" t="s">
        <v>5866</v>
      </c>
      <c r="F5" s="84" t="s">
        <v>5893</v>
      </c>
      <c r="G5" s="83" t="s">
        <v>5894</v>
      </c>
      <c r="H5" s="84" t="s">
        <v>5895</v>
      </c>
    </row>
    <row r="6" spans="1:8" ht="16">
      <c r="E6" s="84" t="s">
        <v>5867</v>
      </c>
      <c r="F6" s="84" t="s">
        <v>5896</v>
      </c>
      <c r="G6" s="83" t="s">
        <v>5897</v>
      </c>
      <c r="H6" s="84" t="s">
        <v>5898</v>
      </c>
    </row>
    <row r="7" spans="1:8" ht="16">
      <c r="E7" s="84" t="s">
        <v>5868</v>
      </c>
      <c r="F7" s="84" t="s">
        <v>5899</v>
      </c>
      <c r="G7" s="83" t="s">
        <v>5900</v>
      </c>
      <c r="H7" s="84" t="s">
        <v>5901</v>
      </c>
    </row>
    <row r="8" spans="1:8" ht="16">
      <c r="E8" s="84" t="s">
        <v>5869</v>
      </c>
      <c r="F8" s="84" t="s">
        <v>5902</v>
      </c>
      <c r="G8" s="83" t="s">
        <v>5903</v>
      </c>
      <c r="H8" s="84" t="s">
        <v>5904</v>
      </c>
    </row>
    <row r="9" spans="1:8" ht="16">
      <c r="E9" s="84" t="s">
        <v>5939</v>
      </c>
      <c r="F9" s="84" t="s">
        <v>5946</v>
      </c>
      <c r="G9" s="83" t="s">
        <v>5947</v>
      </c>
      <c r="H9" s="84" t="s">
        <v>5948</v>
      </c>
    </row>
    <row r="10" spans="1:8" ht="16">
      <c r="E10" s="84" t="s">
        <v>5942</v>
      </c>
      <c r="F10" s="84" t="s">
        <v>5943</v>
      </c>
      <c r="G10" s="83" t="s">
        <v>5944</v>
      </c>
      <c r="H10" s="84" t="s">
        <v>5945</v>
      </c>
    </row>
    <row r="11" spans="1:8" ht="16">
      <c r="E11" s="84" t="s">
        <v>5949</v>
      </c>
      <c r="F11" s="84" t="s">
        <v>5950</v>
      </c>
      <c r="G11" s="83" t="s">
        <v>5944</v>
      </c>
      <c r="H11" s="84" t="s">
        <v>5945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D519-B1C3-634F-8F63-DBC5611D4A8B}">
  <dimension ref="A1:H36"/>
  <sheetViews>
    <sheetView workbookViewId="0">
      <selection activeCell="H23" sqref="H23"/>
    </sheetView>
  </sheetViews>
  <sheetFormatPr baseColWidth="10" defaultRowHeight="15"/>
  <cols>
    <col min="1" max="1" width="21.1640625" bestFit="1" customWidth="1"/>
    <col min="2" max="2" width="24.6640625" bestFit="1" customWidth="1"/>
  </cols>
  <sheetData>
    <row r="1" spans="1:7" ht="43">
      <c r="A1" s="46" t="s">
        <v>25</v>
      </c>
      <c r="B1" s="47" t="s">
        <v>26</v>
      </c>
      <c r="C1" s="47" t="s">
        <v>27</v>
      </c>
      <c r="D1" s="47" t="s">
        <v>5022</v>
      </c>
      <c r="E1" s="48" t="s">
        <v>5023</v>
      </c>
      <c r="F1" s="64" t="s">
        <v>5379</v>
      </c>
      <c r="G1" s="64" t="s">
        <v>5382</v>
      </c>
    </row>
    <row r="2" spans="1:7">
      <c r="A2" s="41" t="s">
        <v>298</v>
      </c>
      <c r="B2" s="42" t="s">
        <v>1074</v>
      </c>
      <c r="C2" s="43" t="s">
        <v>1075</v>
      </c>
      <c r="D2" s="43" t="s">
        <v>5017</v>
      </c>
      <c r="E2" s="44">
        <v>100</v>
      </c>
      <c r="F2" s="65" t="s">
        <v>5306</v>
      </c>
      <c r="G2" s="65" t="s">
        <v>5383</v>
      </c>
    </row>
    <row r="3" spans="1:7">
      <c r="A3" s="41" t="s">
        <v>298</v>
      </c>
      <c r="B3" s="42" t="s">
        <v>474</v>
      </c>
      <c r="C3" s="43" t="s">
        <v>475</v>
      </c>
      <c r="D3" s="43" t="s">
        <v>5017</v>
      </c>
      <c r="E3" s="44">
        <v>200</v>
      </c>
      <c r="F3" s="65" t="s">
        <v>5306</v>
      </c>
      <c r="G3" s="65" t="s">
        <v>5383</v>
      </c>
    </row>
    <row r="4" spans="1:7">
      <c r="A4" s="41" t="s">
        <v>298</v>
      </c>
      <c r="B4" s="42" t="s">
        <v>2674</v>
      </c>
      <c r="C4" s="43" t="s">
        <v>2675</v>
      </c>
      <c r="D4" s="43" t="s">
        <v>5017</v>
      </c>
      <c r="E4" s="44">
        <v>350</v>
      </c>
      <c r="F4" s="65" t="s">
        <v>5306</v>
      </c>
      <c r="G4" s="65" t="s">
        <v>5383</v>
      </c>
    </row>
    <row r="5" spans="1:7">
      <c r="A5" s="41" t="s">
        <v>298</v>
      </c>
      <c r="B5" s="42" t="s">
        <v>699</v>
      </c>
      <c r="C5" s="43" t="s">
        <v>700</v>
      </c>
      <c r="D5" s="43" t="s">
        <v>5017</v>
      </c>
      <c r="E5" s="44">
        <v>400</v>
      </c>
      <c r="F5" s="65" t="s">
        <v>5306</v>
      </c>
      <c r="G5" s="65" t="s">
        <v>5383</v>
      </c>
    </row>
    <row r="6" spans="1:7">
      <c r="A6" s="41" t="s">
        <v>298</v>
      </c>
      <c r="B6" s="42" t="s">
        <v>1474</v>
      </c>
      <c r="C6" s="43" t="s">
        <v>1475</v>
      </c>
      <c r="D6" s="43" t="s">
        <v>5017</v>
      </c>
      <c r="E6" s="44">
        <v>450</v>
      </c>
      <c r="F6" s="65" t="s">
        <v>5306</v>
      </c>
      <c r="G6" s="65" t="s">
        <v>5383</v>
      </c>
    </row>
    <row r="7" spans="1:7">
      <c r="A7" s="41" t="s">
        <v>298</v>
      </c>
      <c r="B7" s="42" t="s">
        <v>799</v>
      </c>
      <c r="C7" s="43" t="s">
        <v>800</v>
      </c>
      <c r="D7" s="43" t="s">
        <v>5017</v>
      </c>
      <c r="E7" s="44">
        <v>500</v>
      </c>
      <c r="F7" s="65" t="s">
        <v>5306</v>
      </c>
      <c r="G7" s="65" t="s">
        <v>5383</v>
      </c>
    </row>
    <row r="8" spans="1:7">
      <c r="A8" s="41" t="s">
        <v>298</v>
      </c>
      <c r="B8" s="42" t="s">
        <v>4023</v>
      </c>
      <c r="C8" s="43" t="s">
        <v>4024</v>
      </c>
      <c r="D8" s="43" t="s">
        <v>5017</v>
      </c>
      <c r="E8" s="44">
        <v>515</v>
      </c>
      <c r="F8" s="65" t="s">
        <v>5306</v>
      </c>
      <c r="G8" s="65" t="s">
        <v>5383</v>
      </c>
    </row>
    <row r="9" spans="1:7">
      <c r="A9" s="41" t="s">
        <v>298</v>
      </c>
      <c r="B9" s="42" t="s">
        <v>1349</v>
      </c>
      <c r="C9" s="43" t="s">
        <v>1350</v>
      </c>
      <c r="D9" s="43" t="s">
        <v>5017</v>
      </c>
      <c r="E9" s="44">
        <v>555</v>
      </c>
      <c r="F9" s="65" t="s">
        <v>5306</v>
      </c>
      <c r="G9" s="65" t="s">
        <v>5383</v>
      </c>
    </row>
    <row r="10" spans="1:7">
      <c r="A10" s="41" t="s">
        <v>298</v>
      </c>
      <c r="B10" s="42" t="s">
        <v>4748</v>
      </c>
      <c r="C10" s="43" t="s">
        <v>4749</v>
      </c>
      <c r="D10" s="43" t="s">
        <v>5017</v>
      </c>
      <c r="E10" s="44">
        <v>713</v>
      </c>
      <c r="F10" s="65" t="s">
        <v>5306</v>
      </c>
      <c r="G10" s="65" t="s">
        <v>5383</v>
      </c>
    </row>
    <row r="11" spans="1:7">
      <c r="A11" s="41" t="s">
        <v>298</v>
      </c>
      <c r="B11" s="42" t="s">
        <v>599</v>
      </c>
      <c r="C11" s="43" t="s">
        <v>600</v>
      </c>
      <c r="D11" s="43" t="s">
        <v>5017</v>
      </c>
      <c r="E11" s="44">
        <v>718</v>
      </c>
      <c r="F11" s="65" t="s">
        <v>5306</v>
      </c>
      <c r="G11" s="65" t="s">
        <v>5383</v>
      </c>
    </row>
    <row r="12" spans="1:7">
      <c r="A12" s="41" t="s">
        <v>298</v>
      </c>
      <c r="B12" s="42" t="s">
        <v>1924</v>
      </c>
      <c r="C12" s="43" t="s">
        <v>1925</v>
      </c>
      <c r="D12" s="43" t="s">
        <v>5017</v>
      </c>
      <c r="E12" s="44">
        <v>801</v>
      </c>
      <c r="F12" s="65" t="s">
        <v>5306</v>
      </c>
      <c r="G12" s="65" t="s">
        <v>5383</v>
      </c>
    </row>
    <row r="13" spans="1:7">
      <c r="A13" s="41" t="s">
        <v>298</v>
      </c>
      <c r="B13" s="42" t="s">
        <v>74</v>
      </c>
      <c r="C13" s="43" t="s">
        <v>300</v>
      </c>
      <c r="D13" s="43" t="s">
        <v>5017</v>
      </c>
      <c r="E13" s="44">
        <v>820</v>
      </c>
      <c r="F13" s="65" t="s">
        <v>5306</v>
      </c>
      <c r="G13" s="65" t="s">
        <v>5383</v>
      </c>
    </row>
    <row r="14" spans="1:7">
      <c r="A14" s="41" t="s">
        <v>298</v>
      </c>
      <c r="B14" s="42" t="s">
        <v>724</v>
      </c>
      <c r="C14" s="43" t="s">
        <v>725</v>
      </c>
      <c r="D14" s="43" t="s">
        <v>5017</v>
      </c>
      <c r="E14" s="44">
        <v>850</v>
      </c>
      <c r="F14" s="65" t="s">
        <v>5306</v>
      </c>
      <c r="G14" s="65" t="s">
        <v>5383</v>
      </c>
    </row>
    <row r="15" spans="1:7">
      <c r="A15" s="41" t="s">
        <v>298</v>
      </c>
      <c r="B15" s="42" t="s">
        <v>2874</v>
      </c>
      <c r="C15" s="43" t="s">
        <v>2875</v>
      </c>
      <c r="D15" s="43" t="s">
        <v>5017</v>
      </c>
      <c r="E15" s="44">
        <v>900</v>
      </c>
      <c r="F15" s="65" t="s">
        <v>5306</v>
      </c>
      <c r="G15" s="65" t="s">
        <v>5383</v>
      </c>
    </row>
    <row r="16" spans="1:7">
      <c r="A16" s="41" t="s">
        <v>298</v>
      </c>
      <c r="B16" s="42" t="s">
        <v>2749</v>
      </c>
      <c r="C16" s="43" t="s">
        <v>2750</v>
      </c>
      <c r="D16" s="43" t="s">
        <v>5017</v>
      </c>
      <c r="E16" s="44">
        <v>910</v>
      </c>
      <c r="F16" s="65" t="s">
        <v>5306</v>
      </c>
      <c r="G16" s="65" t="s">
        <v>5383</v>
      </c>
    </row>
    <row r="17" spans="1:8">
      <c r="A17" s="41" t="s">
        <v>298</v>
      </c>
      <c r="B17" s="42" t="s">
        <v>324</v>
      </c>
      <c r="C17" s="43" t="s">
        <v>325</v>
      </c>
      <c r="D17" s="43" t="s">
        <v>5017</v>
      </c>
      <c r="E17" s="44">
        <v>917</v>
      </c>
      <c r="F17" s="65" t="s">
        <v>5306</v>
      </c>
      <c r="G17" s="65" t="s">
        <v>5383</v>
      </c>
    </row>
    <row r="18" spans="1:8">
      <c r="A18" s="41" t="s">
        <v>298</v>
      </c>
      <c r="B18" s="42" t="s">
        <v>3199</v>
      </c>
      <c r="C18" s="43" t="s">
        <v>3200</v>
      </c>
      <c r="D18" s="43" t="s">
        <v>5017</v>
      </c>
      <c r="E18" s="44">
        <v>920</v>
      </c>
      <c r="F18" s="65" t="s">
        <v>5306</v>
      </c>
      <c r="G18" s="65" t="s">
        <v>5383</v>
      </c>
    </row>
    <row r="19" spans="1:8">
      <c r="A19" s="41" t="s">
        <v>48</v>
      </c>
      <c r="B19" s="42" t="s">
        <v>174</v>
      </c>
      <c r="C19" s="43" t="s">
        <v>175</v>
      </c>
      <c r="D19" s="43" t="s">
        <v>5018</v>
      </c>
      <c r="E19" s="44">
        <v>9500</v>
      </c>
      <c r="F19" s="65" t="s">
        <v>5306</v>
      </c>
      <c r="G19" s="65" t="s">
        <v>5383</v>
      </c>
    </row>
    <row r="20" spans="1:8">
      <c r="A20" s="41" t="s">
        <v>48</v>
      </c>
      <c r="B20" s="42" t="s">
        <v>3549</v>
      </c>
      <c r="C20" s="43" t="s">
        <v>3550</v>
      </c>
      <c r="D20" s="43" t="s">
        <v>5018</v>
      </c>
      <c r="E20" s="45" t="s">
        <v>5019</v>
      </c>
      <c r="F20" s="65" t="s">
        <v>5306</v>
      </c>
      <c r="G20" s="65" t="s">
        <v>5383</v>
      </c>
      <c r="H20" s="39" t="s">
        <v>5962</v>
      </c>
    </row>
    <row r="21" spans="1:8">
      <c r="A21" s="41" t="s">
        <v>48</v>
      </c>
      <c r="B21" s="42" t="s">
        <v>1399</v>
      </c>
      <c r="C21" s="43" t="s">
        <v>1400</v>
      </c>
      <c r="D21" s="43" t="s">
        <v>5018</v>
      </c>
      <c r="E21" s="45" t="s">
        <v>5020</v>
      </c>
      <c r="F21" s="65" t="s">
        <v>5306</v>
      </c>
      <c r="G21" s="65" t="s">
        <v>5383</v>
      </c>
      <c r="H21" s="39" t="s">
        <v>5963</v>
      </c>
    </row>
    <row r="22" spans="1:8">
      <c r="A22" s="41" t="s">
        <v>48</v>
      </c>
      <c r="B22" s="42" t="s">
        <v>249</v>
      </c>
      <c r="C22" s="43" t="s">
        <v>250</v>
      </c>
      <c r="D22" s="43" t="s">
        <v>5018</v>
      </c>
      <c r="E22" s="45" t="s">
        <v>5021</v>
      </c>
      <c r="F22" s="65" t="s">
        <v>5306</v>
      </c>
      <c r="G22" s="65" t="s">
        <v>5383</v>
      </c>
      <c r="H22" s="39" t="s">
        <v>5964</v>
      </c>
    </row>
    <row r="23" spans="1:8">
      <c r="A23" s="41" t="s">
        <v>48</v>
      </c>
      <c r="B23" s="42" t="s">
        <v>49</v>
      </c>
      <c r="C23" s="43" t="s">
        <v>50</v>
      </c>
      <c r="D23" s="43" t="s">
        <v>5018</v>
      </c>
      <c r="E23" s="44">
        <v>5100</v>
      </c>
      <c r="F23" s="65" t="s">
        <v>5306</v>
      </c>
      <c r="G23" s="65" t="s">
        <v>5383</v>
      </c>
    </row>
    <row r="24" spans="1:8">
      <c r="A24" s="41" t="s">
        <v>48</v>
      </c>
      <c r="B24" s="42" t="s">
        <v>199</v>
      </c>
      <c r="C24" s="43" t="s">
        <v>200</v>
      </c>
      <c r="D24" s="43" t="s">
        <v>5018</v>
      </c>
      <c r="E24" s="44">
        <v>5200</v>
      </c>
      <c r="F24" s="65" t="s">
        <v>5306</v>
      </c>
      <c r="G24" s="65" t="s">
        <v>5383</v>
      </c>
    </row>
    <row r="25" spans="1:8">
      <c r="A25" s="41" t="s">
        <v>48</v>
      </c>
      <c r="B25" s="42" t="s">
        <v>149</v>
      </c>
      <c r="C25" s="43" t="s">
        <v>150</v>
      </c>
      <c r="D25" s="43" t="s">
        <v>5018</v>
      </c>
      <c r="E25" s="44">
        <v>5300</v>
      </c>
      <c r="F25" s="65" t="s">
        <v>5306</v>
      </c>
      <c r="G25" s="65" t="s">
        <v>5383</v>
      </c>
    </row>
    <row r="26" spans="1:8">
      <c r="A26" s="41" t="s">
        <v>48</v>
      </c>
      <c r="B26" s="42" t="s">
        <v>724</v>
      </c>
      <c r="C26" s="43" t="s">
        <v>950</v>
      </c>
      <c r="D26" s="43" t="s">
        <v>5018</v>
      </c>
      <c r="E26" s="44">
        <v>8100</v>
      </c>
      <c r="F26" s="65" t="s">
        <v>5306</v>
      </c>
      <c r="G26" s="65" t="s">
        <v>5383</v>
      </c>
    </row>
    <row r="27" spans="1:8">
      <c r="A27" s="41" t="s">
        <v>48</v>
      </c>
      <c r="B27" s="42" t="s">
        <v>74</v>
      </c>
      <c r="C27" s="43" t="s">
        <v>75</v>
      </c>
      <c r="D27" s="43" t="s">
        <v>5018</v>
      </c>
      <c r="E27" s="44">
        <v>8200</v>
      </c>
      <c r="F27" s="65" t="s">
        <v>5306</v>
      </c>
      <c r="G27" s="65" t="s">
        <v>5383</v>
      </c>
    </row>
    <row r="28" spans="1:8">
      <c r="A28" s="41" t="s">
        <v>48</v>
      </c>
      <c r="B28" s="42" t="s">
        <v>99</v>
      </c>
      <c r="C28" s="43" t="s">
        <v>100</v>
      </c>
      <c r="D28" s="43" t="s">
        <v>5018</v>
      </c>
      <c r="E28" s="44">
        <v>8300</v>
      </c>
      <c r="F28" s="65" t="s">
        <v>5306</v>
      </c>
      <c r="G28" s="65" t="s">
        <v>5383</v>
      </c>
    </row>
    <row r="29" spans="1:8">
      <c r="A29" s="41" t="s">
        <v>48</v>
      </c>
      <c r="B29" s="42" t="s">
        <v>224</v>
      </c>
      <c r="C29" s="43" t="s">
        <v>225</v>
      </c>
      <c r="D29" s="43" t="s">
        <v>5018</v>
      </c>
      <c r="E29" s="44">
        <v>9100</v>
      </c>
      <c r="F29" s="65" t="s">
        <v>5306</v>
      </c>
      <c r="G29" s="65" t="s">
        <v>5383</v>
      </c>
    </row>
    <row r="30" spans="1:8">
      <c r="A30" s="41" t="s">
        <v>48</v>
      </c>
      <c r="B30" s="42" t="s">
        <v>1224</v>
      </c>
      <c r="C30" s="43" t="s">
        <v>1225</v>
      </c>
      <c r="D30" s="43" t="s">
        <v>5018</v>
      </c>
      <c r="E30" s="44">
        <v>9150</v>
      </c>
      <c r="F30" s="65" t="s">
        <v>5306</v>
      </c>
      <c r="G30" s="65" t="s">
        <v>5383</v>
      </c>
    </row>
    <row r="31" spans="1:8">
      <c r="A31" s="41" t="s">
        <v>48</v>
      </c>
      <c r="B31" s="42" t="s">
        <v>1849</v>
      </c>
      <c r="C31" s="43" t="s">
        <v>1850</v>
      </c>
      <c r="D31" s="43" t="s">
        <v>5018</v>
      </c>
      <c r="E31" s="44">
        <v>9200</v>
      </c>
      <c r="F31" s="65" t="s">
        <v>5306</v>
      </c>
      <c r="G31" s="65" t="s">
        <v>5383</v>
      </c>
    </row>
    <row r="32" spans="1:8">
      <c r="A32" s="41" t="s">
        <v>48</v>
      </c>
      <c r="B32" s="42" t="s">
        <v>4698</v>
      </c>
      <c r="C32" s="43" t="s">
        <v>4699</v>
      </c>
      <c r="D32" s="43" t="s">
        <v>5018</v>
      </c>
      <c r="E32" s="44">
        <v>9210</v>
      </c>
      <c r="F32" s="65" t="s">
        <v>5306</v>
      </c>
      <c r="G32" s="65" t="s">
        <v>5383</v>
      </c>
    </row>
    <row r="33" spans="1:7">
      <c r="A33" s="41" t="s">
        <v>48</v>
      </c>
      <c r="B33" s="42" t="s">
        <v>274</v>
      </c>
      <c r="C33" s="43" t="s">
        <v>275</v>
      </c>
      <c r="D33" s="43" t="s">
        <v>5018</v>
      </c>
      <c r="E33" s="44">
        <v>9310</v>
      </c>
      <c r="F33" s="65" t="s">
        <v>5306</v>
      </c>
      <c r="G33" s="65" t="s">
        <v>5383</v>
      </c>
    </row>
    <row r="34" spans="1:7">
      <c r="A34" s="41" t="s">
        <v>48</v>
      </c>
      <c r="B34" s="42" t="s">
        <v>874</v>
      </c>
      <c r="C34" s="43" t="s">
        <v>875</v>
      </c>
      <c r="D34" s="43" t="s">
        <v>5018</v>
      </c>
      <c r="E34" s="44">
        <v>9400</v>
      </c>
      <c r="F34" s="65" t="s">
        <v>5306</v>
      </c>
      <c r="G34" s="65" t="s">
        <v>5383</v>
      </c>
    </row>
    <row r="35" spans="1:7">
      <c r="A35" s="41" t="s">
        <v>48</v>
      </c>
      <c r="B35" s="42" t="s">
        <v>774</v>
      </c>
      <c r="C35" s="43" t="s">
        <v>775</v>
      </c>
      <c r="D35" s="43" t="s">
        <v>5018</v>
      </c>
      <c r="E35" s="44">
        <v>9450</v>
      </c>
      <c r="F35" s="65" t="s">
        <v>5306</v>
      </c>
      <c r="G35" s="65" t="s">
        <v>5383</v>
      </c>
    </row>
    <row r="36" spans="1:7">
      <c r="A36" s="41" t="s">
        <v>48</v>
      </c>
      <c r="B36" s="42" t="s">
        <v>174</v>
      </c>
      <c r="C36" s="43" t="s">
        <v>175</v>
      </c>
      <c r="D36" s="43" t="s">
        <v>5018</v>
      </c>
      <c r="E36" s="44">
        <v>9500</v>
      </c>
      <c r="F36" s="65" t="s">
        <v>5306</v>
      </c>
      <c r="G36" s="65" t="s">
        <v>5383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2D19-C95B-C14E-995B-47D985424F4B}">
  <dimension ref="A1:S75"/>
  <sheetViews>
    <sheetView workbookViewId="0">
      <selection activeCell="N2" sqref="N2"/>
    </sheetView>
  </sheetViews>
  <sheetFormatPr baseColWidth="10" defaultRowHeight="15"/>
  <cols>
    <col min="14" max="14" width="38.6640625" bestFit="1" customWidth="1"/>
  </cols>
  <sheetData>
    <row r="1" spans="1:19">
      <c r="A1" s="60" t="s">
        <v>5167</v>
      </c>
      <c r="B1" s="60" t="s">
        <v>30</v>
      </c>
      <c r="C1" s="60" t="s">
        <v>5168</v>
      </c>
    </row>
    <row r="2" spans="1:19" ht="20">
      <c r="A2" s="26" t="s">
        <v>777</v>
      </c>
      <c r="B2" s="27" t="s">
        <v>778</v>
      </c>
      <c r="C2" s="39" t="s">
        <v>5306</v>
      </c>
      <c r="M2" t="str">
        <f>RIGHT(O2,2)</f>
        <v>AU</v>
      </c>
      <c r="N2" s="61" t="s">
        <v>5173</v>
      </c>
      <c r="O2" s="61" t="s">
        <v>5174</v>
      </c>
      <c r="R2" t="str">
        <f>LEFT(N2,FIND(" ",N2)-1)</f>
        <v>English</v>
      </c>
      <c r="S2" t="str">
        <f>LEFT(O2,3)</f>
        <v>en_</v>
      </c>
    </row>
    <row r="3" spans="1:19" ht="20">
      <c r="A3" s="26" t="s">
        <v>4301</v>
      </c>
      <c r="B3" s="27" t="s">
        <v>4302</v>
      </c>
      <c r="C3" s="39" t="s">
        <v>5306</v>
      </c>
      <c r="M3" t="str">
        <f t="shared" ref="M3:M66" si="0">RIGHT(O3,2)</f>
        <v>CA</v>
      </c>
      <c r="N3" s="61" t="s">
        <v>5175</v>
      </c>
      <c r="O3" s="61" t="s">
        <v>5176</v>
      </c>
      <c r="R3" t="str">
        <f t="shared" ref="R3:R65" si="1">LEFT(N3,FIND(" ",N3)-1)</f>
        <v>English</v>
      </c>
      <c r="S3" t="str">
        <f t="shared" ref="S3:S65" si="2">LEFT(O3,3)</f>
        <v>en_</v>
      </c>
    </row>
    <row r="4" spans="1:19" ht="20">
      <c r="A4" t="s">
        <v>777</v>
      </c>
      <c r="C4" t="s">
        <v>5306</v>
      </c>
      <c r="M4" t="str">
        <f t="shared" si="0"/>
        <v>IE</v>
      </c>
      <c r="N4" s="61" t="s">
        <v>5179</v>
      </c>
      <c r="O4" s="61" t="s">
        <v>5180</v>
      </c>
      <c r="R4" t="str">
        <f t="shared" si="1"/>
        <v>English</v>
      </c>
      <c r="S4" t="str">
        <f t="shared" si="2"/>
        <v>en_</v>
      </c>
    </row>
    <row r="5" spans="1:19" ht="20">
      <c r="A5" t="s">
        <v>5308</v>
      </c>
      <c r="C5" t="s">
        <v>5309</v>
      </c>
      <c r="M5" t="str">
        <f t="shared" si="0"/>
        <v>IN</v>
      </c>
      <c r="N5" s="61" t="s">
        <v>5181</v>
      </c>
      <c r="O5" s="61" t="s">
        <v>5182</v>
      </c>
      <c r="R5" t="str">
        <f t="shared" si="1"/>
        <v>English</v>
      </c>
      <c r="S5" t="str">
        <f t="shared" si="2"/>
        <v>en_</v>
      </c>
    </row>
    <row r="6" spans="1:19" ht="20">
      <c r="A6" t="s">
        <v>5307</v>
      </c>
      <c r="C6" t="s">
        <v>5310</v>
      </c>
      <c r="M6" t="str">
        <f t="shared" si="0"/>
        <v>NZ</v>
      </c>
      <c r="N6" s="61" t="s">
        <v>5183</v>
      </c>
      <c r="O6" s="61" t="s">
        <v>5184</v>
      </c>
      <c r="R6" t="str">
        <f t="shared" si="1"/>
        <v>English</v>
      </c>
      <c r="S6" t="str">
        <f t="shared" si="2"/>
        <v>en_</v>
      </c>
    </row>
    <row r="7" spans="1:19" ht="20">
      <c r="A7" t="s">
        <v>5311</v>
      </c>
      <c r="C7" t="s">
        <v>5312</v>
      </c>
      <c r="M7" t="str">
        <f t="shared" si="0"/>
        <v>US</v>
      </c>
      <c r="N7" s="61" t="s">
        <v>5185</v>
      </c>
      <c r="O7" s="61" t="s">
        <v>5169</v>
      </c>
      <c r="R7" t="str">
        <f t="shared" si="1"/>
        <v>English</v>
      </c>
      <c r="S7" t="str">
        <f t="shared" si="2"/>
        <v>en_</v>
      </c>
    </row>
    <row r="8" spans="1:19" ht="20">
      <c r="A8" t="s">
        <v>5313</v>
      </c>
      <c r="C8" t="s">
        <v>5314</v>
      </c>
      <c r="M8" t="str">
        <f t="shared" si="0"/>
        <v>ZA</v>
      </c>
      <c r="N8" s="61" t="s">
        <v>5186</v>
      </c>
      <c r="O8" s="61" t="s">
        <v>5187</v>
      </c>
      <c r="R8" t="str">
        <f t="shared" si="1"/>
        <v>English</v>
      </c>
      <c r="S8" t="str">
        <f t="shared" si="2"/>
        <v>en_</v>
      </c>
    </row>
    <row r="9" spans="1:19" ht="20">
      <c r="A9" t="s">
        <v>5315</v>
      </c>
      <c r="C9" t="s">
        <v>5316</v>
      </c>
      <c r="M9" t="str">
        <f t="shared" si="0"/>
        <v>BG</v>
      </c>
      <c r="N9" s="61" t="s">
        <v>5188</v>
      </c>
      <c r="O9" s="61" t="s">
        <v>5189</v>
      </c>
      <c r="R9" t="str">
        <f t="shared" si="1"/>
        <v>Bulgarian</v>
      </c>
      <c r="S9" t="str">
        <f t="shared" si="2"/>
        <v>bg_</v>
      </c>
    </row>
    <row r="10" spans="1:19" ht="20">
      <c r="A10" t="s">
        <v>5317</v>
      </c>
      <c r="C10" t="s">
        <v>5318</v>
      </c>
      <c r="M10" t="str">
        <f t="shared" si="0"/>
        <v>CN</v>
      </c>
      <c r="N10" s="61" t="s">
        <v>5190</v>
      </c>
      <c r="O10" s="61" t="s">
        <v>5191</v>
      </c>
      <c r="R10" t="str">
        <f t="shared" si="1"/>
        <v>Chinese</v>
      </c>
      <c r="S10" t="str">
        <f t="shared" si="2"/>
        <v>zh_</v>
      </c>
    </row>
    <row r="11" spans="1:19" ht="20">
      <c r="A11" t="s">
        <v>5319</v>
      </c>
      <c r="C11" t="s">
        <v>5320</v>
      </c>
      <c r="M11" t="str">
        <f t="shared" si="0"/>
        <v>HK</v>
      </c>
      <c r="N11" s="61" t="s">
        <v>5192</v>
      </c>
      <c r="O11" s="61" t="s">
        <v>5193</v>
      </c>
      <c r="R11" t="str">
        <f t="shared" si="1"/>
        <v>Chinese</v>
      </c>
      <c r="S11" t="str">
        <f t="shared" si="2"/>
        <v>zh_</v>
      </c>
    </row>
    <row r="12" spans="1:19" ht="20">
      <c r="A12" t="s">
        <v>5321</v>
      </c>
      <c r="C12" t="s">
        <v>5322</v>
      </c>
      <c r="M12" t="str">
        <f t="shared" si="0"/>
        <v>TW</v>
      </c>
      <c r="N12" s="61" t="s">
        <v>5194</v>
      </c>
      <c r="O12" s="61" t="s">
        <v>5195</v>
      </c>
      <c r="R12" t="str">
        <f t="shared" si="1"/>
        <v>Chinese</v>
      </c>
      <c r="S12" t="str">
        <f t="shared" si="2"/>
        <v>zh_</v>
      </c>
    </row>
    <row r="13" spans="1:19" ht="20">
      <c r="A13" t="s">
        <v>5323</v>
      </c>
      <c r="C13" t="s">
        <v>5324</v>
      </c>
      <c r="M13" t="str">
        <f t="shared" si="0"/>
        <v>HR</v>
      </c>
      <c r="N13" s="61" t="s">
        <v>5196</v>
      </c>
      <c r="O13" s="61" t="s">
        <v>5197</v>
      </c>
      <c r="R13" t="str">
        <f t="shared" si="1"/>
        <v>Croatian</v>
      </c>
      <c r="S13" t="str">
        <f t="shared" si="2"/>
        <v>hr_</v>
      </c>
    </row>
    <row r="14" spans="1:19" ht="20">
      <c r="A14" t="s">
        <v>5325</v>
      </c>
      <c r="C14" t="s">
        <v>5326</v>
      </c>
      <c r="M14" t="str">
        <f t="shared" si="0"/>
        <v>CZ</v>
      </c>
      <c r="N14" s="61" t="s">
        <v>5198</v>
      </c>
      <c r="O14" s="61" t="s">
        <v>5199</v>
      </c>
      <c r="R14" t="str">
        <f t="shared" si="1"/>
        <v>Czech</v>
      </c>
      <c r="S14" t="str">
        <f t="shared" si="2"/>
        <v>cs_</v>
      </c>
    </row>
    <row r="15" spans="1:19" ht="20">
      <c r="A15" t="s">
        <v>5327</v>
      </c>
      <c r="C15" t="s">
        <v>5328</v>
      </c>
      <c r="M15" t="str">
        <f t="shared" si="0"/>
        <v>DK</v>
      </c>
      <c r="N15" s="61" t="s">
        <v>5200</v>
      </c>
      <c r="O15" s="61" t="s">
        <v>5201</v>
      </c>
      <c r="R15" t="str">
        <f t="shared" si="1"/>
        <v>Danish</v>
      </c>
      <c r="S15" t="str">
        <f t="shared" si="2"/>
        <v>da_</v>
      </c>
    </row>
    <row r="16" spans="1:19" ht="20">
      <c r="A16" t="s">
        <v>5329</v>
      </c>
      <c r="C16" t="s">
        <v>5330</v>
      </c>
      <c r="M16" t="str">
        <f t="shared" si="0"/>
        <v>BE</v>
      </c>
      <c r="N16" s="61" t="s">
        <v>5202</v>
      </c>
      <c r="O16" s="61" t="s">
        <v>5203</v>
      </c>
      <c r="R16" t="str">
        <f t="shared" si="1"/>
        <v>Dutch</v>
      </c>
      <c r="S16" t="str">
        <f t="shared" si="2"/>
        <v>nl_</v>
      </c>
    </row>
    <row r="17" spans="1:19" ht="20">
      <c r="A17" t="s">
        <v>5331</v>
      </c>
      <c r="C17" t="s">
        <v>5332</v>
      </c>
      <c r="M17" t="str">
        <f t="shared" si="0"/>
        <v>NL</v>
      </c>
      <c r="N17" s="61" t="s">
        <v>5204</v>
      </c>
      <c r="O17" s="61" t="s">
        <v>5205</v>
      </c>
      <c r="R17" t="str">
        <f t="shared" si="1"/>
        <v>Dutch</v>
      </c>
      <c r="S17" t="str">
        <f t="shared" si="2"/>
        <v>nl_</v>
      </c>
    </row>
    <row r="18" spans="1:19" ht="20">
      <c r="A18" t="s">
        <v>5333</v>
      </c>
      <c r="C18" t="s">
        <v>5334</v>
      </c>
      <c r="M18" t="str">
        <f t="shared" si="0"/>
        <v>AU</v>
      </c>
      <c r="N18" s="61" t="s">
        <v>5173</v>
      </c>
      <c r="O18" s="61" t="s">
        <v>5174</v>
      </c>
      <c r="R18" t="str">
        <f t="shared" si="1"/>
        <v>English</v>
      </c>
      <c r="S18" t="str">
        <f t="shared" si="2"/>
        <v>en_</v>
      </c>
    </row>
    <row r="19" spans="1:19" ht="20">
      <c r="A19" t="s">
        <v>5335</v>
      </c>
      <c r="C19" t="s">
        <v>5336</v>
      </c>
      <c r="M19" t="str">
        <f t="shared" si="0"/>
        <v>CA</v>
      </c>
      <c r="N19" s="61" t="s">
        <v>5175</v>
      </c>
      <c r="O19" s="61" t="s">
        <v>5176</v>
      </c>
      <c r="R19" t="str">
        <f t="shared" si="1"/>
        <v>English</v>
      </c>
      <c r="S19" t="str">
        <f t="shared" si="2"/>
        <v>en_</v>
      </c>
    </row>
    <row r="20" spans="1:19" ht="20">
      <c r="A20" t="s">
        <v>5337</v>
      </c>
      <c r="C20" t="s">
        <v>5338</v>
      </c>
      <c r="M20" t="str">
        <f t="shared" si="0"/>
        <v>IN</v>
      </c>
      <c r="N20" s="61" t="s">
        <v>5181</v>
      </c>
      <c r="O20" s="61" t="s">
        <v>5182</v>
      </c>
      <c r="R20" t="str">
        <f t="shared" si="1"/>
        <v>English</v>
      </c>
      <c r="S20" t="str">
        <f t="shared" si="2"/>
        <v>en_</v>
      </c>
    </row>
    <row r="21" spans="1:19" ht="20">
      <c r="A21" t="s">
        <v>5339</v>
      </c>
      <c r="C21" t="s">
        <v>5340</v>
      </c>
      <c r="M21" t="str">
        <f t="shared" si="0"/>
        <v>IE</v>
      </c>
      <c r="N21" s="61" t="s">
        <v>5179</v>
      </c>
      <c r="O21" s="61" t="s">
        <v>5180</v>
      </c>
      <c r="R21" t="str">
        <f t="shared" si="1"/>
        <v>English</v>
      </c>
      <c r="S21" t="str">
        <f t="shared" si="2"/>
        <v>en_</v>
      </c>
    </row>
    <row r="22" spans="1:19" ht="20">
      <c r="A22" t="s">
        <v>5341</v>
      </c>
      <c r="C22" t="s">
        <v>5342</v>
      </c>
      <c r="M22" t="str">
        <f t="shared" si="0"/>
        <v>NZ</v>
      </c>
      <c r="N22" s="61" t="s">
        <v>5183</v>
      </c>
      <c r="O22" s="61" t="s">
        <v>5184</v>
      </c>
      <c r="R22" t="str">
        <f t="shared" si="1"/>
        <v>English</v>
      </c>
      <c r="S22" t="str">
        <f t="shared" si="2"/>
        <v>en_</v>
      </c>
    </row>
    <row r="23" spans="1:19" ht="20">
      <c r="A23" t="s">
        <v>5343</v>
      </c>
      <c r="C23" t="s">
        <v>5344</v>
      </c>
      <c r="M23" t="str">
        <f t="shared" si="0"/>
        <v>ZA</v>
      </c>
      <c r="N23" s="61" t="s">
        <v>5186</v>
      </c>
      <c r="O23" s="61" t="s">
        <v>5187</v>
      </c>
      <c r="R23" t="str">
        <f t="shared" si="1"/>
        <v>English</v>
      </c>
      <c r="S23" t="str">
        <f t="shared" si="2"/>
        <v>en_</v>
      </c>
    </row>
    <row r="24" spans="1:19" ht="20">
      <c r="A24" t="s">
        <v>5345</v>
      </c>
      <c r="C24" t="s">
        <v>5346</v>
      </c>
      <c r="M24" t="str">
        <f t="shared" si="0"/>
        <v>GB</v>
      </c>
      <c r="N24" s="61" t="s">
        <v>5177</v>
      </c>
      <c r="O24" s="61" t="s">
        <v>5178</v>
      </c>
      <c r="R24" t="str">
        <f t="shared" si="1"/>
        <v>English</v>
      </c>
      <c r="S24" t="str">
        <f t="shared" si="2"/>
        <v>en_</v>
      </c>
    </row>
    <row r="25" spans="1:19" ht="20">
      <c r="A25" t="s">
        <v>5347</v>
      </c>
      <c r="C25" t="s">
        <v>5348</v>
      </c>
      <c r="M25" t="str">
        <f t="shared" si="0"/>
        <v>US</v>
      </c>
      <c r="N25" s="61" t="s">
        <v>5185</v>
      </c>
      <c r="O25" s="61" t="s">
        <v>5169</v>
      </c>
      <c r="R25" t="str">
        <f t="shared" si="1"/>
        <v>English</v>
      </c>
      <c r="S25" t="str">
        <f t="shared" si="2"/>
        <v>en_</v>
      </c>
    </row>
    <row r="26" spans="1:19" ht="20">
      <c r="A26" t="s">
        <v>5349</v>
      </c>
      <c r="C26" t="s">
        <v>5350</v>
      </c>
      <c r="M26" t="str">
        <f t="shared" si="0"/>
        <v>FI</v>
      </c>
      <c r="N26" s="61" t="s">
        <v>5206</v>
      </c>
      <c r="O26" s="61" t="s">
        <v>5207</v>
      </c>
      <c r="R26" t="str">
        <f t="shared" si="1"/>
        <v>Finnish</v>
      </c>
      <c r="S26" t="str">
        <f t="shared" si="2"/>
        <v>fi_</v>
      </c>
    </row>
    <row r="27" spans="1:19" ht="20">
      <c r="A27" t="s">
        <v>5351</v>
      </c>
      <c r="C27" t="s">
        <v>5352</v>
      </c>
      <c r="M27" t="str">
        <f t="shared" si="0"/>
        <v>BE</v>
      </c>
      <c r="N27" s="61" t="s">
        <v>5208</v>
      </c>
      <c r="O27" s="61" t="s">
        <v>5209</v>
      </c>
      <c r="R27" t="str">
        <f t="shared" si="1"/>
        <v>French</v>
      </c>
      <c r="S27" t="str">
        <f t="shared" si="2"/>
        <v>fr_</v>
      </c>
    </row>
    <row r="28" spans="1:19" ht="20">
      <c r="A28" t="s">
        <v>5353</v>
      </c>
      <c r="C28" t="s">
        <v>5354</v>
      </c>
      <c r="M28" t="str">
        <f t="shared" si="0"/>
        <v>CA</v>
      </c>
      <c r="N28" s="61" t="s">
        <v>5210</v>
      </c>
      <c r="O28" s="61" t="s">
        <v>5211</v>
      </c>
      <c r="R28" t="str">
        <f t="shared" si="1"/>
        <v>French</v>
      </c>
      <c r="S28" t="str">
        <f t="shared" si="2"/>
        <v>fr_</v>
      </c>
    </row>
    <row r="29" spans="1:19" ht="20">
      <c r="A29" t="s">
        <v>5355</v>
      </c>
      <c r="C29" t="s">
        <v>5356</v>
      </c>
      <c r="M29" t="str">
        <f t="shared" si="0"/>
        <v>FR</v>
      </c>
      <c r="N29" s="61" t="s">
        <v>5212</v>
      </c>
      <c r="O29" s="61" t="s">
        <v>5213</v>
      </c>
      <c r="R29" t="str">
        <f t="shared" si="1"/>
        <v>French</v>
      </c>
      <c r="S29" t="str">
        <f t="shared" si="2"/>
        <v>fr_</v>
      </c>
    </row>
    <row r="30" spans="1:19" ht="20">
      <c r="A30" t="s">
        <v>5357</v>
      </c>
      <c r="C30" t="s">
        <v>5358</v>
      </c>
      <c r="M30" t="str">
        <f t="shared" si="0"/>
        <v>LU</v>
      </c>
      <c r="N30" s="61" t="s">
        <v>5214</v>
      </c>
      <c r="O30" s="61" t="s">
        <v>5215</v>
      </c>
      <c r="R30" t="str">
        <f t="shared" si="1"/>
        <v>French</v>
      </c>
      <c r="S30" t="str">
        <f t="shared" si="2"/>
        <v>fr_</v>
      </c>
    </row>
    <row r="31" spans="1:19" ht="20">
      <c r="A31" t="s">
        <v>5359</v>
      </c>
      <c r="C31" t="s">
        <v>5360</v>
      </c>
      <c r="M31" t="str">
        <f t="shared" si="0"/>
        <v>CH</v>
      </c>
      <c r="N31" s="61" t="s">
        <v>5216</v>
      </c>
      <c r="O31" s="61" t="s">
        <v>5217</v>
      </c>
      <c r="R31" t="str">
        <f t="shared" si="1"/>
        <v>French</v>
      </c>
      <c r="S31" t="str">
        <f t="shared" si="2"/>
        <v>fr_</v>
      </c>
    </row>
    <row r="32" spans="1:19" ht="20">
      <c r="A32" t="s">
        <v>5361</v>
      </c>
      <c r="C32" t="s">
        <v>5362</v>
      </c>
      <c r="M32" t="str">
        <f t="shared" si="0"/>
        <v>AT</v>
      </c>
      <c r="N32" s="61" t="s">
        <v>5218</v>
      </c>
      <c r="O32" s="61" t="s">
        <v>5219</v>
      </c>
      <c r="R32" t="str">
        <f t="shared" si="1"/>
        <v>German</v>
      </c>
      <c r="S32" t="str">
        <f t="shared" si="2"/>
        <v>de_</v>
      </c>
    </row>
    <row r="33" spans="1:19" ht="20">
      <c r="A33" t="s">
        <v>5363</v>
      </c>
      <c r="C33" t="s">
        <v>5364</v>
      </c>
      <c r="M33" t="str">
        <f t="shared" si="0"/>
        <v>DE</v>
      </c>
      <c r="N33" s="61" t="s">
        <v>5220</v>
      </c>
      <c r="O33" s="61" t="s">
        <v>5221</v>
      </c>
      <c r="R33" t="str">
        <f t="shared" si="1"/>
        <v>German</v>
      </c>
      <c r="S33" t="str">
        <f t="shared" si="2"/>
        <v>de_</v>
      </c>
    </row>
    <row r="34" spans="1:19" ht="20">
      <c r="M34" t="str">
        <f t="shared" si="0"/>
        <v>LU</v>
      </c>
      <c r="N34" s="61" t="s">
        <v>5222</v>
      </c>
      <c r="O34" s="61" t="s">
        <v>5223</v>
      </c>
      <c r="R34" t="str">
        <f t="shared" si="1"/>
        <v>German</v>
      </c>
      <c r="S34" t="str">
        <f t="shared" si="2"/>
        <v>de_</v>
      </c>
    </row>
    <row r="35" spans="1:19" ht="20">
      <c r="M35" t="str">
        <f t="shared" si="0"/>
        <v>CH</v>
      </c>
      <c r="N35" s="61" t="s">
        <v>5224</v>
      </c>
      <c r="O35" s="61" t="s">
        <v>5225</v>
      </c>
      <c r="R35" t="str">
        <f t="shared" si="1"/>
        <v>German</v>
      </c>
      <c r="S35" t="str">
        <f t="shared" si="2"/>
        <v>de_</v>
      </c>
    </row>
    <row r="36" spans="1:19" ht="20">
      <c r="M36" t="str">
        <f t="shared" si="0"/>
        <v>GR</v>
      </c>
      <c r="N36" s="61" t="s">
        <v>5226</v>
      </c>
      <c r="O36" s="61" t="s">
        <v>5227</v>
      </c>
      <c r="R36" t="str">
        <f t="shared" si="1"/>
        <v>Greek</v>
      </c>
      <c r="S36" t="str">
        <f t="shared" si="2"/>
        <v>el_</v>
      </c>
    </row>
    <row r="37" spans="1:19" ht="20">
      <c r="M37" t="str">
        <f t="shared" si="0"/>
        <v>HU</v>
      </c>
      <c r="N37" s="61" t="s">
        <v>5228</v>
      </c>
      <c r="O37" s="61" t="s">
        <v>5229</v>
      </c>
      <c r="R37" t="str">
        <f t="shared" si="1"/>
        <v>Hungarian</v>
      </c>
      <c r="S37" t="str">
        <f t="shared" si="2"/>
        <v>hu_</v>
      </c>
    </row>
    <row r="38" spans="1:19" ht="20">
      <c r="M38" t="str">
        <f t="shared" si="0"/>
        <v>ID</v>
      </c>
      <c r="N38" s="61" t="s">
        <v>5230</v>
      </c>
      <c r="O38" s="61" t="s">
        <v>5231</v>
      </c>
      <c r="R38" t="str">
        <f t="shared" si="1"/>
        <v>Indonesian</v>
      </c>
      <c r="S38" t="str">
        <f t="shared" si="2"/>
        <v>id_</v>
      </c>
    </row>
    <row r="39" spans="1:19" ht="20">
      <c r="M39" t="str">
        <f t="shared" si="0"/>
        <v>IT</v>
      </c>
      <c r="N39" s="61" t="s">
        <v>5232</v>
      </c>
      <c r="O39" s="61" t="s">
        <v>5233</v>
      </c>
      <c r="R39" t="str">
        <f t="shared" si="1"/>
        <v>Italian</v>
      </c>
      <c r="S39" t="str">
        <f t="shared" si="2"/>
        <v>it_</v>
      </c>
    </row>
    <row r="40" spans="1:19" ht="20">
      <c r="M40" t="str">
        <f t="shared" si="0"/>
        <v>CH</v>
      </c>
      <c r="N40" s="61" t="s">
        <v>5234</v>
      </c>
      <c r="O40" s="61" t="s">
        <v>5235</v>
      </c>
      <c r="R40" t="str">
        <f t="shared" si="1"/>
        <v>Italian</v>
      </c>
      <c r="S40" t="str">
        <f t="shared" si="2"/>
        <v>it_</v>
      </c>
    </row>
    <row r="41" spans="1:19" ht="20">
      <c r="M41" t="str">
        <f t="shared" si="0"/>
        <v>JP</v>
      </c>
      <c r="N41" s="61" t="s">
        <v>5236</v>
      </c>
      <c r="O41" s="61" t="s">
        <v>5237</v>
      </c>
      <c r="R41" t="str">
        <f t="shared" si="1"/>
        <v>Japanese</v>
      </c>
      <c r="S41" t="str">
        <f t="shared" si="2"/>
        <v>ja_</v>
      </c>
    </row>
    <row r="42" spans="1:19" ht="20">
      <c r="M42" t="str">
        <f t="shared" si="0"/>
        <v>KP</v>
      </c>
      <c r="N42" s="61" t="s">
        <v>5238</v>
      </c>
      <c r="O42" s="61" t="s">
        <v>5239</v>
      </c>
      <c r="R42" t="str">
        <f t="shared" si="1"/>
        <v>Korean</v>
      </c>
      <c r="S42" t="str">
        <f t="shared" si="2"/>
        <v>ko_</v>
      </c>
    </row>
    <row r="43" spans="1:19" ht="20">
      <c r="M43" t="str">
        <f t="shared" si="0"/>
        <v>KR</v>
      </c>
      <c r="N43" s="61" t="s">
        <v>5240</v>
      </c>
      <c r="O43" s="61" t="s">
        <v>5241</v>
      </c>
      <c r="R43" t="str">
        <f t="shared" si="1"/>
        <v>Korean</v>
      </c>
      <c r="S43" t="str">
        <f t="shared" si="2"/>
        <v>ko_</v>
      </c>
    </row>
    <row r="44" spans="1:19" ht="20">
      <c r="M44" t="str">
        <f t="shared" si="0"/>
        <v>MY</v>
      </c>
      <c r="N44" s="61" t="s">
        <v>5242</v>
      </c>
      <c r="O44" s="61" t="s">
        <v>5243</v>
      </c>
      <c r="R44" t="str">
        <f t="shared" si="1"/>
        <v>Malay</v>
      </c>
      <c r="S44" t="str">
        <f t="shared" si="2"/>
        <v>ms_</v>
      </c>
    </row>
    <row r="45" spans="1:19" ht="20">
      <c r="M45" t="str">
        <f t="shared" si="0"/>
        <v>NO</v>
      </c>
      <c r="N45" s="61" t="s">
        <v>5244</v>
      </c>
      <c r="O45" s="61" t="s">
        <v>5245</v>
      </c>
      <c r="R45" t="str">
        <f t="shared" si="1"/>
        <v>Norwegian</v>
      </c>
      <c r="S45" t="str">
        <f t="shared" si="2"/>
        <v>no_</v>
      </c>
    </row>
    <row r="46" spans="1:19" ht="20">
      <c r="M46" t="str">
        <f t="shared" si="0"/>
        <v>PL</v>
      </c>
      <c r="N46" s="61" t="s">
        <v>5246</v>
      </c>
      <c r="O46" s="61" t="s">
        <v>5247</v>
      </c>
      <c r="R46" t="str">
        <f t="shared" si="1"/>
        <v>Polish</v>
      </c>
      <c r="S46" t="str">
        <f t="shared" si="2"/>
        <v>pl_</v>
      </c>
    </row>
    <row r="47" spans="1:19" ht="20">
      <c r="M47" t="str">
        <f t="shared" si="0"/>
        <v>BR</v>
      </c>
      <c r="N47" s="61" t="s">
        <v>5248</v>
      </c>
      <c r="O47" s="61" t="s">
        <v>5249</v>
      </c>
      <c r="R47" t="str">
        <f t="shared" si="1"/>
        <v>Portuguese</v>
      </c>
      <c r="S47" t="str">
        <f t="shared" si="2"/>
        <v>pt_</v>
      </c>
    </row>
    <row r="48" spans="1:19" ht="20">
      <c r="M48" t="str">
        <f t="shared" si="0"/>
        <v>RO</v>
      </c>
      <c r="N48" s="61" t="s">
        <v>5250</v>
      </c>
      <c r="O48" s="61" t="s">
        <v>5251</v>
      </c>
      <c r="R48" t="str">
        <f t="shared" si="1"/>
        <v>Romanian</v>
      </c>
      <c r="S48" t="str">
        <f t="shared" si="2"/>
        <v>ro_</v>
      </c>
    </row>
    <row r="49" spans="13:19" ht="20">
      <c r="M49" t="str">
        <f t="shared" si="0"/>
        <v>RU</v>
      </c>
      <c r="N49" s="61" t="s">
        <v>5252</v>
      </c>
      <c r="O49" s="61" t="s">
        <v>5253</v>
      </c>
      <c r="R49" t="str">
        <f t="shared" si="1"/>
        <v>Russian</v>
      </c>
      <c r="S49" t="str">
        <f t="shared" si="2"/>
        <v>ru_</v>
      </c>
    </row>
    <row r="50" spans="13:19" ht="20">
      <c r="M50" t="str">
        <f t="shared" si="0"/>
        <v>SK</v>
      </c>
      <c r="N50" s="61" t="s">
        <v>5254</v>
      </c>
      <c r="O50" s="61" t="s">
        <v>5255</v>
      </c>
      <c r="R50" t="str">
        <f t="shared" si="1"/>
        <v>Slovak</v>
      </c>
      <c r="S50" t="str">
        <f t="shared" si="2"/>
        <v>sk_</v>
      </c>
    </row>
    <row r="51" spans="13:19" ht="20">
      <c r="M51" t="str">
        <f t="shared" si="0"/>
        <v>SI</v>
      </c>
      <c r="N51" s="61" t="s">
        <v>5256</v>
      </c>
      <c r="O51" s="61" t="s">
        <v>5257</v>
      </c>
      <c r="R51" t="str">
        <f t="shared" si="1"/>
        <v>Slovenian</v>
      </c>
      <c r="S51" t="str">
        <f t="shared" si="2"/>
        <v>sl_</v>
      </c>
    </row>
    <row r="52" spans="13:19" ht="20">
      <c r="M52" t="str">
        <f t="shared" si="0"/>
        <v>AR</v>
      </c>
      <c r="N52" s="61" t="s">
        <v>5258</v>
      </c>
      <c r="O52" s="61" t="s">
        <v>5259</v>
      </c>
      <c r="R52" t="str">
        <f t="shared" si="1"/>
        <v>Spanish</v>
      </c>
      <c r="S52" t="str">
        <f t="shared" si="2"/>
        <v>es_</v>
      </c>
    </row>
    <row r="53" spans="13:19" ht="20">
      <c r="M53" t="str">
        <f t="shared" si="0"/>
        <v>BO</v>
      </c>
      <c r="N53" s="61" t="s">
        <v>5260</v>
      </c>
      <c r="O53" s="61" t="s">
        <v>5261</v>
      </c>
      <c r="R53" t="str">
        <f t="shared" si="1"/>
        <v>Spanish</v>
      </c>
      <c r="S53" t="str">
        <f t="shared" si="2"/>
        <v>es_</v>
      </c>
    </row>
    <row r="54" spans="13:19" ht="20">
      <c r="M54" t="str">
        <f t="shared" si="0"/>
        <v>CL</v>
      </c>
      <c r="N54" s="61" t="s">
        <v>5262</v>
      </c>
      <c r="O54" s="61" t="s">
        <v>5263</v>
      </c>
      <c r="R54" t="str">
        <f t="shared" si="1"/>
        <v>Spanish</v>
      </c>
      <c r="S54" t="str">
        <f t="shared" si="2"/>
        <v>es_</v>
      </c>
    </row>
    <row r="55" spans="13:19" ht="20">
      <c r="M55" t="str">
        <f t="shared" si="0"/>
        <v>CO</v>
      </c>
      <c r="N55" s="61" t="s">
        <v>5264</v>
      </c>
      <c r="O55" s="61" t="s">
        <v>5265</v>
      </c>
      <c r="R55" t="str">
        <f t="shared" si="1"/>
        <v>Spanish</v>
      </c>
      <c r="S55" t="str">
        <f t="shared" si="2"/>
        <v>es_</v>
      </c>
    </row>
    <row r="56" spans="13:19" ht="20">
      <c r="M56" t="str">
        <f t="shared" si="0"/>
        <v>CR</v>
      </c>
      <c r="N56" s="61" t="s">
        <v>5266</v>
      </c>
      <c r="O56" s="61" t="s">
        <v>5267</v>
      </c>
      <c r="R56" t="str">
        <f t="shared" si="1"/>
        <v>Spanish</v>
      </c>
      <c r="S56" t="str">
        <f t="shared" si="2"/>
        <v>es_</v>
      </c>
    </row>
    <row r="57" spans="13:19" ht="20">
      <c r="M57" t="str">
        <f t="shared" si="0"/>
        <v>DO</v>
      </c>
      <c r="N57" s="61" t="s">
        <v>5268</v>
      </c>
      <c r="O57" s="61" t="s">
        <v>5269</v>
      </c>
      <c r="R57" t="str">
        <f t="shared" si="1"/>
        <v>Spanish</v>
      </c>
      <c r="S57" t="str">
        <f t="shared" si="2"/>
        <v>es_</v>
      </c>
    </row>
    <row r="58" spans="13:19" ht="20">
      <c r="M58" t="str">
        <f t="shared" si="0"/>
        <v>EC</v>
      </c>
      <c r="N58" s="61" t="s">
        <v>5270</v>
      </c>
      <c r="O58" s="61" t="s">
        <v>5271</v>
      </c>
      <c r="R58" t="str">
        <f t="shared" si="1"/>
        <v>Spanish</v>
      </c>
      <c r="S58" t="str">
        <f t="shared" si="2"/>
        <v>es_</v>
      </c>
    </row>
    <row r="59" spans="13:19" ht="20">
      <c r="M59" t="str">
        <f t="shared" si="0"/>
        <v>SV</v>
      </c>
      <c r="N59" s="61" t="s">
        <v>5272</v>
      </c>
      <c r="O59" s="61" t="s">
        <v>5273</v>
      </c>
      <c r="R59" t="str">
        <f t="shared" si="1"/>
        <v>Spanish</v>
      </c>
      <c r="S59" t="str">
        <f t="shared" si="2"/>
        <v>es_</v>
      </c>
    </row>
    <row r="60" spans="13:19" ht="20">
      <c r="M60" t="str">
        <f t="shared" si="0"/>
        <v>GT</v>
      </c>
      <c r="N60" s="61" t="s">
        <v>5274</v>
      </c>
      <c r="O60" s="61" t="s">
        <v>5275</v>
      </c>
      <c r="R60" t="str">
        <f t="shared" si="1"/>
        <v>Spanish</v>
      </c>
      <c r="S60" t="str">
        <f t="shared" si="2"/>
        <v>es_</v>
      </c>
    </row>
    <row r="61" spans="13:19" ht="20">
      <c r="M61" t="str">
        <f t="shared" si="0"/>
        <v>HN</v>
      </c>
      <c r="N61" s="61" t="s">
        <v>5276</v>
      </c>
      <c r="O61" s="61" t="s">
        <v>5277</v>
      </c>
      <c r="R61" t="str">
        <f t="shared" si="1"/>
        <v>Spanish</v>
      </c>
      <c r="S61" t="str">
        <f t="shared" si="2"/>
        <v>es_</v>
      </c>
    </row>
    <row r="62" spans="13:19" ht="20">
      <c r="M62" t="str">
        <f t="shared" si="0"/>
        <v>MX</v>
      </c>
      <c r="N62" s="61" t="s">
        <v>5278</v>
      </c>
      <c r="O62" s="61" t="s">
        <v>5279</v>
      </c>
      <c r="R62" t="str">
        <f t="shared" si="1"/>
        <v>Spanish</v>
      </c>
      <c r="S62" t="str">
        <f t="shared" si="2"/>
        <v>es_</v>
      </c>
    </row>
    <row r="63" spans="13:19" ht="20">
      <c r="M63" t="str">
        <f t="shared" si="0"/>
        <v>NI</v>
      </c>
      <c r="N63" s="61" t="s">
        <v>5280</v>
      </c>
      <c r="O63" s="61" t="s">
        <v>5281</v>
      </c>
      <c r="R63" t="str">
        <f t="shared" si="1"/>
        <v>Spanish</v>
      </c>
      <c r="S63" t="str">
        <f t="shared" si="2"/>
        <v>es_</v>
      </c>
    </row>
    <row r="64" spans="13:19" ht="20">
      <c r="M64" t="str">
        <f t="shared" si="0"/>
        <v>PA</v>
      </c>
      <c r="N64" s="61" t="s">
        <v>5282</v>
      </c>
      <c r="O64" s="61" t="s">
        <v>5283</v>
      </c>
      <c r="R64" t="str">
        <f t="shared" si="1"/>
        <v>Spanish</v>
      </c>
      <c r="S64" t="str">
        <f t="shared" si="2"/>
        <v>es_</v>
      </c>
    </row>
    <row r="65" spans="13:19" ht="20">
      <c r="M65" t="str">
        <f t="shared" si="0"/>
        <v>PY</v>
      </c>
      <c r="N65" s="61" t="s">
        <v>5284</v>
      </c>
      <c r="O65" s="61" t="s">
        <v>5285</v>
      </c>
      <c r="R65" t="str">
        <f t="shared" si="1"/>
        <v>Spanish</v>
      </c>
      <c r="S65" t="str">
        <f t="shared" si="2"/>
        <v>es_</v>
      </c>
    </row>
    <row r="66" spans="13:19" ht="20">
      <c r="M66" t="str">
        <f t="shared" si="0"/>
        <v>PE</v>
      </c>
      <c r="N66" s="61" t="s">
        <v>5286</v>
      </c>
      <c r="O66" s="61" t="s">
        <v>5287</v>
      </c>
      <c r="R66" t="str">
        <f t="shared" ref="R66:R74" si="3">LEFT(N66,FIND(" ",N66)-1)</f>
        <v>Spanish</v>
      </c>
      <c r="S66" t="str">
        <f t="shared" ref="S66:S74" si="4">LEFT(O66,3)</f>
        <v>es_</v>
      </c>
    </row>
    <row r="67" spans="13:19" ht="20">
      <c r="M67" t="str">
        <f t="shared" ref="M67:M75" si="5">RIGHT(O67,2)</f>
        <v>PR</v>
      </c>
      <c r="N67" s="61" t="s">
        <v>5288</v>
      </c>
      <c r="O67" s="61" t="s">
        <v>5289</v>
      </c>
      <c r="R67" t="str">
        <f t="shared" si="3"/>
        <v>Spanish</v>
      </c>
      <c r="S67" t="str">
        <f t="shared" si="4"/>
        <v>es_</v>
      </c>
    </row>
    <row r="68" spans="13:19" ht="20">
      <c r="M68" t="str">
        <f t="shared" si="5"/>
        <v>ES</v>
      </c>
      <c r="N68" s="61" t="s">
        <v>5290</v>
      </c>
      <c r="O68" s="61" t="s">
        <v>5291</v>
      </c>
      <c r="R68" t="str">
        <f t="shared" si="3"/>
        <v>Spanish</v>
      </c>
      <c r="S68" t="str">
        <f t="shared" si="4"/>
        <v>es_</v>
      </c>
    </row>
    <row r="69" spans="13:19" ht="20">
      <c r="M69" t="str">
        <f t="shared" si="5"/>
        <v>UY</v>
      </c>
      <c r="N69" s="61" t="s">
        <v>5292</v>
      </c>
      <c r="O69" s="61" t="s">
        <v>5293</v>
      </c>
      <c r="R69" t="str">
        <f t="shared" si="3"/>
        <v>Spanish</v>
      </c>
      <c r="S69" t="str">
        <f t="shared" si="4"/>
        <v>es_</v>
      </c>
    </row>
    <row r="70" spans="13:19" ht="20">
      <c r="M70" t="str">
        <f t="shared" si="5"/>
        <v>VE</v>
      </c>
      <c r="N70" s="61" t="s">
        <v>5294</v>
      </c>
      <c r="O70" s="61" t="s">
        <v>5295</v>
      </c>
      <c r="R70" t="str">
        <f t="shared" si="3"/>
        <v>Spanish</v>
      </c>
      <c r="S70" t="str">
        <f t="shared" si="4"/>
        <v>es_</v>
      </c>
    </row>
    <row r="71" spans="13:19" ht="20">
      <c r="M71" t="str">
        <f t="shared" si="5"/>
        <v>SE</v>
      </c>
      <c r="N71" s="61" t="s">
        <v>5296</v>
      </c>
      <c r="O71" s="61" t="s">
        <v>5297</v>
      </c>
      <c r="R71" t="str">
        <f t="shared" si="3"/>
        <v>Swedish</v>
      </c>
      <c r="S71" t="str">
        <f t="shared" si="4"/>
        <v>sv_</v>
      </c>
    </row>
    <row r="72" spans="13:19" ht="20">
      <c r="M72" t="str">
        <f t="shared" si="5"/>
        <v>TH</v>
      </c>
      <c r="N72" s="61" t="s">
        <v>5298</v>
      </c>
      <c r="O72" s="61" t="s">
        <v>5299</v>
      </c>
      <c r="R72" t="str">
        <f t="shared" si="3"/>
        <v>Thai</v>
      </c>
      <c r="S72" t="str">
        <f t="shared" si="4"/>
        <v>th_</v>
      </c>
    </row>
    <row r="73" spans="13:19" ht="20">
      <c r="M73" t="str">
        <f t="shared" si="5"/>
        <v>TR</v>
      </c>
      <c r="N73" s="61" t="s">
        <v>5300</v>
      </c>
      <c r="O73" s="61" t="s">
        <v>5301</v>
      </c>
      <c r="R73" t="str">
        <f t="shared" si="3"/>
        <v>Turkish</v>
      </c>
      <c r="S73" t="str">
        <f t="shared" si="4"/>
        <v>tr_</v>
      </c>
    </row>
    <row r="74" spans="13:19" ht="20">
      <c r="M74" t="str">
        <f t="shared" si="5"/>
        <v>UA</v>
      </c>
      <c r="N74" s="61" t="s">
        <v>5302</v>
      </c>
      <c r="O74" s="61" t="s">
        <v>5303</v>
      </c>
      <c r="R74" t="str">
        <f t="shared" si="3"/>
        <v>Ukrainian</v>
      </c>
      <c r="S74" t="str">
        <f t="shared" si="4"/>
        <v>uk_</v>
      </c>
    </row>
    <row r="75" spans="13:19" ht="20">
      <c r="M75" t="str">
        <f t="shared" si="5"/>
        <v>VN</v>
      </c>
      <c r="N75" s="61" t="s">
        <v>5304</v>
      </c>
      <c r="O75" s="61" t="s">
        <v>5305</v>
      </c>
      <c r="R75" t="str">
        <f>LEFT(N75,FIND(" ",N75)-1)</f>
        <v>Vietnamese</v>
      </c>
      <c r="S75" t="str">
        <f>LEFT(O75,3)</f>
        <v>vi_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863E-8C2A-824D-8B9D-7E616306DCC4}">
  <dimension ref="A1:D25"/>
  <sheetViews>
    <sheetView workbookViewId="0">
      <selection activeCell="D5" sqref="D5"/>
    </sheetView>
  </sheetViews>
  <sheetFormatPr baseColWidth="10" defaultRowHeight="15"/>
  <cols>
    <col min="4" max="4" width="14.5" bestFit="1" customWidth="1"/>
  </cols>
  <sheetData>
    <row r="1" spans="1:4">
      <c r="A1" s="38" t="s">
        <v>32</v>
      </c>
      <c r="B1" s="2" t="s">
        <v>33</v>
      </c>
      <c r="C1" s="60" t="s">
        <v>5165</v>
      </c>
      <c r="D1" s="60" t="s">
        <v>5166</v>
      </c>
    </row>
    <row r="2" spans="1:4">
      <c r="A2" s="57" t="s">
        <v>5155</v>
      </c>
      <c r="B2" s="58" t="s">
        <v>5160</v>
      </c>
      <c r="C2" s="39" t="s">
        <v>5161</v>
      </c>
      <c r="D2" s="39" t="s">
        <v>5376</v>
      </c>
    </row>
    <row r="3" spans="1:4">
      <c r="A3" s="57" t="s">
        <v>5156</v>
      </c>
      <c r="B3" s="58" t="s">
        <v>5159</v>
      </c>
      <c r="C3" s="39" t="s">
        <v>5154</v>
      </c>
      <c r="D3" s="39" t="s">
        <v>5377</v>
      </c>
    </row>
    <row r="4" spans="1:4">
      <c r="A4" s="29" t="s">
        <v>280</v>
      </c>
      <c r="B4" s="30" t="s">
        <v>281</v>
      </c>
      <c r="C4" s="39" t="s">
        <v>5154</v>
      </c>
      <c r="D4" s="39" t="s">
        <v>5377</v>
      </c>
    </row>
    <row r="5" spans="1:4">
      <c r="A5" s="59" t="s">
        <v>5162</v>
      </c>
      <c r="B5" s="58" t="s">
        <v>5158</v>
      </c>
      <c r="C5" s="39" t="s">
        <v>5154</v>
      </c>
      <c r="D5" s="39" t="s">
        <v>5377</v>
      </c>
    </row>
    <row r="6" spans="1:4">
      <c r="A6" s="59" t="s">
        <v>5163</v>
      </c>
      <c r="B6" s="58" t="s">
        <v>5157</v>
      </c>
      <c r="C6" s="39" t="s">
        <v>5154</v>
      </c>
      <c r="D6" s="39" t="s">
        <v>5377</v>
      </c>
    </row>
    <row r="7" spans="1:4">
      <c r="A7" s="29" t="s">
        <v>330</v>
      </c>
      <c r="B7" s="30" t="s">
        <v>331</v>
      </c>
      <c r="C7" s="39" t="s">
        <v>5164</v>
      </c>
      <c r="D7" s="39" t="s">
        <v>5378</v>
      </c>
    </row>
    <row r="8" spans="1:4">
      <c r="A8" s="29" t="s">
        <v>255</v>
      </c>
      <c r="B8" s="30" t="s">
        <v>256</v>
      </c>
      <c r="C8" s="39" t="s">
        <v>5164</v>
      </c>
      <c r="D8" s="39" t="s">
        <v>5378</v>
      </c>
    </row>
    <row r="9" spans="1:4">
      <c r="A9" s="29" t="s">
        <v>880</v>
      </c>
      <c r="B9" s="30" t="s">
        <v>881</v>
      </c>
      <c r="C9" s="39" t="s">
        <v>5164</v>
      </c>
      <c r="D9" s="39" t="s">
        <v>5378</v>
      </c>
    </row>
    <row r="10" spans="1:4">
      <c r="A10" s="29" t="s">
        <v>80</v>
      </c>
      <c r="B10" s="30" t="s">
        <v>81</v>
      </c>
      <c r="C10" s="39" t="s">
        <v>5164</v>
      </c>
      <c r="D10" s="39" t="s">
        <v>5378</v>
      </c>
    </row>
    <row r="11" spans="1:4">
      <c r="A11" s="29" t="s">
        <v>305</v>
      </c>
      <c r="B11" s="30" t="s">
        <v>306</v>
      </c>
      <c r="C11" s="39" t="s">
        <v>5164</v>
      </c>
      <c r="D11" s="39" t="s">
        <v>5378</v>
      </c>
    </row>
    <row r="12" spans="1:4">
      <c r="A12" s="29" t="s">
        <v>755</v>
      </c>
      <c r="B12" s="30" t="s">
        <v>756</v>
      </c>
      <c r="C12" s="39" t="s">
        <v>5164</v>
      </c>
      <c r="D12" s="39" t="s">
        <v>5378</v>
      </c>
    </row>
    <row r="13" spans="1:4">
      <c r="A13" s="29" t="s">
        <v>230</v>
      </c>
      <c r="B13" s="30" t="s">
        <v>231</v>
      </c>
      <c r="C13" s="39" t="s">
        <v>5164</v>
      </c>
      <c r="D13" s="39" t="s">
        <v>5378</v>
      </c>
    </row>
    <row r="14" spans="1:4">
      <c r="A14" s="29" t="s">
        <v>1755</v>
      </c>
      <c r="B14" s="30" t="s">
        <v>1756</v>
      </c>
      <c r="C14" s="39" t="s">
        <v>5164</v>
      </c>
      <c r="D14" s="39" t="s">
        <v>5378</v>
      </c>
    </row>
    <row r="15" spans="1:4">
      <c r="A15" s="29" t="s">
        <v>680</v>
      </c>
      <c r="B15" s="30" t="s">
        <v>681</v>
      </c>
      <c r="C15" s="39" t="s">
        <v>5164</v>
      </c>
      <c r="D15" s="39" t="s">
        <v>5378</v>
      </c>
    </row>
    <row r="16" spans="1:4">
      <c r="A16" s="29" t="s">
        <v>805</v>
      </c>
      <c r="B16" s="30" t="s">
        <v>806</v>
      </c>
      <c r="C16" s="39" t="s">
        <v>5164</v>
      </c>
      <c r="D16" s="39" t="s">
        <v>5378</v>
      </c>
    </row>
    <row r="17" spans="1:4">
      <c r="A17" s="29" t="s">
        <v>955</v>
      </c>
      <c r="B17" s="30" t="s">
        <v>956</v>
      </c>
      <c r="C17" s="39" t="s">
        <v>5164</v>
      </c>
      <c r="D17" s="39" t="s">
        <v>5378</v>
      </c>
    </row>
    <row r="18" spans="1:4">
      <c r="A18" s="29" t="s">
        <v>505</v>
      </c>
      <c r="B18" s="30" t="s">
        <v>506</v>
      </c>
      <c r="C18" s="39" t="s">
        <v>5164</v>
      </c>
      <c r="D18" s="39" t="s">
        <v>5378</v>
      </c>
    </row>
    <row r="19" spans="1:4">
      <c r="A19" s="29" t="s">
        <v>55</v>
      </c>
      <c r="B19" s="30" t="s">
        <v>56</v>
      </c>
      <c r="C19" s="39" t="s">
        <v>5164</v>
      </c>
      <c r="D19" s="39" t="s">
        <v>5378</v>
      </c>
    </row>
    <row r="20" spans="1:4">
      <c r="A20" s="29" t="s">
        <v>1130</v>
      </c>
      <c r="B20" s="30" t="s">
        <v>1131</v>
      </c>
      <c r="C20" s="39" t="s">
        <v>5164</v>
      </c>
      <c r="D20" s="39" t="s">
        <v>5378</v>
      </c>
    </row>
    <row r="21" spans="1:4">
      <c r="A21" s="29" t="s">
        <v>580</v>
      </c>
      <c r="B21" s="30" t="s">
        <v>581</v>
      </c>
      <c r="C21" s="39" t="s">
        <v>5164</v>
      </c>
      <c r="D21" s="39" t="s">
        <v>5378</v>
      </c>
    </row>
    <row r="22" spans="1:4">
      <c r="A22" s="29" t="s">
        <v>1580</v>
      </c>
      <c r="B22" s="30" t="s">
        <v>1581</v>
      </c>
      <c r="C22" s="39" t="s">
        <v>5164</v>
      </c>
      <c r="D22" s="39" t="s">
        <v>5378</v>
      </c>
    </row>
    <row r="23" spans="1:4">
      <c r="A23" s="29" t="s">
        <v>480</v>
      </c>
      <c r="B23" s="30" t="s">
        <v>481</v>
      </c>
      <c r="C23" s="39" t="s">
        <v>5164</v>
      </c>
      <c r="D23" s="39" t="s">
        <v>5378</v>
      </c>
    </row>
    <row r="24" spans="1:4">
      <c r="A24" s="29" t="s">
        <v>1830</v>
      </c>
      <c r="B24" s="30" t="s">
        <v>1831</v>
      </c>
      <c r="C24" s="39" t="s">
        <v>5164</v>
      </c>
      <c r="D24" s="39" t="s">
        <v>5378</v>
      </c>
    </row>
    <row r="25" spans="1:4">
      <c r="A25" s="49"/>
      <c r="B25" s="50"/>
    </row>
  </sheetData>
  <sortState xmlns:xlrd2="http://schemas.microsoft.com/office/spreadsheetml/2017/richdata2" ref="A4:C24">
    <sortCondition descending="1" ref="A11:A24"/>
  </sortState>
  <phoneticPr fontId="4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D4D6-8CA0-304F-B18D-C872B89B244C}">
  <dimension ref="A1:H9"/>
  <sheetViews>
    <sheetView zoomScale="150" zoomScaleNormal="150" workbookViewId="0">
      <selection activeCell="B3" sqref="B3"/>
    </sheetView>
  </sheetViews>
  <sheetFormatPr baseColWidth="10" defaultRowHeight="15"/>
  <cols>
    <col min="1" max="1" width="18.33203125" bestFit="1" customWidth="1"/>
    <col min="2" max="2" width="21.1640625" bestFit="1" customWidth="1"/>
    <col min="3" max="3" width="21.83203125" bestFit="1" customWidth="1"/>
    <col min="4" max="4" width="11.1640625" bestFit="1" customWidth="1"/>
  </cols>
  <sheetData>
    <row r="1" spans="1:8" s="60" customFormat="1">
      <c r="A1" s="60" t="s">
        <v>5170</v>
      </c>
      <c r="B1" s="60" t="s">
        <v>5171</v>
      </c>
      <c r="C1" s="60" t="s">
        <v>5172</v>
      </c>
      <c r="D1" s="60" t="s">
        <v>13</v>
      </c>
    </row>
    <row r="2" spans="1:8">
      <c r="A2" s="18" t="s">
        <v>244</v>
      </c>
      <c r="B2" t="s">
        <v>413</v>
      </c>
      <c r="C2" s="9" t="s">
        <v>88</v>
      </c>
      <c r="D2" s="18" t="s">
        <v>2144</v>
      </c>
      <c r="F2" s="4"/>
      <c r="G2" s="5"/>
      <c r="H2" s="6"/>
    </row>
    <row r="3" spans="1:8">
      <c r="A3" s="18" t="s">
        <v>294</v>
      </c>
      <c r="B3" t="s">
        <v>5367</v>
      </c>
      <c r="C3" s="9" t="s">
        <v>63</v>
      </c>
      <c r="D3" s="18" t="s">
        <v>3719</v>
      </c>
      <c r="F3" s="4"/>
      <c r="G3" s="5"/>
      <c r="H3" s="6"/>
    </row>
    <row r="4" spans="1:8">
      <c r="A4" s="18" t="s">
        <v>1219</v>
      </c>
      <c r="B4" t="s">
        <v>5368</v>
      </c>
      <c r="C4" s="9" t="s">
        <v>1213</v>
      </c>
      <c r="D4" s="62" t="s">
        <v>5371</v>
      </c>
      <c r="F4" s="4"/>
      <c r="G4" s="5"/>
      <c r="H4" s="6"/>
    </row>
    <row r="5" spans="1:8">
      <c r="A5" s="18" t="s">
        <v>1369</v>
      </c>
      <c r="B5" t="s">
        <v>5369</v>
      </c>
      <c r="C5" s="9" t="s">
        <v>588</v>
      </c>
      <c r="D5" s="18" t="s">
        <v>319</v>
      </c>
      <c r="F5" s="4"/>
      <c r="G5" s="5"/>
      <c r="H5" s="6"/>
    </row>
    <row r="6" spans="1:8">
      <c r="A6" s="18" t="s">
        <v>2869</v>
      </c>
      <c r="B6" t="s">
        <v>5370</v>
      </c>
      <c r="C6" s="9" t="s">
        <v>2863</v>
      </c>
      <c r="D6" s="18" t="s">
        <v>594</v>
      </c>
      <c r="F6" s="4"/>
      <c r="G6" s="5"/>
      <c r="H6" s="6"/>
    </row>
    <row r="7" spans="1:8">
      <c r="A7" s="18" t="s">
        <v>2869</v>
      </c>
      <c r="B7" t="s">
        <v>5370</v>
      </c>
      <c r="C7" s="9" t="s">
        <v>2863</v>
      </c>
      <c r="D7" s="18" t="s">
        <v>594</v>
      </c>
      <c r="F7" s="4"/>
      <c r="G7" s="5"/>
      <c r="H7" s="6"/>
    </row>
    <row r="8" spans="1:8">
      <c r="A8" s="18" t="s">
        <v>3194</v>
      </c>
      <c r="B8" t="s">
        <v>1838</v>
      </c>
      <c r="C8" s="9" t="s">
        <v>3188</v>
      </c>
      <c r="D8" s="63" t="s">
        <v>5932</v>
      </c>
      <c r="F8" s="4"/>
      <c r="G8" s="5"/>
      <c r="H8" s="6"/>
    </row>
    <row r="9" spans="1:8">
      <c r="A9" s="18" t="s">
        <v>269</v>
      </c>
      <c r="B9" s="39" t="s">
        <v>313</v>
      </c>
      <c r="F9" s="39" t="s">
        <v>5372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CD29-A2D7-FF48-9DC9-5696D0FEDCE8}">
  <dimension ref="A1:EG203"/>
  <sheetViews>
    <sheetView workbookViewId="0">
      <selection activeCell="F5" sqref="F5"/>
    </sheetView>
  </sheetViews>
  <sheetFormatPr baseColWidth="10" defaultRowHeight="15"/>
  <cols>
    <col min="6" max="6" width="28.1640625" bestFit="1" customWidth="1"/>
    <col min="8" max="8" width="26.33203125" bestFit="1" customWidth="1"/>
  </cols>
  <sheetData>
    <row r="1" spans="1:137" s="55" customFormat="1" ht="81.75" customHeight="1">
      <c r="A1" s="51" t="s">
        <v>5024</v>
      </c>
      <c r="B1" s="51" t="s">
        <v>5025</v>
      </c>
      <c r="C1" s="51" t="s">
        <v>5026</v>
      </c>
      <c r="D1" s="51" t="s">
        <v>5027</v>
      </c>
      <c r="E1" s="51" t="s">
        <v>5028</v>
      </c>
      <c r="F1" s="97" t="s">
        <v>5029</v>
      </c>
      <c r="G1" s="52" t="s">
        <v>5030</v>
      </c>
      <c r="H1" s="51" t="s">
        <v>5031</v>
      </c>
      <c r="I1" s="51" t="s">
        <v>5032</v>
      </c>
      <c r="J1" s="51" t="s">
        <v>5033</v>
      </c>
      <c r="K1" s="52" t="s">
        <v>5034</v>
      </c>
      <c r="L1" s="51" t="s">
        <v>5035</v>
      </c>
      <c r="M1" s="51" t="s">
        <v>5036</v>
      </c>
      <c r="N1" s="53" t="s">
        <v>5037</v>
      </c>
      <c r="O1" s="51" t="s">
        <v>5038</v>
      </c>
      <c r="P1" s="51" t="s">
        <v>5014</v>
      </c>
      <c r="Q1" s="51" t="s">
        <v>5015</v>
      </c>
      <c r="R1" s="52" t="s">
        <v>5039</v>
      </c>
      <c r="S1" s="52" t="s">
        <v>5040</v>
      </c>
      <c r="T1" s="52" t="s">
        <v>5041</v>
      </c>
      <c r="U1" s="52" t="s">
        <v>5042</v>
      </c>
      <c r="V1" s="52" t="s">
        <v>5043</v>
      </c>
      <c r="W1" s="51" t="s">
        <v>5384</v>
      </c>
      <c r="X1" s="51" t="s">
        <v>5385</v>
      </c>
      <c r="Y1" s="52" t="s">
        <v>5044</v>
      </c>
      <c r="Z1" s="51" t="s">
        <v>5386</v>
      </c>
      <c r="AA1" s="52" t="s">
        <v>5045</v>
      </c>
      <c r="AB1" s="51" t="s">
        <v>5387</v>
      </c>
      <c r="AC1" s="51" t="s">
        <v>5388</v>
      </c>
      <c r="AD1" s="52" t="s">
        <v>5046</v>
      </c>
      <c r="AE1" s="52" t="s">
        <v>5047</v>
      </c>
      <c r="AF1" s="52" t="s">
        <v>5048</v>
      </c>
      <c r="AG1" s="52" t="s">
        <v>5049</v>
      </c>
      <c r="AH1" s="52" t="s">
        <v>5050</v>
      </c>
      <c r="AI1" s="52" t="s">
        <v>5051</v>
      </c>
      <c r="AJ1" s="52" t="s">
        <v>5052</v>
      </c>
      <c r="AK1" s="52" t="s">
        <v>5053</v>
      </c>
      <c r="AL1" s="52" t="s">
        <v>5054</v>
      </c>
      <c r="AM1" s="52" t="s">
        <v>5055</v>
      </c>
      <c r="AN1" s="52" t="s">
        <v>5056</v>
      </c>
      <c r="AO1" s="52" t="s">
        <v>5057</v>
      </c>
      <c r="AP1" s="51" t="s">
        <v>5058</v>
      </c>
      <c r="AQ1" s="52" t="s">
        <v>5059</v>
      </c>
      <c r="AR1" s="52" t="s">
        <v>5060</v>
      </c>
      <c r="AS1" s="52" t="s">
        <v>5061</v>
      </c>
      <c r="AT1" s="52" t="s">
        <v>5062</v>
      </c>
      <c r="AU1" s="52" t="s">
        <v>5063</v>
      </c>
      <c r="AV1" s="52" t="s">
        <v>5064</v>
      </c>
      <c r="AW1" s="52" t="s">
        <v>5065</v>
      </c>
      <c r="AX1" s="52" t="s">
        <v>5066</v>
      </c>
      <c r="AY1" s="52" t="s">
        <v>5067</v>
      </c>
      <c r="AZ1" s="52" t="s">
        <v>5068</v>
      </c>
      <c r="BA1" s="52" t="s">
        <v>5069</v>
      </c>
      <c r="BB1" s="52" t="s">
        <v>5070</v>
      </c>
      <c r="BC1" s="52" t="s">
        <v>5071</v>
      </c>
      <c r="BD1" s="52" t="s">
        <v>5072</v>
      </c>
      <c r="BE1" s="52" t="s">
        <v>5073</v>
      </c>
      <c r="BF1" s="52" t="s">
        <v>5074</v>
      </c>
      <c r="BG1" s="53" t="s">
        <v>5075</v>
      </c>
      <c r="BH1" s="53" t="s">
        <v>5076</v>
      </c>
      <c r="BI1" s="53" t="s">
        <v>5077</v>
      </c>
      <c r="BJ1" s="52" t="s">
        <v>5078</v>
      </c>
      <c r="BK1" s="53" t="s">
        <v>5079</v>
      </c>
      <c r="BL1" s="53" t="s">
        <v>5080</v>
      </c>
      <c r="BM1" s="52" t="s">
        <v>5081</v>
      </c>
      <c r="BN1" s="52" t="s">
        <v>5082</v>
      </c>
      <c r="BO1" s="52" t="s">
        <v>5083</v>
      </c>
      <c r="BP1" s="52" t="s">
        <v>5082</v>
      </c>
      <c r="BQ1" s="52" t="s">
        <v>5084</v>
      </c>
      <c r="BR1" s="52" t="s">
        <v>5085</v>
      </c>
      <c r="BS1" s="52" t="s">
        <v>5086</v>
      </c>
      <c r="BT1" s="52" t="s">
        <v>5087</v>
      </c>
      <c r="BU1" s="54" t="s">
        <v>5088</v>
      </c>
      <c r="BV1" s="54" t="s">
        <v>5089</v>
      </c>
      <c r="BW1" s="52" t="s">
        <v>5090</v>
      </c>
      <c r="BX1" s="52" t="s">
        <v>5091</v>
      </c>
      <c r="BY1" s="52" t="s">
        <v>5092</v>
      </c>
      <c r="BZ1" s="53" t="s">
        <v>5093</v>
      </c>
      <c r="CA1" s="53" t="s">
        <v>5094</v>
      </c>
      <c r="CB1" s="52" t="s">
        <v>5095</v>
      </c>
      <c r="CC1" s="52" t="s">
        <v>5096</v>
      </c>
      <c r="CD1" s="52" t="s">
        <v>5097</v>
      </c>
      <c r="CE1" s="52" t="s">
        <v>5098</v>
      </c>
      <c r="CF1" s="52" t="s">
        <v>5099</v>
      </c>
      <c r="CG1" s="52" t="s">
        <v>5100</v>
      </c>
      <c r="CH1" s="53" t="s">
        <v>5101</v>
      </c>
      <c r="CI1" s="52" t="s">
        <v>5102</v>
      </c>
      <c r="CJ1" s="52" t="s">
        <v>5103</v>
      </c>
      <c r="CK1" s="52" t="s">
        <v>5104</v>
      </c>
      <c r="CL1" s="52" t="s">
        <v>5105</v>
      </c>
      <c r="CM1" s="54" t="s">
        <v>5106</v>
      </c>
      <c r="CN1" s="54" t="s">
        <v>5107</v>
      </c>
      <c r="CO1" s="54" t="s">
        <v>5108</v>
      </c>
      <c r="CP1" s="52" t="s">
        <v>5109</v>
      </c>
      <c r="CQ1" s="52" t="s">
        <v>5110</v>
      </c>
      <c r="CR1" s="52" t="s">
        <v>5111</v>
      </c>
      <c r="CS1" s="52" t="s">
        <v>5112</v>
      </c>
      <c r="CT1" s="52" t="s">
        <v>5113</v>
      </c>
      <c r="CU1" s="52" t="s">
        <v>5114</v>
      </c>
      <c r="CV1" s="52" t="s">
        <v>5115</v>
      </c>
      <c r="CW1" s="52" t="s">
        <v>5116</v>
      </c>
      <c r="CX1" s="52" t="s">
        <v>5117</v>
      </c>
      <c r="CY1" s="52" t="s">
        <v>5118</v>
      </c>
      <c r="CZ1" s="52" t="s">
        <v>5119</v>
      </c>
      <c r="DA1" s="52" t="s">
        <v>5120</v>
      </c>
      <c r="DB1" s="52" t="s">
        <v>5121</v>
      </c>
      <c r="DC1" s="52" t="s">
        <v>5122</v>
      </c>
      <c r="DD1" s="52" t="s">
        <v>5123</v>
      </c>
      <c r="DE1" s="52" t="s">
        <v>5124</v>
      </c>
      <c r="DF1" s="52" t="s">
        <v>5125</v>
      </c>
      <c r="DG1" s="52" t="s">
        <v>5126</v>
      </c>
      <c r="DH1" s="52" t="s">
        <v>5127</v>
      </c>
      <c r="DI1" s="52" t="s">
        <v>5128</v>
      </c>
      <c r="DJ1" s="52" t="s">
        <v>5129</v>
      </c>
      <c r="DK1" s="52" t="s">
        <v>5130</v>
      </c>
      <c r="DL1" s="52" t="s">
        <v>5131</v>
      </c>
      <c r="DM1" s="52" t="s">
        <v>5132</v>
      </c>
      <c r="DN1" s="52" t="s">
        <v>5133</v>
      </c>
      <c r="DO1" s="52" t="s">
        <v>5134</v>
      </c>
      <c r="DP1" s="52" t="s">
        <v>5135</v>
      </c>
      <c r="DQ1" s="52" t="s">
        <v>5136</v>
      </c>
      <c r="DR1" s="52" t="s">
        <v>5137</v>
      </c>
      <c r="DS1" s="52" t="s">
        <v>5138</v>
      </c>
      <c r="DT1" s="52" t="s">
        <v>5139</v>
      </c>
      <c r="DU1" s="52" t="s">
        <v>5140</v>
      </c>
      <c r="DV1" s="52" t="s">
        <v>5141</v>
      </c>
      <c r="DW1" s="52" t="s">
        <v>5142</v>
      </c>
      <c r="DX1" s="52" t="s">
        <v>5143</v>
      </c>
      <c r="DY1" s="52" t="s">
        <v>5144</v>
      </c>
      <c r="DZ1" s="52" t="s">
        <v>5145</v>
      </c>
      <c r="EA1" s="52" t="s">
        <v>5146</v>
      </c>
      <c r="EB1" s="52" t="s">
        <v>5147</v>
      </c>
      <c r="EC1" s="52" t="s">
        <v>5148</v>
      </c>
      <c r="ED1" s="52" t="s">
        <v>5149</v>
      </c>
      <c r="EE1" s="52" t="s">
        <v>5150</v>
      </c>
      <c r="EF1" s="52" t="s">
        <v>5151</v>
      </c>
      <c r="EG1" s="52" t="s">
        <v>5152</v>
      </c>
    </row>
    <row r="2" spans="1:137" s="55" customFormat="1" ht="81.75" hidden="1" customHeight="1">
      <c r="A2" s="66"/>
      <c r="B2" s="66"/>
      <c r="C2" s="66"/>
      <c r="D2" s="66"/>
      <c r="E2" s="66"/>
      <c r="F2" s="66"/>
      <c r="G2" s="67"/>
      <c r="H2" s="66"/>
      <c r="I2" s="66"/>
      <c r="J2" s="66"/>
      <c r="K2" s="67"/>
      <c r="L2" s="66"/>
      <c r="M2" s="66"/>
      <c r="N2" s="68"/>
      <c r="O2" s="66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6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8"/>
      <c r="BH2" s="68"/>
      <c r="BI2" s="68"/>
      <c r="BJ2" s="67"/>
      <c r="BK2" s="68"/>
      <c r="BL2" s="68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8"/>
      <c r="CA2" s="68"/>
      <c r="CB2" s="67"/>
      <c r="CC2" s="67"/>
      <c r="CD2" s="67"/>
      <c r="CE2" s="67"/>
      <c r="CF2" s="67"/>
      <c r="CG2" s="67"/>
      <c r="CH2" s="68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</row>
    <row r="3" spans="1:137" s="55" customFormat="1" ht="81.75" hidden="1" customHeight="1">
      <c r="A3" s="66"/>
      <c r="B3" s="66"/>
      <c r="C3" s="66"/>
      <c r="D3" s="66"/>
      <c r="E3" s="66"/>
      <c r="F3" s="66"/>
      <c r="G3" s="67"/>
      <c r="H3" s="66"/>
      <c r="I3" s="66"/>
      <c r="J3" s="66"/>
      <c r="K3" s="67"/>
      <c r="L3" s="66"/>
      <c r="M3" s="66"/>
      <c r="N3" s="68"/>
      <c r="O3" s="66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6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8"/>
      <c r="BH3" s="68"/>
      <c r="BI3" s="68"/>
      <c r="BJ3" s="67"/>
      <c r="BK3" s="68"/>
      <c r="BL3" s="68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8"/>
      <c r="CA3" s="68"/>
      <c r="CB3" s="67"/>
      <c r="CC3" s="67"/>
      <c r="CD3" s="67"/>
      <c r="CE3" s="67"/>
      <c r="CF3" s="67"/>
      <c r="CG3" s="67"/>
      <c r="CH3" s="68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</row>
    <row r="4" spans="1:137" s="55" customFormat="1" ht="81.75" hidden="1" customHeight="1">
      <c r="A4" s="66"/>
      <c r="B4" s="66"/>
      <c r="C4" s="66"/>
      <c r="D4" s="66"/>
      <c r="E4" s="66"/>
      <c r="F4" s="66"/>
      <c r="G4" s="67"/>
      <c r="H4" s="66"/>
      <c r="I4" s="66"/>
      <c r="J4" s="66"/>
      <c r="K4" s="67"/>
      <c r="L4" s="66"/>
      <c r="M4" s="66"/>
      <c r="N4" s="68"/>
      <c r="O4" s="66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6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8"/>
      <c r="BH4" s="68"/>
      <c r="BI4" s="68"/>
      <c r="BJ4" s="67"/>
      <c r="BK4" s="68"/>
      <c r="BL4" s="68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8"/>
      <c r="CA4" s="68"/>
      <c r="CB4" s="67"/>
      <c r="CC4" s="67"/>
      <c r="CD4" s="67"/>
      <c r="CE4" s="67"/>
      <c r="CF4" s="67"/>
      <c r="CG4" s="67"/>
      <c r="CH4" s="68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67"/>
      <c r="DR4" s="67"/>
      <c r="DS4" s="67"/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</row>
    <row r="5" spans="1:137">
      <c r="A5" s="62" t="s">
        <v>5380</v>
      </c>
      <c r="B5" t="str">
        <f>'1'!B5</f>
        <v>Tammie</v>
      </c>
      <c r="C5" t="str">
        <f>'1'!C5</f>
        <v/>
      </c>
      <c r="D5" t="str">
        <f>'1'!D5</f>
        <v>Abitua</v>
      </c>
      <c r="E5" t="str">
        <f>'1'!P5</f>
        <v>211837</v>
      </c>
      <c r="F5" t="str">
        <f>'1'!I5&amp;".new.uat"</f>
        <v>tabitua1@onebarnes.com.new.uat</v>
      </c>
      <c r="G5" s="39" t="s">
        <v>5389</v>
      </c>
      <c r="H5" t="str">
        <f>'1'!I5</f>
        <v>tabitua1@onebarnes.com</v>
      </c>
      <c r="I5" t="str">
        <f>'1'!AI5</f>
        <v>en_US</v>
      </c>
      <c r="L5" t="str">
        <f>'1'!AD5</f>
        <v>0088</v>
      </c>
      <c r="M5" t="str">
        <f>'1'!AJ5</f>
        <v>USD</v>
      </c>
      <c r="O5" s="39" t="str">
        <f>'1'!AL5</f>
        <v>Y</v>
      </c>
      <c r="P5" t="str">
        <f>'1'!AD5</f>
        <v>0088</v>
      </c>
      <c r="Q5">
        <f>'1'!AE5</f>
        <v>5100</v>
      </c>
      <c r="W5" t="str">
        <f>'1'!AA5</f>
        <v>S05</v>
      </c>
      <c r="X5" t="str">
        <f>'1'!AG5</f>
        <v>General</v>
      </c>
      <c r="Z5">
        <f>'1'!AE5</f>
        <v>5100</v>
      </c>
      <c r="AB5" t="str">
        <f>'1'!AM5</f>
        <v/>
      </c>
      <c r="AC5" t="str">
        <f>'1'!AK5</f>
        <v/>
      </c>
      <c r="AP5" t="str">
        <f>'1'!AD5</f>
        <v>0088</v>
      </c>
      <c r="BG5" t="str">
        <f>'1'!AC5</f>
        <v>211756</v>
      </c>
      <c r="BK5" s="39" t="s">
        <v>5381</v>
      </c>
      <c r="BL5" s="39" t="s">
        <v>5381</v>
      </c>
      <c r="BU5" s="39" t="s">
        <v>5381</v>
      </c>
      <c r="BV5" s="39" t="s">
        <v>5381</v>
      </c>
      <c r="CE5" s="39" t="s">
        <v>5381</v>
      </c>
      <c r="CH5" s="39" t="s">
        <v>5381</v>
      </c>
    </row>
    <row r="6" spans="1:137">
      <c r="A6" s="62" t="s">
        <v>5380</v>
      </c>
      <c r="B6" t="str">
        <f>'1'!B6</f>
        <v>Gregory</v>
      </c>
      <c r="C6" t="str">
        <f>'1'!C6</f>
        <v>S</v>
      </c>
      <c r="D6" t="str">
        <f>'1'!D6</f>
        <v>Adams</v>
      </c>
      <c r="E6" t="str">
        <f>'1'!P6</f>
        <v>213331</v>
      </c>
      <c r="F6" t="str">
        <f>'1'!I6&amp;".new.uat"</f>
        <v>gadams@onebarnes.com.new.uat</v>
      </c>
      <c r="G6" s="39" t="s">
        <v>5389</v>
      </c>
      <c r="H6" t="str">
        <f>'1'!I6</f>
        <v>gadams@onebarnes.com</v>
      </c>
      <c r="I6" t="str">
        <f>'1'!AI6</f>
        <v>en_US</v>
      </c>
      <c r="L6" t="str">
        <f>'1'!AD6</f>
        <v>0088</v>
      </c>
      <c r="M6" t="str">
        <f>'1'!AJ6</f>
        <v>USD</v>
      </c>
      <c r="O6" s="39" t="str">
        <f>'1'!AL6</f>
        <v>Y</v>
      </c>
      <c r="P6" t="str">
        <f>'1'!AD6</f>
        <v>0088</v>
      </c>
      <c r="Q6">
        <f>'1'!AE6</f>
        <v>8200</v>
      </c>
      <c r="W6" t="str">
        <f>'1'!AA6</f>
        <v>S16</v>
      </c>
      <c r="X6" t="str">
        <f>'1'!AG6</f>
        <v>General</v>
      </c>
      <c r="Z6">
        <f>'1'!AE6</f>
        <v>8200</v>
      </c>
      <c r="AB6" t="str">
        <f>'1'!AM6</f>
        <v/>
      </c>
      <c r="AC6" t="str">
        <f>'1'!AK6</f>
        <v/>
      </c>
      <c r="AP6" t="str">
        <f>'1'!AD6</f>
        <v>0088</v>
      </c>
      <c r="BG6" t="str">
        <f>'1'!AC6</f>
        <v>207588</v>
      </c>
      <c r="BK6" s="39" t="s">
        <v>5381</v>
      </c>
      <c r="BL6" s="39" t="s">
        <v>5381</v>
      </c>
      <c r="BU6" s="39" t="s">
        <v>5381</v>
      </c>
      <c r="BV6" s="39" t="s">
        <v>5381</v>
      </c>
      <c r="CE6" s="39" t="s">
        <v>5381</v>
      </c>
      <c r="CH6" s="39" t="s">
        <v>5381</v>
      </c>
    </row>
    <row r="7" spans="1:137">
      <c r="A7" s="62" t="s">
        <v>5380</v>
      </c>
      <c r="B7" t="str">
        <f>'1'!B7</f>
        <v>Krystle</v>
      </c>
      <c r="C7" t="str">
        <f>'1'!C7</f>
        <v/>
      </c>
      <c r="D7" t="str">
        <f>'1'!D7</f>
        <v>Agler</v>
      </c>
      <c r="E7" t="str">
        <f>'1'!P7</f>
        <v>213226</v>
      </c>
      <c r="F7" t="str">
        <f>'1'!I7&amp;".new.uat"</f>
        <v>.new.uat</v>
      </c>
      <c r="G7" s="39" t="s">
        <v>5389</v>
      </c>
      <c r="H7" t="str">
        <f>'1'!I7</f>
        <v/>
      </c>
      <c r="I7" t="str">
        <f>'1'!AI7</f>
        <v>en_US</v>
      </c>
      <c r="L7" t="str">
        <f>'1'!AD7</f>
        <v>0088</v>
      </c>
      <c r="M7" t="str">
        <f>'1'!AJ7</f>
        <v>USD</v>
      </c>
      <c r="O7" s="39" t="str">
        <f>'1'!AL7</f>
        <v>Y</v>
      </c>
      <c r="P7" t="str">
        <f>'1'!AD7</f>
        <v>0088</v>
      </c>
      <c r="Q7">
        <f>'1'!AE7</f>
        <v>8300</v>
      </c>
      <c r="W7" t="str">
        <f>'1'!AA7</f>
        <v>S16</v>
      </c>
      <c r="X7" t="str">
        <f>'1'!AG7</f>
        <v>General</v>
      </c>
      <c r="Z7">
        <f>'1'!AE7</f>
        <v>8300</v>
      </c>
      <c r="AB7" t="str">
        <f>'1'!AM7</f>
        <v/>
      </c>
      <c r="AC7" t="str">
        <f>'1'!AK7</f>
        <v/>
      </c>
      <c r="AP7" t="str">
        <f>'1'!AD7</f>
        <v>0088</v>
      </c>
      <c r="BG7" t="str">
        <f>'1'!AC7</f>
        <v>211766</v>
      </c>
      <c r="BK7" s="39" t="s">
        <v>5381</v>
      </c>
      <c r="BL7" s="39" t="s">
        <v>5381</v>
      </c>
      <c r="BU7" s="39" t="s">
        <v>5381</v>
      </c>
      <c r="BV7" s="39" t="s">
        <v>5381</v>
      </c>
      <c r="CE7" s="39" t="s">
        <v>5381</v>
      </c>
      <c r="CH7" s="39" t="s">
        <v>5381</v>
      </c>
    </row>
    <row r="8" spans="1:137">
      <c r="A8" s="62" t="s">
        <v>5380</v>
      </c>
      <c r="B8" t="str">
        <f>'1'!B8</f>
        <v>Aydrian</v>
      </c>
      <c r="C8" t="str">
        <f>'1'!C8</f>
        <v>M</v>
      </c>
      <c r="D8" t="str">
        <f>'1'!D8</f>
        <v>Ahrens</v>
      </c>
      <c r="E8" t="str">
        <f>'1'!P8</f>
        <v>211901</v>
      </c>
      <c r="F8" t="str">
        <f>'1'!I8&amp;".new.uat"</f>
        <v>.new.uat</v>
      </c>
      <c r="G8" s="39" t="s">
        <v>5389</v>
      </c>
      <c r="H8" t="str">
        <f>'1'!I8</f>
        <v/>
      </c>
      <c r="I8" t="str">
        <f>'1'!AI8</f>
        <v>en_US</v>
      </c>
      <c r="L8" t="str">
        <f>'1'!AD8</f>
        <v>0088</v>
      </c>
      <c r="M8" t="str">
        <f>'1'!AJ8</f>
        <v>USD</v>
      </c>
      <c r="O8" s="39" t="str">
        <f>'1'!AL8</f>
        <v>Y</v>
      </c>
      <c r="P8" t="str">
        <f>'1'!AD8</f>
        <v>0088</v>
      </c>
      <c r="Q8">
        <f>'1'!AE8</f>
        <v>5100</v>
      </c>
      <c r="W8" t="str">
        <f>'1'!AA8</f>
        <v>S05</v>
      </c>
      <c r="X8" t="str">
        <f>'1'!AG8</f>
        <v>General</v>
      </c>
      <c r="Z8">
        <f>'1'!AE8</f>
        <v>5100</v>
      </c>
      <c r="AB8" t="str">
        <f>'1'!AM8</f>
        <v/>
      </c>
      <c r="AC8" t="str">
        <f>'1'!AK8</f>
        <v/>
      </c>
      <c r="AP8" t="str">
        <f>'1'!AD8</f>
        <v>0088</v>
      </c>
      <c r="BG8" t="str">
        <f>'1'!AC8</f>
        <v>211756</v>
      </c>
      <c r="BK8" s="39" t="s">
        <v>5381</v>
      </c>
      <c r="BL8" s="39" t="s">
        <v>5381</v>
      </c>
      <c r="BU8" s="39" t="s">
        <v>5381</v>
      </c>
      <c r="BV8" s="39" t="s">
        <v>5381</v>
      </c>
      <c r="CE8" s="39" t="s">
        <v>5381</v>
      </c>
      <c r="CH8" s="39" t="s">
        <v>5381</v>
      </c>
    </row>
    <row r="9" spans="1:137">
      <c r="A9" s="62" t="s">
        <v>5380</v>
      </c>
      <c r="B9" t="str">
        <f>'1'!B9</f>
        <v>Matthew</v>
      </c>
      <c r="C9" t="str">
        <f>'1'!C9</f>
        <v/>
      </c>
      <c r="D9" t="str">
        <f>'1'!D9</f>
        <v>Ahrens</v>
      </c>
      <c r="E9" t="str">
        <f>'1'!P9</f>
        <v>213306</v>
      </c>
      <c r="F9" t="str">
        <f>'1'!I9&amp;".new.uat"</f>
        <v>.new.uat</v>
      </c>
      <c r="G9" s="39" t="s">
        <v>5389</v>
      </c>
      <c r="H9" t="str">
        <f>'1'!I9</f>
        <v/>
      </c>
      <c r="I9" t="str">
        <f>'1'!AI9</f>
        <v>en_US</v>
      </c>
      <c r="L9" t="str">
        <f>'1'!AD9</f>
        <v>0088</v>
      </c>
      <c r="M9" t="str">
        <f>'1'!AJ9</f>
        <v>USD</v>
      </c>
      <c r="O9" s="39" t="str">
        <f>'1'!AL9</f>
        <v>N</v>
      </c>
      <c r="P9" t="str">
        <f>'1'!AD9</f>
        <v>0088</v>
      </c>
      <c r="Q9">
        <f>'1'!AE9</f>
        <v>5300</v>
      </c>
      <c r="W9" t="str">
        <f>'1'!AA9</f>
        <v>S05</v>
      </c>
      <c r="X9" t="str">
        <f>'1'!AG9</f>
        <v>General</v>
      </c>
      <c r="Z9">
        <f>'1'!AE9</f>
        <v>5300</v>
      </c>
      <c r="AB9" t="str">
        <f>'1'!AM9</f>
        <v>20260609</v>
      </c>
      <c r="AC9" t="str">
        <f>'1'!AK9</f>
        <v/>
      </c>
      <c r="AP9" t="str">
        <f>'1'!AD9</f>
        <v>0088</v>
      </c>
      <c r="BG9" t="str">
        <f>'1'!AC9</f>
        <v>211756</v>
      </c>
      <c r="BK9" s="39" t="s">
        <v>5381</v>
      </c>
      <c r="BL9" s="39" t="s">
        <v>5381</v>
      </c>
      <c r="BU9" s="39" t="s">
        <v>5381</v>
      </c>
      <c r="BV9" s="39" t="s">
        <v>5381</v>
      </c>
      <c r="CE9" s="39" t="s">
        <v>5381</v>
      </c>
      <c r="CH9" s="39" t="s">
        <v>5381</v>
      </c>
    </row>
    <row r="10" spans="1:137">
      <c r="A10" s="62" t="s">
        <v>5380</v>
      </c>
      <c r="B10" t="str">
        <f>'1'!B10</f>
        <v>Thomas</v>
      </c>
      <c r="C10" t="str">
        <f>'1'!C10</f>
        <v>E</v>
      </c>
      <c r="D10" t="str">
        <f>'1'!D10</f>
        <v>Alexander</v>
      </c>
      <c r="E10" t="str">
        <f>'1'!P10</f>
        <v>210892</v>
      </c>
      <c r="F10" t="str">
        <f>'1'!I10&amp;".new.uat"</f>
        <v>talexander@onebarnes.com.new.uat</v>
      </c>
      <c r="G10" s="39" t="s">
        <v>5389</v>
      </c>
      <c r="H10" t="str">
        <f>'1'!I10</f>
        <v>talexander@onebarnes.com</v>
      </c>
      <c r="I10" t="str">
        <f>'1'!AI10</f>
        <v>en_US</v>
      </c>
      <c r="L10" t="str">
        <f>'1'!AD10</f>
        <v>0088</v>
      </c>
      <c r="M10" t="str">
        <f>'1'!AJ10</f>
        <v>USD</v>
      </c>
      <c r="O10" s="39" t="str">
        <f>'1'!AL10</f>
        <v>Y</v>
      </c>
      <c r="P10" t="str">
        <f>'1'!AD10</f>
        <v>0088</v>
      </c>
      <c r="Q10">
        <f>'1'!AE10</f>
        <v>9500</v>
      </c>
      <c r="W10" t="str">
        <f>'1'!AA10</f>
        <v>S16</v>
      </c>
      <c r="X10" t="str">
        <f>'1'!AG10</f>
        <v>General</v>
      </c>
      <c r="Z10">
        <f>'1'!AE10</f>
        <v>9500</v>
      </c>
      <c r="AB10" t="str">
        <f>'1'!AM10</f>
        <v/>
      </c>
      <c r="AC10" t="str">
        <f>'1'!AK10</f>
        <v/>
      </c>
      <c r="AP10" t="str">
        <f>'1'!AD10</f>
        <v>0088</v>
      </c>
      <c r="BG10" t="str">
        <f>'1'!AC10</f>
        <v>211766</v>
      </c>
      <c r="BK10" s="39" t="s">
        <v>5381</v>
      </c>
      <c r="BL10" s="39" t="s">
        <v>5381</v>
      </c>
      <c r="BU10" s="39" t="s">
        <v>5381</v>
      </c>
      <c r="BV10" s="39" t="s">
        <v>5381</v>
      </c>
      <c r="CE10" s="39" t="s">
        <v>5381</v>
      </c>
      <c r="CH10" s="39" t="s">
        <v>5381</v>
      </c>
    </row>
    <row r="11" spans="1:137">
      <c r="A11" s="62" t="s">
        <v>5380</v>
      </c>
      <c r="B11" t="str">
        <f>'1'!B11</f>
        <v>Tina</v>
      </c>
      <c r="C11" t="str">
        <f>'1'!C11</f>
        <v>M</v>
      </c>
      <c r="D11" t="str">
        <f>'1'!D11</f>
        <v>Allen</v>
      </c>
      <c r="E11" t="str">
        <f>'1'!P11</f>
        <v>206848</v>
      </c>
      <c r="F11" t="str">
        <f>'1'!I11&amp;".new.uat"</f>
        <v>TAllen2@onebarnes.com.new.uat</v>
      </c>
      <c r="G11" s="39" t="s">
        <v>5389</v>
      </c>
      <c r="H11" t="str">
        <f>'1'!I11</f>
        <v>TAllen2@onebarnes.com</v>
      </c>
      <c r="I11" t="str">
        <f>'1'!AI11</f>
        <v>en_US</v>
      </c>
      <c r="L11" t="str">
        <f>'1'!AD11</f>
        <v>0088</v>
      </c>
      <c r="M11" t="str">
        <f>'1'!AJ11</f>
        <v>USD</v>
      </c>
      <c r="O11" s="39" t="str">
        <f>'1'!AL11</f>
        <v>Y</v>
      </c>
      <c r="P11" t="str">
        <f>'1'!AD11</f>
        <v>0088</v>
      </c>
      <c r="Q11">
        <f>'1'!AE11</f>
        <v>5200</v>
      </c>
      <c r="W11" t="str">
        <f>'1'!AA11</f>
        <v>S05</v>
      </c>
      <c r="X11" t="str">
        <f>'1'!AG11</f>
        <v>General</v>
      </c>
      <c r="Z11">
        <f>'1'!AE11</f>
        <v>5200</v>
      </c>
      <c r="AB11" t="str">
        <f>'1'!AM11</f>
        <v/>
      </c>
      <c r="AC11" t="str">
        <f>'1'!AK11</f>
        <v/>
      </c>
      <c r="AP11" t="str">
        <f>'1'!AD11</f>
        <v>0088</v>
      </c>
      <c r="BG11" t="str">
        <f>'1'!AC11</f>
        <v>211736</v>
      </c>
      <c r="BK11" s="39" t="s">
        <v>5381</v>
      </c>
      <c r="BL11" s="39" t="s">
        <v>5381</v>
      </c>
      <c r="BU11" s="39" t="s">
        <v>5381</v>
      </c>
      <c r="BV11" s="39" t="s">
        <v>5381</v>
      </c>
      <c r="CE11" s="39" t="s">
        <v>5381</v>
      </c>
      <c r="CH11" s="39" t="s">
        <v>5381</v>
      </c>
    </row>
    <row r="12" spans="1:137">
      <c r="A12" s="62" t="s">
        <v>5380</v>
      </c>
      <c r="B12" t="str">
        <f>'1'!B12</f>
        <v>Kimberly</v>
      </c>
      <c r="C12" t="str">
        <f>'1'!C12</f>
        <v/>
      </c>
      <c r="D12" t="str">
        <f>'1'!D12</f>
        <v>Ashley</v>
      </c>
      <c r="E12" t="str">
        <f>'1'!P12</f>
        <v>201688</v>
      </c>
      <c r="F12" t="str">
        <f>'1'!I12&amp;".new.uat"</f>
        <v>KAshley@onebarnes.com.new.uat</v>
      </c>
      <c r="G12" s="39" t="s">
        <v>5389</v>
      </c>
      <c r="H12" t="str">
        <f>'1'!I12</f>
        <v>KAshley@onebarnes.com</v>
      </c>
      <c r="I12" t="str">
        <f>'1'!AI12</f>
        <v>en_US</v>
      </c>
      <c r="L12" t="str">
        <f>'1'!AD12</f>
        <v>0088</v>
      </c>
      <c r="M12" t="str">
        <f>'1'!AJ12</f>
        <v>USD</v>
      </c>
      <c r="O12" s="39" t="str">
        <f>'1'!AL12</f>
        <v>Y</v>
      </c>
      <c r="P12" t="str">
        <f>'1'!AD12</f>
        <v>0088</v>
      </c>
      <c r="Q12">
        <f>'1'!AE12</f>
        <v>9100</v>
      </c>
      <c r="W12" t="str">
        <f>'1'!AA12</f>
        <v>S13</v>
      </c>
      <c r="X12" t="str">
        <f>'1'!AG12</f>
        <v>General</v>
      </c>
      <c r="Z12">
        <f>'1'!AE12</f>
        <v>9100</v>
      </c>
      <c r="AB12" t="str">
        <f>'1'!AM12</f>
        <v/>
      </c>
      <c r="AC12" t="str">
        <f>'1'!AK12</f>
        <v/>
      </c>
      <c r="AP12" t="str">
        <f>'1'!AD12</f>
        <v>0088</v>
      </c>
      <c r="BG12" t="str">
        <f>'1'!AC12</f>
        <v>008750</v>
      </c>
      <c r="BK12" s="39" t="s">
        <v>5381</v>
      </c>
      <c r="BL12" s="39" t="s">
        <v>5381</v>
      </c>
      <c r="BU12" s="39" t="s">
        <v>5381</v>
      </c>
      <c r="BV12" s="39" t="s">
        <v>5381</v>
      </c>
      <c r="CE12" s="39" t="s">
        <v>5381</v>
      </c>
      <c r="CH12" s="39" t="s">
        <v>5381</v>
      </c>
    </row>
    <row r="13" spans="1:137">
      <c r="A13" s="62" t="s">
        <v>5380</v>
      </c>
      <c r="B13" t="str">
        <f>'1'!B13</f>
        <v>Jason</v>
      </c>
      <c r="C13" t="str">
        <f>'1'!C13</f>
        <v>J</v>
      </c>
      <c r="D13" t="str">
        <f>'1'!D13</f>
        <v>Bailey</v>
      </c>
      <c r="E13" t="str">
        <f>'1'!P13</f>
        <v>902688</v>
      </c>
      <c r="F13" t="str">
        <f>'1'!I13&amp;".new.uat"</f>
        <v>jbailey@onebarnes.com.new.uat</v>
      </c>
      <c r="G13" s="39" t="s">
        <v>5389</v>
      </c>
      <c r="H13" t="str">
        <f>'1'!I13</f>
        <v>jbailey@onebarnes.com</v>
      </c>
      <c r="I13" t="str">
        <f>'1'!AI13</f>
        <v>en_US</v>
      </c>
      <c r="L13" t="str">
        <f>'1'!AD13</f>
        <v>0088</v>
      </c>
      <c r="M13" t="str">
        <f>'1'!AJ13</f>
        <v>USD</v>
      </c>
      <c r="O13" s="39" t="str">
        <f>'1'!AL13</f>
        <v>Y</v>
      </c>
      <c r="P13" t="str">
        <f>'1'!AD13</f>
        <v>0088</v>
      </c>
      <c r="Q13" t="str">
        <f>'1'!AE13</f>
        <v>Home Department Code Not Mapped</v>
      </c>
      <c r="W13" t="str">
        <f>'1'!AA13</f>
        <v>S18</v>
      </c>
      <c r="X13" t="str">
        <f>'1'!AG13</f>
        <v>General</v>
      </c>
      <c r="Z13" t="str">
        <f>'1'!AE13</f>
        <v>Home Department Code Not Mapped</v>
      </c>
      <c r="AB13" t="str">
        <f>'1'!AM13</f>
        <v/>
      </c>
      <c r="AC13" t="str">
        <f>'1'!AK13</f>
        <v/>
      </c>
      <c r="AP13" t="str">
        <f>'1'!AD13</f>
        <v>0088</v>
      </c>
      <c r="BG13" t="str">
        <f>'1'!AC13</f>
        <v/>
      </c>
      <c r="BK13" s="39" t="s">
        <v>5381</v>
      </c>
      <c r="BL13" s="39" t="s">
        <v>5381</v>
      </c>
      <c r="BU13" s="39" t="s">
        <v>5381</v>
      </c>
      <c r="BV13" s="39" t="s">
        <v>5381</v>
      </c>
      <c r="CE13" s="39" t="s">
        <v>5381</v>
      </c>
      <c r="CH13" s="39" t="s">
        <v>5381</v>
      </c>
    </row>
    <row r="14" spans="1:137">
      <c r="A14" s="62" t="s">
        <v>5380</v>
      </c>
      <c r="B14" t="str">
        <f>'1'!B14</f>
        <v>Teresa</v>
      </c>
      <c r="C14" t="str">
        <f>'1'!C14</f>
        <v/>
      </c>
      <c r="D14" t="str">
        <f>'1'!D14</f>
        <v>Bair</v>
      </c>
      <c r="E14" t="str">
        <f>'1'!P14</f>
        <v>207709</v>
      </c>
      <c r="F14" t="str">
        <f>'1'!I14&amp;".new.uat"</f>
        <v>TBair@onebarnes.com.new.uat</v>
      </c>
      <c r="G14" s="39" t="s">
        <v>5389</v>
      </c>
      <c r="H14" t="str">
        <f>'1'!I14</f>
        <v>TBair@onebarnes.com</v>
      </c>
      <c r="I14" t="str">
        <f>'1'!AI14</f>
        <v>en_US</v>
      </c>
      <c r="L14" t="str">
        <f>'1'!AD14</f>
        <v>0088</v>
      </c>
      <c r="M14" t="str">
        <f>'1'!AJ14</f>
        <v>USD</v>
      </c>
      <c r="O14" s="39" t="str">
        <f>'1'!AL14</f>
        <v>Y</v>
      </c>
      <c r="P14" t="str">
        <f>'1'!AD14</f>
        <v>0088</v>
      </c>
      <c r="Q14">
        <f>'1'!AE14</f>
        <v>9310</v>
      </c>
      <c r="W14" t="str">
        <f>'1'!AA14</f>
        <v>S22</v>
      </c>
      <c r="X14" t="str">
        <f>'1'!AG14</f>
        <v>Senior Leadership</v>
      </c>
      <c r="Z14">
        <f>'1'!AE14</f>
        <v>9310</v>
      </c>
      <c r="AB14" t="str">
        <f>'1'!AM14</f>
        <v/>
      </c>
      <c r="AC14" t="str">
        <f>'1'!AK14</f>
        <v/>
      </c>
      <c r="AP14" t="str">
        <f>'1'!AD14</f>
        <v>0088</v>
      </c>
      <c r="BG14" t="str">
        <f>'1'!AC14</f>
        <v/>
      </c>
      <c r="BK14" s="39" t="s">
        <v>5381</v>
      </c>
      <c r="BL14" s="39" t="s">
        <v>5381</v>
      </c>
      <c r="BU14" s="39" t="s">
        <v>5381</v>
      </c>
      <c r="BV14" s="39" t="s">
        <v>5381</v>
      </c>
      <c r="CE14" s="39" t="s">
        <v>5381</v>
      </c>
      <c r="CH14" s="39" t="s">
        <v>5381</v>
      </c>
    </row>
    <row r="15" spans="1:137">
      <c r="A15" s="62" t="s">
        <v>5380</v>
      </c>
      <c r="B15" t="str">
        <f>'1'!B15</f>
        <v>Kirsten</v>
      </c>
      <c r="C15" t="str">
        <f>'1'!C15</f>
        <v>V</v>
      </c>
      <c r="D15" t="str">
        <f>'1'!D15</f>
        <v>Barry</v>
      </c>
      <c r="E15" t="str">
        <f>'1'!P15</f>
        <v>209579</v>
      </c>
      <c r="F15" t="str">
        <f>'1'!I15&amp;".new.uat"</f>
        <v>kbarry@onebarnes.com.new.uat</v>
      </c>
      <c r="G15" s="39" t="s">
        <v>5389</v>
      </c>
      <c r="H15" t="str">
        <f>'1'!I15</f>
        <v>kbarry@onebarnes.com</v>
      </c>
      <c r="I15" t="str">
        <f>'1'!AI15</f>
        <v>en_US</v>
      </c>
      <c r="L15" t="str">
        <f>'1'!AD15</f>
        <v>0096</v>
      </c>
      <c r="M15" t="str">
        <f>'1'!AJ15</f>
        <v>USD</v>
      </c>
      <c r="O15" s="39" t="str">
        <f>'1'!AL15</f>
        <v>Y</v>
      </c>
      <c r="P15" t="str">
        <f>'1'!AD15</f>
        <v>0096</v>
      </c>
      <c r="Q15">
        <f>'1'!AE15</f>
        <v>820</v>
      </c>
      <c r="W15" t="str">
        <f>'1'!AA15</f>
        <v>S15</v>
      </c>
      <c r="X15" t="str">
        <f>'1'!AG15</f>
        <v>General</v>
      </c>
      <c r="Z15">
        <f>'1'!AE15</f>
        <v>820</v>
      </c>
      <c r="AB15" t="str">
        <f>'1'!AM15</f>
        <v/>
      </c>
      <c r="AC15" t="str">
        <f>'1'!AK15</f>
        <v/>
      </c>
      <c r="AP15" t="str">
        <f>'1'!AD15</f>
        <v>0096</v>
      </c>
      <c r="BG15" t="str">
        <f>'1'!AC15</f>
        <v/>
      </c>
      <c r="BK15" s="39" t="s">
        <v>5381</v>
      </c>
      <c r="BL15" s="39" t="s">
        <v>5381</v>
      </c>
      <c r="BU15" s="39" t="s">
        <v>5381</v>
      </c>
      <c r="BV15" s="39" t="s">
        <v>5381</v>
      </c>
      <c r="CE15" s="39" t="s">
        <v>5381</v>
      </c>
      <c r="CH15" s="39" t="s">
        <v>5381</v>
      </c>
    </row>
    <row r="16" spans="1:137">
      <c r="A16" s="62" t="s">
        <v>5380</v>
      </c>
      <c r="B16" t="str">
        <f>'1'!B16</f>
        <v>Natalie</v>
      </c>
      <c r="C16" t="str">
        <f>'1'!C16</f>
        <v/>
      </c>
      <c r="D16" t="str">
        <f>'1'!D16</f>
        <v>Bate</v>
      </c>
      <c r="E16" t="str">
        <f>'1'!P16</f>
        <v>213037</v>
      </c>
      <c r="F16" t="str">
        <f>'1'!I16&amp;".new.uat"</f>
        <v>nbate@onebarnes.com.new.uat</v>
      </c>
      <c r="G16" s="39" t="s">
        <v>5389</v>
      </c>
      <c r="H16" t="str">
        <f>'1'!I16</f>
        <v>nbate@onebarnes.com</v>
      </c>
      <c r="I16" t="str">
        <f>'1'!AI16</f>
        <v>en_US</v>
      </c>
      <c r="L16" t="str">
        <f>'1'!AD16</f>
        <v>0096</v>
      </c>
      <c r="M16" t="str">
        <f>'1'!AJ16</f>
        <v>USD</v>
      </c>
      <c r="O16" s="39" t="str">
        <f>'1'!AL16</f>
        <v>Y</v>
      </c>
      <c r="P16" t="str">
        <f>'1'!AD16</f>
        <v>0096</v>
      </c>
      <c r="Q16" t="str">
        <f>'1'!AE16</f>
        <v>0007</v>
      </c>
      <c r="W16" t="str">
        <f>'1'!AA16</f>
        <v>S19</v>
      </c>
      <c r="X16" t="str">
        <f>'1'!AG16</f>
        <v>General</v>
      </c>
      <c r="Z16" t="str">
        <f>'1'!AE16</f>
        <v>0007</v>
      </c>
      <c r="AB16" t="str">
        <f>'1'!AM16</f>
        <v/>
      </c>
      <c r="AC16" t="str">
        <f>'1'!AK16</f>
        <v/>
      </c>
      <c r="AP16" t="str">
        <f>'1'!AD16</f>
        <v>0096</v>
      </c>
      <c r="BG16" t="str">
        <f>'1'!AC16</f>
        <v>207709</v>
      </c>
      <c r="BK16" s="39" t="s">
        <v>5381</v>
      </c>
      <c r="BL16" s="39" t="s">
        <v>5381</v>
      </c>
      <c r="BU16" s="39" t="s">
        <v>5381</v>
      </c>
      <c r="BV16" s="39" t="s">
        <v>5381</v>
      </c>
      <c r="CE16" s="39" t="s">
        <v>5381</v>
      </c>
      <c r="CH16" s="39" t="s">
        <v>5381</v>
      </c>
    </row>
    <row r="17" spans="1:86">
      <c r="A17" s="62" t="s">
        <v>5380</v>
      </c>
      <c r="B17" t="str">
        <f>'1'!B17</f>
        <v>Michael</v>
      </c>
      <c r="C17" t="str">
        <f>'1'!C17</f>
        <v>J</v>
      </c>
      <c r="D17" t="str">
        <f>'1'!D17</f>
        <v>Beasley</v>
      </c>
      <c r="E17" t="str">
        <f>'1'!P17</f>
        <v>213333</v>
      </c>
      <c r="F17" t="str">
        <f>'1'!I17&amp;".new.uat"</f>
        <v>mbeasley@onebarnes.com.new.uat</v>
      </c>
      <c r="G17" s="39" t="s">
        <v>5389</v>
      </c>
      <c r="H17" t="str">
        <f>'1'!I17</f>
        <v>mbeasley@onebarnes.com</v>
      </c>
      <c r="I17" t="str">
        <f>'1'!AI17</f>
        <v>en_US</v>
      </c>
      <c r="L17" t="str">
        <f>'1'!AD17</f>
        <v>0088</v>
      </c>
      <c r="M17" t="str">
        <f>'1'!AJ17</f>
        <v>USD</v>
      </c>
      <c r="O17" s="39" t="str">
        <f>'1'!AL17</f>
        <v>Y</v>
      </c>
      <c r="P17" t="str">
        <f>'1'!AD17</f>
        <v>0088</v>
      </c>
      <c r="Q17">
        <f>'1'!AE17</f>
        <v>8200</v>
      </c>
      <c r="W17" t="str">
        <f>'1'!AA17</f>
        <v>S16</v>
      </c>
      <c r="X17" t="str">
        <f>'1'!AG17</f>
        <v>General</v>
      </c>
      <c r="Z17">
        <f>'1'!AE17</f>
        <v>8200</v>
      </c>
      <c r="AB17" t="str">
        <f>'1'!AM17</f>
        <v/>
      </c>
      <c r="AC17" t="str">
        <f>'1'!AK17</f>
        <v/>
      </c>
      <c r="AP17" t="str">
        <f>'1'!AD17</f>
        <v>0088</v>
      </c>
      <c r="BG17" t="str">
        <f>'1'!AC17</f>
        <v>207588</v>
      </c>
      <c r="BK17" s="39" t="s">
        <v>5381</v>
      </c>
      <c r="BL17" s="39" t="s">
        <v>5381</v>
      </c>
      <c r="BU17" s="39" t="s">
        <v>5381</v>
      </c>
      <c r="BV17" s="39" t="s">
        <v>5381</v>
      </c>
      <c r="CE17" s="39" t="s">
        <v>5381</v>
      </c>
      <c r="CH17" s="39" t="s">
        <v>5381</v>
      </c>
    </row>
    <row r="18" spans="1:86">
      <c r="A18" s="62" t="s">
        <v>5380</v>
      </c>
      <c r="B18" t="str">
        <f>'1'!B18</f>
        <v>Ella Renae</v>
      </c>
      <c r="C18" t="str">
        <f>'1'!C18</f>
        <v>E</v>
      </c>
      <c r="D18" t="str">
        <f>'1'!D18</f>
        <v>Beatrice</v>
      </c>
      <c r="E18" t="str">
        <f>'1'!P18</f>
        <v>212626</v>
      </c>
      <c r="F18" t="str">
        <f>'1'!I18&amp;".new.uat"</f>
        <v>ebeatrice@onebarnes.com.new.uat</v>
      </c>
      <c r="G18" s="39" t="s">
        <v>5389</v>
      </c>
      <c r="H18" t="str">
        <f>'1'!I18</f>
        <v>ebeatrice@onebarnes.com</v>
      </c>
      <c r="I18" t="str">
        <f>'1'!AI18</f>
        <v>en_US</v>
      </c>
      <c r="L18" t="str">
        <f>'1'!AD18</f>
        <v>0088</v>
      </c>
      <c r="M18" t="str">
        <f>'1'!AJ18</f>
        <v>USD</v>
      </c>
      <c r="O18" s="39" t="str">
        <f>'1'!AL18</f>
        <v>Y</v>
      </c>
      <c r="P18" t="str">
        <f>'1'!AD18</f>
        <v>0088</v>
      </c>
      <c r="Q18">
        <f>'1'!AE18</f>
        <v>5200</v>
      </c>
      <c r="W18" t="str">
        <f>'1'!AA18</f>
        <v>S05</v>
      </c>
      <c r="X18" t="str">
        <f>'1'!AG18</f>
        <v>General</v>
      </c>
      <c r="Z18">
        <f>'1'!AE18</f>
        <v>5200</v>
      </c>
      <c r="AB18" t="str">
        <f>'1'!AM18</f>
        <v/>
      </c>
      <c r="AC18" t="str">
        <f>'1'!AK18</f>
        <v/>
      </c>
      <c r="AP18" t="str">
        <f>'1'!AD18</f>
        <v>0088</v>
      </c>
      <c r="BG18" t="str">
        <f>'1'!AC18</f>
        <v>211736</v>
      </c>
      <c r="BK18" s="39" t="s">
        <v>5381</v>
      </c>
      <c r="BL18" s="39" t="s">
        <v>5381</v>
      </c>
      <c r="BU18" s="39" t="s">
        <v>5381</v>
      </c>
      <c r="BV18" s="39" t="s">
        <v>5381</v>
      </c>
      <c r="CE18" s="39" t="s">
        <v>5381</v>
      </c>
      <c r="CH18" s="39" t="s">
        <v>5381</v>
      </c>
    </row>
    <row r="19" spans="1:86">
      <c r="A19" s="62" t="s">
        <v>5380</v>
      </c>
      <c r="B19" t="str">
        <f>'1'!B19</f>
        <v>John</v>
      </c>
      <c r="C19" t="str">
        <f>'1'!C19</f>
        <v/>
      </c>
      <c r="D19" t="str">
        <f>'1'!D19</f>
        <v>Bentz</v>
      </c>
      <c r="E19" t="str">
        <f>'1'!P19</f>
        <v>212639</v>
      </c>
      <c r="F19" t="str">
        <f>'1'!I19&amp;".new.uat"</f>
        <v>jbentz@onebarnes.com.new.uat</v>
      </c>
      <c r="G19" s="39" t="s">
        <v>5389</v>
      </c>
      <c r="H19" t="str">
        <f>'1'!I19</f>
        <v>jbentz@onebarnes.com</v>
      </c>
      <c r="I19" t="str">
        <f>'1'!AI19</f>
        <v>en_US</v>
      </c>
      <c r="L19" t="str">
        <f>'1'!AD19</f>
        <v>0088</v>
      </c>
      <c r="M19" t="str">
        <f>'1'!AJ19</f>
        <v>USD</v>
      </c>
      <c r="O19" s="39" t="str">
        <f>'1'!AL19</f>
        <v>Y</v>
      </c>
      <c r="P19" t="str">
        <f>'1'!AD19</f>
        <v>0088</v>
      </c>
      <c r="Q19">
        <f>'1'!AE19</f>
        <v>5200</v>
      </c>
      <c r="W19" t="str">
        <f>'1'!AA19</f>
        <v>S05</v>
      </c>
      <c r="X19" t="str">
        <f>'1'!AG19</f>
        <v>General</v>
      </c>
      <c r="Z19">
        <f>'1'!AE19</f>
        <v>5200</v>
      </c>
      <c r="AB19" t="str">
        <f>'1'!AM19</f>
        <v/>
      </c>
      <c r="AC19" t="str">
        <f>'1'!AK19</f>
        <v/>
      </c>
      <c r="AP19" t="str">
        <f>'1'!AD19</f>
        <v>0088</v>
      </c>
      <c r="BG19" t="str">
        <f>'1'!AC19</f>
        <v>211736</v>
      </c>
      <c r="BK19" s="39" t="s">
        <v>5381</v>
      </c>
      <c r="BL19" s="39" t="s">
        <v>5381</v>
      </c>
      <c r="BU19" s="39" t="s">
        <v>5381</v>
      </c>
      <c r="BV19" s="39" t="s">
        <v>5381</v>
      </c>
      <c r="CE19" s="39" t="s">
        <v>5381</v>
      </c>
      <c r="CH19" s="39" t="s">
        <v>5381</v>
      </c>
    </row>
    <row r="20" spans="1:86">
      <c r="A20" s="62" t="s">
        <v>5380</v>
      </c>
      <c r="B20" t="str">
        <f>'1'!B20</f>
        <v>Michael</v>
      </c>
      <c r="C20" t="str">
        <f>'1'!C20</f>
        <v/>
      </c>
      <c r="D20" t="str">
        <f>'1'!D20</f>
        <v>Biniecki</v>
      </c>
      <c r="E20" t="str">
        <f>'1'!P20</f>
        <v>211464</v>
      </c>
      <c r="F20" t="str">
        <f>'1'!I20&amp;".new.uat"</f>
        <v>mbiniecki@onebarnes.com.new.uat</v>
      </c>
      <c r="G20" s="39" t="s">
        <v>5389</v>
      </c>
      <c r="H20" t="str">
        <f>'1'!I20</f>
        <v>mbiniecki@onebarnes.com</v>
      </c>
      <c r="I20" t="str">
        <f>'1'!AI20</f>
        <v>en_US</v>
      </c>
      <c r="L20" t="str">
        <f>'1'!AD20</f>
        <v>0088</v>
      </c>
      <c r="M20" t="str">
        <f>'1'!AJ20</f>
        <v>USD</v>
      </c>
      <c r="O20" s="39" t="str">
        <f>'1'!AL20</f>
        <v>Y</v>
      </c>
      <c r="P20" t="str">
        <f>'1'!AD20</f>
        <v>0088</v>
      </c>
      <c r="Q20">
        <f>'1'!AE20</f>
        <v>5200</v>
      </c>
      <c r="W20" t="str">
        <f>'1'!AA20</f>
        <v>S16</v>
      </c>
      <c r="X20" t="str">
        <f>'1'!AG20</f>
        <v>General</v>
      </c>
      <c r="Z20">
        <f>'1'!AE20</f>
        <v>5200</v>
      </c>
      <c r="AB20" t="str">
        <f>'1'!AM20</f>
        <v/>
      </c>
      <c r="AC20" t="str">
        <f>'1'!AK20</f>
        <v/>
      </c>
      <c r="AP20" t="str">
        <f>'1'!AD20</f>
        <v>0088</v>
      </c>
      <c r="BG20" t="str">
        <f>'1'!AC20</f>
        <v>211766</v>
      </c>
      <c r="BK20" s="39" t="s">
        <v>5381</v>
      </c>
      <c r="BL20" s="39" t="s">
        <v>5381</v>
      </c>
      <c r="BU20" s="39" t="s">
        <v>5381</v>
      </c>
      <c r="BV20" s="39" t="s">
        <v>5381</v>
      </c>
      <c r="CE20" s="39" t="s">
        <v>5381</v>
      </c>
      <c r="CH20" s="39" t="s">
        <v>5381</v>
      </c>
    </row>
    <row r="21" spans="1:86">
      <c r="A21" s="62" t="s">
        <v>5380</v>
      </c>
      <c r="B21" t="str">
        <f>'1'!B21</f>
        <v>Nathan</v>
      </c>
      <c r="C21" t="str">
        <f>'1'!C21</f>
        <v/>
      </c>
      <c r="D21" t="str">
        <f>'1'!D21</f>
        <v>Bird</v>
      </c>
      <c r="E21" t="str">
        <f>'1'!P21</f>
        <v>210102</v>
      </c>
      <c r="F21" t="str">
        <f>'1'!I21&amp;".new.uat"</f>
        <v>nbird@onebarnes.com.new.uat</v>
      </c>
      <c r="G21" s="39" t="s">
        <v>5389</v>
      </c>
      <c r="H21" t="str">
        <f>'1'!I21</f>
        <v>nbird@onebarnes.com</v>
      </c>
      <c r="I21" t="str">
        <f>'1'!AI21</f>
        <v>en_US</v>
      </c>
      <c r="L21" t="str">
        <f>'1'!AD21</f>
        <v>0096</v>
      </c>
      <c r="M21" t="str">
        <f>'1'!AJ21</f>
        <v>USD</v>
      </c>
      <c r="O21" s="39" t="str">
        <f>'1'!AL21</f>
        <v>Y</v>
      </c>
      <c r="P21" t="str">
        <f>'1'!AD21</f>
        <v>0096</v>
      </c>
      <c r="Q21">
        <f>'1'!AE21</f>
        <v>820</v>
      </c>
      <c r="W21" t="str">
        <f>'1'!AA21</f>
        <v>S15</v>
      </c>
      <c r="X21" t="str">
        <f>'1'!AG21</f>
        <v>General</v>
      </c>
      <c r="Z21">
        <f>'1'!AE21</f>
        <v>820</v>
      </c>
      <c r="AB21" t="str">
        <f>'1'!AM21</f>
        <v/>
      </c>
      <c r="AC21" t="str">
        <f>'1'!AK21</f>
        <v/>
      </c>
      <c r="AP21" t="str">
        <f>'1'!AD21</f>
        <v>0096</v>
      </c>
      <c r="BG21" t="str">
        <f>'1'!AC21</f>
        <v>901934</v>
      </c>
      <c r="BK21" s="39" t="s">
        <v>5381</v>
      </c>
      <c r="BL21" s="39" t="s">
        <v>5381</v>
      </c>
      <c r="BU21" s="39" t="s">
        <v>5381</v>
      </c>
      <c r="BV21" s="39" t="s">
        <v>5381</v>
      </c>
      <c r="CE21" s="39" t="s">
        <v>5381</v>
      </c>
      <c r="CH21" s="39" t="s">
        <v>5381</v>
      </c>
    </row>
    <row r="22" spans="1:86">
      <c r="A22" s="62" t="s">
        <v>5380</v>
      </c>
      <c r="B22" t="str">
        <f>'1'!B22</f>
        <v>James</v>
      </c>
      <c r="C22" t="str">
        <f>'1'!C22</f>
        <v/>
      </c>
      <c r="D22" t="str">
        <f>'1'!D22</f>
        <v>Biss</v>
      </c>
      <c r="E22" t="str">
        <f>'1'!P22</f>
        <v>210375</v>
      </c>
      <c r="F22" t="str">
        <f>'1'!I22&amp;".new.uat"</f>
        <v>.new.uat</v>
      </c>
      <c r="G22" s="39" t="s">
        <v>5389</v>
      </c>
      <c r="H22" t="str">
        <f>'1'!I22</f>
        <v/>
      </c>
      <c r="I22" t="str">
        <f>'1'!AI22</f>
        <v>en_US</v>
      </c>
      <c r="L22" t="str">
        <f>'1'!AD22</f>
        <v>0096</v>
      </c>
      <c r="M22" t="str">
        <f>'1'!AJ22</f>
        <v>USD</v>
      </c>
      <c r="O22" s="39" t="str">
        <f>'1'!AL22</f>
        <v>Y</v>
      </c>
      <c r="P22" t="str">
        <f>'1'!AD22</f>
        <v>0096</v>
      </c>
      <c r="Q22">
        <f>'1'!AE22</f>
        <v>200</v>
      </c>
      <c r="W22" t="str">
        <f>'1'!AA22</f>
        <v>H05</v>
      </c>
      <c r="X22" t="str">
        <f>'1'!AG22</f>
        <v>General</v>
      </c>
      <c r="Z22">
        <f>'1'!AE22</f>
        <v>200</v>
      </c>
      <c r="AB22" t="str">
        <f>'1'!AM22</f>
        <v/>
      </c>
      <c r="AC22" t="str">
        <f>'1'!AK22</f>
        <v/>
      </c>
      <c r="AP22" t="str">
        <f>'1'!AD22</f>
        <v>0096</v>
      </c>
      <c r="BG22" t="str">
        <f>'1'!AC22</f>
        <v>211062</v>
      </c>
      <c r="BK22" s="39" t="s">
        <v>5381</v>
      </c>
      <c r="BL22" s="39" t="s">
        <v>5381</v>
      </c>
      <c r="BU22" s="39" t="s">
        <v>5381</v>
      </c>
      <c r="BV22" s="39" t="s">
        <v>5381</v>
      </c>
      <c r="CE22" s="39" t="s">
        <v>5381</v>
      </c>
      <c r="CH22" s="39" t="s">
        <v>5381</v>
      </c>
    </row>
    <row r="23" spans="1:86">
      <c r="A23" s="62" t="s">
        <v>5380</v>
      </c>
      <c r="B23" t="str">
        <f>'1'!B23</f>
        <v>Brenda</v>
      </c>
      <c r="C23" t="str">
        <f>'1'!C23</f>
        <v/>
      </c>
      <c r="D23" t="str">
        <f>'1'!D23</f>
        <v>Bixler</v>
      </c>
      <c r="E23" t="str">
        <f>'1'!P23</f>
        <v>211174</v>
      </c>
      <c r="F23" t="str">
        <f>'1'!I23&amp;".new.uat"</f>
        <v>bbixler@onebarnes.com.new.uat</v>
      </c>
      <c r="G23" s="39" t="s">
        <v>5389</v>
      </c>
      <c r="H23" t="str">
        <f>'1'!I23</f>
        <v>bbixler@onebarnes.com</v>
      </c>
      <c r="I23" t="str">
        <f>'1'!AI23</f>
        <v>en_US</v>
      </c>
      <c r="L23" t="str">
        <f>'1'!AD23</f>
        <v>0088</v>
      </c>
      <c r="M23" t="str">
        <f>'1'!AJ23</f>
        <v>USD</v>
      </c>
      <c r="O23" s="39" t="str">
        <f>'1'!AL23</f>
        <v>Y</v>
      </c>
      <c r="P23" t="str">
        <f>'1'!AD23</f>
        <v>0088</v>
      </c>
      <c r="Q23">
        <f>'1'!AE23</f>
        <v>5200</v>
      </c>
      <c r="W23" t="str">
        <f>'1'!AA23</f>
        <v>S06</v>
      </c>
      <c r="X23" t="str">
        <f>'1'!AG23</f>
        <v>General</v>
      </c>
      <c r="Z23">
        <f>'1'!AE23</f>
        <v>5200</v>
      </c>
      <c r="AB23" t="str">
        <f>'1'!AM23</f>
        <v/>
      </c>
      <c r="AC23" t="str">
        <f>'1'!AK23</f>
        <v/>
      </c>
      <c r="AP23" t="str">
        <f>'1'!AD23</f>
        <v>0088</v>
      </c>
      <c r="BG23" t="str">
        <f>'1'!AC23</f>
        <v>211736</v>
      </c>
      <c r="BK23" s="39" t="s">
        <v>5381</v>
      </c>
      <c r="BL23" s="39" t="s">
        <v>5381</v>
      </c>
      <c r="BU23" s="39" t="s">
        <v>5381</v>
      </c>
      <c r="BV23" s="39" t="s">
        <v>5381</v>
      </c>
      <c r="CE23" s="39" t="s">
        <v>5381</v>
      </c>
      <c r="CH23" s="39" t="s">
        <v>5381</v>
      </c>
    </row>
    <row r="24" spans="1:86">
      <c r="A24" s="62" t="s">
        <v>5380</v>
      </c>
      <c r="B24" t="str">
        <f>'1'!B24</f>
        <v>Robert</v>
      </c>
      <c r="C24" t="str">
        <f>'1'!C24</f>
        <v/>
      </c>
      <c r="D24" t="str">
        <f>'1'!D24</f>
        <v>Bordner</v>
      </c>
      <c r="E24" t="str">
        <f>'1'!P24</f>
        <v/>
      </c>
      <c r="F24" t="str">
        <f>'1'!I24&amp;".new.uat"</f>
        <v>.new.uat</v>
      </c>
      <c r="G24" s="39" t="s">
        <v>5389</v>
      </c>
      <c r="H24" t="str">
        <f>'1'!I24</f>
        <v/>
      </c>
      <c r="I24" t="str">
        <f>'1'!AI24</f>
        <v>en_US</v>
      </c>
      <c r="L24" t="str">
        <f>'1'!AD24</f>
        <v>0088</v>
      </c>
      <c r="M24" t="str">
        <f>'1'!AJ24</f>
        <v>USD</v>
      </c>
      <c r="O24" s="39" t="str">
        <f>'1'!AL24</f>
        <v>Y</v>
      </c>
      <c r="P24" t="str">
        <f>'1'!AD24</f>
        <v>0088</v>
      </c>
      <c r="Q24">
        <f>'1'!AE24</f>
        <v>5100</v>
      </c>
      <c r="W24" t="str">
        <f>'1'!AA24</f>
        <v>S05</v>
      </c>
      <c r="X24" t="str">
        <f>'1'!AG24</f>
        <v>General</v>
      </c>
      <c r="Z24">
        <f>'1'!AE24</f>
        <v>5100</v>
      </c>
      <c r="AB24" t="str">
        <f>'1'!AM24</f>
        <v/>
      </c>
      <c r="AC24" t="str">
        <f>'1'!AK24</f>
        <v/>
      </c>
      <c r="AP24" t="str">
        <f>'1'!AD24</f>
        <v>0088</v>
      </c>
      <c r="BG24" t="str">
        <f>'1'!AC24</f>
        <v>211756</v>
      </c>
      <c r="BK24" s="39" t="s">
        <v>5381</v>
      </c>
      <c r="BL24" s="39" t="s">
        <v>5381</v>
      </c>
      <c r="BU24" s="39" t="s">
        <v>5381</v>
      </c>
      <c r="BV24" s="39" t="s">
        <v>5381</v>
      </c>
      <c r="CE24" s="39" t="s">
        <v>5381</v>
      </c>
      <c r="CH24" s="39" t="s">
        <v>5381</v>
      </c>
    </row>
    <row r="25" spans="1:86">
      <c r="A25" s="62" t="s">
        <v>5380</v>
      </c>
      <c r="B25" t="str">
        <f>'1'!B25</f>
        <v>Jack</v>
      </c>
      <c r="C25" t="str">
        <f>'1'!C25</f>
        <v>O</v>
      </c>
      <c r="D25" t="str">
        <f>'1'!D25</f>
        <v>Bradford</v>
      </c>
      <c r="E25" t="str">
        <f>'1'!P25</f>
        <v>213234</v>
      </c>
      <c r="F25" t="str">
        <f>'1'!I25&amp;".new.uat"</f>
        <v>.new.uat</v>
      </c>
      <c r="G25" s="39" t="s">
        <v>5389</v>
      </c>
      <c r="H25" t="str">
        <f>'1'!I25</f>
        <v/>
      </c>
      <c r="I25" t="str">
        <f>'1'!AI25</f>
        <v>en_US</v>
      </c>
      <c r="L25" t="str">
        <f>'1'!AD25</f>
        <v>0088</v>
      </c>
      <c r="M25" t="str">
        <f>'1'!AJ25</f>
        <v>USD</v>
      </c>
      <c r="O25" s="39" t="str">
        <f>'1'!AL25</f>
        <v>N</v>
      </c>
      <c r="P25" t="str">
        <f>'1'!AD25</f>
        <v>0088</v>
      </c>
      <c r="Q25">
        <f>'1'!AE25</f>
        <v>8300</v>
      </c>
      <c r="W25" t="str">
        <f>'1'!AA25</f>
        <v>H05</v>
      </c>
      <c r="X25" t="str">
        <f>'1'!AG25</f>
        <v>General</v>
      </c>
      <c r="Z25">
        <f>'1'!AE25</f>
        <v>8300</v>
      </c>
      <c r="AB25" t="str">
        <f>'1'!AM25</f>
        <v>20260807</v>
      </c>
      <c r="AC25" t="str">
        <f>'1'!AK25</f>
        <v/>
      </c>
      <c r="AP25" t="str">
        <f>'1'!AD25</f>
        <v>0088</v>
      </c>
      <c r="BG25" t="str">
        <f>'1'!AC25</f>
        <v>211489</v>
      </c>
      <c r="BK25" s="39" t="s">
        <v>5381</v>
      </c>
      <c r="BL25" s="39" t="s">
        <v>5381</v>
      </c>
      <c r="BU25" s="39" t="s">
        <v>5381</v>
      </c>
      <c r="BV25" s="39" t="s">
        <v>5381</v>
      </c>
      <c r="CE25" s="39" t="s">
        <v>5381</v>
      </c>
      <c r="CH25" s="39" t="s">
        <v>5381</v>
      </c>
    </row>
    <row r="26" spans="1:86">
      <c r="A26" s="62" t="s">
        <v>5380</v>
      </c>
      <c r="B26" t="str">
        <f>'1'!B26</f>
        <v>John</v>
      </c>
      <c r="C26" t="str">
        <f>'1'!C26</f>
        <v/>
      </c>
      <c r="D26" t="str">
        <f>'1'!D26</f>
        <v>Brewer</v>
      </c>
      <c r="E26" t="str">
        <f>'1'!P26</f>
        <v/>
      </c>
      <c r="F26" t="str">
        <f>'1'!I26&amp;".new.uat"</f>
        <v>.new.uat</v>
      </c>
      <c r="G26" s="39" t="s">
        <v>5389</v>
      </c>
      <c r="H26" t="str">
        <f>'1'!I26</f>
        <v/>
      </c>
      <c r="I26" t="str">
        <f>'1'!AI26</f>
        <v>ADP and BU Language Code Not MappedLegal Country Not Mapped</v>
      </c>
      <c r="L26" t="str">
        <f>'1'!AD26</f>
        <v>BU Description Not Mapped</v>
      </c>
      <c r="M26" t="str">
        <f>'1'!AJ26</f>
        <v>BU Currency Not Mapped</v>
      </c>
      <c r="O26" s="39" t="str">
        <f>'1'!AL26</f>
        <v>Y</v>
      </c>
      <c r="P26" t="str">
        <f>'1'!AD26</f>
        <v>BU Description Not Mapped</v>
      </c>
      <c r="Q26" t="str">
        <f>'1'!AE26</f>
        <v>Home Department Code Not Mapped</v>
      </c>
      <c r="W26" t="str">
        <f>'1'!AA26</f>
        <v>H07</v>
      </c>
      <c r="X26" t="str">
        <f>'1'!AG26</f>
        <v>General</v>
      </c>
      <c r="Z26" t="str">
        <f>'1'!AE26</f>
        <v>Home Department Code Not Mapped</v>
      </c>
      <c r="AB26" t="str">
        <f>'1'!AM26</f>
        <v/>
      </c>
      <c r="AC26" t="str">
        <f>'1'!AK26</f>
        <v/>
      </c>
      <c r="AP26" t="str">
        <f>'1'!AD26</f>
        <v>BU Description Not Mapped</v>
      </c>
      <c r="BG26" t="str">
        <f>'1'!AC26</f>
        <v>211062</v>
      </c>
      <c r="BK26" s="39" t="s">
        <v>5381</v>
      </c>
      <c r="BL26" s="39" t="s">
        <v>5381</v>
      </c>
      <c r="BU26" s="39" t="s">
        <v>5381</v>
      </c>
      <c r="BV26" s="39" t="s">
        <v>5381</v>
      </c>
      <c r="CE26" s="39" t="s">
        <v>5381</v>
      </c>
      <c r="CH26" s="39" t="s">
        <v>5381</v>
      </c>
    </row>
    <row r="27" spans="1:86">
      <c r="A27" s="62" t="s">
        <v>5380</v>
      </c>
      <c r="B27" t="str">
        <f>'1'!B27</f>
        <v>James</v>
      </c>
      <c r="C27" t="str">
        <f>'1'!C27</f>
        <v/>
      </c>
      <c r="D27" t="str">
        <f>'1'!D27</f>
        <v>Brower</v>
      </c>
      <c r="E27" t="str">
        <f>'1'!P27</f>
        <v>006769</v>
      </c>
      <c r="F27" t="str">
        <f>'1'!I27&amp;".new.uat"</f>
        <v>JBrower@onebarnes.com.new.uat</v>
      </c>
      <c r="G27" s="39" t="s">
        <v>5389</v>
      </c>
      <c r="H27" t="str">
        <f>'1'!I27</f>
        <v>JBrower@onebarnes.com</v>
      </c>
      <c r="I27" t="str">
        <f>'1'!AI27</f>
        <v>en_US</v>
      </c>
      <c r="L27" t="str">
        <f>'1'!AD27</f>
        <v>0096</v>
      </c>
      <c r="M27" t="str">
        <f>'1'!AJ27</f>
        <v>USD</v>
      </c>
      <c r="O27" s="39" t="str">
        <f>'1'!AL27</f>
        <v>Y</v>
      </c>
      <c r="P27" t="str">
        <f>'1'!AD27</f>
        <v>0096</v>
      </c>
      <c r="Q27">
        <f>'1'!AE27</f>
        <v>718</v>
      </c>
      <c r="W27" t="str">
        <f>'1'!AA27</f>
        <v>S15</v>
      </c>
      <c r="X27" t="str">
        <f>'1'!AG27</f>
        <v>General</v>
      </c>
      <c r="Z27">
        <f>'1'!AE27</f>
        <v>718</v>
      </c>
      <c r="AB27" t="str">
        <f>'1'!AM27</f>
        <v/>
      </c>
      <c r="AC27" t="str">
        <f>'1'!AK27</f>
        <v/>
      </c>
      <c r="AP27" t="str">
        <f>'1'!AD27</f>
        <v>0096</v>
      </c>
      <c r="BG27" t="str">
        <f>'1'!AC27</f>
        <v>213037</v>
      </c>
      <c r="BK27" s="39" t="s">
        <v>5381</v>
      </c>
      <c r="BL27" s="39" t="s">
        <v>5381</v>
      </c>
      <c r="BU27" s="39" t="s">
        <v>5381</v>
      </c>
      <c r="BV27" s="39" t="s">
        <v>5381</v>
      </c>
      <c r="CE27" s="39" t="s">
        <v>5381</v>
      </c>
      <c r="CH27" s="39" t="s">
        <v>5381</v>
      </c>
    </row>
    <row r="28" spans="1:86">
      <c r="A28" s="62" t="s">
        <v>5380</v>
      </c>
      <c r="B28" t="str">
        <f>'1'!B28</f>
        <v>R</v>
      </c>
      <c r="C28" t="str">
        <f>'1'!C28</f>
        <v>T</v>
      </c>
      <c r="D28" t="str">
        <f>'1'!D28</f>
        <v>Brown</v>
      </c>
      <c r="E28" t="str">
        <f>'1'!P28</f>
        <v>212370</v>
      </c>
      <c r="F28" t="str">
        <f>'1'!I28&amp;".new.uat"</f>
        <v>.new.uat</v>
      </c>
      <c r="G28" s="39" t="s">
        <v>5389</v>
      </c>
      <c r="H28" t="str">
        <f>'1'!I28</f>
        <v/>
      </c>
      <c r="I28" t="str">
        <f>'1'!AI28</f>
        <v>en_US</v>
      </c>
      <c r="L28" t="str">
        <f>'1'!AD28</f>
        <v>0096</v>
      </c>
      <c r="M28" t="str">
        <f>'1'!AJ28</f>
        <v>USD</v>
      </c>
      <c r="O28" s="39" t="str">
        <f>'1'!AL28</f>
        <v>N</v>
      </c>
      <c r="P28" t="str">
        <f>'1'!AD28</f>
        <v>0096</v>
      </c>
      <c r="Q28">
        <f>'1'!AE28</f>
        <v>200</v>
      </c>
      <c r="W28" t="str">
        <f>'1'!AA28</f>
        <v>H05</v>
      </c>
      <c r="X28" t="str">
        <f>'1'!AG28</f>
        <v>General</v>
      </c>
      <c r="Z28">
        <f>'1'!AE28</f>
        <v>200</v>
      </c>
      <c r="AB28" t="str">
        <f>'1'!AM28</f>
        <v>20260109</v>
      </c>
      <c r="AC28" t="str">
        <f>'1'!AK28</f>
        <v/>
      </c>
      <c r="AP28" t="str">
        <f>'1'!AD28</f>
        <v>0096</v>
      </c>
      <c r="BG28" t="str">
        <f>'1'!AC28</f>
        <v/>
      </c>
      <c r="BK28" s="39" t="s">
        <v>5381</v>
      </c>
      <c r="BL28" s="39" t="s">
        <v>5381</v>
      </c>
      <c r="BU28" s="39" t="s">
        <v>5381</v>
      </c>
      <c r="BV28" s="39" t="s">
        <v>5381</v>
      </c>
      <c r="CE28" s="39" t="s">
        <v>5381</v>
      </c>
      <c r="CH28" s="39" t="s">
        <v>5381</v>
      </c>
    </row>
    <row r="29" spans="1:86">
      <c r="A29" s="62" t="s">
        <v>5380</v>
      </c>
      <c r="B29" t="str">
        <f>'1'!B29</f>
        <v>Trevor</v>
      </c>
      <c r="C29" t="str">
        <f>'1'!C29</f>
        <v/>
      </c>
      <c r="D29" t="str">
        <f>'1'!D29</f>
        <v>Bunch</v>
      </c>
      <c r="E29" t="str">
        <f>'1'!P29</f>
        <v>209735</v>
      </c>
      <c r="F29" t="str">
        <f>'1'!I29&amp;".new.uat"</f>
        <v>Tbunch@onebarnes.com.new.uat</v>
      </c>
      <c r="G29" s="39" t="s">
        <v>5389</v>
      </c>
      <c r="H29" t="str">
        <f>'1'!I29</f>
        <v>Tbunch@onebarnes.com</v>
      </c>
      <c r="I29" t="str">
        <f>'1'!AI29</f>
        <v>en_US</v>
      </c>
      <c r="L29" t="str">
        <f>'1'!AD29</f>
        <v>0088</v>
      </c>
      <c r="M29" t="str">
        <f>'1'!AJ29</f>
        <v>USD</v>
      </c>
      <c r="O29" s="39" t="str">
        <f>'1'!AL29</f>
        <v>Y</v>
      </c>
      <c r="P29" t="str">
        <f>'1'!AD29</f>
        <v>0088</v>
      </c>
      <c r="Q29">
        <f>'1'!AE29</f>
        <v>8300</v>
      </c>
      <c r="W29" t="str">
        <f>'1'!AA29</f>
        <v>S13</v>
      </c>
      <c r="X29" t="str">
        <f>'1'!AG29</f>
        <v>General</v>
      </c>
      <c r="Z29">
        <f>'1'!AE29</f>
        <v>8300</v>
      </c>
      <c r="AB29" t="str">
        <f>'1'!AM29</f>
        <v/>
      </c>
      <c r="AC29" t="str">
        <f>'1'!AK29</f>
        <v/>
      </c>
      <c r="AP29" t="str">
        <f>'1'!AD29</f>
        <v>0088</v>
      </c>
      <c r="BG29" t="str">
        <f>'1'!AC29</f>
        <v>211601</v>
      </c>
      <c r="BK29" s="39" t="s">
        <v>5381</v>
      </c>
      <c r="BL29" s="39" t="s">
        <v>5381</v>
      </c>
      <c r="BU29" s="39" t="s">
        <v>5381</v>
      </c>
      <c r="BV29" s="39" t="s">
        <v>5381</v>
      </c>
      <c r="CE29" s="39" t="s">
        <v>5381</v>
      </c>
      <c r="CH29" s="39" t="s">
        <v>5381</v>
      </c>
    </row>
    <row r="30" spans="1:86">
      <c r="A30" s="62" t="s">
        <v>5380</v>
      </c>
      <c r="B30" t="str">
        <f>'1'!B30</f>
        <v>Mathew</v>
      </c>
      <c r="C30" t="str">
        <f>'1'!C30</f>
        <v>A</v>
      </c>
      <c r="D30" t="str">
        <f>'1'!D30</f>
        <v>Burchell</v>
      </c>
      <c r="E30" t="str">
        <f>'1'!P30</f>
        <v>211756</v>
      </c>
      <c r="F30" t="str">
        <f>'1'!I30&amp;".new.uat"</f>
        <v>mburchell@onebarnes.com.new.uat</v>
      </c>
      <c r="G30" s="39" t="s">
        <v>5389</v>
      </c>
      <c r="H30" t="str">
        <f>'1'!I30</f>
        <v>mburchell@onebarnes.com</v>
      </c>
      <c r="I30" t="str">
        <f>'1'!AI30</f>
        <v>en_US</v>
      </c>
      <c r="L30" t="str">
        <f>'1'!AD30</f>
        <v>0088</v>
      </c>
      <c r="M30" t="str">
        <f>'1'!AJ30</f>
        <v>USD</v>
      </c>
      <c r="O30" s="39" t="str">
        <f>'1'!AL30</f>
        <v>Y</v>
      </c>
      <c r="P30" t="str">
        <f>'1'!AD30</f>
        <v>0088</v>
      </c>
      <c r="Q30">
        <f>'1'!AE30</f>
        <v>5100</v>
      </c>
      <c r="W30" t="str">
        <f>'1'!AA30</f>
        <v>S11</v>
      </c>
      <c r="X30" t="str">
        <f>'1'!AG30</f>
        <v>General</v>
      </c>
      <c r="Z30">
        <f>'1'!AE30</f>
        <v>5100</v>
      </c>
      <c r="AB30" t="str">
        <f>'1'!AM30</f>
        <v/>
      </c>
      <c r="AC30" t="str">
        <f>'1'!AK30</f>
        <v/>
      </c>
      <c r="AP30" t="str">
        <f>'1'!AD30</f>
        <v>0088</v>
      </c>
      <c r="BG30" t="str">
        <f>'1'!AC30</f>
        <v>211464</v>
      </c>
      <c r="BK30" s="39" t="s">
        <v>5381</v>
      </c>
      <c r="BL30" s="39" t="s">
        <v>5381</v>
      </c>
      <c r="BU30" s="39" t="s">
        <v>5381</v>
      </c>
      <c r="BV30" s="39" t="s">
        <v>5381</v>
      </c>
      <c r="CE30" s="39" t="s">
        <v>5381</v>
      </c>
      <c r="CH30" s="39" t="s">
        <v>5381</v>
      </c>
    </row>
    <row r="31" spans="1:86">
      <c r="A31" s="62" t="s">
        <v>5380</v>
      </c>
      <c r="B31" t="str">
        <f>'1'!B31</f>
        <v>Kenneth</v>
      </c>
      <c r="C31" t="str">
        <f>'1'!C31</f>
        <v>D</v>
      </c>
      <c r="D31" t="str">
        <f>'1'!D31</f>
        <v>Butler</v>
      </c>
      <c r="E31" t="str">
        <f>'1'!P31</f>
        <v>206741</v>
      </c>
      <c r="F31" t="str">
        <f>'1'!I31&amp;".new.uat"</f>
        <v>.new.uat</v>
      </c>
      <c r="G31" s="39" t="s">
        <v>5389</v>
      </c>
      <c r="H31" t="str">
        <f>'1'!I31</f>
        <v/>
      </c>
      <c r="I31" t="str">
        <f>'1'!AI31</f>
        <v>en_US</v>
      </c>
      <c r="L31" t="str">
        <f>'1'!AD31</f>
        <v>0096</v>
      </c>
      <c r="M31" t="str">
        <f>'1'!AJ31</f>
        <v>USD</v>
      </c>
      <c r="O31" s="39" t="str">
        <f>'1'!AL31</f>
        <v>Y</v>
      </c>
      <c r="P31" t="str">
        <f>'1'!AD31</f>
        <v>0096</v>
      </c>
      <c r="Q31">
        <f>'1'!AE31</f>
        <v>400</v>
      </c>
      <c r="W31" t="str">
        <f>'1'!AA31</f>
        <v>H05</v>
      </c>
      <c r="X31" t="str">
        <f>'1'!AG31</f>
        <v>General</v>
      </c>
      <c r="Z31">
        <f>'1'!AE31</f>
        <v>400</v>
      </c>
      <c r="AB31" t="str">
        <f>'1'!AM31</f>
        <v/>
      </c>
      <c r="AC31" t="str">
        <f>'1'!AK31</f>
        <v/>
      </c>
      <c r="AP31" t="str">
        <f>'1'!AD31</f>
        <v>0096</v>
      </c>
      <c r="BG31" t="str">
        <f>'1'!AC31</f>
        <v>211062</v>
      </c>
      <c r="BK31" s="39" t="s">
        <v>5381</v>
      </c>
      <c r="BL31" s="39" t="s">
        <v>5381</v>
      </c>
      <c r="BU31" s="39" t="s">
        <v>5381</v>
      </c>
      <c r="BV31" s="39" t="s">
        <v>5381</v>
      </c>
      <c r="CE31" s="39" t="s">
        <v>5381</v>
      </c>
      <c r="CH31" s="39" t="s">
        <v>5381</v>
      </c>
    </row>
    <row r="32" spans="1:86">
      <c r="A32" s="62" t="s">
        <v>5380</v>
      </c>
      <c r="B32" t="str">
        <f>'1'!B32</f>
        <v>Timothy</v>
      </c>
      <c r="C32" t="str">
        <f>'1'!C32</f>
        <v>D</v>
      </c>
      <c r="D32" t="str">
        <f>'1'!D32</f>
        <v>Carmichael</v>
      </c>
      <c r="E32" t="str">
        <f>'1'!P32</f>
        <v>900826</v>
      </c>
      <c r="F32" t="str">
        <f>'1'!I32&amp;".new.uat"</f>
        <v>TCarmichael@onebarnes.com.new.uat</v>
      </c>
      <c r="G32" s="39" t="s">
        <v>5389</v>
      </c>
      <c r="H32" t="str">
        <f>'1'!I32</f>
        <v>TCarmichael@onebarnes.com</v>
      </c>
      <c r="I32" t="str">
        <f>'1'!AI32</f>
        <v>en_US</v>
      </c>
      <c r="L32" t="str">
        <f>'1'!AD32</f>
        <v>0096</v>
      </c>
      <c r="M32" t="str">
        <f>'1'!AJ32</f>
        <v>USD</v>
      </c>
      <c r="O32" s="39" t="str">
        <f>'1'!AL32</f>
        <v>Y</v>
      </c>
      <c r="P32" t="str">
        <f>'1'!AD32</f>
        <v>0096</v>
      </c>
      <c r="Q32">
        <f>'1'!AE32</f>
        <v>850</v>
      </c>
      <c r="W32" t="str">
        <f>'1'!AA32</f>
        <v>S13</v>
      </c>
      <c r="X32" t="str">
        <f>'1'!AG32</f>
        <v>General</v>
      </c>
      <c r="Z32">
        <f>'1'!AE32</f>
        <v>850</v>
      </c>
      <c r="AB32" t="str">
        <f>'1'!AM32</f>
        <v/>
      </c>
      <c r="AC32" t="str">
        <f>'1'!AK32</f>
        <v/>
      </c>
      <c r="AP32" t="str">
        <f>'1'!AD32</f>
        <v>0096</v>
      </c>
      <c r="BG32" t="str">
        <f>'1'!AC32</f>
        <v>211601</v>
      </c>
      <c r="BK32" s="39" t="s">
        <v>5381</v>
      </c>
      <c r="BL32" s="39" t="s">
        <v>5381</v>
      </c>
      <c r="BU32" s="39" t="s">
        <v>5381</v>
      </c>
      <c r="BV32" s="39" t="s">
        <v>5381</v>
      </c>
      <c r="CE32" s="39" t="s">
        <v>5381</v>
      </c>
      <c r="CH32" s="39" t="s">
        <v>5381</v>
      </c>
    </row>
    <row r="33" spans="1:86">
      <c r="A33" s="62" t="s">
        <v>5380</v>
      </c>
      <c r="B33" t="str">
        <f>'1'!B33</f>
        <v>Jonathan</v>
      </c>
      <c r="C33" t="str">
        <f>'1'!C33</f>
        <v/>
      </c>
      <c r="D33" t="str">
        <f>'1'!D33</f>
        <v>Carter</v>
      </c>
      <c r="E33" t="str">
        <f>'1'!P33</f>
        <v>212737</v>
      </c>
      <c r="F33" t="str">
        <f>'1'!I33&amp;".new.uat"</f>
        <v>jcarter@onebarnes.com.new.uat</v>
      </c>
      <c r="G33" s="39" t="s">
        <v>5389</v>
      </c>
      <c r="H33" t="str">
        <f>'1'!I33</f>
        <v>jcarter@onebarnes.com</v>
      </c>
      <c r="I33" t="str">
        <f>'1'!AI33</f>
        <v>en_US</v>
      </c>
      <c r="L33" t="str">
        <f>'1'!AD33</f>
        <v>0096</v>
      </c>
      <c r="M33" t="str">
        <f>'1'!AJ33</f>
        <v>USD</v>
      </c>
      <c r="O33" s="39" t="str">
        <f>'1'!AL33</f>
        <v>Y</v>
      </c>
      <c r="P33" t="str">
        <f>'1'!AD33</f>
        <v>0096</v>
      </c>
      <c r="Q33">
        <f>'1'!AE33</f>
        <v>718</v>
      </c>
      <c r="W33" t="str">
        <f>'1'!AA33</f>
        <v>S14</v>
      </c>
      <c r="X33" t="str">
        <f>'1'!AG33</f>
        <v>General</v>
      </c>
      <c r="Z33">
        <f>'1'!AE33</f>
        <v>718</v>
      </c>
      <c r="AB33" t="str">
        <f>'1'!AM33</f>
        <v/>
      </c>
      <c r="AC33" t="str">
        <f>'1'!AK33</f>
        <v/>
      </c>
      <c r="AP33" t="str">
        <f>'1'!AD33</f>
        <v>0096</v>
      </c>
      <c r="BG33" t="str">
        <f>'1'!AC33</f>
        <v>213037</v>
      </c>
      <c r="BK33" s="39" t="s">
        <v>5381</v>
      </c>
      <c r="BL33" s="39" t="s">
        <v>5381</v>
      </c>
      <c r="BU33" s="39" t="s">
        <v>5381</v>
      </c>
      <c r="BV33" s="39" t="s">
        <v>5381</v>
      </c>
      <c r="CE33" s="39" t="s">
        <v>5381</v>
      </c>
      <c r="CH33" s="39" t="s">
        <v>5381</v>
      </c>
    </row>
    <row r="34" spans="1:86">
      <c r="A34" s="62" t="s">
        <v>5380</v>
      </c>
      <c r="B34" t="str">
        <f>'1'!B34</f>
        <v>Tyler</v>
      </c>
      <c r="C34" t="str">
        <f>'1'!C34</f>
        <v/>
      </c>
      <c r="D34" t="str">
        <f>'1'!D34</f>
        <v>Cler</v>
      </c>
      <c r="E34" t="str">
        <f>'1'!P34</f>
        <v>902435</v>
      </c>
      <c r="F34" t="str">
        <f>'1'!I34&amp;".new.uat"</f>
        <v>tcler@onebarnes.com.new.uat</v>
      </c>
      <c r="G34" s="39" t="s">
        <v>5389</v>
      </c>
      <c r="H34" t="str">
        <f>'1'!I34</f>
        <v>tcler@onebarnes.com</v>
      </c>
      <c r="I34" t="str">
        <f>'1'!AI34</f>
        <v>en_US</v>
      </c>
      <c r="L34" t="str">
        <f>'1'!AD34</f>
        <v>0088</v>
      </c>
      <c r="M34" t="str">
        <f>'1'!AJ34</f>
        <v>USD</v>
      </c>
      <c r="O34" s="39" t="str">
        <f>'1'!AL34</f>
        <v>Y</v>
      </c>
      <c r="P34" t="str">
        <f>'1'!AD34</f>
        <v>0088</v>
      </c>
      <c r="Q34">
        <f>'1'!AE34</f>
        <v>9450</v>
      </c>
      <c r="W34" t="str">
        <f>'1'!AA34</f>
        <v>S14</v>
      </c>
      <c r="X34" t="str">
        <f>'1'!AG34</f>
        <v>General</v>
      </c>
      <c r="Z34">
        <f>'1'!AE34</f>
        <v>9450</v>
      </c>
      <c r="AB34" t="str">
        <f>'1'!AM34</f>
        <v/>
      </c>
      <c r="AC34" t="str">
        <f>'1'!AK34</f>
        <v/>
      </c>
      <c r="AP34" t="str">
        <f>'1'!AD34</f>
        <v>0088</v>
      </c>
      <c r="BG34" t="str">
        <f>'1'!AC34</f>
        <v>211766</v>
      </c>
      <c r="BK34" s="39" t="s">
        <v>5381</v>
      </c>
      <c r="BL34" s="39" t="s">
        <v>5381</v>
      </c>
      <c r="BU34" s="39" t="s">
        <v>5381</v>
      </c>
      <c r="BV34" s="39" t="s">
        <v>5381</v>
      </c>
      <c r="CE34" s="39" t="s">
        <v>5381</v>
      </c>
      <c r="CH34" s="39" t="s">
        <v>5381</v>
      </c>
    </row>
    <row r="35" spans="1:86">
      <c r="A35" s="62" t="s">
        <v>5380</v>
      </c>
      <c r="B35" t="str">
        <f>'1'!B35</f>
        <v>Timothy</v>
      </c>
      <c r="C35" t="str">
        <f>'1'!C35</f>
        <v>E</v>
      </c>
      <c r="D35" t="str">
        <f>'1'!D35</f>
        <v>Clifton</v>
      </c>
      <c r="E35" t="str">
        <f>'1'!P35</f>
        <v>213265</v>
      </c>
      <c r="F35" t="str">
        <f>'1'!I35&amp;".new.uat"</f>
        <v>tclifton1@onebarnes.com.new.uat</v>
      </c>
      <c r="G35" s="39" t="s">
        <v>5389</v>
      </c>
      <c r="H35" t="str">
        <f>'1'!I35</f>
        <v>tclifton1@onebarnes.com</v>
      </c>
      <c r="I35" t="str">
        <f>'1'!AI35</f>
        <v>en_US</v>
      </c>
      <c r="L35" t="str">
        <f>'1'!AD35</f>
        <v>0096</v>
      </c>
      <c r="M35" t="str">
        <f>'1'!AJ35</f>
        <v>USD</v>
      </c>
      <c r="O35" s="39" t="str">
        <f>'1'!AL35</f>
        <v>N</v>
      </c>
      <c r="P35" t="str">
        <f>'1'!AD35</f>
        <v>0096</v>
      </c>
      <c r="Q35">
        <f>'1'!AE35</f>
        <v>500</v>
      </c>
      <c r="W35" t="str">
        <f>'1'!AA35</f>
        <v>S10</v>
      </c>
      <c r="X35" t="str">
        <f>'1'!AG35</f>
        <v>General</v>
      </c>
      <c r="Z35">
        <f>'1'!AE35</f>
        <v>500</v>
      </c>
      <c r="AB35" t="str">
        <f>'1'!AM35</f>
        <v>20260603</v>
      </c>
      <c r="AC35" t="str">
        <f>'1'!AK35</f>
        <v/>
      </c>
      <c r="AP35" t="str">
        <f>'1'!AD35</f>
        <v>0096</v>
      </c>
      <c r="BG35" t="str">
        <f>'1'!AC35</f>
        <v/>
      </c>
      <c r="BK35" s="39" t="s">
        <v>5381</v>
      </c>
      <c r="BL35" s="39" t="s">
        <v>5381</v>
      </c>
      <c r="BU35" s="39" t="s">
        <v>5381</v>
      </c>
      <c r="BV35" s="39" t="s">
        <v>5381</v>
      </c>
      <c r="CE35" s="39" t="s">
        <v>5381</v>
      </c>
      <c r="CH35" s="39" t="s">
        <v>5381</v>
      </c>
    </row>
    <row r="36" spans="1:86">
      <c r="A36" s="62" t="s">
        <v>5380</v>
      </c>
      <c r="B36" t="str">
        <f>'1'!B36</f>
        <v>Timothy</v>
      </c>
      <c r="C36" t="str">
        <f>'1'!C36</f>
        <v>E</v>
      </c>
      <c r="D36" t="str">
        <f>'1'!D36</f>
        <v>Clifton</v>
      </c>
      <c r="E36" t="str">
        <f>'1'!P36</f>
        <v>213265</v>
      </c>
      <c r="F36" t="str">
        <f>'1'!I36&amp;".new.uat"</f>
        <v>tclifton1@onebarnes.com.new.uat</v>
      </c>
      <c r="G36" s="39" t="s">
        <v>5389</v>
      </c>
      <c r="H36" t="str">
        <f>'1'!I36</f>
        <v>tclifton1@onebarnes.com</v>
      </c>
      <c r="I36" t="str">
        <f>'1'!AI36</f>
        <v>en_US</v>
      </c>
      <c r="L36" t="str">
        <f>'1'!AD36</f>
        <v>0096</v>
      </c>
      <c r="M36" t="str">
        <f>'1'!AJ36</f>
        <v>USD</v>
      </c>
      <c r="O36" s="39" t="str">
        <f>'1'!AL36</f>
        <v>Y</v>
      </c>
      <c r="P36" t="str">
        <f>'1'!AD36</f>
        <v>0096</v>
      </c>
      <c r="Q36">
        <f>'1'!AE36</f>
        <v>500</v>
      </c>
      <c r="W36" t="str">
        <f>'1'!AA36</f>
        <v>S10</v>
      </c>
      <c r="X36" t="str">
        <f>'1'!AG36</f>
        <v>General</v>
      </c>
      <c r="Z36">
        <f>'1'!AE36</f>
        <v>500</v>
      </c>
      <c r="AB36" t="str">
        <f>'1'!AM36</f>
        <v/>
      </c>
      <c r="AC36" t="str">
        <f>'1'!AK36</f>
        <v/>
      </c>
      <c r="AP36" t="str">
        <f>'1'!AD36</f>
        <v>0096</v>
      </c>
      <c r="BG36" t="str">
        <f>'1'!AC36</f>
        <v>210910</v>
      </c>
      <c r="BK36" s="39" t="s">
        <v>5381</v>
      </c>
      <c r="BL36" s="39" t="s">
        <v>5381</v>
      </c>
      <c r="BU36" s="39" t="s">
        <v>5381</v>
      </c>
      <c r="BV36" s="39" t="s">
        <v>5381</v>
      </c>
      <c r="CE36" s="39" t="s">
        <v>5381</v>
      </c>
      <c r="CH36" s="39" t="s">
        <v>5381</v>
      </c>
    </row>
    <row r="37" spans="1:86">
      <c r="A37" s="62" t="s">
        <v>5380</v>
      </c>
      <c r="B37" t="str">
        <f>'1'!B37</f>
        <v>Timothy</v>
      </c>
      <c r="C37" t="str">
        <f>'1'!C37</f>
        <v>E</v>
      </c>
      <c r="D37" t="str">
        <f>'1'!D37</f>
        <v>Clifton</v>
      </c>
      <c r="E37" t="str">
        <f>'1'!P37</f>
        <v>213265</v>
      </c>
      <c r="F37" t="str">
        <f>'1'!I37&amp;".new.uat"</f>
        <v>tclifton1@onebarnes.com.new.uat</v>
      </c>
      <c r="G37" s="39" t="s">
        <v>5389</v>
      </c>
      <c r="H37" t="str">
        <f>'1'!I37</f>
        <v>tclifton1@onebarnes.com</v>
      </c>
      <c r="I37" t="str">
        <f>'1'!AI37</f>
        <v>en_US</v>
      </c>
      <c r="L37" t="str">
        <f>'1'!AD37</f>
        <v>0096</v>
      </c>
      <c r="M37" t="str">
        <f>'1'!AJ37</f>
        <v>USD</v>
      </c>
      <c r="O37" s="39" t="str">
        <f>'1'!AL37</f>
        <v>N</v>
      </c>
      <c r="P37" t="str">
        <f>'1'!AD37</f>
        <v>0096</v>
      </c>
      <c r="Q37">
        <f>'1'!AE37</f>
        <v>500</v>
      </c>
      <c r="W37" t="str">
        <f>'1'!AA37</f>
        <v>S10</v>
      </c>
      <c r="X37" t="str">
        <f>'1'!AG37</f>
        <v>General</v>
      </c>
      <c r="Z37">
        <f>'1'!AE37</f>
        <v>500</v>
      </c>
      <c r="AB37" t="str">
        <f>'1'!AM37</f>
        <v>20260603</v>
      </c>
      <c r="AC37" t="str">
        <f>'1'!AK37</f>
        <v/>
      </c>
      <c r="AP37" t="str">
        <f>'1'!AD37</f>
        <v>0096</v>
      </c>
      <c r="BG37" t="str">
        <f>'1'!AC37</f>
        <v/>
      </c>
      <c r="BK37" s="39" t="s">
        <v>5381</v>
      </c>
      <c r="BL37" s="39" t="s">
        <v>5381</v>
      </c>
      <c r="BU37" s="39" t="s">
        <v>5381</v>
      </c>
      <c r="BV37" s="39" t="s">
        <v>5381</v>
      </c>
      <c r="CE37" s="39" t="s">
        <v>5381</v>
      </c>
      <c r="CH37" s="39" t="s">
        <v>5381</v>
      </c>
    </row>
    <row r="38" spans="1:86">
      <c r="A38" s="62" t="s">
        <v>5380</v>
      </c>
      <c r="B38" t="str">
        <f>'1'!B38</f>
        <v>Andrew</v>
      </c>
      <c r="C38" t="str">
        <f>'1'!C38</f>
        <v>J</v>
      </c>
      <c r="D38" t="str">
        <f>'1'!D38</f>
        <v>Creager</v>
      </c>
      <c r="E38" t="str">
        <f>'1'!P38</f>
        <v>212699</v>
      </c>
      <c r="F38" t="str">
        <f>'1'!I38&amp;".new.uat"</f>
        <v>acreager@onebarnes.com.new.uat</v>
      </c>
      <c r="G38" s="39" t="s">
        <v>5389</v>
      </c>
      <c r="H38" t="str">
        <f>'1'!I38</f>
        <v>acreager@onebarnes.com</v>
      </c>
      <c r="I38" t="str">
        <f>'1'!AI38</f>
        <v>en_US</v>
      </c>
      <c r="L38" t="str">
        <f>'1'!AD38</f>
        <v>0088</v>
      </c>
      <c r="M38" t="str">
        <f>'1'!AJ38</f>
        <v>USD</v>
      </c>
      <c r="O38" s="39" t="str">
        <f>'1'!AL38</f>
        <v>Y</v>
      </c>
      <c r="P38" t="str">
        <f>'1'!AD38</f>
        <v>0088</v>
      </c>
      <c r="Q38">
        <f>'1'!AE38</f>
        <v>9400</v>
      </c>
      <c r="W38" t="str">
        <f>'1'!AA38</f>
        <v>S17</v>
      </c>
      <c r="X38" t="str">
        <f>'1'!AG38</f>
        <v>General</v>
      </c>
      <c r="Z38">
        <f>'1'!AE38</f>
        <v>9400</v>
      </c>
      <c r="AB38" t="str">
        <f>'1'!AM38</f>
        <v/>
      </c>
      <c r="AC38" t="str">
        <f>'1'!AK38</f>
        <v/>
      </c>
      <c r="AP38" t="str">
        <f>'1'!AD38</f>
        <v>0088</v>
      </c>
      <c r="BG38" t="str">
        <f>'1'!AC38</f>
        <v>211766</v>
      </c>
      <c r="BK38" s="39" t="s">
        <v>5381</v>
      </c>
      <c r="BL38" s="39" t="s">
        <v>5381</v>
      </c>
      <c r="BU38" s="39" t="s">
        <v>5381</v>
      </c>
      <c r="BV38" s="39" t="s">
        <v>5381</v>
      </c>
      <c r="CE38" s="39" t="s">
        <v>5381</v>
      </c>
      <c r="CH38" s="39" t="s">
        <v>5381</v>
      </c>
    </row>
    <row r="39" spans="1:86">
      <c r="A39" s="62" t="s">
        <v>5380</v>
      </c>
      <c r="B39" t="str">
        <f>'1'!B39</f>
        <v>Carla</v>
      </c>
      <c r="C39" t="str">
        <f>'1'!C39</f>
        <v>J</v>
      </c>
      <c r="D39" t="str">
        <f>'1'!D39</f>
        <v>Cunningham</v>
      </c>
      <c r="E39" t="str">
        <f>'1'!P39</f>
        <v>007633</v>
      </c>
      <c r="F39" t="str">
        <f>'1'!I39&amp;".new.uat"</f>
        <v>ccunningham@onebarnes.com.new.uat</v>
      </c>
      <c r="G39" s="39" t="s">
        <v>5389</v>
      </c>
      <c r="H39" t="str">
        <f>'1'!I39</f>
        <v>ccunningham@onebarnes.com</v>
      </c>
      <c r="I39" t="str">
        <f>'1'!AI39</f>
        <v>ADP and BU Language Code Not MappedUS</v>
      </c>
      <c r="L39" t="str">
        <f>'1'!AD39</f>
        <v>BU Description Not Mapped</v>
      </c>
      <c r="M39" t="str">
        <f>'1'!AJ39</f>
        <v>BU Currency Not Mapped</v>
      </c>
      <c r="O39" s="39" t="str">
        <f>'1'!AL39</f>
        <v>N</v>
      </c>
      <c r="P39" t="str">
        <f>'1'!AD39</f>
        <v>BU Description Not Mapped</v>
      </c>
      <c r="Q39" t="str">
        <f>'1'!AE39</f>
        <v>Home Department Code Not Mapped</v>
      </c>
      <c r="W39" t="str">
        <f>'1'!AA39</f>
        <v/>
      </c>
      <c r="X39" t="str">
        <f>'1'!AG39</f>
        <v>Salary Code Not Mapped</v>
      </c>
      <c r="Z39" t="str">
        <f>'1'!AE39</f>
        <v>Home Department Code Not Mapped</v>
      </c>
      <c r="AB39" t="str">
        <f>'1'!AM39</f>
        <v>20251231</v>
      </c>
      <c r="AC39" t="str">
        <f>'1'!AK39</f>
        <v/>
      </c>
      <c r="AP39" t="str">
        <f>'1'!AD39</f>
        <v>BU Description Not Mapped</v>
      </c>
      <c r="BG39" t="str">
        <f>'1'!AC39</f>
        <v/>
      </c>
      <c r="BK39" s="39" t="s">
        <v>5381</v>
      </c>
      <c r="BL39" s="39" t="s">
        <v>5381</v>
      </c>
      <c r="BU39" s="39" t="s">
        <v>5381</v>
      </c>
      <c r="BV39" s="39" t="s">
        <v>5381</v>
      </c>
      <c r="CE39" s="39" t="s">
        <v>5381</v>
      </c>
      <c r="CH39" s="39" t="s">
        <v>5381</v>
      </c>
    </row>
    <row r="40" spans="1:86">
      <c r="A40" s="62" t="s">
        <v>5380</v>
      </c>
      <c r="B40" t="str">
        <f>'1'!B40</f>
        <v>Carla</v>
      </c>
      <c r="C40" t="str">
        <f>'1'!C40</f>
        <v>J</v>
      </c>
      <c r="D40" t="str">
        <f>'1'!D40</f>
        <v>Cunningham</v>
      </c>
      <c r="E40" t="str">
        <f>'1'!P40</f>
        <v/>
      </c>
      <c r="F40" t="str">
        <f>'1'!I40&amp;".new.uat"</f>
        <v>ccunningham@onebarnes.com.new.uat</v>
      </c>
      <c r="G40" s="39" t="s">
        <v>5389</v>
      </c>
      <c r="H40" t="str">
        <f>'1'!I40</f>
        <v>ccunningham@onebarnes.com</v>
      </c>
      <c r="I40" t="str">
        <f>'1'!AI40</f>
        <v>ADP and BU Language Code Not MappedUS</v>
      </c>
      <c r="L40" t="str">
        <f>'1'!AD40</f>
        <v>BU Description Not Mapped</v>
      </c>
      <c r="M40" t="str">
        <f>'1'!AJ40</f>
        <v>BU Currency Not Mapped</v>
      </c>
      <c r="O40" s="39" t="str">
        <f>'1'!AL40</f>
        <v>N</v>
      </c>
      <c r="P40" t="str">
        <f>'1'!AD40</f>
        <v>BU Description Not Mapped</v>
      </c>
      <c r="Q40" t="str">
        <f>'1'!AE40</f>
        <v>Home Department Code Not Mapped</v>
      </c>
      <c r="W40" t="str">
        <f>'1'!AA40</f>
        <v/>
      </c>
      <c r="X40" t="str">
        <f>'1'!AG40</f>
        <v>Salary Code Not Mapped</v>
      </c>
      <c r="Z40" t="str">
        <f>'1'!AE40</f>
        <v>Home Department Code Not Mapped</v>
      </c>
      <c r="AB40" t="str">
        <f>'1'!AM40</f>
        <v>20260101</v>
      </c>
      <c r="AC40" t="str">
        <f>'1'!AK40</f>
        <v/>
      </c>
      <c r="AP40" t="str">
        <f>'1'!AD40</f>
        <v>BU Description Not Mapped</v>
      </c>
      <c r="BG40" t="str">
        <f>'1'!AC40</f>
        <v/>
      </c>
      <c r="BK40" s="39" t="s">
        <v>5381</v>
      </c>
      <c r="BL40" s="39" t="s">
        <v>5381</v>
      </c>
      <c r="BU40" s="39" t="s">
        <v>5381</v>
      </c>
      <c r="BV40" s="39" t="s">
        <v>5381</v>
      </c>
      <c r="CE40" s="39" t="s">
        <v>5381</v>
      </c>
      <c r="CH40" s="39" t="s">
        <v>5381</v>
      </c>
    </row>
    <row r="41" spans="1:86">
      <c r="A41" s="62" t="s">
        <v>5380</v>
      </c>
      <c r="B41" t="str">
        <f>'1'!B41</f>
        <v>Brenda</v>
      </c>
      <c r="C41" t="str">
        <f>'1'!C41</f>
        <v>J</v>
      </c>
      <c r="D41" t="str">
        <f>'1'!D41</f>
        <v>Daniel</v>
      </c>
      <c r="E41" t="str">
        <f>'1'!P41</f>
        <v>213236</v>
      </c>
      <c r="F41" t="str">
        <f>'1'!I41&amp;".new.uat"</f>
        <v>.new.uat</v>
      </c>
      <c r="G41" s="39" t="s">
        <v>5389</v>
      </c>
      <c r="H41" t="str">
        <f>'1'!I41</f>
        <v/>
      </c>
      <c r="I41" t="str">
        <f>'1'!AI41</f>
        <v>en_US</v>
      </c>
      <c r="L41" t="str">
        <f>'1'!AD41</f>
        <v>0088</v>
      </c>
      <c r="M41" t="str">
        <f>'1'!AJ41</f>
        <v>USD</v>
      </c>
      <c r="O41" s="39" t="str">
        <f>'1'!AL41</f>
        <v>N</v>
      </c>
      <c r="P41" t="str">
        <f>'1'!AD41</f>
        <v>0088</v>
      </c>
      <c r="Q41">
        <f>'1'!AE41</f>
        <v>8100</v>
      </c>
      <c r="W41" t="str">
        <f>'1'!AA41</f>
        <v>S08</v>
      </c>
      <c r="X41" t="str">
        <f>'1'!AG41</f>
        <v>General</v>
      </c>
      <c r="Z41">
        <f>'1'!AE41</f>
        <v>8100</v>
      </c>
      <c r="AB41" t="str">
        <f>'1'!AM41</f>
        <v>20260608</v>
      </c>
      <c r="AC41" t="str">
        <f>'1'!AK41</f>
        <v/>
      </c>
      <c r="AP41" t="str">
        <f>'1'!AD41</f>
        <v>0088</v>
      </c>
      <c r="BG41" t="str">
        <f>'1'!AC41</f>
        <v>202533</v>
      </c>
      <c r="BK41" s="39" t="s">
        <v>5381</v>
      </c>
      <c r="BL41" s="39" t="s">
        <v>5381</v>
      </c>
      <c r="BU41" s="39" t="s">
        <v>5381</v>
      </c>
      <c r="BV41" s="39" t="s">
        <v>5381</v>
      </c>
      <c r="CE41" s="39" t="s">
        <v>5381</v>
      </c>
      <c r="CH41" s="39" t="s">
        <v>5381</v>
      </c>
    </row>
    <row r="42" spans="1:86">
      <c r="A42" s="62" t="s">
        <v>5380</v>
      </c>
      <c r="B42" t="str">
        <f>'1'!B42</f>
        <v>Demetrius</v>
      </c>
      <c r="C42" t="str">
        <f>'1'!C42</f>
        <v>A</v>
      </c>
      <c r="D42" t="str">
        <f>'1'!D42</f>
        <v>Daniels</v>
      </c>
      <c r="E42" t="str">
        <f>'1'!P42</f>
        <v>006774</v>
      </c>
      <c r="F42" t="str">
        <f>'1'!I42&amp;".new.uat"</f>
        <v>ddaniels@kaller.com.new.uat</v>
      </c>
      <c r="G42" s="39" t="s">
        <v>5389</v>
      </c>
      <c r="H42" t="str">
        <f>'1'!I42</f>
        <v>ddaniels@kaller.com</v>
      </c>
      <c r="I42" t="str">
        <f>'1'!AI42</f>
        <v>en_US</v>
      </c>
      <c r="L42" t="str">
        <f>'1'!AD42</f>
        <v>0096</v>
      </c>
      <c r="M42" t="str">
        <f>'1'!AJ42</f>
        <v>USD</v>
      </c>
      <c r="O42" s="39" t="str">
        <f>'1'!AL42</f>
        <v>N</v>
      </c>
      <c r="P42" t="str">
        <f>'1'!AD42</f>
        <v>0096</v>
      </c>
      <c r="Q42">
        <f>'1'!AE42</f>
        <v>850</v>
      </c>
      <c r="W42" t="str">
        <f>'1'!AA42</f>
        <v>S10</v>
      </c>
      <c r="X42" t="str">
        <f>'1'!AG42</f>
        <v>General</v>
      </c>
      <c r="Z42">
        <f>'1'!AE42</f>
        <v>850</v>
      </c>
      <c r="AB42" t="str">
        <f>'1'!AM42</f>
        <v>20260602</v>
      </c>
      <c r="AC42" t="str">
        <f>'1'!AK42</f>
        <v/>
      </c>
      <c r="AP42" t="str">
        <f>'1'!AD42</f>
        <v>0096</v>
      </c>
      <c r="BG42" t="str">
        <f>'1'!AC42</f>
        <v/>
      </c>
      <c r="BK42" s="39" t="s">
        <v>5381</v>
      </c>
      <c r="BL42" s="39" t="s">
        <v>5381</v>
      </c>
      <c r="BU42" s="39" t="s">
        <v>5381</v>
      </c>
      <c r="BV42" s="39" t="s">
        <v>5381</v>
      </c>
      <c r="CE42" s="39" t="s">
        <v>5381</v>
      </c>
      <c r="CH42" s="39" t="s">
        <v>5381</v>
      </c>
    </row>
    <row r="43" spans="1:86">
      <c r="A43" s="62" t="s">
        <v>5380</v>
      </c>
      <c r="B43" t="str">
        <f>'1'!B43</f>
        <v>Demetrius</v>
      </c>
      <c r="C43" t="str">
        <f>'1'!C43</f>
        <v>A</v>
      </c>
      <c r="D43" t="str">
        <f>'1'!D43</f>
        <v>Daniels</v>
      </c>
      <c r="E43" t="str">
        <f>'1'!P43</f>
        <v>006774</v>
      </c>
      <c r="F43" t="str">
        <f>'1'!I43&amp;".new.uat"</f>
        <v>ddaniels@kaller.com.new.uat</v>
      </c>
      <c r="G43" s="39" t="s">
        <v>5389</v>
      </c>
      <c r="H43" t="str">
        <f>'1'!I43</f>
        <v>ddaniels@kaller.com</v>
      </c>
      <c r="I43" t="str">
        <f>'1'!AI43</f>
        <v>en_US</v>
      </c>
      <c r="L43" t="str">
        <f>'1'!AD43</f>
        <v>0096</v>
      </c>
      <c r="M43" t="str">
        <f>'1'!AJ43</f>
        <v>USD</v>
      </c>
      <c r="O43" s="39" t="str">
        <f>'1'!AL43</f>
        <v>N</v>
      </c>
      <c r="P43" t="str">
        <f>'1'!AD43</f>
        <v>0096</v>
      </c>
      <c r="Q43">
        <f>'1'!AE43</f>
        <v>850</v>
      </c>
      <c r="W43" t="str">
        <f>'1'!AA43</f>
        <v>S10</v>
      </c>
      <c r="X43" t="str">
        <f>'1'!AG43</f>
        <v>General</v>
      </c>
      <c r="Z43">
        <f>'1'!AE43</f>
        <v>850</v>
      </c>
      <c r="AB43" t="str">
        <f>'1'!AM43</f>
        <v>20260602</v>
      </c>
      <c r="AC43" t="str">
        <f>'1'!AK43</f>
        <v/>
      </c>
      <c r="AP43" t="str">
        <f>'1'!AD43</f>
        <v>0096</v>
      </c>
      <c r="BG43" t="str">
        <f>'1'!AC43</f>
        <v/>
      </c>
      <c r="BK43" s="39" t="s">
        <v>5381</v>
      </c>
      <c r="BL43" s="39" t="s">
        <v>5381</v>
      </c>
      <c r="BU43" s="39" t="s">
        <v>5381</v>
      </c>
      <c r="BV43" s="39" t="s">
        <v>5381</v>
      </c>
      <c r="CE43" s="39" t="s">
        <v>5381</v>
      </c>
      <c r="CH43" s="39" t="s">
        <v>5381</v>
      </c>
    </row>
    <row r="44" spans="1:86">
      <c r="A44" s="62" t="s">
        <v>5380</v>
      </c>
      <c r="B44" t="str">
        <f>'1'!B44</f>
        <v>Demetrius</v>
      </c>
      <c r="C44" t="str">
        <f>'1'!C44</f>
        <v>A</v>
      </c>
      <c r="D44" t="str">
        <f>'1'!D44</f>
        <v>Daniels</v>
      </c>
      <c r="E44" t="str">
        <f>'1'!P44</f>
        <v>006774</v>
      </c>
      <c r="F44" t="str">
        <f>'1'!I44&amp;".new.uat"</f>
        <v>ddaniels@kaller.com.new.uat</v>
      </c>
      <c r="G44" s="39" t="s">
        <v>5389</v>
      </c>
      <c r="H44" t="str">
        <f>'1'!I44</f>
        <v>ddaniels@kaller.com</v>
      </c>
      <c r="I44" t="str">
        <f>'1'!AI44</f>
        <v>en_US</v>
      </c>
      <c r="L44" t="str">
        <f>'1'!AD44</f>
        <v>0096</v>
      </c>
      <c r="M44" t="str">
        <f>'1'!AJ44</f>
        <v>USD</v>
      </c>
      <c r="O44" s="39" t="str">
        <f>'1'!AL44</f>
        <v>Y</v>
      </c>
      <c r="P44" t="str">
        <f>'1'!AD44</f>
        <v>0096</v>
      </c>
      <c r="Q44">
        <f>'1'!AE44</f>
        <v>850</v>
      </c>
      <c r="W44" t="str">
        <f>'1'!AA44</f>
        <v>S10</v>
      </c>
      <c r="X44" t="str">
        <f>'1'!AG44</f>
        <v>General</v>
      </c>
      <c r="Z44">
        <f>'1'!AE44</f>
        <v>850</v>
      </c>
      <c r="AB44" t="str">
        <f>'1'!AM44</f>
        <v/>
      </c>
      <c r="AC44" t="str">
        <f>'1'!AK44</f>
        <v/>
      </c>
      <c r="AP44" t="str">
        <f>'1'!AD44</f>
        <v>0096</v>
      </c>
      <c r="BG44" t="str">
        <f>'1'!AC44</f>
        <v>211998</v>
      </c>
      <c r="BK44" s="39" t="s">
        <v>5381</v>
      </c>
      <c r="BL44" s="39" t="s">
        <v>5381</v>
      </c>
      <c r="BU44" s="39" t="s">
        <v>5381</v>
      </c>
      <c r="BV44" s="39" t="s">
        <v>5381</v>
      </c>
      <c r="CE44" s="39" t="s">
        <v>5381</v>
      </c>
      <c r="CH44" s="39" t="s">
        <v>5381</v>
      </c>
    </row>
    <row r="45" spans="1:86">
      <c r="A45" s="62" t="s">
        <v>5380</v>
      </c>
      <c r="B45" t="str">
        <f>'1'!B45</f>
        <v>Crystal</v>
      </c>
      <c r="C45" t="str">
        <f>'1'!C45</f>
        <v/>
      </c>
      <c r="D45" t="str">
        <f>'1'!D45</f>
        <v>Dedes</v>
      </c>
      <c r="E45" t="str">
        <f>'1'!P45</f>
        <v>207391</v>
      </c>
      <c r="F45" t="str">
        <f>'1'!I45&amp;".new.uat"</f>
        <v>cdedes@onebarnes.com.new.uat</v>
      </c>
      <c r="G45" s="39" t="s">
        <v>5389</v>
      </c>
      <c r="H45" t="str">
        <f>'1'!I45</f>
        <v>cdedes@onebarnes.com</v>
      </c>
      <c r="I45" t="str">
        <f>'1'!AI45</f>
        <v>en_US</v>
      </c>
      <c r="L45" t="str">
        <f>'1'!AD45</f>
        <v>0088</v>
      </c>
      <c r="M45" t="str">
        <f>'1'!AJ45</f>
        <v>USD</v>
      </c>
      <c r="O45" s="39" t="str">
        <f>'1'!AL45</f>
        <v>Y</v>
      </c>
      <c r="P45" t="str">
        <f>'1'!AD45</f>
        <v>0088</v>
      </c>
      <c r="Q45">
        <f>'1'!AE45</f>
        <v>5200</v>
      </c>
      <c r="W45" t="str">
        <f>'1'!AA45</f>
        <v>S05</v>
      </c>
      <c r="X45" t="str">
        <f>'1'!AG45</f>
        <v>General</v>
      </c>
      <c r="Z45">
        <f>'1'!AE45</f>
        <v>5200</v>
      </c>
      <c r="AB45" t="str">
        <f>'1'!AM45</f>
        <v/>
      </c>
      <c r="AC45" t="str">
        <f>'1'!AK45</f>
        <v/>
      </c>
      <c r="AP45" t="str">
        <f>'1'!AD45</f>
        <v>0088</v>
      </c>
      <c r="BG45" t="str">
        <f>'1'!AC45</f>
        <v>211736</v>
      </c>
      <c r="BK45" s="39" t="s">
        <v>5381</v>
      </c>
      <c r="BL45" s="39" t="s">
        <v>5381</v>
      </c>
      <c r="BU45" s="39" t="s">
        <v>5381</v>
      </c>
      <c r="BV45" s="39" t="s">
        <v>5381</v>
      </c>
      <c r="CE45" s="39" t="s">
        <v>5381</v>
      </c>
      <c r="CH45" s="39" t="s">
        <v>5381</v>
      </c>
    </row>
    <row r="46" spans="1:86">
      <c r="A46" s="62" t="s">
        <v>5380</v>
      </c>
      <c r="B46" t="str">
        <f>'1'!B46</f>
        <v>Anthony</v>
      </c>
      <c r="C46" t="str">
        <f>'1'!C46</f>
        <v/>
      </c>
      <c r="D46" t="str">
        <f>'1'!D46</f>
        <v>Desillas</v>
      </c>
      <c r="E46" t="str">
        <f>'1'!P46</f>
        <v>212244</v>
      </c>
      <c r="F46" t="str">
        <f>'1'!I46&amp;".new.uat"</f>
        <v>.new.uat</v>
      </c>
      <c r="G46" s="39" t="s">
        <v>5389</v>
      </c>
      <c r="H46" t="str">
        <f>'1'!I46</f>
        <v/>
      </c>
      <c r="I46" t="str">
        <f>'1'!AI46</f>
        <v>en_US</v>
      </c>
      <c r="L46" t="str">
        <f>'1'!AD46</f>
        <v>0096</v>
      </c>
      <c r="M46" t="str">
        <f>'1'!AJ46</f>
        <v>USD</v>
      </c>
      <c r="O46" s="39" t="str">
        <f>'1'!AL46</f>
        <v>N</v>
      </c>
      <c r="P46" t="str">
        <f>'1'!AD46</f>
        <v>0096</v>
      </c>
      <c r="Q46">
        <f>'1'!AE46</f>
        <v>100</v>
      </c>
      <c r="W46" t="str">
        <f>'1'!AA46</f>
        <v>H07</v>
      </c>
      <c r="X46" t="str">
        <f>'1'!AG46</f>
        <v>General</v>
      </c>
      <c r="Z46">
        <f>'1'!AE46</f>
        <v>100</v>
      </c>
      <c r="AB46" t="str">
        <f>'1'!AM46</f>
        <v>20260124</v>
      </c>
      <c r="AC46" t="str">
        <f>'1'!AK46</f>
        <v/>
      </c>
      <c r="AP46" t="str">
        <f>'1'!AD46</f>
        <v>0096</v>
      </c>
      <c r="BG46" t="str">
        <f>'1'!AC46</f>
        <v/>
      </c>
      <c r="BK46" s="39" t="s">
        <v>5381</v>
      </c>
      <c r="BL46" s="39" t="s">
        <v>5381</v>
      </c>
      <c r="BU46" s="39" t="s">
        <v>5381</v>
      </c>
      <c r="BV46" s="39" t="s">
        <v>5381</v>
      </c>
      <c r="CE46" s="39" t="s">
        <v>5381</v>
      </c>
      <c r="CH46" s="39" t="s">
        <v>5381</v>
      </c>
    </row>
    <row r="47" spans="1:86">
      <c r="A47" s="62" t="s">
        <v>5380</v>
      </c>
      <c r="B47" t="str">
        <f>'1'!B47</f>
        <v>Amir</v>
      </c>
      <c r="C47" t="str">
        <f>'1'!C47</f>
        <v/>
      </c>
      <c r="D47" t="str">
        <f>'1'!D47</f>
        <v>Dillard</v>
      </c>
      <c r="E47" t="str">
        <f>'1'!P47</f>
        <v>211895</v>
      </c>
      <c r="F47" t="str">
        <f>'1'!I47&amp;".new.uat"</f>
        <v>adillard1@onebarnes.com.new.uat</v>
      </c>
      <c r="G47" s="39" t="s">
        <v>5389</v>
      </c>
      <c r="H47" t="str">
        <f>'1'!I47</f>
        <v>adillard1@onebarnes.com</v>
      </c>
      <c r="I47" t="str">
        <f>'1'!AI47</f>
        <v>en_US</v>
      </c>
      <c r="L47" t="str">
        <f>'1'!AD47</f>
        <v>0088</v>
      </c>
      <c r="M47" t="str">
        <f>'1'!AJ47</f>
        <v>USD</v>
      </c>
      <c r="O47" s="39" t="str">
        <f>'1'!AL47</f>
        <v>Y</v>
      </c>
      <c r="P47" t="str">
        <f>'1'!AD47</f>
        <v>0088</v>
      </c>
      <c r="Q47">
        <f>'1'!AE47</f>
        <v>5100</v>
      </c>
      <c r="W47" t="str">
        <f>'1'!AA47</f>
        <v>S05</v>
      </c>
      <c r="X47" t="str">
        <f>'1'!AG47</f>
        <v>General</v>
      </c>
      <c r="Z47">
        <f>'1'!AE47</f>
        <v>5100</v>
      </c>
      <c r="AB47" t="str">
        <f>'1'!AM47</f>
        <v/>
      </c>
      <c r="AC47" t="str">
        <f>'1'!AK47</f>
        <v/>
      </c>
      <c r="AP47" t="str">
        <f>'1'!AD47</f>
        <v>0088</v>
      </c>
      <c r="BG47" t="str">
        <f>'1'!AC47</f>
        <v>211756</v>
      </c>
      <c r="BK47" s="39" t="s">
        <v>5381</v>
      </c>
      <c r="BL47" s="39" t="s">
        <v>5381</v>
      </c>
      <c r="BU47" s="39" t="s">
        <v>5381</v>
      </c>
      <c r="BV47" s="39" t="s">
        <v>5381</v>
      </c>
      <c r="CE47" s="39" t="s">
        <v>5381</v>
      </c>
      <c r="CH47" s="39" t="s">
        <v>5381</v>
      </c>
    </row>
    <row r="48" spans="1:86">
      <c r="A48" s="62" t="s">
        <v>5380</v>
      </c>
      <c r="B48" t="str">
        <f>'1'!B48</f>
        <v>David</v>
      </c>
      <c r="C48" t="str">
        <f>'1'!C48</f>
        <v>A</v>
      </c>
      <c r="D48" t="str">
        <f>'1'!D48</f>
        <v>Dixon</v>
      </c>
      <c r="E48" t="str">
        <f>'1'!P48</f>
        <v>004330</v>
      </c>
      <c r="F48" t="str">
        <f>'1'!I48&amp;".new.uat"</f>
        <v>.new.uat</v>
      </c>
      <c r="G48" s="39" t="s">
        <v>5389</v>
      </c>
      <c r="H48" t="str">
        <f>'1'!I48</f>
        <v/>
      </c>
      <c r="I48" t="str">
        <f>'1'!AI48</f>
        <v>en_US</v>
      </c>
      <c r="L48" t="str">
        <f>'1'!AD48</f>
        <v>0096</v>
      </c>
      <c r="M48" t="str">
        <f>'1'!AJ48</f>
        <v>USD</v>
      </c>
      <c r="O48" s="39" t="str">
        <f>'1'!AL48</f>
        <v>Y</v>
      </c>
      <c r="P48" t="str">
        <f>'1'!AD48</f>
        <v>0096</v>
      </c>
      <c r="Q48">
        <f>'1'!AE48</f>
        <v>100</v>
      </c>
      <c r="W48" t="str">
        <f>'1'!AA48</f>
        <v>H08</v>
      </c>
      <c r="X48" t="str">
        <f>'1'!AG48</f>
        <v>General</v>
      </c>
      <c r="Z48">
        <f>'1'!AE48</f>
        <v>100</v>
      </c>
      <c r="AB48" t="str">
        <f>'1'!AM48</f>
        <v/>
      </c>
      <c r="AC48" t="str">
        <f>'1'!AK48</f>
        <v/>
      </c>
      <c r="AP48" t="str">
        <f>'1'!AD48</f>
        <v>0096</v>
      </c>
      <c r="BG48" t="str">
        <f>'1'!AC48</f>
        <v>211062</v>
      </c>
      <c r="BK48" s="39" t="s">
        <v>5381</v>
      </c>
      <c r="BL48" s="39" t="s">
        <v>5381</v>
      </c>
      <c r="BU48" s="39" t="s">
        <v>5381</v>
      </c>
      <c r="BV48" s="39" t="s">
        <v>5381</v>
      </c>
      <c r="CE48" s="39" t="s">
        <v>5381</v>
      </c>
      <c r="CH48" s="39" t="s">
        <v>5381</v>
      </c>
    </row>
    <row r="49" spans="1:86">
      <c r="A49" s="62" t="s">
        <v>5380</v>
      </c>
      <c r="B49" t="str">
        <f>'1'!B49</f>
        <v>Michael</v>
      </c>
      <c r="C49" t="str">
        <f>'1'!C49</f>
        <v>D</v>
      </c>
      <c r="D49" t="str">
        <f>'1'!D49</f>
        <v>Ellison</v>
      </c>
      <c r="E49" t="str">
        <f>'1'!P49</f>
        <v>212072</v>
      </c>
      <c r="F49" t="str">
        <f>'1'!I49&amp;".new.uat"</f>
        <v>.new.uat</v>
      </c>
      <c r="G49" s="39" t="s">
        <v>5389</v>
      </c>
      <c r="H49" t="str">
        <f>'1'!I49</f>
        <v/>
      </c>
      <c r="I49" t="str">
        <f>'1'!AI49</f>
        <v>en_US</v>
      </c>
      <c r="L49" t="str">
        <f>'1'!AD49</f>
        <v>0096</v>
      </c>
      <c r="M49" t="str">
        <f>'1'!AJ49</f>
        <v>USD</v>
      </c>
      <c r="O49" s="39" t="str">
        <f>'1'!AL49</f>
        <v>Y</v>
      </c>
      <c r="P49" t="str">
        <f>'1'!AD49</f>
        <v>0096</v>
      </c>
      <c r="Q49">
        <f>'1'!AE49</f>
        <v>200</v>
      </c>
      <c r="W49" t="str">
        <f>'1'!AA49</f>
        <v>H05</v>
      </c>
      <c r="X49" t="str">
        <f>'1'!AG49</f>
        <v>General</v>
      </c>
      <c r="Z49">
        <f>'1'!AE49</f>
        <v>200</v>
      </c>
      <c r="AB49" t="str">
        <f>'1'!AM49</f>
        <v/>
      </c>
      <c r="AC49" t="str">
        <f>'1'!AK49</f>
        <v/>
      </c>
      <c r="AP49" t="str">
        <f>'1'!AD49</f>
        <v>0096</v>
      </c>
      <c r="BG49" t="str">
        <f>'1'!AC49</f>
        <v>211998</v>
      </c>
      <c r="BK49" s="39" t="s">
        <v>5381</v>
      </c>
      <c r="BL49" s="39" t="s">
        <v>5381</v>
      </c>
      <c r="BU49" s="39" t="s">
        <v>5381</v>
      </c>
      <c r="BV49" s="39" t="s">
        <v>5381</v>
      </c>
      <c r="CE49" s="39" t="s">
        <v>5381</v>
      </c>
      <c r="CH49" s="39" t="s">
        <v>5381</v>
      </c>
    </row>
    <row r="50" spans="1:86">
      <c r="A50" s="62" t="s">
        <v>5380</v>
      </c>
      <c r="B50" t="str">
        <f>'1'!B50</f>
        <v>John</v>
      </c>
      <c r="C50" t="str">
        <f>'1'!C50</f>
        <v/>
      </c>
      <c r="D50" t="str">
        <f>'1'!D50</f>
        <v>Eward</v>
      </c>
      <c r="E50" t="str">
        <f>'1'!P50</f>
        <v>212921</v>
      </c>
      <c r="F50" t="str">
        <f>'1'!I50&amp;".new.uat"</f>
        <v>jeward@onebarnes.com.new.uat</v>
      </c>
      <c r="G50" s="39" t="s">
        <v>5389</v>
      </c>
      <c r="H50" t="str">
        <f>'1'!I50</f>
        <v>jeward@onebarnes.com</v>
      </c>
      <c r="I50" t="str">
        <f>'1'!AI50</f>
        <v>en_US</v>
      </c>
      <c r="L50" t="str">
        <f>'1'!AD50</f>
        <v>0088</v>
      </c>
      <c r="M50" t="str">
        <f>'1'!AJ50</f>
        <v>USD</v>
      </c>
      <c r="O50" s="39" t="str">
        <f>'1'!AL50</f>
        <v>Y</v>
      </c>
      <c r="P50" t="str">
        <f>'1'!AD50</f>
        <v>0088</v>
      </c>
      <c r="Q50">
        <f>'1'!AE50</f>
        <v>5200</v>
      </c>
      <c r="W50" t="str">
        <f>'1'!AA50</f>
        <v>S08</v>
      </c>
      <c r="X50" t="str">
        <f>'1'!AG50</f>
        <v>General</v>
      </c>
      <c r="Z50">
        <f>'1'!AE50</f>
        <v>5200</v>
      </c>
      <c r="AB50" t="str">
        <f>'1'!AM50</f>
        <v/>
      </c>
      <c r="AC50" t="str">
        <f>'1'!AK50</f>
        <v/>
      </c>
      <c r="AP50" t="str">
        <f>'1'!AD50</f>
        <v>0088</v>
      </c>
      <c r="BG50" t="str">
        <f>'1'!AC50</f>
        <v>207487</v>
      </c>
      <c r="BK50" s="39" t="s">
        <v>5381</v>
      </c>
      <c r="BL50" s="39" t="s">
        <v>5381</v>
      </c>
      <c r="BU50" s="39" t="s">
        <v>5381</v>
      </c>
      <c r="BV50" s="39" t="s">
        <v>5381</v>
      </c>
      <c r="CE50" s="39" t="s">
        <v>5381</v>
      </c>
      <c r="CH50" s="39" t="s">
        <v>5381</v>
      </c>
    </row>
    <row r="51" spans="1:86">
      <c r="A51" s="62" t="s">
        <v>5380</v>
      </c>
      <c r="B51" t="str">
        <f>'1'!B51</f>
        <v>Donald</v>
      </c>
      <c r="C51" t="str">
        <f>'1'!C51</f>
        <v>C</v>
      </c>
      <c r="D51" t="str">
        <f>'1'!D51</f>
        <v>Felts</v>
      </c>
      <c r="E51" t="str">
        <f>'1'!P51</f>
        <v>201958</v>
      </c>
      <c r="F51" t="str">
        <f>'1'!I51&amp;".new.uat"</f>
        <v>cfelts@onebarnes.com.new.uat</v>
      </c>
      <c r="G51" s="39" t="s">
        <v>5389</v>
      </c>
      <c r="H51" t="str">
        <f>'1'!I51</f>
        <v>cfelts@onebarnes.com</v>
      </c>
      <c r="I51" t="str">
        <f>'1'!AI51</f>
        <v>en_US</v>
      </c>
      <c r="L51" t="str">
        <f>'1'!AD51</f>
        <v>0096</v>
      </c>
      <c r="M51" t="str">
        <f>'1'!AJ51</f>
        <v>USD</v>
      </c>
      <c r="O51" s="39" t="str">
        <f>'1'!AL51</f>
        <v>Y</v>
      </c>
      <c r="P51" t="str">
        <f>'1'!AD51</f>
        <v>0096</v>
      </c>
      <c r="Q51">
        <f>'1'!AE51</f>
        <v>820</v>
      </c>
      <c r="W51" t="str">
        <f>'1'!AA51</f>
        <v>S15</v>
      </c>
      <c r="X51" t="str">
        <f>'1'!AG51</f>
        <v>General</v>
      </c>
      <c r="Z51">
        <f>'1'!AE51</f>
        <v>820</v>
      </c>
      <c r="AB51" t="str">
        <f>'1'!AM51</f>
        <v/>
      </c>
      <c r="AC51" t="str">
        <f>'1'!AK51</f>
        <v/>
      </c>
      <c r="AP51" t="str">
        <f>'1'!AD51</f>
        <v>0096</v>
      </c>
      <c r="BG51" t="str">
        <f>'1'!AC51</f>
        <v>901934</v>
      </c>
      <c r="BK51" s="39" t="s">
        <v>5381</v>
      </c>
      <c r="BL51" s="39" t="s">
        <v>5381</v>
      </c>
      <c r="BU51" s="39" t="s">
        <v>5381</v>
      </c>
      <c r="BV51" s="39" t="s">
        <v>5381</v>
      </c>
      <c r="CE51" s="39" t="s">
        <v>5381</v>
      </c>
      <c r="CH51" s="39" t="s">
        <v>5381</v>
      </c>
    </row>
    <row r="52" spans="1:86">
      <c r="A52" s="62" t="s">
        <v>5380</v>
      </c>
      <c r="B52" t="str">
        <f>'1'!B52</f>
        <v>Jeffrey</v>
      </c>
      <c r="C52" t="str">
        <f>'1'!C52</f>
        <v>L</v>
      </c>
      <c r="D52" t="str">
        <f>'1'!D52</f>
        <v>Finch</v>
      </c>
      <c r="E52" t="str">
        <f>'1'!P52</f>
        <v>900848</v>
      </c>
      <c r="F52" t="str">
        <f>'1'!I52&amp;".new.uat"</f>
        <v>Jfinch@onebarnes.com.new.uat</v>
      </c>
      <c r="G52" s="39" t="s">
        <v>5389</v>
      </c>
      <c r="H52" t="str">
        <f>'1'!I52</f>
        <v>Jfinch@onebarnes.com</v>
      </c>
      <c r="I52" t="str">
        <f>'1'!AI52</f>
        <v>en_US</v>
      </c>
      <c r="L52" t="str">
        <f>'1'!AD52</f>
        <v>0088</v>
      </c>
      <c r="M52" t="str">
        <f>'1'!AJ52</f>
        <v>USD</v>
      </c>
      <c r="O52" s="39" t="str">
        <f>'1'!AL52</f>
        <v>Y</v>
      </c>
      <c r="P52" t="str">
        <f>'1'!AD52</f>
        <v>0088</v>
      </c>
      <c r="Q52">
        <f>'1'!AE52</f>
        <v>9150</v>
      </c>
      <c r="W52" t="str">
        <f>'1'!AA52</f>
        <v>S15</v>
      </c>
      <c r="X52" t="str">
        <f>'1'!AG52</f>
        <v>General</v>
      </c>
      <c r="Z52">
        <f>'1'!AE52</f>
        <v>9150</v>
      </c>
      <c r="AB52" t="str">
        <f>'1'!AM52</f>
        <v/>
      </c>
      <c r="AC52" t="str">
        <f>'1'!AK52</f>
        <v/>
      </c>
      <c r="AP52" t="str">
        <f>'1'!AD52</f>
        <v>0088</v>
      </c>
      <c r="BG52" t="str">
        <f>'1'!AC52</f>
        <v/>
      </c>
      <c r="BK52" s="39" t="s">
        <v>5381</v>
      </c>
      <c r="BL52" s="39" t="s">
        <v>5381</v>
      </c>
      <c r="BU52" s="39" t="s">
        <v>5381</v>
      </c>
      <c r="BV52" s="39" t="s">
        <v>5381</v>
      </c>
      <c r="CE52" s="39" t="s">
        <v>5381</v>
      </c>
      <c r="CH52" s="39" t="s">
        <v>5381</v>
      </c>
    </row>
    <row r="53" spans="1:86">
      <c r="A53" s="62" t="s">
        <v>5380</v>
      </c>
      <c r="B53" t="str">
        <f>'1'!B53</f>
        <v>John</v>
      </c>
      <c r="C53" t="str">
        <f>'1'!C53</f>
        <v/>
      </c>
      <c r="D53" t="str">
        <f>'1'!D53</f>
        <v>Foisel</v>
      </c>
      <c r="E53" t="str">
        <f>'1'!P53</f>
        <v>007863</v>
      </c>
      <c r="F53" t="str">
        <f>'1'!I53&amp;".new.uat"</f>
        <v>jfoisel@onebarnes.com.new.uat</v>
      </c>
      <c r="G53" s="39" t="s">
        <v>5389</v>
      </c>
      <c r="H53" t="str">
        <f>'1'!I53</f>
        <v>jfoisel@onebarnes.com</v>
      </c>
      <c r="I53" t="str">
        <f>'1'!AI53</f>
        <v>en_US</v>
      </c>
      <c r="L53" t="str">
        <f>'1'!AD53</f>
        <v>0096</v>
      </c>
      <c r="M53" t="str">
        <f>'1'!AJ53</f>
        <v>USD</v>
      </c>
      <c r="O53" s="39" t="str">
        <f>'1'!AL53</f>
        <v>Y</v>
      </c>
      <c r="P53" t="str">
        <f>'1'!AD53</f>
        <v>0096</v>
      </c>
      <c r="Q53">
        <f>'1'!AE53</f>
        <v>820</v>
      </c>
      <c r="W53" t="str">
        <f>'1'!AA53</f>
        <v>S17</v>
      </c>
      <c r="X53" t="str">
        <f>'1'!AG53</f>
        <v>General</v>
      </c>
      <c r="Z53">
        <f>'1'!AE53</f>
        <v>820</v>
      </c>
      <c r="AB53" t="str">
        <f>'1'!AM53</f>
        <v/>
      </c>
      <c r="AC53" t="str">
        <f>'1'!AK53</f>
        <v/>
      </c>
      <c r="AP53" t="str">
        <f>'1'!AD53</f>
        <v>0096</v>
      </c>
      <c r="BG53" t="str">
        <f>'1'!AC53</f>
        <v>901934</v>
      </c>
      <c r="BK53" s="39" t="s">
        <v>5381</v>
      </c>
      <c r="BL53" s="39" t="s">
        <v>5381</v>
      </c>
      <c r="BU53" s="39" t="s">
        <v>5381</v>
      </c>
      <c r="BV53" s="39" t="s">
        <v>5381</v>
      </c>
      <c r="CE53" s="39" t="s">
        <v>5381</v>
      </c>
      <c r="CH53" s="39" t="s">
        <v>5381</v>
      </c>
    </row>
    <row r="54" spans="1:86">
      <c r="A54" s="62" t="s">
        <v>5380</v>
      </c>
      <c r="B54" t="str">
        <f>'1'!B54</f>
        <v>Conner</v>
      </c>
      <c r="C54" t="str">
        <f>'1'!C54</f>
        <v>J</v>
      </c>
      <c r="D54" t="str">
        <f>'1'!D54</f>
        <v>Frankforther</v>
      </c>
      <c r="E54" t="str">
        <f>'1'!P54</f>
        <v>212151</v>
      </c>
      <c r="F54" t="str">
        <f>'1'!I54&amp;".new.uat"</f>
        <v>cfrankforther@onebarnes.com.new.uat</v>
      </c>
      <c r="G54" s="39" t="s">
        <v>5389</v>
      </c>
      <c r="H54" t="str">
        <f>'1'!I54</f>
        <v>cfrankforther@onebarnes.com</v>
      </c>
      <c r="I54" t="str">
        <f>'1'!AI54</f>
        <v>en_US</v>
      </c>
      <c r="L54" t="str">
        <f>'1'!AD54</f>
        <v>0088</v>
      </c>
      <c r="M54" t="str">
        <f>'1'!AJ54</f>
        <v>USD</v>
      </c>
      <c r="O54" s="39" t="str">
        <f>'1'!AL54</f>
        <v>Y</v>
      </c>
      <c r="P54" t="str">
        <f>'1'!AD54</f>
        <v>0088</v>
      </c>
      <c r="Q54">
        <f>'1'!AE54</f>
        <v>5100</v>
      </c>
      <c r="W54" t="str">
        <f>'1'!AA54</f>
        <v>S05</v>
      </c>
      <c r="X54" t="str">
        <f>'1'!AG54</f>
        <v>General</v>
      </c>
      <c r="Z54">
        <f>'1'!AE54</f>
        <v>5100</v>
      </c>
      <c r="AB54" t="str">
        <f>'1'!AM54</f>
        <v/>
      </c>
      <c r="AC54" t="str">
        <f>'1'!AK54</f>
        <v/>
      </c>
      <c r="AP54" t="str">
        <f>'1'!AD54</f>
        <v>0088</v>
      </c>
      <c r="BG54" t="str">
        <f>'1'!AC54</f>
        <v>211756</v>
      </c>
      <c r="BK54" s="39" t="s">
        <v>5381</v>
      </c>
      <c r="BL54" s="39" t="s">
        <v>5381</v>
      </c>
      <c r="BU54" s="39" t="s">
        <v>5381</v>
      </c>
      <c r="BV54" s="39" t="s">
        <v>5381</v>
      </c>
      <c r="CE54" s="39" t="s">
        <v>5381</v>
      </c>
      <c r="CH54" s="39" t="s">
        <v>5381</v>
      </c>
    </row>
    <row r="55" spans="1:86">
      <c r="A55" s="62" t="s">
        <v>5380</v>
      </c>
      <c r="B55" t="str">
        <f>'1'!B55</f>
        <v>Dillon</v>
      </c>
      <c r="C55" t="str">
        <f>'1'!C55</f>
        <v>M</v>
      </c>
      <c r="D55" t="str">
        <f>'1'!D55</f>
        <v>Frankforther</v>
      </c>
      <c r="E55" t="str">
        <f>'1'!P55</f>
        <v>211779</v>
      </c>
      <c r="F55" t="str">
        <f>'1'!I55&amp;".new.uat"</f>
        <v>dfrankforther@onebarnes.com.new.uat</v>
      </c>
      <c r="G55" s="39" t="s">
        <v>5389</v>
      </c>
      <c r="H55" t="str">
        <f>'1'!I55</f>
        <v>dfrankforther@onebarnes.com</v>
      </c>
      <c r="I55" t="str">
        <f>'1'!AI55</f>
        <v>en_US</v>
      </c>
      <c r="L55" t="str">
        <f>'1'!AD55</f>
        <v>0088</v>
      </c>
      <c r="M55" t="str">
        <f>'1'!AJ55</f>
        <v>USD</v>
      </c>
      <c r="O55" s="39" t="str">
        <f>'1'!AL55</f>
        <v>Y</v>
      </c>
      <c r="P55" t="str">
        <f>'1'!AD55</f>
        <v>0088</v>
      </c>
      <c r="Q55">
        <f>'1'!AE55</f>
        <v>5200</v>
      </c>
      <c r="W55" t="str">
        <f>'1'!AA55</f>
        <v>S05</v>
      </c>
      <c r="X55" t="str">
        <f>'1'!AG55</f>
        <v>General</v>
      </c>
      <c r="Z55">
        <f>'1'!AE55</f>
        <v>5200</v>
      </c>
      <c r="AB55" t="str">
        <f>'1'!AM55</f>
        <v/>
      </c>
      <c r="AC55" t="str">
        <f>'1'!AK55</f>
        <v/>
      </c>
      <c r="AP55" t="str">
        <f>'1'!AD55</f>
        <v>0088</v>
      </c>
      <c r="BG55" t="str">
        <f>'1'!AC55</f>
        <v>211736</v>
      </c>
      <c r="BK55" s="39" t="s">
        <v>5381</v>
      </c>
      <c r="BL55" s="39" t="s">
        <v>5381</v>
      </c>
      <c r="BU55" s="39" t="s">
        <v>5381</v>
      </c>
      <c r="BV55" s="39" t="s">
        <v>5381</v>
      </c>
      <c r="CE55" s="39" t="s">
        <v>5381</v>
      </c>
      <c r="CH55" s="39" t="s">
        <v>5381</v>
      </c>
    </row>
    <row r="56" spans="1:86">
      <c r="A56" s="62" t="s">
        <v>5380</v>
      </c>
      <c r="B56" t="str">
        <f>'1'!B56</f>
        <v>Anthony</v>
      </c>
      <c r="C56" t="str">
        <f>'1'!C56</f>
        <v>J</v>
      </c>
      <c r="D56" t="str">
        <f>'1'!D56</f>
        <v>Frimel</v>
      </c>
      <c r="E56" t="str">
        <f>'1'!P56</f>
        <v>004352</v>
      </c>
      <c r="F56" t="str">
        <f>'1'!I56&amp;".new.uat"</f>
        <v>afrimel@onebarnes.com.new.uat</v>
      </c>
      <c r="G56" s="39" t="s">
        <v>5389</v>
      </c>
      <c r="H56" t="str">
        <f>'1'!I56</f>
        <v>afrimel@onebarnes.com</v>
      </c>
      <c r="I56" t="str">
        <f>'1'!AI56</f>
        <v>en_US</v>
      </c>
      <c r="L56" t="str">
        <f>'1'!AD56</f>
        <v>0096</v>
      </c>
      <c r="M56" t="str">
        <f>'1'!AJ56</f>
        <v>USD</v>
      </c>
      <c r="O56" s="39" t="str">
        <f>'1'!AL56</f>
        <v>Y</v>
      </c>
      <c r="P56" t="str">
        <f>'1'!AD56</f>
        <v>0096</v>
      </c>
      <c r="Q56">
        <f>'1'!AE56</f>
        <v>100</v>
      </c>
      <c r="W56" t="str">
        <f>'1'!AA56</f>
        <v>H08</v>
      </c>
      <c r="X56" t="str">
        <f>'1'!AG56</f>
        <v>General</v>
      </c>
      <c r="Z56">
        <f>'1'!AE56</f>
        <v>100</v>
      </c>
      <c r="AB56" t="str">
        <f>'1'!AM56</f>
        <v/>
      </c>
      <c r="AC56" t="str">
        <f>'1'!AK56</f>
        <v/>
      </c>
      <c r="AP56" t="str">
        <f>'1'!AD56</f>
        <v>0096</v>
      </c>
      <c r="BG56" t="str">
        <f>'1'!AC56</f>
        <v>211062</v>
      </c>
      <c r="BK56" s="39" t="s">
        <v>5381</v>
      </c>
      <c r="BL56" s="39" t="s">
        <v>5381</v>
      </c>
      <c r="BU56" s="39" t="s">
        <v>5381</v>
      </c>
      <c r="BV56" s="39" t="s">
        <v>5381</v>
      </c>
      <c r="CE56" s="39" t="s">
        <v>5381</v>
      </c>
      <c r="CH56" s="39" t="s">
        <v>5381</v>
      </c>
    </row>
    <row r="57" spans="1:86">
      <c r="A57" s="62" t="s">
        <v>5380</v>
      </c>
      <c r="B57" t="str">
        <f>'1'!B57</f>
        <v>Terry</v>
      </c>
      <c r="C57" t="str">
        <f>'1'!C57</f>
        <v>L</v>
      </c>
      <c r="D57" t="str">
        <f>'1'!D57</f>
        <v>Gang</v>
      </c>
      <c r="E57" t="str">
        <f>'1'!P57</f>
        <v>006780</v>
      </c>
      <c r="F57" t="str">
        <f>'1'!I57&amp;".new.uat"</f>
        <v>TGang@onebarnes.com.new.uat</v>
      </c>
      <c r="G57" s="39" t="s">
        <v>5389</v>
      </c>
      <c r="H57" t="str">
        <f>'1'!I57</f>
        <v>TGang@onebarnes.com</v>
      </c>
      <c r="I57" t="str">
        <f>'1'!AI57</f>
        <v>en_US</v>
      </c>
      <c r="L57" t="str">
        <f>'1'!AD57</f>
        <v>0096</v>
      </c>
      <c r="M57" t="str">
        <f>'1'!AJ57</f>
        <v>USD</v>
      </c>
      <c r="O57" s="39" t="str">
        <f>'1'!AL57</f>
        <v>Y</v>
      </c>
      <c r="P57" t="str">
        <f>'1'!AD57</f>
        <v>0096</v>
      </c>
      <c r="Q57">
        <f>'1'!AE57</f>
        <v>555</v>
      </c>
      <c r="W57" t="str">
        <f>'1'!AA57</f>
        <v>S17</v>
      </c>
      <c r="X57" t="str">
        <f>'1'!AG57</f>
        <v>General</v>
      </c>
      <c r="Z57">
        <f>'1'!AE57</f>
        <v>555</v>
      </c>
      <c r="AB57" t="str">
        <f>'1'!AM57</f>
        <v/>
      </c>
      <c r="AC57" t="str">
        <f>'1'!AK57</f>
        <v/>
      </c>
      <c r="AP57" t="str">
        <f>'1'!AD57</f>
        <v>0096</v>
      </c>
      <c r="BG57" t="str">
        <f>'1'!AC57</f>
        <v>213037</v>
      </c>
      <c r="BK57" s="39" t="s">
        <v>5381</v>
      </c>
      <c r="BL57" s="39" t="s">
        <v>5381</v>
      </c>
      <c r="BU57" s="39" t="s">
        <v>5381</v>
      </c>
      <c r="BV57" s="39" t="s">
        <v>5381</v>
      </c>
      <c r="CE57" s="39" t="s">
        <v>5381</v>
      </c>
      <c r="CH57" s="39" t="s">
        <v>5381</v>
      </c>
    </row>
    <row r="58" spans="1:86">
      <c r="A58" s="62" t="s">
        <v>5380</v>
      </c>
      <c r="B58" t="str">
        <f>'1'!B58</f>
        <v>Anne</v>
      </c>
      <c r="C58" t="str">
        <f>'1'!C58</f>
        <v>M</v>
      </c>
      <c r="D58" t="str">
        <f>'1'!D58</f>
        <v>Garber</v>
      </c>
      <c r="E58" t="str">
        <f>'1'!P58</f>
        <v>902627</v>
      </c>
      <c r="F58" t="str">
        <f>'1'!I58&amp;".new.uat"</f>
        <v>agarber@onebarnes.com.new.uat</v>
      </c>
      <c r="G58" s="39" t="s">
        <v>5389</v>
      </c>
      <c r="H58" t="str">
        <f>'1'!I58</f>
        <v>agarber@onebarnes.com</v>
      </c>
      <c r="I58" t="str">
        <f>'1'!AI58</f>
        <v>en_US</v>
      </c>
      <c r="L58" t="str">
        <f>'1'!AD58</f>
        <v>0096</v>
      </c>
      <c r="M58" t="str">
        <f>'1'!AJ58</f>
        <v>USD</v>
      </c>
      <c r="O58" s="39" t="str">
        <f>'1'!AL58</f>
        <v>Y</v>
      </c>
      <c r="P58" t="str">
        <f>'1'!AD58</f>
        <v>0096</v>
      </c>
      <c r="Q58" t="str">
        <f>'1'!AE58</f>
        <v>0007</v>
      </c>
      <c r="W58" t="str">
        <f>'1'!AA58</f>
        <v>S17</v>
      </c>
      <c r="X58" t="str">
        <f>'1'!AG58</f>
        <v>General</v>
      </c>
      <c r="Z58" t="str">
        <f>'1'!AE58</f>
        <v>0007</v>
      </c>
      <c r="AB58" t="str">
        <f>'1'!AM58</f>
        <v/>
      </c>
      <c r="AC58" t="str">
        <f>'1'!AK58</f>
        <v/>
      </c>
      <c r="AP58" t="str">
        <f>'1'!AD58</f>
        <v>0096</v>
      </c>
      <c r="BG58" t="str">
        <f>'1'!AC58</f>
        <v/>
      </c>
      <c r="BK58" s="39" t="s">
        <v>5381</v>
      </c>
      <c r="BL58" s="39" t="s">
        <v>5381</v>
      </c>
      <c r="BU58" s="39" t="s">
        <v>5381</v>
      </c>
      <c r="BV58" s="39" t="s">
        <v>5381</v>
      </c>
      <c r="CE58" s="39" t="s">
        <v>5381</v>
      </c>
      <c r="CH58" s="39" t="s">
        <v>5381</v>
      </c>
    </row>
    <row r="59" spans="1:86">
      <c r="A59" s="62" t="s">
        <v>5380</v>
      </c>
      <c r="B59" t="str">
        <f>'1'!B59</f>
        <v>Evelyn</v>
      </c>
      <c r="C59" t="str">
        <f>'1'!C59</f>
        <v/>
      </c>
      <c r="D59" t="str">
        <f>'1'!D59</f>
        <v>Gonzalez</v>
      </c>
      <c r="E59" t="str">
        <f>'1'!P59</f>
        <v>209540</v>
      </c>
      <c r="F59" t="str">
        <f>'1'!I59&amp;".new.uat"</f>
        <v>EGonzalez@onebarnes.com.new.uat</v>
      </c>
      <c r="G59" s="39" t="s">
        <v>5389</v>
      </c>
      <c r="H59" t="str">
        <f>'1'!I59</f>
        <v>EGonzalez@onebarnes.com</v>
      </c>
      <c r="I59" t="str">
        <f>'1'!AI59</f>
        <v>en_US</v>
      </c>
      <c r="L59" t="str">
        <f>'1'!AD59</f>
        <v>0088</v>
      </c>
      <c r="M59" t="str">
        <f>'1'!AJ59</f>
        <v>USD</v>
      </c>
      <c r="O59" s="39" t="str">
        <f>'1'!AL59</f>
        <v>N</v>
      </c>
      <c r="P59" t="str">
        <f>'1'!AD59</f>
        <v>0088</v>
      </c>
      <c r="Q59" t="str">
        <f>'1'!AE59</f>
        <v>Home Department Code Not Mapped</v>
      </c>
      <c r="W59" t="str">
        <f>'1'!AA59</f>
        <v>S05</v>
      </c>
      <c r="X59" t="str">
        <f>'1'!AG59</f>
        <v>General</v>
      </c>
      <c r="Z59" t="str">
        <f>'1'!AE59</f>
        <v>Home Department Code Not Mapped</v>
      </c>
      <c r="AB59" t="str">
        <f>'1'!AM59</f>
        <v>20260506</v>
      </c>
      <c r="AC59" t="str">
        <f>'1'!AK59</f>
        <v/>
      </c>
      <c r="AP59" t="str">
        <f>'1'!AD59</f>
        <v>0088</v>
      </c>
      <c r="BG59" t="str">
        <f>'1'!AC59</f>
        <v/>
      </c>
      <c r="BK59" s="39" t="s">
        <v>5381</v>
      </c>
      <c r="BL59" s="39" t="s">
        <v>5381</v>
      </c>
      <c r="BU59" s="39" t="s">
        <v>5381</v>
      </c>
      <c r="BV59" s="39" t="s">
        <v>5381</v>
      </c>
      <c r="CE59" s="39" t="s">
        <v>5381</v>
      </c>
      <c r="CH59" s="39" t="s">
        <v>5381</v>
      </c>
    </row>
    <row r="60" spans="1:86">
      <c r="A60" s="62" t="s">
        <v>5380</v>
      </c>
      <c r="B60" t="str">
        <f>'1'!B60</f>
        <v>Cristel</v>
      </c>
      <c r="C60" t="str">
        <f>'1'!C60</f>
        <v/>
      </c>
      <c r="D60" t="str">
        <f>'1'!D60</f>
        <v>Grandowicz</v>
      </c>
      <c r="E60" t="str">
        <f>'1'!P60</f>
        <v>211991</v>
      </c>
      <c r="F60" t="str">
        <f>'1'!I60&amp;".new.uat"</f>
        <v>cgrandowicz@onebarnes.com.new.uat</v>
      </c>
      <c r="G60" s="39" t="s">
        <v>5389</v>
      </c>
      <c r="H60" t="str">
        <f>'1'!I60</f>
        <v>cgrandowicz@onebarnes.com</v>
      </c>
      <c r="I60" t="str">
        <f>'1'!AI60</f>
        <v>en_US</v>
      </c>
      <c r="L60" t="str">
        <f>'1'!AD60</f>
        <v>0088</v>
      </c>
      <c r="M60" t="str">
        <f>'1'!AJ60</f>
        <v>USD</v>
      </c>
      <c r="O60" s="39" t="str">
        <f>'1'!AL60</f>
        <v>Y</v>
      </c>
      <c r="P60" t="str">
        <f>'1'!AD60</f>
        <v>0088</v>
      </c>
      <c r="Q60">
        <f>'1'!AE60</f>
        <v>5100</v>
      </c>
      <c r="W60" t="str">
        <f>'1'!AA60</f>
        <v>S05</v>
      </c>
      <c r="X60" t="str">
        <f>'1'!AG60</f>
        <v>General</v>
      </c>
      <c r="Z60">
        <f>'1'!AE60</f>
        <v>5100</v>
      </c>
      <c r="AB60" t="str">
        <f>'1'!AM60</f>
        <v/>
      </c>
      <c r="AC60" t="str">
        <f>'1'!AK60</f>
        <v/>
      </c>
      <c r="AP60" t="str">
        <f>'1'!AD60</f>
        <v>0088</v>
      </c>
      <c r="BG60" t="str">
        <f>'1'!AC60</f>
        <v>211756</v>
      </c>
      <c r="BK60" s="39" t="s">
        <v>5381</v>
      </c>
      <c r="BL60" s="39" t="s">
        <v>5381</v>
      </c>
      <c r="BU60" s="39" t="s">
        <v>5381</v>
      </c>
      <c r="BV60" s="39" t="s">
        <v>5381</v>
      </c>
      <c r="CE60" s="39" t="s">
        <v>5381</v>
      </c>
      <c r="CH60" s="39" t="s">
        <v>5381</v>
      </c>
    </row>
    <row r="61" spans="1:86">
      <c r="A61" s="62" t="s">
        <v>5380</v>
      </c>
      <c r="B61" t="str">
        <f>'1'!B61</f>
        <v>Ivy</v>
      </c>
      <c r="C61" t="str">
        <f>'1'!C61</f>
        <v>J</v>
      </c>
      <c r="D61" t="str">
        <f>'1'!D61</f>
        <v>Grant</v>
      </c>
      <c r="E61" t="str">
        <f>'1'!P61</f>
        <v>209642</v>
      </c>
      <c r="F61" t="str">
        <f>'1'!I61&amp;".new.uat"</f>
        <v>igrant1@onebarnes.com.new.uat</v>
      </c>
      <c r="G61" s="39" t="s">
        <v>5389</v>
      </c>
      <c r="H61" t="str">
        <f>'1'!I61</f>
        <v>igrant1@onebarnes.com</v>
      </c>
      <c r="I61" t="str">
        <f>'1'!AI61</f>
        <v>en_US</v>
      </c>
      <c r="L61" t="str">
        <f>'1'!AD61</f>
        <v>0088</v>
      </c>
      <c r="M61" t="str">
        <f>'1'!AJ61</f>
        <v>USD</v>
      </c>
      <c r="O61" s="39" t="str">
        <f>'1'!AL61</f>
        <v>Y</v>
      </c>
      <c r="P61" t="str">
        <f>'1'!AD61</f>
        <v>0088</v>
      </c>
      <c r="Q61">
        <f>'1'!AE61</f>
        <v>9100</v>
      </c>
      <c r="W61" t="str">
        <f>'1'!AA61</f>
        <v>S10</v>
      </c>
      <c r="X61" t="str">
        <f>'1'!AG61</f>
        <v>General</v>
      </c>
      <c r="Z61">
        <f>'1'!AE61</f>
        <v>9100</v>
      </c>
      <c r="AB61" t="str">
        <f>'1'!AM61</f>
        <v/>
      </c>
      <c r="AC61" t="str">
        <f>'1'!AK61</f>
        <v/>
      </c>
      <c r="AP61" t="str">
        <f>'1'!AD61</f>
        <v>0088</v>
      </c>
      <c r="BG61" t="str">
        <f>'1'!AC61</f>
        <v>008750</v>
      </c>
      <c r="BK61" s="39" t="s">
        <v>5381</v>
      </c>
      <c r="BL61" s="39" t="s">
        <v>5381</v>
      </c>
      <c r="BU61" s="39" t="s">
        <v>5381</v>
      </c>
      <c r="BV61" s="39" t="s">
        <v>5381</v>
      </c>
      <c r="CE61" s="39" t="s">
        <v>5381</v>
      </c>
      <c r="CH61" s="39" t="s">
        <v>5381</v>
      </c>
    </row>
    <row r="62" spans="1:86">
      <c r="A62" s="62" t="s">
        <v>5380</v>
      </c>
      <c r="B62" t="str">
        <f>'1'!B62</f>
        <v>Michael</v>
      </c>
      <c r="C62" t="str">
        <f>'1'!C62</f>
        <v>W</v>
      </c>
      <c r="D62" t="str">
        <f>'1'!D62</f>
        <v>Haas</v>
      </c>
      <c r="E62" t="str">
        <f>'1'!P62</f>
        <v>006785</v>
      </c>
      <c r="F62" t="str">
        <f>'1'!I62&amp;".new.uat"</f>
        <v>MHaas@onebarnes.com.new.uat</v>
      </c>
      <c r="G62" s="39" t="s">
        <v>5389</v>
      </c>
      <c r="H62" t="str">
        <f>'1'!I62</f>
        <v>MHaas@onebarnes.com</v>
      </c>
      <c r="I62" t="str">
        <f>'1'!AI62</f>
        <v>en_US</v>
      </c>
      <c r="L62" t="str">
        <f>'1'!AD62</f>
        <v>0096</v>
      </c>
      <c r="M62" t="str">
        <f>'1'!AJ62</f>
        <v>USD</v>
      </c>
      <c r="O62" s="39" t="str">
        <f>'1'!AL62</f>
        <v>N</v>
      </c>
      <c r="P62" t="str">
        <f>'1'!AD62</f>
        <v>0096</v>
      </c>
      <c r="Q62">
        <f>'1'!AE62</f>
        <v>450</v>
      </c>
      <c r="W62" t="str">
        <f>'1'!AA62</f>
        <v>H08</v>
      </c>
      <c r="X62" t="str">
        <f>'1'!AG62</f>
        <v>General</v>
      </c>
      <c r="Z62">
        <f>'1'!AE62</f>
        <v>450</v>
      </c>
      <c r="AB62" t="str">
        <f>'1'!AM62</f>
        <v>20260105</v>
      </c>
      <c r="AC62" t="str">
        <f>'1'!AK62</f>
        <v/>
      </c>
      <c r="AP62" t="str">
        <f>'1'!AD62</f>
        <v>0096</v>
      </c>
      <c r="BG62" t="str">
        <f>'1'!AC62</f>
        <v/>
      </c>
      <c r="BK62" s="39" t="s">
        <v>5381</v>
      </c>
      <c r="BL62" s="39" t="s">
        <v>5381</v>
      </c>
      <c r="BU62" s="39" t="s">
        <v>5381</v>
      </c>
      <c r="BV62" s="39" t="s">
        <v>5381</v>
      </c>
      <c r="CE62" s="39" t="s">
        <v>5381</v>
      </c>
      <c r="CH62" s="39" t="s">
        <v>5381</v>
      </c>
    </row>
    <row r="63" spans="1:86">
      <c r="A63" s="62" t="s">
        <v>5380</v>
      </c>
      <c r="B63" t="str">
        <f>'1'!B63</f>
        <v>Tirani</v>
      </c>
      <c r="C63" t="str">
        <f>'1'!C63</f>
        <v>J</v>
      </c>
      <c r="D63" t="str">
        <f>'1'!D63</f>
        <v>Hague</v>
      </c>
      <c r="E63" t="str">
        <f>'1'!P63</f>
        <v>213224</v>
      </c>
      <c r="F63" t="str">
        <f>'1'!I63&amp;".new.uat"</f>
        <v>.new.uat</v>
      </c>
      <c r="G63" s="39" t="s">
        <v>5389</v>
      </c>
      <c r="H63" t="str">
        <f>'1'!I63</f>
        <v/>
      </c>
      <c r="I63" t="str">
        <f>'1'!AI63</f>
        <v>en_US</v>
      </c>
      <c r="L63" t="str">
        <f>'1'!AD63</f>
        <v>0088</v>
      </c>
      <c r="M63" t="str">
        <f>'1'!AJ63</f>
        <v>USD</v>
      </c>
      <c r="O63" s="39" t="str">
        <f>'1'!AL63</f>
        <v>Y</v>
      </c>
      <c r="P63" t="str">
        <f>'1'!AD63</f>
        <v>0088</v>
      </c>
      <c r="Q63">
        <f>'1'!AE63</f>
        <v>8100</v>
      </c>
      <c r="W63" t="str">
        <f>'1'!AA63</f>
        <v>S11</v>
      </c>
      <c r="X63" t="str">
        <f>'1'!AG63</f>
        <v>General</v>
      </c>
      <c r="Z63">
        <f>'1'!AE63</f>
        <v>8100</v>
      </c>
      <c r="AB63" t="str">
        <f>'1'!AM63</f>
        <v/>
      </c>
      <c r="AC63" t="str">
        <f>'1'!AK63</f>
        <v/>
      </c>
      <c r="AP63" t="str">
        <f>'1'!AD63</f>
        <v>0088</v>
      </c>
      <c r="BG63" t="str">
        <f>'1'!AC63</f>
        <v>211131</v>
      </c>
      <c r="BK63" s="39" t="s">
        <v>5381</v>
      </c>
      <c r="BL63" s="39" t="s">
        <v>5381</v>
      </c>
      <c r="BU63" s="39" t="s">
        <v>5381</v>
      </c>
      <c r="BV63" s="39" t="s">
        <v>5381</v>
      </c>
      <c r="CE63" s="39" t="s">
        <v>5381</v>
      </c>
      <c r="CH63" s="39" t="s">
        <v>5381</v>
      </c>
    </row>
    <row r="64" spans="1:86">
      <c r="A64" s="62" t="s">
        <v>5380</v>
      </c>
      <c r="B64" t="str">
        <f>'1'!B64</f>
        <v>Kimberly</v>
      </c>
      <c r="C64" t="str">
        <f>'1'!C64</f>
        <v/>
      </c>
      <c r="D64" t="str">
        <f>'1'!D64</f>
        <v>Hall</v>
      </c>
      <c r="E64" t="str">
        <f>'1'!P64</f>
        <v>206228</v>
      </c>
      <c r="F64" t="str">
        <f>'1'!I64&amp;".new.uat"</f>
        <v>KHall@onebarnes.com.new.uat</v>
      </c>
      <c r="G64" s="39" t="s">
        <v>5389</v>
      </c>
      <c r="H64" t="str">
        <f>'1'!I64</f>
        <v>KHall@onebarnes.com</v>
      </c>
      <c r="I64" t="str">
        <f>'1'!AI64</f>
        <v>en_US</v>
      </c>
      <c r="L64" t="str">
        <f>'1'!AD64</f>
        <v>0088</v>
      </c>
      <c r="M64" t="str">
        <f>'1'!AJ64</f>
        <v>USD</v>
      </c>
      <c r="O64" s="39" t="str">
        <f>'1'!AL64</f>
        <v>Y</v>
      </c>
      <c r="P64" t="str">
        <f>'1'!AD64</f>
        <v>0088</v>
      </c>
      <c r="Q64">
        <f>'1'!AE64</f>
        <v>9500</v>
      </c>
      <c r="W64" t="str">
        <f>'1'!AA64</f>
        <v>S10</v>
      </c>
      <c r="X64" t="str">
        <f>'1'!AG64</f>
        <v>General</v>
      </c>
      <c r="Z64">
        <f>'1'!AE64</f>
        <v>9500</v>
      </c>
      <c r="AB64" t="str">
        <f>'1'!AM64</f>
        <v/>
      </c>
      <c r="AC64" t="str">
        <f>'1'!AK64</f>
        <v/>
      </c>
      <c r="AP64" t="str">
        <f>'1'!AD64</f>
        <v>0088</v>
      </c>
      <c r="BG64" t="str">
        <f>'1'!AC64</f>
        <v>210892</v>
      </c>
      <c r="BK64" s="39" t="s">
        <v>5381</v>
      </c>
      <c r="BL64" s="39" t="s">
        <v>5381</v>
      </c>
      <c r="BU64" s="39" t="s">
        <v>5381</v>
      </c>
      <c r="BV64" s="39" t="s">
        <v>5381</v>
      </c>
      <c r="CE64" s="39" t="s">
        <v>5381</v>
      </c>
      <c r="CH64" s="39" t="s">
        <v>5381</v>
      </c>
    </row>
    <row r="65" spans="1:86">
      <c r="A65" s="62" t="s">
        <v>5380</v>
      </c>
      <c r="B65" t="str">
        <f>'1'!B65</f>
        <v>Emma</v>
      </c>
      <c r="C65" t="str">
        <f>'1'!C65</f>
        <v/>
      </c>
      <c r="D65" t="str">
        <f>'1'!D65</f>
        <v>Halpin</v>
      </c>
      <c r="E65" t="str">
        <f>'1'!P65</f>
        <v>211489</v>
      </c>
      <c r="F65" t="str">
        <f>'1'!I65&amp;".new.uat"</f>
        <v>ehalpin@onebarnes.com.new.uat</v>
      </c>
      <c r="G65" s="39" t="s">
        <v>5389</v>
      </c>
      <c r="H65" t="str">
        <f>'1'!I65</f>
        <v>ehalpin@onebarnes.com</v>
      </c>
      <c r="I65" t="str">
        <f>'1'!AI65</f>
        <v>en_US</v>
      </c>
      <c r="L65" t="str">
        <f>'1'!AD65</f>
        <v>0088</v>
      </c>
      <c r="M65" t="str">
        <f>'1'!AJ65</f>
        <v>USD</v>
      </c>
      <c r="O65" s="39" t="str">
        <f>'1'!AL65</f>
        <v>Y</v>
      </c>
      <c r="P65" t="str">
        <f>'1'!AD65</f>
        <v>0088</v>
      </c>
      <c r="Q65">
        <f>'1'!AE65</f>
        <v>8300</v>
      </c>
      <c r="W65" t="str">
        <f>'1'!AA65</f>
        <v>S16</v>
      </c>
      <c r="X65" t="str">
        <f>'1'!AG65</f>
        <v>General</v>
      </c>
      <c r="Z65">
        <f>'1'!AE65</f>
        <v>8300</v>
      </c>
      <c r="AB65" t="str">
        <f>'1'!AM65</f>
        <v/>
      </c>
      <c r="AC65" t="str">
        <f>'1'!AK65</f>
        <v/>
      </c>
      <c r="AP65" t="str">
        <f>'1'!AD65</f>
        <v>0088</v>
      </c>
      <c r="BG65" t="str">
        <f>'1'!AC65</f>
        <v>211766</v>
      </c>
      <c r="BK65" s="39" t="s">
        <v>5381</v>
      </c>
      <c r="BL65" s="39" t="s">
        <v>5381</v>
      </c>
      <c r="BU65" s="39" t="s">
        <v>5381</v>
      </c>
      <c r="BV65" s="39" t="s">
        <v>5381</v>
      </c>
      <c r="CE65" s="39" t="s">
        <v>5381</v>
      </c>
      <c r="CH65" s="39" t="s">
        <v>5381</v>
      </c>
    </row>
    <row r="66" spans="1:86">
      <c r="A66" s="62" t="s">
        <v>5380</v>
      </c>
      <c r="B66" t="str">
        <f>'1'!B66</f>
        <v>Michael</v>
      </c>
      <c r="C66" t="str">
        <f>'1'!C66</f>
        <v>J</v>
      </c>
      <c r="D66" t="str">
        <f>'1'!D66</f>
        <v>Hamar</v>
      </c>
      <c r="E66" t="str">
        <f>'1'!P66</f>
        <v>901454</v>
      </c>
      <c r="F66" t="str">
        <f>'1'!I66&amp;".new.uat"</f>
        <v>mhamar@onebarnes.com.new.uat</v>
      </c>
      <c r="G66" s="39" t="s">
        <v>5389</v>
      </c>
      <c r="H66" t="str">
        <f>'1'!I66</f>
        <v>mhamar@onebarnes.com</v>
      </c>
      <c r="I66" t="str">
        <f>'1'!AI66</f>
        <v>en_US</v>
      </c>
      <c r="L66" t="str">
        <f>'1'!AD66</f>
        <v>0096</v>
      </c>
      <c r="M66" t="str">
        <f>'1'!AJ66</f>
        <v>USD</v>
      </c>
      <c r="O66" s="39" t="str">
        <f>'1'!AL66</f>
        <v>Y</v>
      </c>
      <c r="P66" t="str">
        <f>'1'!AD66</f>
        <v>0096</v>
      </c>
      <c r="Q66">
        <f>'1'!AE66</f>
        <v>200</v>
      </c>
      <c r="W66" t="str">
        <f>'1'!AA66</f>
        <v>H06</v>
      </c>
      <c r="X66" t="str">
        <f>'1'!AG66</f>
        <v>General</v>
      </c>
      <c r="Z66">
        <f>'1'!AE66</f>
        <v>200</v>
      </c>
      <c r="AB66" t="str">
        <f>'1'!AM66</f>
        <v/>
      </c>
      <c r="AC66" t="str">
        <f>'1'!AK66</f>
        <v/>
      </c>
      <c r="AP66" t="str">
        <f>'1'!AD66</f>
        <v>0096</v>
      </c>
      <c r="BG66" t="str">
        <f>'1'!AC66</f>
        <v>211998</v>
      </c>
      <c r="BK66" s="39" t="s">
        <v>5381</v>
      </c>
      <c r="BL66" s="39" t="s">
        <v>5381</v>
      </c>
      <c r="BU66" s="39" t="s">
        <v>5381</v>
      </c>
      <c r="BV66" s="39" t="s">
        <v>5381</v>
      </c>
      <c r="CE66" s="39" t="s">
        <v>5381</v>
      </c>
      <c r="CH66" s="39" t="s">
        <v>5381</v>
      </c>
    </row>
    <row r="67" spans="1:86">
      <c r="A67" s="62" t="s">
        <v>5380</v>
      </c>
      <c r="B67" t="str">
        <f>'1'!B67</f>
        <v>Patsy</v>
      </c>
      <c r="C67" t="str">
        <f>'1'!C67</f>
        <v/>
      </c>
      <c r="D67" t="str">
        <f>'1'!D67</f>
        <v>Hamby</v>
      </c>
      <c r="E67" t="str">
        <f>'1'!P67</f>
        <v>209425</v>
      </c>
      <c r="F67" t="str">
        <f>'1'!I67&amp;".new.uat"</f>
        <v>PHamby@onebarnes.com.new.uat</v>
      </c>
      <c r="G67" s="39" t="s">
        <v>5389</v>
      </c>
      <c r="H67" t="str">
        <f>'1'!I67</f>
        <v>PHamby@onebarnes.com</v>
      </c>
      <c r="I67" t="str">
        <f>'1'!AI67</f>
        <v>en_US</v>
      </c>
      <c r="L67" t="str">
        <f>'1'!AD67</f>
        <v>0088</v>
      </c>
      <c r="M67" t="str">
        <f>'1'!AJ67</f>
        <v>USD</v>
      </c>
      <c r="O67" s="39" t="str">
        <f>'1'!AL67</f>
        <v>Y</v>
      </c>
      <c r="P67" t="str">
        <f>'1'!AD67</f>
        <v>0088</v>
      </c>
      <c r="Q67">
        <f>'1'!AE67</f>
        <v>5100</v>
      </c>
      <c r="W67" t="str">
        <f>'1'!AA67</f>
        <v>S05</v>
      </c>
      <c r="X67" t="str">
        <f>'1'!AG67</f>
        <v>General</v>
      </c>
      <c r="Z67">
        <f>'1'!AE67</f>
        <v>5100</v>
      </c>
      <c r="AB67" t="str">
        <f>'1'!AM67</f>
        <v/>
      </c>
      <c r="AC67" t="str">
        <f>'1'!AK67</f>
        <v/>
      </c>
      <c r="AP67" t="str">
        <f>'1'!AD67</f>
        <v>0088</v>
      </c>
      <c r="BG67" t="str">
        <f>'1'!AC67</f>
        <v>211756</v>
      </c>
      <c r="BK67" s="39" t="s">
        <v>5381</v>
      </c>
      <c r="BL67" s="39" t="s">
        <v>5381</v>
      </c>
      <c r="BU67" s="39" t="s">
        <v>5381</v>
      </c>
      <c r="BV67" s="39" t="s">
        <v>5381</v>
      </c>
      <c r="CE67" s="39" t="s">
        <v>5381</v>
      </c>
      <c r="CH67" s="39" t="s">
        <v>5381</v>
      </c>
    </row>
    <row r="68" spans="1:86">
      <c r="A68" s="62" t="s">
        <v>5380</v>
      </c>
      <c r="B68" t="str">
        <f>'1'!B68</f>
        <v>Jon</v>
      </c>
      <c r="C68" t="str">
        <f>'1'!C68</f>
        <v/>
      </c>
      <c r="D68" t="str">
        <f>'1'!D68</f>
        <v>Hartman</v>
      </c>
      <c r="E68" t="str">
        <f>'1'!P68</f>
        <v>211045</v>
      </c>
      <c r="F68" t="str">
        <f>'1'!I68&amp;".new.uat"</f>
        <v>jhartman@onebarnes.com.new.uat</v>
      </c>
      <c r="G68" s="39" t="s">
        <v>5389</v>
      </c>
      <c r="H68" t="str">
        <f>'1'!I68</f>
        <v>jhartman@onebarnes.com</v>
      </c>
      <c r="I68" t="str">
        <f>'1'!AI68</f>
        <v>en_US</v>
      </c>
      <c r="L68" t="str">
        <f>'1'!AD68</f>
        <v>0096</v>
      </c>
      <c r="M68" t="str">
        <f>'1'!AJ68</f>
        <v>USD</v>
      </c>
      <c r="O68" s="39" t="str">
        <f>'1'!AL68</f>
        <v>N</v>
      </c>
      <c r="P68" t="str">
        <f>'1'!AD68</f>
        <v>0096</v>
      </c>
      <c r="Q68">
        <f>'1'!AE68</f>
        <v>820</v>
      </c>
      <c r="W68" t="str">
        <f>'1'!AA68</f>
        <v>S16</v>
      </c>
      <c r="X68" t="str">
        <f>'1'!AG68</f>
        <v>General</v>
      </c>
      <c r="Z68">
        <f>'1'!AE68</f>
        <v>820</v>
      </c>
      <c r="AB68" t="str">
        <f>'1'!AM68</f>
        <v>20260610</v>
      </c>
      <c r="AC68" t="str">
        <f>'1'!AK68</f>
        <v/>
      </c>
      <c r="AP68" t="str">
        <f>'1'!AD68</f>
        <v>0096</v>
      </c>
      <c r="BG68" t="str">
        <f>'1'!AC68</f>
        <v>901934</v>
      </c>
      <c r="BK68" s="39" t="s">
        <v>5381</v>
      </c>
      <c r="BL68" s="39" t="s">
        <v>5381</v>
      </c>
      <c r="BU68" s="39" t="s">
        <v>5381</v>
      </c>
      <c r="BV68" s="39" t="s">
        <v>5381</v>
      </c>
      <c r="CE68" s="39" t="s">
        <v>5381</v>
      </c>
      <c r="CH68" s="39" t="s">
        <v>5381</v>
      </c>
    </row>
    <row r="69" spans="1:86">
      <c r="A69" s="62" t="s">
        <v>5380</v>
      </c>
      <c r="B69" t="str">
        <f>'1'!B69</f>
        <v>Cherie</v>
      </c>
      <c r="C69" t="str">
        <f>'1'!C69</f>
        <v/>
      </c>
      <c r="D69" t="str">
        <f>'1'!D69</f>
        <v>Hassey</v>
      </c>
      <c r="E69" t="str">
        <f>'1'!P69</f>
        <v>213144</v>
      </c>
      <c r="F69" t="str">
        <f>'1'!I69&amp;".new.uat"</f>
        <v>chassey@onebarnes.com.new.uat</v>
      </c>
      <c r="G69" s="39" t="s">
        <v>5389</v>
      </c>
      <c r="H69" t="str">
        <f>'1'!I69</f>
        <v>chassey@onebarnes.com</v>
      </c>
      <c r="I69" t="str">
        <f>'1'!AI69</f>
        <v>en_US</v>
      </c>
      <c r="L69" t="str">
        <f>'1'!AD69</f>
        <v>0096</v>
      </c>
      <c r="M69" t="str">
        <f>'1'!AJ69</f>
        <v>USD</v>
      </c>
      <c r="O69" s="39" t="str">
        <f>'1'!AL69</f>
        <v>Y</v>
      </c>
      <c r="P69" t="str">
        <f>'1'!AD69</f>
        <v>0096</v>
      </c>
      <c r="Q69">
        <f>'1'!AE69</f>
        <v>850</v>
      </c>
      <c r="W69" t="str">
        <f>'1'!AA69</f>
        <v>S10</v>
      </c>
      <c r="X69" t="str">
        <f>'1'!AG69</f>
        <v>General</v>
      </c>
      <c r="Z69">
        <f>'1'!AE69</f>
        <v>850</v>
      </c>
      <c r="AB69" t="str">
        <f>'1'!AM69</f>
        <v/>
      </c>
      <c r="AC69" t="str">
        <f>'1'!AK69</f>
        <v/>
      </c>
      <c r="AP69" t="str">
        <f>'1'!AD69</f>
        <v>0096</v>
      </c>
      <c r="BG69" t="str">
        <f>'1'!AC69</f>
        <v>211998</v>
      </c>
      <c r="BK69" s="39" t="s">
        <v>5381</v>
      </c>
      <c r="BL69" s="39" t="s">
        <v>5381</v>
      </c>
      <c r="BU69" s="39" t="s">
        <v>5381</v>
      </c>
      <c r="BV69" s="39" t="s">
        <v>5381</v>
      </c>
      <c r="CE69" s="39" t="s">
        <v>5381</v>
      </c>
      <c r="CH69" s="39" t="s">
        <v>5381</v>
      </c>
    </row>
    <row r="70" spans="1:86">
      <c r="A70" s="62" t="s">
        <v>5380</v>
      </c>
      <c r="B70" t="str">
        <f>'1'!B70</f>
        <v>Cherie</v>
      </c>
      <c r="C70" t="str">
        <f>'1'!C70</f>
        <v/>
      </c>
      <c r="D70" t="str">
        <f>'1'!D70</f>
        <v>Hassey</v>
      </c>
      <c r="E70" t="str">
        <f>'1'!P70</f>
        <v>213144</v>
      </c>
      <c r="F70" t="str">
        <f>'1'!I70&amp;".new.uat"</f>
        <v>chassey@onebarnes.com.new.uat</v>
      </c>
      <c r="G70" s="39" t="s">
        <v>5389</v>
      </c>
      <c r="H70" t="str">
        <f>'1'!I70</f>
        <v>chassey@onebarnes.com</v>
      </c>
      <c r="I70" t="str">
        <f>'1'!AI70</f>
        <v>en_US</v>
      </c>
      <c r="L70" t="str">
        <f>'1'!AD70</f>
        <v>0096</v>
      </c>
      <c r="M70" t="str">
        <f>'1'!AJ70</f>
        <v>USD</v>
      </c>
      <c r="O70" s="39" t="str">
        <f>'1'!AL70</f>
        <v>N</v>
      </c>
      <c r="P70" t="str">
        <f>'1'!AD70</f>
        <v>0096</v>
      </c>
      <c r="Q70">
        <f>'1'!AE70</f>
        <v>850</v>
      </c>
      <c r="W70" t="str">
        <f>'1'!AA70</f>
        <v>S10</v>
      </c>
      <c r="X70" t="str">
        <f>'1'!AG70</f>
        <v>General</v>
      </c>
      <c r="Z70">
        <f>'1'!AE70</f>
        <v>850</v>
      </c>
      <c r="AB70" t="str">
        <f>'1'!AM70</f>
        <v>20260603</v>
      </c>
      <c r="AC70" t="str">
        <f>'1'!AK70</f>
        <v/>
      </c>
      <c r="AP70" t="str">
        <f>'1'!AD70</f>
        <v>0096</v>
      </c>
      <c r="BG70" t="str">
        <f>'1'!AC70</f>
        <v/>
      </c>
      <c r="BK70" s="39" t="s">
        <v>5381</v>
      </c>
      <c r="BL70" s="39" t="s">
        <v>5381</v>
      </c>
      <c r="BU70" s="39" t="s">
        <v>5381</v>
      </c>
      <c r="BV70" s="39" t="s">
        <v>5381</v>
      </c>
      <c r="CE70" s="39" t="s">
        <v>5381</v>
      </c>
      <c r="CH70" s="39" t="s">
        <v>5381</v>
      </c>
    </row>
    <row r="71" spans="1:86">
      <c r="A71" s="62" t="s">
        <v>5380</v>
      </c>
      <c r="B71" t="str">
        <f>'1'!B71</f>
        <v>Karla</v>
      </c>
      <c r="C71" t="str">
        <f>'1'!C71</f>
        <v/>
      </c>
      <c r="D71" t="str">
        <f>'1'!D71</f>
        <v>Hershberger</v>
      </c>
      <c r="E71" t="str">
        <f>'1'!P71</f>
        <v>209424</v>
      </c>
      <c r="F71" t="str">
        <f>'1'!I71&amp;".new.uat"</f>
        <v>khershberger@onebarnes.com.new.uat</v>
      </c>
      <c r="G71" s="39" t="s">
        <v>5389</v>
      </c>
      <c r="H71" t="str">
        <f>'1'!I71</f>
        <v>khershberger@onebarnes.com</v>
      </c>
      <c r="I71" t="str">
        <f>'1'!AI71</f>
        <v>en_US</v>
      </c>
      <c r="L71" t="str">
        <f>'1'!AD71</f>
        <v>0088</v>
      </c>
      <c r="M71" t="str">
        <f>'1'!AJ71</f>
        <v>USD</v>
      </c>
      <c r="O71" s="39" t="str">
        <f>'1'!AL71</f>
        <v>Y</v>
      </c>
      <c r="P71" t="str">
        <f>'1'!AD71</f>
        <v>0088</v>
      </c>
      <c r="Q71">
        <f>'1'!AE71</f>
        <v>5100</v>
      </c>
      <c r="W71" t="str">
        <f>'1'!AA71</f>
        <v>S05</v>
      </c>
      <c r="X71" t="str">
        <f>'1'!AG71</f>
        <v>General</v>
      </c>
      <c r="Z71">
        <f>'1'!AE71</f>
        <v>5100</v>
      </c>
      <c r="AB71" t="str">
        <f>'1'!AM71</f>
        <v/>
      </c>
      <c r="AC71" t="str">
        <f>'1'!AK71</f>
        <v/>
      </c>
      <c r="AP71" t="str">
        <f>'1'!AD71</f>
        <v>0088</v>
      </c>
      <c r="BG71" t="str">
        <f>'1'!AC71</f>
        <v>211756</v>
      </c>
      <c r="BK71" s="39" t="s">
        <v>5381</v>
      </c>
      <c r="BL71" s="39" t="s">
        <v>5381</v>
      </c>
      <c r="BU71" s="39" t="s">
        <v>5381</v>
      </c>
      <c r="BV71" s="39" t="s">
        <v>5381</v>
      </c>
      <c r="CE71" s="39" t="s">
        <v>5381</v>
      </c>
      <c r="CH71" s="39" t="s">
        <v>5381</v>
      </c>
    </row>
    <row r="72" spans="1:86">
      <c r="A72" s="62" t="s">
        <v>5380</v>
      </c>
      <c r="B72" t="str">
        <f>'1'!B72</f>
        <v>Brandon</v>
      </c>
      <c r="C72" t="str">
        <f>'1'!C72</f>
        <v/>
      </c>
      <c r="D72" t="str">
        <f>'1'!D72</f>
        <v>Hibbitts</v>
      </c>
      <c r="E72" t="str">
        <f>'1'!P72</f>
        <v>211181</v>
      </c>
      <c r="F72" t="str">
        <f>'1'!I72&amp;".new.uat"</f>
        <v>bhibbitts@onebarnes.com.new.uat</v>
      </c>
      <c r="G72" s="39" t="s">
        <v>5389</v>
      </c>
      <c r="H72" t="str">
        <f>'1'!I72</f>
        <v>bhibbitts@onebarnes.com</v>
      </c>
      <c r="I72" t="str">
        <f>'1'!AI72</f>
        <v>en_US</v>
      </c>
      <c r="L72" t="str">
        <f>'1'!AD72</f>
        <v>0088</v>
      </c>
      <c r="M72" t="str">
        <f>'1'!AJ72</f>
        <v>USD</v>
      </c>
      <c r="O72" s="39" t="str">
        <f>'1'!AL72</f>
        <v>N</v>
      </c>
      <c r="P72" t="str">
        <f>'1'!AD72</f>
        <v>0088</v>
      </c>
      <c r="Q72">
        <f>'1'!AE72</f>
        <v>9150</v>
      </c>
      <c r="W72" t="str">
        <f>'1'!AA72</f>
        <v>H05</v>
      </c>
      <c r="X72" t="str">
        <f>'1'!AG72</f>
        <v>General</v>
      </c>
      <c r="Z72">
        <f>'1'!AE72</f>
        <v>9150</v>
      </c>
      <c r="AB72" t="str">
        <f>'1'!AM72</f>
        <v>20260630</v>
      </c>
      <c r="AC72" t="str">
        <f>'1'!AK72</f>
        <v/>
      </c>
      <c r="AP72" t="str">
        <f>'1'!AD72</f>
        <v>0088</v>
      </c>
      <c r="BG72" t="str">
        <f>'1'!AC72</f>
        <v>900848</v>
      </c>
      <c r="BK72" s="39" t="s">
        <v>5381</v>
      </c>
      <c r="BL72" s="39" t="s">
        <v>5381</v>
      </c>
      <c r="BU72" s="39" t="s">
        <v>5381</v>
      </c>
      <c r="BV72" s="39" t="s">
        <v>5381</v>
      </c>
      <c r="CE72" s="39" t="s">
        <v>5381</v>
      </c>
      <c r="CH72" s="39" t="s">
        <v>5381</v>
      </c>
    </row>
    <row r="73" spans="1:86">
      <c r="A73" s="62" t="s">
        <v>5380</v>
      </c>
      <c r="B73" t="str">
        <f>'1'!B73</f>
        <v>Brandon</v>
      </c>
      <c r="C73" t="str">
        <f>'1'!C73</f>
        <v/>
      </c>
      <c r="D73" t="str">
        <f>'1'!D73</f>
        <v>Hibbitts</v>
      </c>
      <c r="E73" t="str">
        <f>'1'!P73</f>
        <v>211181</v>
      </c>
      <c r="F73" t="str">
        <f>'1'!I73&amp;".new.uat"</f>
        <v>bhibbitts@onebarnes.com.new.uat</v>
      </c>
      <c r="G73" s="39" t="s">
        <v>5389</v>
      </c>
      <c r="H73" t="str">
        <f>'1'!I73</f>
        <v>bhibbitts@onebarnes.com</v>
      </c>
      <c r="I73" t="str">
        <f>'1'!AI73</f>
        <v>en_US</v>
      </c>
      <c r="L73" t="str">
        <f>'1'!AD73</f>
        <v>0088</v>
      </c>
      <c r="M73" t="str">
        <f>'1'!AJ73</f>
        <v>USD</v>
      </c>
      <c r="O73" s="39" t="str">
        <f>'1'!AL73</f>
        <v>Y</v>
      </c>
      <c r="P73" t="str">
        <f>'1'!AD73</f>
        <v>0088</v>
      </c>
      <c r="Q73">
        <f>'1'!AE73</f>
        <v>9150</v>
      </c>
      <c r="W73" t="str">
        <f>'1'!AA73</f>
        <v>S12</v>
      </c>
      <c r="X73" t="str">
        <f>'1'!AG73</f>
        <v>General</v>
      </c>
      <c r="Z73">
        <f>'1'!AE73</f>
        <v>9150</v>
      </c>
      <c r="AB73" t="str">
        <f>'1'!AM73</f>
        <v/>
      </c>
      <c r="AC73" t="str">
        <f>'1'!AK73</f>
        <v/>
      </c>
      <c r="AP73" t="str">
        <f>'1'!AD73</f>
        <v>0088</v>
      </c>
      <c r="BG73" t="str">
        <f>'1'!AC73</f>
        <v>207199</v>
      </c>
      <c r="BK73" s="39" t="s">
        <v>5381</v>
      </c>
      <c r="BL73" s="39" t="s">
        <v>5381</v>
      </c>
      <c r="BU73" s="39" t="s">
        <v>5381</v>
      </c>
      <c r="BV73" s="39" t="s">
        <v>5381</v>
      </c>
      <c r="CE73" s="39" t="s">
        <v>5381</v>
      </c>
      <c r="CH73" s="39" t="s">
        <v>5381</v>
      </c>
    </row>
    <row r="74" spans="1:86">
      <c r="A74" s="62" t="s">
        <v>5380</v>
      </c>
      <c r="B74" t="str">
        <f>'1'!B74</f>
        <v>Bobby</v>
      </c>
      <c r="C74" t="str">
        <f>'1'!C74</f>
        <v/>
      </c>
      <c r="D74" t="str">
        <f>'1'!D74</f>
        <v>Hicks</v>
      </c>
      <c r="E74" t="str">
        <f>'1'!P74</f>
        <v>211145</v>
      </c>
      <c r="F74" t="str">
        <f>'1'!I74&amp;".new.uat"</f>
        <v>bhicks@onebarnes.com.new.uat</v>
      </c>
      <c r="G74" s="39" t="s">
        <v>5389</v>
      </c>
      <c r="H74" t="str">
        <f>'1'!I74</f>
        <v>bhicks@onebarnes.com</v>
      </c>
      <c r="I74" t="str">
        <f>'1'!AI74</f>
        <v>en_US</v>
      </c>
      <c r="L74" t="str">
        <f>'1'!AD74</f>
        <v>0096</v>
      </c>
      <c r="M74" t="str">
        <f>'1'!AJ74</f>
        <v>USD</v>
      </c>
      <c r="O74" s="39" t="str">
        <f>'1'!AL74</f>
        <v>Y</v>
      </c>
      <c r="P74" t="str">
        <f>'1'!AD74</f>
        <v>0096</v>
      </c>
      <c r="Q74">
        <f>'1'!AE74</f>
        <v>200</v>
      </c>
      <c r="W74" t="str">
        <f>'1'!AA74</f>
        <v>H08</v>
      </c>
      <c r="X74" t="str">
        <f>'1'!AG74</f>
        <v>General</v>
      </c>
      <c r="Z74">
        <f>'1'!AE74</f>
        <v>200</v>
      </c>
      <c r="AB74" t="str">
        <f>'1'!AM74</f>
        <v/>
      </c>
      <c r="AC74" t="str">
        <f>'1'!AK74</f>
        <v/>
      </c>
      <c r="AP74" t="str">
        <f>'1'!AD74</f>
        <v>0096</v>
      </c>
      <c r="BG74" t="str">
        <f>'1'!AC74</f>
        <v>211998</v>
      </c>
      <c r="BK74" s="39" t="s">
        <v>5381</v>
      </c>
      <c r="BL74" s="39" t="s">
        <v>5381</v>
      </c>
      <c r="BU74" s="39" t="s">
        <v>5381</v>
      </c>
      <c r="BV74" s="39" t="s">
        <v>5381</v>
      </c>
      <c r="CE74" s="39" t="s">
        <v>5381</v>
      </c>
      <c r="CH74" s="39" t="s">
        <v>5381</v>
      </c>
    </row>
    <row r="75" spans="1:86">
      <c r="A75" s="62" t="s">
        <v>5380</v>
      </c>
      <c r="B75" t="str">
        <f>'1'!B75</f>
        <v>Darin</v>
      </c>
      <c r="C75" t="str">
        <f>'1'!C75</f>
        <v/>
      </c>
      <c r="D75" t="str">
        <f>'1'!D75</f>
        <v>Hitti</v>
      </c>
      <c r="E75" t="str">
        <f>'1'!P75</f>
        <v>006792</v>
      </c>
      <c r="F75" t="str">
        <f>'1'!I75&amp;".new.uat"</f>
        <v>DHitti@onebarnes.com.new.uat</v>
      </c>
      <c r="G75" s="39" t="s">
        <v>5389</v>
      </c>
      <c r="H75" t="str">
        <f>'1'!I75</f>
        <v>DHitti@onebarnes.com</v>
      </c>
      <c r="I75" t="str">
        <f>'1'!AI75</f>
        <v>en_US</v>
      </c>
      <c r="L75" t="str">
        <f>'1'!AD75</f>
        <v>0096</v>
      </c>
      <c r="M75" t="str">
        <f>'1'!AJ75</f>
        <v>USD</v>
      </c>
      <c r="O75" s="39" t="str">
        <f>'1'!AL75</f>
        <v>Y</v>
      </c>
      <c r="P75" t="str">
        <f>'1'!AD75</f>
        <v>0096</v>
      </c>
      <c r="Q75">
        <f>'1'!AE75</f>
        <v>450</v>
      </c>
      <c r="W75" t="str">
        <f>'1'!AA75</f>
        <v>H08</v>
      </c>
      <c r="X75" t="str">
        <f>'1'!AG75</f>
        <v>General</v>
      </c>
      <c r="Z75">
        <f>'1'!AE75</f>
        <v>450</v>
      </c>
      <c r="AB75" t="str">
        <f>'1'!AM75</f>
        <v/>
      </c>
      <c r="AC75" t="str">
        <f>'1'!AK75</f>
        <v/>
      </c>
      <c r="AP75" t="str">
        <f>'1'!AD75</f>
        <v>0096</v>
      </c>
      <c r="BG75" t="str">
        <f>'1'!AC75</f>
        <v>006780</v>
      </c>
      <c r="BK75" s="39" t="s">
        <v>5381</v>
      </c>
      <c r="BL75" s="39" t="s">
        <v>5381</v>
      </c>
      <c r="BU75" s="39" t="s">
        <v>5381</v>
      </c>
      <c r="BV75" s="39" t="s">
        <v>5381</v>
      </c>
      <c r="CE75" s="39" t="s">
        <v>5381</v>
      </c>
      <c r="CH75" s="39" t="s">
        <v>5381</v>
      </c>
    </row>
    <row r="76" spans="1:86">
      <c r="A76" s="62" t="s">
        <v>5380</v>
      </c>
      <c r="B76" t="str">
        <f>'1'!B76</f>
        <v>Mason</v>
      </c>
      <c r="C76" t="str">
        <f>'1'!C76</f>
        <v/>
      </c>
      <c r="D76" t="str">
        <f>'1'!D76</f>
        <v>Hitti</v>
      </c>
      <c r="E76" t="str">
        <f>'1'!P76</f>
        <v/>
      </c>
      <c r="F76" t="str">
        <f>'1'!I76&amp;".new.uat"</f>
        <v>.new.uat</v>
      </c>
      <c r="G76" s="39" t="s">
        <v>5389</v>
      </c>
      <c r="H76" t="str">
        <f>'1'!I76</f>
        <v/>
      </c>
      <c r="I76" t="str">
        <f>'1'!AI76</f>
        <v>en_US</v>
      </c>
      <c r="L76" t="str">
        <f>'1'!AD76</f>
        <v>0096</v>
      </c>
      <c r="M76" t="str">
        <f>'1'!AJ76</f>
        <v>USD</v>
      </c>
      <c r="O76" s="39" t="str">
        <f>'1'!AL76</f>
        <v>N</v>
      </c>
      <c r="P76" t="str">
        <f>'1'!AD76</f>
        <v>0096</v>
      </c>
      <c r="Q76">
        <f>'1'!AE76</f>
        <v>100</v>
      </c>
      <c r="W76" t="str">
        <f>'1'!AA76</f>
        <v>H04</v>
      </c>
      <c r="X76" t="str">
        <f>'1'!AG76</f>
        <v>General</v>
      </c>
      <c r="Z76">
        <f>'1'!AE76</f>
        <v>100</v>
      </c>
      <c r="AB76" t="str">
        <f>'1'!AM76</f>
        <v>20260730</v>
      </c>
      <c r="AC76" t="str">
        <f>'1'!AK76</f>
        <v/>
      </c>
      <c r="AP76" t="str">
        <f>'1'!AD76</f>
        <v>0096</v>
      </c>
      <c r="BG76" t="str">
        <f>'1'!AC76</f>
        <v>211062</v>
      </c>
      <c r="BK76" s="39" t="s">
        <v>5381</v>
      </c>
      <c r="BL76" s="39" t="s">
        <v>5381</v>
      </c>
      <c r="BU76" s="39" t="s">
        <v>5381</v>
      </c>
      <c r="BV76" s="39" t="s">
        <v>5381</v>
      </c>
      <c r="CE76" s="39" t="s">
        <v>5381</v>
      </c>
      <c r="CH76" s="39" t="s">
        <v>5381</v>
      </c>
    </row>
    <row r="77" spans="1:86">
      <c r="A77" s="62" t="s">
        <v>5380</v>
      </c>
      <c r="B77" t="str">
        <f>'1'!B77</f>
        <v>Carrie</v>
      </c>
      <c r="C77" t="str">
        <f>'1'!C77</f>
        <v>M</v>
      </c>
      <c r="D77" t="str">
        <f>'1'!D77</f>
        <v>Hoffman</v>
      </c>
      <c r="E77" t="str">
        <f>'1'!P77</f>
        <v>902349</v>
      </c>
      <c r="F77" t="str">
        <f>'1'!I77&amp;".new.uat"</f>
        <v>choffman@onebarnes.com.new.uat</v>
      </c>
      <c r="G77" s="39" t="s">
        <v>5389</v>
      </c>
      <c r="H77" t="str">
        <f>'1'!I77</f>
        <v>choffman@onebarnes.com</v>
      </c>
      <c r="I77" t="str">
        <f>'1'!AI77</f>
        <v>en_US</v>
      </c>
      <c r="L77" t="str">
        <f>'1'!AD77</f>
        <v>0088</v>
      </c>
      <c r="M77" t="str">
        <f>'1'!AJ77</f>
        <v>USD</v>
      </c>
      <c r="O77" s="39" t="str">
        <f>'1'!AL77</f>
        <v>Y</v>
      </c>
      <c r="P77" t="str">
        <f>'1'!AD77</f>
        <v>0088</v>
      </c>
      <c r="Q77">
        <f>'1'!AE77</f>
        <v>9200</v>
      </c>
      <c r="W77" t="str">
        <f>'1'!AA77</f>
        <v>S11</v>
      </c>
      <c r="X77" t="str">
        <f>'1'!AG77</f>
        <v>General</v>
      </c>
      <c r="Z77">
        <f>'1'!AE77</f>
        <v>9200</v>
      </c>
      <c r="AB77" t="str">
        <f>'1'!AM77</f>
        <v/>
      </c>
      <c r="AC77" t="str">
        <f>'1'!AK77</f>
        <v/>
      </c>
      <c r="AP77" t="str">
        <f>'1'!AD77</f>
        <v>0088</v>
      </c>
      <c r="BG77" t="str">
        <f>'1'!AC77</f>
        <v>209181</v>
      </c>
      <c r="BK77" s="39" t="s">
        <v>5381</v>
      </c>
      <c r="BL77" s="39" t="s">
        <v>5381</v>
      </c>
      <c r="BU77" s="39" t="s">
        <v>5381</v>
      </c>
      <c r="BV77" s="39" t="s">
        <v>5381</v>
      </c>
      <c r="CE77" s="39" t="s">
        <v>5381</v>
      </c>
      <c r="CH77" s="39" t="s">
        <v>5381</v>
      </c>
    </row>
    <row r="78" spans="1:86">
      <c r="A78" s="62" t="s">
        <v>5380</v>
      </c>
      <c r="B78" t="str">
        <f>'1'!B78</f>
        <v>LaMarr</v>
      </c>
      <c r="C78" t="str">
        <f>'1'!C78</f>
        <v/>
      </c>
      <c r="D78" t="str">
        <f>'1'!D78</f>
        <v>Hogue</v>
      </c>
      <c r="E78" t="str">
        <f>'1'!P78</f>
        <v>212966</v>
      </c>
      <c r="F78" t="str">
        <f>'1'!I78&amp;".new.uat"</f>
        <v>.new.uat</v>
      </c>
      <c r="G78" s="39" t="s">
        <v>5389</v>
      </c>
      <c r="H78" t="str">
        <f>'1'!I78</f>
        <v/>
      </c>
      <c r="I78" t="str">
        <f>'1'!AI78</f>
        <v>en_US</v>
      </c>
      <c r="L78" t="str">
        <f>'1'!AD78</f>
        <v>0088</v>
      </c>
      <c r="M78" t="str">
        <f>'1'!AJ78</f>
        <v>USD</v>
      </c>
      <c r="O78" s="39" t="str">
        <f>'1'!AL78</f>
        <v>Y</v>
      </c>
      <c r="P78" t="str">
        <f>'1'!AD78</f>
        <v>0088</v>
      </c>
      <c r="Q78">
        <f>'1'!AE78</f>
        <v>5200</v>
      </c>
      <c r="W78" t="str">
        <f>'1'!AA78</f>
        <v>S05</v>
      </c>
      <c r="X78" t="str">
        <f>'1'!AG78</f>
        <v>General</v>
      </c>
      <c r="Z78">
        <f>'1'!AE78</f>
        <v>5200</v>
      </c>
      <c r="AB78" t="str">
        <f>'1'!AM78</f>
        <v/>
      </c>
      <c r="AC78" t="str">
        <f>'1'!AK78</f>
        <v/>
      </c>
      <c r="AP78" t="str">
        <f>'1'!AD78</f>
        <v>0088</v>
      </c>
      <c r="BG78" t="str">
        <f>'1'!AC78</f>
        <v>207487</v>
      </c>
      <c r="BK78" s="39" t="s">
        <v>5381</v>
      </c>
      <c r="BL78" s="39" t="s">
        <v>5381</v>
      </c>
      <c r="BU78" s="39" t="s">
        <v>5381</v>
      </c>
      <c r="BV78" s="39" t="s">
        <v>5381</v>
      </c>
      <c r="CE78" s="39" t="s">
        <v>5381</v>
      </c>
      <c r="CH78" s="39" t="s">
        <v>5381</v>
      </c>
    </row>
    <row r="79" spans="1:86">
      <c r="A79" s="62" t="s">
        <v>5380</v>
      </c>
      <c r="B79" t="str">
        <f>'1'!B79</f>
        <v>Richard</v>
      </c>
      <c r="C79" t="str">
        <f>'1'!C79</f>
        <v>W</v>
      </c>
      <c r="D79" t="str">
        <f>'1'!D79</f>
        <v>Hutt</v>
      </c>
      <c r="E79" t="str">
        <f>'1'!P79</f>
        <v>211932</v>
      </c>
      <c r="F79" t="str">
        <f>'1'!I79&amp;".new.uat"</f>
        <v>rhutt@onebarnes.com.new.uat</v>
      </c>
      <c r="G79" s="39" t="s">
        <v>5389</v>
      </c>
      <c r="H79" t="str">
        <f>'1'!I79</f>
        <v>rhutt@onebarnes.com</v>
      </c>
      <c r="I79" t="str">
        <f>'1'!AI79</f>
        <v>en_US</v>
      </c>
      <c r="L79" t="str">
        <f>'1'!AD79</f>
        <v>0088</v>
      </c>
      <c r="M79" t="str">
        <f>'1'!AJ79</f>
        <v>USD</v>
      </c>
      <c r="O79" s="39" t="str">
        <f>'1'!AL79</f>
        <v>Y</v>
      </c>
      <c r="P79" t="str">
        <f>'1'!AD79</f>
        <v>0088</v>
      </c>
      <c r="Q79">
        <f>'1'!AE79</f>
        <v>5200</v>
      </c>
      <c r="W79" t="str">
        <f>'1'!AA79</f>
        <v>S06</v>
      </c>
      <c r="X79" t="str">
        <f>'1'!AG79</f>
        <v>General</v>
      </c>
      <c r="Z79">
        <f>'1'!AE79</f>
        <v>5200</v>
      </c>
      <c r="AB79" t="str">
        <f>'1'!AM79</f>
        <v/>
      </c>
      <c r="AC79" t="str">
        <f>'1'!AK79</f>
        <v/>
      </c>
      <c r="AP79" t="str">
        <f>'1'!AD79</f>
        <v>0088</v>
      </c>
      <c r="BG79" t="str">
        <f>'1'!AC79</f>
        <v>211736</v>
      </c>
      <c r="BK79" s="39" t="s">
        <v>5381</v>
      </c>
      <c r="BL79" s="39" t="s">
        <v>5381</v>
      </c>
      <c r="BU79" s="39" t="s">
        <v>5381</v>
      </c>
      <c r="BV79" s="39" t="s">
        <v>5381</v>
      </c>
      <c r="CE79" s="39" t="s">
        <v>5381</v>
      </c>
      <c r="CH79" s="39" t="s">
        <v>5381</v>
      </c>
    </row>
    <row r="80" spans="1:86">
      <c r="A80" s="62" t="s">
        <v>5380</v>
      </c>
      <c r="B80" t="str">
        <f>'1'!B80</f>
        <v>Frank</v>
      </c>
      <c r="C80" t="str">
        <f>'1'!C80</f>
        <v/>
      </c>
      <c r="D80" t="str">
        <f>'1'!D80</f>
        <v>Izzo</v>
      </c>
      <c r="E80" t="str">
        <f>'1'!P80</f>
        <v>206442</v>
      </c>
      <c r="F80" t="str">
        <f>'1'!I80&amp;".new.uat"</f>
        <v>FIzzo@onebarnes.com.new.uat</v>
      </c>
      <c r="G80" s="39" t="s">
        <v>5389</v>
      </c>
      <c r="H80" t="str">
        <f>'1'!I80</f>
        <v>FIzzo@onebarnes.com</v>
      </c>
      <c r="I80" t="str">
        <f>'1'!AI80</f>
        <v>en_US</v>
      </c>
      <c r="L80" t="str">
        <f>'1'!AD80</f>
        <v>0096</v>
      </c>
      <c r="M80" t="str">
        <f>'1'!AJ80</f>
        <v>USD</v>
      </c>
      <c r="O80" s="39" t="str">
        <f>'1'!AL80</f>
        <v>Y</v>
      </c>
      <c r="P80" t="str">
        <f>'1'!AD80</f>
        <v>0096</v>
      </c>
      <c r="Q80">
        <f>'1'!AE80</f>
        <v>801</v>
      </c>
      <c r="W80" t="str">
        <f>'1'!AA80</f>
        <v>S16</v>
      </c>
      <c r="X80" t="str">
        <f>'1'!AG80</f>
        <v>General</v>
      </c>
      <c r="Z80">
        <f>'1'!AE80</f>
        <v>801</v>
      </c>
      <c r="AB80" t="str">
        <f>'1'!AM80</f>
        <v/>
      </c>
      <c r="AC80" t="str">
        <f>'1'!AK80</f>
        <v/>
      </c>
      <c r="AP80" t="str">
        <f>'1'!AD80</f>
        <v>0096</v>
      </c>
      <c r="BG80" t="str">
        <f>'1'!AC80</f>
        <v>211601</v>
      </c>
      <c r="BK80" s="39" t="s">
        <v>5381</v>
      </c>
      <c r="BL80" s="39" t="s">
        <v>5381</v>
      </c>
      <c r="BU80" s="39" t="s">
        <v>5381</v>
      </c>
      <c r="BV80" s="39" t="s">
        <v>5381</v>
      </c>
      <c r="CE80" s="39" t="s">
        <v>5381</v>
      </c>
      <c r="CH80" s="39" t="s">
        <v>5381</v>
      </c>
    </row>
    <row r="81" spans="1:86">
      <c r="A81" s="62" t="s">
        <v>5380</v>
      </c>
      <c r="B81" t="str">
        <f>'1'!B81</f>
        <v>Frank</v>
      </c>
      <c r="C81" t="str">
        <f>'1'!C81</f>
        <v/>
      </c>
      <c r="D81" t="str">
        <f>'1'!D81</f>
        <v>Izzo</v>
      </c>
      <c r="E81" t="str">
        <f>'1'!P81</f>
        <v>206442</v>
      </c>
      <c r="F81" t="str">
        <f>'1'!I81&amp;".new.uat"</f>
        <v>FIzzo@onebarnes.com.new.uat</v>
      </c>
      <c r="G81" s="39" t="s">
        <v>5389</v>
      </c>
      <c r="H81" t="str">
        <f>'1'!I81</f>
        <v>FIzzo@onebarnes.com</v>
      </c>
      <c r="I81" t="str">
        <f>'1'!AI81</f>
        <v>en_US</v>
      </c>
      <c r="L81" t="str">
        <f>'1'!AD81</f>
        <v>0096</v>
      </c>
      <c r="M81" t="str">
        <f>'1'!AJ81</f>
        <v>USD</v>
      </c>
      <c r="O81" s="39" t="str">
        <f>'1'!AL81</f>
        <v>N</v>
      </c>
      <c r="P81" t="str">
        <f>'1'!AD81</f>
        <v>0096</v>
      </c>
      <c r="Q81">
        <f>'1'!AE81</f>
        <v>801</v>
      </c>
      <c r="W81" t="str">
        <f>'1'!AA81</f>
        <v>S16</v>
      </c>
      <c r="X81" t="str">
        <f>'1'!AG81</f>
        <v>General</v>
      </c>
      <c r="Z81">
        <f>'1'!AE81</f>
        <v>801</v>
      </c>
      <c r="AB81" t="str">
        <f>'1'!AM81</f>
        <v>20260701</v>
      </c>
      <c r="AC81" t="str">
        <f>'1'!AK81</f>
        <v/>
      </c>
      <c r="AP81" t="str">
        <f>'1'!AD81</f>
        <v>0096</v>
      </c>
      <c r="BG81" t="str">
        <f>'1'!AC81</f>
        <v>211601</v>
      </c>
      <c r="BK81" s="39" t="s">
        <v>5381</v>
      </c>
      <c r="BL81" s="39" t="s">
        <v>5381</v>
      </c>
      <c r="BU81" s="39" t="s">
        <v>5381</v>
      </c>
      <c r="BV81" s="39" t="s">
        <v>5381</v>
      </c>
      <c r="CE81" s="39" t="s">
        <v>5381</v>
      </c>
      <c r="CH81" s="39" t="s">
        <v>5381</v>
      </c>
    </row>
    <row r="82" spans="1:86">
      <c r="A82" s="62" t="s">
        <v>5380</v>
      </c>
      <c r="B82" t="str">
        <f>'1'!B82</f>
        <v>Christopher</v>
      </c>
      <c r="C82" t="str">
        <f>'1'!C82</f>
        <v>G</v>
      </c>
      <c r="D82" t="str">
        <f>'1'!D82</f>
        <v>Jablonsky</v>
      </c>
      <c r="E82" t="str">
        <f>'1'!P82</f>
        <v>212479</v>
      </c>
      <c r="F82" t="str">
        <f>'1'!I82&amp;".new.uat"</f>
        <v>cjablonsky@onebarnes.com.new.uat</v>
      </c>
      <c r="G82" s="39" t="s">
        <v>5389</v>
      </c>
      <c r="H82" t="str">
        <f>'1'!I82</f>
        <v>cjablonsky@onebarnes.com</v>
      </c>
      <c r="I82" t="str">
        <f>'1'!AI82</f>
        <v>en_US</v>
      </c>
      <c r="L82" t="str">
        <f>'1'!AD82</f>
        <v>0088</v>
      </c>
      <c r="M82" t="str">
        <f>'1'!AJ82</f>
        <v>USD</v>
      </c>
      <c r="O82" s="39" t="str">
        <f>'1'!AL82</f>
        <v>N</v>
      </c>
      <c r="P82" t="str">
        <f>'1'!AD82</f>
        <v>0088</v>
      </c>
      <c r="Q82">
        <f>'1'!AE82</f>
        <v>8200</v>
      </c>
      <c r="W82" t="str">
        <f>'1'!AA82</f>
        <v>S16</v>
      </c>
      <c r="X82" t="str">
        <f>'1'!AG82</f>
        <v>General</v>
      </c>
      <c r="Z82">
        <f>'1'!AE82</f>
        <v>8200</v>
      </c>
      <c r="AB82" t="str">
        <f>'1'!AM82</f>
        <v>20260410</v>
      </c>
      <c r="AC82" t="str">
        <f>'1'!AK82</f>
        <v/>
      </c>
      <c r="AP82" t="str">
        <f>'1'!AD82</f>
        <v>0088</v>
      </c>
      <c r="BG82" t="str">
        <f>'1'!AC82</f>
        <v/>
      </c>
      <c r="BK82" s="39" t="s">
        <v>5381</v>
      </c>
      <c r="BL82" s="39" t="s">
        <v>5381</v>
      </c>
      <c r="BU82" s="39" t="s">
        <v>5381</v>
      </c>
      <c r="BV82" s="39" t="s">
        <v>5381</v>
      </c>
      <c r="CE82" s="39" t="s">
        <v>5381</v>
      </c>
      <c r="CH82" s="39" t="s">
        <v>5381</v>
      </c>
    </row>
    <row r="83" spans="1:86">
      <c r="A83" s="62" t="s">
        <v>5380</v>
      </c>
      <c r="B83" t="str">
        <f>'1'!B83</f>
        <v>Jordan</v>
      </c>
      <c r="C83" t="str">
        <f>'1'!C83</f>
        <v/>
      </c>
      <c r="D83" t="str">
        <f>'1'!D83</f>
        <v>James</v>
      </c>
      <c r="E83" t="str">
        <f>'1'!P83</f>
        <v>211943</v>
      </c>
      <c r="F83" t="str">
        <f>'1'!I83&amp;".new.uat"</f>
        <v>.new.uat</v>
      </c>
      <c r="G83" s="39" t="s">
        <v>5389</v>
      </c>
      <c r="H83" t="str">
        <f>'1'!I83</f>
        <v/>
      </c>
      <c r="I83" t="str">
        <f>'1'!AI83</f>
        <v>en_US</v>
      </c>
      <c r="L83" t="str">
        <f>'1'!AD83</f>
        <v>0096</v>
      </c>
      <c r="M83" t="str">
        <f>'1'!AJ83</f>
        <v>USD</v>
      </c>
      <c r="O83" s="39" t="str">
        <f>'1'!AL83</f>
        <v>Y</v>
      </c>
      <c r="P83" t="str">
        <f>'1'!AD83</f>
        <v>0096</v>
      </c>
      <c r="Q83">
        <f>'1'!AE83</f>
        <v>200</v>
      </c>
      <c r="W83" t="str">
        <f>'1'!AA83</f>
        <v>H05</v>
      </c>
      <c r="X83" t="str">
        <f>'1'!AG83</f>
        <v>General</v>
      </c>
      <c r="Z83">
        <f>'1'!AE83</f>
        <v>200</v>
      </c>
      <c r="AB83" t="str">
        <f>'1'!AM83</f>
        <v/>
      </c>
      <c r="AC83" t="str">
        <f>'1'!AK83</f>
        <v/>
      </c>
      <c r="AP83" t="str">
        <f>'1'!AD83</f>
        <v>0096</v>
      </c>
      <c r="BG83" t="str">
        <f>'1'!AC83</f>
        <v>211062</v>
      </c>
      <c r="BK83" s="39" t="s">
        <v>5381</v>
      </c>
      <c r="BL83" s="39" t="s">
        <v>5381</v>
      </c>
      <c r="BU83" s="39" t="s">
        <v>5381</v>
      </c>
      <c r="BV83" s="39" t="s">
        <v>5381</v>
      </c>
      <c r="CE83" s="39" t="s">
        <v>5381</v>
      </c>
      <c r="CH83" s="39" t="s">
        <v>5381</v>
      </c>
    </row>
    <row r="84" spans="1:86">
      <c r="A84" s="62" t="s">
        <v>5380</v>
      </c>
      <c r="B84" t="str">
        <f>'1'!B84</f>
        <v>Keith</v>
      </c>
      <c r="C84" t="str">
        <f>'1'!C84</f>
        <v>L</v>
      </c>
      <c r="D84" t="str">
        <f>'1'!D84</f>
        <v>James</v>
      </c>
      <c r="E84" t="str">
        <f>'1'!P84</f>
        <v>902026</v>
      </c>
      <c r="F84" t="str">
        <f>'1'!I84&amp;".new.uat"</f>
        <v>kjames@onebarnes.com.new.uat</v>
      </c>
      <c r="G84" s="39" t="s">
        <v>5389</v>
      </c>
      <c r="H84" t="str">
        <f>'1'!I84</f>
        <v>kjames@onebarnes.com</v>
      </c>
      <c r="I84" t="str">
        <f>'1'!AI84</f>
        <v>en_US</v>
      </c>
      <c r="L84" t="str">
        <f>'1'!AD84</f>
        <v>0088</v>
      </c>
      <c r="M84" t="str">
        <f>'1'!AJ84</f>
        <v>USD</v>
      </c>
      <c r="O84" s="39" t="str">
        <f>'1'!AL84</f>
        <v>Y</v>
      </c>
      <c r="P84" t="str">
        <f>'1'!AD84</f>
        <v>0088</v>
      </c>
      <c r="Q84">
        <f>'1'!AE84</f>
        <v>5200</v>
      </c>
      <c r="W84" t="str">
        <f>'1'!AA84</f>
        <v>S05</v>
      </c>
      <c r="X84" t="str">
        <f>'1'!AG84</f>
        <v>General</v>
      </c>
      <c r="Z84">
        <f>'1'!AE84</f>
        <v>5200</v>
      </c>
      <c r="AB84" t="str">
        <f>'1'!AM84</f>
        <v/>
      </c>
      <c r="AC84" t="str">
        <f>'1'!AK84</f>
        <v/>
      </c>
      <c r="AP84" t="str">
        <f>'1'!AD84</f>
        <v>0088</v>
      </c>
      <c r="BG84" t="str">
        <f>'1'!AC84</f>
        <v>207487</v>
      </c>
      <c r="BK84" s="39" t="s">
        <v>5381</v>
      </c>
      <c r="BL84" s="39" t="s">
        <v>5381</v>
      </c>
      <c r="BU84" s="39" t="s">
        <v>5381</v>
      </c>
      <c r="BV84" s="39" t="s">
        <v>5381</v>
      </c>
      <c r="CE84" s="39" t="s">
        <v>5381</v>
      </c>
      <c r="CH84" s="39" t="s">
        <v>5381</v>
      </c>
    </row>
    <row r="85" spans="1:86">
      <c r="A85" s="62" t="s">
        <v>5380</v>
      </c>
      <c r="B85" t="str">
        <f>'1'!B85</f>
        <v>Michael</v>
      </c>
      <c r="C85" t="str">
        <f>'1'!C85</f>
        <v/>
      </c>
      <c r="D85" t="str">
        <f>'1'!D85</f>
        <v>Jones</v>
      </c>
      <c r="E85" t="str">
        <f>'1'!P85</f>
        <v>212418</v>
      </c>
      <c r="F85" t="str">
        <f>'1'!I85&amp;".new.uat"</f>
        <v>mjones@onebarnes.com.new.uat</v>
      </c>
      <c r="G85" s="39" t="s">
        <v>5389</v>
      </c>
      <c r="H85" t="str">
        <f>'1'!I85</f>
        <v>mjones@onebarnes.com</v>
      </c>
      <c r="I85" t="str">
        <f>'1'!AI85</f>
        <v>en_US</v>
      </c>
      <c r="L85" t="str">
        <f>'1'!AD85</f>
        <v>0088</v>
      </c>
      <c r="M85" t="str">
        <f>'1'!AJ85</f>
        <v>USD</v>
      </c>
      <c r="O85" s="39" t="str">
        <f>'1'!AL85</f>
        <v>Y</v>
      </c>
      <c r="P85" t="str">
        <f>'1'!AD85</f>
        <v>0088</v>
      </c>
      <c r="Q85">
        <f>'1'!AE85</f>
        <v>8200</v>
      </c>
      <c r="W85" t="str">
        <f>'1'!AA85</f>
        <v>S16</v>
      </c>
      <c r="X85" t="str">
        <f>'1'!AG85</f>
        <v>General</v>
      </c>
      <c r="Z85">
        <f>'1'!AE85</f>
        <v>8200</v>
      </c>
      <c r="AB85" t="str">
        <f>'1'!AM85</f>
        <v/>
      </c>
      <c r="AC85" t="str">
        <f>'1'!AK85</f>
        <v/>
      </c>
      <c r="AP85" t="str">
        <f>'1'!AD85</f>
        <v>0088</v>
      </c>
      <c r="BG85" t="str">
        <f>'1'!AC85</f>
        <v>207588</v>
      </c>
      <c r="BK85" s="39" t="s">
        <v>5381</v>
      </c>
      <c r="BL85" s="39" t="s">
        <v>5381</v>
      </c>
      <c r="BU85" s="39" t="s">
        <v>5381</v>
      </c>
      <c r="BV85" s="39" t="s">
        <v>5381</v>
      </c>
      <c r="CE85" s="39" t="s">
        <v>5381</v>
      </c>
      <c r="CH85" s="39" t="s">
        <v>5381</v>
      </c>
    </row>
    <row r="86" spans="1:86">
      <c r="A86" s="62" t="s">
        <v>5380</v>
      </c>
      <c r="B86" t="str">
        <f>'1'!B86</f>
        <v>Shelleion</v>
      </c>
      <c r="C86" t="str">
        <f>'1'!C86</f>
        <v/>
      </c>
      <c r="D86" t="str">
        <f>'1'!D86</f>
        <v>Jones</v>
      </c>
      <c r="E86" t="str">
        <f>'1'!P86</f>
        <v/>
      </c>
      <c r="F86" t="str">
        <f>'1'!I86&amp;".new.uat"</f>
        <v>sjones@onebarnes.con.new.uat</v>
      </c>
      <c r="G86" s="39" t="s">
        <v>5389</v>
      </c>
      <c r="H86" t="str">
        <f>'1'!I86</f>
        <v>sjones@onebarnes.con</v>
      </c>
      <c r="I86" t="str">
        <f>'1'!AI86</f>
        <v>en_US</v>
      </c>
      <c r="L86" t="str">
        <f>'1'!AD86</f>
        <v>0088</v>
      </c>
      <c r="M86" t="str">
        <f>'1'!AJ86</f>
        <v>USD</v>
      </c>
      <c r="O86" s="39" t="str">
        <f>'1'!AL86</f>
        <v>Y</v>
      </c>
      <c r="P86" t="str">
        <f>'1'!AD86</f>
        <v>0088</v>
      </c>
      <c r="Q86">
        <f>'1'!AE86</f>
        <v>8100</v>
      </c>
      <c r="W86" t="str">
        <f>'1'!AA86</f>
        <v>S11</v>
      </c>
      <c r="X86" t="str">
        <f>'1'!AG86</f>
        <v>General</v>
      </c>
      <c r="Z86">
        <f>'1'!AE86</f>
        <v>8100</v>
      </c>
      <c r="AB86" t="str">
        <f>'1'!AM86</f>
        <v/>
      </c>
      <c r="AC86" t="str">
        <f>'1'!AK86</f>
        <v/>
      </c>
      <c r="AP86" t="str">
        <f>'1'!AD86</f>
        <v>0088</v>
      </c>
      <c r="BG86" t="str">
        <f>'1'!AC86</f>
        <v>202533</v>
      </c>
      <c r="BK86" s="39" t="s">
        <v>5381</v>
      </c>
      <c r="BL86" s="39" t="s">
        <v>5381</v>
      </c>
      <c r="BU86" s="39" t="s">
        <v>5381</v>
      </c>
      <c r="BV86" s="39" t="s">
        <v>5381</v>
      </c>
      <c r="CE86" s="39" t="s">
        <v>5381</v>
      </c>
      <c r="CH86" s="39" t="s">
        <v>5381</v>
      </c>
    </row>
    <row r="87" spans="1:86">
      <c r="A87" s="62" t="s">
        <v>5380</v>
      </c>
      <c r="B87" t="str">
        <f>'1'!B87</f>
        <v>Brandon</v>
      </c>
      <c r="C87" t="str">
        <f>'1'!C87</f>
        <v/>
      </c>
      <c r="D87" t="str">
        <f>'1'!D87</f>
        <v>Kelly</v>
      </c>
      <c r="E87" t="str">
        <f>'1'!P87</f>
        <v>213235</v>
      </c>
      <c r="F87" t="str">
        <f>'1'!I87&amp;".new.uat"</f>
        <v>.new.uat</v>
      </c>
      <c r="G87" s="39" t="s">
        <v>5389</v>
      </c>
      <c r="H87" t="str">
        <f>'1'!I87</f>
        <v/>
      </c>
      <c r="I87" t="str">
        <f>'1'!AI87</f>
        <v>en_US</v>
      </c>
      <c r="L87" t="str">
        <f>'1'!AD87</f>
        <v>0088</v>
      </c>
      <c r="M87" t="str">
        <f>'1'!AJ87</f>
        <v>USD</v>
      </c>
      <c r="O87" s="39" t="str">
        <f>'1'!AL87</f>
        <v>N</v>
      </c>
      <c r="P87" t="str">
        <f>'1'!AD87</f>
        <v>0088</v>
      </c>
      <c r="Q87">
        <f>'1'!AE87</f>
        <v>9500</v>
      </c>
      <c r="W87" t="str">
        <f>'1'!AA87</f>
        <v>H05</v>
      </c>
      <c r="X87" t="str">
        <f>'1'!AG87</f>
        <v>General</v>
      </c>
      <c r="Z87">
        <f>'1'!AE87</f>
        <v>9500</v>
      </c>
      <c r="AB87" t="str">
        <f>'1'!AM87</f>
        <v>20260814</v>
      </c>
      <c r="AC87" t="str">
        <f>'1'!AK87</f>
        <v/>
      </c>
      <c r="AP87" t="str">
        <f>'1'!AD87</f>
        <v>0088</v>
      </c>
      <c r="BG87" t="str">
        <f>'1'!AC87</f>
        <v>210892</v>
      </c>
      <c r="BK87" s="39" t="s">
        <v>5381</v>
      </c>
      <c r="BL87" s="39" t="s">
        <v>5381</v>
      </c>
      <c r="BU87" s="39" t="s">
        <v>5381</v>
      </c>
      <c r="BV87" s="39" t="s">
        <v>5381</v>
      </c>
      <c r="CE87" s="39" t="s">
        <v>5381</v>
      </c>
      <c r="CH87" s="39" t="s">
        <v>5381</v>
      </c>
    </row>
    <row r="88" spans="1:86">
      <c r="A88" s="62" t="s">
        <v>5380</v>
      </c>
      <c r="B88" t="str">
        <f>'1'!B88</f>
        <v>Mason</v>
      </c>
      <c r="C88" t="str">
        <f>'1'!C88</f>
        <v>R</v>
      </c>
      <c r="D88" t="str">
        <f>'1'!D88</f>
        <v>Kelly</v>
      </c>
      <c r="E88" t="str">
        <f>'1'!P88</f>
        <v>206680</v>
      </c>
      <c r="F88" t="str">
        <f>'1'!I88&amp;".new.uat"</f>
        <v>.new.uat</v>
      </c>
      <c r="G88" s="39" t="s">
        <v>5389</v>
      </c>
      <c r="H88" t="str">
        <f>'1'!I88</f>
        <v/>
      </c>
      <c r="I88" t="str">
        <f>'1'!AI88</f>
        <v>en_US</v>
      </c>
      <c r="L88" t="str">
        <f>'1'!AD88</f>
        <v>0096</v>
      </c>
      <c r="M88" t="str">
        <f>'1'!AJ88</f>
        <v>USD</v>
      </c>
      <c r="O88" s="39" t="str">
        <f>'1'!AL88</f>
        <v>Y</v>
      </c>
      <c r="P88" t="str">
        <f>'1'!AD88</f>
        <v>0096</v>
      </c>
      <c r="Q88">
        <f>'1'!AE88</f>
        <v>100</v>
      </c>
      <c r="W88" t="str">
        <f>'1'!AA88</f>
        <v>H04</v>
      </c>
      <c r="X88" t="str">
        <f>'1'!AG88</f>
        <v>General</v>
      </c>
      <c r="Z88">
        <f>'1'!AE88</f>
        <v>100</v>
      </c>
      <c r="AB88" t="str">
        <f>'1'!AM88</f>
        <v/>
      </c>
      <c r="AC88" t="str">
        <f>'1'!AK88</f>
        <v/>
      </c>
      <c r="AP88" t="str">
        <f>'1'!AD88</f>
        <v>0096</v>
      </c>
      <c r="BG88" t="str">
        <f>'1'!AC88</f>
        <v>211062</v>
      </c>
      <c r="BK88" s="39" t="s">
        <v>5381</v>
      </c>
      <c r="BL88" s="39" t="s">
        <v>5381</v>
      </c>
      <c r="BU88" s="39" t="s">
        <v>5381</v>
      </c>
      <c r="BV88" s="39" t="s">
        <v>5381</v>
      </c>
      <c r="CE88" s="39" t="s">
        <v>5381</v>
      </c>
      <c r="CH88" s="39" t="s">
        <v>5381</v>
      </c>
    </row>
    <row r="89" spans="1:86">
      <c r="A89" s="62" t="s">
        <v>5380</v>
      </c>
      <c r="B89" t="str">
        <f>'1'!B89</f>
        <v>Greg</v>
      </c>
      <c r="C89" t="str">
        <f>'1'!C89</f>
        <v/>
      </c>
      <c r="D89" t="str">
        <f>'1'!D89</f>
        <v>Kemenah</v>
      </c>
      <c r="E89" t="str">
        <f>'1'!P89</f>
        <v>211766</v>
      </c>
      <c r="F89" t="str">
        <f>'1'!I89&amp;".new.uat"</f>
        <v>gkemenah@onebarnes.com.new.uat</v>
      </c>
      <c r="G89" s="39" t="s">
        <v>5389</v>
      </c>
      <c r="H89" t="str">
        <f>'1'!I89</f>
        <v>gkemenah@onebarnes.com</v>
      </c>
      <c r="I89" t="str">
        <f>'1'!AI89</f>
        <v>en_US</v>
      </c>
      <c r="L89" t="str">
        <f>'1'!AD89</f>
        <v>0088</v>
      </c>
      <c r="M89" t="str">
        <f>'1'!AJ89</f>
        <v>USD</v>
      </c>
      <c r="O89" s="39" t="str">
        <f>'1'!AL89</f>
        <v>Y</v>
      </c>
      <c r="P89" t="str">
        <f>'1'!AD89</f>
        <v>0088</v>
      </c>
      <c r="Q89">
        <f>'1'!AE89</f>
        <v>9450</v>
      </c>
      <c r="W89" t="str">
        <f>'1'!AA89</f>
        <v>S19</v>
      </c>
      <c r="X89" t="str">
        <f>'1'!AG89</f>
        <v>General</v>
      </c>
      <c r="Z89">
        <f>'1'!AE89</f>
        <v>9450</v>
      </c>
      <c r="AB89" t="str">
        <f>'1'!AM89</f>
        <v/>
      </c>
      <c r="AC89" t="str">
        <f>'1'!AK89</f>
        <v/>
      </c>
      <c r="AP89" t="str">
        <f>'1'!AD89</f>
        <v>0088</v>
      </c>
      <c r="BG89" t="str">
        <f>'1'!AC89</f>
        <v>207709</v>
      </c>
      <c r="BK89" s="39" t="s">
        <v>5381</v>
      </c>
      <c r="BL89" s="39" t="s">
        <v>5381</v>
      </c>
      <c r="BU89" s="39" t="s">
        <v>5381</v>
      </c>
      <c r="BV89" s="39" t="s">
        <v>5381</v>
      </c>
      <c r="CE89" s="39" t="s">
        <v>5381</v>
      </c>
      <c r="CH89" s="39" t="s">
        <v>5381</v>
      </c>
    </row>
    <row r="90" spans="1:86">
      <c r="A90" s="62" t="s">
        <v>5380</v>
      </c>
      <c r="B90" t="str">
        <f>'1'!B90</f>
        <v>Jacob</v>
      </c>
      <c r="C90" t="str">
        <f>'1'!C90</f>
        <v>A</v>
      </c>
      <c r="D90" t="str">
        <f>'1'!D90</f>
        <v>Kemenah</v>
      </c>
      <c r="E90" t="str">
        <f>'1'!P90</f>
        <v>213229</v>
      </c>
      <c r="F90" t="str">
        <f>'1'!I90&amp;".new.uat"</f>
        <v>.new.uat</v>
      </c>
      <c r="G90" s="39" t="s">
        <v>5389</v>
      </c>
      <c r="H90" t="str">
        <f>'1'!I90</f>
        <v/>
      </c>
      <c r="I90" t="str">
        <f>'1'!AI90</f>
        <v>en_US</v>
      </c>
      <c r="L90" t="str">
        <f>'1'!AD90</f>
        <v>0088</v>
      </c>
      <c r="M90" t="str">
        <f>'1'!AJ90</f>
        <v>USD</v>
      </c>
      <c r="O90" s="39" t="str">
        <f>'1'!AL90</f>
        <v>N</v>
      </c>
      <c r="P90" t="str">
        <f>'1'!AD90</f>
        <v>0088</v>
      </c>
      <c r="Q90">
        <f>'1'!AE90</f>
        <v>9100</v>
      </c>
      <c r="W90" t="str">
        <f>'1'!AA90</f>
        <v>H05</v>
      </c>
      <c r="X90" t="str">
        <f>'1'!AG90</f>
        <v>General</v>
      </c>
      <c r="Z90">
        <f>'1'!AE90</f>
        <v>9100</v>
      </c>
      <c r="AB90" t="str">
        <f>'1'!AM90</f>
        <v>20260814</v>
      </c>
      <c r="AC90" t="str">
        <f>'1'!AK90</f>
        <v/>
      </c>
      <c r="AP90" t="str">
        <f>'1'!AD90</f>
        <v>0088</v>
      </c>
      <c r="BG90" t="str">
        <f>'1'!AC90</f>
        <v>008750</v>
      </c>
      <c r="BK90" s="39" t="s">
        <v>5381</v>
      </c>
      <c r="BL90" s="39" t="s">
        <v>5381</v>
      </c>
      <c r="BU90" s="39" t="s">
        <v>5381</v>
      </c>
      <c r="BV90" s="39" t="s">
        <v>5381</v>
      </c>
      <c r="CE90" s="39" t="s">
        <v>5381</v>
      </c>
      <c r="CH90" s="39" t="s">
        <v>5381</v>
      </c>
    </row>
    <row r="91" spans="1:86">
      <c r="A91" s="62" t="s">
        <v>5380</v>
      </c>
      <c r="B91" t="str">
        <f>'1'!B91</f>
        <v>Sai Anusha</v>
      </c>
      <c r="C91" t="str">
        <f>'1'!C91</f>
        <v/>
      </c>
      <c r="D91" t="str">
        <f>'1'!D91</f>
        <v>Kodali</v>
      </c>
      <c r="E91" t="str">
        <f>'1'!P91</f>
        <v>211085</v>
      </c>
      <c r="F91" t="str">
        <f>'1'!I91&amp;".new.uat"</f>
        <v>skodalii@onebarnes.com.new.uat</v>
      </c>
      <c r="G91" s="39" t="s">
        <v>5389</v>
      </c>
      <c r="H91" t="str">
        <f>'1'!I91</f>
        <v>skodalii@onebarnes.com</v>
      </c>
      <c r="I91" t="str">
        <f>'1'!AI91</f>
        <v>en_US</v>
      </c>
      <c r="L91" t="str">
        <f>'1'!AD91</f>
        <v>0088</v>
      </c>
      <c r="M91" t="str">
        <f>'1'!AJ91</f>
        <v>USD</v>
      </c>
      <c r="O91" s="39" t="str">
        <f>'1'!AL91</f>
        <v>Y</v>
      </c>
      <c r="P91" t="str">
        <f>'1'!AD91</f>
        <v>0088</v>
      </c>
      <c r="Q91">
        <f>'1'!AE91</f>
        <v>8300</v>
      </c>
      <c r="W91" t="str">
        <f>'1'!AA91</f>
        <v>S12</v>
      </c>
      <c r="X91" t="str">
        <f>'1'!AG91</f>
        <v>General</v>
      </c>
      <c r="Z91">
        <f>'1'!AE91</f>
        <v>8300</v>
      </c>
      <c r="AB91" t="str">
        <f>'1'!AM91</f>
        <v/>
      </c>
      <c r="AC91" t="str">
        <f>'1'!AK91</f>
        <v/>
      </c>
      <c r="AP91" t="str">
        <f>'1'!AD91</f>
        <v>0088</v>
      </c>
      <c r="BG91" t="str">
        <f>'1'!AC91</f>
        <v>211766</v>
      </c>
      <c r="BK91" s="39" t="s">
        <v>5381</v>
      </c>
      <c r="BL91" s="39" t="s">
        <v>5381</v>
      </c>
      <c r="BU91" s="39" t="s">
        <v>5381</v>
      </c>
      <c r="BV91" s="39" t="s">
        <v>5381</v>
      </c>
      <c r="CE91" s="39" t="s">
        <v>5381</v>
      </c>
      <c r="CH91" s="39" t="s">
        <v>5381</v>
      </c>
    </row>
    <row r="92" spans="1:86">
      <c r="A92" s="62" t="s">
        <v>5380</v>
      </c>
      <c r="B92" t="str">
        <f>'1'!B92</f>
        <v>Christopher</v>
      </c>
      <c r="C92" t="str">
        <f>'1'!C92</f>
        <v>J</v>
      </c>
      <c r="D92" t="str">
        <f>'1'!D92</f>
        <v>Kostohryz</v>
      </c>
      <c r="E92" t="str">
        <f>'1'!P92</f>
        <v>006805</v>
      </c>
      <c r="F92" t="str">
        <f>'1'!I92&amp;".new.uat"</f>
        <v>.new.uat</v>
      </c>
      <c r="G92" s="39" t="s">
        <v>5389</v>
      </c>
      <c r="H92" t="str">
        <f>'1'!I92</f>
        <v/>
      </c>
      <c r="I92" t="str">
        <f>'1'!AI92</f>
        <v>en_US</v>
      </c>
      <c r="L92" t="str">
        <f>'1'!AD92</f>
        <v>0096</v>
      </c>
      <c r="M92" t="str">
        <f>'1'!AJ92</f>
        <v>USD</v>
      </c>
      <c r="O92" s="39" t="str">
        <f>'1'!AL92</f>
        <v>Y</v>
      </c>
      <c r="P92" t="str">
        <f>'1'!AD92</f>
        <v>0096</v>
      </c>
      <c r="Q92">
        <f>'1'!AE92</f>
        <v>100</v>
      </c>
      <c r="W92" t="str">
        <f>'1'!AA92</f>
        <v>H07</v>
      </c>
      <c r="X92" t="str">
        <f>'1'!AG92</f>
        <v>General</v>
      </c>
      <c r="Z92">
        <f>'1'!AE92</f>
        <v>100</v>
      </c>
      <c r="AB92" t="str">
        <f>'1'!AM92</f>
        <v/>
      </c>
      <c r="AC92" t="str">
        <f>'1'!AK92</f>
        <v/>
      </c>
      <c r="AP92" t="str">
        <f>'1'!AD92</f>
        <v>0096</v>
      </c>
      <c r="BG92" t="str">
        <f>'1'!AC92</f>
        <v>211062</v>
      </c>
      <c r="BK92" s="39" t="s">
        <v>5381</v>
      </c>
      <c r="BL92" s="39" t="s">
        <v>5381</v>
      </c>
      <c r="BU92" s="39" t="s">
        <v>5381</v>
      </c>
      <c r="BV92" s="39" t="s">
        <v>5381</v>
      </c>
      <c r="CE92" s="39" t="s">
        <v>5381</v>
      </c>
      <c r="CH92" s="39" t="s">
        <v>5381</v>
      </c>
    </row>
    <row r="93" spans="1:86">
      <c r="A93" s="62" t="s">
        <v>5380</v>
      </c>
      <c r="B93" t="str">
        <f>'1'!B93</f>
        <v>Wendy</v>
      </c>
      <c r="C93" t="str">
        <f>'1'!C93</f>
        <v/>
      </c>
      <c r="D93" t="str">
        <f>'1'!D93</f>
        <v>Kozicki</v>
      </c>
      <c r="E93" t="str">
        <f>'1'!P93</f>
        <v>213298</v>
      </c>
      <c r="F93" t="str">
        <f>'1'!I93&amp;".new.uat"</f>
        <v>wkozicki@onebarnes.com.new.uat</v>
      </c>
      <c r="G93" s="39" t="s">
        <v>5389</v>
      </c>
      <c r="H93" t="str">
        <f>'1'!I93</f>
        <v>wkozicki@onebarnes.com</v>
      </c>
      <c r="I93" t="str">
        <f>'1'!AI93</f>
        <v>en_US</v>
      </c>
      <c r="L93" t="str">
        <f>'1'!AD93</f>
        <v>0088</v>
      </c>
      <c r="M93" t="str">
        <f>'1'!AJ93</f>
        <v>USD</v>
      </c>
      <c r="O93" s="39" t="str">
        <f>'1'!AL93</f>
        <v>Y</v>
      </c>
      <c r="P93" t="str">
        <f>'1'!AD93</f>
        <v>0088</v>
      </c>
      <c r="Q93">
        <f>'1'!AE93</f>
        <v>8100</v>
      </c>
      <c r="W93" t="str">
        <f>'1'!AA93</f>
        <v>S08</v>
      </c>
      <c r="X93" t="str">
        <f>'1'!AG93</f>
        <v>General</v>
      </c>
      <c r="Z93">
        <f>'1'!AE93</f>
        <v>8100</v>
      </c>
      <c r="AB93" t="str">
        <f>'1'!AM93</f>
        <v/>
      </c>
      <c r="AC93" t="str">
        <f>'1'!AK93</f>
        <v/>
      </c>
      <c r="AP93" t="str">
        <f>'1'!AD93</f>
        <v>0088</v>
      </c>
      <c r="BG93" t="str">
        <f>'1'!AC93</f>
        <v>202533</v>
      </c>
      <c r="BK93" s="39" t="s">
        <v>5381</v>
      </c>
      <c r="BL93" s="39" t="s">
        <v>5381</v>
      </c>
      <c r="BU93" s="39" t="s">
        <v>5381</v>
      </c>
      <c r="BV93" s="39" t="s">
        <v>5381</v>
      </c>
      <c r="CE93" s="39" t="s">
        <v>5381</v>
      </c>
      <c r="CH93" s="39" t="s">
        <v>5381</v>
      </c>
    </row>
    <row r="94" spans="1:86">
      <c r="A94" s="62" t="s">
        <v>5380</v>
      </c>
      <c r="B94" t="str">
        <f>'1'!B94</f>
        <v>Mitchell</v>
      </c>
      <c r="C94" t="str">
        <f>'1'!C94</f>
        <v/>
      </c>
      <c r="D94" t="str">
        <f>'1'!D94</f>
        <v>Kuhlman</v>
      </c>
      <c r="E94" t="str">
        <f>'1'!P94</f>
        <v>212177</v>
      </c>
      <c r="F94" t="str">
        <f>'1'!I94&amp;".new.uat"</f>
        <v>.new.uat</v>
      </c>
      <c r="G94" s="39" t="s">
        <v>5389</v>
      </c>
      <c r="H94" t="str">
        <f>'1'!I94</f>
        <v/>
      </c>
      <c r="I94" t="str">
        <f>'1'!AI94</f>
        <v>en_US</v>
      </c>
      <c r="L94" t="str">
        <f>'1'!AD94</f>
        <v>0088</v>
      </c>
      <c r="M94" t="str">
        <f>'1'!AJ94</f>
        <v>USD</v>
      </c>
      <c r="O94" s="39" t="str">
        <f>'1'!AL94</f>
        <v>Y</v>
      </c>
      <c r="P94" t="str">
        <f>'1'!AD94</f>
        <v>0088</v>
      </c>
      <c r="Q94">
        <f>'1'!AE94</f>
        <v>5200</v>
      </c>
      <c r="W94" t="str">
        <f>'1'!AA94</f>
        <v>S05</v>
      </c>
      <c r="X94" t="str">
        <f>'1'!AG94</f>
        <v>General</v>
      </c>
      <c r="Z94">
        <f>'1'!AE94</f>
        <v>5200</v>
      </c>
      <c r="AB94" t="str">
        <f>'1'!AM94</f>
        <v/>
      </c>
      <c r="AC94" t="str">
        <f>'1'!AK94</f>
        <v/>
      </c>
      <c r="AP94" t="str">
        <f>'1'!AD94</f>
        <v>0088</v>
      </c>
      <c r="BG94" t="str">
        <f>'1'!AC94</f>
        <v>211736</v>
      </c>
      <c r="BK94" s="39" t="s">
        <v>5381</v>
      </c>
      <c r="BL94" s="39" t="s">
        <v>5381</v>
      </c>
      <c r="BU94" s="39" t="s">
        <v>5381</v>
      </c>
      <c r="BV94" s="39" t="s">
        <v>5381</v>
      </c>
      <c r="CE94" s="39" t="s">
        <v>5381</v>
      </c>
      <c r="CH94" s="39" t="s">
        <v>5381</v>
      </c>
    </row>
    <row r="95" spans="1:86">
      <c r="A95" s="62" t="s">
        <v>5380</v>
      </c>
      <c r="B95" t="str">
        <f>'1'!B95</f>
        <v>Derek</v>
      </c>
      <c r="C95" t="str">
        <f>'1'!C95</f>
        <v/>
      </c>
      <c r="D95" t="str">
        <f>'1'!D95</f>
        <v>LaPlante</v>
      </c>
      <c r="E95" t="str">
        <f>'1'!P95</f>
        <v>211736</v>
      </c>
      <c r="F95" t="str">
        <f>'1'!I95&amp;".new.uat"</f>
        <v>dlaplante@onebarnes.com.new.uat</v>
      </c>
      <c r="G95" s="39" t="s">
        <v>5389</v>
      </c>
      <c r="H95" t="str">
        <f>'1'!I95</f>
        <v>dlaplante@onebarnes.com</v>
      </c>
      <c r="I95" t="str">
        <f>'1'!AI95</f>
        <v>en_US</v>
      </c>
      <c r="L95" t="str">
        <f>'1'!AD95</f>
        <v>0088</v>
      </c>
      <c r="M95" t="str">
        <f>'1'!AJ95</f>
        <v>USD</v>
      </c>
      <c r="O95" s="39" t="str">
        <f>'1'!AL95</f>
        <v>Y</v>
      </c>
      <c r="P95" t="str">
        <f>'1'!AD95</f>
        <v>0088</v>
      </c>
      <c r="Q95">
        <f>'1'!AE95</f>
        <v>5200</v>
      </c>
      <c r="W95" t="str">
        <f>'1'!AA95</f>
        <v>S11</v>
      </c>
      <c r="X95" t="str">
        <f>'1'!AG95</f>
        <v>General</v>
      </c>
      <c r="Z95">
        <f>'1'!AE95</f>
        <v>5200</v>
      </c>
      <c r="AB95" t="str">
        <f>'1'!AM95</f>
        <v/>
      </c>
      <c r="AC95" t="str">
        <f>'1'!AK95</f>
        <v/>
      </c>
      <c r="AP95" t="str">
        <f>'1'!AD95</f>
        <v>0088</v>
      </c>
      <c r="BG95" t="str">
        <f>'1'!AC95</f>
        <v>211464</v>
      </c>
      <c r="BK95" s="39" t="s">
        <v>5381</v>
      </c>
      <c r="BL95" s="39" t="s">
        <v>5381</v>
      </c>
      <c r="BU95" s="39" t="s">
        <v>5381</v>
      </c>
      <c r="BV95" s="39" t="s">
        <v>5381</v>
      </c>
      <c r="CE95" s="39" t="s">
        <v>5381</v>
      </c>
      <c r="CH95" s="39" t="s">
        <v>5381</v>
      </c>
    </row>
    <row r="96" spans="1:86">
      <c r="A96" s="62" t="s">
        <v>5380</v>
      </c>
      <c r="B96" t="str">
        <f>'1'!B96</f>
        <v>Moulay Abdellah</v>
      </c>
      <c r="C96" t="str">
        <f>'1'!C96</f>
        <v/>
      </c>
      <c r="D96" t="str">
        <f>'1'!D96</f>
        <v>Lamini</v>
      </c>
      <c r="E96" t="str">
        <f>'1'!P96</f>
        <v>210371</v>
      </c>
      <c r="F96" t="str">
        <f>'1'!I96&amp;".new.uat"</f>
        <v>.new.uat</v>
      </c>
      <c r="G96" s="39" t="s">
        <v>5389</v>
      </c>
      <c r="H96" t="str">
        <f>'1'!I96</f>
        <v/>
      </c>
      <c r="I96" t="str">
        <f>'1'!AI96</f>
        <v>en_US</v>
      </c>
      <c r="L96" t="str">
        <f>'1'!AD96</f>
        <v>0088</v>
      </c>
      <c r="M96" t="str">
        <f>'1'!AJ96</f>
        <v>USD</v>
      </c>
      <c r="O96" s="39" t="str">
        <f>'1'!AL96</f>
        <v>Y</v>
      </c>
      <c r="P96" t="str">
        <f>'1'!AD96</f>
        <v>0088</v>
      </c>
      <c r="Q96">
        <f>'1'!AE96</f>
        <v>5100</v>
      </c>
      <c r="W96" t="str">
        <f>'1'!AA96</f>
        <v>S05</v>
      </c>
      <c r="X96" t="str">
        <f>'1'!AG96</f>
        <v>General</v>
      </c>
      <c r="Z96">
        <f>'1'!AE96</f>
        <v>5100</v>
      </c>
      <c r="AB96" t="str">
        <f>'1'!AM96</f>
        <v/>
      </c>
      <c r="AC96" t="str">
        <f>'1'!AK96</f>
        <v/>
      </c>
      <c r="AP96" t="str">
        <f>'1'!AD96</f>
        <v>0088</v>
      </c>
      <c r="BG96" t="str">
        <f>'1'!AC96</f>
        <v>211756</v>
      </c>
      <c r="BK96" s="39" t="s">
        <v>5381</v>
      </c>
      <c r="BL96" s="39" t="s">
        <v>5381</v>
      </c>
      <c r="BU96" s="39" t="s">
        <v>5381</v>
      </c>
      <c r="BV96" s="39" t="s">
        <v>5381</v>
      </c>
      <c r="CE96" s="39" t="s">
        <v>5381</v>
      </c>
      <c r="CH96" s="39" t="s">
        <v>5381</v>
      </c>
    </row>
    <row r="97" spans="1:86">
      <c r="A97" s="62" t="s">
        <v>5380</v>
      </c>
      <c r="B97" t="str">
        <f>'1'!B97</f>
        <v>Wayne</v>
      </c>
      <c r="C97" t="str">
        <f>'1'!C97</f>
        <v/>
      </c>
      <c r="D97" t="str">
        <f>'1'!D97</f>
        <v>Leftrict</v>
      </c>
      <c r="E97" t="str">
        <f>'1'!P97</f>
        <v>210910</v>
      </c>
      <c r="F97" t="str">
        <f>'1'!I97&amp;".new.uat"</f>
        <v>wleftrict@onebarnes.com.new.uat</v>
      </c>
      <c r="G97" s="39" t="s">
        <v>5389</v>
      </c>
      <c r="H97" t="str">
        <f>'1'!I97</f>
        <v>wleftrict@onebarnes.com</v>
      </c>
      <c r="I97" t="str">
        <f>'1'!AI97</f>
        <v>en_US</v>
      </c>
      <c r="L97" t="str">
        <f>'1'!AD97</f>
        <v>0096</v>
      </c>
      <c r="M97" t="str">
        <f>'1'!AJ97</f>
        <v>USD</v>
      </c>
      <c r="O97" s="39" t="str">
        <f>'1'!AL97</f>
        <v>Y</v>
      </c>
      <c r="P97" t="str">
        <f>'1'!AD97</f>
        <v>0096</v>
      </c>
      <c r="Q97">
        <f>'1'!AE97</f>
        <v>555</v>
      </c>
      <c r="W97" t="str">
        <f>'1'!AA97</f>
        <v>S16</v>
      </c>
      <c r="X97" t="str">
        <f>'1'!AG97</f>
        <v>General</v>
      </c>
      <c r="Z97">
        <f>'1'!AE97</f>
        <v>555</v>
      </c>
      <c r="AB97" t="str">
        <f>'1'!AM97</f>
        <v/>
      </c>
      <c r="AC97" t="str">
        <f>'1'!AK97</f>
        <v/>
      </c>
      <c r="AP97" t="str">
        <f>'1'!AD97</f>
        <v>0096</v>
      </c>
      <c r="BG97" t="str">
        <f>'1'!AC97</f>
        <v>213037</v>
      </c>
      <c r="BK97" s="39" t="s">
        <v>5381</v>
      </c>
      <c r="BL97" s="39" t="s">
        <v>5381</v>
      </c>
      <c r="BU97" s="39" t="s">
        <v>5381</v>
      </c>
      <c r="BV97" s="39" t="s">
        <v>5381</v>
      </c>
      <c r="CE97" s="39" t="s">
        <v>5381</v>
      </c>
      <c r="CH97" s="39" t="s">
        <v>5381</v>
      </c>
    </row>
    <row r="98" spans="1:86">
      <c r="A98" s="62" t="s">
        <v>5380</v>
      </c>
      <c r="B98" t="str">
        <f>'1'!B98</f>
        <v>Tamara</v>
      </c>
      <c r="C98" t="str">
        <f>'1'!C98</f>
        <v>K</v>
      </c>
      <c r="D98" t="str">
        <f>'1'!D98</f>
        <v>Lipp</v>
      </c>
      <c r="E98" t="str">
        <f>'1'!P98</f>
        <v>212990</v>
      </c>
      <c r="F98" t="str">
        <f>'1'!I98&amp;".new.uat"</f>
        <v>tlipp@onebarnes.com.new.uat</v>
      </c>
      <c r="G98" s="39" t="s">
        <v>5389</v>
      </c>
      <c r="H98" t="str">
        <f>'1'!I98</f>
        <v>tlipp@onebarnes.com</v>
      </c>
      <c r="I98" t="str">
        <f>'1'!AI98</f>
        <v>en_US</v>
      </c>
      <c r="L98" t="str">
        <f>'1'!AD98</f>
        <v>0088</v>
      </c>
      <c r="M98" t="str">
        <f>'1'!AJ98</f>
        <v>USD</v>
      </c>
      <c r="O98" s="39" t="str">
        <f>'1'!AL98</f>
        <v>Y</v>
      </c>
      <c r="P98" t="str">
        <f>'1'!AD98</f>
        <v>0088</v>
      </c>
      <c r="Q98">
        <f>'1'!AE98</f>
        <v>9200</v>
      </c>
      <c r="W98" t="str">
        <f>'1'!AA98</f>
        <v>S14</v>
      </c>
      <c r="X98" t="str">
        <f>'1'!AG98</f>
        <v>General</v>
      </c>
      <c r="Z98">
        <f>'1'!AE98</f>
        <v>9200</v>
      </c>
      <c r="AB98" t="str">
        <f>'1'!AM98</f>
        <v/>
      </c>
      <c r="AC98" t="str">
        <f>'1'!AK98</f>
        <v/>
      </c>
      <c r="AP98" t="str">
        <f>'1'!AD98</f>
        <v>0088</v>
      </c>
      <c r="BG98" t="str">
        <f>'1'!AC98</f>
        <v>209181</v>
      </c>
      <c r="BK98" s="39" t="s">
        <v>5381</v>
      </c>
      <c r="BL98" s="39" t="s">
        <v>5381</v>
      </c>
      <c r="BU98" s="39" t="s">
        <v>5381</v>
      </c>
      <c r="BV98" s="39" t="s">
        <v>5381</v>
      </c>
      <c r="CE98" s="39" t="s">
        <v>5381</v>
      </c>
      <c r="CH98" s="39" t="s">
        <v>5381</v>
      </c>
    </row>
    <row r="99" spans="1:86">
      <c r="A99" s="62" t="s">
        <v>5380</v>
      </c>
      <c r="B99" t="str">
        <f>'1'!B99</f>
        <v>Joseph</v>
      </c>
      <c r="C99" t="str">
        <f>'1'!C99</f>
        <v>M</v>
      </c>
      <c r="D99" t="str">
        <f>'1'!D99</f>
        <v>Lorenz</v>
      </c>
      <c r="E99" t="str">
        <f>'1'!P99</f>
        <v>212598</v>
      </c>
      <c r="F99" t="str">
        <f>'1'!I99&amp;".new.uat"</f>
        <v>Jlorenz@onebarnes.com.new.uat</v>
      </c>
      <c r="G99" s="39" t="s">
        <v>5389</v>
      </c>
      <c r="H99" t="str">
        <f>'1'!I99</f>
        <v>Jlorenz@onebarnes.com</v>
      </c>
      <c r="I99" t="str">
        <f>'1'!AI99</f>
        <v>en_US</v>
      </c>
      <c r="L99" t="str">
        <f>'1'!AD99</f>
        <v>0096</v>
      </c>
      <c r="M99" t="str">
        <f>'1'!AJ99</f>
        <v>USD</v>
      </c>
      <c r="O99" s="39" t="str">
        <f>'1'!AL99</f>
        <v>N</v>
      </c>
      <c r="P99" t="str">
        <f>'1'!AD99</f>
        <v>0096</v>
      </c>
      <c r="Q99">
        <f>'1'!AE99</f>
        <v>850</v>
      </c>
      <c r="W99" t="str">
        <f>'1'!AA99</f>
        <v>S10</v>
      </c>
      <c r="X99" t="str">
        <f>'1'!AG99</f>
        <v>General</v>
      </c>
      <c r="Z99">
        <f>'1'!AE99</f>
        <v>850</v>
      </c>
      <c r="AB99" t="str">
        <f>'1'!AM99</f>
        <v>20260603</v>
      </c>
      <c r="AC99" t="str">
        <f>'1'!AK99</f>
        <v/>
      </c>
      <c r="AP99" t="str">
        <f>'1'!AD99</f>
        <v>0096</v>
      </c>
      <c r="BG99" t="str">
        <f>'1'!AC99</f>
        <v/>
      </c>
      <c r="BK99" s="39" t="s">
        <v>5381</v>
      </c>
      <c r="BL99" s="39" t="s">
        <v>5381</v>
      </c>
      <c r="BU99" s="39" t="s">
        <v>5381</v>
      </c>
      <c r="BV99" s="39" t="s">
        <v>5381</v>
      </c>
      <c r="CE99" s="39" t="s">
        <v>5381</v>
      </c>
      <c r="CH99" s="39" t="s">
        <v>5381</v>
      </c>
    </row>
    <row r="100" spans="1:86">
      <c r="A100" s="62" t="s">
        <v>5380</v>
      </c>
      <c r="B100" t="str">
        <f>'1'!B100</f>
        <v>Joseph</v>
      </c>
      <c r="C100" t="str">
        <f>'1'!C100</f>
        <v>M</v>
      </c>
      <c r="D100" t="str">
        <f>'1'!D100</f>
        <v>Lorenz</v>
      </c>
      <c r="E100" t="str">
        <f>'1'!P100</f>
        <v>212598</v>
      </c>
      <c r="F100" t="str">
        <f>'1'!I100&amp;".new.uat"</f>
        <v>Jlorenz@onebarnes.com.new.uat</v>
      </c>
      <c r="G100" s="39" t="s">
        <v>5389</v>
      </c>
      <c r="H100" t="str">
        <f>'1'!I100</f>
        <v>Jlorenz@onebarnes.com</v>
      </c>
      <c r="I100" t="str">
        <f>'1'!AI100</f>
        <v>en_US</v>
      </c>
      <c r="L100" t="str">
        <f>'1'!AD100</f>
        <v>0096</v>
      </c>
      <c r="M100" t="str">
        <f>'1'!AJ100</f>
        <v>USD</v>
      </c>
      <c r="O100" s="39" t="str">
        <f>'1'!AL100</f>
        <v>N</v>
      </c>
      <c r="P100" t="str">
        <f>'1'!AD100</f>
        <v>0096</v>
      </c>
      <c r="Q100">
        <f>'1'!AE100</f>
        <v>850</v>
      </c>
      <c r="W100" t="str">
        <f>'1'!AA100</f>
        <v>S10</v>
      </c>
      <c r="X100" t="str">
        <f>'1'!AG100</f>
        <v>General</v>
      </c>
      <c r="Z100">
        <f>'1'!AE100</f>
        <v>850</v>
      </c>
      <c r="AB100" t="str">
        <f>'1'!AM100</f>
        <v>20260603</v>
      </c>
      <c r="AC100" t="str">
        <f>'1'!AK100</f>
        <v/>
      </c>
      <c r="AP100" t="str">
        <f>'1'!AD100</f>
        <v>0096</v>
      </c>
      <c r="BG100" t="str">
        <f>'1'!AC100</f>
        <v/>
      </c>
      <c r="BK100" s="39" t="s">
        <v>5381</v>
      </c>
      <c r="BL100" s="39" t="s">
        <v>5381</v>
      </c>
      <c r="BU100" s="39" t="s">
        <v>5381</v>
      </c>
      <c r="BV100" s="39" t="s">
        <v>5381</v>
      </c>
      <c r="CE100" s="39" t="s">
        <v>5381</v>
      </c>
      <c r="CH100" s="39" t="s">
        <v>5381</v>
      </c>
    </row>
    <row r="101" spans="1:86">
      <c r="A101" s="62" t="s">
        <v>5380</v>
      </c>
      <c r="B101" t="str">
        <f>'1'!B101</f>
        <v>Joseph</v>
      </c>
      <c r="C101" t="str">
        <f>'1'!C101</f>
        <v>M</v>
      </c>
      <c r="D101" t="str">
        <f>'1'!D101</f>
        <v>Lorenz</v>
      </c>
      <c r="E101" t="str">
        <f>'1'!P101</f>
        <v>212598</v>
      </c>
      <c r="F101" t="str">
        <f>'1'!I101&amp;".new.uat"</f>
        <v>Jlorenz@onebarnes.com.new.uat</v>
      </c>
      <c r="G101" s="39" t="s">
        <v>5389</v>
      </c>
      <c r="H101" t="str">
        <f>'1'!I101</f>
        <v>Jlorenz@onebarnes.com</v>
      </c>
      <c r="I101" t="str">
        <f>'1'!AI101</f>
        <v>en_US</v>
      </c>
      <c r="L101" t="str">
        <f>'1'!AD101</f>
        <v>0096</v>
      </c>
      <c r="M101" t="str">
        <f>'1'!AJ101</f>
        <v>USD</v>
      </c>
      <c r="O101" s="39" t="str">
        <f>'1'!AL101</f>
        <v>Y</v>
      </c>
      <c r="P101" t="str">
        <f>'1'!AD101</f>
        <v>0096</v>
      </c>
      <c r="Q101">
        <f>'1'!AE101</f>
        <v>850</v>
      </c>
      <c r="W101" t="str">
        <f>'1'!AA101</f>
        <v>S10</v>
      </c>
      <c r="X101" t="str">
        <f>'1'!AG101</f>
        <v>General</v>
      </c>
      <c r="Z101">
        <f>'1'!AE101</f>
        <v>850</v>
      </c>
      <c r="AB101" t="str">
        <f>'1'!AM101</f>
        <v/>
      </c>
      <c r="AC101" t="str">
        <f>'1'!AK101</f>
        <v/>
      </c>
      <c r="AP101" t="str">
        <f>'1'!AD101</f>
        <v>0096</v>
      </c>
      <c r="BG101" t="str">
        <f>'1'!AC101</f>
        <v>211998</v>
      </c>
      <c r="BK101" s="39" t="s">
        <v>5381</v>
      </c>
      <c r="BL101" s="39" t="s">
        <v>5381</v>
      </c>
      <c r="BU101" s="39" t="s">
        <v>5381</v>
      </c>
      <c r="BV101" s="39" t="s">
        <v>5381</v>
      </c>
      <c r="CE101" s="39" t="s">
        <v>5381</v>
      </c>
      <c r="CH101" s="39" t="s">
        <v>5381</v>
      </c>
    </row>
    <row r="102" spans="1:86">
      <c r="A102" s="62" t="s">
        <v>5380</v>
      </c>
      <c r="B102" t="str">
        <f>'1'!B102</f>
        <v>Abdellatef</v>
      </c>
      <c r="C102" t="str">
        <f>'1'!C102</f>
        <v>M</v>
      </c>
      <c r="D102" t="str">
        <f>'1'!D102</f>
        <v>Mahmoud</v>
      </c>
      <c r="E102" t="str">
        <f>'1'!P102</f>
        <v>210316</v>
      </c>
      <c r="F102" t="str">
        <f>'1'!I102&amp;".new.uat"</f>
        <v>.new.uat</v>
      </c>
      <c r="G102" s="39" t="s">
        <v>5389</v>
      </c>
      <c r="H102" t="str">
        <f>'1'!I102</f>
        <v/>
      </c>
      <c r="I102" t="str">
        <f>'1'!AI102</f>
        <v>en_US</v>
      </c>
      <c r="L102" t="str">
        <f>'1'!AD102</f>
        <v>0088</v>
      </c>
      <c r="M102" t="str">
        <f>'1'!AJ102</f>
        <v>USD</v>
      </c>
      <c r="O102" s="39" t="str">
        <f>'1'!AL102</f>
        <v>Y</v>
      </c>
      <c r="P102" t="str">
        <f>'1'!AD102</f>
        <v>0088</v>
      </c>
      <c r="Q102">
        <f>'1'!AE102</f>
        <v>5100</v>
      </c>
      <c r="W102" t="str">
        <f>'1'!AA102</f>
        <v>S05</v>
      </c>
      <c r="X102" t="str">
        <f>'1'!AG102</f>
        <v>General</v>
      </c>
      <c r="Z102">
        <f>'1'!AE102</f>
        <v>5100</v>
      </c>
      <c r="AB102" t="str">
        <f>'1'!AM102</f>
        <v/>
      </c>
      <c r="AC102" t="str">
        <f>'1'!AK102</f>
        <v/>
      </c>
      <c r="AP102" t="str">
        <f>'1'!AD102</f>
        <v>0088</v>
      </c>
      <c r="BG102" t="str">
        <f>'1'!AC102</f>
        <v>211756</v>
      </c>
      <c r="BK102" s="39" t="s">
        <v>5381</v>
      </c>
      <c r="BL102" s="39" t="s">
        <v>5381</v>
      </c>
      <c r="BU102" s="39" t="s">
        <v>5381</v>
      </c>
      <c r="BV102" s="39" t="s">
        <v>5381</v>
      </c>
      <c r="CE102" s="39" t="s">
        <v>5381</v>
      </c>
      <c r="CH102" s="39" t="s">
        <v>5381</v>
      </c>
    </row>
    <row r="103" spans="1:86">
      <c r="A103" s="62" t="s">
        <v>5380</v>
      </c>
      <c r="B103" t="str">
        <f>'1'!B103</f>
        <v>Jason</v>
      </c>
      <c r="C103" t="str">
        <f>'1'!C103</f>
        <v/>
      </c>
      <c r="D103" t="str">
        <f>'1'!D103</f>
        <v>Majewski</v>
      </c>
      <c r="E103" t="str">
        <f>'1'!P103</f>
        <v>006809</v>
      </c>
      <c r="F103" t="str">
        <f>'1'!I103&amp;".new.uat"</f>
        <v>JMajewski@onebarnes.com.new.uat</v>
      </c>
      <c r="G103" s="39" t="s">
        <v>5389</v>
      </c>
      <c r="H103" t="str">
        <f>'1'!I103</f>
        <v>JMajewski@onebarnes.com</v>
      </c>
      <c r="I103" t="str">
        <f>'1'!AI103</f>
        <v>en_US</v>
      </c>
      <c r="L103" t="str">
        <f>'1'!AD103</f>
        <v>0088</v>
      </c>
      <c r="M103" t="str">
        <f>'1'!AJ103</f>
        <v>USD</v>
      </c>
      <c r="O103" s="39" t="str">
        <f>'1'!AL103</f>
        <v>Y</v>
      </c>
      <c r="P103" t="str">
        <f>'1'!AD103</f>
        <v>0088</v>
      </c>
      <c r="Q103">
        <f>'1'!AE103</f>
        <v>9400</v>
      </c>
      <c r="W103" t="str">
        <f>'1'!AA103</f>
        <v>S17</v>
      </c>
      <c r="X103" t="str">
        <f>'1'!AG103</f>
        <v>General</v>
      </c>
      <c r="Z103">
        <f>'1'!AE103</f>
        <v>9400</v>
      </c>
      <c r="AB103" t="str">
        <f>'1'!AM103</f>
        <v/>
      </c>
      <c r="AC103" t="str">
        <f>'1'!AK103</f>
        <v/>
      </c>
      <c r="AP103" t="str">
        <f>'1'!AD103</f>
        <v>0088</v>
      </c>
      <c r="BG103" t="str">
        <f>'1'!AC103</f>
        <v>212699</v>
      </c>
      <c r="BK103" s="39" t="s">
        <v>5381</v>
      </c>
      <c r="BL103" s="39" t="s">
        <v>5381</v>
      </c>
      <c r="BU103" s="39" t="s">
        <v>5381</v>
      </c>
      <c r="BV103" s="39" t="s">
        <v>5381</v>
      </c>
      <c r="CE103" s="39" t="s">
        <v>5381</v>
      </c>
      <c r="CH103" s="39" t="s">
        <v>5381</v>
      </c>
    </row>
    <row r="104" spans="1:86">
      <c r="A104" s="62" t="s">
        <v>5380</v>
      </c>
      <c r="B104" t="str">
        <f>'1'!B104</f>
        <v>Jason</v>
      </c>
      <c r="C104" t="str">
        <f>'1'!C104</f>
        <v/>
      </c>
      <c r="D104" t="str">
        <f>'1'!D104</f>
        <v>Majewski</v>
      </c>
      <c r="E104" t="str">
        <f>'1'!P104</f>
        <v>006809</v>
      </c>
      <c r="F104" t="str">
        <f>'1'!I104&amp;".new.uat"</f>
        <v>JMajewski@onebarnes.com.new.uat</v>
      </c>
      <c r="G104" s="39" t="s">
        <v>5389</v>
      </c>
      <c r="H104" t="str">
        <f>'1'!I104</f>
        <v>JMajewski@onebarnes.com</v>
      </c>
      <c r="I104" t="str">
        <f>'1'!AI104</f>
        <v>en_US</v>
      </c>
      <c r="L104" t="str">
        <f>'1'!AD104</f>
        <v>0096</v>
      </c>
      <c r="M104" t="str">
        <f>'1'!AJ104</f>
        <v>USD</v>
      </c>
      <c r="O104" s="39" t="str">
        <f>'1'!AL104</f>
        <v>N</v>
      </c>
      <c r="P104" t="str">
        <f>'1'!AD104</f>
        <v>0096</v>
      </c>
      <c r="Q104">
        <f>'1'!AE104</f>
        <v>555</v>
      </c>
      <c r="W104" t="str">
        <f>'1'!AA104</f>
        <v>S17</v>
      </c>
      <c r="X104" t="str">
        <f>'1'!AG104</f>
        <v>General</v>
      </c>
      <c r="Z104">
        <f>'1'!AE104</f>
        <v>555</v>
      </c>
      <c r="AB104" t="str">
        <f>'1'!AM104</f>
        <v>20260801</v>
      </c>
      <c r="AC104" t="str">
        <f>'1'!AK104</f>
        <v/>
      </c>
      <c r="AP104" t="str">
        <f>'1'!AD104</f>
        <v>0096</v>
      </c>
      <c r="BG104" t="str">
        <f>'1'!AC104</f>
        <v>213037</v>
      </c>
      <c r="BK104" s="39" t="s">
        <v>5381</v>
      </c>
      <c r="BL104" s="39" t="s">
        <v>5381</v>
      </c>
      <c r="BU104" s="39" t="s">
        <v>5381</v>
      </c>
      <c r="BV104" s="39" t="s">
        <v>5381</v>
      </c>
      <c r="CE104" s="39" t="s">
        <v>5381</v>
      </c>
      <c r="CH104" s="39" t="s">
        <v>5381</v>
      </c>
    </row>
    <row r="105" spans="1:86">
      <c r="A105" s="62" t="s">
        <v>5380</v>
      </c>
      <c r="B105" t="str">
        <f>'1'!B105</f>
        <v>Chris</v>
      </c>
      <c r="C105" t="str">
        <f>'1'!C105</f>
        <v>F</v>
      </c>
      <c r="D105" t="str">
        <f>'1'!D105</f>
        <v>Martin</v>
      </c>
      <c r="E105" t="str">
        <f>'1'!P105</f>
        <v>202609</v>
      </c>
      <c r="F105" t="str">
        <f>'1'!I105&amp;".new.uat"</f>
        <v>cmartin@onebarnes.com.new.uat</v>
      </c>
      <c r="G105" s="39" t="s">
        <v>5389</v>
      </c>
      <c r="H105" t="str">
        <f>'1'!I105</f>
        <v>cmartin@onebarnes.com</v>
      </c>
      <c r="I105" t="str">
        <f>'1'!AI105</f>
        <v>en_US</v>
      </c>
      <c r="L105" t="str">
        <f>'1'!AD105</f>
        <v>0096</v>
      </c>
      <c r="M105" t="str">
        <f>'1'!AJ105</f>
        <v>USD</v>
      </c>
      <c r="O105" s="39" t="str">
        <f>'1'!AL105</f>
        <v>Y</v>
      </c>
      <c r="P105" t="str">
        <f>'1'!AD105</f>
        <v>0096</v>
      </c>
      <c r="Q105">
        <f>'1'!AE105</f>
        <v>500</v>
      </c>
      <c r="W105" t="str">
        <f>'1'!AA105</f>
        <v>S15</v>
      </c>
      <c r="X105" t="str">
        <f>'1'!AG105</f>
        <v>General</v>
      </c>
      <c r="Z105">
        <f>'1'!AE105</f>
        <v>500</v>
      </c>
      <c r="AB105" t="str">
        <f>'1'!AM105</f>
        <v/>
      </c>
      <c r="AC105" t="str">
        <f>'1'!AK105</f>
        <v/>
      </c>
      <c r="AP105" t="str">
        <f>'1'!AD105</f>
        <v>0096</v>
      </c>
      <c r="BG105" t="str">
        <f>'1'!AC105</f>
        <v>210910</v>
      </c>
      <c r="BK105" s="39" t="s">
        <v>5381</v>
      </c>
      <c r="BL105" s="39" t="s">
        <v>5381</v>
      </c>
      <c r="BU105" s="39" t="s">
        <v>5381</v>
      </c>
      <c r="BV105" s="39" t="s">
        <v>5381</v>
      </c>
      <c r="CE105" s="39" t="s">
        <v>5381</v>
      </c>
      <c r="CH105" s="39" t="s">
        <v>5381</v>
      </c>
    </row>
    <row r="106" spans="1:86">
      <c r="A106" s="62" t="s">
        <v>5380</v>
      </c>
      <c r="B106" t="str">
        <f>'1'!B106</f>
        <v>Martin</v>
      </c>
      <c r="C106" t="str">
        <f>'1'!C106</f>
        <v/>
      </c>
      <c r="D106" t="str">
        <f>'1'!D106</f>
        <v>Martinez</v>
      </c>
      <c r="E106" t="str">
        <f>'1'!P106</f>
        <v>902563</v>
      </c>
      <c r="F106" t="str">
        <f>'1'!I106&amp;".new.uat"</f>
        <v>martinezmartin161@gmail.com.new.uat</v>
      </c>
      <c r="G106" s="39" t="s">
        <v>5389</v>
      </c>
      <c r="H106" t="str">
        <f>'1'!I106</f>
        <v>martinezmartin161@gmail.com</v>
      </c>
      <c r="I106" t="str">
        <f>'1'!AI106</f>
        <v>en_US</v>
      </c>
      <c r="L106" t="str">
        <f>'1'!AD106</f>
        <v>0088</v>
      </c>
      <c r="M106" t="str">
        <f>'1'!AJ106</f>
        <v>USD</v>
      </c>
      <c r="O106" s="39" t="str">
        <f>'1'!AL106</f>
        <v>Y</v>
      </c>
      <c r="P106" t="str">
        <f>'1'!AD106</f>
        <v>0088</v>
      </c>
      <c r="Q106">
        <f>'1'!AE106</f>
        <v>5100</v>
      </c>
      <c r="W106" t="str">
        <f>'1'!AA106</f>
        <v>S05</v>
      </c>
      <c r="X106" t="str">
        <f>'1'!AG106</f>
        <v>General</v>
      </c>
      <c r="Z106">
        <f>'1'!AE106</f>
        <v>5100</v>
      </c>
      <c r="AB106" t="str">
        <f>'1'!AM106</f>
        <v/>
      </c>
      <c r="AC106" t="str">
        <f>'1'!AK106</f>
        <v/>
      </c>
      <c r="AP106" t="str">
        <f>'1'!AD106</f>
        <v>0088</v>
      </c>
      <c r="BG106" t="str">
        <f>'1'!AC106</f>
        <v>211756</v>
      </c>
      <c r="BK106" s="39" t="s">
        <v>5381</v>
      </c>
      <c r="BL106" s="39" t="s">
        <v>5381</v>
      </c>
      <c r="BU106" s="39" t="s">
        <v>5381</v>
      </c>
      <c r="BV106" s="39" t="s">
        <v>5381</v>
      </c>
      <c r="CE106" s="39" t="s">
        <v>5381</v>
      </c>
      <c r="CH106" s="39" t="s">
        <v>5381</v>
      </c>
    </row>
    <row r="107" spans="1:86">
      <c r="A107" s="62" t="s">
        <v>5380</v>
      </c>
      <c r="B107" t="str">
        <f>'1'!B107</f>
        <v>Bradley</v>
      </c>
      <c r="C107" t="str">
        <f>'1'!C107</f>
        <v/>
      </c>
      <c r="D107" t="str">
        <f>'1'!D107</f>
        <v>Masters</v>
      </c>
      <c r="E107" t="str">
        <f>'1'!P107</f>
        <v>902437</v>
      </c>
      <c r="F107" t="str">
        <f>'1'!I107&amp;".new.uat"</f>
        <v>bmasters@onebarnes.com.new.uat</v>
      </c>
      <c r="G107" s="39" t="s">
        <v>5389</v>
      </c>
      <c r="H107" t="str">
        <f>'1'!I107</f>
        <v>bmasters@onebarnes.com</v>
      </c>
      <c r="I107" t="str">
        <f>'1'!AI107</f>
        <v>en_US</v>
      </c>
      <c r="L107" t="str">
        <f>'1'!AD107</f>
        <v>0088</v>
      </c>
      <c r="M107" t="str">
        <f>'1'!AJ107</f>
        <v>USD</v>
      </c>
      <c r="O107" s="39" t="str">
        <f>'1'!AL107</f>
        <v>Y</v>
      </c>
      <c r="P107" t="str">
        <f>'1'!AD107</f>
        <v>0088</v>
      </c>
      <c r="Q107">
        <f>'1'!AE107</f>
        <v>8200</v>
      </c>
      <c r="W107" t="str">
        <f>'1'!AA107</f>
        <v>S16</v>
      </c>
      <c r="X107" t="str">
        <f>'1'!AG107</f>
        <v>General</v>
      </c>
      <c r="Z107">
        <f>'1'!AE107</f>
        <v>8200</v>
      </c>
      <c r="AB107" t="str">
        <f>'1'!AM107</f>
        <v/>
      </c>
      <c r="AC107" t="str">
        <f>'1'!AK107</f>
        <v>Brad Masters</v>
      </c>
      <c r="AP107" t="str">
        <f>'1'!AD107</f>
        <v>0088</v>
      </c>
      <c r="BG107" t="str">
        <f>'1'!AC107</f>
        <v>207588</v>
      </c>
      <c r="BK107" s="39" t="s">
        <v>5381</v>
      </c>
      <c r="BL107" s="39" t="s">
        <v>5381</v>
      </c>
      <c r="BU107" s="39" t="s">
        <v>5381</v>
      </c>
      <c r="BV107" s="39" t="s">
        <v>5381</v>
      </c>
      <c r="CE107" s="39" t="s">
        <v>5381</v>
      </c>
      <c r="CH107" s="39" t="s">
        <v>5381</v>
      </c>
    </row>
    <row r="108" spans="1:86">
      <c r="A108" s="62" t="s">
        <v>5380</v>
      </c>
      <c r="B108" t="str">
        <f>'1'!B108</f>
        <v>Craig</v>
      </c>
      <c r="C108" t="str">
        <f>'1'!C108</f>
        <v/>
      </c>
      <c r="D108" t="str">
        <f>'1'!D108</f>
        <v>Mata</v>
      </c>
      <c r="E108" t="str">
        <f>'1'!P108</f>
        <v>201343</v>
      </c>
      <c r="F108" t="str">
        <f>'1'!I108&amp;".new.uat"</f>
        <v>cmata@onebarnes.com.new.uat</v>
      </c>
      <c r="G108" s="39" t="s">
        <v>5389</v>
      </c>
      <c r="H108" t="str">
        <f>'1'!I108</f>
        <v>cmata@onebarnes.com</v>
      </c>
      <c r="I108" t="str">
        <f>'1'!AI108</f>
        <v>en_US</v>
      </c>
      <c r="L108" t="str">
        <f>'1'!AD108</f>
        <v>0088</v>
      </c>
      <c r="M108" t="str">
        <f>'1'!AJ108</f>
        <v>USD</v>
      </c>
      <c r="O108" s="39" t="str">
        <f>'1'!AL108</f>
        <v>Y</v>
      </c>
      <c r="P108" t="str">
        <f>'1'!AD108</f>
        <v>0088</v>
      </c>
      <c r="Q108">
        <f>'1'!AE108</f>
        <v>5200</v>
      </c>
      <c r="W108" t="str">
        <f>'1'!AA108</f>
        <v>S05</v>
      </c>
      <c r="X108" t="str">
        <f>'1'!AG108</f>
        <v>General</v>
      </c>
      <c r="Z108">
        <f>'1'!AE108</f>
        <v>5200</v>
      </c>
      <c r="AB108" t="str">
        <f>'1'!AM108</f>
        <v/>
      </c>
      <c r="AC108" t="str">
        <f>'1'!AK108</f>
        <v/>
      </c>
      <c r="AP108" t="str">
        <f>'1'!AD108</f>
        <v>0088</v>
      </c>
      <c r="BG108" t="str">
        <f>'1'!AC108</f>
        <v>211736</v>
      </c>
      <c r="BK108" s="39" t="s">
        <v>5381</v>
      </c>
      <c r="BL108" s="39" t="s">
        <v>5381</v>
      </c>
      <c r="BU108" s="39" t="s">
        <v>5381</v>
      </c>
      <c r="BV108" s="39" t="s">
        <v>5381</v>
      </c>
      <c r="CE108" s="39" t="s">
        <v>5381</v>
      </c>
      <c r="CH108" s="39" t="s">
        <v>5381</v>
      </c>
    </row>
    <row r="109" spans="1:86">
      <c r="A109" s="62" t="s">
        <v>5380</v>
      </c>
      <c r="B109" t="str">
        <f>'1'!B109</f>
        <v>Scott</v>
      </c>
      <c r="C109" t="str">
        <f>'1'!C109</f>
        <v>T</v>
      </c>
      <c r="D109" t="str">
        <f>'1'!D109</f>
        <v>Mazzei</v>
      </c>
      <c r="E109" t="str">
        <f>'1'!P109</f>
        <v>662995</v>
      </c>
      <c r="F109" t="str">
        <f>'1'!I109&amp;".new.uat"</f>
        <v>SMazzei@onebarnes.com.new.uat</v>
      </c>
      <c r="G109" s="39" t="s">
        <v>5389</v>
      </c>
      <c r="H109" t="str">
        <f>'1'!I109</f>
        <v>SMazzei@onebarnes.com</v>
      </c>
      <c r="I109" t="str">
        <f>'1'!AI109</f>
        <v>en_US</v>
      </c>
      <c r="L109" t="str">
        <f>'1'!AD109</f>
        <v>0088</v>
      </c>
      <c r="M109" t="str">
        <f>'1'!AJ109</f>
        <v>USD</v>
      </c>
      <c r="O109" s="39" t="str">
        <f>'1'!AL109</f>
        <v>Y</v>
      </c>
      <c r="P109" t="str">
        <f>'1'!AD109</f>
        <v>0088</v>
      </c>
      <c r="Q109">
        <f>'1'!AE109</f>
        <v>5100</v>
      </c>
      <c r="W109" t="str">
        <f>'1'!AA109</f>
        <v>S08</v>
      </c>
      <c r="X109" t="str">
        <f>'1'!AG109</f>
        <v>General</v>
      </c>
      <c r="Z109">
        <f>'1'!AE109</f>
        <v>5100</v>
      </c>
      <c r="AB109" t="str">
        <f>'1'!AM109</f>
        <v/>
      </c>
      <c r="AC109" t="str">
        <f>'1'!AK109</f>
        <v/>
      </c>
      <c r="AP109" t="str">
        <f>'1'!AD109</f>
        <v>0088</v>
      </c>
      <c r="BG109" t="str">
        <f>'1'!AC109</f>
        <v>211756</v>
      </c>
      <c r="BK109" s="39" t="s">
        <v>5381</v>
      </c>
      <c r="BL109" s="39" t="s">
        <v>5381</v>
      </c>
      <c r="BU109" s="39" t="s">
        <v>5381</v>
      </c>
      <c r="BV109" s="39" t="s">
        <v>5381</v>
      </c>
      <c r="CE109" s="39" t="s">
        <v>5381</v>
      </c>
      <c r="CH109" s="39" t="s">
        <v>5381</v>
      </c>
    </row>
    <row r="110" spans="1:86">
      <c r="A110" s="62" t="s">
        <v>5380</v>
      </c>
      <c r="B110" t="str">
        <f>'1'!B110</f>
        <v>James</v>
      </c>
      <c r="C110" t="str">
        <f>'1'!C110</f>
        <v/>
      </c>
      <c r="D110" t="str">
        <f>'1'!D110</f>
        <v>McConnell</v>
      </c>
      <c r="E110" t="str">
        <f>'1'!P110</f>
        <v>006811</v>
      </c>
      <c r="F110" t="str">
        <f>'1'!I110&amp;".new.uat"</f>
        <v>.new.uat</v>
      </c>
      <c r="G110" s="39" t="s">
        <v>5389</v>
      </c>
      <c r="H110" t="str">
        <f>'1'!I110</f>
        <v/>
      </c>
      <c r="I110" t="str">
        <f>'1'!AI110</f>
        <v>en_US</v>
      </c>
      <c r="L110" t="str">
        <f>'1'!AD110</f>
        <v>0096</v>
      </c>
      <c r="M110" t="str">
        <f>'1'!AJ110</f>
        <v>USD</v>
      </c>
      <c r="O110" s="39" t="str">
        <f>'1'!AL110</f>
        <v>Y</v>
      </c>
      <c r="P110" t="str">
        <f>'1'!AD110</f>
        <v>0096</v>
      </c>
      <c r="Q110">
        <f>'1'!AE110</f>
        <v>350</v>
      </c>
      <c r="W110" t="str">
        <f>'1'!AA110</f>
        <v>H07</v>
      </c>
      <c r="X110" t="str">
        <f>'1'!AG110</f>
        <v>General</v>
      </c>
      <c r="Z110">
        <f>'1'!AE110</f>
        <v>350</v>
      </c>
      <c r="AB110" t="str">
        <f>'1'!AM110</f>
        <v/>
      </c>
      <c r="AC110" t="str">
        <f>'1'!AK110</f>
        <v/>
      </c>
      <c r="AP110" t="str">
        <f>'1'!AD110</f>
        <v>0096</v>
      </c>
      <c r="BG110" t="str">
        <f>'1'!AC110</f>
        <v>211062</v>
      </c>
      <c r="BK110" s="39" t="s">
        <v>5381</v>
      </c>
      <c r="BL110" s="39" t="s">
        <v>5381</v>
      </c>
      <c r="BU110" s="39" t="s">
        <v>5381</v>
      </c>
      <c r="BV110" s="39" t="s">
        <v>5381</v>
      </c>
      <c r="CE110" s="39" t="s">
        <v>5381</v>
      </c>
      <c r="CH110" s="39" t="s">
        <v>5381</v>
      </c>
    </row>
    <row r="111" spans="1:86">
      <c r="A111" s="62" t="s">
        <v>5380</v>
      </c>
      <c r="B111" t="str">
        <f>'1'!B111</f>
        <v>Joel</v>
      </c>
      <c r="C111" t="str">
        <f>'1'!C111</f>
        <v>E</v>
      </c>
      <c r="D111" t="str">
        <f>'1'!D111</f>
        <v>McCoy</v>
      </c>
      <c r="E111" t="str">
        <f>'1'!P111</f>
        <v>901213</v>
      </c>
      <c r="F111" t="str">
        <f>'1'!I111&amp;".new.uat"</f>
        <v>jmccoy@onebarnes.com.new.uat</v>
      </c>
      <c r="G111" s="39" t="s">
        <v>5389</v>
      </c>
      <c r="H111" t="str">
        <f>'1'!I111</f>
        <v>jmccoy@onebarnes.com</v>
      </c>
      <c r="I111" t="str">
        <f>'1'!AI111</f>
        <v>en_US</v>
      </c>
      <c r="L111" t="str">
        <f>'1'!AD111</f>
        <v>0088</v>
      </c>
      <c r="M111" t="str">
        <f>'1'!AJ111</f>
        <v>USD</v>
      </c>
      <c r="O111" s="39" t="str">
        <f>'1'!AL111</f>
        <v>Y</v>
      </c>
      <c r="P111" t="str">
        <f>'1'!AD111</f>
        <v>0088</v>
      </c>
      <c r="Q111">
        <f>'1'!AE111</f>
        <v>9450</v>
      </c>
      <c r="W111" t="str">
        <f>'1'!AA111</f>
        <v>S15</v>
      </c>
      <c r="X111" t="str">
        <f>'1'!AG111</f>
        <v>General</v>
      </c>
      <c r="Z111">
        <f>'1'!AE111</f>
        <v>9450</v>
      </c>
      <c r="AB111" t="str">
        <f>'1'!AM111</f>
        <v/>
      </c>
      <c r="AC111" t="str">
        <f>'1'!AK111</f>
        <v/>
      </c>
      <c r="AP111" t="str">
        <f>'1'!AD111</f>
        <v>0088</v>
      </c>
      <c r="BG111" t="str">
        <f>'1'!AC111</f>
        <v>211766</v>
      </c>
      <c r="BK111" s="39" t="s">
        <v>5381</v>
      </c>
      <c r="BL111" s="39" t="s">
        <v>5381</v>
      </c>
      <c r="BU111" s="39" t="s">
        <v>5381</v>
      </c>
      <c r="BV111" s="39" t="s">
        <v>5381</v>
      </c>
      <c r="CE111" s="39" t="s">
        <v>5381</v>
      </c>
      <c r="CH111" s="39" t="s">
        <v>5381</v>
      </c>
    </row>
    <row r="112" spans="1:86">
      <c r="A112" s="62" t="s">
        <v>5380</v>
      </c>
      <c r="B112" t="str">
        <f>'1'!B112</f>
        <v>Charles</v>
      </c>
      <c r="C112" t="str">
        <f>'1'!C112</f>
        <v/>
      </c>
      <c r="D112" t="str">
        <f>'1'!D112</f>
        <v>McDavid</v>
      </c>
      <c r="E112" t="str">
        <f>'1'!P112</f>
        <v>213332</v>
      </c>
      <c r="F112" t="str">
        <f>'1'!I112&amp;".new.uat"</f>
        <v>.new.uat</v>
      </c>
      <c r="G112" s="39" t="s">
        <v>5389</v>
      </c>
      <c r="H112" t="str">
        <f>'1'!I112</f>
        <v/>
      </c>
      <c r="I112" t="str">
        <f>'1'!AI112</f>
        <v>en_US</v>
      </c>
      <c r="L112" t="str">
        <f>'1'!AD112</f>
        <v>0096</v>
      </c>
      <c r="M112" t="str">
        <f>'1'!AJ112</f>
        <v>USD</v>
      </c>
      <c r="O112" s="39" t="str">
        <f>'1'!AL112</f>
        <v>Y</v>
      </c>
      <c r="P112" t="str">
        <f>'1'!AD112</f>
        <v>0096</v>
      </c>
      <c r="Q112">
        <f>'1'!AE112</f>
        <v>100</v>
      </c>
      <c r="W112" t="str">
        <f>'1'!AA112</f>
        <v>H07</v>
      </c>
      <c r="X112" t="str">
        <f>'1'!AG112</f>
        <v>General</v>
      </c>
      <c r="Z112">
        <f>'1'!AE112</f>
        <v>100</v>
      </c>
      <c r="AB112" t="str">
        <f>'1'!AM112</f>
        <v/>
      </c>
      <c r="AC112" t="str">
        <f>'1'!AK112</f>
        <v/>
      </c>
      <c r="AP112" t="str">
        <f>'1'!AD112</f>
        <v>0096</v>
      </c>
      <c r="BG112" t="str">
        <f>'1'!AC112</f>
        <v>211062</v>
      </c>
      <c r="BK112" s="39" t="s">
        <v>5381</v>
      </c>
      <c r="BL112" s="39" t="s">
        <v>5381</v>
      </c>
      <c r="BU112" s="39" t="s">
        <v>5381</v>
      </c>
      <c r="BV112" s="39" t="s">
        <v>5381</v>
      </c>
      <c r="CE112" s="39" t="s">
        <v>5381</v>
      </c>
      <c r="CH112" s="39" t="s">
        <v>5381</v>
      </c>
    </row>
    <row r="113" spans="1:86">
      <c r="A113" s="62" t="s">
        <v>5380</v>
      </c>
      <c r="B113" t="str">
        <f>'1'!B113</f>
        <v>Amy</v>
      </c>
      <c r="C113" t="str">
        <f>'1'!C113</f>
        <v>C</v>
      </c>
      <c r="D113" t="str">
        <f>'1'!D113</f>
        <v>McGuire</v>
      </c>
      <c r="E113" t="str">
        <f>'1'!P113</f>
        <v>007861</v>
      </c>
      <c r="F113" t="str">
        <f>'1'!I113&amp;".new.uat"</f>
        <v>AMcGuire@onebarnes.com.new.uat</v>
      </c>
      <c r="G113" s="39" t="s">
        <v>5389</v>
      </c>
      <c r="H113" t="str">
        <f>'1'!I113</f>
        <v>AMcGuire@onebarnes.com</v>
      </c>
      <c r="I113" t="str">
        <f>'1'!AI113</f>
        <v>en_US</v>
      </c>
      <c r="L113" t="str">
        <f>'1'!AD113</f>
        <v>0096</v>
      </c>
      <c r="M113" t="str">
        <f>'1'!AJ113</f>
        <v>USD</v>
      </c>
      <c r="O113" s="39" t="str">
        <f>'1'!AL113</f>
        <v>Y</v>
      </c>
      <c r="P113" t="str">
        <f>'1'!AD113</f>
        <v>0096</v>
      </c>
      <c r="Q113">
        <f>'1'!AE113</f>
        <v>910</v>
      </c>
      <c r="W113" t="str">
        <f>'1'!AA113</f>
        <v>S13</v>
      </c>
      <c r="X113" t="str">
        <f>'1'!AG113</f>
        <v>General</v>
      </c>
      <c r="Z113">
        <f>'1'!AE113</f>
        <v>910</v>
      </c>
      <c r="AB113" t="str">
        <f>'1'!AM113</f>
        <v/>
      </c>
      <c r="AC113" t="str">
        <f>'1'!AK113</f>
        <v/>
      </c>
      <c r="AP113" t="str">
        <f>'1'!AD113</f>
        <v>0096</v>
      </c>
      <c r="BG113" t="str">
        <f>'1'!AC113</f>
        <v>008750</v>
      </c>
      <c r="BK113" s="39" t="s">
        <v>5381</v>
      </c>
      <c r="BL113" s="39" t="s">
        <v>5381</v>
      </c>
      <c r="BU113" s="39" t="s">
        <v>5381</v>
      </c>
      <c r="BV113" s="39" t="s">
        <v>5381</v>
      </c>
      <c r="CE113" s="39" t="s">
        <v>5381</v>
      </c>
      <c r="CH113" s="39" t="s">
        <v>5381</v>
      </c>
    </row>
    <row r="114" spans="1:86">
      <c r="A114" s="62" t="s">
        <v>5380</v>
      </c>
      <c r="B114" t="str">
        <f>'1'!B114</f>
        <v>Jermey</v>
      </c>
      <c r="C114" t="str">
        <f>'1'!C114</f>
        <v/>
      </c>
      <c r="D114" t="str">
        <f>'1'!D114</f>
        <v>McKinney</v>
      </c>
      <c r="E114" t="str">
        <f>'1'!P114</f>
        <v/>
      </c>
      <c r="F114" t="str">
        <f>'1'!I114&amp;".new.uat"</f>
        <v>.new.uat</v>
      </c>
      <c r="G114" s="39" t="s">
        <v>5389</v>
      </c>
      <c r="H114" t="str">
        <f>'1'!I114</f>
        <v/>
      </c>
      <c r="I114" t="str">
        <f>'1'!AI114</f>
        <v>en_US</v>
      </c>
      <c r="L114" t="str">
        <f>'1'!AD114</f>
        <v>0096</v>
      </c>
      <c r="M114" t="str">
        <f>'1'!AJ114</f>
        <v>USD</v>
      </c>
      <c r="O114" s="39" t="str">
        <f>'1'!AL114</f>
        <v>N</v>
      </c>
      <c r="P114" t="str">
        <f>'1'!AD114</f>
        <v>0096</v>
      </c>
      <c r="Q114">
        <f>'1'!AE114</f>
        <v>200</v>
      </c>
      <c r="W114" t="str">
        <f>'1'!AA114</f>
        <v>H05</v>
      </c>
      <c r="X114" t="str">
        <f>'1'!AG114</f>
        <v>General</v>
      </c>
      <c r="Z114">
        <f>'1'!AE114</f>
        <v>200</v>
      </c>
      <c r="AB114" t="str">
        <f>'1'!AM114</f>
        <v>20260731</v>
      </c>
      <c r="AC114" t="str">
        <f>'1'!AK114</f>
        <v/>
      </c>
      <c r="AP114" t="str">
        <f>'1'!AD114</f>
        <v>0096</v>
      </c>
      <c r="BG114" t="str">
        <f>'1'!AC114</f>
        <v>211998</v>
      </c>
      <c r="BK114" s="39" t="s">
        <v>5381</v>
      </c>
      <c r="BL114" s="39" t="s">
        <v>5381</v>
      </c>
      <c r="BU114" s="39" t="s">
        <v>5381</v>
      </c>
      <c r="BV114" s="39" t="s">
        <v>5381</v>
      </c>
      <c r="CE114" s="39" t="s">
        <v>5381</v>
      </c>
      <c r="CH114" s="39" t="s">
        <v>5381</v>
      </c>
    </row>
    <row r="115" spans="1:86">
      <c r="A115" s="62" t="s">
        <v>5380</v>
      </c>
      <c r="B115" t="str">
        <f>'1'!B115</f>
        <v>Mitchell</v>
      </c>
      <c r="C115" t="str">
        <f>'1'!C115</f>
        <v>C</v>
      </c>
      <c r="D115" t="str">
        <f>'1'!D115</f>
        <v>McLaughlin</v>
      </c>
      <c r="E115" t="str">
        <f>'1'!P115</f>
        <v>211905</v>
      </c>
      <c r="F115" t="str">
        <f>'1'!I115&amp;".new.uat"</f>
        <v>.new.uat</v>
      </c>
      <c r="G115" s="39" t="s">
        <v>5389</v>
      </c>
      <c r="H115" t="str">
        <f>'1'!I115</f>
        <v/>
      </c>
      <c r="I115" t="str">
        <f>'1'!AI115</f>
        <v>en_US</v>
      </c>
      <c r="L115" t="str">
        <f>'1'!AD115</f>
        <v>0096</v>
      </c>
      <c r="M115" t="str">
        <f>'1'!AJ115</f>
        <v>USD</v>
      </c>
      <c r="O115" s="39" t="str">
        <f>'1'!AL115</f>
        <v>N</v>
      </c>
      <c r="P115" t="str">
        <f>'1'!AD115</f>
        <v>0096</v>
      </c>
      <c r="Q115">
        <f>'1'!AE115</f>
        <v>100</v>
      </c>
      <c r="W115" t="str">
        <f>'1'!AA115</f>
        <v>H04</v>
      </c>
      <c r="X115" t="str">
        <f>'1'!AG115</f>
        <v>General</v>
      </c>
      <c r="Z115">
        <f>'1'!AE115</f>
        <v>100</v>
      </c>
      <c r="AB115" t="str">
        <f>'1'!AM115</f>
        <v>20260724</v>
      </c>
      <c r="AC115" t="str">
        <f>'1'!AK115</f>
        <v/>
      </c>
      <c r="AP115" t="str">
        <f>'1'!AD115</f>
        <v>0096</v>
      </c>
      <c r="BG115" t="str">
        <f>'1'!AC115</f>
        <v>211062</v>
      </c>
      <c r="BK115" s="39" t="s">
        <v>5381</v>
      </c>
      <c r="BL115" s="39" t="s">
        <v>5381</v>
      </c>
      <c r="BU115" s="39" t="s">
        <v>5381</v>
      </c>
      <c r="BV115" s="39" t="s">
        <v>5381</v>
      </c>
      <c r="CE115" s="39" t="s">
        <v>5381</v>
      </c>
      <c r="CH115" s="39" t="s">
        <v>5381</v>
      </c>
    </row>
    <row r="116" spans="1:86">
      <c r="A116" s="62" t="s">
        <v>5380</v>
      </c>
      <c r="B116" t="str">
        <f>'1'!B116</f>
        <v>Shawnta</v>
      </c>
      <c r="C116" t="str">
        <f>'1'!C116</f>
        <v/>
      </c>
      <c r="D116" t="str">
        <f>'1'!D116</f>
        <v>Mcglory</v>
      </c>
      <c r="E116" t="str">
        <f>'1'!P116</f>
        <v>211456</v>
      </c>
      <c r="F116" t="str">
        <f>'1'!I116&amp;".new.uat"</f>
        <v>smcglory@onebarnes.com.new.uat</v>
      </c>
      <c r="G116" s="39" t="s">
        <v>5389</v>
      </c>
      <c r="H116" t="str">
        <f>'1'!I116</f>
        <v>smcglory@onebarnes.com</v>
      </c>
      <c r="I116" t="str">
        <f>'1'!AI116</f>
        <v>en_US</v>
      </c>
      <c r="L116" t="str">
        <f>'1'!AD116</f>
        <v>0088</v>
      </c>
      <c r="M116" t="str">
        <f>'1'!AJ116</f>
        <v>USD</v>
      </c>
      <c r="O116" s="39" t="str">
        <f>'1'!AL116</f>
        <v>Y</v>
      </c>
      <c r="P116" t="str">
        <f>'1'!AD116</f>
        <v>0088</v>
      </c>
      <c r="Q116">
        <f>'1'!AE116</f>
        <v>5100</v>
      </c>
      <c r="W116" t="str">
        <f>'1'!AA116</f>
        <v>S05</v>
      </c>
      <c r="X116" t="str">
        <f>'1'!AG116</f>
        <v>General</v>
      </c>
      <c r="Z116">
        <f>'1'!AE116</f>
        <v>5100</v>
      </c>
      <c r="AB116" t="str">
        <f>'1'!AM116</f>
        <v/>
      </c>
      <c r="AC116" t="str">
        <f>'1'!AK116</f>
        <v/>
      </c>
      <c r="AP116" t="str">
        <f>'1'!AD116</f>
        <v>0088</v>
      </c>
      <c r="BG116" t="str">
        <f>'1'!AC116</f>
        <v>211756</v>
      </c>
      <c r="BK116" s="39" t="s">
        <v>5381</v>
      </c>
      <c r="BL116" s="39" t="s">
        <v>5381</v>
      </c>
      <c r="BU116" s="39" t="s">
        <v>5381</v>
      </c>
      <c r="BV116" s="39" t="s">
        <v>5381</v>
      </c>
      <c r="CE116" s="39" t="s">
        <v>5381</v>
      </c>
      <c r="CH116" s="39" t="s">
        <v>5381</v>
      </c>
    </row>
    <row r="117" spans="1:86">
      <c r="A117" s="62" t="s">
        <v>5380</v>
      </c>
      <c r="B117" t="str">
        <f>'1'!B117</f>
        <v>Kyle</v>
      </c>
      <c r="C117" t="str">
        <f>'1'!C117</f>
        <v>J</v>
      </c>
      <c r="D117" t="str">
        <f>'1'!D117</f>
        <v>Mickens</v>
      </c>
      <c r="E117" t="str">
        <f>'1'!P117</f>
        <v>210134</v>
      </c>
      <c r="F117" t="str">
        <f>'1'!I117&amp;".new.uat"</f>
        <v>kmickens@onebarnes.com.new.uat</v>
      </c>
      <c r="G117" s="39" t="s">
        <v>5389</v>
      </c>
      <c r="H117" t="str">
        <f>'1'!I117</f>
        <v>kmickens@onebarnes.com</v>
      </c>
      <c r="I117" t="str">
        <f>'1'!AI117</f>
        <v>en_US</v>
      </c>
      <c r="L117" t="str">
        <f>'1'!AD117</f>
        <v>0088</v>
      </c>
      <c r="M117" t="str">
        <f>'1'!AJ117</f>
        <v>USD</v>
      </c>
      <c r="O117" s="39" t="str">
        <f>'1'!AL117</f>
        <v>N</v>
      </c>
      <c r="P117" t="str">
        <f>'1'!AD117</f>
        <v>0088</v>
      </c>
      <c r="Q117">
        <f>'1'!AE117</f>
        <v>5100</v>
      </c>
      <c r="W117" t="str">
        <f>'1'!AA117</f>
        <v>S05</v>
      </c>
      <c r="X117" t="str">
        <f>'1'!AG117</f>
        <v>General</v>
      </c>
      <c r="Z117">
        <f>'1'!AE117</f>
        <v>5100</v>
      </c>
      <c r="AB117" t="str">
        <f>'1'!AM117</f>
        <v>20260506</v>
      </c>
      <c r="AC117" t="str">
        <f>'1'!AK117</f>
        <v/>
      </c>
      <c r="AP117" t="str">
        <f>'1'!AD117</f>
        <v>0088</v>
      </c>
      <c r="BG117" t="str">
        <f>'1'!AC117</f>
        <v/>
      </c>
      <c r="BK117" s="39" t="s">
        <v>5381</v>
      </c>
      <c r="BL117" s="39" t="s">
        <v>5381</v>
      </c>
      <c r="BU117" s="39" t="s">
        <v>5381</v>
      </c>
      <c r="BV117" s="39" t="s">
        <v>5381</v>
      </c>
      <c r="CE117" s="39" t="s">
        <v>5381</v>
      </c>
      <c r="CH117" s="39" t="s">
        <v>5381</v>
      </c>
    </row>
    <row r="118" spans="1:86">
      <c r="A118" s="62" t="s">
        <v>5380</v>
      </c>
      <c r="B118" t="str">
        <f>'1'!B118</f>
        <v>Anthony</v>
      </c>
      <c r="C118" t="str">
        <f>'1'!C118</f>
        <v>J</v>
      </c>
      <c r="D118" t="str">
        <f>'1'!D118</f>
        <v>Moavero</v>
      </c>
      <c r="E118" t="str">
        <f>'1'!P118</f>
        <v>212052</v>
      </c>
      <c r="F118" t="str">
        <f>'1'!I118&amp;".new.uat"</f>
        <v>amoavero1@onebarnes.com.new.uat</v>
      </c>
      <c r="G118" s="39" t="s">
        <v>5389</v>
      </c>
      <c r="H118" t="str">
        <f>'1'!I118</f>
        <v>amoavero1@onebarnes.com</v>
      </c>
      <c r="I118" t="str">
        <f>'1'!AI118</f>
        <v>en_US</v>
      </c>
      <c r="L118" t="str">
        <f>'1'!AD118</f>
        <v>0096</v>
      </c>
      <c r="M118" t="str">
        <f>'1'!AJ118</f>
        <v>USD</v>
      </c>
      <c r="O118" s="39" t="str">
        <f>'1'!AL118</f>
        <v>N</v>
      </c>
      <c r="P118" t="str">
        <f>'1'!AD118</f>
        <v>0096</v>
      </c>
      <c r="Q118">
        <f>'1'!AE118</f>
        <v>900</v>
      </c>
      <c r="W118" t="str">
        <f>'1'!AA118</f>
        <v>H05</v>
      </c>
      <c r="X118" t="str">
        <f>'1'!AG118</f>
        <v>General</v>
      </c>
      <c r="Z118">
        <f>'1'!AE118</f>
        <v>900</v>
      </c>
      <c r="AB118" t="str">
        <f>'1'!AM118</f>
        <v>20260603</v>
      </c>
      <c r="AC118" t="str">
        <f>'1'!AK118</f>
        <v/>
      </c>
      <c r="AP118" t="str">
        <f>'1'!AD118</f>
        <v>0096</v>
      </c>
      <c r="BG118" t="str">
        <f>'1'!AC118</f>
        <v/>
      </c>
      <c r="BK118" s="39" t="s">
        <v>5381</v>
      </c>
      <c r="BL118" s="39" t="s">
        <v>5381</v>
      </c>
      <c r="BU118" s="39" t="s">
        <v>5381</v>
      </c>
      <c r="BV118" s="39" t="s">
        <v>5381</v>
      </c>
      <c r="CE118" s="39" t="s">
        <v>5381</v>
      </c>
      <c r="CH118" s="39" t="s">
        <v>5381</v>
      </c>
    </row>
    <row r="119" spans="1:86">
      <c r="A119" s="62" t="s">
        <v>5380</v>
      </c>
      <c r="B119" t="str">
        <f>'1'!B119</f>
        <v>Anthony</v>
      </c>
      <c r="C119" t="str">
        <f>'1'!C119</f>
        <v>J</v>
      </c>
      <c r="D119" t="str">
        <f>'1'!D119</f>
        <v>Moavero</v>
      </c>
      <c r="E119" t="str">
        <f>'1'!P119</f>
        <v>212052</v>
      </c>
      <c r="F119" t="str">
        <f>'1'!I119&amp;".new.uat"</f>
        <v>amoavero1@onebarnes.com.new.uat</v>
      </c>
      <c r="G119" s="39" t="s">
        <v>5389</v>
      </c>
      <c r="H119" t="str">
        <f>'1'!I119</f>
        <v>amoavero1@onebarnes.com</v>
      </c>
      <c r="I119" t="str">
        <f>'1'!AI119</f>
        <v>ADP and BU Language Code Not MappedUS</v>
      </c>
      <c r="L119" t="str">
        <f>'1'!AD119</f>
        <v>BU Description Not Mapped</v>
      </c>
      <c r="M119" t="str">
        <f>'1'!AJ119</f>
        <v>BU Currency Not Mapped</v>
      </c>
      <c r="O119" s="39" t="str">
        <f>'1'!AL119</f>
        <v>N</v>
      </c>
      <c r="P119" t="str">
        <f>'1'!AD119</f>
        <v>BU Description Not Mapped</v>
      </c>
      <c r="Q119" t="str">
        <f>'1'!AE119</f>
        <v>Home Department Code Not Mapped</v>
      </c>
      <c r="W119" t="str">
        <f>'1'!AA119</f>
        <v/>
      </c>
      <c r="X119" t="str">
        <f>'1'!AG119</f>
        <v>Salary Code Not Mapped</v>
      </c>
      <c r="Z119" t="str">
        <f>'1'!AE119</f>
        <v>Home Department Code Not Mapped</v>
      </c>
      <c r="AB119" t="str">
        <f>'1'!AM119</f>
        <v>20250809</v>
      </c>
      <c r="AC119" t="str">
        <f>'1'!AK119</f>
        <v/>
      </c>
      <c r="AP119" t="str">
        <f>'1'!AD119</f>
        <v>BU Description Not Mapped</v>
      </c>
      <c r="BG119" t="str">
        <f>'1'!AC119</f>
        <v/>
      </c>
      <c r="BK119" s="39" t="s">
        <v>5381</v>
      </c>
      <c r="BL119" s="39" t="s">
        <v>5381</v>
      </c>
      <c r="BU119" s="39" t="s">
        <v>5381</v>
      </c>
      <c r="BV119" s="39" t="s">
        <v>5381</v>
      </c>
      <c r="CE119" s="39" t="s">
        <v>5381</v>
      </c>
      <c r="CH119" s="39" t="s">
        <v>5381</v>
      </c>
    </row>
    <row r="120" spans="1:86">
      <c r="A120" s="62" t="s">
        <v>5380</v>
      </c>
      <c r="B120" t="str">
        <f>'1'!B120</f>
        <v>Anthony</v>
      </c>
      <c r="C120" t="str">
        <f>'1'!C120</f>
        <v>J</v>
      </c>
      <c r="D120" t="str">
        <f>'1'!D120</f>
        <v>Moavero</v>
      </c>
      <c r="E120" t="str">
        <f>'1'!P120</f>
        <v>212052</v>
      </c>
      <c r="F120" t="str">
        <f>'1'!I120&amp;".new.uat"</f>
        <v>amoavero1@onebarnes.com.new.uat</v>
      </c>
      <c r="G120" s="39" t="s">
        <v>5389</v>
      </c>
      <c r="H120" t="str">
        <f>'1'!I120</f>
        <v>amoavero1@onebarnes.com</v>
      </c>
      <c r="I120" t="str">
        <f>'1'!AI120</f>
        <v>en_US</v>
      </c>
      <c r="L120" t="str">
        <f>'1'!AD120</f>
        <v>0096</v>
      </c>
      <c r="M120" t="str">
        <f>'1'!AJ120</f>
        <v>USD</v>
      </c>
      <c r="O120" s="39" t="str">
        <f>'1'!AL120</f>
        <v>N</v>
      </c>
      <c r="P120" t="str">
        <f>'1'!AD120</f>
        <v>0096</v>
      </c>
      <c r="Q120">
        <f>'1'!AE120</f>
        <v>900</v>
      </c>
      <c r="W120" t="str">
        <f>'1'!AA120</f>
        <v>H05</v>
      </c>
      <c r="X120" t="str">
        <f>'1'!AG120</f>
        <v>General</v>
      </c>
      <c r="Z120">
        <f>'1'!AE120</f>
        <v>900</v>
      </c>
      <c r="AB120" t="str">
        <f>'1'!AM120</f>
        <v>20260814</v>
      </c>
      <c r="AC120" t="str">
        <f>'1'!AK120</f>
        <v/>
      </c>
      <c r="AP120" t="str">
        <f>'1'!AD120</f>
        <v>0096</v>
      </c>
      <c r="BG120" t="str">
        <f>'1'!AC120</f>
        <v>006769</v>
      </c>
      <c r="BK120" s="39" t="s">
        <v>5381</v>
      </c>
      <c r="BL120" s="39" t="s">
        <v>5381</v>
      </c>
      <c r="BU120" s="39" t="s">
        <v>5381</v>
      </c>
      <c r="BV120" s="39" t="s">
        <v>5381</v>
      </c>
      <c r="CE120" s="39" t="s">
        <v>5381</v>
      </c>
      <c r="CH120" s="39" t="s">
        <v>5381</v>
      </c>
    </row>
    <row r="121" spans="1:86">
      <c r="A121" s="62" t="s">
        <v>5380</v>
      </c>
      <c r="B121" t="str">
        <f>'1'!B121</f>
        <v>Anthony</v>
      </c>
      <c r="C121" t="str">
        <f>'1'!C121</f>
        <v>J</v>
      </c>
      <c r="D121" t="str">
        <f>'1'!D121</f>
        <v>Moavero</v>
      </c>
      <c r="E121" t="str">
        <f>'1'!P121</f>
        <v>212052</v>
      </c>
      <c r="F121" t="str">
        <f>'1'!I121&amp;".new.uat"</f>
        <v>amoavero1@onebarnes.com.new.uat</v>
      </c>
      <c r="G121" s="39" t="s">
        <v>5389</v>
      </c>
      <c r="H121" t="str">
        <f>'1'!I121</f>
        <v>amoavero1@onebarnes.com</v>
      </c>
      <c r="I121" t="str">
        <f>'1'!AI121</f>
        <v>en_US</v>
      </c>
      <c r="L121" t="str">
        <f>'1'!AD121</f>
        <v>0096</v>
      </c>
      <c r="M121" t="str">
        <f>'1'!AJ121</f>
        <v>USD</v>
      </c>
      <c r="O121" s="39" t="str">
        <f>'1'!AL121</f>
        <v>N</v>
      </c>
      <c r="P121" t="str">
        <f>'1'!AD121</f>
        <v>0096</v>
      </c>
      <c r="Q121">
        <f>'1'!AE121</f>
        <v>900</v>
      </c>
      <c r="W121" t="str">
        <f>'1'!AA121</f>
        <v>H05</v>
      </c>
      <c r="X121" t="str">
        <f>'1'!AG121</f>
        <v>General</v>
      </c>
      <c r="Z121">
        <f>'1'!AE121</f>
        <v>900</v>
      </c>
      <c r="AB121" t="str">
        <f>'1'!AM121</f>
        <v>20260603</v>
      </c>
      <c r="AC121" t="str">
        <f>'1'!AK121</f>
        <v/>
      </c>
      <c r="AP121" t="str">
        <f>'1'!AD121</f>
        <v>0096</v>
      </c>
      <c r="BG121" t="str">
        <f>'1'!AC121</f>
        <v/>
      </c>
      <c r="BK121" s="39" t="s">
        <v>5381</v>
      </c>
      <c r="BL121" s="39" t="s">
        <v>5381</v>
      </c>
      <c r="BU121" s="39" t="s">
        <v>5381</v>
      </c>
      <c r="BV121" s="39" t="s">
        <v>5381</v>
      </c>
      <c r="CE121" s="39" t="s">
        <v>5381</v>
      </c>
      <c r="CH121" s="39" t="s">
        <v>5381</v>
      </c>
    </row>
    <row r="122" spans="1:86">
      <c r="A122" s="62" t="s">
        <v>5380</v>
      </c>
      <c r="B122" t="str">
        <f>'1'!B122</f>
        <v>Michael</v>
      </c>
      <c r="C122" t="str">
        <f>'1'!C122</f>
        <v/>
      </c>
      <c r="D122" t="str">
        <f>'1'!D122</f>
        <v>Molnar</v>
      </c>
      <c r="E122" t="str">
        <f>'1'!P122</f>
        <v>209746</v>
      </c>
      <c r="F122" t="str">
        <f>'1'!I122&amp;".new.uat"</f>
        <v>Mmolnar@onebarnes.com.new.uat</v>
      </c>
      <c r="G122" s="39" t="s">
        <v>5389</v>
      </c>
      <c r="H122" t="str">
        <f>'1'!I122</f>
        <v>Mmolnar@onebarnes.com</v>
      </c>
      <c r="I122" t="str">
        <f>'1'!AI122</f>
        <v>en_US</v>
      </c>
      <c r="L122" t="str">
        <f>'1'!AD122</f>
        <v>0088</v>
      </c>
      <c r="M122" t="str">
        <f>'1'!AJ122</f>
        <v>USD</v>
      </c>
      <c r="O122" s="39" t="str">
        <f>'1'!AL122</f>
        <v>Y</v>
      </c>
      <c r="P122" t="str">
        <f>'1'!AD122</f>
        <v>0088</v>
      </c>
      <c r="Q122">
        <f>'1'!AE122</f>
        <v>8100</v>
      </c>
      <c r="W122" t="str">
        <f>'1'!AA122</f>
        <v>S11</v>
      </c>
      <c r="X122" t="str">
        <f>'1'!AG122</f>
        <v>General</v>
      </c>
      <c r="Z122">
        <f>'1'!AE122</f>
        <v>8100</v>
      </c>
      <c r="AB122" t="str">
        <f>'1'!AM122</f>
        <v/>
      </c>
      <c r="AC122" t="str">
        <f>'1'!AK122</f>
        <v/>
      </c>
      <c r="AP122" t="str">
        <f>'1'!AD122</f>
        <v>0088</v>
      </c>
      <c r="BG122" t="str">
        <f>'1'!AC122</f>
        <v>211131</v>
      </c>
      <c r="BK122" s="39" t="s">
        <v>5381</v>
      </c>
      <c r="BL122" s="39" t="s">
        <v>5381</v>
      </c>
      <c r="BU122" s="39" t="s">
        <v>5381</v>
      </c>
      <c r="BV122" s="39" t="s">
        <v>5381</v>
      </c>
      <c r="CE122" s="39" t="s">
        <v>5381</v>
      </c>
      <c r="CH122" s="39" t="s">
        <v>5381</v>
      </c>
    </row>
    <row r="123" spans="1:86">
      <c r="A123" s="62" t="s">
        <v>5380</v>
      </c>
      <c r="B123" t="str">
        <f>'1'!B123</f>
        <v>Michael</v>
      </c>
      <c r="C123" t="str">
        <f>'1'!C123</f>
        <v/>
      </c>
      <c r="D123" t="str">
        <f>'1'!D123</f>
        <v>Molnar</v>
      </c>
      <c r="E123" t="str">
        <f>'1'!P123</f>
        <v>209746</v>
      </c>
      <c r="F123" t="str">
        <f>'1'!I123&amp;".new.uat"</f>
        <v>Mmolnar@onebarnes.com.new.uat</v>
      </c>
      <c r="G123" s="39" t="s">
        <v>5389</v>
      </c>
      <c r="H123" t="str">
        <f>'1'!I123</f>
        <v>Mmolnar@onebarnes.com</v>
      </c>
      <c r="I123" t="str">
        <f>'1'!AI123</f>
        <v>en_US</v>
      </c>
      <c r="L123" t="str">
        <f>'1'!AD123</f>
        <v>0088</v>
      </c>
      <c r="M123" t="str">
        <f>'1'!AJ123</f>
        <v>USD</v>
      </c>
      <c r="O123" s="39" t="str">
        <f>'1'!AL123</f>
        <v>Y</v>
      </c>
      <c r="P123" t="str">
        <f>'1'!AD123</f>
        <v>0088</v>
      </c>
      <c r="Q123">
        <f>'1'!AE123</f>
        <v>8100</v>
      </c>
      <c r="W123" t="str">
        <f>'1'!AA123</f>
        <v>S11</v>
      </c>
      <c r="X123" t="str">
        <f>'1'!AG123</f>
        <v>General</v>
      </c>
      <c r="Z123">
        <f>'1'!AE123</f>
        <v>8100</v>
      </c>
      <c r="AB123" t="str">
        <f>'1'!AM123</f>
        <v/>
      </c>
      <c r="AC123" t="str">
        <f>'1'!AK123</f>
        <v/>
      </c>
      <c r="AP123" t="str">
        <f>'1'!AD123</f>
        <v>0088</v>
      </c>
      <c r="BG123" t="str">
        <f>'1'!AC123</f>
        <v>211131</v>
      </c>
      <c r="BK123" s="39" t="s">
        <v>5381</v>
      </c>
      <c r="BL123" s="39" t="s">
        <v>5381</v>
      </c>
      <c r="BU123" s="39" t="s">
        <v>5381</v>
      </c>
      <c r="BV123" s="39" t="s">
        <v>5381</v>
      </c>
      <c r="CE123" s="39" t="s">
        <v>5381</v>
      </c>
      <c r="CH123" s="39" t="s">
        <v>5381</v>
      </c>
    </row>
    <row r="124" spans="1:86">
      <c r="A124" s="62" t="s">
        <v>5380</v>
      </c>
      <c r="B124" t="str">
        <f>'1'!B124</f>
        <v>Michael</v>
      </c>
      <c r="C124" t="str">
        <f>'1'!C124</f>
        <v/>
      </c>
      <c r="D124" t="str">
        <f>'1'!D124</f>
        <v>Molnar</v>
      </c>
      <c r="E124" t="str">
        <f>'1'!P124</f>
        <v>209746</v>
      </c>
      <c r="F124" t="str">
        <f>'1'!I124&amp;".new.uat"</f>
        <v>Mmolnar@onebarnes.com.new.uat</v>
      </c>
      <c r="G124" s="39" t="s">
        <v>5389</v>
      </c>
      <c r="H124" t="str">
        <f>'1'!I124</f>
        <v>Mmolnar@onebarnes.com</v>
      </c>
      <c r="I124" t="str">
        <f>'1'!AI124</f>
        <v>en_US</v>
      </c>
      <c r="L124" t="str">
        <f>'1'!AD124</f>
        <v>0088</v>
      </c>
      <c r="M124" t="str">
        <f>'1'!AJ124</f>
        <v>USD</v>
      </c>
      <c r="O124" s="39" t="str">
        <f>'1'!AL124</f>
        <v>N</v>
      </c>
      <c r="P124" t="str">
        <f>'1'!AD124</f>
        <v>0088</v>
      </c>
      <c r="Q124">
        <f>'1'!AE124</f>
        <v>8100</v>
      </c>
      <c r="W124" t="str">
        <f>'1'!AA124</f>
        <v>S11</v>
      </c>
      <c r="X124" t="str">
        <f>'1'!AG124</f>
        <v>General</v>
      </c>
      <c r="Z124">
        <f>'1'!AE124</f>
        <v>8100</v>
      </c>
      <c r="AB124" t="str">
        <f>'1'!AM124</f>
        <v>20260602</v>
      </c>
      <c r="AC124" t="str">
        <f>'1'!AK124</f>
        <v/>
      </c>
      <c r="AP124" t="str">
        <f>'1'!AD124</f>
        <v>0088</v>
      </c>
      <c r="BG124" t="str">
        <f>'1'!AC124</f>
        <v/>
      </c>
      <c r="BK124" s="39" t="s">
        <v>5381</v>
      </c>
      <c r="BL124" s="39" t="s">
        <v>5381</v>
      </c>
      <c r="BU124" s="39" t="s">
        <v>5381</v>
      </c>
      <c r="BV124" s="39" t="s">
        <v>5381</v>
      </c>
      <c r="CE124" s="39" t="s">
        <v>5381</v>
      </c>
      <c r="CH124" s="39" t="s">
        <v>5381</v>
      </c>
    </row>
    <row r="125" spans="1:86">
      <c r="A125" s="62" t="s">
        <v>5380</v>
      </c>
      <c r="B125" t="str">
        <f>'1'!B125</f>
        <v>Candi</v>
      </c>
      <c r="C125" t="str">
        <f>'1'!C125</f>
        <v>M</v>
      </c>
      <c r="D125" t="str">
        <f>'1'!D125</f>
        <v>Morales</v>
      </c>
      <c r="E125" t="str">
        <f>'1'!P125</f>
        <v>007630</v>
      </c>
      <c r="F125" t="str">
        <f>'1'!I125&amp;".new.uat"</f>
        <v>cburris@onebarnes.com.new.uat</v>
      </c>
      <c r="G125" s="39" t="s">
        <v>5389</v>
      </c>
      <c r="H125" t="str">
        <f>'1'!I125</f>
        <v>cburris@onebarnes.com</v>
      </c>
      <c r="I125" t="str">
        <f>'1'!AI125</f>
        <v>en_US</v>
      </c>
      <c r="L125" t="str">
        <f>'1'!AD125</f>
        <v>0088</v>
      </c>
      <c r="M125" t="str">
        <f>'1'!AJ125</f>
        <v>USD</v>
      </c>
      <c r="O125" s="39" t="str">
        <f>'1'!AL125</f>
        <v>Y</v>
      </c>
      <c r="P125" t="str">
        <f>'1'!AD125</f>
        <v>0088</v>
      </c>
      <c r="Q125">
        <f>'1'!AE125</f>
        <v>9500</v>
      </c>
      <c r="W125" t="str">
        <f>'1'!AA125</f>
        <v>S10</v>
      </c>
      <c r="X125" t="str">
        <f>'1'!AG125</f>
        <v>General</v>
      </c>
      <c r="Z125">
        <f>'1'!AE125</f>
        <v>9500</v>
      </c>
      <c r="AB125" t="str">
        <f>'1'!AM125</f>
        <v/>
      </c>
      <c r="AC125" t="str">
        <f>'1'!AK125</f>
        <v/>
      </c>
      <c r="AP125" t="str">
        <f>'1'!AD125</f>
        <v>0088</v>
      </c>
      <c r="BG125" t="str">
        <f>'1'!AC125</f>
        <v>210892</v>
      </c>
      <c r="BK125" s="39" t="s">
        <v>5381</v>
      </c>
      <c r="BL125" s="39" t="s">
        <v>5381</v>
      </c>
      <c r="BU125" s="39" t="s">
        <v>5381</v>
      </c>
      <c r="BV125" s="39" t="s">
        <v>5381</v>
      </c>
      <c r="CE125" s="39" t="s">
        <v>5381</v>
      </c>
      <c r="CH125" s="39" t="s">
        <v>5381</v>
      </c>
    </row>
    <row r="126" spans="1:86">
      <c r="A126" s="62" t="s">
        <v>5380</v>
      </c>
      <c r="B126" t="str">
        <f>'1'!B126</f>
        <v>Peter</v>
      </c>
      <c r="C126" t="str">
        <f>'1'!C126</f>
        <v/>
      </c>
      <c r="D126" t="str">
        <f>'1'!D126</f>
        <v>Morgan</v>
      </c>
      <c r="E126" t="str">
        <f>'1'!P126</f>
        <v>213225</v>
      </c>
      <c r="F126" t="str">
        <f>'1'!I126&amp;".new.uat"</f>
        <v>pmorgan@onebarnes.com.new.uat</v>
      </c>
      <c r="G126" s="39" t="s">
        <v>5389</v>
      </c>
      <c r="H126" t="str">
        <f>'1'!I126</f>
        <v>pmorgan@onebarnes.com</v>
      </c>
      <c r="I126" t="str">
        <f>'1'!AI126</f>
        <v>en_US</v>
      </c>
      <c r="L126" t="str">
        <f>'1'!AD126</f>
        <v>0088</v>
      </c>
      <c r="M126" t="str">
        <f>'1'!AJ126</f>
        <v>USD</v>
      </c>
      <c r="O126" s="39" t="str">
        <f>'1'!AL126</f>
        <v>Y</v>
      </c>
      <c r="P126" t="str">
        <f>'1'!AD126</f>
        <v>0088</v>
      </c>
      <c r="Q126">
        <f>'1'!AE126</f>
        <v>8100</v>
      </c>
      <c r="W126" t="str">
        <f>'1'!AA126</f>
        <v>S11</v>
      </c>
      <c r="X126" t="str">
        <f>'1'!AG126</f>
        <v>General</v>
      </c>
      <c r="Z126">
        <f>'1'!AE126</f>
        <v>8100</v>
      </c>
      <c r="AB126" t="str">
        <f>'1'!AM126</f>
        <v/>
      </c>
      <c r="AC126" t="str">
        <f>'1'!AK126</f>
        <v/>
      </c>
      <c r="AP126" t="str">
        <f>'1'!AD126</f>
        <v>0088</v>
      </c>
      <c r="BG126" t="str">
        <f>'1'!AC126</f>
        <v>211131</v>
      </c>
      <c r="BK126" s="39" t="s">
        <v>5381</v>
      </c>
      <c r="BL126" s="39" t="s">
        <v>5381</v>
      </c>
      <c r="BU126" s="39" t="s">
        <v>5381</v>
      </c>
      <c r="BV126" s="39" t="s">
        <v>5381</v>
      </c>
      <c r="CE126" s="39" t="s">
        <v>5381</v>
      </c>
      <c r="CH126" s="39" t="s">
        <v>5381</v>
      </c>
    </row>
    <row r="127" spans="1:86">
      <c r="A127" s="62" t="s">
        <v>5380</v>
      </c>
      <c r="B127" t="str">
        <f>'1'!B127</f>
        <v>Angela</v>
      </c>
      <c r="C127" t="str">
        <f>'1'!C127</f>
        <v/>
      </c>
      <c r="D127" t="str">
        <f>'1'!D127</f>
        <v>Myers</v>
      </c>
      <c r="E127" t="str">
        <f>'1'!P127</f>
        <v>212349</v>
      </c>
      <c r="F127" t="str">
        <f>'1'!I127&amp;".new.uat"</f>
        <v>.new.uat</v>
      </c>
      <c r="G127" s="39" t="s">
        <v>5389</v>
      </c>
      <c r="H127" t="str">
        <f>'1'!I127</f>
        <v/>
      </c>
      <c r="I127" t="str">
        <f>'1'!AI127</f>
        <v>en_US</v>
      </c>
      <c r="L127" t="str">
        <f>'1'!AD127</f>
        <v>0088</v>
      </c>
      <c r="M127" t="str">
        <f>'1'!AJ127</f>
        <v>USD</v>
      </c>
      <c r="O127" s="39" t="str">
        <f>'1'!AL127</f>
        <v>Y</v>
      </c>
      <c r="P127" t="str">
        <f>'1'!AD127</f>
        <v>0088</v>
      </c>
      <c r="Q127">
        <f>'1'!AE127</f>
        <v>5100</v>
      </c>
      <c r="W127" t="str">
        <f>'1'!AA127</f>
        <v>S05</v>
      </c>
      <c r="X127" t="str">
        <f>'1'!AG127</f>
        <v>General</v>
      </c>
      <c r="Z127">
        <f>'1'!AE127</f>
        <v>5100</v>
      </c>
      <c r="AB127" t="str">
        <f>'1'!AM127</f>
        <v/>
      </c>
      <c r="AC127" t="str">
        <f>'1'!AK127</f>
        <v/>
      </c>
      <c r="AP127" t="str">
        <f>'1'!AD127</f>
        <v>0088</v>
      </c>
      <c r="BG127" t="str">
        <f>'1'!AC127</f>
        <v>211756</v>
      </c>
      <c r="BK127" s="39" t="s">
        <v>5381</v>
      </c>
      <c r="BL127" s="39" t="s">
        <v>5381</v>
      </c>
      <c r="BU127" s="39" t="s">
        <v>5381</v>
      </c>
      <c r="BV127" s="39" t="s">
        <v>5381</v>
      </c>
      <c r="CE127" s="39" t="s">
        <v>5381</v>
      </c>
      <c r="CH127" s="39" t="s">
        <v>5381</v>
      </c>
    </row>
    <row r="128" spans="1:86">
      <c r="A128" s="62" t="s">
        <v>5380</v>
      </c>
      <c r="B128" t="str">
        <f>'1'!B128</f>
        <v>Rachel</v>
      </c>
      <c r="C128" t="str">
        <f>'1'!C128</f>
        <v>E</v>
      </c>
      <c r="D128" t="str">
        <f>'1'!D128</f>
        <v>Neri</v>
      </c>
      <c r="E128" t="str">
        <f>'1'!P128</f>
        <v>212129</v>
      </c>
      <c r="F128" t="str">
        <f>'1'!I128&amp;".new.uat"</f>
        <v>rneri@onebarnes.com.new.uat</v>
      </c>
      <c r="G128" s="39" t="s">
        <v>5389</v>
      </c>
      <c r="H128" t="str">
        <f>'1'!I128</f>
        <v>rneri@onebarnes.com</v>
      </c>
      <c r="I128" t="str">
        <f>'1'!AI128</f>
        <v>en_US</v>
      </c>
      <c r="L128" t="str">
        <f>'1'!AD128</f>
        <v>0088</v>
      </c>
      <c r="M128" t="str">
        <f>'1'!AJ128</f>
        <v>USD</v>
      </c>
      <c r="O128" s="39" t="str">
        <f>'1'!AL128</f>
        <v>Y</v>
      </c>
      <c r="P128" t="str">
        <f>'1'!AD128</f>
        <v>0088</v>
      </c>
      <c r="Q128">
        <f>'1'!AE128</f>
        <v>8100</v>
      </c>
      <c r="W128" t="str">
        <f>'1'!AA128</f>
        <v>S15</v>
      </c>
      <c r="X128" t="str">
        <f>'1'!AG128</f>
        <v>General</v>
      </c>
      <c r="Z128">
        <f>'1'!AE128</f>
        <v>8100</v>
      </c>
      <c r="AB128" t="str">
        <f>'1'!AM128</f>
        <v/>
      </c>
      <c r="AC128" t="str">
        <f>'1'!AK128</f>
        <v/>
      </c>
      <c r="AP128" t="str">
        <f>'1'!AD128</f>
        <v>0088</v>
      </c>
      <c r="BG128" t="str">
        <f>'1'!AC128</f>
        <v>211766</v>
      </c>
      <c r="BK128" s="39" t="s">
        <v>5381</v>
      </c>
      <c r="BL128" s="39" t="s">
        <v>5381</v>
      </c>
      <c r="BU128" s="39" t="s">
        <v>5381</v>
      </c>
      <c r="BV128" s="39" t="s">
        <v>5381</v>
      </c>
      <c r="CE128" s="39" t="s">
        <v>5381</v>
      </c>
      <c r="CH128" s="39" t="s">
        <v>5381</v>
      </c>
    </row>
    <row r="129" spans="1:86">
      <c r="A129" s="62" t="s">
        <v>5380</v>
      </c>
      <c r="B129" t="str">
        <f>'1'!B129</f>
        <v>Shannon</v>
      </c>
      <c r="C129" t="str">
        <f>'1'!C129</f>
        <v>K</v>
      </c>
      <c r="D129" t="str">
        <f>'1'!D129</f>
        <v>O'Day</v>
      </c>
      <c r="E129" t="str">
        <f>'1'!P129</f>
        <v>663830</v>
      </c>
      <c r="F129" t="str">
        <f>'1'!I129&amp;".new.uat"</f>
        <v>soday@onebarnes.com.new.uat</v>
      </c>
      <c r="G129" s="39" t="s">
        <v>5389</v>
      </c>
      <c r="H129" t="str">
        <f>'1'!I129</f>
        <v>soday@onebarnes.com</v>
      </c>
      <c r="I129" t="str">
        <f>'1'!AI129</f>
        <v>en_US</v>
      </c>
      <c r="L129" t="str">
        <f>'1'!AD129</f>
        <v>0088</v>
      </c>
      <c r="M129" t="str">
        <f>'1'!AJ129</f>
        <v>USD</v>
      </c>
      <c r="O129" s="39" t="str">
        <f>'1'!AL129</f>
        <v>Y</v>
      </c>
      <c r="P129" t="str">
        <f>'1'!AD129</f>
        <v>0088</v>
      </c>
      <c r="Q129">
        <f>'1'!AE129</f>
        <v>5100</v>
      </c>
      <c r="W129" t="str">
        <f>'1'!AA129</f>
        <v>S05</v>
      </c>
      <c r="X129" t="str">
        <f>'1'!AG129</f>
        <v>General</v>
      </c>
      <c r="Z129">
        <f>'1'!AE129</f>
        <v>5100</v>
      </c>
      <c r="AB129" t="str">
        <f>'1'!AM129</f>
        <v/>
      </c>
      <c r="AC129" t="str">
        <f>'1'!AK129</f>
        <v/>
      </c>
      <c r="AP129" t="str">
        <f>'1'!AD129</f>
        <v>0088</v>
      </c>
      <c r="BG129" t="str">
        <f>'1'!AC129</f>
        <v>211756</v>
      </c>
      <c r="BK129" s="39" t="s">
        <v>5381</v>
      </c>
      <c r="BL129" s="39" t="s">
        <v>5381</v>
      </c>
      <c r="BU129" s="39" t="s">
        <v>5381</v>
      </c>
      <c r="BV129" s="39" t="s">
        <v>5381</v>
      </c>
      <c r="CE129" s="39" t="s">
        <v>5381</v>
      </c>
      <c r="CH129" s="39" t="s">
        <v>5381</v>
      </c>
    </row>
    <row r="130" spans="1:86">
      <c r="A130" s="62" t="s">
        <v>5380</v>
      </c>
      <c r="B130" t="str">
        <f>'1'!B130</f>
        <v>Kevin</v>
      </c>
      <c r="C130" t="str">
        <f>'1'!C130</f>
        <v>D</v>
      </c>
      <c r="D130" t="str">
        <f>'1'!D130</f>
        <v>OConnor</v>
      </c>
      <c r="E130" t="str">
        <f>'1'!P130</f>
        <v>212678</v>
      </c>
      <c r="F130" t="str">
        <f>'1'!I130&amp;".new.uat"</f>
        <v>koconnor@onebarnes.com.new.uat</v>
      </c>
      <c r="G130" s="39" t="s">
        <v>5389</v>
      </c>
      <c r="H130" t="str">
        <f>'1'!I130</f>
        <v>koconnor@onebarnes.com</v>
      </c>
      <c r="I130" t="str">
        <f>'1'!AI130</f>
        <v>en_US</v>
      </c>
      <c r="L130" t="str">
        <f>'1'!AD130</f>
        <v>0096</v>
      </c>
      <c r="M130" t="str">
        <f>'1'!AJ130</f>
        <v>USD</v>
      </c>
      <c r="O130" s="39" t="str">
        <f>'1'!AL130</f>
        <v>Y</v>
      </c>
      <c r="P130" t="str">
        <f>'1'!AD130</f>
        <v>0096</v>
      </c>
      <c r="Q130">
        <f>'1'!AE130</f>
        <v>820</v>
      </c>
      <c r="W130" t="str">
        <f>'1'!AA130</f>
        <v>S16</v>
      </c>
      <c r="X130" t="str">
        <f>'1'!AG130</f>
        <v>General</v>
      </c>
      <c r="Z130">
        <f>'1'!AE130</f>
        <v>820</v>
      </c>
      <c r="AB130" t="str">
        <f>'1'!AM130</f>
        <v/>
      </c>
      <c r="AC130" t="str">
        <f>'1'!AK130</f>
        <v/>
      </c>
      <c r="AP130" t="str">
        <f>'1'!AD130</f>
        <v>0096</v>
      </c>
      <c r="BG130" t="str">
        <f>'1'!AC130</f>
        <v>901934</v>
      </c>
      <c r="BK130" s="39" t="s">
        <v>5381</v>
      </c>
      <c r="BL130" s="39" t="s">
        <v>5381</v>
      </c>
      <c r="BU130" s="39" t="s">
        <v>5381</v>
      </c>
      <c r="BV130" s="39" t="s">
        <v>5381</v>
      </c>
      <c r="CE130" s="39" t="s">
        <v>5381</v>
      </c>
      <c r="CH130" s="39" t="s">
        <v>5381</v>
      </c>
    </row>
    <row r="131" spans="1:86">
      <c r="A131" s="62" t="s">
        <v>5380</v>
      </c>
      <c r="B131" t="str">
        <f>'1'!B131</f>
        <v>Laura</v>
      </c>
      <c r="C131" t="str">
        <f>'1'!C131</f>
        <v>Z</v>
      </c>
      <c r="D131" t="str">
        <f>'1'!D131</f>
        <v>Oleksa</v>
      </c>
      <c r="E131" t="str">
        <f>'1'!P131</f>
        <v>209181</v>
      </c>
      <c r="F131" t="str">
        <f>'1'!I131&amp;".new.uat"</f>
        <v>LOleksa@onebarnes.com.new.uat</v>
      </c>
      <c r="G131" s="39" t="s">
        <v>5389</v>
      </c>
      <c r="H131" t="str">
        <f>'1'!I131</f>
        <v>LOleksa@onebarnes.com</v>
      </c>
      <c r="I131" t="str">
        <f>'1'!AI131</f>
        <v>en_US</v>
      </c>
      <c r="L131" t="str">
        <f>'1'!AD131</f>
        <v>0096</v>
      </c>
      <c r="M131" t="str">
        <f>'1'!AJ131</f>
        <v>USD</v>
      </c>
      <c r="O131" s="39" t="str">
        <f>'1'!AL131</f>
        <v>Y</v>
      </c>
      <c r="P131" t="str">
        <f>'1'!AD131</f>
        <v>0096</v>
      </c>
      <c r="Q131" t="str">
        <f>'1'!AE131</f>
        <v>0007</v>
      </c>
      <c r="W131" t="str">
        <f>'1'!AA131</f>
        <v>S17</v>
      </c>
      <c r="X131" t="str">
        <f>'1'!AG131</f>
        <v>General</v>
      </c>
      <c r="Z131" t="str">
        <f>'1'!AE131</f>
        <v>0007</v>
      </c>
      <c r="AB131" t="str">
        <f>'1'!AM131</f>
        <v/>
      </c>
      <c r="AC131" t="str">
        <f>'1'!AK131</f>
        <v/>
      </c>
      <c r="AP131" t="str">
        <f>'1'!AD131</f>
        <v>0096</v>
      </c>
      <c r="BG131" t="str">
        <f>'1'!AC131</f>
        <v/>
      </c>
      <c r="BK131" s="39" t="s">
        <v>5381</v>
      </c>
      <c r="BL131" s="39" t="s">
        <v>5381</v>
      </c>
      <c r="BU131" s="39" t="s">
        <v>5381</v>
      </c>
      <c r="BV131" s="39" t="s">
        <v>5381</v>
      </c>
      <c r="CE131" s="39" t="s">
        <v>5381</v>
      </c>
      <c r="CH131" s="39" t="s">
        <v>5381</v>
      </c>
    </row>
    <row r="132" spans="1:86">
      <c r="A132" s="62" t="s">
        <v>5380</v>
      </c>
      <c r="B132" t="str">
        <f>'1'!B132</f>
        <v>Kyle</v>
      </c>
      <c r="C132" t="str">
        <f>'1'!C132</f>
        <v/>
      </c>
      <c r="D132" t="str">
        <f>'1'!D132</f>
        <v>Outhouse</v>
      </c>
      <c r="E132" t="str">
        <f>'1'!P132</f>
        <v>209634</v>
      </c>
      <c r="F132" t="str">
        <f>'1'!I132&amp;".new.uat"</f>
        <v>KOuthouse@onebarnes.com.new.uat</v>
      </c>
      <c r="G132" s="39" t="s">
        <v>5389</v>
      </c>
      <c r="H132" t="str">
        <f>'1'!I132</f>
        <v>KOuthouse@onebarnes.com</v>
      </c>
      <c r="I132" t="str">
        <f>'1'!AI132</f>
        <v>en_US</v>
      </c>
      <c r="L132" t="str">
        <f>'1'!AD132</f>
        <v>0088</v>
      </c>
      <c r="M132" t="str">
        <f>'1'!AJ132</f>
        <v>USD</v>
      </c>
      <c r="O132" s="39" t="str">
        <f>'1'!AL132</f>
        <v>N</v>
      </c>
      <c r="P132" t="str">
        <f>'1'!AD132</f>
        <v>0088</v>
      </c>
      <c r="Q132">
        <f>'1'!AE132</f>
        <v>9400</v>
      </c>
      <c r="W132" t="str">
        <f>'1'!AA132</f>
        <v>S15</v>
      </c>
      <c r="X132" t="str">
        <f>'1'!AG132</f>
        <v>General</v>
      </c>
      <c r="Z132">
        <f>'1'!AE132</f>
        <v>9400</v>
      </c>
      <c r="AB132" t="str">
        <f>'1'!AM132</f>
        <v>20260710</v>
      </c>
      <c r="AC132" t="str">
        <f>'1'!AK132</f>
        <v/>
      </c>
      <c r="AP132" t="str">
        <f>'1'!AD132</f>
        <v>0088</v>
      </c>
      <c r="BG132" t="str">
        <f>'1'!AC132</f>
        <v>212699</v>
      </c>
      <c r="BK132" s="39" t="s">
        <v>5381</v>
      </c>
      <c r="BL132" s="39" t="s">
        <v>5381</v>
      </c>
      <c r="BU132" s="39" t="s">
        <v>5381</v>
      </c>
      <c r="BV132" s="39" t="s">
        <v>5381</v>
      </c>
      <c r="CE132" s="39" t="s">
        <v>5381</v>
      </c>
      <c r="CH132" s="39" t="s">
        <v>5381</v>
      </c>
    </row>
    <row r="133" spans="1:86">
      <c r="A133" s="62" t="s">
        <v>5380</v>
      </c>
      <c r="B133" t="str">
        <f>'1'!B133</f>
        <v>David</v>
      </c>
      <c r="C133" t="str">
        <f>'1'!C133</f>
        <v>J</v>
      </c>
      <c r="D133" t="str">
        <f>'1'!D133</f>
        <v>Page</v>
      </c>
      <c r="E133" t="str">
        <f>'1'!P133</f>
        <v>212725</v>
      </c>
      <c r="F133" t="str">
        <f>'1'!I133&amp;".new.uat"</f>
        <v>dpage@onebarnes.com.new.uat</v>
      </c>
      <c r="G133" s="39" t="s">
        <v>5389</v>
      </c>
      <c r="H133" t="str">
        <f>'1'!I133</f>
        <v>dpage@onebarnes.com</v>
      </c>
      <c r="I133" t="str">
        <f>'1'!AI133</f>
        <v>en_US</v>
      </c>
      <c r="L133" t="str">
        <f>'1'!AD133</f>
        <v>0088</v>
      </c>
      <c r="M133" t="str">
        <f>'1'!AJ133</f>
        <v>USD</v>
      </c>
      <c r="O133" s="39" t="str">
        <f>'1'!AL133</f>
        <v>Y</v>
      </c>
      <c r="P133" t="str">
        <f>'1'!AD133</f>
        <v>0088</v>
      </c>
      <c r="Q133">
        <f>'1'!AE133</f>
        <v>9450</v>
      </c>
      <c r="W133" t="str">
        <f>'1'!AA133</f>
        <v>S16</v>
      </c>
      <c r="X133" t="str">
        <f>'1'!AG133</f>
        <v>General</v>
      </c>
      <c r="Z133">
        <f>'1'!AE133</f>
        <v>9450</v>
      </c>
      <c r="AB133" t="str">
        <f>'1'!AM133</f>
        <v/>
      </c>
      <c r="AC133" t="str">
        <f>'1'!AK133</f>
        <v/>
      </c>
      <c r="AP133" t="str">
        <f>'1'!AD133</f>
        <v>0088</v>
      </c>
      <c r="BG133" t="str">
        <f>'1'!AC133</f>
        <v>213037</v>
      </c>
      <c r="BK133" s="39" t="s">
        <v>5381</v>
      </c>
      <c r="BL133" s="39" t="s">
        <v>5381</v>
      </c>
      <c r="BU133" s="39" t="s">
        <v>5381</v>
      </c>
      <c r="BV133" s="39" t="s">
        <v>5381</v>
      </c>
      <c r="CE133" s="39" t="s">
        <v>5381</v>
      </c>
      <c r="CH133" s="39" t="s">
        <v>5381</v>
      </c>
    </row>
    <row r="134" spans="1:86">
      <c r="A134" s="62" t="s">
        <v>5380</v>
      </c>
      <c r="B134" t="str">
        <f>'1'!B134</f>
        <v>Alex</v>
      </c>
      <c r="C134" t="str">
        <f>'1'!C134</f>
        <v/>
      </c>
      <c r="D134" t="str">
        <f>'1'!D134</f>
        <v>Palicki</v>
      </c>
      <c r="E134" t="str">
        <f>'1'!P134</f>
        <v>212119</v>
      </c>
      <c r="F134" t="str">
        <f>'1'!I134&amp;".new.uat"</f>
        <v>apalicki@onebarnes.com.new.uat</v>
      </c>
      <c r="G134" s="39" t="s">
        <v>5389</v>
      </c>
      <c r="H134" t="str">
        <f>'1'!I134</f>
        <v>apalicki@onebarnes.com</v>
      </c>
      <c r="I134" t="str">
        <f>'1'!AI134</f>
        <v>en_US</v>
      </c>
      <c r="L134" t="str">
        <f>'1'!AD134</f>
        <v>0088</v>
      </c>
      <c r="M134" t="str">
        <f>'1'!AJ134</f>
        <v>USD</v>
      </c>
      <c r="O134" s="39" t="str">
        <f>'1'!AL134</f>
        <v>Y</v>
      </c>
      <c r="P134" t="str">
        <f>'1'!AD134</f>
        <v>0088</v>
      </c>
      <c r="Q134">
        <f>'1'!AE134</f>
        <v>9400</v>
      </c>
      <c r="W134" t="str">
        <f>'1'!AA134</f>
        <v>S13</v>
      </c>
      <c r="X134" t="str">
        <f>'1'!AG134</f>
        <v>General</v>
      </c>
      <c r="Z134">
        <f>'1'!AE134</f>
        <v>9400</v>
      </c>
      <c r="AB134" t="str">
        <f>'1'!AM134</f>
        <v/>
      </c>
      <c r="AC134" t="str">
        <f>'1'!AK134</f>
        <v/>
      </c>
      <c r="AP134" t="str">
        <f>'1'!AD134</f>
        <v>0088</v>
      </c>
      <c r="BG134" t="str">
        <f>'1'!AC134</f>
        <v>212699</v>
      </c>
      <c r="BK134" s="39" t="s">
        <v>5381</v>
      </c>
      <c r="BL134" s="39" t="s">
        <v>5381</v>
      </c>
      <c r="BU134" s="39" t="s">
        <v>5381</v>
      </c>
      <c r="BV134" s="39" t="s">
        <v>5381</v>
      </c>
      <c r="CE134" s="39" t="s">
        <v>5381</v>
      </c>
      <c r="CH134" s="39" t="s">
        <v>5381</v>
      </c>
    </row>
    <row r="135" spans="1:86">
      <c r="A135" s="62" t="s">
        <v>5380</v>
      </c>
      <c r="B135" t="str">
        <f>'1'!B135</f>
        <v>Linette</v>
      </c>
      <c r="C135" t="str">
        <f>'1'!C135</f>
        <v>W</v>
      </c>
      <c r="D135" t="str">
        <f>'1'!D135</f>
        <v>Parks</v>
      </c>
      <c r="E135" t="str">
        <f>'1'!P135</f>
        <v>902690</v>
      </c>
      <c r="F135" t="str">
        <f>'1'!I135&amp;".new.uat"</f>
        <v>Lparks@onebarnes.com.new.uat</v>
      </c>
      <c r="G135" s="39" t="s">
        <v>5389</v>
      </c>
      <c r="H135" t="str">
        <f>'1'!I135</f>
        <v>Lparks@onebarnes.com</v>
      </c>
      <c r="I135" t="str">
        <f>'1'!AI135</f>
        <v>en_US</v>
      </c>
      <c r="L135" t="str">
        <f>'1'!AD135</f>
        <v>0088</v>
      </c>
      <c r="M135" t="str">
        <f>'1'!AJ135</f>
        <v>USD</v>
      </c>
      <c r="O135" s="39" t="str">
        <f>'1'!AL135</f>
        <v>Y</v>
      </c>
      <c r="P135" t="str">
        <f>'1'!AD135</f>
        <v>0088</v>
      </c>
      <c r="Q135">
        <f>'1'!AE135</f>
        <v>8100</v>
      </c>
      <c r="W135" t="str">
        <f>'1'!AA135</f>
        <v>S11</v>
      </c>
      <c r="X135" t="str">
        <f>'1'!AG135</f>
        <v>General</v>
      </c>
      <c r="Z135">
        <f>'1'!AE135</f>
        <v>8100</v>
      </c>
      <c r="AB135" t="str">
        <f>'1'!AM135</f>
        <v/>
      </c>
      <c r="AC135" t="str">
        <f>'1'!AK135</f>
        <v/>
      </c>
      <c r="AP135" t="str">
        <f>'1'!AD135</f>
        <v>0088</v>
      </c>
      <c r="BG135" t="str">
        <f>'1'!AC135</f>
        <v>211131</v>
      </c>
      <c r="BK135" s="39" t="s">
        <v>5381</v>
      </c>
      <c r="BL135" s="39" t="s">
        <v>5381</v>
      </c>
      <c r="BU135" s="39" t="s">
        <v>5381</v>
      </c>
      <c r="BV135" s="39" t="s">
        <v>5381</v>
      </c>
      <c r="CE135" s="39" t="s">
        <v>5381</v>
      </c>
      <c r="CH135" s="39" t="s">
        <v>5381</v>
      </c>
    </row>
    <row r="136" spans="1:86">
      <c r="A136" s="62" t="s">
        <v>5380</v>
      </c>
      <c r="B136" t="str">
        <f>'1'!B136</f>
        <v>Shivam</v>
      </c>
      <c r="C136" t="str">
        <f>'1'!C136</f>
        <v/>
      </c>
      <c r="D136" t="str">
        <f>'1'!D136</f>
        <v>Patel</v>
      </c>
      <c r="E136" t="str">
        <f>'1'!P136</f>
        <v>201903</v>
      </c>
      <c r="F136" t="str">
        <f>'1'!I136&amp;".new.uat"</f>
        <v>spatel@onebarnes.com.new.uat</v>
      </c>
      <c r="G136" s="39" t="s">
        <v>5389</v>
      </c>
      <c r="H136" t="str">
        <f>'1'!I136</f>
        <v>spatel@onebarnes.com</v>
      </c>
      <c r="I136" t="str">
        <f>'1'!AI136</f>
        <v>en_US</v>
      </c>
      <c r="L136" t="str">
        <f>'1'!AD136</f>
        <v>0088</v>
      </c>
      <c r="M136" t="str">
        <f>'1'!AJ136</f>
        <v>USD</v>
      </c>
      <c r="O136" s="39" t="str">
        <f>'1'!AL136</f>
        <v>Y</v>
      </c>
      <c r="P136" t="str">
        <f>'1'!AD136</f>
        <v>0088</v>
      </c>
      <c r="Q136">
        <f>'1'!AE136</f>
        <v>9400</v>
      </c>
      <c r="W136" t="str">
        <f>'1'!AA136</f>
        <v>S12</v>
      </c>
      <c r="X136" t="str">
        <f>'1'!AG136</f>
        <v>General</v>
      </c>
      <c r="Z136">
        <f>'1'!AE136</f>
        <v>9400</v>
      </c>
      <c r="AB136" t="str">
        <f>'1'!AM136</f>
        <v/>
      </c>
      <c r="AC136" t="str">
        <f>'1'!AK136</f>
        <v/>
      </c>
      <c r="AP136" t="str">
        <f>'1'!AD136</f>
        <v>0088</v>
      </c>
      <c r="BG136" t="str">
        <f>'1'!AC136</f>
        <v>212699</v>
      </c>
      <c r="BK136" s="39" t="s">
        <v>5381</v>
      </c>
      <c r="BL136" s="39" t="s">
        <v>5381</v>
      </c>
      <c r="BU136" s="39" t="s">
        <v>5381</v>
      </c>
      <c r="BV136" s="39" t="s">
        <v>5381</v>
      </c>
      <c r="CE136" s="39" t="s">
        <v>5381</v>
      </c>
      <c r="CH136" s="39" t="s">
        <v>5381</v>
      </c>
    </row>
    <row r="137" spans="1:86">
      <c r="A137" s="62" t="s">
        <v>5380</v>
      </c>
      <c r="B137" t="str">
        <f>'1'!B137</f>
        <v>Shawn</v>
      </c>
      <c r="C137" t="str">
        <f>'1'!C137</f>
        <v/>
      </c>
      <c r="D137" t="str">
        <f>'1'!D137</f>
        <v>Patterson</v>
      </c>
      <c r="E137" t="str">
        <f>'1'!P137</f>
        <v>006820</v>
      </c>
      <c r="F137" t="str">
        <f>'1'!I137&amp;".new.uat"</f>
        <v>.new.uat</v>
      </c>
      <c r="G137" s="39" t="s">
        <v>5389</v>
      </c>
      <c r="H137" t="str">
        <f>'1'!I137</f>
        <v/>
      </c>
      <c r="I137" t="str">
        <f>'1'!AI137</f>
        <v>en_US</v>
      </c>
      <c r="L137" t="str">
        <f>'1'!AD137</f>
        <v>0096</v>
      </c>
      <c r="M137" t="str">
        <f>'1'!AJ137</f>
        <v>USD</v>
      </c>
      <c r="O137" s="39" t="str">
        <f>'1'!AL137</f>
        <v>Y</v>
      </c>
      <c r="P137" t="str">
        <f>'1'!AD137</f>
        <v>0096</v>
      </c>
      <c r="Q137">
        <f>'1'!AE137</f>
        <v>350</v>
      </c>
      <c r="W137" t="str">
        <f>'1'!AA137</f>
        <v>H07</v>
      </c>
      <c r="X137" t="str">
        <f>'1'!AG137</f>
        <v>General</v>
      </c>
      <c r="Z137">
        <f>'1'!AE137</f>
        <v>350</v>
      </c>
      <c r="AB137" t="str">
        <f>'1'!AM137</f>
        <v/>
      </c>
      <c r="AC137" t="str">
        <f>'1'!AK137</f>
        <v/>
      </c>
      <c r="AP137" t="str">
        <f>'1'!AD137</f>
        <v>0096</v>
      </c>
      <c r="BG137" t="str">
        <f>'1'!AC137</f>
        <v>211062</v>
      </c>
      <c r="BK137" s="39" t="s">
        <v>5381</v>
      </c>
      <c r="BL137" s="39" t="s">
        <v>5381</v>
      </c>
      <c r="BU137" s="39" t="s">
        <v>5381</v>
      </c>
      <c r="BV137" s="39" t="s">
        <v>5381</v>
      </c>
      <c r="CE137" s="39" t="s">
        <v>5381</v>
      </c>
      <c r="CH137" s="39" t="s">
        <v>5381</v>
      </c>
    </row>
    <row r="138" spans="1:86">
      <c r="A138" s="62" t="s">
        <v>5380</v>
      </c>
      <c r="B138" t="str">
        <f>'1'!B138</f>
        <v>Joshua</v>
      </c>
      <c r="C138" t="str">
        <f>'1'!C138</f>
        <v>S</v>
      </c>
      <c r="D138" t="str">
        <f>'1'!D138</f>
        <v>Paulsen</v>
      </c>
      <c r="E138" t="str">
        <f>'1'!P138</f>
        <v>900851</v>
      </c>
      <c r="F138" t="str">
        <f>'1'!I138&amp;".new.uat"</f>
        <v>jpaulsen@onebarnes.com.new.uat</v>
      </c>
      <c r="G138" s="39" t="s">
        <v>5389</v>
      </c>
      <c r="H138" t="str">
        <f>'1'!I138</f>
        <v>jpaulsen@onebarnes.com</v>
      </c>
      <c r="I138" t="str">
        <f>'1'!AI138</f>
        <v>en_US</v>
      </c>
      <c r="L138" t="str">
        <f>'1'!AD138</f>
        <v>0088</v>
      </c>
      <c r="M138" t="str">
        <f>'1'!AJ138</f>
        <v>USD</v>
      </c>
      <c r="O138" s="39" t="str">
        <f>'1'!AL138</f>
        <v>Y</v>
      </c>
      <c r="P138" t="str">
        <f>'1'!AD138</f>
        <v>0088</v>
      </c>
      <c r="Q138">
        <f>'1'!AE138</f>
        <v>5200</v>
      </c>
      <c r="W138" t="str">
        <f>'1'!AA138</f>
        <v>S05</v>
      </c>
      <c r="X138" t="str">
        <f>'1'!AG138</f>
        <v>General</v>
      </c>
      <c r="Z138">
        <f>'1'!AE138</f>
        <v>5200</v>
      </c>
      <c r="AB138" t="str">
        <f>'1'!AM138</f>
        <v/>
      </c>
      <c r="AC138" t="str">
        <f>'1'!AK138</f>
        <v/>
      </c>
      <c r="AP138" t="str">
        <f>'1'!AD138</f>
        <v>0088</v>
      </c>
      <c r="BG138" t="str">
        <f>'1'!AC138</f>
        <v>211736</v>
      </c>
      <c r="BK138" s="39" t="s">
        <v>5381</v>
      </c>
      <c r="BL138" s="39" t="s">
        <v>5381</v>
      </c>
      <c r="BU138" s="39" t="s">
        <v>5381</v>
      </c>
      <c r="BV138" s="39" t="s">
        <v>5381</v>
      </c>
      <c r="CE138" s="39" t="s">
        <v>5381</v>
      </c>
      <c r="CH138" s="39" t="s">
        <v>5381</v>
      </c>
    </row>
    <row r="139" spans="1:86">
      <c r="A139" s="62" t="s">
        <v>5380</v>
      </c>
      <c r="B139" t="str">
        <f>'1'!B139</f>
        <v>Carol</v>
      </c>
      <c r="C139" t="str">
        <f>'1'!C139</f>
        <v/>
      </c>
      <c r="D139" t="str">
        <f>'1'!D139</f>
        <v>Phillips</v>
      </c>
      <c r="E139" t="str">
        <f>'1'!P139</f>
        <v>212478</v>
      </c>
      <c r="F139" t="str">
        <f>'1'!I139&amp;".new.uat"</f>
        <v>cphillips1@onebarnes.com.new.uat</v>
      </c>
      <c r="G139" s="39" t="s">
        <v>5389</v>
      </c>
      <c r="H139" t="str">
        <f>'1'!I139</f>
        <v>cphillips1@onebarnes.com</v>
      </c>
      <c r="I139" t="str">
        <f>'1'!AI139</f>
        <v>en_US</v>
      </c>
      <c r="L139" t="str">
        <f>'1'!AD139</f>
        <v>0088</v>
      </c>
      <c r="M139" t="str">
        <f>'1'!AJ139</f>
        <v>USD</v>
      </c>
      <c r="O139" s="39" t="str">
        <f>'1'!AL139</f>
        <v>Y</v>
      </c>
      <c r="P139" t="str">
        <f>'1'!AD139</f>
        <v>0088</v>
      </c>
      <c r="Q139">
        <f>'1'!AE139</f>
        <v>8200</v>
      </c>
      <c r="W139" t="str">
        <f>'1'!AA139</f>
        <v>S16</v>
      </c>
      <c r="X139" t="str">
        <f>'1'!AG139</f>
        <v>General</v>
      </c>
      <c r="Z139">
        <f>'1'!AE139</f>
        <v>8200</v>
      </c>
      <c r="AB139" t="str">
        <f>'1'!AM139</f>
        <v/>
      </c>
      <c r="AC139" t="str">
        <f>'1'!AK139</f>
        <v/>
      </c>
      <c r="AP139" t="str">
        <f>'1'!AD139</f>
        <v>0088</v>
      </c>
      <c r="BG139" t="str">
        <f>'1'!AC139</f>
        <v>207588</v>
      </c>
      <c r="BK139" s="39" t="s">
        <v>5381</v>
      </c>
      <c r="BL139" s="39" t="s">
        <v>5381</v>
      </c>
      <c r="BU139" s="39" t="s">
        <v>5381</v>
      </c>
      <c r="BV139" s="39" t="s">
        <v>5381</v>
      </c>
      <c r="CE139" s="39" t="s">
        <v>5381</v>
      </c>
      <c r="CH139" s="39" t="s">
        <v>5381</v>
      </c>
    </row>
    <row r="140" spans="1:86">
      <c r="A140" s="62" t="s">
        <v>5380</v>
      </c>
      <c r="B140" t="str">
        <f>'1'!B140</f>
        <v>Chad</v>
      </c>
      <c r="C140" t="str">
        <f>'1'!C140</f>
        <v/>
      </c>
      <c r="D140" t="str">
        <f>'1'!D140</f>
        <v>Phillips</v>
      </c>
      <c r="E140" t="str">
        <f>'1'!P140</f>
        <v>210402</v>
      </c>
      <c r="F140" t="str">
        <f>'1'!I140&amp;".new.uat"</f>
        <v>cphillips@onebarnes.com.new.uat</v>
      </c>
      <c r="G140" s="39" t="s">
        <v>5389</v>
      </c>
      <c r="H140" t="str">
        <f>'1'!I140</f>
        <v>cphillips@onebarnes.com</v>
      </c>
      <c r="I140" t="str">
        <f>'1'!AI140</f>
        <v>en_US</v>
      </c>
      <c r="L140" t="str">
        <f>'1'!AD140</f>
        <v>0096</v>
      </c>
      <c r="M140" t="str">
        <f>'1'!AJ140</f>
        <v>USD</v>
      </c>
      <c r="O140" s="39" t="str">
        <f>'1'!AL140</f>
        <v>N</v>
      </c>
      <c r="P140" t="str">
        <f>'1'!AD140</f>
        <v>0096</v>
      </c>
      <c r="Q140">
        <f>'1'!AE140</f>
        <v>820</v>
      </c>
      <c r="W140" t="str">
        <f>'1'!AA140</f>
        <v>S15</v>
      </c>
      <c r="X140" t="str">
        <f>'1'!AG140</f>
        <v>General</v>
      </c>
      <c r="Z140">
        <f>'1'!AE140</f>
        <v>820</v>
      </c>
      <c r="AB140" t="str">
        <f>'1'!AM140</f>
        <v>20260814</v>
      </c>
      <c r="AC140" t="str">
        <f>'1'!AK140</f>
        <v/>
      </c>
      <c r="AP140" t="str">
        <f>'1'!AD140</f>
        <v>0096</v>
      </c>
      <c r="BG140" t="str">
        <f>'1'!AC140</f>
        <v>901934</v>
      </c>
      <c r="BK140" s="39" t="s">
        <v>5381</v>
      </c>
      <c r="BL140" s="39" t="s">
        <v>5381</v>
      </c>
      <c r="BU140" s="39" t="s">
        <v>5381</v>
      </c>
      <c r="BV140" s="39" t="s">
        <v>5381</v>
      </c>
      <c r="CE140" s="39" t="s">
        <v>5381</v>
      </c>
      <c r="CH140" s="39" t="s">
        <v>5381</v>
      </c>
    </row>
    <row r="141" spans="1:86">
      <c r="A141" s="62" t="s">
        <v>5380</v>
      </c>
      <c r="B141" t="str">
        <f>'1'!B141</f>
        <v>William</v>
      </c>
      <c r="C141" t="str">
        <f>'1'!C141</f>
        <v/>
      </c>
      <c r="D141" t="str">
        <f>'1'!D141</f>
        <v>Phoenix</v>
      </c>
      <c r="E141" t="str">
        <f>'1'!P141</f>
        <v>211531</v>
      </c>
      <c r="F141" t="str">
        <f>'1'!I141&amp;".new.uat"</f>
        <v>wphoenix1@onebarnes.com.new.uat</v>
      </c>
      <c r="G141" s="39" t="s">
        <v>5389</v>
      </c>
      <c r="H141" t="str">
        <f>'1'!I141</f>
        <v>wphoenix1@onebarnes.com</v>
      </c>
      <c r="I141" t="str">
        <f>'1'!AI141</f>
        <v>en_US</v>
      </c>
      <c r="L141" t="str">
        <f>'1'!AD141</f>
        <v>0088</v>
      </c>
      <c r="M141" t="str">
        <f>'1'!AJ141</f>
        <v>USD</v>
      </c>
      <c r="O141" s="39" t="str">
        <f>'1'!AL141</f>
        <v>Y</v>
      </c>
      <c r="P141" t="str">
        <f>'1'!AD141</f>
        <v>0088</v>
      </c>
      <c r="Q141">
        <f>'1'!AE141</f>
        <v>5200</v>
      </c>
      <c r="W141" t="str">
        <f>'1'!AA141</f>
        <v>S05</v>
      </c>
      <c r="X141" t="str">
        <f>'1'!AG141</f>
        <v>General</v>
      </c>
      <c r="Z141">
        <f>'1'!AE141</f>
        <v>5200</v>
      </c>
      <c r="AB141" t="str">
        <f>'1'!AM141</f>
        <v/>
      </c>
      <c r="AC141" t="str">
        <f>'1'!AK141</f>
        <v/>
      </c>
      <c r="AP141" t="str">
        <f>'1'!AD141</f>
        <v>0088</v>
      </c>
      <c r="BG141" t="str">
        <f>'1'!AC141</f>
        <v>211736</v>
      </c>
      <c r="BK141" s="39" t="s">
        <v>5381</v>
      </c>
      <c r="BL141" s="39" t="s">
        <v>5381</v>
      </c>
      <c r="BU141" s="39" t="s">
        <v>5381</v>
      </c>
      <c r="BV141" s="39" t="s">
        <v>5381</v>
      </c>
      <c r="CE141" s="39" t="s">
        <v>5381</v>
      </c>
      <c r="CH141" s="39" t="s">
        <v>5381</v>
      </c>
    </row>
    <row r="142" spans="1:86">
      <c r="A142" s="62" t="s">
        <v>5380</v>
      </c>
      <c r="B142" t="str">
        <f>'1'!B142</f>
        <v>Zachary</v>
      </c>
      <c r="C142" t="str">
        <f>'1'!C142</f>
        <v/>
      </c>
      <c r="D142" t="str">
        <f>'1'!D142</f>
        <v>Plotts</v>
      </c>
      <c r="E142" t="str">
        <f>'1'!P142</f>
        <v>201895</v>
      </c>
      <c r="F142" t="str">
        <f>'1'!I142&amp;".new.uat"</f>
        <v>zplotts@onebarnes.com.new.uat</v>
      </c>
      <c r="G142" s="39" t="s">
        <v>5389</v>
      </c>
      <c r="H142" t="str">
        <f>'1'!I142</f>
        <v>zplotts@onebarnes.com</v>
      </c>
      <c r="I142" t="str">
        <f>'1'!AI142</f>
        <v>en_US</v>
      </c>
      <c r="L142" t="str">
        <f>'1'!AD142</f>
        <v>0088</v>
      </c>
      <c r="M142" t="str">
        <f>'1'!AJ142</f>
        <v>USD</v>
      </c>
      <c r="O142" s="39" t="str">
        <f>'1'!AL142</f>
        <v>Y</v>
      </c>
      <c r="P142" t="str">
        <f>'1'!AD142</f>
        <v>0088</v>
      </c>
      <c r="Q142">
        <f>'1'!AE142</f>
        <v>9400</v>
      </c>
      <c r="W142" t="str">
        <f>'1'!AA142</f>
        <v>S13</v>
      </c>
      <c r="X142" t="str">
        <f>'1'!AG142</f>
        <v>General</v>
      </c>
      <c r="Z142">
        <f>'1'!AE142</f>
        <v>9400</v>
      </c>
      <c r="AB142" t="str">
        <f>'1'!AM142</f>
        <v/>
      </c>
      <c r="AC142" t="str">
        <f>'1'!AK142</f>
        <v/>
      </c>
      <c r="AP142" t="str">
        <f>'1'!AD142</f>
        <v>0088</v>
      </c>
      <c r="BG142" t="str">
        <f>'1'!AC142</f>
        <v>212699</v>
      </c>
      <c r="BK142" s="39" t="s">
        <v>5381</v>
      </c>
      <c r="BL142" s="39" t="s">
        <v>5381</v>
      </c>
      <c r="BU142" s="39" t="s">
        <v>5381</v>
      </c>
      <c r="BV142" s="39" t="s">
        <v>5381</v>
      </c>
      <c r="CE142" s="39" t="s">
        <v>5381</v>
      </c>
      <c r="CH142" s="39" t="s">
        <v>5381</v>
      </c>
    </row>
    <row r="143" spans="1:86">
      <c r="A143" s="62" t="s">
        <v>5380</v>
      </c>
      <c r="B143" t="str">
        <f>'1'!B143</f>
        <v>Robert</v>
      </c>
      <c r="C143" t="str">
        <f>'1'!C143</f>
        <v/>
      </c>
      <c r="D143" t="str">
        <f>'1'!D143</f>
        <v>Prosowski</v>
      </c>
      <c r="E143" t="str">
        <f>'1'!P143</f>
        <v>206738</v>
      </c>
      <c r="F143" t="str">
        <f>'1'!I143&amp;".new.uat"</f>
        <v>rprosowski@onebarnes.com.new.uat</v>
      </c>
      <c r="G143" s="39" t="s">
        <v>5389</v>
      </c>
      <c r="H143" t="str">
        <f>'1'!I143</f>
        <v>rprosowski@onebarnes.com</v>
      </c>
      <c r="I143" t="str">
        <f>'1'!AI143</f>
        <v>en_US</v>
      </c>
      <c r="L143" t="str">
        <f>'1'!AD143</f>
        <v>0096</v>
      </c>
      <c r="M143" t="str">
        <f>'1'!AJ143</f>
        <v>USD</v>
      </c>
      <c r="O143" s="39" t="str">
        <f>'1'!AL143</f>
        <v>Y</v>
      </c>
      <c r="P143" t="str">
        <f>'1'!AD143</f>
        <v>0096</v>
      </c>
      <c r="Q143">
        <f>'1'!AE143</f>
        <v>718</v>
      </c>
      <c r="W143" t="str">
        <f>'1'!AA143</f>
        <v>S13</v>
      </c>
      <c r="X143" t="str">
        <f>'1'!AG143</f>
        <v>General</v>
      </c>
      <c r="Z143">
        <f>'1'!AE143</f>
        <v>718</v>
      </c>
      <c r="AB143" t="str">
        <f>'1'!AM143</f>
        <v/>
      </c>
      <c r="AC143" t="str">
        <f>'1'!AK143</f>
        <v/>
      </c>
      <c r="AP143" t="str">
        <f>'1'!AD143</f>
        <v>0096</v>
      </c>
      <c r="BG143" t="str">
        <f>'1'!AC143</f>
        <v>213037</v>
      </c>
      <c r="BK143" s="39" t="s">
        <v>5381</v>
      </c>
      <c r="BL143" s="39" t="s">
        <v>5381</v>
      </c>
      <c r="BU143" s="39" t="s">
        <v>5381</v>
      </c>
      <c r="BV143" s="39" t="s">
        <v>5381</v>
      </c>
      <c r="CE143" s="39" t="s">
        <v>5381</v>
      </c>
      <c r="CH143" s="39" t="s">
        <v>5381</v>
      </c>
    </row>
    <row r="144" spans="1:86">
      <c r="A144" s="62" t="s">
        <v>5380</v>
      </c>
      <c r="B144" t="str">
        <f>'1'!B144</f>
        <v>Jeff</v>
      </c>
      <c r="C144" t="str">
        <f>'1'!C144</f>
        <v/>
      </c>
      <c r="D144" t="str">
        <f>'1'!D144</f>
        <v>Raese</v>
      </c>
      <c r="E144" t="str">
        <f>'1'!P144</f>
        <v>210018</v>
      </c>
      <c r="F144" t="str">
        <f>'1'!I144&amp;".new.uat"</f>
        <v>jraese@onebarnes.com.new.uat</v>
      </c>
      <c r="G144" s="39" t="s">
        <v>5389</v>
      </c>
      <c r="H144" t="str">
        <f>'1'!I144</f>
        <v>jraese@onebarnes.com</v>
      </c>
      <c r="I144" t="str">
        <f>'1'!AI144</f>
        <v>en_US</v>
      </c>
      <c r="L144" t="str">
        <f>'1'!AD144</f>
        <v>0088</v>
      </c>
      <c r="M144" t="str">
        <f>'1'!AJ144</f>
        <v>USD</v>
      </c>
      <c r="O144" s="39" t="str">
        <f>'1'!AL144</f>
        <v>Y</v>
      </c>
      <c r="P144" t="str">
        <f>'1'!AD144</f>
        <v>0088</v>
      </c>
      <c r="Q144">
        <f>'1'!AE144</f>
        <v>8200</v>
      </c>
      <c r="W144" t="str">
        <f>'1'!AA144</f>
        <v>S16</v>
      </c>
      <c r="X144" t="str">
        <f>'1'!AG144</f>
        <v>General</v>
      </c>
      <c r="Z144">
        <f>'1'!AE144</f>
        <v>8200</v>
      </c>
      <c r="AB144" t="str">
        <f>'1'!AM144</f>
        <v/>
      </c>
      <c r="AC144" t="str">
        <f>'1'!AK144</f>
        <v/>
      </c>
      <c r="AP144" t="str">
        <f>'1'!AD144</f>
        <v>0088</v>
      </c>
      <c r="BG144" t="str">
        <f>'1'!AC144</f>
        <v>207588</v>
      </c>
      <c r="BK144" s="39" t="s">
        <v>5381</v>
      </c>
      <c r="BL144" s="39" t="s">
        <v>5381</v>
      </c>
      <c r="BU144" s="39" t="s">
        <v>5381</v>
      </c>
      <c r="BV144" s="39" t="s">
        <v>5381</v>
      </c>
      <c r="CE144" s="39" t="s">
        <v>5381</v>
      </c>
      <c r="CH144" s="39" t="s">
        <v>5381</v>
      </c>
    </row>
    <row r="145" spans="1:86">
      <c r="A145" s="62" t="s">
        <v>5380</v>
      </c>
      <c r="B145" t="str">
        <f>'1'!B145</f>
        <v>Jonathan</v>
      </c>
      <c r="C145" t="str">
        <f>'1'!C145</f>
        <v/>
      </c>
      <c r="D145" t="str">
        <f>'1'!D145</f>
        <v>Rafferty</v>
      </c>
      <c r="E145" t="str">
        <f>'1'!P145</f>
        <v>211131</v>
      </c>
      <c r="F145" t="str">
        <f>'1'!I145&amp;".new.uat"</f>
        <v>jrafferty@onebarnes.com.new.uat</v>
      </c>
      <c r="G145" s="39" t="s">
        <v>5389</v>
      </c>
      <c r="H145" t="str">
        <f>'1'!I145</f>
        <v>jrafferty@onebarnes.com</v>
      </c>
      <c r="I145" t="str">
        <f>'1'!AI145</f>
        <v>en_US</v>
      </c>
      <c r="L145" t="str">
        <f>'1'!AD145</f>
        <v>0088</v>
      </c>
      <c r="M145" t="str">
        <f>'1'!AJ145</f>
        <v>USD</v>
      </c>
      <c r="O145" s="39" t="str">
        <f>'1'!AL145</f>
        <v>N</v>
      </c>
      <c r="P145" t="str">
        <f>'1'!AD145</f>
        <v>0088</v>
      </c>
      <c r="Q145" t="str">
        <f>'1'!AE145</f>
        <v>Home Department Code Not Mapped</v>
      </c>
      <c r="W145" t="str">
        <f>'1'!AA145</f>
        <v>S16</v>
      </c>
      <c r="X145" t="str">
        <f>'1'!AG145</f>
        <v>General</v>
      </c>
      <c r="Z145" t="str">
        <f>'1'!AE145</f>
        <v>Home Department Code Not Mapped</v>
      </c>
      <c r="AB145" t="str">
        <f>'1'!AM145</f>
        <v>20260602</v>
      </c>
      <c r="AC145" t="str">
        <f>'1'!AK145</f>
        <v/>
      </c>
      <c r="AP145" t="str">
        <f>'1'!AD145</f>
        <v>0088</v>
      </c>
      <c r="BG145" t="str">
        <f>'1'!AC145</f>
        <v/>
      </c>
      <c r="BK145" s="39" t="s">
        <v>5381</v>
      </c>
      <c r="BL145" s="39" t="s">
        <v>5381</v>
      </c>
      <c r="BU145" s="39" t="s">
        <v>5381</v>
      </c>
      <c r="BV145" s="39" t="s">
        <v>5381</v>
      </c>
      <c r="CE145" s="39" t="s">
        <v>5381</v>
      </c>
      <c r="CH145" s="39" t="s">
        <v>5381</v>
      </c>
    </row>
    <row r="146" spans="1:86">
      <c r="A146" s="62" t="s">
        <v>5380</v>
      </c>
      <c r="B146" t="str">
        <f>'1'!B146</f>
        <v>Jonathan</v>
      </c>
      <c r="C146" t="str">
        <f>'1'!C146</f>
        <v/>
      </c>
      <c r="D146" t="str">
        <f>'1'!D146</f>
        <v>Rafferty</v>
      </c>
      <c r="E146" t="str">
        <f>'1'!P146</f>
        <v>211131</v>
      </c>
      <c r="F146" t="str">
        <f>'1'!I146&amp;".new.uat"</f>
        <v>jrafferty@onebarnes.com.new.uat</v>
      </c>
      <c r="G146" s="39" t="s">
        <v>5389</v>
      </c>
      <c r="H146" t="str">
        <f>'1'!I146</f>
        <v>jrafferty@onebarnes.com</v>
      </c>
      <c r="I146" t="str">
        <f>'1'!AI146</f>
        <v>en_US</v>
      </c>
      <c r="L146" t="str">
        <f>'1'!AD146</f>
        <v>0088</v>
      </c>
      <c r="M146" t="str">
        <f>'1'!AJ146</f>
        <v>USD</v>
      </c>
      <c r="O146" s="39" t="str">
        <f>'1'!AL146</f>
        <v>Y</v>
      </c>
      <c r="P146" t="str">
        <f>'1'!AD146</f>
        <v>0088</v>
      </c>
      <c r="Q146">
        <f>'1'!AE146</f>
        <v>8100</v>
      </c>
      <c r="W146" t="str">
        <f>'1'!AA146</f>
        <v>S16</v>
      </c>
      <c r="X146" t="str">
        <f>'1'!AG146</f>
        <v>General</v>
      </c>
      <c r="Z146">
        <f>'1'!AE146</f>
        <v>8100</v>
      </c>
      <c r="AB146" t="str">
        <f>'1'!AM146</f>
        <v/>
      </c>
      <c r="AC146" t="str">
        <f>'1'!AK146</f>
        <v/>
      </c>
      <c r="AP146" t="str">
        <f>'1'!AD146</f>
        <v>0088</v>
      </c>
      <c r="BG146" t="str">
        <f>'1'!AC146</f>
        <v>211766</v>
      </c>
      <c r="BK146" s="39" t="s">
        <v>5381</v>
      </c>
      <c r="BL146" s="39" t="s">
        <v>5381</v>
      </c>
      <c r="BU146" s="39" t="s">
        <v>5381</v>
      </c>
      <c r="BV146" s="39" t="s">
        <v>5381</v>
      </c>
      <c r="CE146" s="39" t="s">
        <v>5381</v>
      </c>
      <c r="CH146" s="39" t="s">
        <v>5381</v>
      </c>
    </row>
    <row r="147" spans="1:86">
      <c r="A147" s="62" t="s">
        <v>5380</v>
      </c>
      <c r="B147" t="str">
        <f>'1'!B147</f>
        <v>Jacqueline</v>
      </c>
      <c r="C147" t="str">
        <f>'1'!C147</f>
        <v>M</v>
      </c>
      <c r="D147" t="str">
        <f>'1'!D147</f>
        <v>Reed</v>
      </c>
      <c r="E147" t="str">
        <f>'1'!P147</f>
        <v>210035</v>
      </c>
      <c r="F147" t="str">
        <f>'1'!I147&amp;".new.uat"</f>
        <v>jfoggyrobinson@onebarnes.com.new.uat</v>
      </c>
      <c r="G147" s="39" t="s">
        <v>5389</v>
      </c>
      <c r="H147" t="str">
        <f>'1'!I147</f>
        <v>jfoggyrobinson@onebarnes.com</v>
      </c>
      <c r="I147" t="str">
        <f>'1'!AI147</f>
        <v>en_US</v>
      </c>
      <c r="L147" t="str">
        <f>'1'!AD147</f>
        <v>0088</v>
      </c>
      <c r="M147" t="str">
        <f>'1'!AJ147</f>
        <v>USD</v>
      </c>
      <c r="O147" s="39" t="str">
        <f>'1'!AL147</f>
        <v>Y</v>
      </c>
      <c r="P147" t="str">
        <f>'1'!AD147</f>
        <v>0088</v>
      </c>
      <c r="Q147">
        <f>'1'!AE147</f>
        <v>5200</v>
      </c>
      <c r="W147" t="str">
        <f>'1'!AA147</f>
        <v>S05</v>
      </c>
      <c r="X147" t="str">
        <f>'1'!AG147</f>
        <v>General</v>
      </c>
      <c r="Z147">
        <f>'1'!AE147</f>
        <v>5200</v>
      </c>
      <c r="AB147" t="str">
        <f>'1'!AM147</f>
        <v/>
      </c>
      <c r="AC147" t="str">
        <f>'1'!AK147</f>
        <v/>
      </c>
      <c r="AP147" t="str">
        <f>'1'!AD147</f>
        <v>0088</v>
      </c>
      <c r="BG147" t="str">
        <f>'1'!AC147</f>
        <v>211736</v>
      </c>
      <c r="BK147" s="39" t="s">
        <v>5381</v>
      </c>
      <c r="BL147" s="39" t="s">
        <v>5381</v>
      </c>
      <c r="BU147" s="39" t="s">
        <v>5381</v>
      </c>
      <c r="BV147" s="39" t="s">
        <v>5381</v>
      </c>
      <c r="CE147" s="39" t="s">
        <v>5381</v>
      </c>
      <c r="CH147" s="39" t="s">
        <v>5381</v>
      </c>
    </row>
    <row r="148" spans="1:86">
      <c r="A148" s="62" t="s">
        <v>5380</v>
      </c>
      <c r="B148" t="str">
        <f>'1'!B148</f>
        <v>Johnny</v>
      </c>
      <c r="C148" t="str">
        <f>'1'!C148</f>
        <v>A</v>
      </c>
      <c r="D148" t="str">
        <f>'1'!D148</f>
        <v>Reyes</v>
      </c>
      <c r="E148" t="str">
        <f>'1'!P148</f>
        <v>212074</v>
      </c>
      <c r="F148" t="str">
        <f>'1'!I148&amp;".new.uat"</f>
        <v>jreyes@onebarnes.com.new.uat</v>
      </c>
      <c r="G148" s="39" t="s">
        <v>5389</v>
      </c>
      <c r="H148" t="str">
        <f>'1'!I148</f>
        <v>jreyes@onebarnes.com</v>
      </c>
      <c r="I148" t="str">
        <f>'1'!AI148</f>
        <v>en_US</v>
      </c>
      <c r="L148" t="str">
        <f>'1'!AD148</f>
        <v>0088</v>
      </c>
      <c r="M148" t="str">
        <f>'1'!AJ148</f>
        <v>USD</v>
      </c>
      <c r="O148" s="39" t="str">
        <f>'1'!AL148</f>
        <v>Y</v>
      </c>
      <c r="P148" t="str">
        <f>'1'!AD148</f>
        <v>0088</v>
      </c>
      <c r="Q148">
        <f>'1'!AE148</f>
        <v>5100</v>
      </c>
      <c r="W148" t="str">
        <f>'1'!AA148</f>
        <v>S05</v>
      </c>
      <c r="X148" t="str">
        <f>'1'!AG148</f>
        <v>General</v>
      </c>
      <c r="Z148">
        <f>'1'!AE148</f>
        <v>5100</v>
      </c>
      <c r="AB148" t="str">
        <f>'1'!AM148</f>
        <v/>
      </c>
      <c r="AC148" t="str">
        <f>'1'!AK148</f>
        <v/>
      </c>
      <c r="AP148" t="str">
        <f>'1'!AD148</f>
        <v>0088</v>
      </c>
      <c r="BG148" t="str">
        <f>'1'!AC148</f>
        <v>211756</v>
      </c>
      <c r="BK148" s="39" t="s">
        <v>5381</v>
      </c>
      <c r="BL148" s="39" t="s">
        <v>5381</v>
      </c>
      <c r="BU148" s="39" t="s">
        <v>5381</v>
      </c>
      <c r="BV148" s="39" t="s">
        <v>5381</v>
      </c>
      <c r="CE148" s="39" t="s">
        <v>5381</v>
      </c>
      <c r="CH148" s="39" t="s">
        <v>5381</v>
      </c>
    </row>
    <row r="149" spans="1:86">
      <c r="A149" s="62" t="s">
        <v>5380</v>
      </c>
      <c r="B149" t="str">
        <f>'1'!B149</f>
        <v>Cassandra</v>
      </c>
      <c r="C149" t="str">
        <f>'1'!C149</f>
        <v>G</v>
      </c>
      <c r="D149" t="str">
        <f>'1'!D149</f>
        <v>Richards</v>
      </c>
      <c r="E149" t="str">
        <f>'1'!P149</f>
        <v>210727</v>
      </c>
      <c r="F149" t="str">
        <f>'1'!I149&amp;".new.uat"</f>
        <v>crichards@onebarnes.com.new.uat</v>
      </c>
      <c r="G149" s="39" t="s">
        <v>5389</v>
      </c>
      <c r="H149" t="str">
        <f>'1'!I149</f>
        <v>crichards@onebarnes.com</v>
      </c>
      <c r="I149" t="str">
        <f>'1'!AI149</f>
        <v>en_US</v>
      </c>
      <c r="L149" t="str">
        <f>'1'!AD149</f>
        <v>0088</v>
      </c>
      <c r="M149" t="str">
        <f>'1'!AJ149</f>
        <v>USD</v>
      </c>
      <c r="O149" s="39" t="str">
        <f>'1'!AL149</f>
        <v>N</v>
      </c>
      <c r="P149" t="str">
        <f>'1'!AD149</f>
        <v>0088</v>
      </c>
      <c r="Q149">
        <f>'1'!AE149</f>
        <v>5200</v>
      </c>
      <c r="W149" t="str">
        <f>'1'!AA149</f>
        <v>S05</v>
      </c>
      <c r="X149" t="str">
        <f>'1'!AG149</f>
        <v>General</v>
      </c>
      <c r="Z149">
        <f>'1'!AE149</f>
        <v>5200</v>
      </c>
      <c r="AB149" t="str">
        <f>'1'!AM149</f>
        <v>20260828</v>
      </c>
      <c r="AC149" t="str">
        <f>'1'!AK149</f>
        <v/>
      </c>
      <c r="AP149" t="str">
        <f>'1'!AD149</f>
        <v>0088</v>
      </c>
      <c r="BG149" t="str">
        <f>'1'!AC149</f>
        <v>211736</v>
      </c>
      <c r="BK149" s="39" t="s">
        <v>5381</v>
      </c>
      <c r="BL149" s="39" t="s">
        <v>5381</v>
      </c>
      <c r="BU149" s="39" t="s">
        <v>5381</v>
      </c>
      <c r="BV149" s="39" t="s">
        <v>5381</v>
      </c>
      <c r="CE149" s="39" t="s">
        <v>5381</v>
      </c>
      <c r="CH149" s="39" t="s">
        <v>5381</v>
      </c>
    </row>
    <row r="150" spans="1:86">
      <c r="A150" s="62" t="s">
        <v>5380</v>
      </c>
      <c r="B150" t="str">
        <f>'1'!B150</f>
        <v>Jill</v>
      </c>
      <c r="C150" t="str">
        <f>'1'!C150</f>
        <v/>
      </c>
      <c r="D150" t="str">
        <f>'1'!D150</f>
        <v>Rockow</v>
      </c>
      <c r="E150" t="str">
        <f>'1'!P150</f>
        <v/>
      </c>
      <c r="F150" t="str">
        <f>'1'!I150&amp;".new.uat"</f>
        <v>.new.uat</v>
      </c>
      <c r="G150" s="39" t="s">
        <v>5389</v>
      </c>
      <c r="H150" t="str">
        <f>'1'!I150</f>
        <v/>
      </c>
      <c r="I150" t="str">
        <f>'1'!AI150</f>
        <v>ADP and BU Language Code Not MappedUS</v>
      </c>
      <c r="L150" t="str">
        <f>'1'!AD150</f>
        <v>BU Description Not Mapped</v>
      </c>
      <c r="M150" t="str">
        <f>'1'!AJ150</f>
        <v>BU Currency Not Mapped</v>
      </c>
      <c r="O150" s="39" t="str">
        <f>'1'!AL150</f>
        <v>N</v>
      </c>
      <c r="P150" t="str">
        <f>'1'!AD150</f>
        <v>BU Description Not Mapped</v>
      </c>
      <c r="Q150" t="str">
        <f>'1'!AE150</f>
        <v>Home Department Code Not Mapped</v>
      </c>
      <c r="W150" t="str">
        <f>'1'!AA150</f>
        <v/>
      </c>
      <c r="X150" t="str">
        <f>'1'!AG150</f>
        <v>Salary Code Not Mapped</v>
      </c>
      <c r="Z150" t="str">
        <f>'1'!AE150</f>
        <v>Home Department Code Not Mapped</v>
      </c>
      <c r="AB150" t="str">
        <f>'1'!AM150</f>
        <v>20260201</v>
      </c>
      <c r="AC150" t="str">
        <f>'1'!AK150</f>
        <v/>
      </c>
      <c r="AP150" t="str">
        <f>'1'!AD150</f>
        <v>BU Description Not Mapped</v>
      </c>
      <c r="BG150" t="str">
        <f>'1'!AC150</f>
        <v/>
      </c>
      <c r="BK150" s="39" t="s">
        <v>5381</v>
      </c>
      <c r="BL150" s="39" t="s">
        <v>5381</v>
      </c>
      <c r="BU150" s="39" t="s">
        <v>5381</v>
      </c>
      <c r="BV150" s="39" t="s">
        <v>5381</v>
      </c>
      <c r="CE150" s="39" t="s">
        <v>5381</v>
      </c>
      <c r="CH150" s="39" t="s">
        <v>5381</v>
      </c>
    </row>
    <row r="151" spans="1:86">
      <c r="A151" s="62" t="s">
        <v>5380</v>
      </c>
      <c r="B151" t="str">
        <f>'1'!B151</f>
        <v>Ramon</v>
      </c>
      <c r="C151" t="str">
        <f>'1'!C151</f>
        <v>A</v>
      </c>
      <c r="D151" t="str">
        <f>'1'!D151</f>
        <v>Rodriguez</v>
      </c>
      <c r="E151" t="str">
        <f>'1'!P151</f>
        <v>212338</v>
      </c>
      <c r="F151" t="str">
        <f>'1'!I151&amp;".new.uat"</f>
        <v>.new.uat</v>
      </c>
      <c r="G151" s="39" t="s">
        <v>5389</v>
      </c>
      <c r="H151" t="str">
        <f>'1'!I151</f>
        <v/>
      </c>
      <c r="I151" t="str">
        <f>'1'!AI151</f>
        <v>en_US</v>
      </c>
      <c r="L151" t="str">
        <f>'1'!AD151</f>
        <v>0096</v>
      </c>
      <c r="M151" t="str">
        <f>'1'!AJ151</f>
        <v>USD</v>
      </c>
      <c r="O151" s="39" t="str">
        <f>'1'!AL151</f>
        <v>Y</v>
      </c>
      <c r="P151" t="str">
        <f>'1'!AD151</f>
        <v>0096</v>
      </c>
      <c r="Q151">
        <f>'1'!AE151</f>
        <v>200</v>
      </c>
      <c r="W151" t="str">
        <f>'1'!AA151</f>
        <v>H05</v>
      </c>
      <c r="X151" t="str">
        <f>'1'!AG151</f>
        <v>General</v>
      </c>
      <c r="Z151">
        <f>'1'!AE151</f>
        <v>200</v>
      </c>
      <c r="AB151" t="str">
        <f>'1'!AM151</f>
        <v/>
      </c>
      <c r="AC151" t="str">
        <f>'1'!AK151</f>
        <v/>
      </c>
      <c r="AP151" t="str">
        <f>'1'!AD151</f>
        <v>0096</v>
      </c>
      <c r="BG151" t="str">
        <f>'1'!AC151</f>
        <v>211998</v>
      </c>
      <c r="BK151" s="39" t="s">
        <v>5381</v>
      </c>
      <c r="BL151" s="39" t="s">
        <v>5381</v>
      </c>
      <c r="BU151" s="39" t="s">
        <v>5381</v>
      </c>
      <c r="BV151" s="39" t="s">
        <v>5381</v>
      </c>
      <c r="CE151" s="39" t="s">
        <v>5381</v>
      </c>
      <c r="CH151" s="39" t="s">
        <v>5381</v>
      </c>
    </row>
    <row r="152" spans="1:86">
      <c r="A152" s="62" t="s">
        <v>5380</v>
      </c>
      <c r="B152" t="str">
        <f>'1'!B152</f>
        <v>Siobhan</v>
      </c>
      <c r="C152" t="str">
        <f>'1'!C152</f>
        <v/>
      </c>
      <c r="D152" t="str">
        <f>'1'!D152</f>
        <v>Rodriguez</v>
      </c>
      <c r="E152" t="str">
        <f>'1'!P152</f>
        <v>207588</v>
      </c>
      <c r="F152" t="str">
        <f>'1'!I152&amp;".new.uat"</f>
        <v>srodriguez@onebarnes.com.new.uat</v>
      </c>
      <c r="G152" s="39" t="s">
        <v>5389</v>
      </c>
      <c r="H152" t="str">
        <f>'1'!I152</f>
        <v>srodriguez@onebarnes.com</v>
      </c>
      <c r="I152" t="str">
        <f>'1'!AI152</f>
        <v>en_US</v>
      </c>
      <c r="L152" t="str">
        <f>'1'!AD152</f>
        <v>0096</v>
      </c>
      <c r="M152" t="str">
        <f>'1'!AJ152</f>
        <v>USD</v>
      </c>
      <c r="O152" s="39" t="str">
        <f>'1'!AL152</f>
        <v>Y</v>
      </c>
      <c r="P152" t="str">
        <f>'1'!AD152</f>
        <v>0096</v>
      </c>
      <c r="Q152">
        <f>'1'!AE152</f>
        <v>820</v>
      </c>
      <c r="W152" t="str">
        <f>'1'!AA152</f>
        <v>S18</v>
      </c>
      <c r="X152" t="str">
        <f>'1'!AG152</f>
        <v>General</v>
      </c>
      <c r="Z152">
        <f>'1'!AE152</f>
        <v>820</v>
      </c>
      <c r="AB152" t="str">
        <f>'1'!AM152</f>
        <v/>
      </c>
      <c r="AC152" t="str">
        <f>'1'!AK152</f>
        <v/>
      </c>
      <c r="AP152" t="str">
        <f>'1'!AD152</f>
        <v>0096</v>
      </c>
      <c r="BG152" t="str">
        <f>'1'!AC152</f>
        <v>207709</v>
      </c>
      <c r="BK152" s="39" t="s">
        <v>5381</v>
      </c>
      <c r="BL152" s="39" t="s">
        <v>5381</v>
      </c>
      <c r="BU152" s="39" t="s">
        <v>5381</v>
      </c>
      <c r="BV152" s="39" t="s">
        <v>5381</v>
      </c>
      <c r="CE152" s="39" t="s">
        <v>5381</v>
      </c>
      <c r="CH152" s="39" t="s">
        <v>5381</v>
      </c>
    </row>
    <row r="153" spans="1:86">
      <c r="A153" s="62" t="s">
        <v>5380</v>
      </c>
      <c r="B153" t="str">
        <f>'1'!B153</f>
        <v>Wayne</v>
      </c>
      <c r="C153" t="str">
        <f>'1'!C153</f>
        <v>A</v>
      </c>
      <c r="D153" t="str">
        <f>'1'!D153</f>
        <v>Rogers</v>
      </c>
      <c r="E153" t="str">
        <f>'1'!P153</f>
        <v>207487</v>
      </c>
      <c r="F153" t="str">
        <f>'1'!I153&amp;".new.uat"</f>
        <v>wrogers@onebarnes.com.new.uat</v>
      </c>
      <c r="G153" s="39" t="s">
        <v>5389</v>
      </c>
      <c r="H153" t="str">
        <f>'1'!I153</f>
        <v>wrogers@onebarnes.com</v>
      </c>
      <c r="I153" t="str">
        <f>'1'!AI153</f>
        <v>en_US</v>
      </c>
      <c r="L153" t="str">
        <f>'1'!AD153</f>
        <v>0088</v>
      </c>
      <c r="M153" t="str">
        <f>'1'!AJ153</f>
        <v>USD</v>
      </c>
      <c r="O153" s="39" t="str">
        <f>'1'!AL153</f>
        <v>Y</v>
      </c>
      <c r="P153" t="str">
        <f>'1'!AD153</f>
        <v>0088</v>
      </c>
      <c r="Q153">
        <f>'1'!AE153</f>
        <v>5200</v>
      </c>
      <c r="W153" t="str">
        <f>'1'!AA153</f>
        <v>S11</v>
      </c>
      <c r="X153" t="str">
        <f>'1'!AG153</f>
        <v>General</v>
      </c>
      <c r="Z153">
        <f>'1'!AE153</f>
        <v>5200</v>
      </c>
      <c r="AB153" t="str">
        <f>'1'!AM153</f>
        <v/>
      </c>
      <c r="AC153" t="str">
        <f>'1'!AK153</f>
        <v/>
      </c>
      <c r="AP153" t="str">
        <f>'1'!AD153</f>
        <v>0088</v>
      </c>
      <c r="BG153" t="str">
        <f>'1'!AC153</f>
        <v>211464</v>
      </c>
      <c r="BK153" s="39" t="s">
        <v>5381</v>
      </c>
      <c r="BL153" s="39" t="s">
        <v>5381</v>
      </c>
      <c r="BU153" s="39" t="s">
        <v>5381</v>
      </c>
      <c r="BV153" s="39" t="s">
        <v>5381</v>
      </c>
      <c r="CE153" s="39" t="s">
        <v>5381</v>
      </c>
      <c r="CH153" s="39" t="s">
        <v>5381</v>
      </c>
    </row>
    <row r="154" spans="1:86">
      <c r="A154" s="62" t="s">
        <v>5380</v>
      </c>
      <c r="B154" t="str">
        <f>'1'!B154</f>
        <v>DayShawn</v>
      </c>
      <c r="C154" t="str">
        <f>'1'!C154</f>
        <v/>
      </c>
      <c r="D154" t="str">
        <f>'1'!D154</f>
        <v>Rome</v>
      </c>
      <c r="E154" t="str">
        <f>'1'!P154</f>
        <v/>
      </c>
      <c r="F154" t="str">
        <f>'1'!I154&amp;".new.uat"</f>
        <v>.new.uat</v>
      </c>
      <c r="G154" s="39" t="s">
        <v>5389</v>
      </c>
      <c r="H154" t="str">
        <f>'1'!I154</f>
        <v/>
      </c>
      <c r="I154" t="str">
        <f>'1'!AI154</f>
        <v>en_US</v>
      </c>
      <c r="L154" t="str">
        <f>'1'!AD154</f>
        <v>0088</v>
      </c>
      <c r="M154" t="str">
        <f>'1'!AJ154</f>
        <v>USD</v>
      </c>
      <c r="O154" s="39" t="str">
        <f>'1'!AL154</f>
        <v>N</v>
      </c>
      <c r="P154" t="str">
        <f>'1'!AD154</f>
        <v>0088</v>
      </c>
      <c r="Q154">
        <f>'1'!AE154</f>
        <v>5200</v>
      </c>
      <c r="W154" t="str">
        <f>'1'!AA154</f>
        <v>S05</v>
      </c>
      <c r="X154" t="str">
        <f>'1'!AG154</f>
        <v>General</v>
      </c>
      <c r="Z154">
        <f>'1'!AE154</f>
        <v>5200</v>
      </c>
      <c r="AB154" t="str">
        <f>'1'!AM154</f>
        <v>20260702</v>
      </c>
      <c r="AC154" t="str">
        <f>'1'!AK154</f>
        <v/>
      </c>
      <c r="AP154" t="str">
        <f>'1'!AD154</f>
        <v>0088</v>
      </c>
      <c r="BG154" t="str">
        <f>'1'!AC154</f>
        <v>207487</v>
      </c>
      <c r="BK154" s="39" t="s">
        <v>5381</v>
      </c>
      <c r="BL154" s="39" t="s">
        <v>5381</v>
      </c>
      <c r="BU154" s="39" t="s">
        <v>5381</v>
      </c>
      <c r="BV154" s="39" t="s">
        <v>5381</v>
      </c>
      <c r="CE154" s="39" t="s">
        <v>5381</v>
      </c>
      <c r="CH154" s="39" t="s">
        <v>5381</v>
      </c>
    </row>
    <row r="155" spans="1:86">
      <c r="A155" s="62" t="s">
        <v>5380</v>
      </c>
      <c r="B155" t="str">
        <f>'1'!B155</f>
        <v>Gwendolyn</v>
      </c>
      <c r="C155" t="str">
        <f>'1'!C155</f>
        <v>L</v>
      </c>
      <c r="D155" t="str">
        <f>'1'!D155</f>
        <v>Rome</v>
      </c>
      <c r="E155" t="str">
        <f>'1'!P155</f>
        <v>007647</v>
      </c>
      <c r="F155" t="str">
        <f>'1'!I155&amp;".new.uat"</f>
        <v>grome@onebarnes.com.new.uat</v>
      </c>
      <c r="G155" s="39" t="s">
        <v>5389</v>
      </c>
      <c r="H155" t="str">
        <f>'1'!I155</f>
        <v>grome@onebarnes.com</v>
      </c>
      <c r="I155" t="str">
        <f>'1'!AI155</f>
        <v>en_US</v>
      </c>
      <c r="L155" t="str">
        <f>'1'!AD155</f>
        <v>0088</v>
      </c>
      <c r="M155" t="str">
        <f>'1'!AJ155</f>
        <v>USD</v>
      </c>
      <c r="O155" s="39" t="str">
        <f>'1'!AL155</f>
        <v>Y</v>
      </c>
      <c r="P155" t="str">
        <f>'1'!AD155</f>
        <v>0088</v>
      </c>
      <c r="Q155">
        <f>'1'!AE155</f>
        <v>9100</v>
      </c>
      <c r="W155" t="str">
        <f>'1'!AA155</f>
        <v>S11</v>
      </c>
      <c r="X155" t="str">
        <f>'1'!AG155</f>
        <v>General</v>
      </c>
      <c r="Z155">
        <f>'1'!AE155</f>
        <v>9100</v>
      </c>
      <c r="AB155" t="str">
        <f>'1'!AM155</f>
        <v/>
      </c>
      <c r="AC155" t="str">
        <f>'1'!AK155</f>
        <v/>
      </c>
      <c r="AP155" t="str">
        <f>'1'!AD155</f>
        <v>0088</v>
      </c>
      <c r="BG155" t="str">
        <f>'1'!AC155</f>
        <v>008750</v>
      </c>
      <c r="BK155" s="39" t="s">
        <v>5381</v>
      </c>
      <c r="BL155" s="39" t="s">
        <v>5381</v>
      </c>
      <c r="BU155" s="39" t="s">
        <v>5381</v>
      </c>
      <c r="BV155" s="39" t="s">
        <v>5381</v>
      </c>
      <c r="CE155" s="39" t="s">
        <v>5381</v>
      </c>
      <c r="CH155" s="39" t="s">
        <v>5381</v>
      </c>
    </row>
    <row r="156" spans="1:86">
      <c r="A156" s="62" t="s">
        <v>5380</v>
      </c>
      <c r="B156" t="str">
        <f>'1'!B156</f>
        <v>Matthew</v>
      </c>
      <c r="C156" t="str">
        <f>'1'!C156</f>
        <v>J</v>
      </c>
      <c r="D156" t="str">
        <f>'1'!D156</f>
        <v>Said</v>
      </c>
      <c r="E156" t="str">
        <f>'1'!P156</f>
        <v>004374</v>
      </c>
      <c r="F156" t="str">
        <f>'1'!I156&amp;".new.uat"</f>
        <v>.new.uat</v>
      </c>
      <c r="G156" s="39" t="s">
        <v>5389</v>
      </c>
      <c r="H156" t="str">
        <f>'1'!I156</f>
        <v/>
      </c>
      <c r="I156" t="str">
        <f>'1'!AI156</f>
        <v>en_US</v>
      </c>
      <c r="L156" t="str">
        <f>'1'!AD156</f>
        <v>0096</v>
      </c>
      <c r="M156" t="str">
        <f>'1'!AJ156</f>
        <v>USD</v>
      </c>
      <c r="O156" s="39" t="str">
        <f>'1'!AL156</f>
        <v>Y</v>
      </c>
      <c r="P156" t="str">
        <f>'1'!AD156</f>
        <v>0096</v>
      </c>
      <c r="Q156">
        <f>'1'!AE156</f>
        <v>100</v>
      </c>
      <c r="W156" t="str">
        <f>'1'!AA156</f>
        <v>H06</v>
      </c>
      <c r="X156" t="str">
        <f>'1'!AG156</f>
        <v>General</v>
      </c>
      <c r="Z156">
        <f>'1'!AE156</f>
        <v>100</v>
      </c>
      <c r="AB156" t="str">
        <f>'1'!AM156</f>
        <v/>
      </c>
      <c r="AC156" t="str">
        <f>'1'!AK156</f>
        <v/>
      </c>
      <c r="AP156" t="str">
        <f>'1'!AD156</f>
        <v>0096</v>
      </c>
      <c r="BG156" t="str">
        <f>'1'!AC156</f>
        <v>211062</v>
      </c>
      <c r="BK156" s="39" t="s">
        <v>5381</v>
      </c>
      <c r="BL156" s="39" t="s">
        <v>5381</v>
      </c>
      <c r="BU156" s="39" t="s">
        <v>5381</v>
      </c>
      <c r="BV156" s="39" t="s">
        <v>5381</v>
      </c>
      <c r="CE156" s="39" t="s">
        <v>5381</v>
      </c>
      <c r="CH156" s="39" t="s">
        <v>5381</v>
      </c>
    </row>
    <row r="157" spans="1:86">
      <c r="A157" s="62" t="s">
        <v>5380</v>
      </c>
      <c r="B157" t="str">
        <f>'1'!B157</f>
        <v>Christopher</v>
      </c>
      <c r="C157" t="str">
        <f>'1'!C157</f>
        <v>D</v>
      </c>
      <c r="D157" t="str">
        <f>'1'!D157</f>
        <v>Sanderson</v>
      </c>
      <c r="E157" t="str">
        <f>'1'!P157</f>
        <v>213091</v>
      </c>
      <c r="F157" t="str">
        <f>'1'!I157&amp;".new.uat"</f>
        <v>.new.uat</v>
      </c>
      <c r="G157" s="39" t="s">
        <v>5389</v>
      </c>
      <c r="H157" t="str">
        <f>'1'!I157</f>
        <v/>
      </c>
      <c r="I157" t="str">
        <f>'1'!AI157</f>
        <v>en_US</v>
      </c>
      <c r="L157" t="str">
        <f>'1'!AD157</f>
        <v>0088</v>
      </c>
      <c r="M157" t="str">
        <f>'1'!AJ157</f>
        <v>USD</v>
      </c>
      <c r="O157" s="39" t="str">
        <f>'1'!AL157</f>
        <v>Y</v>
      </c>
      <c r="P157" t="str">
        <f>'1'!AD157</f>
        <v>0088</v>
      </c>
      <c r="Q157">
        <f>'1'!AE157</f>
        <v>5200</v>
      </c>
      <c r="W157" t="str">
        <f>'1'!AA157</f>
        <v>S05</v>
      </c>
      <c r="X157" t="str">
        <f>'1'!AG157</f>
        <v>General</v>
      </c>
      <c r="Z157">
        <f>'1'!AE157</f>
        <v>5200</v>
      </c>
      <c r="AB157" t="str">
        <f>'1'!AM157</f>
        <v/>
      </c>
      <c r="AC157" t="str">
        <f>'1'!AK157</f>
        <v/>
      </c>
      <c r="AP157" t="str">
        <f>'1'!AD157</f>
        <v>0088</v>
      </c>
      <c r="BG157" t="str">
        <f>'1'!AC157</f>
        <v>207487</v>
      </c>
      <c r="BK157" s="39" t="s">
        <v>5381</v>
      </c>
      <c r="BL157" s="39" t="s">
        <v>5381</v>
      </c>
      <c r="BU157" s="39" t="s">
        <v>5381</v>
      </c>
      <c r="BV157" s="39" t="s">
        <v>5381</v>
      </c>
      <c r="CE157" s="39" t="s">
        <v>5381</v>
      </c>
      <c r="CH157" s="39" t="s">
        <v>5381</v>
      </c>
    </row>
    <row r="158" spans="1:86">
      <c r="A158" s="62" t="s">
        <v>5380</v>
      </c>
      <c r="B158" t="str">
        <f>'1'!B158</f>
        <v>Richard</v>
      </c>
      <c r="C158" t="str">
        <f>'1'!C158</f>
        <v/>
      </c>
      <c r="D158" t="str">
        <f>'1'!D158</f>
        <v>Sasak</v>
      </c>
      <c r="E158" t="str">
        <f>'1'!P158</f>
        <v>900439</v>
      </c>
      <c r="F158" t="str">
        <f>'1'!I158&amp;".new.uat"</f>
        <v>RXSasak@onebarnes.com.new.uat</v>
      </c>
      <c r="G158" s="39" t="s">
        <v>5389</v>
      </c>
      <c r="H158" t="str">
        <f>'1'!I158</f>
        <v>RXSasak@onebarnes.com</v>
      </c>
      <c r="I158" t="str">
        <f>'1'!AI158</f>
        <v>en_US</v>
      </c>
      <c r="L158" t="str">
        <f>'1'!AD158</f>
        <v>0096</v>
      </c>
      <c r="M158" t="str">
        <f>'1'!AJ158</f>
        <v>USD</v>
      </c>
      <c r="O158" s="39" t="str">
        <f>'1'!AL158</f>
        <v>Y</v>
      </c>
      <c r="P158" t="str">
        <f>'1'!AD158</f>
        <v>0096</v>
      </c>
      <c r="Q158">
        <f>'1'!AE158</f>
        <v>718</v>
      </c>
      <c r="W158" t="str">
        <f>'1'!AA158</f>
        <v>S14</v>
      </c>
      <c r="X158" t="str">
        <f>'1'!AG158</f>
        <v>General</v>
      </c>
      <c r="Z158">
        <f>'1'!AE158</f>
        <v>718</v>
      </c>
      <c r="AB158" t="str">
        <f>'1'!AM158</f>
        <v/>
      </c>
      <c r="AC158" t="str">
        <f>'1'!AK158</f>
        <v/>
      </c>
      <c r="AP158" t="str">
        <f>'1'!AD158</f>
        <v>0096</v>
      </c>
      <c r="BG158" t="str">
        <f>'1'!AC158</f>
        <v>213037</v>
      </c>
      <c r="BK158" s="39" t="s">
        <v>5381</v>
      </c>
      <c r="BL158" s="39" t="s">
        <v>5381</v>
      </c>
      <c r="BU158" s="39" t="s">
        <v>5381</v>
      </c>
      <c r="BV158" s="39" t="s">
        <v>5381</v>
      </c>
      <c r="CE158" s="39" t="s">
        <v>5381</v>
      </c>
      <c r="CH158" s="39" t="s">
        <v>5381</v>
      </c>
    </row>
    <row r="159" spans="1:86">
      <c r="A159" s="62" t="s">
        <v>5380</v>
      </c>
      <c r="B159" t="str">
        <f>'1'!B159</f>
        <v>Heather</v>
      </c>
      <c r="C159" t="str">
        <f>'1'!C159</f>
        <v>A</v>
      </c>
      <c r="D159" t="str">
        <f>'1'!D159</f>
        <v>Schmidt</v>
      </c>
      <c r="E159" t="str">
        <f>'1'!P159</f>
        <v>210127</v>
      </c>
      <c r="F159" t="str">
        <f>'1'!I159&amp;".new.uat"</f>
        <v>hschmidt2@onebarnes.com.new.uat</v>
      </c>
      <c r="G159" s="39" t="s">
        <v>5389</v>
      </c>
      <c r="H159" t="str">
        <f>'1'!I159</f>
        <v>hschmidt2@onebarnes.com</v>
      </c>
      <c r="I159" t="str">
        <f>'1'!AI159</f>
        <v>en_US</v>
      </c>
      <c r="L159" t="str">
        <f>'1'!AD159</f>
        <v>0088</v>
      </c>
      <c r="M159" t="str">
        <f>'1'!AJ159</f>
        <v>USD</v>
      </c>
      <c r="O159" s="39" t="str">
        <f>'1'!AL159</f>
        <v>Y</v>
      </c>
      <c r="P159" t="str">
        <f>'1'!AD159</f>
        <v>0088</v>
      </c>
      <c r="Q159">
        <f>'1'!AE159</f>
        <v>5200</v>
      </c>
      <c r="W159" t="str">
        <f>'1'!AA159</f>
        <v>S08</v>
      </c>
      <c r="X159" t="str">
        <f>'1'!AG159</f>
        <v>General</v>
      </c>
      <c r="Z159">
        <f>'1'!AE159</f>
        <v>5200</v>
      </c>
      <c r="AB159" t="str">
        <f>'1'!AM159</f>
        <v/>
      </c>
      <c r="AC159" t="str">
        <f>'1'!AK159</f>
        <v/>
      </c>
      <c r="AP159" t="str">
        <f>'1'!AD159</f>
        <v>0088</v>
      </c>
      <c r="BG159" t="str">
        <f>'1'!AC159</f>
        <v>211736</v>
      </c>
      <c r="BK159" s="39" t="s">
        <v>5381</v>
      </c>
      <c r="BL159" s="39" t="s">
        <v>5381</v>
      </c>
      <c r="BU159" s="39" t="s">
        <v>5381</v>
      </c>
      <c r="BV159" s="39" t="s">
        <v>5381</v>
      </c>
      <c r="CE159" s="39" t="s">
        <v>5381</v>
      </c>
      <c r="CH159" s="39" t="s">
        <v>5381</v>
      </c>
    </row>
    <row r="160" spans="1:86">
      <c r="A160" s="62" t="s">
        <v>5380</v>
      </c>
      <c r="B160" t="str">
        <f>'1'!B160</f>
        <v>Timothy</v>
      </c>
      <c r="C160" t="str">
        <f>'1'!C160</f>
        <v>R</v>
      </c>
      <c r="D160" t="str">
        <f>'1'!D160</f>
        <v>Seksinsky</v>
      </c>
      <c r="E160" t="str">
        <f>'1'!P160</f>
        <v>212421</v>
      </c>
      <c r="F160" t="str">
        <f>'1'!I160&amp;".new.uat"</f>
        <v>tseksinsky@onebarnes.com.new.uat</v>
      </c>
      <c r="G160" s="39" t="s">
        <v>5389</v>
      </c>
      <c r="H160" t="str">
        <f>'1'!I160</f>
        <v>tseksinsky@onebarnes.com</v>
      </c>
      <c r="I160" t="str">
        <f>'1'!AI160</f>
        <v>en_US</v>
      </c>
      <c r="L160" t="str">
        <f>'1'!AD160</f>
        <v>0088</v>
      </c>
      <c r="M160" t="str">
        <f>'1'!AJ160</f>
        <v>USD</v>
      </c>
      <c r="O160" s="39" t="str">
        <f>'1'!AL160</f>
        <v>N</v>
      </c>
      <c r="P160" t="str">
        <f>'1'!AD160</f>
        <v>0088</v>
      </c>
      <c r="Q160">
        <f>'1'!AE160</f>
        <v>8200</v>
      </c>
      <c r="W160" t="str">
        <f>'1'!AA160</f>
        <v>S16</v>
      </c>
      <c r="X160" t="str">
        <f>'1'!AG160</f>
        <v>General</v>
      </c>
      <c r="Z160">
        <f>'1'!AE160</f>
        <v>8200</v>
      </c>
      <c r="AB160" t="str">
        <f>'1'!AM160</f>
        <v>20260602</v>
      </c>
      <c r="AC160" t="str">
        <f>'1'!AK160</f>
        <v/>
      </c>
      <c r="AP160" t="str">
        <f>'1'!AD160</f>
        <v>0088</v>
      </c>
      <c r="BG160" t="str">
        <f>'1'!AC160</f>
        <v/>
      </c>
      <c r="BK160" s="39" t="s">
        <v>5381</v>
      </c>
      <c r="BL160" s="39" t="s">
        <v>5381</v>
      </c>
      <c r="BU160" s="39" t="s">
        <v>5381</v>
      </c>
      <c r="BV160" s="39" t="s">
        <v>5381</v>
      </c>
      <c r="CE160" s="39" t="s">
        <v>5381</v>
      </c>
      <c r="CH160" s="39" t="s">
        <v>5381</v>
      </c>
    </row>
    <row r="161" spans="1:86">
      <c r="A161" s="62" t="s">
        <v>5380</v>
      </c>
      <c r="B161" t="str">
        <f>'1'!B161</f>
        <v>Asia</v>
      </c>
      <c r="C161" t="str">
        <f>'1'!C161</f>
        <v/>
      </c>
      <c r="D161" t="str">
        <f>'1'!D161</f>
        <v>Sexton</v>
      </c>
      <c r="E161" t="str">
        <f>'1'!P161</f>
        <v/>
      </c>
      <c r="F161" t="str">
        <f>'1'!I161&amp;".new.uat"</f>
        <v>.new.uat</v>
      </c>
      <c r="G161" s="39" t="s">
        <v>5389</v>
      </c>
      <c r="H161" t="str">
        <f>'1'!I161</f>
        <v/>
      </c>
      <c r="I161" t="str">
        <f>'1'!AI161</f>
        <v>en_US</v>
      </c>
      <c r="L161" t="str">
        <f>'1'!AD161</f>
        <v>0088</v>
      </c>
      <c r="M161" t="str">
        <f>'1'!AJ161</f>
        <v>USD</v>
      </c>
      <c r="O161" s="39" t="str">
        <f>'1'!AL161</f>
        <v>N</v>
      </c>
      <c r="P161" t="str">
        <f>'1'!AD161</f>
        <v>0088</v>
      </c>
      <c r="Q161">
        <f>'1'!AE161</f>
        <v>5100</v>
      </c>
      <c r="W161" t="str">
        <f>'1'!AA161</f>
        <v>S05</v>
      </c>
      <c r="X161" t="str">
        <f>'1'!AG161</f>
        <v>General</v>
      </c>
      <c r="Z161">
        <f>'1'!AE161</f>
        <v>5100</v>
      </c>
      <c r="AB161" t="str">
        <f>'1'!AM161</f>
        <v>20260817</v>
      </c>
      <c r="AC161" t="str">
        <f>'1'!AK161</f>
        <v/>
      </c>
      <c r="AP161" t="str">
        <f>'1'!AD161</f>
        <v>0088</v>
      </c>
      <c r="BG161" t="str">
        <f>'1'!AC161</f>
        <v>211756</v>
      </c>
      <c r="BK161" s="39" t="s">
        <v>5381</v>
      </c>
      <c r="BL161" s="39" t="s">
        <v>5381</v>
      </c>
      <c r="BU161" s="39" t="s">
        <v>5381</v>
      </c>
      <c r="BV161" s="39" t="s">
        <v>5381</v>
      </c>
      <c r="CE161" s="39" t="s">
        <v>5381</v>
      </c>
      <c r="CH161" s="39" t="s">
        <v>5381</v>
      </c>
    </row>
    <row r="162" spans="1:86">
      <c r="A162" s="62" t="s">
        <v>5380</v>
      </c>
      <c r="B162" t="str">
        <f>'1'!B162</f>
        <v>Roger</v>
      </c>
      <c r="C162" t="str">
        <f>'1'!C162</f>
        <v>l</v>
      </c>
      <c r="D162" t="str">
        <f>'1'!D162</f>
        <v>Shook</v>
      </c>
      <c r="E162" t="str">
        <f>'1'!P162</f>
        <v>207466</v>
      </c>
      <c r="F162" t="str">
        <f>'1'!I162&amp;".new.uat"</f>
        <v>rshook@onebarnes.com.new.uat</v>
      </c>
      <c r="G162" s="39" t="s">
        <v>5389</v>
      </c>
      <c r="H162" t="str">
        <f>'1'!I162</f>
        <v>rshook@onebarnes.com</v>
      </c>
      <c r="I162" t="str">
        <f>'1'!AI162</f>
        <v>en_US</v>
      </c>
      <c r="L162" t="str">
        <f>'1'!AD162</f>
        <v>0088</v>
      </c>
      <c r="M162" t="str">
        <f>'1'!AJ162</f>
        <v>USD</v>
      </c>
      <c r="O162" s="39" t="str">
        <f>'1'!AL162</f>
        <v>Y</v>
      </c>
      <c r="P162" t="str">
        <f>'1'!AD162</f>
        <v>0088</v>
      </c>
      <c r="Q162">
        <f>'1'!AE162</f>
        <v>5100</v>
      </c>
      <c r="W162" t="str">
        <f>'1'!AA162</f>
        <v>S05</v>
      </c>
      <c r="X162" t="str">
        <f>'1'!AG162</f>
        <v>General</v>
      </c>
      <c r="Z162">
        <f>'1'!AE162</f>
        <v>5100</v>
      </c>
      <c r="AB162" t="str">
        <f>'1'!AM162</f>
        <v/>
      </c>
      <c r="AC162" t="str">
        <f>'1'!AK162</f>
        <v/>
      </c>
      <c r="AP162" t="str">
        <f>'1'!AD162</f>
        <v>0088</v>
      </c>
      <c r="BG162" t="str">
        <f>'1'!AC162</f>
        <v>211756</v>
      </c>
      <c r="BK162" s="39" t="s">
        <v>5381</v>
      </c>
      <c r="BL162" s="39" t="s">
        <v>5381</v>
      </c>
      <c r="BU162" s="39" t="s">
        <v>5381</v>
      </c>
      <c r="BV162" s="39" t="s">
        <v>5381</v>
      </c>
      <c r="CE162" s="39" t="s">
        <v>5381</v>
      </c>
      <c r="CH162" s="39" t="s">
        <v>5381</v>
      </c>
    </row>
    <row r="163" spans="1:86">
      <c r="A163" s="62" t="s">
        <v>5380</v>
      </c>
      <c r="B163" t="str">
        <f>'1'!B163</f>
        <v>Momika</v>
      </c>
      <c r="C163" t="str">
        <f>'1'!C163</f>
        <v/>
      </c>
      <c r="D163" t="str">
        <f>'1'!D163</f>
        <v>Smith</v>
      </c>
      <c r="E163" t="str">
        <f>'1'!P163</f>
        <v>210281</v>
      </c>
      <c r="F163" t="str">
        <f>'1'!I163&amp;".new.uat"</f>
        <v>msmith@onebarnes.com.new.uat</v>
      </c>
      <c r="G163" s="39" t="s">
        <v>5389</v>
      </c>
      <c r="H163" t="str">
        <f>'1'!I163</f>
        <v>msmith@onebarnes.com</v>
      </c>
      <c r="I163" t="str">
        <f>'1'!AI163</f>
        <v>en_US</v>
      </c>
      <c r="L163" t="str">
        <f>'1'!AD163</f>
        <v>0088</v>
      </c>
      <c r="M163" t="str">
        <f>'1'!AJ163</f>
        <v>USD</v>
      </c>
      <c r="O163" s="39" t="str">
        <f>'1'!AL163</f>
        <v>Y</v>
      </c>
      <c r="P163" t="str">
        <f>'1'!AD163</f>
        <v>0088</v>
      </c>
      <c r="Q163">
        <f>'1'!AE163</f>
        <v>5200</v>
      </c>
      <c r="W163" t="str">
        <f>'1'!AA163</f>
        <v>S05</v>
      </c>
      <c r="X163" t="str">
        <f>'1'!AG163</f>
        <v>General</v>
      </c>
      <c r="Z163">
        <f>'1'!AE163</f>
        <v>5200</v>
      </c>
      <c r="AB163" t="str">
        <f>'1'!AM163</f>
        <v/>
      </c>
      <c r="AC163" t="str">
        <f>'1'!AK163</f>
        <v/>
      </c>
      <c r="AP163" t="str">
        <f>'1'!AD163</f>
        <v>0088</v>
      </c>
      <c r="BG163" t="str">
        <f>'1'!AC163</f>
        <v>211736</v>
      </c>
      <c r="BK163" s="39" t="s">
        <v>5381</v>
      </c>
      <c r="BL163" s="39" t="s">
        <v>5381</v>
      </c>
      <c r="BU163" s="39" t="s">
        <v>5381</v>
      </c>
      <c r="BV163" s="39" t="s">
        <v>5381</v>
      </c>
      <c r="CE163" s="39" t="s">
        <v>5381</v>
      </c>
      <c r="CH163" s="39" t="s">
        <v>5381</v>
      </c>
    </row>
    <row r="164" spans="1:86">
      <c r="A164" s="62" t="s">
        <v>5380</v>
      </c>
      <c r="B164" t="str">
        <f>'1'!B164</f>
        <v>Michael</v>
      </c>
      <c r="C164" t="str">
        <f>'1'!C164</f>
        <v/>
      </c>
      <c r="D164" t="str">
        <f>'1'!D164</f>
        <v>Steen</v>
      </c>
      <c r="E164" t="str">
        <f>'1'!P164</f>
        <v>211062</v>
      </c>
      <c r="F164" t="str">
        <f>'1'!I164&amp;".new.uat"</f>
        <v>msteen@onebarnes.com.new.uat</v>
      </c>
      <c r="G164" s="39" t="s">
        <v>5389</v>
      </c>
      <c r="H164" t="str">
        <f>'1'!I164</f>
        <v>msteen@onebarnes.com</v>
      </c>
      <c r="I164" t="str">
        <f>'1'!AI164</f>
        <v>en_US</v>
      </c>
      <c r="L164" t="str">
        <f>'1'!AD164</f>
        <v>0096</v>
      </c>
      <c r="M164" t="str">
        <f>'1'!AJ164</f>
        <v>USD</v>
      </c>
      <c r="O164" s="39" t="str">
        <f>'1'!AL164</f>
        <v>Y</v>
      </c>
      <c r="P164" t="str">
        <f>'1'!AD164</f>
        <v>0096</v>
      </c>
      <c r="Q164">
        <f>'1'!AE164</f>
        <v>515</v>
      </c>
      <c r="W164" t="str">
        <f>'1'!AA164</f>
        <v>S14</v>
      </c>
      <c r="X164" t="str">
        <f>'1'!AG164</f>
        <v>General</v>
      </c>
      <c r="Z164">
        <f>'1'!AE164</f>
        <v>515</v>
      </c>
      <c r="AB164" t="str">
        <f>'1'!AM164</f>
        <v/>
      </c>
      <c r="AC164" t="str">
        <f>'1'!AK164</f>
        <v/>
      </c>
      <c r="AP164" t="str">
        <f>'1'!AD164</f>
        <v>0096</v>
      </c>
      <c r="BG164" t="str">
        <f>'1'!AC164</f>
        <v>006780</v>
      </c>
      <c r="BK164" s="39" t="s">
        <v>5381</v>
      </c>
      <c r="BL164" s="39" t="s">
        <v>5381</v>
      </c>
      <c r="BU164" s="39" t="s">
        <v>5381</v>
      </c>
      <c r="BV164" s="39" t="s">
        <v>5381</v>
      </c>
      <c r="CE164" s="39" t="s">
        <v>5381</v>
      </c>
      <c r="CH164" s="39" t="s">
        <v>5381</v>
      </c>
    </row>
    <row r="165" spans="1:86">
      <c r="A165" s="62" t="s">
        <v>5380</v>
      </c>
      <c r="B165" t="str">
        <f>'1'!B165</f>
        <v>James</v>
      </c>
      <c r="C165" t="str">
        <f>'1'!C165</f>
        <v/>
      </c>
      <c r="D165" t="str">
        <f>'1'!D165</f>
        <v>Stefancin</v>
      </c>
      <c r="E165" t="str">
        <f>'1'!P165</f>
        <v>212191</v>
      </c>
      <c r="F165" t="str">
        <f>'1'!I165&amp;".new.uat"</f>
        <v>jstefancin@onebarnes.com.new.uat</v>
      </c>
      <c r="G165" s="39" t="s">
        <v>5389</v>
      </c>
      <c r="H165" t="str">
        <f>'1'!I165</f>
        <v>jstefancin@onebarnes.com</v>
      </c>
      <c r="I165" t="str">
        <f>'1'!AI165</f>
        <v>en_US</v>
      </c>
      <c r="L165" t="str">
        <f>'1'!AD165</f>
        <v>0088</v>
      </c>
      <c r="M165" t="str">
        <f>'1'!AJ165</f>
        <v>USD</v>
      </c>
      <c r="O165" s="39" t="str">
        <f>'1'!AL165</f>
        <v>N</v>
      </c>
      <c r="P165" t="str">
        <f>'1'!AD165</f>
        <v>0088</v>
      </c>
      <c r="Q165">
        <f>'1'!AE165</f>
        <v>9400</v>
      </c>
      <c r="W165" t="str">
        <f>'1'!AA165</f>
        <v>S17</v>
      </c>
      <c r="X165" t="str">
        <f>'1'!AG165</f>
        <v>General</v>
      </c>
      <c r="Z165">
        <f>'1'!AE165</f>
        <v>9400</v>
      </c>
      <c r="AB165" t="str">
        <f>'1'!AM165</f>
        <v>20260801</v>
      </c>
      <c r="AC165" t="str">
        <f>'1'!AK165</f>
        <v/>
      </c>
      <c r="AP165" t="str">
        <f>'1'!AD165</f>
        <v>0088</v>
      </c>
      <c r="BG165" t="str">
        <f>'1'!AC165</f>
        <v>211601</v>
      </c>
      <c r="BK165" s="39" t="s">
        <v>5381</v>
      </c>
      <c r="BL165" s="39" t="s">
        <v>5381</v>
      </c>
      <c r="BU165" s="39" t="s">
        <v>5381</v>
      </c>
      <c r="BV165" s="39" t="s">
        <v>5381</v>
      </c>
      <c r="CE165" s="39" t="s">
        <v>5381</v>
      </c>
      <c r="CH165" s="39" t="s">
        <v>5381</v>
      </c>
    </row>
    <row r="166" spans="1:86">
      <c r="A166" s="62" t="s">
        <v>5380</v>
      </c>
      <c r="B166" t="str">
        <f>'1'!B166</f>
        <v>James</v>
      </c>
      <c r="C166" t="str">
        <f>'1'!C166</f>
        <v/>
      </c>
      <c r="D166" t="str">
        <f>'1'!D166</f>
        <v>Stefancin</v>
      </c>
      <c r="E166" t="str">
        <f>'1'!P166</f>
        <v>212191</v>
      </c>
      <c r="F166" t="str">
        <f>'1'!I166&amp;".new.uat"</f>
        <v>jstefancin@onebarnes.com.new.uat</v>
      </c>
      <c r="G166" s="39" t="s">
        <v>5389</v>
      </c>
      <c r="H166" t="str">
        <f>'1'!I166</f>
        <v>jstefancin@onebarnes.com</v>
      </c>
      <c r="I166" t="str">
        <f>'1'!AI166</f>
        <v>en_US</v>
      </c>
      <c r="L166" t="str">
        <f>'1'!AD166</f>
        <v>0096</v>
      </c>
      <c r="M166" t="str">
        <f>'1'!AJ166</f>
        <v>USD</v>
      </c>
      <c r="O166" s="39" t="str">
        <f>'1'!AL166</f>
        <v>Y</v>
      </c>
      <c r="P166" t="str">
        <f>'1'!AD166</f>
        <v>0096</v>
      </c>
      <c r="Q166" t="str">
        <f>'1'!AE166</f>
        <v>0007</v>
      </c>
      <c r="W166" t="str">
        <f>'1'!AA166</f>
        <v>S17</v>
      </c>
      <c r="X166" t="str">
        <f>'1'!AG166</f>
        <v>General</v>
      </c>
      <c r="Z166" t="str">
        <f>'1'!AE166</f>
        <v>0007</v>
      </c>
      <c r="AB166" t="str">
        <f>'1'!AM166</f>
        <v/>
      </c>
      <c r="AC166" t="str">
        <f>'1'!AK166</f>
        <v/>
      </c>
      <c r="AP166" t="str">
        <f>'1'!AD166</f>
        <v>0096</v>
      </c>
      <c r="BG166" t="str">
        <f>'1'!AC166</f>
        <v>213037</v>
      </c>
      <c r="BK166" s="39" t="s">
        <v>5381</v>
      </c>
      <c r="BL166" s="39" t="s">
        <v>5381</v>
      </c>
      <c r="BU166" s="39" t="s">
        <v>5381</v>
      </c>
      <c r="BV166" s="39" t="s">
        <v>5381</v>
      </c>
      <c r="CE166" s="39" t="s">
        <v>5381</v>
      </c>
      <c r="CH166" s="39" t="s">
        <v>5381</v>
      </c>
    </row>
    <row r="167" spans="1:86">
      <c r="A167" s="62" t="s">
        <v>5380</v>
      </c>
      <c r="B167" t="str">
        <f>'1'!B167</f>
        <v>Marvin</v>
      </c>
      <c r="C167" t="str">
        <f>'1'!C167</f>
        <v/>
      </c>
      <c r="D167" t="str">
        <f>'1'!D167</f>
        <v>Stone</v>
      </c>
      <c r="E167" t="str">
        <f>'1'!P167</f>
        <v>004382</v>
      </c>
      <c r="F167" t="str">
        <f>'1'!I167&amp;".new.uat"</f>
        <v>.new.uat</v>
      </c>
      <c r="G167" s="39" t="s">
        <v>5389</v>
      </c>
      <c r="H167" t="str">
        <f>'1'!I167</f>
        <v/>
      </c>
      <c r="I167" t="str">
        <f>'1'!AI167</f>
        <v>en_US</v>
      </c>
      <c r="L167" t="str">
        <f>'1'!AD167</f>
        <v>0096</v>
      </c>
      <c r="M167" t="str">
        <f>'1'!AJ167</f>
        <v>USD</v>
      </c>
      <c r="O167" s="39" t="str">
        <f>'1'!AL167</f>
        <v>Y</v>
      </c>
      <c r="P167" t="str">
        <f>'1'!AD167</f>
        <v>0096</v>
      </c>
      <c r="Q167">
        <f>'1'!AE167</f>
        <v>100</v>
      </c>
      <c r="W167" t="str">
        <f>'1'!AA167</f>
        <v>H07</v>
      </c>
      <c r="X167" t="str">
        <f>'1'!AG167</f>
        <v>General</v>
      </c>
      <c r="Z167">
        <f>'1'!AE167</f>
        <v>100</v>
      </c>
      <c r="AB167" t="str">
        <f>'1'!AM167</f>
        <v/>
      </c>
      <c r="AC167" t="str">
        <f>'1'!AK167</f>
        <v/>
      </c>
      <c r="AP167" t="str">
        <f>'1'!AD167</f>
        <v>0096</v>
      </c>
      <c r="BG167" t="str">
        <f>'1'!AC167</f>
        <v>211062</v>
      </c>
      <c r="BK167" s="39" t="s">
        <v>5381</v>
      </c>
      <c r="BL167" s="39" t="s">
        <v>5381</v>
      </c>
      <c r="BU167" s="39" t="s">
        <v>5381</v>
      </c>
      <c r="BV167" s="39" t="s">
        <v>5381</v>
      </c>
      <c r="CE167" s="39" t="s">
        <v>5381</v>
      </c>
      <c r="CH167" s="39" t="s">
        <v>5381</v>
      </c>
    </row>
    <row r="168" spans="1:86">
      <c r="A168" s="62" t="s">
        <v>5380</v>
      </c>
      <c r="B168" t="str">
        <f>'1'!B168</f>
        <v>Benjamin</v>
      </c>
      <c r="C168" t="str">
        <f>'1'!C168</f>
        <v/>
      </c>
      <c r="D168" t="str">
        <f>'1'!D168</f>
        <v>Sullivan</v>
      </c>
      <c r="E168" t="str">
        <f>'1'!P168</f>
        <v>210103</v>
      </c>
      <c r="F168" t="str">
        <f>'1'!I168&amp;".new.uat"</f>
        <v>bsullivan@onebarnes.com.new.uat</v>
      </c>
      <c r="G168" s="39" t="s">
        <v>5389</v>
      </c>
      <c r="H168" t="str">
        <f>'1'!I168</f>
        <v>bsullivan@onebarnes.com</v>
      </c>
      <c r="I168" t="str">
        <f>'1'!AI168</f>
        <v>en_US</v>
      </c>
      <c r="L168" t="str">
        <f>'1'!AD168</f>
        <v>0088</v>
      </c>
      <c r="M168" t="str">
        <f>'1'!AJ168</f>
        <v>USD</v>
      </c>
      <c r="O168" s="39" t="str">
        <f>'1'!AL168</f>
        <v>Y</v>
      </c>
      <c r="P168" t="str">
        <f>'1'!AD168</f>
        <v>0088</v>
      </c>
      <c r="Q168">
        <f>'1'!AE168</f>
        <v>9400</v>
      </c>
      <c r="W168" t="str">
        <f>'1'!AA168</f>
        <v>S12</v>
      </c>
      <c r="X168" t="str">
        <f>'1'!AG168</f>
        <v>General</v>
      </c>
      <c r="Z168">
        <f>'1'!AE168</f>
        <v>9400</v>
      </c>
      <c r="AB168" t="str">
        <f>'1'!AM168</f>
        <v/>
      </c>
      <c r="AC168" t="str">
        <f>'1'!AK168</f>
        <v/>
      </c>
      <c r="AP168" t="str">
        <f>'1'!AD168</f>
        <v>0088</v>
      </c>
      <c r="BG168" t="str">
        <f>'1'!AC168</f>
        <v>212699</v>
      </c>
      <c r="BK168" s="39" t="s">
        <v>5381</v>
      </c>
      <c r="BL168" s="39" t="s">
        <v>5381</v>
      </c>
      <c r="BU168" s="39" t="s">
        <v>5381</v>
      </c>
      <c r="BV168" s="39" t="s">
        <v>5381</v>
      </c>
      <c r="CE168" s="39" t="s">
        <v>5381</v>
      </c>
      <c r="CH168" s="39" t="s">
        <v>5381</v>
      </c>
    </row>
    <row r="169" spans="1:86">
      <c r="A169" s="62" t="s">
        <v>5380</v>
      </c>
      <c r="B169" t="str">
        <f>'1'!B169</f>
        <v>Joyce</v>
      </c>
      <c r="C169" t="str">
        <f>'1'!C169</f>
        <v>L</v>
      </c>
      <c r="D169" t="str">
        <f>'1'!D169</f>
        <v>Szpila</v>
      </c>
      <c r="E169" t="str">
        <f>'1'!P169</f>
        <v>212146</v>
      </c>
      <c r="F169" t="str">
        <f>'1'!I169&amp;".new.uat"</f>
        <v>jszpila@onebarnes.com.new.uat</v>
      </c>
      <c r="G169" s="39" t="s">
        <v>5389</v>
      </c>
      <c r="H169" t="str">
        <f>'1'!I169</f>
        <v>jszpila@onebarnes.com</v>
      </c>
      <c r="I169" t="str">
        <f>'1'!AI169</f>
        <v>en_US</v>
      </c>
      <c r="L169" t="str">
        <f>'1'!AD169</f>
        <v>0088</v>
      </c>
      <c r="M169" t="str">
        <f>'1'!AJ169</f>
        <v>USD</v>
      </c>
      <c r="O169" s="39" t="str">
        <f>'1'!AL169</f>
        <v>Y</v>
      </c>
      <c r="P169" t="str">
        <f>'1'!AD169</f>
        <v>0088</v>
      </c>
      <c r="Q169">
        <f>'1'!AE169</f>
        <v>9100</v>
      </c>
      <c r="W169" t="str">
        <f>'1'!AA169</f>
        <v>S11</v>
      </c>
      <c r="X169" t="str">
        <f>'1'!AG169</f>
        <v>General</v>
      </c>
      <c r="Z169">
        <f>'1'!AE169</f>
        <v>9100</v>
      </c>
      <c r="AB169" t="str">
        <f>'1'!AM169</f>
        <v/>
      </c>
      <c r="AC169" t="str">
        <f>'1'!AK169</f>
        <v/>
      </c>
      <c r="AP169" t="str">
        <f>'1'!AD169</f>
        <v>0088</v>
      </c>
      <c r="BG169" t="str">
        <f>'1'!AC169</f>
        <v>008750</v>
      </c>
      <c r="BK169" s="39" t="s">
        <v>5381</v>
      </c>
      <c r="BL169" s="39" t="s">
        <v>5381</v>
      </c>
      <c r="BU169" s="39" t="s">
        <v>5381</v>
      </c>
      <c r="BV169" s="39" t="s">
        <v>5381</v>
      </c>
      <c r="CE169" s="39" t="s">
        <v>5381</v>
      </c>
      <c r="CH169" s="39" t="s">
        <v>5381</v>
      </c>
    </row>
    <row r="170" spans="1:86">
      <c r="A170" s="62" t="s">
        <v>5380</v>
      </c>
      <c r="B170" t="str">
        <f>'1'!B170</f>
        <v>Isaak</v>
      </c>
      <c r="C170" t="str">
        <f>'1'!C170</f>
        <v>R</v>
      </c>
      <c r="D170" t="str">
        <f>'1'!D170</f>
        <v>Taiclet</v>
      </c>
      <c r="E170" t="str">
        <f>'1'!P170</f>
        <v>213227</v>
      </c>
      <c r="F170" t="str">
        <f>'1'!I170&amp;".new.uat"</f>
        <v>itaiclet@onebarnes.com.new.uat</v>
      </c>
      <c r="G170" s="39" t="s">
        <v>5389</v>
      </c>
      <c r="H170" t="str">
        <f>'1'!I170</f>
        <v>itaiclet@onebarnes.com</v>
      </c>
      <c r="I170" t="str">
        <f>'1'!AI170</f>
        <v>en_US</v>
      </c>
      <c r="L170" t="str">
        <f>'1'!AD170</f>
        <v>0096</v>
      </c>
      <c r="M170" t="str">
        <f>'1'!AJ170</f>
        <v>USD</v>
      </c>
      <c r="O170" s="39" t="str">
        <f>'1'!AL170</f>
        <v>N</v>
      </c>
      <c r="P170" t="str">
        <f>'1'!AD170</f>
        <v>0096</v>
      </c>
      <c r="Q170">
        <f>'1'!AE170</f>
        <v>500</v>
      </c>
      <c r="W170" t="str">
        <f>'1'!AA170</f>
        <v>H05</v>
      </c>
      <c r="X170" t="str">
        <f>'1'!AG170</f>
        <v>General</v>
      </c>
      <c r="Z170">
        <f>'1'!AE170</f>
        <v>500</v>
      </c>
      <c r="AB170" t="str">
        <f>'1'!AM170</f>
        <v>20260821</v>
      </c>
      <c r="AC170" t="str">
        <f>'1'!AK170</f>
        <v/>
      </c>
      <c r="AP170" t="str">
        <f>'1'!AD170</f>
        <v>0096</v>
      </c>
      <c r="BG170" t="str">
        <f>'1'!AC170</f>
        <v>210910</v>
      </c>
      <c r="BK170" s="39" t="s">
        <v>5381</v>
      </c>
      <c r="BL170" s="39" t="s">
        <v>5381</v>
      </c>
      <c r="BU170" s="39" t="s">
        <v>5381</v>
      </c>
      <c r="BV170" s="39" t="s">
        <v>5381</v>
      </c>
      <c r="CE170" s="39" t="s">
        <v>5381</v>
      </c>
      <c r="CH170" s="39" t="s">
        <v>5381</v>
      </c>
    </row>
    <row r="171" spans="1:86">
      <c r="A171" s="62" t="s">
        <v>5380</v>
      </c>
      <c r="B171" t="str">
        <f>'1'!B171</f>
        <v>Isaak</v>
      </c>
      <c r="C171" t="str">
        <f>'1'!C171</f>
        <v>R</v>
      </c>
      <c r="D171" t="str">
        <f>'1'!D171</f>
        <v>Taiclet</v>
      </c>
      <c r="E171" t="str">
        <f>'1'!P171</f>
        <v>213227</v>
      </c>
      <c r="F171" t="str">
        <f>'1'!I171&amp;".new.uat"</f>
        <v>itaiclet@onebarnes.com.new.uat</v>
      </c>
      <c r="G171" s="39" t="s">
        <v>5389</v>
      </c>
      <c r="H171" t="str">
        <f>'1'!I171</f>
        <v>itaiclet@onebarnes.com</v>
      </c>
      <c r="I171" t="str">
        <f>'1'!AI171</f>
        <v>en_US</v>
      </c>
      <c r="L171" t="str">
        <f>'1'!AD171</f>
        <v>0096</v>
      </c>
      <c r="M171" t="str">
        <f>'1'!AJ171</f>
        <v>USD</v>
      </c>
      <c r="O171" s="39" t="str">
        <f>'1'!AL171</f>
        <v>N</v>
      </c>
      <c r="P171" t="str">
        <f>'1'!AD171</f>
        <v>0096</v>
      </c>
      <c r="Q171">
        <f>'1'!AE171</f>
        <v>500</v>
      </c>
      <c r="W171" t="str">
        <f>'1'!AA171</f>
        <v>H05</v>
      </c>
      <c r="X171" t="str">
        <f>'1'!AG171</f>
        <v>General</v>
      </c>
      <c r="Z171">
        <f>'1'!AE171</f>
        <v>500</v>
      </c>
      <c r="AB171" t="str">
        <f>'1'!AM171</f>
        <v>20260603</v>
      </c>
      <c r="AC171" t="str">
        <f>'1'!AK171</f>
        <v/>
      </c>
      <c r="AP171" t="str">
        <f>'1'!AD171</f>
        <v>0096</v>
      </c>
      <c r="BG171" t="str">
        <f>'1'!AC171</f>
        <v/>
      </c>
      <c r="BK171" s="39" t="s">
        <v>5381</v>
      </c>
      <c r="BL171" s="39" t="s">
        <v>5381</v>
      </c>
      <c r="BU171" s="39" t="s">
        <v>5381</v>
      </c>
      <c r="BV171" s="39" t="s">
        <v>5381</v>
      </c>
      <c r="CE171" s="39" t="s">
        <v>5381</v>
      </c>
      <c r="CH171" s="39" t="s">
        <v>5381</v>
      </c>
    </row>
    <row r="172" spans="1:86">
      <c r="A172" s="62" t="s">
        <v>5380</v>
      </c>
      <c r="B172" t="str">
        <f>'1'!B172</f>
        <v>Isaak</v>
      </c>
      <c r="C172" t="str">
        <f>'1'!C172</f>
        <v>R</v>
      </c>
      <c r="D172" t="str">
        <f>'1'!D172</f>
        <v>Taiclet</v>
      </c>
      <c r="E172" t="str">
        <f>'1'!P172</f>
        <v>213227</v>
      </c>
      <c r="F172" t="str">
        <f>'1'!I172&amp;".new.uat"</f>
        <v>itaiclet@onebarnes.com.new.uat</v>
      </c>
      <c r="G172" s="39" t="s">
        <v>5389</v>
      </c>
      <c r="H172" t="str">
        <f>'1'!I172</f>
        <v>itaiclet@onebarnes.com</v>
      </c>
      <c r="I172" t="str">
        <f>'1'!AI172</f>
        <v>en_US</v>
      </c>
      <c r="L172" t="str">
        <f>'1'!AD172</f>
        <v>0096</v>
      </c>
      <c r="M172" t="str">
        <f>'1'!AJ172</f>
        <v>USD</v>
      </c>
      <c r="O172" s="39" t="str">
        <f>'1'!AL172</f>
        <v>N</v>
      </c>
      <c r="P172" t="str">
        <f>'1'!AD172</f>
        <v>0096</v>
      </c>
      <c r="Q172">
        <f>'1'!AE172</f>
        <v>500</v>
      </c>
      <c r="W172" t="str">
        <f>'1'!AA172</f>
        <v>H05</v>
      </c>
      <c r="X172" t="str">
        <f>'1'!AG172</f>
        <v>General</v>
      </c>
      <c r="Z172">
        <f>'1'!AE172</f>
        <v>500</v>
      </c>
      <c r="AB172" t="str">
        <f>'1'!AM172</f>
        <v>20260603</v>
      </c>
      <c r="AC172" t="str">
        <f>'1'!AK172</f>
        <v/>
      </c>
      <c r="AP172" t="str">
        <f>'1'!AD172</f>
        <v>0096</v>
      </c>
      <c r="BG172" t="str">
        <f>'1'!AC172</f>
        <v/>
      </c>
      <c r="BK172" s="39" t="s">
        <v>5381</v>
      </c>
      <c r="BL172" s="39" t="s">
        <v>5381</v>
      </c>
      <c r="BU172" s="39" t="s">
        <v>5381</v>
      </c>
      <c r="BV172" s="39" t="s">
        <v>5381</v>
      </c>
      <c r="CE172" s="39" t="s">
        <v>5381</v>
      </c>
      <c r="CH172" s="39" t="s">
        <v>5381</v>
      </c>
    </row>
    <row r="173" spans="1:86">
      <c r="A173" s="62" t="s">
        <v>5380</v>
      </c>
      <c r="B173" t="str">
        <f>'1'!B173</f>
        <v>Richard</v>
      </c>
      <c r="C173" t="str">
        <f>'1'!C173</f>
        <v>E</v>
      </c>
      <c r="D173" t="str">
        <f>'1'!D173</f>
        <v>Taiclet</v>
      </c>
      <c r="E173" t="str">
        <f>'1'!P173</f>
        <v>901943</v>
      </c>
      <c r="F173" t="str">
        <f>'1'!I173&amp;".new.uat"</f>
        <v>RTaiclet@onebarnes.com.new.uat</v>
      </c>
      <c r="G173" s="39" t="s">
        <v>5389</v>
      </c>
      <c r="H173" t="str">
        <f>'1'!I173</f>
        <v>RTaiclet@onebarnes.com</v>
      </c>
      <c r="I173" t="str">
        <f>'1'!AI173</f>
        <v>en_US</v>
      </c>
      <c r="L173" t="str">
        <f>'1'!AD173</f>
        <v>0096</v>
      </c>
      <c r="M173" t="str">
        <f>'1'!AJ173</f>
        <v>USD</v>
      </c>
      <c r="O173" s="39" t="str">
        <f>'1'!AL173</f>
        <v>Y</v>
      </c>
      <c r="P173" t="str">
        <f>'1'!AD173</f>
        <v>0096</v>
      </c>
      <c r="Q173">
        <f>'1'!AE173</f>
        <v>910</v>
      </c>
      <c r="W173" t="str">
        <f>'1'!AA173</f>
        <v>S14</v>
      </c>
      <c r="X173" t="str">
        <f>'1'!AG173</f>
        <v>General</v>
      </c>
      <c r="Z173">
        <f>'1'!AE173</f>
        <v>910</v>
      </c>
      <c r="AB173" t="str">
        <f>'1'!AM173</f>
        <v/>
      </c>
      <c r="AC173" t="str">
        <f>'1'!AK173</f>
        <v/>
      </c>
      <c r="AP173" t="str">
        <f>'1'!AD173</f>
        <v>0096</v>
      </c>
      <c r="BG173" t="str">
        <f>'1'!AC173</f>
        <v>008750</v>
      </c>
      <c r="BK173" s="39" t="s">
        <v>5381</v>
      </c>
      <c r="BL173" s="39" t="s">
        <v>5381</v>
      </c>
      <c r="BU173" s="39" t="s">
        <v>5381</v>
      </c>
      <c r="BV173" s="39" t="s">
        <v>5381</v>
      </c>
      <c r="CE173" s="39" t="s">
        <v>5381</v>
      </c>
      <c r="CH173" s="39" t="s">
        <v>5381</v>
      </c>
    </row>
    <row r="174" spans="1:86">
      <c r="A174" s="62" t="s">
        <v>5380</v>
      </c>
      <c r="B174" t="str">
        <f>'1'!B174</f>
        <v>Kevin</v>
      </c>
      <c r="C174" t="str">
        <f>'1'!C174</f>
        <v/>
      </c>
      <c r="D174" t="str">
        <f>'1'!D174</f>
        <v>Thaboun</v>
      </c>
      <c r="E174" t="str">
        <f>'1'!P174</f>
        <v>211521</v>
      </c>
      <c r="F174" t="str">
        <f>'1'!I174&amp;".new.uat"</f>
        <v>kthaboun1@onebarnes.com.new.uat</v>
      </c>
      <c r="G174" s="39" t="s">
        <v>5389</v>
      </c>
      <c r="H174" t="str">
        <f>'1'!I174</f>
        <v>kthaboun1@onebarnes.com</v>
      </c>
      <c r="I174" t="str">
        <f>'1'!AI174</f>
        <v>en_US</v>
      </c>
      <c r="L174" t="str">
        <f>'1'!AD174</f>
        <v>0088</v>
      </c>
      <c r="M174" t="str">
        <f>'1'!AJ174</f>
        <v>USD</v>
      </c>
      <c r="O174" s="39" t="str">
        <f>'1'!AL174</f>
        <v>Y</v>
      </c>
      <c r="P174" t="str">
        <f>'1'!AD174</f>
        <v>0088</v>
      </c>
      <c r="Q174">
        <f>'1'!AE174</f>
        <v>5200</v>
      </c>
      <c r="W174" t="str">
        <f>'1'!AA174</f>
        <v>S05</v>
      </c>
      <c r="X174" t="str">
        <f>'1'!AG174</f>
        <v>General</v>
      </c>
      <c r="Z174">
        <f>'1'!AE174</f>
        <v>5200</v>
      </c>
      <c r="AB174" t="str">
        <f>'1'!AM174</f>
        <v/>
      </c>
      <c r="AC174" t="str">
        <f>'1'!AK174</f>
        <v/>
      </c>
      <c r="AP174" t="str">
        <f>'1'!AD174</f>
        <v>0088</v>
      </c>
      <c r="BG174" t="str">
        <f>'1'!AC174</f>
        <v>211736</v>
      </c>
      <c r="BK174" s="39" t="s">
        <v>5381</v>
      </c>
      <c r="BL174" s="39" t="s">
        <v>5381</v>
      </c>
      <c r="BU174" s="39" t="s">
        <v>5381</v>
      </c>
      <c r="BV174" s="39" t="s">
        <v>5381</v>
      </c>
      <c r="CE174" s="39" t="s">
        <v>5381</v>
      </c>
      <c r="CH174" s="39" t="s">
        <v>5381</v>
      </c>
    </row>
    <row r="175" spans="1:86">
      <c r="A175" s="62" t="s">
        <v>5380</v>
      </c>
      <c r="B175" t="str">
        <f>'1'!B175</f>
        <v>Kugagini</v>
      </c>
      <c r="C175" t="str">
        <f>'1'!C175</f>
        <v/>
      </c>
      <c r="D175" t="str">
        <f>'1'!D175</f>
        <v>Thineshkumar</v>
      </c>
      <c r="E175" t="str">
        <f>'1'!P175</f>
        <v>902013</v>
      </c>
      <c r="F175" t="str">
        <f>'1'!I175&amp;".new.uat"</f>
        <v>Kthineshkumar@onebarnes.com.new.uat</v>
      </c>
      <c r="G175" s="39" t="s">
        <v>5389</v>
      </c>
      <c r="H175" t="str">
        <f>'1'!I175</f>
        <v>Kthineshkumar@onebarnes.com</v>
      </c>
      <c r="I175" t="str">
        <f>'1'!AI175</f>
        <v>en_US</v>
      </c>
      <c r="L175" t="str">
        <f>'1'!AD175</f>
        <v>0088</v>
      </c>
      <c r="M175" t="str">
        <f>'1'!AJ175</f>
        <v>USD</v>
      </c>
      <c r="O175" s="39" t="str">
        <f>'1'!AL175</f>
        <v>Y</v>
      </c>
      <c r="P175" t="str">
        <f>'1'!AD175</f>
        <v>0088</v>
      </c>
      <c r="Q175">
        <f>'1'!AE175</f>
        <v>9100</v>
      </c>
      <c r="W175" t="str">
        <f>'1'!AA175</f>
        <v>S11</v>
      </c>
      <c r="X175" t="str">
        <f>'1'!AG175</f>
        <v>General</v>
      </c>
      <c r="Z175">
        <f>'1'!AE175</f>
        <v>9100</v>
      </c>
      <c r="AB175" t="str">
        <f>'1'!AM175</f>
        <v/>
      </c>
      <c r="AC175" t="str">
        <f>'1'!AK175</f>
        <v/>
      </c>
      <c r="AP175" t="str">
        <f>'1'!AD175</f>
        <v>0088</v>
      </c>
      <c r="BG175" t="str">
        <f>'1'!AC175</f>
        <v>008750</v>
      </c>
      <c r="BK175" s="39" t="s">
        <v>5381</v>
      </c>
      <c r="BL175" s="39" t="s">
        <v>5381</v>
      </c>
      <c r="BU175" s="39" t="s">
        <v>5381</v>
      </c>
      <c r="BV175" s="39" t="s">
        <v>5381</v>
      </c>
      <c r="CE175" s="39" t="s">
        <v>5381</v>
      </c>
      <c r="CH175" s="39" t="s">
        <v>5381</v>
      </c>
    </row>
    <row r="176" spans="1:86">
      <c r="A176" s="62" t="s">
        <v>5380</v>
      </c>
      <c r="B176" t="str">
        <f>'1'!B176</f>
        <v>Tadeyshia</v>
      </c>
      <c r="C176" t="str">
        <f>'1'!C176</f>
        <v/>
      </c>
      <c r="D176" t="str">
        <f>'1'!D176</f>
        <v>Toney</v>
      </c>
      <c r="E176" t="str">
        <f>'1'!P176</f>
        <v>213241</v>
      </c>
      <c r="F176" t="str">
        <f>'1'!I176&amp;".new.uat"</f>
        <v>ttoney@onebarnes.com.new.uat</v>
      </c>
      <c r="G176" s="39" t="s">
        <v>5389</v>
      </c>
      <c r="H176" t="str">
        <f>'1'!I176</f>
        <v>ttoney@onebarnes.com</v>
      </c>
      <c r="I176" t="str">
        <f>'1'!AI176</f>
        <v>en_US</v>
      </c>
      <c r="L176" t="str">
        <f>'1'!AD176</f>
        <v>0088</v>
      </c>
      <c r="M176" t="str">
        <f>'1'!AJ176</f>
        <v>USD</v>
      </c>
      <c r="O176" s="39" t="str">
        <f>'1'!AL176</f>
        <v>Y</v>
      </c>
      <c r="P176" t="str">
        <f>'1'!AD176</f>
        <v>0088</v>
      </c>
      <c r="Q176">
        <f>'1'!AE176</f>
        <v>8100</v>
      </c>
      <c r="W176" t="str">
        <f>'1'!AA176</f>
        <v>S11</v>
      </c>
      <c r="X176" t="str">
        <f>'1'!AG176</f>
        <v>General</v>
      </c>
      <c r="Z176">
        <f>'1'!AE176</f>
        <v>8100</v>
      </c>
      <c r="AB176" t="str">
        <f>'1'!AM176</f>
        <v/>
      </c>
      <c r="AC176" t="str">
        <f>'1'!AK176</f>
        <v/>
      </c>
      <c r="AP176" t="str">
        <f>'1'!AD176</f>
        <v>0088</v>
      </c>
      <c r="BG176" t="str">
        <f>'1'!AC176</f>
        <v>211131</v>
      </c>
      <c r="BK176" s="39" t="s">
        <v>5381</v>
      </c>
      <c r="BL176" s="39" t="s">
        <v>5381</v>
      </c>
      <c r="BU176" s="39" t="s">
        <v>5381</v>
      </c>
      <c r="BV176" s="39" t="s">
        <v>5381</v>
      </c>
      <c r="CE176" s="39" t="s">
        <v>5381</v>
      </c>
      <c r="CH176" s="39" t="s">
        <v>5381</v>
      </c>
    </row>
    <row r="177" spans="1:86">
      <c r="A177" s="62" t="s">
        <v>5380</v>
      </c>
      <c r="B177" t="str">
        <f>'1'!B177</f>
        <v>Macy</v>
      </c>
      <c r="C177" t="str">
        <f>'1'!C177</f>
        <v>J</v>
      </c>
      <c r="D177" t="str">
        <f>'1'!D177</f>
        <v>Tudor</v>
      </c>
      <c r="E177" t="str">
        <f>'1'!P177</f>
        <v>206638</v>
      </c>
      <c r="F177" t="str">
        <f>'1'!I177&amp;".new.uat"</f>
        <v>mtudor@onebarnes.com.new.uat</v>
      </c>
      <c r="G177" s="39" t="s">
        <v>5389</v>
      </c>
      <c r="H177" t="str">
        <f>'1'!I177</f>
        <v>mtudor@onebarnes.com</v>
      </c>
      <c r="I177" t="str">
        <f>'1'!AI177</f>
        <v>en_US</v>
      </c>
      <c r="L177" t="str">
        <f>'1'!AD177</f>
        <v>0088</v>
      </c>
      <c r="M177" t="str">
        <f>'1'!AJ177</f>
        <v>USD</v>
      </c>
      <c r="O177" s="39" t="str">
        <f>'1'!AL177</f>
        <v>Y</v>
      </c>
      <c r="P177" t="str">
        <f>'1'!AD177</f>
        <v>0088</v>
      </c>
      <c r="Q177">
        <f>'1'!AE177</f>
        <v>9400</v>
      </c>
      <c r="W177" t="str">
        <f>'1'!AA177</f>
        <v>S13</v>
      </c>
      <c r="X177" t="str">
        <f>'1'!AG177</f>
        <v>General</v>
      </c>
      <c r="Z177">
        <f>'1'!AE177</f>
        <v>9400</v>
      </c>
      <c r="AB177" t="str">
        <f>'1'!AM177</f>
        <v/>
      </c>
      <c r="AC177" t="str">
        <f>'1'!AK177</f>
        <v/>
      </c>
      <c r="AP177" t="str">
        <f>'1'!AD177</f>
        <v>0088</v>
      </c>
      <c r="BG177" t="str">
        <f>'1'!AC177</f>
        <v>212699</v>
      </c>
      <c r="BK177" s="39" t="s">
        <v>5381</v>
      </c>
      <c r="BL177" s="39" t="s">
        <v>5381</v>
      </c>
      <c r="BU177" s="39" t="s">
        <v>5381</v>
      </c>
      <c r="BV177" s="39" t="s">
        <v>5381</v>
      </c>
      <c r="CE177" s="39" t="s">
        <v>5381</v>
      </c>
      <c r="CH177" s="39" t="s">
        <v>5381</v>
      </c>
    </row>
    <row r="178" spans="1:86">
      <c r="A178" s="62" t="s">
        <v>5380</v>
      </c>
      <c r="B178" t="str">
        <f>'1'!B178</f>
        <v>Daniel</v>
      </c>
      <c r="C178" t="str">
        <f>'1'!C178</f>
        <v>P</v>
      </c>
      <c r="D178" t="str">
        <f>'1'!D178</f>
        <v>Tuller</v>
      </c>
      <c r="E178" t="str">
        <f>'1'!P178</f>
        <v>210339</v>
      </c>
      <c r="F178" t="str">
        <f>'1'!I178&amp;".new.uat"</f>
        <v>dtuller@onebarnes.com.new.uat</v>
      </c>
      <c r="G178" s="39" t="s">
        <v>5389</v>
      </c>
      <c r="H178" t="str">
        <f>'1'!I178</f>
        <v>dtuller@onebarnes.com</v>
      </c>
      <c r="I178" t="str">
        <f>'1'!AI178</f>
        <v>en_US</v>
      </c>
      <c r="L178" t="str">
        <f>'1'!AD178</f>
        <v>0088</v>
      </c>
      <c r="M178" t="str">
        <f>'1'!AJ178</f>
        <v>USD</v>
      </c>
      <c r="O178" s="39" t="str">
        <f>'1'!AL178</f>
        <v>N</v>
      </c>
      <c r="P178" t="str">
        <f>'1'!AD178</f>
        <v>0088</v>
      </c>
      <c r="Q178">
        <f>'1'!AE178</f>
        <v>9100</v>
      </c>
      <c r="W178" t="str">
        <f>'1'!AA178</f>
        <v>S17</v>
      </c>
      <c r="X178" t="str">
        <f>'1'!AG178</f>
        <v>General</v>
      </c>
      <c r="Z178">
        <f>'1'!AE178</f>
        <v>9100</v>
      </c>
      <c r="AB178" t="str">
        <f>'1'!AM178</f>
        <v>20260724</v>
      </c>
      <c r="AC178" t="str">
        <f>'1'!AK178</f>
        <v/>
      </c>
      <c r="AP178" t="str">
        <f>'1'!AD178</f>
        <v>0088</v>
      </c>
      <c r="BG178" t="str">
        <f>'1'!AC178</f>
        <v>008750</v>
      </c>
      <c r="BK178" s="39" t="s">
        <v>5381</v>
      </c>
      <c r="BL178" s="39" t="s">
        <v>5381</v>
      </c>
      <c r="BU178" s="39" t="s">
        <v>5381</v>
      </c>
      <c r="BV178" s="39" t="s">
        <v>5381</v>
      </c>
      <c r="CE178" s="39" t="s">
        <v>5381</v>
      </c>
      <c r="CH178" s="39" t="s">
        <v>5381</v>
      </c>
    </row>
    <row r="179" spans="1:86">
      <c r="A179" s="62" t="s">
        <v>5380</v>
      </c>
      <c r="B179" t="str">
        <f>'1'!B179</f>
        <v>Duane</v>
      </c>
      <c r="C179" t="str">
        <f>'1'!C179</f>
        <v>A</v>
      </c>
      <c r="D179" t="str">
        <f>'1'!D179</f>
        <v>Turner</v>
      </c>
      <c r="E179" t="str">
        <f>'1'!P179</f>
        <v>206110</v>
      </c>
      <c r="F179" t="str">
        <f>'1'!I179&amp;".new.uat"</f>
        <v>.new.uat</v>
      </c>
      <c r="G179" s="39" t="s">
        <v>5389</v>
      </c>
      <c r="H179" t="str">
        <f>'1'!I179</f>
        <v/>
      </c>
      <c r="I179" t="str">
        <f>'1'!AI179</f>
        <v>en_US</v>
      </c>
      <c r="L179" t="str">
        <f>'1'!AD179</f>
        <v>0096</v>
      </c>
      <c r="M179" t="str">
        <f>'1'!AJ179</f>
        <v>USD</v>
      </c>
      <c r="O179" s="39" t="str">
        <f>'1'!AL179</f>
        <v>Y</v>
      </c>
      <c r="P179" t="str">
        <f>'1'!AD179</f>
        <v>0096</v>
      </c>
      <c r="Q179">
        <f>'1'!AE179</f>
        <v>100</v>
      </c>
      <c r="W179" t="str">
        <f>'1'!AA179</f>
        <v>H07</v>
      </c>
      <c r="X179" t="str">
        <f>'1'!AG179</f>
        <v>General</v>
      </c>
      <c r="Z179">
        <f>'1'!AE179</f>
        <v>100</v>
      </c>
      <c r="AB179" t="str">
        <f>'1'!AM179</f>
        <v/>
      </c>
      <c r="AC179" t="str">
        <f>'1'!AK179</f>
        <v/>
      </c>
      <c r="AP179" t="str">
        <f>'1'!AD179</f>
        <v>0096</v>
      </c>
      <c r="BG179" t="str">
        <f>'1'!AC179</f>
        <v>211062</v>
      </c>
      <c r="BK179" s="39" t="s">
        <v>5381</v>
      </c>
      <c r="BL179" s="39" t="s">
        <v>5381</v>
      </c>
      <c r="BU179" s="39" t="s">
        <v>5381</v>
      </c>
      <c r="BV179" s="39" t="s">
        <v>5381</v>
      </c>
      <c r="CE179" s="39" t="s">
        <v>5381</v>
      </c>
      <c r="CH179" s="39" t="s">
        <v>5381</v>
      </c>
    </row>
    <row r="180" spans="1:86">
      <c r="A180" s="62" t="s">
        <v>5380</v>
      </c>
      <c r="B180" t="str">
        <f>'1'!B180</f>
        <v>Benjamin</v>
      </c>
      <c r="C180" t="str">
        <f>'1'!C180</f>
        <v>D</v>
      </c>
      <c r="D180" t="str">
        <f>'1'!D180</f>
        <v>Uncapher</v>
      </c>
      <c r="E180" t="str">
        <f>'1'!P180</f>
        <v>212254</v>
      </c>
      <c r="F180" t="str">
        <f>'1'!I180&amp;".new.uat"</f>
        <v>buncapher@onebarnes.com.new.uat</v>
      </c>
      <c r="G180" s="39" t="s">
        <v>5389</v>
      </c>
      <c r="H180" t="str">
        <f>'1'!I180</f>
        <v>buncapher@onebarnes.com</v>
      </c>
      <c r="I180" t="str">
        <f>'1'!AI180</f>
        <v>en_US</v>
      </c>
      <c r="L180" t="str">
        <f>'1'!AD180</f>
        <v>0088</v>
      </c>
      <c r="M180" t="str">
        <f>'1'!AJ180</f>
        <v>USD</v>
      </c>
      <c r="O180" s="39" t="str">
        <f>'1'!AL180</f>
        <v>Y</v>
      </c>
      <c r="P180" t="str">
        <f>'1'!AD180</f>
        <v>0088</v>
      </c>
      <c r="Q180">
        <f>'1'!AE180</f>
        <v>8100</v>
      </c>
      <c r="W180" t="str">
        <f>'1'!AA180</f>
        <v>S11</v>
      </c>
      <c r="X180" t="str">
        <f>'1'!AG180</f>
        <v>General</v>
      </c>
      <c r="Z180">
        <f>'1'!AE180</f>
        <v>8100</v>
      </c>
      <c r="AB180" t="str">
        <f>'1'!AM180</f>
        <v/>
      </c>
      <c r="AC180" t="str">
        <f>'1'!AK180</f>
        <v/>
      </c>
      <c r="AP180" t="str">
        <f>'1'!AD180</f>
        <v>0088</v>
      </c>
      <c r="BG180" t="str">
        <f>'1'!AC180</f>
        <v>211131</v>
      </c>
      <c r="BK180" s="39" t="s">
        <v>5381</v>
      </c>
      <c r="BL180" s="39" t="s">
        <v>5381</v>
      </c>
      <c r="BU180" s="39" t="s">
        <v>5381</v>
      </c>
      <c r="BV180" s="39" t="s">
        <v>5381</v>
      </c>
      <c r="CE180" s="39" t="s">
        <v>5381</v>
      </c>
      <c r="CH180" s="39" t="s">
        <v>5381</v>
      </c>
    </row>
    <row r="181" spans="1:86">
      <c r="A181" s="62" t="s">
        <v>5380</v>
      </c>
      <c r="B181" t="str">
        <f>'1'!B181</f>
        <v>Benjamin</v>
      </c>
      <c r="C181" t="str">
        <f>'1'!C181</f>
        <v>D</v>
      </c>
      <c r="D181" t="str">
        <f>'1'!D181</f>
        <v>Uncapher</v>
      </c>
      <c r="E181" t="str">
        <f>'1'!P181</f>
        <v>212254</v>
      </c>
      <c r="F181" t="str">
        <f>'1'!I181&amp;".new.uat"</f>
        <v>buncapher@onebarnes.com.new.uat</v>
      </c>
      <c r="G181" s="39" t="s">
        <v>5389</v>
      </c>
      <c r="H181" t="str">
        <f>'1'!I181</f>
        <v>buncapher@onebarnes.com</v>
      </c>
      <c r="I181" t="str">
        <f>'1'!AI181</f>
        <v>en_US</v>
      </c>
      <c r="L181" t="str">
        <f>'1'!AD181</f>
        <v>0088</v>
      </c>
      <c r="M181" t="str">
        <f>'1'!AJ181</f>
        <v>USD</v>
      </c>
      <c r="O181" s="39" t="str">
        <f>'1'!AL181</f>
        <v>N</v>
      </c>
      <c r="P181" t="str">
        <f>'1'!AD181</f>
        <v>0088</v>
      </c>
      <c r="Q181">
        <f>'1'!AE181</f>
        <v>8100</v>
      </c>
      <c r="W181" t="str">
        <f>'1'!AA181</f>
        <v>S11</v>
      </c>
      <c r="X181" t="str">
        <f>'1'!AG181</f>
        <v>General</v>
      </c>
      <c r="Z181">
        <f>'1'!AE181</f>
        <v>8100</v>
      </c>
      <c r="AB181" t="str">
        <f>'1'!AM181</f>
        <v>20260602</v>
      </c>
      <c r="AC181" t="str">
        <f>'1'!AK181</f>
        <v/>
      </c>
      <c r="AP181" t="str">
        <f>'1'!AD181</f>
        <v>0088</v>
      </c>
      <c r="BG181" t="str">
        <f>'1'!AC181</f>
        <v/>
      </c>
      <c r="BK181" s="39" t="s">
        <v>5381</v>
      </c>
      <c r="BL181" s="39" t="s">
        <v>5381</v>
      </c>
      <c r="BU181" s="39" t="s">
        <v>5381</v>
      </c>
      <c r="BV181" s="39" t="s">
        <v>5381</v>
      </c>
      <c r="CE181" s="39" t="s">
        <v>5381</v>
      </c>
      <c r="CH181" s="39" t="s">
        <v>5381</v>
      </c>
    </row>
    <row r="182" spans="1:86">
      <c r="A182" s="62" t="s">
        <v>5380</v>
      </c>
      <c r="B182" t="str">
        <f>'1'!B182</f>
        <v>David</v>
      </c>
      <c r="C182" t="str">
        <f>'1'!C182</f>
        <v/>
      </c>
      <c r="D182" t="str">
        <f>'1'!D182</f>
        <v>Valetta</v>
      </c>
      <c r="E182" t="str">
        <f>'1'!P182</f>
        <v>211601</v>
      </c>
      <c r="F182" t="str">
        <f>'1'!I182&amp;".new.uat"</f>
        <v>dvaletta@onebarnes.com.new.uat</v>
      </c>
      <c r="G182" s="39" t="s">
        <v>5389</v>
      </c>
      <c r="H182" t="str">
        <f>'1'!I182</f>
        <v>dvaletta@onebarnes.com</v>
      </c>
      <c r="I182" t="str">
        <f>'1'!AI182</f>
        <v>en_US</v>
      </c>
      <c r="L182" t="str">
        <f>'1'!AD182</f>
        <v>0096</v>
      </c>
      <c r="M182" t="str">
        <f>'1'!AJ182</f>
        <v>USD</v>
      </c>
      <c r="O182" s="39" t="str">
        <f>'1'!AL182</f>
        <v>Y</v>
      </c>
      <c r="P182" t="str">
        <f>'1'!AD182</f>
        <v>0096</v>
      </c>
      <c r="Q182">
        <f>'1'!AE182</f>
        <v>820</v>
      </c>
      <c r="W182" t="str">
        <f>'1'!AA182</f>
        <v>S19</v>
      </c>
      <c r="X182" t="str">
        <f>'1'!AG182</f>
        <v>General</v>
      </c>
      <c r="Z182">
        <f>'1'!AE182</f>
        <v>820</v>
      </c>
      <c r="AB182" t="str">
        <f>'1'!AM182</f>
        <v/>
      </c>
      <c r="AC182" t="str">
        <f>'1'!AK182</f>
        <v/>
      </c>
      <c r="AP182" t="str">
        <f>'1'!AD182</f>
        <v>0096</v>
      </c>
      <c r="BG182" t="str">
        <f>'1'!AC182</f>
        <v>207709</v>
      </c>
      <c r="BK182" s="39" t="s">
        <v>5381</v>
      </c>
      <c r="BL182" s="39" t="s">
        <v>5381</v>
      </c>
      <c r="BU182" s="39" t="s">
        <v>5381</v>
      </c>
      <c r="BV182" s="39" t="s">
        <v>5381</v>
      </c>
      <c r="CE182" s="39" t="s">
        <v>5381</v>
      </c>
      <c r="CH182" s="39" t="s">
        <v>5381</v>
      </c>
    </row>
    <row r="183" spans="1:86">
      <c r="A183" s="62" t="s">
        <v>5380</v>
      </c>
      <c r="B183" t="str">
        <f>'1'!B183</f>
        <v>Brennen</v>
      </c>
      <c r="C183" t="str">
        <f>'1'!C183</f>
        <v>G</v>
      </c>
      <c r="D183" t="str">
        <f>'1'!D183</f>
        <v>Valley</v>
      </c>
      <c r="E183" t="str">
        <f>'1'!P183</f>
        <v>206287</v>
      </c>
      <c r="F183" t="str">
        <f>'1'!I183&amp;".new.uat"</f>
        <v>bvalley@onebarnes.com.new.uat</v>
      </c>
      <c r="G183" s="39" t="s">
        <v>5389</v>
      </c>
      <c r="H183" t="str">
        <f>'1'!I183</f>
        <v>bvalley@onebarnes.com</v>
      </c>
      <c r="I183" t="str">
        <f>'1'!AI183</f>
        <v>en_US</v>
      </c>
      <c r="L183" t="str">
        <f>'1'!AD183</f>
        <v>0096</v>
      </c>
      <c r="M183" t="str">
        <f>'1'!AJ183</f>
        <v>USD</v>
      </c>
      <c r="O183" s="39" t="str">
        <f>'1'!AL183</f>
        <v>Y</v>
      </c>
      <c r="P183" t="str">
        <f>'1'!AD183</f>
        <v>0096</v>
      </c>
      <c r="Q183">
        <f>'1'!AE183</f>
        <v>100</v>
      </c>
      <c r="W183" t="str">
        <f>'1'!AA183</f>
        <v>H04</v>
      </c>
      <c r="X183" t="str">
        <f>'1'!AG183</f>
        <v>General</v>
      </c>
      <c r="Z183">
        <f>'1'!AE183</f>
        <v>100</v>
      </c>
      <c r="AB183" t="str">
        <f>'1'!AM183</f>
        <v/>
      </c>
      <c r="AC183" t="str">
        <f>'1'!AK183</f>
        <v/>
      </c>
      <c r="AP183" t="str">
        <f>'1'!AD183</f>
        <v>0096</v>
      </c>
      <c r="BG183" t="str">
        <f>'1'!AC183</f>
        <v>211062</v>
      </c>
      <c r="BK183" s="39" t="s">
        <v>5381</v>
      </c>
      <c r="BL183" s="39" t="s">
        <v>5381</v>
      </c>
      <c r="BU183" s="39" t="s">
        <v>5381</v>
      </c>
      <c r="BV183" s="39" t="s">
        <v>5381</v>
      </c>
      <c r="CE183" s="39" t="s">
        <v>5381</v>
      </c>
      <c r="CH183" s="39" t="s">
        <v>5381</v>
      </c>
    </row>
    <row r="184" spans="1:86">
      <c r="A184" s="62" t="s">
        <v>5380</v>
      </c>
      <c r="B184" t="str">
        <f>'1'!B184</f>
        <v>Brittany</v>
      </c>
      <c r="C184" t="str">
        <f>'1'!C184</f>
        <v>M</v>
      </c>
      <c r="D184" t="str">
        <f>'1'!D184</f>
        <v>Velner</v>
      </c>
      <c r="E184" t="str">
        <f>'1'!P184</f>
        <v>212687</v>
      </c>
      <c r="F184" t="str">
        <f>'1'!I184&amp;".new.uat"</f>
        <v>bvelner@onebarnes.com.new.uat</v>
      </c>
      <c r="G184" s="39" t="s">
        <v>5389</v>
      </c>
      <c r="H184" t="str">
        <f>'1'!I184</f>
        <v>bvelner@onebarnes.com</v>
      </c>
      <c r="I184" t="str">
        <f>'1'!AI184</f>
        <v>en_US</v>
      </c>
      <c r="L184" t="str">
        <f>'1'!AD184</f>
        <v>0088</v>
      </c>
      <c r="M184" t="str">
        <f>'1'!AJ184</f>
        <v>USD</v>
      </c>
      <c r="O184" s="39" t="str">
        <f>'1'!AL184</f>
        <v>N</v>
      </c>
      <c r="P184" t="str">
        <f>'1'!AD184</f>
        <v>0088</v>
      </c>
      <c r="Q184">
        <f>'1'!AE184</f>
        <v>8100</v>
      </c>
      <c r="W184" t="str">
        <f>'1'!AA184</f>
        <v>S12</v>
      </c>
      <c r="X184" t="str">
        <f>'1'!AG184</f>
        <v>General</v>
      </c>
      <c r="Z184">
        <f>'1'!AE184</f>
        <v>8100</v>
      </c>
      <c r="AB184" t="str">
        <f>'1'!AM184</f>
        <v>20260424</v>
      </c>
      <c r="AC184" t="str">
        <f>'1'!AK184</f>
        <v/>
      </c>
      <c r="AP184" t="str">
        <f>'1'!AD184</f>
        <v>0088</v>
      </c>
      <c r="BG184" t="str">
        <f>'1'!AC184</f>
        <v/>
      </c>
      <c r="BK184" s="39" t="s">
        <v>5381</v>
      </c>
      <c r="BL184" s="39" t="s">
        <v>5381</v>
      </c>
      <c r="BU184" s="39" t="s">
        <v>5381</v>
      </c>
      <c r="BV184" s="39" t="s">
        <v>5381</v>
      </c>
      <c r="CE184" s="39" t="s">
        <v>5381</v>
      </c>
      <c r="CH184" s="39" t="s">
        <v>5381</v>
      </c>
    </row>
    <row r="185" spans="1:86">
      <c r="A185" s="62" t="s">
        <v>5380</v>
      </c>
      <c r="B185" t="str">
        <f>'1'!B185</f>
        <v>Craig</v>
      </c>
      <c r="C185" t="str">
        <f>'1'!C185</f>
        <v/>
      </c>
      <c r="D185" t="str">
        <f>'1'!D185</f>
        <v>Wagner</v>
      </c>
      <c r="E185" t="str">
        <f>'1'!P185</f>
        <v>206272</v>
      </c>
      <c r="F185" t="str">
        <f>'1'!I185&amp;".new.uat"</f>
        <v>cwagner@onebarnes.com.new.uat</v>
      </c>
      <c r="G185" s="39" t="s">
        <v>5389</v>
      </c>
      <c r="H185" t="str">
        <f>'1'!I185</f>
        <v>cwagner@onebarnes.com</v>
      </c>
      <c r="I185" t="str">
        <f>'1'!AI185</f>
        <v>en_US</v>
      </c>
      <c r="L185" t="str">
        <f>'1'!AD185</f>
        <v>0088</v>
      </c>
      <c r="M185" t="str">
        <f>'1'!AJ185</f>
        <v>USD</v>
      </c>
      <c r="O185" s="39" t="str">
        <f>'1'!AL185</f>
        <v>Y</v>
      </c>
      <c r="P185" t="str">
        <f>'1'!AD185</f>
        <v>0088</v>
      </c>
      <c r="Q185">
        <f>'1'!AE185</f>
        <v>5100</v>
      </c>
      <c r="W185" t="str">
        <f>'1'!AA185</f>
        <v>S08</v>
      </c>
      <c r="X185" t="str">
        <f>'1'!AG185</f>
        <v>General</v>
      </c>
      <c r="Z185">
        <f>'1'!AE185</f>
        <v>5100</v>
      </c>
      <c r="AB185" t="str">
        <f>'1'!AM185</f>
        <v/>
      </c>
      <c r="AC185" t="str">
        <f>'1'!AK185</f>
        <v/>
      </c>
      <c r="AP185" t="str">
        <f>'1'!AD185</f>
        <v>0088</v>
      </c>
      <c r="BG185" t="str">
        <f>'1'!AC185</f>
        <v>211756</v>
      </c>
      <c r="BK185" s="39" t="s">
        <v>5381</v>
      </c>
      <c r="BL185" s="39" t="s">
        <v>5381</v>
      </c>
      <c r="BU185" s="39" t="s">
        <v>5381</v>
      </c>
      <c r="BV185" s="39" t="s">
        <v>5381</v>
      </c>
      <c r="CE185" s="39" t="s">
        <v>5381</v>
      </c>
      <c r="CH185" s="39" t="s">
        <v>5381</v>
      </c>
    </row>
    <row r="186" spans="1:86">
      <c r="A186" s="62" t="s">
        <v>5380</v>
      </c>
      <c r="B186" t="str">
        <f>'1'!B186</f>
        <v>Terry</v>
      </c>
      <c r="C186" t="str">
        <f>'1'!C186</f>
        <v/>
      </c>
      <c r="D186" t="str">
        <f>'1'!D186</f>
        <v>Wagner</v>
      </c>
      <c r="E186" t="str">
        <f>'1'!P186</f>
        <v>211022</v>
      </c>
      <c r="F186" t="str">
        <f>'1'!I186&amp;".new.uat"</f>
        <v>Twagner@onebarnes.com.new.uat</v>
      </c>
      <c r="G186" s="39" t="s">
        <v>5389</v>
      </c>
      <c r="H186" t="str">
        <f>'1'!I186</f>
        <v>Twagner@onebarnes.com</v>
      </c>
      <c r="I186" t="str">
        <f>'1'!AI186</f>
        <v>en_US</v>
      </c>
      <c r="L186" t="str">
        <f>'1'!AD186</f>
        <v>0096</v>
      </c>
      <c r="M186" t="str">
        <f>'1'!AJ186</f>
        <v>USD</v>
      </c>
      <c r="O186" s="39" t="str">
        <f>'1'!AL186</f>
        <v>N</v>
      </c>
      <c r="P186" t="str">
        <f>'1'!AD186</f>
        <v>0096</v>
      </c>
      <c r="Q186">
        <f>'1'!AE186</f>
        <v>850</v>
      </c>
      <c r="W186" t="str">
        <f>'1'!AA186</f>
        <v>S11</v>
      </c>
      <c r="X186" t="str">
        <f>'1'!AG186</f>
        <v>General</v>
      </c>
      <c r="Z186">
        <f>'1'!AE186</f>
        <v>850</v>
      </c>
      <c r="AB186" t="str">
        <f>'1'!AM186</f>
        <v>20260602</v>
      </c>
      <c r="AC186" t="str">
        <f>'1'!AK186</f>
        <v/>
      </c>
      <c r="AP186" t="str">
        <f>'1'!AD186</f>
        <v>0096</v>
      </c>
      <c r="BG186" t="str">
        <f>'1'!AC186</f>
        <v/>
      </c>
      <c r="BK186" s="39" t="s">
        <v>5381</v>
      </c>
      <c r="BL186" s="39" t="s">
        <v>5381</v>
      </c>
      <c r="BU186" s="39" t="s">
        <v>5381</v>
      </c>
      <c r="BV186" s="39" t="s">
        <v>5381</v>
      </c>
      <c r="CE186" s="39" t="s">
        <v>5381</v>
      </c>
      <c r="CH186" s="39" t="s">
        <v>5381</v>
      </c>
    </row>
    <row r="187" spans="1:86">
      <c r="A187" s="62" t="s">
        <v>5380</v>
      </c>
      <c r="B187" t="str">
        <f>'1'!B187</f>
        <v>Terry</v>
      </c>
      <c r="C187" t="str">
        <f>'1'!C187</f>
        <v/>
      </c>
      <c r="D187" t="str">
        <f>'1'!D187</f>
        <v>Wagner</v>
      </c>
      <c r="E187" t="str">
        <f>'1'!P187</f>
        <v>211022</v>
      </c>
      <c r="F187" t="str">
        <f>'1'!I187&amp;".new.uat"</f>
        <v>Twagner@onebarnes.com.new.uat</v>
      </c>
      <c r="G187" s="39" t="s">
        <v>5389</v>
      </c>
      <c r="H187" t="str">
        <f>'1'!I187</f>
        <v>Twagner@onebarnes.com</v>
      </c>
      <c r="I187" t="str">
        <f>'1'!AI187</f>
        <v>en_US</v>
      </c>
      <c r="L187" t="str">
        <f>'1'!AD187</f>
        <v>0096</v>
      </c>
      <c r="M187" t="str">
        <f>'1'!AJ187</f>
        <v>USD</v>
      </c>
      <c r="O187" s="39" t="str">
        <f>'1'!AL187</f>
        <v>N</v>
      </c>
      <c r="P187" t="str">
        <f>'1'!AD187</f>
        <v>0096</v>
      </c>
      <c r="Q187">
        <f>'1'!AE187</f>
        <v>850</v>
      </c>
      <c r="W187" t="str">
        <f>'1'!AA187</f>
        <v>S11</v>
      </c>
      <c r="X187" t="str">
        <f>'1'!AG187</f>
        <v>General</v>
      </c>
      <c r="Z187">
        <f>'1'!AE187</f>
        <v>850</v>
      </c>
      <c r="AB187" t="str">
        <f>'1'!AM187</f>
        <v>20260602</v>
      </c>
      <c r="AC187" t="str">
        <f>'1'!AK187</f>
        <v/>
      </c>
      <c r="AP187" t="str">
        <f>'1'!AD187</f>
        <v>0096</v>
      </c>
      <c r="BG187" t="str">
        <f>'1'!AC187</f>
        <v/>
      </c>
      <c r="BK187" s="39" t="s">
        <v>5381</v>
      </c>
      <c r="BL187" s="39" t="s">
        <v>5381</v>
      </c>
      <c r="BU187" s="39" t="s">
        <v>5381</v>
      </c>
      <c r="BV187" s="39" t="s">
        <v>5381</v>
      </c>
      <c r="CE187" s="39" t="s">
        <v>5381</v>
      </c>
      <c r="CH187" s="39" t="s">
        <v>5381</v>
      </c>
    </row>
    <row r="188" spans="1:86">
      <c r="A188" s="62" t="s">
        <v>5380</v>
      </c>
      <c r="B188" t="str">
        <f>'1'!B188</f>
        <v>Terry</v>
      </c>
      <c r="C188" t="str">
        <f>'1'!C188</f>
        <v/>
      </c>
      <c r="D188" t="str">
        <f>'1'!D188</f>
        <v>Wagner</v>
      </c>
      <c r="E188" t="str">
        <f>'1'!P188</f>
        <v>211022</v>
      </c>
      <c r="F188" t="str">
        <f>'1'!I188&amp;".new.uat"</f>
        <v>Twagner@onebarnes.com.new.uat</v>
      </c>
      <c r="G188" s="39" t="s">
        <v>5389</v>
      </c>
      <c r="H188" t="str">
        <f>'1'!I188</f>
        <v>Twagner@onebarnes.com</v>
      </c>
      <c r="I188" t="str">
        <f>'1'!AI188</f>
        <v>en_US</v>
      </c>
      <c r="L188" t="str">
        <f>'1'!AD188</f>
        <v>0096</v>
      </c>
      <c r="M188" t="str">
        <f>'1'!AJ188</f>
        <v>USD</v>
      </c>
      <c r="O188" s="39" t="str">
        <f>'1'!AL188</f>
        <v>Y</v>
      </c>
      <c r="P188" t="str">
        <f>'1'!AD188</f>
        <v>0096</v>
      </c>
      <c r="Q188">
        <f>'1'!AE188</f>
        <v>850</v>
      </c>
      <c r="W188" t="str">
        <f>'1'!AA188</f>
        <v>S11</v>
      </c>
      <c r="X188" t="str">
        <f>'1'!AG188</f>
        <v>General</v>
      </c>
      <c r="Z188">
        <f>'1'!AE188</f>
        <v>850</v>
      </c>
      <c r="AB188" t="str">
        <f>'1'!AM188</f>
        <v/>
      </c>
      <c r="AC188" t="str">
        <f>'1'!AK188</f>
        <v/>
      </c>
      <c r="AP188" t="str">
        <f>'1'!AD188</f>
        <v>0096</v>
      </c>
      <c r="BG188" t="str">
        <f>'1'!AC188</f>
        <v>211998</v>
      </c>
      <c r="BK188" s="39" t="s">
        <v>5381</v>
      </c>
      <c r="BL188" s="39" t="s">
        <v>5381</v>
      </c>
      <c r="BU188" s="39" t="s">
        <v>5381</v>
      </c>
      <c r="BV188" s="39" t="s">
        <v>5381</v>
      </c>
      <c r="CE188" s="39" t="s">
        <v>5381</v>
      </c>
      <c r="CH188" s="39" t="s">
        <v>5381</v>
      </c>
    </row>
    <row r="189" spans="1:86">
      <c r="A189" s="62" t="s">
        <v>5380</v>
      </c>
      <c r="B189" t="str">
        <f>'1'!B189</f>
        <v>Derron</v>
      </c>
      <c r="C189" t="str">
        <f>'1'!C189</f>
        <v/>
      </c>
      <c r="D189" t="str">
        <f>'1'!D189</f>
        <v>Wallace</v>
      </c>
      <c r="E189" t="str">
        <f>'1'!P189</f>
        <v>211998</v>
      </c>
      <c r="F189" t="str">
        <f>'1'!I189&amp;".new.uat"</f>
        <v>dwallace@onebarnes.com.new.uat</v>
      </c>
      <c r="G189" s="39" t="s">
        <v>5389</v>
      </c>
      <c r="H189" t="str">
        <f>'1'!I189</f>
        <v>dwallace@onebarnes.com</v>
      </c>
      <c r="I189" t="str">
        <f>'1'!AI189</f>
        <v>en_US</v>
      </c>
      <c r="L189" t="str">
        <f>'1'!AD189</f>
        <v>0096</v>
      </c>
      <c r="M189" t="str">
        <f>'1'!AJ189</f>
        <v>USD</v>
      </c>
      <c r="O189" s="39" t="str">
        <f>'1'!AL189</f>
        <v>Y</v>
      </c>
      <c r="P189" t="str">
        <f>'1'!AD189</f>
        <v>0096</v>
      </c>
      <c r="Q189">
        <f>'1'!AE189</f>
        <v>850</v>
      </c>
      <c r="W189" t="str">
        <f>'1'!AA189</f>
        <v>S15</v>
      </c>
      <c r="X189" t="str">
        <f>'1'!AG189</f>
        <v>General</v>
      </c>
      <c r="Z189">
        <f>'1'!AE189</f>
        <v>850</v>
      </c>
      <c r="AB189" t="str">
        <f>'1'!AM189</f>
        <v/>
      </c>
      <c r="AC189" t="str">
        <f>'1'!AK189</f>
        <v/>
      </c>
      <c r="AP189" t="str">
        <f>'1'!AD189</f>
        <v>0096</v>
      </c>
      <c r="BG189" t="str">
        <f>'1'!AC189</f>
        <v>213037</v>
      </c>
      <c r="BK189" s="39" t="s">
        <v>5381</v>
      </c>
      <c r="BL189" s="39" t="s">
        <v>5381</v>
      </c>
      <c r="BU189" s="39" t="s">
        <v>5381</v>
      </c>
      <c r="BV189" s="39" t="s">
        <v>5381</v>
      </c>
      <c r="CE189" s="39" t="s">
        <v>5381</v>
      </c>
      <c r="CH189" s="39" t="s">
        <v>5381</v>
      </c>
    </row>
    <row r="190" spans="1:86">
      <c r="A190" s="62" t="s">
        <v>5380</v>
      </c>
      <c r="B190" t="str">
        <f>'1'!B190</f>
        <v>Dwight</v>
      </c>
      <c r="C190" t="str">
        <f>'1'!C190</f>
        <v>A</v>
      </c>
      <c r="D190" t="str">
        <f>'1'!D190</f>
        <v>Warner</v>
      </c>
      <c r="E190" t="str">
        <f>'1'!P190</f>
        <v>008750</v>
      </c>
      <c r="F190" t="str">
        <f>'1'!I190&amp;".new.uat"</f>
        <v>DWarner@onebarnes.com.new.uat</v>
      </c>
      <c r="G190" s="39" t="s">
        <v>5389</v>
      </c>
      <c r="H190" t="str">
        <f>'1'!I190</f>
        <v>DWarner@onebarnes.com</v>
      </c>
      <c r="I190" t="str">
        <f>'1'!AI190</f>
        <v>en_US</v>
      </c>
      <c r="L190" t="str">
        <f>'1'!AD190</f>
        <v>0096</v>
      </c>
      <c r="M190" t="str">
        <f>'1'!AJ190</f>
        <v>USD</v>
      </c>
      <c r="O190" s="39" t="str">
        <f>'1'!AL190</f>
        <v>Y</v>
      </c>
      <c r="P190" t="str">
        <f>'1'!AD190</f>
        <v>0096</v>
      </c>
      <c r="Q190">
        <f>'1'!AE190</f>
        <v>910</v>
      </c>
      <c r="W190" t="str">
        <f>'1'!AA190</f>
        <v>S18</v>
      </c>
      <c r="X190" t="str">
        <f>'1'!AG190</f>
        <v>General</v>
      </c>
      <c r="Z190">
        <f>'1'!AE190</f>
        <v>910</v>
      </c>
      <c r="AB190" t="str">
        <f>'1'!AM190</f>
        <v/>
      </c>
      <c r="AC190" t="str">
        <f>'1'!AK190</f>
        <v/>
      </c>
      <c r="AP190" t="str">
        <f>'1'!AD190</f>
        <v>0096</v>
      </c>
      <c r="BG190" t="str">
        <f>'1'!AC190</f>
        <v>207709</v>
      </c>
      <c r="BK190" s="39" t="s">
        <v>5381</v>
      </c>
      <c r="BL190" s="39" t="s">
        <v>5381</v>
      </c>
      <c r="BU190" s="39" t="s">
        <v>5381</v>
      </c>
      <c r="BV190" s="39" t="s">
        <v>5381</v>
      </c>
      <c r="CE190" s="39" t="s">
        <v>5381</v>
      </c>
      <c r="CH190" s="39" t="s">
        <v>5381</v>
      </c>
    </row>
    <row r="191" spans="1:86">
      <c r="A191" s="62" t="s">
        <v>5380</v>
      </c>
      <c r="B191" t="str">
        <f>'1'!B191</f>
        <v>Bonnetta</v>
      </c>
      <c r="C191" t="str">
        <f>'1'!C191</f>
        <v>D</v>
      </c>
      <c r="D191" t="str">
        <f>'1'!D191</f>
        <v>Warren</v>
      </c>
      <c r="E191" t="str">
        <f>'1'!P191</f>
        <v>212705</v>
      </c>
      <c r="F191" t="str">
        <f>'1'!I191&amp;".new.uat"</f>
        <v>bwarren@onebarnes.com.new.uat</v>
      </c>
      <c r="G191" s="39" t="s">
        <v>5389</v>
      </c>
      <c r="H191" t="str">
        <f>'1'!I191</f>
        <v>bwarren@onebarnes.com</v>
      </c>
      <c r="I191" t="str">
        <f>'1'!AI191</f>
        <v>en_US</v>
      </c>
      <c r="L191" t="str">
        <f>'1'!AD191</f>
        <v>0088</v>
      </c>
      <c r="M191" t="str">
        <f>'1'!AJ191</f>
        <v>USD</v>
      </c>
      <c r="O191" s="39" t="str">
        <f>'1'!AL191</f>
        <v>Y</v>
      </c>
      <c r="P191" t="str">
        <f>'1'!AD191</f>
        <v>0088</v>
      </c>
      <c r="Q191">
        <f>'1'!AE191</f>
        <v>9210</v>
      </c>
      <c r="W191" t="str">
        <f>'1'!AA191</f>
        <v>S15</v>
      </c>
      <c r="X191" t="str">
        <f>'1'!AG191</f>
        <v>General</v>
      </c>
      <c r="Z191">
        <f>'1'!AE191</f>
        <v>9210</v>
      </c>
      <c r="AB191" t="str">
        <f>'1'!AM191</f>
        <v/>
      </c>
      <c r="AC191" t="str">
        <f>'1'!AK191</f>
        <v/>
      </c>
      <c r="AP191" t="str">
        <f>'1'!AD191</f>
        <v>0088</v>
      </c>
      <c r="BG191" t="str">
        <f>'1'!AC191</f>
        <v>209181</v>
      </c>
      <c r="BK191" s="39" t="s">
        <v>5381</v>
      </c>
      <c r="BL191" s="39" t="s">
        <v>5381</v>
      </c>
      <c r="BU191" s="39" t="s">
        <v>5381</v>
      </c>
      <c r="BV191" s="39" t="s">
        <v>5381</v>
      </c>
      <c r="CE191" s="39" t="s">
        <v>5381</v>
      </c>
      <c r="CH191" s="39" t="s">
        <v>5381</v>
      </c>
    </row>
    <row r="192" spans="1:86">
      <c r="A192" s="62" t="s">
        <v>5380</v>
      </c>
      <c r="B192" t="str">
        <f>'1'!B192</f>
        <v>Latasha</v>
      </c>
      <c r="C192" t="str">
        <f>'1'!C192</f>
        <v>C</v>
      </c>
      <c r="D192" t="str">
        <f>'1'!D192</f>
        <v>Watkins</v>
      </c>
      <c r="E192" t="str">
        <f>'1'!P192</f>
        <v>213286</v>
      </c>
      <c r="F192" t="str">
        <f>'1'!I192&amp;".new.uat"</f>
        <v>.new.uat</v>
      </c>
      <c r="G192" s="39" t="s">
        <v>5389</v>
      </c>
      <c r="H192" t="str">
        <f>'1'!I192</f>
        <v/>
      </c>
      <c r="I192" t="str">
        <f>'1'!AI192</f>
        <v>en_US</v>
      </c>
      <c r="L192" t="str">
        <f>'1'!AD192</f>
        <v>0088</v>
      </c>
      <c r="M192" t="str">
        <f>'1'!AJ192</f>
        <v>USD</v>
      </c>
      <c r="O192" s="39" t="str">
        <f>'1'!AL192</f>
        <v>N</v>
      </c>
      <c r="P192" t="str">
        <f>'1'!AD192</f>
        <v>0088</v>
      </c>
      <c r="Q192">
        <f>'1'!AE192</f>
        <v>8100</v>
      </c>
      <c r="W192" t="str">
        <f>'1'!AA192</f>
        <v>S08</v>
      </c>
      <c r="X192" t="str">
        <f>'1'!AG192</f>
        <v>General</v>
      </c>
      <c r="Z192">
        <f>'1'!AE192</f>
        <v>8100</v>
      </c>
      <c r="AB192" t="str">
        <f>'1'!AM192</f>
        <v>20260610</v>
      </c>
      <c r="AC192" t="str">
        <f>'1'!AK192</f>
        <v/>
      </c>
      <c r="AP192" t="str">
        <f>'1'!AD192</f>
        <v>0088</v>
      </c>
      <c r="BG192" t="str">
        <f>'1'!AC192</f>
        <v>202533</v>
      </c>
      <c r="BK192" s="39" t="s">
        <v>5381</v>
      </c>
      <c r="BL192" s="39" t="s">
        <v>5381</v>
      </c>
      <c r="BU192" s="39" t="s">
        <v>5381</v>
      </c>
      <c r="BV192" s="39" t="s">
        <v>5381</v>
      </c>
      <c r="CE192" s="39" t="s">
        <v>5381</v>
      </c>
      <c r="CH192" s="39" t="s">
        <v>5381</v>
      </c>
    </row>
    <row r="193" spans="1:86">
      <c r="A193" s="62" t="s">
        <v>5380</v>
      </c>
      <c r="B193" t="str">
        <f>'1'!B193</f>
        <v>Russell</v>
      </c>
      <c r="C193" t="str">
        <f>'1'!C193</f>
        <v>L</v>
      </c>
      <c r="D193" t="str">
        <f>'1'!D193</f>
        <v>Weaver</v>
      </c>
      <c r="E193" t="str">
        <f>'1'!P193</f>
        <v>901090</v>
      </c>
      <c r="F193" t="str">
        <f>'1'!I193&amp;".new.uat"</f>
        <v>RLWeaver@onebarnes.com.new.uat</v>
      </c>
      <c r="G193" s="39" t="s">
        <v>5389</v>
      </c>
      <c r="H193" t="str">
        <f>'1'!I193</f>
        <v>RLWeaver@onebarnes.com</v>
      </c>
      <c r="I193" t="str">
        <f>'1'!AI193</f>
        <v>en_US</v>
      </c>
      <c r="L193" t="str">
        <f>'1'!AD193</f>
        <v>0096</v>
      </c>
      <c r="M193" t="str">
        <f>'1'!AJ193</f>
        <v>USD</v>
      </c>
      <c r="O193" s="39" t="str">
        <f>'1'!AL193</f>
        <v>Y</v>
      </c>
      <c r="P193" t="str">
        <f>'1'!AD193</f>
        <v>0096</v>
      </c>
      <c r="Q193">
        <f>'1'!AE193</f>
        <v>713</v>
      </c>
      <c r="W193" t="str">
        <f>'1'!AA193</f>
        <v>S14</v>
      </c>
      <c r="X193" t="str">
        <f>'1'!AG193</f>
        <v>General</v>
      </c>
      <c r="Z193">
        <f>'1'!AE193</f>
        <v>713</v>
      </c>
      <c r="AB193" t="str">
        <f>'1'!AM193</f>
        <v/>
      </c>
      <c r="AC193" t="str">
        <f>'1'!AK193</f>
        <v/>
      </c>
      <c r="AP193" t="str">
        <f>'1'!AD193</f>
        <v>0096</v>
      </c>
      <c r="BG193" t="str">
        <f>'1'!AC193</f>
        <v>213037</v>
      </c>
      <c r="BK193" s="39" t="s">
        <v>5381</v>
      </c>
      <c r="BL193" s="39" t="s">
        <v>5381</v>
      </c>
      <c r="BU193" s="39" t="s">
        <v>5381</v>
      </c>
      <c r="BV193" s="39" t="s">
        <v>5381</v>
      </c>
      <c r="CE193" s="39" t="s">
        <v>5381</v>
      </c>
      <c r="CH193" s="39" t="s">
        <v>5381</v>
      </c>
    </row>
    <row r="194" spans="1:86">
      <c r="A194" s="62" t="s">
        <v>5380</v>
      </c>
      <c r="B194" t="str">
        <f>'1'!B194</f>
        <v>Joann</v>
      </c>
      <c r="C194" t="str">
        <f>'1'!C194</f>
        <v/>
      </c>
      <c r="D194" t="str">
        <f>'1'!D194</f>
        <v>Whaley</v>
      </c>
      <c r="E194" t="str">
        <f>'1'!P194</f>
        <v>207850</v>
      </c>
      <c r="F194" t="str">
        <f>'1'!I194&amp;".new.uat"</f>
        <v>.new.uat</v>
      </c>
      <c r="G194" s="39" t="s">
        <v>5389</v>
      </c>
      <c r="H194" t="str">
        <f>'1'!I194</f>
        <v/>
      </c>
      <c r="I194" t="str">
        <f>'1'!AI194</f>
        <v>en_US</v>
      </c>
      <c r="L194" t="str">
        <f>'1'!AD194</f>
        <v>0088</v>
      </c>
      <c r="M194" t="str">
        <f>'1'!AJ194</f>
        <v>USD</v>
      </c>
      <c r="O194" s="39" t="str">
        <f>'1'!AL194</f>
        <v>Y</v>
      </c>
      <c r="P194" t="str">
        <f>'1'!AD194</f>
        <v>0088</v>
      </c>
      <c r="Q194">
        <f>'1'!AE194</f>
        <v>8200</v>
      </c>
      <c r="W194" t="str">
        <f>'1'!AA194</f>
        <v>S10</v>
      </c>
      <c r="X194" t="str">
        <f>'1'!AG194</f>
        <v>General</v>
      </c>
      <c r="Z194">
        <f>'1'!AE194</f>
        <v>8200</v>
      </c>
      <c r="AB194" t="str">
        <f>'1'!AM194</f>
        <v/>
      </c>
      <c r="AC194" t="str">
        <f>'1'!AK194</f>
        <v/>
      </c>
      <c r="AP194" t="str">
        <f>'1'!AD194</f>
        <v>0088</v>
      </c>
      <c r="BG194" t="str">
        <f>'1'!AC194</f>
        <v>211601</v>
      </c>
      <c r="BK194" s="39" t="s">
        <v>5381</v>
      </c>
      <c r="BL194" s="39" t="s">
        <v>5381</v>
      </c>
      <c r="BU194" s="39" t="s">
        <v>5381</v>
      </c>
      <c r="BV194" s="39" t="s">
        <v>5381</v>
      </c>
      <c r="CE194" s="39" t="s">
        <v>5381</v>
      </c>
      <c r="CH194" s="39" t="s">
        <v>5381</v>
      </c>
    </row>
    <row r="195" spans="1:86">
      <c r="A195" s="62" t="s">
        <v>5380</v>
      </c>
      <c r="B195" t="str">
        <f>'1'!B195</f>
        <v>Daniel</v>
      </c>
      <c r="C195" t="str">
        <f>'1'!C195</f>
        <v/>
      </c>
      <c r="D195" t="str">
        <f>'1'!D195</f>
        <v>White</v>
      </c>
      <c r="E195" t="str">
        <f>'1'!P195</f>
        <v>211939</v>
      </c>
      <c r="F195" t="str">
        <f>'1'!I195&amp;".new.uat"</f>
        <v>dwhite@onebarnes.com.new.uat</v>
      </c>
      <c r="G195" s="39" t="s">
        <v>5389</v>
      </c>
      <c r="H195" t="str">
        <f>'1'!I195</f>
        <v>dwhite@onebarnes.com</v>
      </c>
      <c r="I195" t="str">
        <f>'1'!AI195</f>
        <v>en_US</v>
      </c>
      <c r="L195" t="str">
        <f>'1'!AD195</f>
        <v>0096</v>
      </c>
      <c r="M195" t="str">
        <f>'1'!AJ195</f>
        <v>USD</v>
      </c>
      <c r="O195" s="39" t="str">
        <f>'1'!AL195</f>
        <v>Y</v>
      </c>
      <c r="P195" t="str">
        <f>'1'!AD195</f>
        <v>0096</v>
      </c>
      <c r="Q195">
        <f>'1'!AE195</f>
        <v>850</v>
      </c>
      <c r="W195" t="str">
        <f>'1'!AA195</f>
        <v>S10</v>
      </c>
      <c r="X195" t="str">
        <f>'1'!AG195</f>
        <v>General</v>
      </c>
      <c r="Z195">
        <f>'1'!AE195</f>
        <v>850</v>
      </c>
      <c r="AB195" t="str">
        <f>'1'!AM195</f>
        <v/>
      </c>
      <c r="AC195" t="str">
        <f>'1'!AK195</f>
        <v/>
      </c>
      <c r="AP195" t="str">
        <f>'1'!AD195</f>
        <v>0096</v>
      </c>
      <c r="BG195" t="str">
        <f>'1'!AC195</f>
        <v>211998</v>
      </c>
      <c r="BK195" s="39" t="s">
        <v>5381</v>
      </c>
      <c r="BL195" s="39" t="s">
        <v>5381</v>
      </c>
      <c r="BU195" s="39" t="s">
        <v>5381</v>
      </c>
      <c r="BV195" s="39" t="s">
        <v>5381</v>
      </c>
      <c r="CE195" s="39" t="s">
        <v>5381</v>
      </c>
      <c r="CH195" s="39" t="s">
        <v>5381</v>
      </c>
    </row>
    <row r="196" spans="1:86">
      <c r="A196" s="62" t="s">
        <v>5380</v>
      </c>
      <c r="B196" t="str">
        <f>'1'!B196</f>
        <v>Daniel</v>
      </c>
      <c r="C196" t="str">
        <f>'1'!C196</f>
        <v/>
      </c>
      <c r="D196" t="str">
        <f>'1'!D196</f>
        <v>White</v>
      </c>
      <c r="E196" t="str">
        <f>'1'!P196</f>
        <v>211939</v>
      </c>
      <c r="F196" t="str">
        <f>'1'!I196&amp;".new.uat"</f>
        <v>dwhite@onebarnes.com.new.uat</v>
      </c>
      <c r="G196" s="39" t="s">
        <v>5389</v>
      </c>
      <c r="H196" t="str">
        <f>'1'!I196</f>
        <v>dwhite@onebarnes.com</v>
      </c>
      <c r="I196" t="str">
        <f>'1'!AI196</f>
        <v>en_US</v>
      </c>
      <c r="L196" t="str">
        <f>'1'!AD196</f>
        <v>0096</v>
      </c>
      <c r="M196" t="str">
        <f>'1'!AJ196</f>
        <v>USD</v>
      </c>
      <c r="O196" s="39" t="str">
        <f>'1'!AL196</f>
        <v>N</v>
      </c>
      <c r="P196" t="str">
        <f>'1'!AD196</f>
        <v>0096</v>
      </c>
      <c r="Q196">
        <f>'1'!AE196</f>
        <v>850</v>
      </c>
      <c r="W196" t="str">
        <f>'1'!AA196</f>
        <v>S10</v>
      </c>
      <c r="X196" t="str">
        <f>'1'!AG196</f>
        <v>General</v>
      </c>
      <c r="Z196">
        <f>'1'!AE196</f>
        <v>850</v>
      </c>
      <c r="AB196" t="str">
        <f>'1'!AM196</f>
        <v>20260602</v>
      </c>
      <c r="AC196" t="str">
        <f>'1'!AK196</f>
        <v/>
      </c>
      <c r="AP196" t="str">
        <f>'1'!AD196</f>
        <v>0096</v>
      </c>
      <c r="BG196" t="str">
        <f>'1'!AC196</f>
        <v/>
      </c>
      <c r="BK196" s="39" t="s">
        <v>5381</v>
      </c>
      <c r="BL196" s="39" t="s">
        <v>5381</v>
      </c>
      <c r="BU196" s="39" t="s">
        <v>5381</v>
      </c>
      <c r="BV196" s="39" t="s">
        <v>5381</v>
      </c>
      <c r="CE196" s="39" t="s">
        <v>5381</v>
      </c>
      <c r="CH196" s="39" t="s">
        <v>5381</v>
      </c>
    </row>
    <row r="197" spans="1:86">
      <c r="A197" s="62" t="s">
        <v>5380</v>
      </c>
      <c r="B197" t="str">
        <f>'1'!B197</f>
        <v>Daniel</v>
      </c>
      <c r="C197" t="str">
        <f>'1'!C197</f>
        <v/>
      </c>
      <c r="D197" t="str">
        <f>'1'!D197</f>
        <v>White</v>
      </c>
      <c r="E197" t="str">
        <f>'1'!P197</f>
        <v>211939</v>
      </c>
      <c r="F197" t="str">
        <f>'1'!I197&amp;".new.uat"</f>
        <v>dwhite@onebarnes.com.new.uat</v>
      </c>
      <c r="G197" s="39" t="s">
        <v>5389</v>
      </c>
      <c r="H197" t="str">
        <f>'1'!I197</f>
        <v>dwhite@onebarnes.com</v>
      </c>
      <c r="I197" t="str">
        <f>'1'!AI197</f>
        <v>en_US</v>
      </c>
      <c r="L197" t="str">
        <f>'1'!AD197</f>
        <v>0096</v>
      </c>
      <c r="M197" t="str">
        <f>'1'!AJ197</f>
        <v>USD</v>
      </c>
      <c r="O197" s="39" t="str">
        <f>'1'!AL197</f>
        <v>N</v>
      </c>
      <c r="P197" t="str">
        <f>'1'!AD197</f>
        <v>0096</v>
      </c>
      <c r="Q197">
        <f>'1'!AE197</f>
        <v>850</v>
      </c>
      <c r="W197" t="str">
        <f>'1'!AA197</f>
        <v>S10</v>
      </c>
      <c r="X197" t="str">
        <f>'1'!AG197</f>
        <v>General</v>
      </c>
      <c r="Z197">
        <f>'1'!AE197</f>
        <v>850</v>
      </c>
      <c r="AB197" t="str">
        <f>'1'!AM197</f>
        <v>20260602</v>
      </c>
      <c r="AC197" t="str">
        <f>'1'!AK197</f>
        <v/>
      </c>
      <c r="AP197" t="str">
        <f>'1'!AD197</f>
        <v>0096</v>
      </c>
      <c r="BG197" t="str">
        <f>'1'!AC197</f>
        <v/>
      </c>
      <c r="BK197" s="39" t="s">
        <v>5381</v>
      </c>
      <c r="BL197" s="39" t="s">
        <v>5381</v>
      </c>
      <c r="BU197" s="39" t="s">
        <v>5381</v>
      </c>
      <c r="BV197" s="39" t="s">
        <v>5381</v>
      </c>
      <c r="CE197" s="39" t="s">
        <v>5381</v>
      </c>
      <c r="CH197" s="39" t="s">
        <v>5381</v>
      </c>
    </row>
    <row r="198" spans="1:86">
      <c r="A198" s="62" t="s">
        <v>5380</v>
      </c>
      <c r="B198" t="str">
        <f>'1'!B198</f>
        <v>William</v>
      </c>
      <c r="C198" t="str">
        <f>'1'!C198</f>
        <v>M</v>
      </c>
      <c r="D198" t="str">
        <f>'1'!D198</f>
        <v>Wilkins</v>
      </c>
      <c r="E198" t="str">
        <f>'1'!P198</f>
        <v>901934</v>
      </c>
      <c r="F198" t="str">
        <f>'1'!I198&amp;".new.uat"</f>
        <v>wwilkins@onebarnes.com.new.uat</v>
      </c>
      <c r="G198" s="39" t="s">
        <v>5389</v>
      </c>
      <c r="H198" t="str">
        <f>'1'!I198</f>
        <v>wwilkins@onebarnes.com</v>
      </c>
      <c r="I198" t="str">
        <f>'1'!AI198</f>
        <v>en_US</v>
      </c>
      <c r="L198" t="str">
        <f>'1'!AD198</f>
        <v>0096</v>
      </c>
      <c r="M198" t="str">
        <f>'1'!AJ198</f>
        <v>USD</v>
      </c>
      <c r="O198" s="39" t="str">
        <f>'1'!AL198</f>
        <v>Y</v>
      </c>
      <c r="P198" t="str">
        <f>'1'!AD198</f>
        <v>0096</v>
      </c>
      <c r="Q198">
        <f>'1'!AE198</f>
        <v>820</v>
      </c>
      <c r="W198" t="str">
        <f>'1'!AA198</f>
        <v>S17</v>
      </c>
      <c r="X198" t="str">
        <f>'1'!AG198</f>
        <v>General</v>
      </c>
      <c r="Z198">
        <f>'1'!AE198</f>
        <v>820</v>
      </c>
      <c r="AB198" t="str">
        <f>'1'!AM198</f>
        <v/>
      </c>
      <c r="AC198" t="str">
        <f>'1'!AK198</f>
        <v/>
      </c>
      <c r="AP198" t="str">
        <f>'1'!AD198</f>
        <v>0096</v>
      </c>
      <c r="BG198" t="str">
        <f>'1'!AC198</f>
        <v>207588</v>
      </c>
      <c r="BK198" s="39" t="s">
        <v>5381</v>
      </c>
      <c r="BL198" s="39" t="s">
        <v>5381</v>
      </c>
      <c r="BU198" s="39" t="s">
        <v>5381</v>
      </c>
      <c r="BV198" s="39" t="s">
        <v>5381</v>
      </c>
      <c r="CE198" s="39" t="s">
        <v>5381</v>
      </c>
      <c r="CH198" s="39" t="s">
        <v>5381</v>
      </c>
    </row>
    <row r="199" spans="1:86">
      <c r="A199" s="62" t="s">
        <v>5380</v>
      </c>
      <c r="B199" t="str">
        <f>'1'!B199</f>
        <v>Barbara</v>
      </c>
      <c r="C199" t="str">
        <f>'1'!C199</f>
        <v>C</v>
      </c>
      <c r="D199" t="str">
        <f>'1'!D199</f>
        <v>Wilkinson</v>
      </c>
      <c r="E199" t="str">
        <f>'1'!P199</f>
        <v>209539</v>
      </c>
      <c r="F199" t="str">
        <f>'1'!I199&amp;".new.uat"</f>
        <v>.new.uat</v>
      </c>
      <c r="G199" s="39" t="s">
        <v>5389</v>
      </c>
      <c r="H199" t="str">
        <f>'1'!I199</f>
        <v/>
      </c>
      <c r="I199" t="str">
        <f>'1'!AI199</f>
        <v>en_US</v>
      </c>
      <c r="L199" t="str">
        <f>'1'!AD199</f>
        <v>0088</v>
      </c>
      <c r="M199" t="str">
        <f>'1'!AJ199</f>
        <v>USD</v>
      </c>
      <c r="O199" s="39" t="str">
        <f>'1'!AL199</f>
        <v>Y</v>
      </c>
      <c r="P199" t="str">
        <f>'1'!AD199</f>
        <v>0088</v>
      </c>
      <c r="Q199">
        <f>'1'!AE199</f>
        <v>5100</v>
      </c>
      <c r="W199" t="str">
        <f>'1'!AA199</f>
        <v>S05</v>
      </c>
      <c r="X199" t="str">
        <f>'1'!AG199</f>
        <v>General</v>
      </c>
      <c r="Z199">
        <f>'1'!AE199</f>
        <v>5100</v>
      </c>
      <c r="AB199" t="str">
        <f>'1'!AM199</f>
        <v/>
      </c>
      <c r="AC199" t="str">
        <f>'1'!AK199</f>
        <v/>
      </c>
      <c r="AP199" t="str">
        <f>'1'!AD199</f>
        <v>0088</v>
      </c>
      <c r="BG199" t="str">
        <f>'1'!AC199</f>
        <v>211756</v>
      </c>
      <c r="BK199" s="39" t="s">
        <v>5381</v>
      </c>
      <c r="BL199" s="39" t="s">
        <v>5381</v>
      </c>
      <c r="BU199" s="39" t="s">
        <v>5381</v>
      </c>
      <c r="BV199" s="39" t="s">
        <v>5381</v>
      </c>
      <c r="CE199" s="39" t="s">
        <v>5381</v>
      </c>
      <c r="CH199" s="39" t="s">
        <v>5381</v>
      </c>
    </row>
    <row r="200" spans="1:86">
      <c r="A200" s="62" t="s">
        <v>5380</v>
      </c>
      <c r="B200" t="str">
        <f>'1'!B200</f>
        <v>Rachel</v>
      </c>
      <c r="C200" t="str">
        <f>'1'!C200</f>
        <v>L</v>
      </c>
      <c r="D200" t="str">
        <f>'1'!D200</f>
        <v>Williams</v>
      </c>
      <c r="E200" t="str">
        <f>'1'!P200</f>
        <v>202533</v>
      </c>
      <c r="F200" t="str">
        <f>'1'!I200&amp;".new.uat"</f>
        <v>rmarchyok@onebarnes.com.new.uat</v>
      </c>
      <c r="G200" s="39" t="s">
        <v>5389</v>
      </c>
      <c r="H200" t="str">
        <f>'1'!I200</f>
        <v>rmarchyok@onebarnes.com</v>
      </c>
      <c r="I200" t="str">
        <f>'1'!AI200</f>
        <v>en_US</v>
      </c>
      <c r="L200" t="str">
        <f>'1'!AD200</f>
        <v>0088</v>
      </c>
      <c r="M200" t="str">
        <f>'1'!AJ200</f>
        <v>USD</v>
      </c>
      <c r="O200" s="39" t="str">
        <f>'1'!AL200</f>
        <v>Y</v>
      </c>
      <c r="P200" t="str">
        <f>'1'!AD200</f>
        <v>0088</v>
      </c>
      <c r="Q200">
        <f>'1'!AE200</f>
        <v>8100</v>
      </c>
      <c r="W200" t="str">
        <f>'1'!AA200</f>
        <v>S14</v>
      </c>
      <c r="X200" t="str">
        <f>'1'!AG200</f>
        <v>General</v>
      </c>
      <c r="Z200">
        <f>'1'!AE200</f>
        <v>8100</v>
      </c>
      <c r="AB200" t="str">
        <f>'1'!AM200</f>
        <v/>
      </c>
      <c r="AC200" t="str">
        <f>'1'!AK200</f>
        <v/>
      </c>
      <c r="AP200" t="str">
        <f>'1'!AD200</f>
        <v>0088</v>
      </c>
      <c r="BG200" t="str">
        <f>'1'!AC200</f>
        <v>211766</v>
      </c>
      <c r="BK200" s="39" t="s">
        <v>5381</v>
      </c>
      <c r="BL200" s="39" t="s">
        <v>5381</v>
      </c>
      <c r="BU200" s="39" t="s">
        <v>5381</v>
      </c>
      <c r="BV200" s="39" t="s">
        <v>5381</v>
      </c>
      <c r="CE200" s="39" t="s">
        <v>5381</v>
      </c>
      <c r="CH200" s="39" t="s">
        <v>5381</v>
      </c>
    </row>
    <row r="201" spans="1:86">
      <c r="A201" s="62" t="s">
        <v>5380</v>
      </c>
      <c r="B201" t="str">
        <f>'1'!B201</f>
        <v>Shelly</v>
      </c>
      <c r="C201" t="str">
        <f>'1'!C201</f>
        <v>R</v>
      </c>
      <c r="D201" t="str">
        <f>'1'!D201</f>
        <v>Willis-Garza</v>
      </c>
      <c r="E201" t="str">
        <f>'1'!P201</f>
        <v>206672</v>
      </c>
      <c r="F201" t="str">
        <f>'1'!I201&amp;".new.uat"</f>
        <v>swillis-garza@onebarnes.com.new.uat</v>
      </c>
      <c r="G201" s="39" t="s">
        <v>5389</v>
      </c>
      <c r="H201" t="str">
        <f>'1'!I201</f>
        <v>swillis-garza@onebarnes.com</v>
      </c>
      <c r="I201" t="str">
        <f>'1'!AI201</f>
        <v>en_US</v>
      </c>
      <c r="L201" t="str">
        <f>'1'!AD201</f>
        <v>0088</v>
      </c>
      <c r="M201" t="str">
        <f>'1'!AJ201</f>
        <v>USD</v>
      </c>
      <c r="O201" s="39" t="str">
        <f>'1'!AL201</f>
        <v>Y</v>
      </c>
      <c r="P201" t="str">
        <f>'1'!AD201</f>
        <v>0088</v>
      </c>
      <c r="Q201">
        <f>'1'!AE201</f>
        <v>9400</v>
      </c>
      <c r="W201" t="str">
        <f>'1'!AA201</f>
        <v>S12</v>
      </c>
      <c r="X201" t="str">
        <f>'1'!AG201</f>
        <v>General</v>
      </c>
      <c r="Z201">
        <f>'1'!AE201</f>
        <v>9400</v>
      </c>
      <c r="AB201" t="str">
        <f>'1'!AM201</f>
        <v/>
      </c>
      <c r="AC201" t="str">
        <f>'1'!AK201</f>
        <v/>
      </c>
      <c r="AP201" t="str">
        <f>'1'!AD201</f>
        <v>0088</v>
      </c>
      <c r="BG201" t="str">
        <f>'1'!AC201</f>
        <v>212699</v>
      </c>
      <c r="BK201" s="39" t="s">
        <v>5381</v>
      </c>
      <c r="BL201" s="39" t="s">
        <v>5381</v>
      </c>
      <c r="BU201" s="39" t="s">
        <v>5381</v>
      </c>
      <c r="BV201" s="39" t="s">
        <v>5381</v>
      </c>
      <c r="CE201" s="39" t="s">
        <v>5381</v>
      </c>
      <c r="CH201" s="39" t="s">
        <v>5381</v>
      </c>
    </row>
    <row r="202" spans="1:86">
      <c r="A202" s="62" t="s">
        <v>5380</v>
      </c>
      <c r="B202" t="str">
        <f>'1'!B202</f>
        <v>David</v>
      </c>
      <c r="C202" t="str">
        <f>'1'!C202</f>
        <v/>
      </c>
      <c r="D202" t="str">
        <f>'1'!D202</f>
        <v>Wilson</v>
      </c>
      <c r="E202" t="str">
        <f>'1'!P202</f>
        <v>207809</v>
      </c>
      <c r="F202" t="str">
        <f>'1'!I202&amp;".new.uat"</f>
        <v>dwilson@onebarnes.com.new.uat</v>
      </c>
      <c r="G202" s="39" t="s">
        <v>5389</v>
      </c>
      <c r="H202" t="str">
        <f>'1'!I202</f>
        <v>dwilson@onebarnes.com</v>
      </c>
      <c r="I202" t="str">
        <f>'1'!AI202</f>
        <v>en_US</v>
      </c>
      <c r="L202" t="str">
        <f>'1'!AD202</f>
        <v>0088</v>
      </c>
      <c r="M202" t="str">
        <f>'1'!AJ202</f>
        <v>USD</v>
      </c>
      <c r="O202" s="39" t="str">
        <f>'1'!AL202</f>
        <v>Y</v>
      </c>
      <c r="P202" t="str">
        <f>'1'!AD202</f>
        <v>0088</v>
      </c>
      <c r="Q202">
        <f>'1'!AE202</f>
        <v>9500</v>
      </c>
      <c r="W202" t="str">
        <f>'1'!AA202</f>
        <v>S12</v>
      </c>
      <c r="X202" t="str">
        <f>'1'!AG202</f>
        <v>General</v>
      </c>
      <c r="Z202">
        <f>'1'!AE202</f>
        <v>9500</v>
      </c>
      <c r="AB202" t="str">
        <f>'1'!AM202</f>
        <v/>
      </c>
      <c r="AC202" t="str">
        <f>'1'!AK202</f>
        <v/>
      </c>
      <c r="AP202" t="str">
        <f>'1'!AD202</f>
        <v>0088</v>
      </c>
      <c r="BG202" t="str">
        <f>'1'!AC202</f>
        <v>210892</v>
      </c>
      <c r="BK202" s="39" t="s">
        <v>5381</v>
      </c>
      <c r="BL202" s="39" t="s">
        <v>5381</v>
      </c>
      <c r="BU202" s="39" t="s">
        <v>5381</v>
      </c>
      <c r="BV202" s="39" t="s">
        <v>5381</v>
      </c>
      <c r="CE202" s="39" t="s">
        <v>5381</v>
      </c>
      <c r="CH202" s="39" t="s">
        <v>5381</v>
      </c>
    </row>
    <row r="203" spans="1:86">
      <c r="A203" s="62" t="s">
        <v>5380</v>
      </c>
      <c r="B203" t="str">
        <f>'1'!B203</f>
        <v>Richard</v>
      </c>
      <c r="C203" t="str">
        <f>'1'!C203</f>
        <v>M</v>
      </c>
      <c r="D203" t="str">
        <f>'1'!D203</f>
        <v>Wright</v>
      </c>
      <c r="E203" t="str">
        <f>'1'!P203</f>
        <v>212100</v>
      </c>
      <c r="F203" t="str">
        <f>'1'!I203&amp;".new.uat"</f>
        <v>mwright@onebarnes.com.new.uat</v>
      </c>
      <c r="G203" s="39" t="s">
        <v>5389</v>
      </c>
      <c r="H203" t="str">
        <f>'1'!I203</f>
        <v>mwright@onebarnes.com</v>
      </c>
      <c r="I203" t="str">
        <f>'1'!AI203</f>
        <v>en_US</v>
      </c>
      <c r="L203" t="str">
        <f>'1'!AD203</f>
        <v>0096</v>
      </c>
      <c r="M203" t="str">
        <f>'1'!AJ203</f>
        <v>USD</v>
      </c>
      <c r="O203" s="39" t="str">
        <f>'1'!AL203</f>
        <v>Y</v>
      </c>
      <c r="P203" t="str">
        <f>'1'!AD203</f>
        <v>0096</v>
      </c>
      <c r="Q203">
        <f>'1'!AE203</f>
        <v>450</v>
      </c>
      <c r="W203" t="str">
        <f>'1'!AA203</f>
        <v>H08</v>
      </c>
      <c r="X203" t="str">
        <f>'1'!AG203</f>
        <v>General</v>
      </c>
      <c r="Z203">
        <f>'1'!AE203</f>
        <v>450</v>
      </c>
      <c r="AB203" t="str">
        <f>'1'!AM203</f>
        <v/>
      </c>
      <c r="AC203" t="str">
        <f>'1'!AK203</f>
        <v>Max Wright</v>
      </c>
      <c r="AP203" t="str">
        <f>'1'!AD203</f>
        <v>0096</v>
      </c>
      <c r="BG203" t="str">
        <f>'1'!AC203</f>
        <v>006780</v>
      </c>
      <c r="BK203" s="39" t="s">
        <v>5381</v>
      </c>
      <c r="BL203" s="39" t="s">
        <v>5381</v>
      </c>
      <c r="BU203" s="39" t="s">
        <v>5381</v>
      </c>
      <c r="BV203" s="39" t="s">
        <v>5381</v>
      </c>
      <c r="CE203" s="39" t="s">
        <v>5381</v>
      </c>
      <c r="CH203" s="39" t="s">
        <v>5381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F1A-F4D3-4D4F-8B51-A16BE42C6AB3}">
  <dimension ref="A1:BO203"/>
  <sheetViews>
    <sheetView topLeftCell="A3" workbookViewId="0">
      <selection activeCell="B5" sqref="B5"/>
    </sheetView>
  </sheetViews>
  <sheetFormatPr baseColWidth="10" defaultRowHeight="15"/>
  <sheetData>
    <row r="1" spans="1:67">
      <c r="A1" s="75" t="s">
        <v>5395</v>
      </c>
    </row>
    <row r="2" spans="1:67">
      <c r="A2" s="51">
        <v>1</v>
      </c>
      <c r="B2" s="76">
        <v>2</v>
      </c>
      <c r="C2" s="52">
        <v>3</v>
      </c>
      <c r="D2" s="52">
        <v>4</v>
      </c>
      <c r="E2" s="52">
        <v>5</v>
      </c>
      <c r="F2" s="52">
        <v>6</v>
      </c>
      <c r="G2" s="52">
        <v>7</v>
      </c>
      <c r="H2" s="52">
        <v>8</v>
      </c>
      <c r="I2" s="52">
        <v>9</v>
      </c>
      <c r="J2" s="52">
        <v>10</v>
      </c>
      <c r="K2" s="52">
        <v>11</v>
      </c>
      <c r="L2" s="52">
        <v>12</v>
      </c>
      <c r="M2" s="52">
        <v>13</v>
      </c>
      <c r="N2" s="52">
        <v>14</v>
      </c>
      <c r="O2" s="52">
        <v>15</v>
      </c>
      <c r="P2" s="52">
        <v>16</v>
      </c>
      <c r="Q2" s="52">
        <v>17</v>
      </c>
      <c r="R2" s="52">
        <v>18</v>
      </c>
      <c r="S2" s="52">
        <v>19</v>
      </c>
      <c r="T2" s="52">
        <v>20</v>
      </c>
      <c r="U2" s="52">
        <v>21</v>
      </c>
      <c r="V2" s="52">
        <v>22</v>
      </c>
      <c r="W2" s="52">
        <v>23</v>
      </c>
      <c r="X2" s="52">
        <v>24</v>
      </c>
      <c r="Y2" s="52">
        <v>25</v>
      </c>
      <c r="Z2" s="52">
        <v>26</v>
      </c>
      <c r="AA2" s="52">
        <v>27</v>
      </c>
      <c r="AB2" s="52">
        <v>28</v>
      </c>
      <c r="AC2" s="52">
        <v>29</v>
      </c>
      <c r="AD2" s="52">
        <v>30</v>
      </c>
      <c r="AE2" s="52">
        <v>31</v>
      </c>
      <c r="AF2" s="52">
        <v>32</v>
      </c>
      <c r="AG2" s="52">
        <v>33</v>
      </c>
      <c r="AH2" s="52">
        <v>34</v>
      </c>
      <c r="AI2" s="52">
        <v>35</v>
      </c>
      <c r="AJ2" s="52">
        <v>36</v>
      </c>
      <c r="AK2" s="52">
        <v>37</v>
      </c>
      <c r="AL2" s="52">
        <v>38</v>
      </c>
      <c r="AM2" s="52">
        <v>39</v>
      </c>
      <c r="AN2" s="52">
        <v>40</v>
      </c>
      <c r="AO2" s="52">
        <v>41</v>
      </c>
      <c r="AP2" s="52">
        <v>42</v>
      </c>
      <c r="AQ2" s="52">
        <v>43</v>
      </c>
      <c r="AR2" s="52">
        <v>44</v>
      </c>
      <c r="AS2" s="52">
        <v>45</v>
      </c>
      <c r="AT2" s="52">
        <v>46</v>
      </c>
      <c r="AU2" s="52">
        <v>47</v>
      </c>
      <c r="AV2" s="52">
        <v>48</v>
      </c>
      <c r="AW2" s="52">
        <v>49</v>
      </c>
      <c r="AX2" s="52">
        <v>50</v>
      </c>
      <c r="AY2" s="52">
        <v>51</v>
      </c>
      <c r="AZ2" s="52">
        <v>52</v>
      </c>
      <c r="BA2" s="52">
        <v>53</v>
      </c>
      <c r="BB2" s="52">
        <v>54</v>
      </c>
      <c r="BC2" s="52">
        <v>55</v>
      </c>
      <c r="BD2" s="52">
        <v>56</v>
      </c>
      <c r="BE2" s="52">
        <v>57</v>
      </c>
      <c r="BF2" s="52">
        <v>58</v>
      </c>
      <c r="BG2" s="52">
        <v>59</v>
      </c>
      <c r="BH2" s="52">
        <v>60</v>
      </c>
      <c r="BI2" s="52">
        <v>61</v>
      </c>
      <c r="BJ2" s="52">
        <v>62</v>
      </c>
      <c r="BK2" s="52">
        <v>63</v>
      </c>
      <c r="BL2" s="52">
        <v>64</v>
      </c>
      <c r="BM2" s="52">
        <v>65</v>
      </c>
      <c r="BN2" s="52">
        <v>66</v>
      </c>
      <c r="BO2" s="52">
        <v>67</v>
      </c>
    </row>
    <row r="3" spans="1:67" ht="168.75" customHeight="1">
      <c r="A3" s="51" t="s">
        <v>5396</v>
      </c>
      <c r="B3" s="51" t="s">
        <v>5397</v>
      </c>
      <c r="C3" s="52" t="s">
        <v>5398</v>
      </c>
      <c r="D3" s="52" t="s">
        <v>5399</v>
      </c>
      <c r="E3" s="52" t="s">
        <v>5400</v>
      </c>
      <c r="F3" s="52" t="s">
        <v>5401</v>
      </c>
      <c r="G3" s="52" t="s">
        <v>5402</v>
      </c>
      <c r="H3" s="52" t="s">
        <v>5403</v>
      </c>
      <c r="I3" s="52" t="s">
        <v>5404</v>
      </c>
      <c r="J3" s="52" t="s">
        <v>5405</v>
      </c>
      <c r="K3" s="52" t="s">
        <v>5406</v>
      </c>
      <c r="L3" s="52" t="s">
        <v>5407</v>
      </c>
      <c r="M3" s="52" t="s">
        <v>5408</v>
      </c>
      <c r="N3" s="52" t="s">
        <v>5409</v>
      </c>
      <c r="O3" s="52" t="s">
        <v>5410</v>
      </c>
      <c r="P3" s="52" t="s">
        <v>5411</v>
      </c>
      <c r="Q3" s="52" t="s">
        <v>5412</v>
      </c>
      <c r="R3" s="54" t="s">
        <v>5413</v>
      </c>
      <c r="S3" s="52" t="s">
        <v>5414</v>
      </c>
      <c r="T3" s="54" t="s">
        <v>5415</v>
      </c>
      <c r="U3" s="52" t="s">
        <v>5416</v>
      </c>
      <c r="V3" s="52" t="s">
        <v>5417</v>
      </c>
      <c r="W3" s="52" t="s">
        <v>5418</v>
      </c>
      <c r="X3" s="52" t="s">
        <v>5419</v>
      </c>
      <c r="Y3" s="52" t="s">
        <v>5420</v>
      </c>
      <c r="Z3" s="52" t="s">
        <v>5421</v>
      </c>
      <c r="AA3" s="52" t="s">
        <v>5422</v>
      </c>
      <c r="AB3" s="52" t="s">
        <v>5423</v>
      </c>
      <c r="AC3" s="52" t="s">
        <v>5424</v>
      </c>
      <c r="AD3" s="52" t="s">
        <v>5425</v>
      </c>
      <c r="AE3" s="52" t="s">
        <v>5426</v>
      </c>
      <c r="AF3" s="52" t="s">
        <v>5427</v>
      </c>
      <c r="AG3" s="54" t="s">
        <v>5428</v>
      </c>
      <c r="AH3" s="54" t="s">
        <v>5429</v>
      </c>
      <c r="AI3" s="54" t="s">
        <v>5430</v>
      </c>
      <c r="AJ3" s="52" t="s">
        <v>5431</v>
      </c>
      <c r="AK3" s="52" t="s">
        <v>5432</v>
      </c>
      <c r="AL3" s="52" t="s">
        <v>5433</v>
      </c>
      <c r="AM3" s="52" t="s">
        <v>5434</v>
      </c>
      <c r="AN3" s="52" t="s">
        <v>5435</v>
      </c>
      <c r="AO3" s="52" t="s">
        <v>5436</v>
      </c>
      <c r="AP3" s="52" t="s">
        <v>5437</v>
      </c>
      <c r="AQ3" s="52" t="s">
        <v>5438</v>
      </c>
      <c r="AR3" s="52" t="s">
        <v>5439</v>
      </c>
      <c r="AS3" s="52" t="s">
        <v>5440</v>
      </c>
      <c r="AT3" s="52" t="s">
        <v>5441</v>
      </c>
      <c r="AU3" s="52" t="s">
        <v>5442</v>
      </c>
      <c r="AV3" s="52" t="s">
        <v>5443</v>
      </c>
      <c r="AW3" s="52" t="s">
        <v>5444</v>
      </c>
      <c r="AX3" s="52" t="s">
        <v>5445</v>
      </c>
      <c r="AY3" s="52" t="s">
        <v>5446</v>
      </c>
      <c r="AZ3" s="52" t="s">
        <v>5447</v>
      </c>
      <c r="BA3" s="52" t="s">
        <v>5448</v>
      </c>
      <c r="BB3" s="52" t="s">
        <v>5449</v>
      </c>
      <c r="BC3" s="52" t="s">
        <v>5450</v>
      </c>
      <c r="BD3" s="52" t="s">
        <v>5451</v>
      </c>
      <c r="BE3" s="52" t="s">
        <v>5452</v>
      </c>
      <c r="BF3" s="52" t="s">
        <v>5453</v>
      </c>
      <c r="BG3" s="52" t="s">
        <v>5454</v>
      </c>
      <c r="BH3" s="52" t="s">
        <v>5455</v>
      </c>
      <c r="BI3" s="52" t="s">
        <v>5456</v>
      </c>
      <c r="BJ3" s="52" t="s">
        <v>5457</v>
      </c>
      <c r="BK3" s="52" t="s">
        <v>5458</v>
      </c>
      <c r="BL3" s="52" t="s">
        <v>5459</v>
      </c>
      <c r="BM3" s="52" t="s">
        <v>5460</v>
      </c>
      <c r="BN3" s="52" t="s">
        <v>5461</v>
      </c>
      <c r="BO3" s="52" t="s">
        <v>5462</v>
      </c>
    </row>
    <row r="4" spans="1:67">
      <c r="A4" s="56">
        <v>3</v>
      </c>
      <c r="B4" s="56">
        <v>48</v>
      </c>
      <c r="C4" s="56">
        <v>60</v>
      </c>
      <c r="D4" s="56">
        <v>60</v>
      </c>
      <c r="E4" s="56">
        <v>60</v>
      </c>
      <c r="F4" s="56">
        <v>13</v>
      </c>
      <c r="G4" s="56">
        <v>1</v>
      </c>
      <c r="H4" s="56">
        <v>10</v>
      </c>
      <c r="I4" s="56">
        <v>128</v>
      </c>
      <c r="J4" s="56">
        <v>255</v>
      </c>
      <c r="K4" s="56">
        <v>60</v>
      </c>
      <c r="L4" s="56">
        <v>60</v>
      </c>
      <c r="M4" s="56">
        <v>60</v>
      </c>
      <c r="N4" s="56">
        <v>60</v>
      </c>
      <c r="O4" s="56">
        <v>60</v>
      </c>
      <c r="P4" s="56">
        <v>60</v>
      </c>
      <c r="Q4" s="56">
        <v>30</v>
      </c>
      <c r="R4" s="56">
        <v>60</v>
      </c>
      <c r="S4" s="56">
        <v>60</v>
      </c>
      <c r="T4" s="56">
        <v>60</v>
      </c>
      <c r="U4" s="56">
        <v>255</v>
      </c>
      <c r="V4" s="56">
        <v>30</v>
      </c>
      <c r="W4" s="56">
        <v>30</v>
      </c>
      <c r="X4" s="56">
        <v>20</v>
      </c>
      <c r="Y4" s="56">
        <v>2</v>
      </c>
      <c r="Z4" s="56">
        <v>255</v>
      </c>
      <c r="AA4" s="56">
        <v>30</v>
      </c>
      <c r="AB4" s="56">
        <v>30</v>
      </c>
      <c r="AC4" s="56">
        <v>20</v>
      </c>
      <c r="AD4" s="56">
        <v>2</v>
      </c>
      <c r="AE4" s="56">
        <v>255</v>
      </c>
      <c r="AF4" s="56">
        <v>255</v>
      </c>
      <c r="AG4" s="56">
        <v>255</v>
      </c>
      <c r="AH4" s="56">
        <v>255</v>
      </c>
      <c r="AI4" s="56">
        <v>255</v>
      </c>
      <c r="AJ4" s="56">
        <v>255</v>
      </c>
      <c r="AK4" s="56">
        <v>255</v>
      </c>
      <c r="AL4" s="56">
        <v>255</v>
      </c>
      <c r="AM4" s="56">
        <v>255</v>
      </c>
      <c r="AN4" s="56">
        <v>255</v>
      </c>
      <c r="AO4" s="56">
        <v>255</v>
      </c>
      <c r="AP4" s="56">
        <v>255</v>
      </c>
      <c r="AQ4" s="56">
        <v>255</v>
      </c>
      <c r="AR4" s="56">
        <v>255</v>
      </c>
      <c r="AS4" s="56">
        <v>255</v>
      </c>
      <c r="AT4" s="56">
        <v>255</v>
      </c>
      <c r="AU4" s="56">
        <v>255</v>
      </c>
      <c r="AV4" s="56">
        <v>255</v>
      </c>
      <c r="AW4" s="56">
        <v>255</v>
      </c>
      <c r="AX4" s="56">
        <v>255</v>
      </c>
      <c r="AY4" s="56">
        <v>255</v>
      </c>
      <c r="AZ4" s="56">
        <v>255</v>
      </c>
      <c r="BA4" s="56">
        <v>255</v>
      </c>
      <c r="BB4" s="56">
        <v>255</v>
      </c>
      <c r="BC4" s="56">
        <v>255</v>
      </c>
      <c r="BD4" s="56">
        <v>255</v>
      </c>
      <c r="BE4" s="56">
        <v>255</v>
      </c>
      <c r="BF4" s="56">
        <v>64</v>
      </c>
      <c r="BG4" s="56">
        <v>1</v>
      </c>
      <c r="BH4" s="56">
        <v>1</v>
      </c>
      <c r="BI4" s="56">
        <v>1</v>
      </c>
      <c r="BJ4" s="56" t="s">
        <v>5082</v>
      </c>
      <c r="BK4" s="56" t="s">
        <v>5082</v>
      </c>
      <c r="BL4" s="56" t="s">
        <v>5082</v>
      </c>
      <c r="BM4" s="56" t="s">
        <v>5082</v>
      </c>
      <c r="BN4" s="56" t="s">
        <v>5082</v>
      </c>
      <c r="BO4" s="56" t="s">
        <v>5082</v>
      </c>
    </row>
    <row r="5" spans="1:67">
      <c r="A5" s="62" t="s">
        <v>5463</v>
      </c>
      <c r="B5" t="str">
        <f>'1'!P5</f>
        <v>211837</v>
      </c>
      <c r="R5" t="str">
        <f>'1'!AG5</f>
        <v>General</v>
      </c>
      <c r="T5" t="str">
        <f>'1'!AD5</f>
        <v>0088</v>
      </c>
    </row>
    <row r="6" spans="1:67">
      <c r="A6" s="62" t="s">
        <v>5463</v>
      </c>
      <c r="B6" t="str">
        <f>'1'!P6</f>
        <v>213331</v>
      </c>
      <c r="R6" t="str">
        <f>'1'!AG6</f>
        <v>General</v>
      </c>
      <c r="T6" t="str">
        <f>'1'!AD6</f>
        <v>0088</v>
      </c>
    </row>
    <row r="7" spans="1:67">
      <c r="A7" s="62" t="s">
        <v>5463</v>
      </c>
      <c r="B7" t="str">
        <f>'1'!P7</f>
        <v>213226</v>
      </c>
      <c r="R7" t="str">
        <f>'1'!AG7</f>
        <v>General</v>
      </c>
      <c r="T7" t="str">
        <f>'1'!AD7</f>
        <v>0088</v>
      </c>
    </row>
    <row r="8" spans="1:67">
      <c r="A8" s="62" t="s">
        <v>5463</v>
      </c>
      <c r="B8" t="str">
        <f>'1'!P8</f>
        <v>211901</v>
      </c>
      <c r="R8" t="str">
        <f>'1'!AG8</f>
        <v>General</v>
      </c>
      <c r="T8" t="str">
        <f>'1'!AD8</f>
        <v>0088</v>
      </c>
    </row>
    <row r="9" spans="1:67">
      <c r="A9" s="62" t="s">
        <v>5463</v>
      </c>
      <c r="B9" t="str">
        <f>'1'!P9</f>
        <v>213306</v>
      </c>
      <c r="R9" t="str">
        <f>'1'!AG9</f>
        <v>General</v>
      </c>
      <c r="T9" t="str">
        <f>'1'!AD9</f>
        <v>0088</v>
      </c>
    </row>
    <row r="10" spans="1:67">
      <c r="A10" s="62" t="s">
        <v>5463</v>
      </c>
      <c r="B10" t="str">
        <f>'1'!P10</f>
        <v>210892</v>
      </c>
      <c r="R10" t="str">
        <f>'1'!AG10</f>
        <v>General</v>
      </c>
      <c r="T10" t="str">
        <f>'1'!AD10</f>
        <v>0088</v>
      </c>
    </row>
    <row r="11" spans="1:67">
      <c r="A11" s="62" t="s">
        <v>5463</v>
      </c>
      <c r="B11" t="str">
        <f>'1'!P11</f>
        <v>206848</v>
      </c>
      <c r="R11" t="str">
        <f>'1'!AG11</f>
        <v>General</v>
      </c>
      <c r="T11" t="str">
        <f>'1'!AD11</f>
        <v>0088</v>
      </c>
    </row>
    <row r="12" spans="1:67">
      <c r="A12" s="62" t="s">
        <v>5463</v>
      </c>
      <c r="B12" t="str">
        <f>'1'!P12</f>
        <v>201688</v>
      </c>
      <c r="R12" t="str">
        <f>'1'!AG12</f>
        <v>General</v>
      </c>
      <c r="T12" t="str">
        <f>'1'!AD12</f>
        <v>0088</v>
      </c>
    </row>
    <row r="13" spans="1:67">
      <c r="A13" s="62" t="s">
        <v>5463</v>
      </c>
      <c r="B13" t="str">
        <f>'1'!P13</f>
        <v>902688</v>
      </c>
      <c r="R13" t="str">
        <f>'1'!AG13</f>
        <v>General</v>
      </c>
      <c r="T13" t="str">
        <f>'1'!AD13</f>
        <v>0088</v>
      </c>
    </row>
    <row r="14" spans="1:67">
      <c r="A14" s="62" t="s">
        <v>5463</v>
      </c>
      <c r="B14" t="str">
        <f>'1'!P14</f>
        <v>207709</v>
      </c>
      <c r="R14" t="str">
        <f>'1'!AG14</f>
        <v>Senior Leadership</v>
      </c>
      <c r="T14" t="str">
        <f>'1'!AD14</f>
        <v>0088</v>
      </c>
    </row>
    <row r="15" spans="1:67">
      <c r="A15" s="62" t="s">
        <v>5463</v>
      </c>
      <c r="B15" t="str">
        <f>'1'!P15</f>
        <v>209579</v>
      </c>
      <c r="R15" t="str">
        <f>'1'!AG15</f>
        <v>General</v>
      </c>
      <c r="T15" t="str">
        <f>'1'!AD15</f>
        <v>0096</v>
      </c>
    </row>
    <row r="16" spans="1:67">
      <c r="A16" s="62" t="s">
        <v>5463</v>
      </c>
      <c r="B16" t="str">
        <f>'1'!P16</f>
        <v>213037</v>
      </c>
      <c r="R16" t="str">
        <f>'1'!AG16</f>
        <v>General</v>
      </c>
      <c r="T16" t="str">
        <f>'1'!AD16</f>
        <v>0096</v>
      </c>
    </row>
    <row r="17" spans="1:20">
      <c r="A17" s="62" t="s">
        <v>5463</v>
      </c>
      <c r="B17" t="str">
        <f>'1'!P17</f>
        <v>213333</v>
      </c>
      <c r="R17" t="str">
        <f>'1'!AG17</f>
        <v>General</v>
      </c>
      <c r="T17" t="str">
        <f>'1'!AD17</f>
        <v>0088</v>
      </c>
    </row>
    <row r="18" spans="1:20">
      <c r="A18" s="62" t="s">
        <v>5463</v>
      </c>
      <c r="B18" t="str">
        <f>'1'!P18</f>
        <v>212626</v>
      </c>
      <c r="R18" t="str">
        <f>'1'!AG18</f>
        <v>General</v>
      </c>
      <c r="T18" t="str">
        <f>'1'!AD18</f>
        <v>0088</v>
      </c>
    </row>
    <row r="19" spans="1:20">
      <c r="A19" s="62" t="s">
        <v>5463</v>
      </c>
      <c r="B19" t="str">
        <f>'1'!P19</f>
        <v>212639</v>
      </c>
      <c r="R19" t="str">
        <f>'1'!AG19</f>
        <v>General</v>
      </c>
      <c r="T19" t="str">
        <f>'1'!AD19</f>
        <v>0088</v>
      </c>
    </row>
    <row r="20" spans="1:20">
      <c r="A20" s="62" t="s">
        <v>5463</v>
      </c>
      <c r="B20" t="str">
        <f>'1'!P20</f>
        <v>211464</v>
      </c>
      <c r="R20" t="str">
        <f>'1'!AG20</f>
        <v>General</v>
      </c>
      <c r="T20" t="str">
        <f>'1'!AD20</f>
        <v>0088</v>
      </c>
    </row>
    <row r="21" spans="1:20">
      <c r="A21" s="62" t="s">
        <v>5463</v>
      </c>
      <c r="B21" t="str">
        <f>'1'!P21</f>
        <v>210102</v>
      </c>
      <c r="R21" t="str">
        <f>'1'!AG21</f>
        <v>General</v>
      </c>
      <c r="T21" t="str">
        <f>'1'!AD21</f>
        <v>0096</v>
      </c>
    </row>
    <row r="22" spans="1:20">
      <c r="A22" s="62" t="s">
        <v>5463</v>
      </c>
      <c r="B22" t="str">
        <f>'1'!P22</f>
        <v>210375</v>
      </c>
      <c r="R22" t="str">
        <f>'1'!AG22</f>
        <v>General</v>
      </c>
      <c r="T22" t="str">
        <f>'1'!AD22</f>
        <v>0096</v>
      </c>
    </row>
    <row r="23" spans="1:20">
      <c r="A23" s="62" t="s">
        <v>5463</v>
      </c>
      <c r="B23" t="str">
        <f>'1'!P23</f>
        <v>211174</v>
      </c>
      <c r="R23" t="str">
        <f>'1'!AG23</f>
        <v>General</v>
      </c>
      <c r="T23" t="str">
        <f>'1'!AD23</f>
        <v>0088</v>
      </c>
    </row>
    <row r="24" spans="1:20">
      <c r="A24" s="62" t="s">
        <v>5463</v>
      </c>
      <c r="B24" t="str">
        <f>'1'!P24</f>
        <v/>
      </c>
      <c r="R24" t="str">
        <f>'1'!AG24</f>
        <v>General</v>
      </c>
      <c r="T24" t="str">
        <f>'1'!AD24</f>
        <v>0088</v>
      </c>
    </row>
    <row r="25" spans="1:20">
      <c r="A25" s="62" t="s">
        <v>5463</v>
      </c>
      <c r="B25" t="str">
        <f>'1'!P25</f>
        <v>213234</v>
      </c>
      <c r="R25" t="str">
        <f>'1'!AG25</f>
        <v>General</v>
      </c>
      <c r="T25" t="str">
        <f>'1'!AD25</f>
        <v>0088</v>
      </c>
    </row>
    <row r="26" spans="1:20">
      <c r="A26" s="62" t="s">
        <v>5463</v>
      </c>
      <c r="B26" t="str">
        <f>'1'!P26</f>
        <v/>
      </c>
      <c r="R26" t="str">
        <f>'1'!AG26</f>
        <v>General</v>
      </c>
      <c r="T26" t="str">
        <f>'1'!AD26</f>
        <v>BU Description Not Mapped</v>
      </c>
    </row>
    <row r="27" spans="1:20">
      <c r="A27" s="62" t="s">
        <v>5463</v>
      </c>
      <c r="B27" t="str">
        <f>'1'!P27</f>
        <v>006769</v>
      </c>
      <c r="R27" t="str">
        <f>'1'!AG27</f>
        <v>General</v>
      </c>
      <c r="T27" t="str">
        <f>'1'!AD27</f>
        <v>0096</v>
      </c>
    </row>
    <row r="28" spans="1:20">
      <c r="A28" s="62" t="s">
        <v>5463</v>
      </c>
      <c r="B28" t="str">
        <f>'1'!P28</f>
        <v>212370</v>
      </c>
      <c r="R28" t="str">
        <f>'1'!AG28</f>
        <v>General</v>
      </c>
      <c r="T28" t="str">
        <f>'1'!AD28</f>
        <v>0096</v>
      </c>
    </row>
    <row r="29" spans="1:20">
      <c r="A29" s="62" t="s">
        <v>5463</v>
      </c>
      <c r="B29" t="str">
        <f>'1'!P29</f>
        <v>209735</v>
      </c>
      <c r="R29" t="str">
        <f>'1'!AG29</f>
        <v>General</v>
      </c>
      <c r="T29" t="str">
        <f>'1'!AD29</f>
        <v>0088</v>
      </c>
    </row>
    <row r="30" spans="1:20">
      <c r="A30" s="62" t="s">
        <v>5463</v>
      </c>
      <c r="B30" t="str">
        <f>'1'!P30</f>
        <v>211756</v>
      </c>
      <c r="R30" t="str">
        <f>'1'!AG30</f>
        <v>General</v>
      </c>
      <c r="T30" t="str">
        <f>'1'!AD30</f>
        <v>0088</v>
      </c>
    </row>
    <row r="31" spans="1:20">
      <c r="A31" s="62" t="s">
        <v>5463</v>
      </c>
      <c r="B31" t="str">
        <f>'1'!P31</f>
        <v>206741</v>
      </c>
      <c r="R31" t="str">
        <f>'1'!AG31</f>
        <v>General</v>
      </c>
      <c r="T31" t="str">
        <f>'1'!AD31</f>
        <v>0096</v>
      </c>
    </row>
    <row r="32" spans="1:20">
      <c r="A32" s="62" t="s">
        <v>5463</v>
      </c>
      <c r="B32" t="str">
        <f>'1'!P32</f>
        <v>900826</v>
      </c>
      <c r="R32" t="str">
        <f>'1'!AG32</f>
        <v>General</v>
      </c>
      <c r="T32" t="str">
        <f>'1'!AD32</f>
        <v>0096</v>
      </c>
    </row>
    <row r="33" spans="1:20">
      <c r="A33" s="62" t="s">
        <v>5463</v>
      </c>
      <c r="B33" t="str">
        <f>'1'!P33</f>
        <v>212737</v>
      </c>
      <c r="R33" t="str">
        <f>'1'!AG33</f>
        <v>General</v>
      </c>
      <c r="T33" t="str">
        <f>'1'!AD33</f>
        <v>0096</v>
      </c>
    </row>
    <row r="34" spans="1:20">
      <c r="A34" s="62" t="s">
        <v>5463</v>
      </c>
      <c r="B34" t="str">
        <f>'1'!P34</f>
        <v>902435</v>
      </c>
      <c r="R34" t="str">
        <f>'1'!AG34</f>
        <v>General</v>
      </c>
      <c r="T34" t="str">
        <f>'1'!AD34</f>
        <v>0088</v>
      </c>
    </row>
    <row r="35" spans="1:20">
      <c r="A35" s="62" t="s">
        <v>5463</v>
      </c>
      <c r="B35" t="str">
        <f>'1'!P35</f>
        <v>213265</v>
      </c>
      <c r="R35" t="str">
        <f>'1'!AG35</f>
        <v>General</v>
      </c>
      <c r="T35" t="str">
        <f>'1'!AD35</f>
        <v>0096</v>
      </c>
    </row>
    <row r="36" spans="1:20">
      <c r="A36" s="62" t="s">
        <v>5463</v>
      </c>
      <c r="B36" t="str">
        <f>'1'!P36</f>
        <v>213265</v>
      </c>
      <c r="R36" t="str">
        <f>'1'!AG36</f>
        <v>General</v>
      </c>
      <c r="T36" t="str">
        <f>'1'!AD36</f>
        <v>0096</v>
      </c>
    </row>
    <row r="37" spans="1:20">
      <c r="A37" s="62" t="s">
        <v>5463</v>
      </c>
      <c r="B37" t="str">
        <f>'1'!P37</f>
        <v>213265</v>
      </c>
      <c r="R37" t="str">
        <f>'1'!AG37</f>
        <v>General</v>
      </c>
      <c r="T37" t="str">
        <f>'1'!AD37</f>
        <v>0096</v>
      </c>
    </row>
    <row r="38" spans="1:20">
      <c r="A38" s="62" t="s">
        <v>5463</v>
      </c>
      <c r="B38" t="str">
        <f>'1'!P38</f>
        <v>212699</v>
      </c>
      <c r="R38" t="str">
        <f>'1'!AG38</f>
        <v>General</v>
      </c>
      <c r="T38" t="str">
        <f>'1'!AD38</f>
        <v>0088</v>
      </c>
    </row>
    <row r="39" spans="1:20">
      <c r="A39" s="62" t="s">
        <v>5463</v>
      </c>
      <c r="B39" t="str">
        <f>'1'!P39</f>
        <v>007633</v>
      </c>
      <c r="R39" t="str">
        <f>'1'!AG39</f>
        <v>Salary Code Not Mapped</v>
      </c>
      <c r="T39" t="str">
        <f>'1'!AD39</f>
        <v>BU Description Not Mapped</v>
      </c>
    </row>
    <row r="40" spans="1:20">
      <c r="A40" s="62" t="s">
        <v>5463</v>
      </c>
      <c r="B40" t="str">
        <f>'1'!P40</f>
        <v/>
      </c>
      <c r="R40" t="str">
        <f>'1'!AG40</f>
        <v>Salary Code Not Mapped</v>
      </c>
      <c r="T40" t="str">
        <f>'1'!AD40</f>
        <v>BU Description Not Mapped</v>
      </c>
    </row>
    <row r="41" spans="1:20">
      <c r="A41" s="62" t="s">
        <v>5463</v>
      </c>
      <c r="B41" t="str">
        <f>'1'!P41</f>
        <v>213236</v>
      </c>
      <c r="R41" t="str">
        <f>'1'!AG41</f>
        <v>General</v>
      </c>
      <c r="T41" t="str">
        <f>'1'!AD41</f>
        <v>0088</v>
      </c>
    </row>
    <row r="42" spans="1:20">
      <c r="A42" s="62" t="s">
        <v>5463</v>
      </c>
      <c r="B42" t="str">
        <f>'1'!P42</f>
        <v>006774</v>
      </c>
      <c r="R42" t="str">
        <f>'1'!AG42</f>
        <v>General</v>
      </c>
      <c r="T42" t="str">
        <f>'1'!AD42</f>
        <v>0096</v>
      </c>
    </row>
    <row r="43" spans="1:20">
      <c r="A43" s="62" t="s">
        <v>5463</v>
      </c>
      <c r="B43" t="str">
        <f>'1'!P43</f>
        <v>006774</v>
      </c>
      <c r="R43" t="str">
        <f>'1'!AG43</f>
        <v>General</v>
      </c>
      <c r="T43" t="str">
        <f>'1'!AD43</f>
        <v>0096</v>
      </c>
    </row>
    <row r="44" spans="1:20">
      <c r="A44" s="62" t="s">
        <v>5463</v>
      </c>
      <c r="B44" t="str">
        <f>'1'!P44</f>
        <v>006774</v>
      </c>
      <c r="R44" t="str">
        <f>'1'!AG44</f>
        <v>General</v>
      </c>
      <c r="T44" t="str">
        <f>'1'!AD44</f>
        <v>0096</v>
      </c>
    </row>
    <row r="45" spans="1:20">
      <c r="A45" s="62" t="s">
        <v>5463</v>
      </c>
      <c r="B45" t="str">
        <f>'1'!P45</f>
        <v>207391</v>
      </c>
      <c r="R45" t="str">
        <f>'1'!AG45</f>
        <v>General</v>
      </c>
      <c r="T45" t="str">
        <f>'1'!AD45</f>
        <v>0088</v>
      </c>
    </row>
    <row r="46" spans="1:20">
      <c r="A46" s="62" t="s">
        <v>5463</v>
      </c>
      <c r="B46" t="str">
        <f>'1'!P46</f>
        <v>212244</v>
      </c>
      <c r="R46" t="str">
        <f>'1'!AG46</f>
        <v>General</v>
      </c>
      <c r="T46" t="str">
        <f>'1'!AD46</f>
        <v>0096</v>
      </c>
    </row>
    <row r="47" spans="1:20">
      <c r="A47" s="62" t="s">
        <v>5463</v>
      </c>
      <c r="B47" t="str">
        <f>'1'!P47</f>
        <v>211895</v>
      </c>
      <c r="R47" t="str">
        <f>'1'!AG47</f>
        <v>General</v>
      </c>
      <c r="T47" t="str">
        <f>'1'!AD47</f>
        <v>0088</v>
      </c>
    </row>
    <row r="48" spans="1:20">
      <c r="A48" s="62" t="s">
        <v>5463</v>
      </c>
      <c r="B48" t="str">
        <f>'1'!P48</f>
        <v>004330</v>
      </c>
      <c r="R48" t="str">
        <f>'1'!AG48</f>
        <v>General</v>
      </c>
      <c r="T48" t="str">
        <f>'1'!AD48</f>
        <v>0096</v>
      </c>
    </row>
    <row r="49" spans="1:20">
      <c r="A49" s="62" t="s">
        <v>5463</v>
      </c>
      <c r="B49" t="str">
        <f>'1'!P49</f>
        <v>212072</v>
      </c>
      <c r="R49" t="str">
        <f>'1'!AG49</f>
        <v>General</v>
      </c>
      <c r="T49" t="str">
        <f>'1'!AD49</f>
        <v>0096</v>
      </c>
    </row>
    <row r="50" spans="1:20">
      <c r="A50" s="62" t="s">
        <v>5463</v>
      </c>
      <c r="B50" t="str">
        <f>'1'!P50</f>
        <v>212921</v>
      </c>
      <c r="R50" t="str">
        <f>'1'!AG50</f>
        <v>General</v>
      </c>
      <c r="T50" t="str">
        <f>'1'!AD50</f>
        <v>0088</v>
      </c>
    </row>
    <row r="51" spans="1:20">
      <c r="A51" s="62" t="s">
        <v>5463</v>
      </c>
      <c r="B51" t="str">
        <f>'1'!P51</f>
        <v>201958</v>
      </c>
      <c r="R51" t="str">
        <f>'1'!AG51</f>
        <v>General</v>
      </c>
      <c r="T51" t="str">
        <f>'1'!AD51</f>
        <v>0096</v>
      </c>
    </row>
    <row r="52" spans="1:20">
      <c r="A52" s="62" t="s">
        <v>5463</v>
      </c>
      <c r="B52" t="str">
        <f>'1'!P52</f>
        <v>900848</v>
      </c>
      <c r="R52" t="str">
        <f>'1'!AG52</f>
        <v>General</v>
      </c>
      <c r="T52" t="str">
        <f>'1'!AD52</f>
        <v>0088</v>
      </c>
    </row>
    <row r="53" spans="1:20">
      <c r="A53" s="62" t="s">
        <v>5463</v>
      </c>
      <c r="B53" t="str">
        <f>'1'!P53</f>
        <v>007863</v>
      </c>
      <c r="R53" t="str">
        <f>'1'!AG53</f>
        <v>General</v>
      </c>
      <c r="T53" t="str">
        <f>'1'!AD53</f>
        <v>0096</v>
      </c>
    </row>
    <row r="54" spans="1:20">
      <c r="A54" s="62" t="s">
        <v>5463</v>
      </c>
      <c r="B54" t="str">
        <f>'1'!P54</f>
        <v>212151</v>
      </c>
      <c r="R54" t="str">
        <f>'1'!AG54</f>
        <v>General</v>
      </c>
      <c r="T54" t="str">
        <f>'1'!AD54</f>
        <v>0088</v>
      </c>
    </row>
    <row r="55" spans="1:20">
      <c r="A55" s="62" t="s">
        <v>5463</v>
      </c>
      <c r="B55" t="str">
        <f>'1'!P55</f>
        <v>211779</v>
      </c>
      <c r="R55" t="str">
        <f>'1'!AG55</f>
        <v>General</v>
      </c>
      <c r="T55" t="str">
        <f>'1'!AD55</f>
        <v>0088</v>
      </c>
    </row>
    <row r="56" spans="1:20">
      <c r="A56" s="62" t="s">
        <v>5463</v>
      </c>
      <c r="B56" t="str">
        <f>'1'!P56</f>
        <v>004352</v>
      </c>
      <c r="R56" t="str">
        <f>'1'!AG56</f>
        <v>General</v>
      </c>
      <c r="T56" t="str">
        <f>'1'!AD56</f>
        <v>0096</v>
      </c>
    </row>
    <row r="57" spans="1:20">
      <c r="A57" s="62" t="s">
        <v>5463</v>
      </c>
      <c r="B57" t="str">
        <f>'1'!P57</f>
        <v>006780</v>
      </c>
      <c r="R57" t="str">
        <f>'1'!AG57</f>
        <v>General</v>
      </c>
      <c r="T57" t="str">
        <f>'1'!AD57</f>
        <v>0096</v>
      </c>
    </row>
    <row r="58" spans="1:20">
      <c r="A58" s="62" t="s">
        <v>5463</v>
      </c>
      <c r="B58" t="str">
        <f>'1'!P58</f>
        <v>902627</v>
      </c>
      <c r="R58" t="str">
        <f>'1'!AG58</f>
        <v>General</v>
      </c>
      <c r="T58" t="str">
        <f>'1'!AD58</f>
        <v>0096</v>
      </c>
    </row>
    <row r="59" spans="1:20">
      <c r="A59" s="62" t="s">
        <v>5463</v>
      </c>
      <c r="B59" t="str">
        <f>'1'!P59</f>
        <v>209540</v>
      </c>
      <c r="R59" t="str">
        <f>'1'!AG59</f>
        <v>General</v>
      </c>
      <c r="T59" t="str">
        <f>'1'!AD59</f>
        <v>0088</v>
      </c>
    </row>
    <row r="60" spans="1:20">
      <c r="A60" s="62" t="s">
        <v>5463</v>
      </c>
      <c r="B60" t="str">
        <f>'1'!P60</f>
        <v>211991</v>
      </c>
      <c r="R60" t="str">
        <f>'1'!AG60</f>
        <v>General</v>
      </c>
      <c r="T60" t="str">
        <f>'1'!AD60</f>
        <v>0088</v>
      </c>
    </row>
    <row r="61" spans="1:20">
      <c r="A61" s="62" t="s">
        <v>5463</v>
      </c>
      <c r="B61" t="str">
        <f>'1'!P61</f>
        <v>209642</v>
      </c>
      <c r="R61" t="str">
        <f>'1'!AG61</f>
        <v>General</v>
      </c>
      <c r="T61" t="str">
        <f>'1'!AD61</f>
        <v>0088</v>
      </c>
    </row>
    <row r="62" spans="1:20">
      <c r="A62" s="62" t="s">
        <v>5463</v>
      </c>
      <c r="B62" t="str">
        <f>'1'!P62</f>
        <v>006785</v>
      </c>
      <c r="R62" t="str">
        <f>'1'!AG62</f>
        <v>General</v>
      </c>
      <c r="T62" t="str">
        <f>'1'!AD62</f>
        <v>0096</v>
      </c>
    </row>
    <row r="63" spans="1:20">
      <c r="A63" s="62" t="s">
        <v>5463</v>
      </c>
      <c r="B63" t="str">
        <f>'1'!P63</f>
        <v>213224</v>
      </c>
      <c r="R63" t="str">
        <f>'1'!AG63</f>
        <v>General</v>
      </c>
      <c r="T63" t="str">
        <f>'1'!AD63</f>
        <v>0088</v>
      </c>
    </row>
    <row r="64" spans="1:20">
      <c r="A64" s="62" t="s">
        <v>5463</v>
      </c>
      <c r="B64" t="str">
        <f>'1'!P64</f>
        <v>206228</v>
      </c>
      <c r="R64" t="str">
        <f>'1'!AG64</f>
        <v>General</v>
      </c>
      <c r="T64" t="str">
        <f>'1'!AD64</f>
        <v>0088</v>
      </c>
    </row>
    <row r="65" spans="1:20">
      <c r="A65" s="62" t="s">
        <v>5463</v>
      </c>
      <c r="B65" t="str">
        <f>'1'!P65</f>
        <v>211489</v>
      </c>
      <c r="R65" t="str">
        <f>'1'!AG65</f>
        <v>General</v>
      </c>
      <c r="T65" t="str">
        <f>'1'!AD65</f>
        <v>0088</v>
      </c>
    </row>
    <row r="66" spans="1:20">
      <c r="A66" s="62" t="s">
        <v>5463</v>
      </c>
      <c r="B66" t="str">
        <f>'1'!P66</f>
        <v>901454</v>
      </c>
      <c r="R66" t="str">
        <f>'1'!AG66</f>
        <v>General</v>
      </c>
      <c r="T66" t="str">
        <f>'1'!AD66</f>
        <v>0096</v>
      </c>
    </row>
    <row r="67" spans="1:20">
      <c r="A67" s="62" t="s">
        <v>5463</v>
      </c>
      <c r="B67" t="str">
        <f>'1'!P67</f>
        <v>209425</v>
      </c>
      <c r="R67" t="str">
        <f>'1'!AG67</f>
        <v>General</v>
      </c>
      <c r="T67" t="str">
        <f>'1'!AD67</f>
        <v>0088</v>
      </c>
    </row>
    <row r="68" spans="1:20">
      <c r="A68" s="62" t="s">
        <v>5463</v>
      </c>
      <c r="B68" t="str">
        <f>'1'!P68</f>
        <v>211045</v>
      </c>
      <c r="R68" t="str">
        <f>'1'!AG68</f>
        <v>General</v>
      </c>
      <c r="T68" t="str">
        <f>'1'!AD68</f>
        <v>0096</v>
      </c>
    </row>
    <row r="69" spans="1:20">
      <c r="A69" s="62" t="s">
        <v>5463</v>
      </c>
      <c r="B69" t="str">
        <f>'1'!P69</f>
        <v>213144</v>
      </c>
      <c r="R69" t="str">
        <f>'1'!AG69</f>
        <v>General</v>
      </c>
      <c r="T69" t="str">
        <f>'1'!AD69</f>
        <v>0096</v>
      </c>
    </row>
    <row r="70" spans="1:20">
      <c r="A70" s="62" t="s">
        <v>5463</v>
      </c>
      <c r="B70" t="str">
        <f>'1'!P70</f>
        <v>213144</v>
      </c>
      <c r="R70" t="str">
        <f>'1'!AG70</f>
        <v>General</v>
      </c>
      <c r="T70" t="str">
        <f>'1'!AD70</f>
        <v>0096</v>
      </c>
    </row>
    <row r="71" spans="1:20">
      <c r="A71" s="62" t="s">
        <v>5463</v>
      </c>
      <c r="B71" t="str">
        <f>'1'!P71</f>
        <v>209424</v>
      </c>
      <c r="R71" t="str">
        <f>'1'!AG71</f>
        <v>General</v>
      </c>
      <c r="T71" t="str">
        <f>'1'!AD71</f>
        <v>0088</v>
      </c>
    </row>
    <row r="72" spans="1:20">
      <c r="A72" s="62" t="s">
        <v>5463</v>
      </c>
      <c r="B72" t="str">
        <f>'1'!P72</f>
        <v>211181</v>
      </c>
      <c r="R72" t="str">
        <f>'1'!AG72</f>
        <v>General</v>
      </c>
      <c r="T72" t="str">
        <f>'1'!AD72</f>
        <v>0088</v>
      </c>
    </row>
    <row r="73" spans="1:20">
      <c r="A73" s="62" t="s">
        <v>5463</v>
      </c>
      <c r="B73" t="str">
        <f>'1'!P73</f>
        <v>211181</v>
      </c>
      <c r="R73" t="str">
        <f>'1'!AG73</f>
        <v>General</v>
      </c>
      <c r="T73" t="str">
        <f>'1'!AD73</f>
        <v>0088</v>
      </c>
    </row>
    <row r="74" spans="1:20">
      <c r="A74" s="62" t="s">
        <v>5463</v>
      </c>
      <c r="B74" t="str">
        <f>'1'!P74</f>
        <v>211145</v>
      </c>
      <c r="R74" t="str">
        <f>'1'!AG74</f>
        <v>General</v>
      </c>
      <c r="T74" t="str">
        <f>'1'!AD74</f>
        <v>0096</v>
      </c>
    </row>
    <row r="75" spans="1:20">
      <c r="A75" s="62" t="s">
        <v>5463</v>
      </c>
      <c r="B75" t="str">
        <f>'1'!P75</f>
        <v>006792</v>
      </c>
      <c r="R75" t="str">
        <f>'1'!AG75</f>
        <v>General</v>
      </c>
      <c r="T75" t="str">
        <f>'1'!AD75</f>
        <v>0096</v>
      </c>
    </row>
    <row r="76" spans="1:20">
      <c r="A76" s="62" t="s">
        <v>5463</v>
      </c>
      <c r="B76" t="str">
        <f>'1'!P76</f>
        <v/>
      </c>
      <c r="R76" t="str">
        <f>'1'!AG76</f>
        <v>General</v>
      </c>
      <c r="T76" t="str">
        <f>'1'!AD76</f>
        <v>0096</v>
      </c>
    </row>
    <row r="77" spans="1:20">
      <c r="A77" s="62" t="s">
        <v>5463</v>
      </c>
      <c r="B77" t="str">
        <f>'1'!P77</f>
        <v>902349</v>
      </c>
      <c r="R77" t="str">
        <f>'1'!AG77</f>
        <v>General</v>
      </c>
      <c r="T77" t="str">
        <f>'1'!AD77</f>
        <v>0088</v>
      </c>
    </row>
    <row r="78" spans="1:20">
      <c r="A78" s="62" t="s">
        <v>5463</v>
      </c>
      <c r="B78" t="str">
        <f>'1'!P78</f>
        <v>212966</v>
      </c>
      <c r="R78" t="str">
        <f>'1'!AG78</f>
        <v>General</v>
      </c>
      <c r="T78" t="str">
        <f>'1'!AD78</f>
        <v>0088</v>
      </c>
    </row>
    <row r="79" spans="1:20">
      <c r="A79" s="62" t="s">
        <v>5463</v>
      </c>
      <c r="B79" t="str">
        <f>'1'!P79</f>
        <v>211932</v>
      </c>
      <c r="R79" t="str">
        <f>'1'!AG79</f>
        <v>General</v>
      </c>
      <c r="T79" t="str">
        <f>'1'!AD79</f>
        <v>0088</v>
      </c>
    </row>
    <row r="80" spans="1:20">
      <c r="A80" s="62" t="s">
        <v>5463</v>
      </c>
      <c r="B80" t="str">
        <f>'1'!P80</f>
        <v>206442</v>
      </c>
      <c r="R80" t="str">
        <f>'1'!AG80</f>
        <v>General</v>
      </c>
      <c r="T80" t="str">
        <f>'1'!AD80</f>
        <v>0096</v>
      </c>
    </row>
    <row r="81" spans="1:20">
      <c r="A81" s="62" t="s">
        <v>5463</v>
      </c>
      <c r="B81" t="str">
        <f>'1'!P81</f>
        <v>206442</v>
      </c>
      <c r="R81" t="str">
        <f>'1'!AG81</f>
        <v>General</v>
      </c>
      <c r="T81" t="str">
        <f>'1'!AD81</f>
        <v>0096</v>
      </c>
    </row>
    <row r="82" spans="1:20">
      <c r="A82" s="62" t="s">
        <v>5463</v>
      </c>
      <c r="B82" t="str">
        <f>'1'!P82</f>
        <v>212479</v>
      </c>
      <c r="R82" t="str">
        <f>'1'!AG82</f>
        <v>General</v>
      </c>
      <c r="T82" t="str">
        <f>'1'!AD82</f>
        <v>0088</v>
      </c>
    </row>
    <row r="83" spans="1:20">
      <c r="A83" s="62" t="s">
        <v>5463</v>
      </c>
      <c r="B83" t="str">
        <f>'1'!P83</f>
        <v>211943</v>
      </c>
      <c r="R83" t="str">
        <f>'1'!AG83</f>
        <v>General</v>
      </c>
      <c r="T83" t="str">
        <f>'1'!AD83</f>
        <v>0096</v>
      </c>
    </row>
    <row r="84" spans="1:20">
      <c r="A84" s="62" t="s">
        <v>5463</v>
      </c>
      <c r="B84" t="str">
        <f>'1'!P84</f>
        <v>902026</v>
      </c>
      <c r="R84" t="str">
        <f>'1'!AG84</f>
        <v>General</v>
      </c>
      <c r="T84" t="str">
        <f>'1'!AD84</f>
        <v>0088</v>
      </c>
    </row>
    <row r="85" spans="1:20">
      <c r="A85" s="62" t="s">
        <v>5463</v>
      </c>
      <c r="B85" t="str">
        <f>'1'!P85</f>
        <v>212418</v>
      </c>
      <c r="R85" t="str">
        <f>'1'!AG85</f>
        <v>General</v>
      </c>
      <c r="T85" t="str">
        <f>'1'!AD85</f>
        <v>0088</v>
      </c>
    </row>
    <row r="86" spans="1:20">
      <c r="A86" s="62" t="s">
        <v>5463</v>
      </c>
      <c r="B86" t="str">
        <f>'1'!P86</f>
        <v/>
      </c>
      <c r="R86" t="str">
        <f>'1'!AG86</f>
        <v>General</v>
      </c>
      <c r="T86" t="str">
        <f>'1'!AD86</f>
        <v>0088</v>
      </c>
    </row>
    <row r="87" spans="1:20">
      <c r="A87" s="62" t="s">
        <v>5463</v>
      </c>
      <c r="B87" t="str">
        <f>'1'!P87</f>
        <v>213235</v>
      </c>
      <c r="R87" t="str">
        <f>'1'!AG87</f>
        <v>General</v>
      </c>
      <c r="T87" t="str">
        <f>'1'!AD87</f>
        <v>0088</v>
      </c>
    </row>
    <row r="88" spans="1:20">
      <c r="A88" s="62" t="s">
        <v>5463</v>
      </c>
      <c r="B88" t="str">
        <f>'1'!P88</f>
        <v>206680</v>
      </c>
      <c r="R88" t="str">
        <f>'1'!AG88</f>
        <v>General</v>
      </c>
      <c r="T88" t="str">
        <f>'1'!AD88</f>
        <v>0096</v>
      </c>
    </row>
    <row r="89" spans="1:20">
      <c r="A89" s="62" t="s">
        <v>5463</v>
      </c>
      <c r="B89" t="str">
        <f>'1'!P89</f>
        <v>211766</v>
      </c>
      <c r="R89" t="str">
        <f>'1'!AG89</f>
        <v>General</v>
      </c>
      <c r="T89" t="str">
        <f>'1'!AD89</f>
        <v>0088</v>
      </c>
    </row>
    <row r="90" spans="1:20">
      <c r="A90" s="62" t="s">
        <v>5463</v>
      </c>
      <c r="B90" t="str">
        <f>'1'!P90</f>
        <v>213229</v>
      </c>
      <c r="R90" t="str">
        <f>'1'!AG90</f>
        <v>General</v>
      </c>
      <c r="T90" t="str">
        <f>'1'!AD90</f>
        <v>0088</v>
      </c>
    </row>
    <row r="91" spans="1:20">
      <c r="A91" s="62" t="s">
        <v>5463</v>
      </c>
      <c r="B91" t="str">
        <f>'1'!P91</f>
        <v>211085</v>
      </c>
      <c r="R91" t="str">
        <f>'1'!AG91</f>
        <v>General</v>
      </c>
      <c r="T91" t="str">
        <f>'1'!AD91</f>
        <v>0088</v>
      </c>
    </row>
    <row r="92" spans="1:20">
      <c r="A92" s="62" t="s">
        <v>5463</v>
      </c>
      <c r="B92" t="str">
        <f>'1'!P92</f>
        <v>006805</v>
      </c>
      <c r="R92" t="str">
        <f>'1'!AG92</f>
        <v>General</v>
      </c>
      <c r="T92" t="str">
        <f>'1'!AD92</f>
        <v>0096</v>
      </c>
    </row>
    <row r="93" spans="1:20">
      <c r="A93" s="62" t="s">
        <v>5463</v>
      </c>
      <c r="B93" t="str">
        <f>'1'!P93</f>
        <v>213298</v>
      </c>
      <c r="R93" t="str">
        <f>'1'!AG93</f>
        <v>General</v>
      </c>
      <c r="T93" t="str">
        <f>'1'!AD93</f>
        <v>0088</v>
      </c>
    </row>
    <row r="94" spans="1:20">
      <c r="A94" s="62" t="s">
        <v>5463</v>
      </c>
      <c r="B94" t="str">
        <f>'1'!P94</f>
        <v>212177</v>
      </c>
      <c r="R94" t="str">
        <f>'1'!AG94</f>
        <v>General</v>
      </c>
      <c r="T94" t="str">
        <f>'1'!AD94</f>
        <v>0088</v>
      </c>
    </row>
    <row r="95" spans="1:20">
      <c r="A95" s="62" t="s">
        <v>5463</v>
      </c>
      <c r="B95" t="str">
        <f>'1'!P95</f>
        <v>211736</v>
      </c>
      <c r="R95" t="str">
        <f>'1'!AG95</f>
        <v>General</v>
      </c>
      <c r="T95" t="str">
        <f>'1'!AD95</f>
        <v>0088</v>
      </c>
    </row>
    <row r="96" spans="1:20">
      <c r="A96" s="62" t="s">
        <v>5463</v>
      </c>
      <c r="B96" t="str">
        <f>'1'!P96</f>
        <v>210371</v>
      </c>
      <c r="R96" t="str">
        <f>'1'!AG96</f>
        <v>General</v>
      </c>
      <c r="T96" t="str">
        <f>'1'!AD96</f>
        <v>0088</v>
      </c>
    </row>
    <row r="97" spans="1:20">
      <c r="A97" s="62" t="s">
        <v>5463</v>
      </c>
      <c r="B97" t="str">
        <f>'1'!P97</f>
        <v>210910</v>
      </c>
      <c r="R97" t="str">
        <f>'1'!AG97</f>
        <v>General</v>
      </c>
      <c r="T97" t="str">
        <f>'1'!AD97</f>
        <v>0096</v>
      </c>
    </row>
    <row r="98" spans="1:20">
      <c r="A98" s="62" t="s">
        <v>5463</v>
      </c>
      <c r="B98" t="str">
        <f>'1'!P98</f>
        <v>212990</v>
      </c>
      <c r="R98" t="str">
        <f>'1'!AG98</f>
        <v>General</v>
      </c>
      <c r="T98" t="str">
        <f>'1'!AD98</f>
        <v>0088</v>
      </c>
    </row>
    <row r="99" spans="1:20">
      <c r="A99" s="62" t="s">
        <v>5463</v>
      </c>
      <c r="B99" t="str">
        <f>'1'!P99</f>
        <v>212598</v>
      </c>
      <c r="R99" t="str">
        <f>'1'!AG99</f>
        <v>General</v>
      </c>
      <c r="T99" t="str">
        <f>'1'!AD99</f>
        <v>0096</v>
      </c>
    </row>
    <row r="100" spans="1:20">
      <c r="A100" s="62" t="s">
        <v>5463</v>
      </c>
      <c r="B100" t="str">
        <f>'1'!P100</f>
        <v>212598</v>
      </c>
      <c r="R100" t="str">
        <f>'1'!AG100</f>
        <v>General</v>
      </c>
      <c r="T100" t="str">
        <f>'1'!AD100</f>
        <v>0096</v>
      </c>
    </row>
    <row r="101" spans="1:20">
      <c r="A101" s="62" t="s">
        <v>5463</v>
      </c>
      <c r="B101" t="str">
        <f>'1'!P101</f>
        <v>212598</v>
      </c>
      <c r="R101" t="str">
        <f>'1'!AG101</f>
        <v>General</v>
      </c>
      <c r="T101" t="str">
        <f>'1'!AD101</f>
        <v>0096</v>
      </c>
    </row>
    <row r="102" spans="1:20">
      <c r="A102" s="62" t="s">
        <v>5463</v>
      </c>
      <c r="B102" t="str">
        <f>'1'!P102</f>
        <v>210316</v>
      </c>
      <c r="R102" t="str">
        <f>'1'!AG102</f>
        <v>General</v>
      </c>
      <c r="T102" t="str">
        <f>'1'!AD102</f>
        <v>0088</v>
      </c>
    </row>
    <row r="103" spans="1:20">
      <c r="A103" s="62" t="s">
        <v>5463</v>
      </c>
      <c r="B103" t="str">
        <f>'1'!P103</f>
        <v>006809</v>
      </c>
      <c r="R103" t="str">
        <f>'1'!AG103</f>
        <v>General</v>
      </c>
      <c r="T103" t="str">
        <f>'1'!AD103</f>
        <v>0088</v>
      </c>
    </row>
    <row r="104" spans="1:20">
      <c r="A104" s="62" t="s">
        <v>5463</v>
      </c>
      <c r="B104" t="str">
        <f>'1'!P104</f>
        <v>006809</v>
      </c>
      <c r="R104" t="str">
        <f>'1'!AG104</f>
        <v>General</v>
      </c>
      <c r="T104" t="str">
        <f>'1'!AD104</f>
        <v>0096</v>
      </c>
    </row>
    <row r="105" spans="1:20">
      <c r="A105" s="62" t="s">
        <v>5463</v>
      </c>
      <c r="B105" t="str">
        <f>'1'!P105</f>
        <v>202609</v>
      </c>
      <c r="R105" t="str">
        <f>'1'!AG105</f>
        <v>General</v>
      </c>
      <c r="T105" t="str">
        <f>'1'!AD105</f>
        <v>0096</v>
      </c>
    </row>
    <row r="106" spans="1:20">
      <c r="A106" s="62" t="s">
        <v>5463</v>
      </c>
      <c r="B106" t="str">
        <f>'1'!P106</f>
        <v>902563</v>
      </c>
      <c r="R106" t="str">
        <f>'1'!AG106</f>
        <v>General</v>
      </c>
      <c r="T106" t="str">
        <f>'1'!AD106</f>
        <v>0088</v>
      </c>
    </row>
    <row r="107" spans="1:20">
      <c r="A107" s="62" t="s">
        <v>5463</v>
      </c>
      <c r="B107" t="str">
        <f>'1'!P107</f>
        <v>902437</v>
      </c>
      <c r="R107" t="str">
        <f>'1'!AG107</f>
        <v>General</v>
      </c>
      <c r="T107" t="str">
        <f>'1'!AD107</f>
        <v>0088</v>
      </c>
    </row>
    <row r="108" spans="1:20">
      <c r="A108" s="62" t="s">
        <v>5463</v>
      </c>
      <c r="B108" t="str">
        <f>'1'!P108</f>
        <v>201343</v>
      </c>
      <c r="R108" t="str">
        <f>'1'!AG108</f>
        <v>General</v>
      </c>
      <c r="T108" t="str">
        <f>'1'!AD108</f>
        <v>0088</v>
      </c>
    </row>
    <row r="109" spans="1:20">
      <c r="A109" s="62" t="s">
        <v>5463</v>
      </c>
      <c r="B109" t="str">
        <f>'1'!P109</f>
        <v>662995</v>
      </c>
      <c r="R109" t="str">
        <f>'1'!AG109</f>
        <v>General</v>
      </c>
      <c r="T109" t="str">
        <f>'1'!AD109</f>
        <v>0088</v>
      </c>
    </row>
    <row r="110" spans="1:20">
      <c r="A110" s="62" t="s">
        <v>5463</v>
      </c>
      <c r="B110" t="str">
        <f>'1'!P110</f>
        <v>006811</v>
      </c>
      <c r="R110" t="str">
        <f>'1'!AG110</f>
        <v>General</v>
      </c>
      <c r="T110" t="str">
        <f>'1'!AD110</f>
        <v>0096</v>
      </c>
    </row>
    <row r="111" spans="1:20">
      <c r="A111" s="62" t="s">
        <v>5463</v>
      </c>
      <c r="B111" t="str">
        <f>'1'!P111</f>
        <v>901213</v>
      </c>
      <c r="R111" t="str">
        <f>'1'!AG111</f>
        <v>General</v>
      </c>
      <c r="T111" t="str">
        <f>'1'!AD111</f>
        <v>0088</v>
      </c>
    </row>
    <row r="112" spans="1:20">
      <c r="A112" s="62" t="s">
        <v>5463</v>
      </c>
      <c r="B112" t="str">
        <f>'1'!P112</f>
        <v>213332</v>
      </c>
      <c r="R112" t="str">
        <f>'1'!AG112</f>
        <v>General</v>
      </c>
      <c r="T112" t="str">
        <f>'1'!AD112</f>
        <v>0096</v>
      </c>
    </row>
    <row r="113" spans="1:20">
      <c r="A113" s="62" t="s">
        <v>5463</v>
      </c>
      <c r="B113" t="str">
        <f>'1'!P113</f>
        <v>007861</v>
      </c>
      <c r="R113" t="str">
        <f>'1'!AG113</f>
        <v>General</v>
      </c>
      <c r="T113" t="str">
        <f>'1'!AD113</f>
        <v>0096</v>
      </c>
    </row>
    <row r="114" spans="1:20">
      <c r="A114" s="62" t="s">
        <v>5463</v>
      </c>
      <c r="B114" t="str">
        <f>'1'!P114</f>
        <v/>
      </c>
      <c r="R114" t="str">
        <f>'1'!AG114</f>
        <v>General</v>
      </c>
      <c r="T114" t="str">
        <f>'1'!AD114</f>
        <v>0096</v>
      </c>
    </row>
    <row r="115" spans="1:20">
      <c r="A115" s="62" t="s">
        <v>5463</v>
      </c>
      <c r="B115" t="str">
        <f>'1'!P115</f>
        <v>211905</v>
      </c>
      <c r="R115" t="str">
        <f>'1'!AG115</f>
        <v>General</v>
      </c>
      <c r="T115" t="str">
        <f>'1'!AD115</f>
        <v>0096</v>
      </c>
    </row>
    <row r="116" spans="1:20">
      <c r="A116" s="62" t="s">
        <v>5463</v>
      </c>
      <c r="B116" t="str">
        <f>'1'!P116</f>
        <v>211456</v>
      </c>
      <c r="R116" t="str">
        <f>'1'!AG116</f>
        <v>General</v>
      </c>
      <c r="T116" t="str">
        <f>'1'!AD116</f>
        <v>0088</v>
      </c>
    </row>
    <row r="117" spans="1:20">
      <c r="A117" s="62" t="s">
        <v>5463</v>
      </c>
      <c r="B117" t="str">
        <f>'1'!P117</f>
        <v>210134</v>
      </c>
      <c r="R117" t="str">
        <f>'1'!AG117</f>
        <v>General</v>
      </c>
      <c r="T117" t="str">
        <f>'1'!AD117</f>
        <v>0088</v>
      </c>
    </row>
    <row r="118" spans="1:20">
      <c r="A118" s="62" t="s">
        <v>5463</v>
      </c>
      <c r="B118" t="str">
        <f>'1'!P118</f>
        <v>212052</v>
      </c>
      <c r="R118" t="str">
        <f>'1'!AG118</f>
        <v>General</v>
      </c>
      <c r="T118" t="str">
        <f>'1'!AD118</f>
        <v>0096</v>
      </c>
    </row>
    <row r="119" spans="1:20">
      <c r="A119" s="62" t="s">
        <v>5463</v>
      </c>
      <c r="B119" t="str">
        <f>'1'!P119</f>
        <v>212052</v>
      </c>
      <c r="R119" t="str">
        <f>'1'!AG119</f>
        <v>Salary Code Not Mapped</v>
      </c>
      <c r="T119" t="str">
        <f>'1'!AD119</f>
        <v>BU Description Not Mapped</v>
      </c>
    </row>
    <row r="120" spans="1:20">
      <c r="A120" s="62" t="s">
        <v>5463</v>
      </c>
      <c r="B120" t="str">
        <f>'1'!P120</f>
        <v>212052</v>
      </c>
      <c r="R120" t="str">
        <f>'1'!AG120</f>
        <v>General</v>
      </c>
      <c r="T120" t="str">
        <f>'1'!AD120</f>
        <v>0096</v>
      </c>
    </row>
    <row r="121" spans="1:20">
      <c r="A121" s="62" t="s">
        <v>5463</v>
      </c>
      <c r="B121" t="str">
        <f>'1'!P121</f>
        <v>212052</v>
      </c>
      <c r="R121" t="str">
        <f>'1'!AG121</f>
        <v>General</v>
      </c>
      <c r="T121" t="str">
        <f>'1'!AD121</f>
        <v>0096</v>
      </c>
    </row>
    <row r="122" spans="1:20">
      <c r="A122" s="62" t="s">
        <v>5463</v>
      </c>
      <c r="B122" t="str">
        <f>'1'!P122</f>
        <v>209746</v>
      </c>
      <c r="R122" t="str">
        <f>'1'!AG122</f>
        <v>General</v>
      </c>
      <c r="T122" t="str">
        <f>'1'!AD122</f>
        <v>0088</v>
      </c>
    </row>
    <row r="123" spans="1:20">
      <c r="A123" s="62" t="s">
        <v>5463</v>
      </c>
      <c r="B123" t="str">
        <f>'1'!P123</f>
        <v>209746</v>
      </c>
      <c r="R123" t="str">
        <f>'1'!AG123</f>
        <v>General</v>
      </c>
      <c r="T123" t="str">
        <f>'1'!AD123</f>
        <v>0088</v>
      </c>
    </row>
    <row r="124" spans="1:20">
      <c r="A124" s="62" t="s">
        <v>5463</v>
      </c>
      <c r="B124" t="str">
        <f>'1'!P124</f>
        <v>209746</v>
      </c>
      <c r="R124" t="str">
        <f>'1'!AG124</f>
        <v>General</v>
      </c>
      <c r="T124" t="str">
        <f>'1'!AD124</f>
        <v>0088</v>
      </c>
    </row>
    <row r="125" spans="1:20">
      <c r="A125" s="62" t="s">
        <v>5463</v>
      </c>
      <c r="B125" t="str">
        <f>'1'!P125</f>
        <v>007630</v>
      </c>
      <c r="R125" t="str">
        <f>'1'!AG125</f>
        <v>General</v>
      </c>
      <c r="T125" t="str">
        <f>'1'!AD125</f>
        <v>0088</v>
      </c>
    </row>
    <row r="126" spans="1:20">
      <c r="A126" s="62" t="s">
        <v>5463</v>
      </c>
      <c r="B126" t="str">
        <f>'1'!P126</f>
        <v>213225</v>
      </c>
      <c r="R126" t="str">
        <f>'1'!AG126</f>
        <v>General</v>
      </c>
      <c r="T126" t="str">
        <f>'1'!AD126</f>
        <v>0088</v>
      </c>
    </row>
    <row r="127" spans="1:20">
      <c r="A127" s="62" t="s">
        <v>5463</v>
      </c>
      <c r="B127" t="str">
        <f>'1'!P127</f>
        <v>212349</v>
      </c>
      <c r="R127" t="str">
        <f>'1'!AG127</f>
        <v>General</v>
      </c>
      <c r="T127" t="str">
        <f>'1'!AD127</f>
        <v>0088</v>
      </c>
    </row>
    <row r="128" spans="1:20">
      <c r="A128" s="62" t="s">
        <v>5463</v>
      </c>
      <c r="B128" t="str">
        <f>'1'!P128</f>
        <v>212129</v>
      </c>
      <c r="R128" t="str">
        <f>'1'!AG128</f>
        <v>General</v>
      </c>
      <c r="T128" t="str">
        <f>'1'!AD128</f>
        <v>0088</v>
      </c>
    </row>
    <row r="129" spans="1:20">
      <c r="A129" s="62" t="s">
        <v>5463</v>
      </c>
      <c r="B129" t="str">
        <f>'1'!P129</f>
        <v>663830</v>
      </c>
      <c r="R129" t="str">
        <f>'1'!AG129</f>
        <v>General</v>
      </c>
      <c r="T129" t="str">
        <f>'1'!AD129</f>
        <v>0088</v>
      </c>
    </row>
    <row r="130" spans="1:20">
      <c r="A130" s="62" t="s">
        <v>5463</v>
      </c>
      <c r="B130" t="str">
        <f>'1'!P130</f>
        <v>212678</v>
      </c>
      <c r="R130" t="str">
        <f>'1'!AG130</f>
        <v>General</v>
      </c>
      <c r="T130" t="str">
        <f>'1'!AD130</f>
        <v>0096</v>
      </c>
    </row>
    <row r="131" spans="1:20">
      <c r="A131" s="62" t="s">
        <v>5463</v>
      </c>
      <c r="B131" t="str">
        <f>'1'!P131</f>
        <v>209181</v>
      </c>
      <c r="R131" t="str">
        <f>'1'!AG131</f>
        <v>General</v>
      </c>
      <c r="T131" t="str">
        <f>'1'!AD131</f>
        <v>0096</v>
      </c>
    </row>
    <row r="132" spans="1:20">
      <c r="A132" s="62" t="s">
        <v>5463</v>
      </c>
      <c r="B132" t="str">
        <f>'1'!P132</f>
        <v>209634</v>
      </c>
      <c r="R132" t="str">
        <f>'1'!AG132</f>
        <v>General</v>
      </c>
      <c r="T132" t="str">
        <f>'1'!AD132</f>
        <v>0088</v>
      </c>
    </row>
    <row r="133" spans="1:20">
      <c r="A133" s="62" t="s">
        <v>5463</v>
      </c>
      <c r="B133" t="str">
        <f>'1'!P133</f>
        <v>212725</v>
      </c>
      <c r="R133" t="str">
        <f>'1'!AG133</f>
        <v>General</v>
      </c>
      <c r="T133" t="str">
        <f>'1'!AD133</f>
        <v>0088</v>
      </c>
    </row>
    <row r="134" spans="1:20">
      <c r="A134" s="62" t="s">
        <v>5463</v>
      </c>
      <c r="B134" t="str">
        <f>'1'!P134</f>
        <v>212119</v>
      </c>
      <c r="R134" t="str">
        <f>'1'!AG134</f>
        <v>General</v>
      </c>
      <c r="T134" t="str">
        <f>'1'!AD134</f>
        <v>0088</v>
      </c>
    </row>
    <row r="135" spans="1:20">
      <c r="A135" s="62" t="s">
        <v>5463</v>
      </c>
      <c r="B135" t="str">
        <f>'1'!P135</f>
        <v>902690</v>
      </c>
      <c r="R135" t="str">
        <f>'1'!AG135</f>
        <v>General</v>
      </c>
      <c r="T135" t="str">
        <f>'1'!AD135</f>
        <v>0088</v>
      </c>
    </row>
    <row r="136" spans="1:20">
      <c r="A136" s="62" t="s">
        <v>5463</v>
      </c>
      <c r="B136" t="str">
        <f>'1'!P136</f>
        <v>201903</v>
      </c>
      <c r="R136" t="str">
        <f>'1'!AG136</f>
        <v>General</v>
      </c>
      <c r="T136" t="str">
        <f>'1'!AD136</f>
        <v>0088</v>
      </c>
    </row>
    <row r="137" spans="1:20">
      <c r="A137" s="62" t="s">
        <v>5463</v>
      </c>
      <c r="B137" t="str">
        <f>'1'!P137</f>
        <v>006820</v>
      </c>
      <c r="R137" t="str">
        <f>'1'!AG137</f>
        <v>General</v>
      </c>
      <c r="T137" t="str">
        <f>'1'!AD137</f>
        <v>0096</v>
      </c>
    </row>
    <row r="138" spans="1:20">
      <c r="A138" s="62" t="s">
        <v>5463</v>
      </c>
      <c r="B138" t="str">
        <f>'1'!P138</f>
        <v>900851</v>
      </c>
      <c r="R138" t="str">
        <f>'1'!AG138</f>
        <v>General</v>
      </c>
      <c r="T138" t="str">
        <f>'1'!AD138</f>
        <v>0088</v>
      </c>
    </row>
    <row r="139" spans="1:20">
      <c r="A139" s="62" t="s">
        <v>5463</v>
      </c>
      <c r="B139" t="str">
        <f>'1'!P139</f>
        <v>212478</v>
      </c>
      <c r="R139" t="str">
        <f>'1'!AG139</f>
        <v>General</v>
      </c>
      <c r="T139" t="str">
        <f>'1'!AD139</f>
        <v>0088</v>
      </c>
    </row>
    <row r="140" spans="1:20">
      <c r="A140" s="62" t="s">
        <v>5463</v>
      </c>
      <c r="B140" t="str">
        <f>'1'!P140</f>
        <v>210402</v>
      </c>
      <c r="R140" t="str">
        <f>'1'!AG140</f>
        <v>General</v>
      </c>
      <c r="T140" t="str">
        <f>'1'!AD140</f>
        <v>0096</v>
      </c>
    </row>
    <row r="141" spans="1:20">
      <c r="A141" s="62" t="s">
        <v>5463</v>
      </c>
      <c r="B141" t="str">
        <f>'1'!P141</f>
        <v>211531</v>
      </c>
      <c r="R141" t="str">
        <f>'1'!AG141</f>
        <v>General</v>
      </c>
      <c r="T141" t="str">
        <f>'1'!AD141</f>
        <v>0088</v>
      </c>
    </row>
    <row r="142" spans="1:20">
      <c r="A142" s="62" t="s">
        <v>5463</v>
      </c>
      <c r="B142" t="str">
        <f>'1'!P142</f>
        <v>201895</v>
      </c>
      <c r="R142" t="str">
        <f>'1'!AG142</f>
        <v>General</v>
      </c>
      <c r="T142" t="str">
        <f>'1'!AD142</f>
        <v>0088</v>
      </c>
    </row>
    <row r="143" spans="1:20">
      <c r="A143" s="62" t="s">
        <v>5463</v>
      </c>
      <c r="B143" t="str">
        <f>'1'!P143</f>
        <v>206738</v>
      </c>
      <c r="R143" t="str">
        <f>'1'!AG143</f>
        <v>General</v>
      </c>
      <c r="T143" t="str">
        <f>'1'!AD143</f>
        <v>0096</v>
      </c>
    </row>
    <row r="144" spans="1:20">
      <c r="A144" s="62" t="s">
        <v>5463</v>
      </c>
      <c r="B144" t="str">
        <f>'1'!P144</f>
        <v>210018</v>
      </c>
      <c r="R144" t="str">
        <f>'1'!AG144</f>
        <v>General</v>
      </c>
      <c r="T144" t="str">
        <f>'1'!AD144</f>
        <v>0088</v>
      </c>
    </row>
    <row r="145" spans="1:20">
      <c r="A145" s="62" t="s">
        <v>5463</v>
      </c>
      <c r="B145" t="str">
        <f>'1'!P145</f>
        <v>211131</v>
      </c>
      <c r="R145" t="str">
        <f>'1'!AG145</f>
        <v>General</v>
      </c>
      <c r="T145" t="str">
        <f>'1'!AD145</f>
        <v>0088</v>
      </c>
    </row>
    <row r="146" spans="1:20">
      <c r="A146" s="62" t="s">
        <v>5463</v>
      </c>
      <c r="B146" t="str">
        <f>'1'!P146</f>
        <v>211131</v>
      </c>
      <c r="R146" t="str">
        <f>'1'!AG146</f>
        <v>General</v>
      </c>
      <c r="T146" t="str">
        <f>'1'!AD146</f>
        <v>0088</v>
      </c>
    </row>
    <row r="147" spans="1:20">
      <c r="A147" s="62" t="s">
        <v>5463</v>
      </c>
      <c r="B147" t="str">
        <f>'1'!P147</f>
        <v>210035</v>
      </c>
      <c r="R147" t="str">
        <f>'1'!AG147</f>
        <v>General</v>
      </c>
      <c r="T147" t="str">
        <f>'1'!AD147</f>
        <v>0088</v>
      </c>
    </row>
    <row r="148" spans="1:20">
      <c r="A148" s="62" t="s">
        <v>5463</v>
      </c>
      <c r="B148" t="str">
        <f>'1'!P148</f>
        <v>212074</v>
      </c>
      <c r="R148" t="str">
        <f>'1'!AG148</f>
        <v>General</v>
      </c>
      <c r="T148" t="str">
        <f>'1'!AD148</f>
        <v>0088</v>
      </c>
    </row>
    <row r="149" spans="1:20">
      <c r="A149" s="62" t="s">
        <v>5463</v>
      </c>
      <c r="B149" t="str">
        <f>'1'!P149</f>
        <v>210727</v>
      </c>
      <c r="R149" t="str">
        <f>'1'!AG149</f>
        <v>General</v>
      </c>
      <c r="T149" t="str">
        <f>'1'!AD149</f>
        <v>0088</v>
      </c>
    </row>
    <row r="150" spans="1:20">
      <c r="A150" s="62" t="s">
        <v>5463</v>
      </c>
      <c r="B150" t="str">
        <f>'1'!P150</f>
        <v/>
      </c>
      <c r="R150" t="str">
        <f>'1'!AG150</f>
        <v>Salary Code Not Mapped</v>
      </c>
      <c r="T150" t="str">
        <f>'1'!AD150</f>
        <v>BU Description Not Mapped</v>
      </c>
    </row>
    <row r="151" spans="1:20">
      <c r="A151" s="62" t="s">
        <v>5463</v>
      </c>
      <c r="B151" t="str">
        <f>'1'!P151</f>
        <v>212338</v>
      </c>
      <c r="R151" t="str">
        <f>'1'!AG151</f>
        <v>General</v>
      </c>
      <c r="T151" t="str">
        <f>'1'!AD151</f>
        <v>0096</v>
      </c>
    </row>
    <row r="152" spans="1:20">
      <c r="A152" s="62" t="s">
        <v>5463</v>
      </c>
      <c r="B152" t="str">
        <f>'1'!P152</f>
        <v>207588</v>
      </c>
      <c r="R152" t="str">
        <f>'1'!AG152</f>
        <v>General</v>
      </c>
      <c r="T152" t="str">
        <f>'1'!AD152</f>
        <v>0096</v>
      </c>
    </row>
    <row r="153" spans="1:20">
      <c r="A153" s="62" t="s">
        <v>5463</v>
      </c>
      <c r="B153" t="str">
        <f>'1'!P153</f>
        <v>207487</v>
      </c>
      <c r="R153" t="str">
        <f>'1'!AG153</f>
        <v>General</v>
      </c>
      <c r="T153" t="str">
        <f>'1'!AD153</f>
        <v>0088</v>
      </c>
    </row>
    <row r="154" spans="1:20">
      <c r="A154" s="62" t="s">
        <v>5463</v>
      </c>
      <c r="B154" t="str">
        <f>'1'!P154</f>
        <v/>
      </c>
      <c r="R154" t="str">
        <f>'1'!AG154</f>
        <v>General</v>
      </c>
      <c r="T154" t="str">
        <f>'1'!AD154</f>
        <v>0088</v>
      </c>
    </row>
    <row r="155" spans="1:20">
      <c r="A155" s="62" t="s">
        <v>5463</v>
      </c>
      <c r="B155" t="str">
        <f>'1'!P155</f>
        <v>007647</v>
      </c>
      <c r="R155" t="str">
        <f>'1'!AG155</f>
        <v>General</v>
      </c>
      <c r="T155" t="str">
        <f>'1'!AD155</f>
        <v>0088</v>
      </c>
    </row>
    <row r="156" spans="1:20">
      <c r="A156" s="62" t="s">
        <v>5463</v>
      </c>
      <c r="B156" t="str">
        <f>'1'!P156</f>
        <v>004374</v>
      </c>
      <c r="R156" t="str">
        <f>'1'!AG156</f>
        <v>General</v>
      </c>
      <c r="T156" t="str">
        <f>'1'!AD156</f>
        <v>0096</v>
      </c>
    </row>
    <row r="157" spans="1:20">
      <c r="A157" s="62" t="s">
        <v>5463</v>
      </c>
      <c r="B157" t="str">
        <f>'1'!P157</f>
        <v>213091</v>
      </c>
      <c r="R157" t="str">
        <f>'1'!AG157</f>
        <v>General</v>
      </c>
      <c r="T157" t="str">
        <f>'1'!AD157</f>
        <v>0088</v>
      </c>
    </row>
    <row r="158" spans="1:20">
      <c r="A158" s="62" t="s">
        <v>5463</v>
      </c>
      <c r="B158" t="str">
        <f>'1'!P158</f>
        <v>900439</v>
      </c>
      <c r="R158" t="str">
        <f>'1'!AG158</f>
        <v>General</v>
      </c>
      <c r="T158" t="str">
        <f>'1'!AD158</f>
        <v>0096</v>
      </c>
    </row>
    <row r="159" spans="1:20">
      <c r="A159" s="62" t="s">
        <v>5463</v>
      </c>
      <c r="B159" t="str">
        <f>'1'!P159</f>
        <v>210127</v>
      </c>
      <c r="R159" t="str">
        <f>'1'!AG159</f>
        <v>General</v>
      </c>
      <c r="T159" t="str">
        <f>'1'!AD159</f>
        <v>0088</v>
      </c>
    </row>
    <row r="160" spans="1:20">
      <c r="A160" s="62" t="s">
        <v>5463</v>
      </c>
      <c r="B160" t="str">
        <f>'1'!P160</f>
        <v>212421</v>
      </c>
      <c r="R160" t="str">
        <f>'1'!AG160</f>
        <v>General</v>
      </c>
      <c r="T160" t="str">
        <f>'1'!AD160</f>
        <v>0088</v>
      </c>
    </row>
    <row r="161" spans="1:20">
      <c r="A161" s="62" t="s">
        <v>5463</v>
      </c>
      <c r="B161" t="str">
        <f>'1'!P161</f>
        <v/>
      </c>
      <c r="R161" t="str">
        <f>'1'!AG161</f>
        <v>General</v>
      </c>
      <c r="T161" t="str">
        <f>'1'!AD161</f>
        <v>0088</v>
      </c>
    </row>
    <row r="162" spans="1:20">
      <c r="A162" s="62" t="s">
        <v>5463</v>
      </c>
      <c r="B162" t="str">
        <f>'1'!P162</f>
        <v>207466</v>
      </c>
      <c r="R162" t="str">
        <f>'1'!AG162</f>
        <v>General</v>
      </c>
      <c r="T162" t="str">
        <f>'1'!AD162</f>
        <v>0088</v>
      </c>
    </row>
    <row r="163" spans="1:20">
      <c r="A163" s="62" t="s">
        <v>5463</v>
      </c>
      <c r="B163" t="str">
        <f>'1'!P163</f>
        <v>210281</v>
      </c>
      <c r="R163" t="str">
        <f>'1'!AG163</f>
        <v>General</v>
      </c>
      <c r="T163" t="str">
        <f>'1'!AD163</f>
        <v>0088</v>
      </c>
    </row>
    <row r="164" spans="1:20">
      <c r="A164" s="62" t="s">
        <v>5463</v>
      </c>
      <c r="B164" t="str">
        <f>'1'!P164</f>
        <v>211062</v>
      </c>
      <c r="R164" t="str">
        <f>'1'!AG164</f>
        <v>General</v>
      </c>
      <c r="T164" t="str">
        <f>'1'!AD164</f>
        <v>0096</v>
      </c>
    </row>
    <row r="165" spans="1:20">
      <c r="A165" s="62" t="s">
        <v>5463</v>
      </c>
      <c r="B165" t="str">
        <f>'1'!P165</f>
        <v>212191</v>
      </c>
      <c r="R165" t="str">
        <f>'1'!AG165</f>
        <v>General</v>
      </c>
      <c r="T165" t="str">
        <f>'1'!AD165</f>
        <v>0088</v>
      </c>
    </row>
    <row r="166" spans="1:20">
      <c r="A166" s="62" t="s">
        <v>5463</v>
      </c>
      <c r="B166" t="str">
        <f>'1'!P166</f>
        <v>212191</v>
      </c>
      <c r="R166" t="str">
        <f>'1'!AG166</f>
        <v>General</v>
      </c>
      <c r="T166" t="str">
        <f>'1'!AD166</f>
        <v>0096</v>
      </c>
    </row>
    <row r="167" spans="1:20">
      <c r="A167" s="62" t="s">
        <v>5463</v>
      </c>
      <c r="B167" t="str">
        <f>'1'!P167</f>
        <v>004382</v>
      </c>
      <c r="R167" t="str">
        <f>'1'!AG167</f>
        <v>General</v>
      </c>
      <c r="T167" t="str">
        <f>'1'!AD167</f>
        <v>0096</v>
      </c>
    </row>
    <row r="168" spans="1:20">
      <c r="A168" s="62" t="s">
        <v>5463</v>
      </c>
      <c r="B168" t="str">
        <f>'1'!P168</f>
        <v>210103</v>
      </c>
      <c r="R168" t="str">
        <f>'1'!AG168</f>
        <v>General</v>
      </c>
      <c r="T168" t="str">
        <f>'1'!AD168</f>
        <v>0088</v>
      </c>
    </row>
    <row r="169" spans="1:20">
      <c r="A169" s="62" t="s">
        <v>5463</v>
      </c>
      <c r="B169" t="str">
        <f>'1'!P169</f>
        <v>212146</v>
      </c>
      <c r="R169" t="str">
        <f>'1'!AG169</f>
        <v>General</v>
      </c>
      <c r="T169" t="str">
        <f>'1'!AD169</f>
        <v>0088</v>
      </c>
    </row>
    <row r="170" spans="1:20">
      <c r="A170" s="62" t="s">
        <v>5463</v>
      </c>
      <c r="B170" t="str">
        <f>'1'!P170</f>
        <v>213227</v>
      </c>
      <c r="R170" t="str">
        <f>'1'!AG170</f>
        <v>General</v>
      </c>
      <c r="T170" t="str">
        <f>'1'!AD170</f>
        <v>0096</v>
      </c>
    </row>
    <row r="171" spans="1:20">
      <c r="A171" s="62" t="s">
        <v>5463</v>
      </c>
      <c r="B171" t="str">
        <f>'1'!P171</f>
        <v>213227</v>
      </c>
      <c r="R171" t="str">
        <f>'1'!AG171</f>
        <v>General</v>
      </c>
      <c r="T171" t="str">
        <f>'1'!AD171</f>
        <v>0096</v>
      </c>
    </row>
    <row r="172" spans="1:20">
      <c r="A172" s="62" t="s">
        <v>5463</v>
      </c>
      <c r="B172" t="str">
        <f>'1'!P172</f>
        <v>213227</v>
      </c>
      <c r="R172" t="str">
        <f>'1'!AG172</f>
        <v>General</v>
      </c>
      <c r="T172" t="str">
        <f>'1'!AD172</f>
        <v>0096</v>
      </c>
    </row>
    <row r="173" spans="1:20">
      <c r="A173" s="62" t="s">
        <v>5463</v>
      </c>
      <c r="B173" t="str">
        <f>'1'!P173</f>
        <v>901943</v>
      </c>
      <c r="R173" t="str">
        <f>'1'!AG173</f>
        <v>General</v>
      </c>
      <c r="T173" t="str">
        <f>'1'!AD173</f>
        <v>0096</v>
      </c>
    </row>
    <row r="174" spans="1:20">
      <c r="A174" s="62" t="s">
        <v>5463</v>
      </c>
      <c r="B174" t="str">
        <f>'1'!P174</f>
        <v>211521</v>
      </c>
      <c r="R174" t="str">
        <f>'1'!AG174</f>
        <v>General</v>
      </c>
      <c r="T174" t="str">
        <f>'1'!AD174</f>
        <v>0088</v>
      </c>
    </row>
    <row r="175" spans="1:20">
      <c r="A175" s="62" t="s">
        <v>5463</v>
      </c>
      <c r="B175" t="str">
        <f>'1'!P175</f>
        <v>902013</v>
      </c>
      <c r="R175" t="str">
        <f>'1'!AG175</f>
        <v>General</v>
      </c>
      <c r="T175" t="str">
        <f>'1'!AD175</f>
        <v>0088</v>
      </c>
    </row>
    <row r="176" spans="1:20">
      <c r="A176" s="62" t="s">
        <v>5463</v>
      </c>
      <c r="B176" t="str">
        <f>'1'!P176</f>
        <v>213241</v>
      </c>
      <c r="R176" t="str">
        <f>'1'!AG176</f>
        <v>General</v>
      </c>
      <c r="T176" t="str">
        <f>'1'!AD176</f>
        <v>0088</v>
      </c>
    </row>
    <row r="177" spans="1:20">
      <c r="A177" s="62" t="s">
        <v>5463</v>
      </c>
      <c r="B177" t="str">
        <f>'1'!P177</f>
        <v>206638</v>
      </c>
      <c r="R177" t="str">
        <f>'1'!AG177</f>
        <v>General</v>
      </c>
      <c r="T177" t="str">
        <f>'1'!AD177</f>
        <v>0088</v>
      </c>
    </row>
    <row r="178" spans="1:20">
      <c r="A178" s="62" t="s">
        <v>5463</v>
      </c>
      <c r="B178" t="str">
        <f>'1'!P178</f>
        <v>210339</v>
      </c>
      <c r="R178" t="str">
        <f>'1'!AG178</f>
        <v>General</v>
      </c>
      <c r="T178" t="str">
        <f>'1'!AD178</f>
        <v>0088</v>
      </c>
    </row>
    <row r="179" spans="1:20">
      <c r="A179" s="62" t="s">
        <v>5463</v>
      </c>
      <c r="B179" t="str">
        <f>'1'!P179</f>
        <v>206110</v>
      </c>
      <c r="R179" t="str">
        <f>'1'!AG179</f>
        <v>General</v>
      </c>
      <c r="T179" t="str">
        <f>'1'!AD179</f>
        <v>0096</v>
      </c>
    </row>
    <row r="180" spans="1:20">
      <c r="A180" s="62" t="s">
        <v>5463</v>
      </c>
      <c r="B180" t="str">
        <f>'1'!P180</f>
        <v>212254</v>
      </c>
      <c r="R180" t="str">
        <f>'1'!AG180</f>
        <v>General</v>
      </c>
      <c r="T180" t="str">
        <f>'1'!AD180</f>
        <v>0088</v>
      </c>
    </row>
    <row r="181" spans="1:20">
      <c r="A181" s="62" t="s">
        <v>5463</v>
      </c>
      <c r="B181" t="str">
        <f>'1'!P181</f>
        <v>212254</v>
      </c>
      <c r="R181" t="str">
        <f>'1'!AG181</f>
        <v>General</v>
      </c>
      <c r="T181" t="str">
        <f>'1'!AD181</f>
        <v>0088</v>
      </c>
    </row>
    <row r="182" spans="1:20">
      <c r="A182" s="62" t="s">
        <v>5463</v>
      </c>
      <c r="B182" t="str">
        <f>'1'!P182</f>
        <v>211601</v>
      </c>
      <c r="R182" t="str">
        <f>'1'!AG182</f>
        <v>General</v>
      </c>
      <c r="T182" t="str">
        <f>'1'!AD182</f>
        <v>0096</v>
      </c>
    </row>
    <row r="183" spans="1:20">
      <c r="A183" s="62" t="s">
        <v>5463</v>
      </c>
      <c r="B183" t="str">
        <f>'1'!P183</f>
        <v>206287</v>
      </c>
      <c r="R183" t="str">
        <f>'1'!AG183</f>
        <v>General</v>
      </c>
      <c r="T183" t="str">
        <f>'1'!AD183</f>
        <v>0096</v>
      </c>
    </row>
    <row r="184" spans="1:20">
      <c r="A184" s="62" t="s">
        <v>5463</v>
      </c>
      <c r="B184" t="str">
        <f>'1'!P184</f>
        <v>212687</v>
      </c>
      <c r="R184" t="str">
        <f>'1'!AG184</f>
        <v>General</v>
      </c>
      <c r="T184" t="str">
        <f>'1'!AD184</f>
        <v>0088</v>
      </c>
    </row>
    <row r="185" spans="1:20">
      <c r="A185" s="62" t="s">
        <v>5463</v>
      </c>
      <c r="B185" t="str">
        <f>'1'!P185</f>
        <v>206272</v>
      </c>
      <c r="R185" t="str">
        <f>'1'!AG185</f>
        <v>General</v>
      </c>
      <c r="T185" t="str">
        <f>'1'!AD185</f>
        <v>0088</v>
      </c>
    </row>
    <row r="186" spans="1:20">
      <c r="A186" s="62" t="s">
        <v>5463</v>
      </c>
      <c r="B186" t="str">
        <f>'1'!P186</f>
        <v>211022</v>
      </c>
      <c r="R186" t="str">
        <f>'1'!AG186</f>
        <v>General</v>
      </c>
      <c r="T186" t="str">
        <f>'1'!AD186</f>
        <v>0096</v>
      </c>
    </row>
    <row r="187" spans="1:20">
      <c r="A187" s="62" t="s">
        <v>5463</v>
      </c>
      <c r="B187" t="str">
        <f>'1'!P187</f>
        <v>211022</v>
      </c>
      <c r="R187" t="str">
        <f>'1'!AG187</f>
        <v>General</v>
      </c>
      <c r="T187" t="str">
        <f>'1'!AD187</f>
        <v>0096</v>
      </c>
    </row>
    <row r="188" spans="1:20">
      <c r="A188" s="62" t="s">
        <v>5463</v>
      </c>
      <c r="B188" t="str">
        <f>'1'!P188</f>
        <v>211022</v>
      </c>
      <c r="R188" t="str">
        <f>'1'!AG188</f>
        <v>General</v>
      </c>
      <c r="T188" t="str">
        <f>'1'!AD188</f>
        <v>0096</v>
      </c>
    </row>
    <row r="189" spans="1:20">
      <c r="A189" s="62" t="s">
        <v>5463</v>
      </c>
      <c r="B189" t="str">
        <f>'1'!P189</f>
        <v>211998</v>
      </c>
      <c r="R189" t="str">
        <f>'1'!AG189</f>
        <v>General</v>
      </c>
      <c r="T189" t="str">
        <f>'1'!AD189</f>
        <v>0096</v>
      </c>
    </row>
    <row r="190" spans="1:20">
      <c r="A190" s="62" t="s">
        <v>5463</v>
      </c>
      <c r="B190" t="str">
        <f>'1'!P190</f>
        <v>008750</v>
      </c>
      <c r="R190" t="str">
        <f>'1'!AG190</f>
        <v>General</v>
      </c>
      <c r="T190" t="str">
        <f>'1'!AD190</f>
        <v>0096</v>
      </c>
    </row>
    <row r="191" spans="1:20">
      <c r="A191" s="62" t="s">
        <v>5463</v>
      </c>
      <c r="B191" t="str">
        <f>'1'!P191</f>
        <v>212705</v>
      </c>
      <c r="R191" t="str">
        <f>'1'!AG191</f>
        <v>General</v>
      </c>
      <c r="T191" t="str">
        <f>'1'!AD191</f>
        <v>0088</v>
      </c>
    </row>
    <row r="192" spans="1:20">
      <c r="A192" s="62" t="s">
        <v>5463</v>
      </c>
      <c r="B192" t="str">
        <f>'1'!P192</f>
        <v>213286</v>
      </c>
      <c r="R192" t="str">
        <f>'1'!AG192</f>
        <v>General</v>
      </c>
      <c r="T192" t="str">
        <f>'1'!AD192</f>
        <v>0088</v>
      </c>
    </row>
    <row r="193" spans="1:20">
      <c r="A193" s="62" t="s">
        <v>5463</v>
      </c>
      <c r="B193" t="str">
        <f>'1'!P193</f>
        <v>901090</v>
      </c>
      <c r="R193" t="str">
        <f>'1'!AG193</f>
        <v>General</v>
      </c>
      <c r="T193" t="str">
        <f>'1'!AD193</f>
        <v>0096</v>
      </c>
    </row>
    <row r="194" spans="1:20">
      <c r="A194" s="62" t="s">
        <v>5463</v>
      </c>
      <c r="B194" t="str">
        <f>'1'!P194</f>
        <v>207850</v>
      </c>
      <c r="R194" t="str">
        <f>'1'!AG194</f>
        <v>General</v>
      </c>
      <c r="T194" t="str">
        <f>'1'!AD194</f>
        <v>0088</v>
      </c>
    </row>
    <row r="195" spans="1:20">
      <c r="A195" s="62" t="s">
        <v>5463</v>
      </c>
      <c r="B195" t="str">
        <f>'1'!P195</f>
        <v>211939</v>
      </c>
      <c r="R195" t="str">
        <f>'1'!AG195</f>
        <v>General</v>
      </c>
      <c r="T195" t="str">
        <f>'1'!AD195</f>
        <v>0096</v>
      </c>
    </row>
    <row r="196" spans="1:20">
      <c r="A196" s="62" t="s">
        <v>5463</v>
      </c>
      <c r="B196" t="str">
        <f>'1'!P196</f>
        <v>211939</v>
      </c>
      <c r="R196" t="str">
        <f>'1'!AG196</f>
        <v>General</v>
      </c>
      <c r="T196" t="str">
        <f>'1'!AD196</f>
        <v>0096</v>
      </c>
    </row>
    <row r="197" spans="1:20">
      <c r="A197" s="62" t="s">
        <v>5463</v>
      </c>
      <c r="B197" t="str">
        <f>'1'!P197</f>
        <v>211939</v>
      </c>
      <c r="R197" t="str">
        <f>'1'!AG197</f>
        <v>General</v>
      </c>
      <c r="T197" t="str">
        <f>'1'!AD197</f>
        <v>0096</v>
      </c>
    </row>
    <row r="198" spans="1:20">
      <c r="A198" s="62" t="s">
        <v>5463</v>
      </c>
      <c r="B198" t="str">
        <f>'1'!P198</f>
        <v>901934</v>
      </c>
      <c r="R198" t="str">
        <f>'1'!AG198</f>
        <v>General</v>
      </c>
      <c r="T198" t="str">
        <f>'1'!AD198</f>
        <v>0096</v>
      </c>
    </row>
    <row r="199" spans="1:20">
      <c r="A199" s="62" t="s">
        <v>5463</v>
      </c>
      <c r="B199" t="str">
        <f>'1'!P199</f>
        <v>209539</v>
      </c>
      <c r="R199" t="str">
        <f>'1'!AG199</f>
        <v>General</v>
      </c>
      <c r="T199" t="str">
        <f>'1'!AD199</f>
        <v>0088</v>
      </c>
    </row>
    <row r="200" spans="1:20">
      <c r="A200" s="62" t="s">
        <v>5463</v>
      </c>
      <c r="B200" t="str">
        <f>'1'!P200</f>
        <v>202533</v>
      </c>
      <c r="R200" t="str">
        <f>'1'!AG200</f>
        <v>General</v>
      </c>
      <c r="T200" t="str">
        <f>'1'!AD200</f>
        <v>0088</v>
      </c>
    </row>
    <row r="201" spans="1:20">
      <c r="A201" s="62" t="s">
        <v>5463</v>
      </c>
      <c r="B201" t="str">
        <f>'1'!P201</f>
        <v>206672</v>
      </c>
      <c r="R201" t="str">
        <f>'1'!AG201</f>
        <v>General</v>
      </c>
      <c r="T201" t="str">
        <f>'1'!AD201</f>
        <v>0088</v>
      </c>
    </row>
    <row r="202" spans="1:20">
      <c r="A202" s="62" t="s">
        <v>5463</v>
      </c>
      <c r="B202" t="str">
        <f>'1'!P202</f>
        <v>207809</v>
      </c>
      <c r="R202" t="str">
        <f>'1'!AG202</f>
        <v>General</v>
      </c>
      <c r="T202" t="str">
        <f>'1'!AD202</f>
        <v>0088</v>
      </c>
    </row>
    <row r="203" spans="1:20">
      <c r="A203" s="62" t="s">
        <v>5463</v>
      </c>
      <c r="B203" t="str">
        <f>'1'!P203</f>
        <v>212100</v>
      </c>
      <c r="R203" t="str">
        <f>'1'!AG203</f>
        <v>General</v>
      </c>
      <c r="T203" t="str">
        <f>'1'!AD203</f>
        <v>0096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A402-D7A8-574B-8D1D-745C14B8803B}">
  <dimension ref="A1:AI203"/>
  <sheetViews>
    <sheetView workbookViewId="0">
      <selection activeCell="R3" sqref="R3"/>
    </sheetView>
  </sheetViews>
  <sheetFormatPr baseColWidth="10" defaultRowHeight="15"/>
  <sheetData>
    <row r="1" spans="1:35">
      <c r="A1" s="75" t="s">
        <v>5395</v>
      </c>
    </row>
    <row r="2" spans="1:35">
      <c r="A2" s="51">
        <v>1</v>
      </c>
      <c r="B2" s="76">
        <v>2</v>
      </c>
      <c r="C2" s="52">
        <v>3</v>
      </c>
      <c r="D2" s="52">
        <v>4</v>
      </c>
      <c r="E2" s="52">
        <v>5</v>
      </c>
      <c r="F2" s="52">
        <v>6</v>
      </c>
      <c r="G2" s="52">
        <v>7</v>
      </c>
      <c r="H2" s="52">
        <v>8</v>
      </c>
      <c r="I2" s="52">
        <v>9</v>
      </c>
      <c r="J2" s="52">
        <v>10</v>
      </c>
      <c r="K2" s="52">
        <v>11</v>
      </c>
      <c r="L2" s="52">
        <v>12</v>
      </c>
      <c r="M2" s="52">
        <v>13</v>
      </c>
      <c r="N2" s="52">
        <v>14</v>
      </c>
      <c r="O2" s="52">
        <v>15</v>
      </c>
      <c r="P2" s="52">
        <v>16</v>
      </c>
      <c r="Q2" s="52">
        <v>17</v>
      </c>
      <c r="R2" s="52">
        <v>18</v>
      </c>
      <c r="S2" s="52">
        <v>19</v>
      </c>
      <c r="T2" s="52">
        <v>20</v>
      </c>
      <c r="U2" s="52">
        <v>21</v>
      </c>
      <c r="V2" s="52">
        <v>22</v>
      </c>
      <c r="W2" s="52">
        <v>23</v>
      </c>
      <c r="X2" s="52">
        <v>24</v>
      </c>
      <c r="Y2" s="52">
        <v>25</v>
      </c>
      <c r="Z2" s="52">
        <v>26</v>
      </c>
      <c r="AA2" s="52">
        <v>27</v>
      </c>
      <c r="AB2" s="52">
        <v>28</v>
      </c>
      <c r="AC2" s="52">
        <v>29</v>
      </c>
      <c r="AD2" s="52">
        <v>30</v>
      </c>
      <c r="AE2" s="52">
        <v>31</v>
      </c>
      <c r="AF2" s="52">
        <v>32</v>
      </c>
      <c r="AG2" s="52">
        <v>33</v>
      </c>
      <c r="AH2" s="52">
        <v>34</v>
      </c>
      <c r="AI2" s="52">
        <v>35</v>
      </c>
    </row>
    <row r="3" spans="1:35" ht="54" customHeight="1">
      <c r="A3" s="51" t="s">
        <v>5464</v>
      </c>
      <c r="B3" s="51" t="s">
        <v>5397</v>
      </c>
      <c r="C3" s="52" t="s">
        <v>5465</v>
      </c>
      <c r="D3" s="52" t="s">
        <v>5466</v>
      </c>
      <c r="E3" s="52" t="s">
        <v>5467</v>
      </c>
      <c r="F3" s="52" t="s">
        <v>5468</v>
      </c>
      <c r="G3" s="52" t="s">
        <v>5469</v>
      </c>
      <c r="H3" s="52" t="s">
        <v>5470</v>
      </c>
      <c r="I3" s="52" t="s">
        <v>5471</v>
      </c>
      <c r="J3" s="52" t="s">
        <v>5472</v>
      </c>
      <c r="K3" s="52" t="s">
        <v>5473</v>
      </c>
      <c r="L3" s="52" t="s">
        <v>5474</v>
      </c>
      <c r="M3" s="52" t="s">
        <v>5457</v>
      </c>
      <c r="N3" s="52" t="s">
        <v>5458</v>
      </c>
      <c r="O3" s="52" t="s">
        <v>5459</v>
      </c>
      <c r="P3" s="52" t="s">
        <v>5475</v>
      </c>
      <c r="Q3" s="52" t="s">
        <v>5476</v>
      </c>
      <c r="R3" s="52" t="s">
        <v>5477</v>
      </c>
      <c r="S3" s="52" t="s">
        <v>5478</v>
      </c>
      <c r="T3" s="52" t="s">
        <v>5479</v>
      </c>
      <c r="U3" s="52" t="s">
        <v>5480</v>
      </c>
      <c r="V3" s="52" t="s">
        <v>5481</v>
      </c>
      <c r="W3" s="52" t="s">
        <v>5482</v>
      </c>
      <c r="X3" s="52" t="s">
        <v>5483</v>
      </c>
      <c r="Y3" s="52" t="s">
        <v>5484</v>
      </c>
      <c r="Z3" s="52" t="s">
        <v>5485</v>
      </c>
      <c r="AA3" s="52" t="s">
        <v>5486</v>
      </c>
      <c r="AB3" s="52" t="s">
        <v>5487</v>
      </c>
      <c r="AC3" s="52" t="s">
        <v>5488</v>
      </c>
      <c r="AD3" s="52" t="s">
        <v>5489</v>
      </c>
      <c r="AE3" s="52" t="s">
        <v>5118</v>
      </c>
      <c r="AF3" s="52" t="s">
        <v>5119</v>
      </c>
      <c r="AG3" s="52" t="s">
        <v>5120</v>
      </c>
      <c r="AH3" s="52" t="s">
        <v>5121</v>
      </c>
      <c r="AI3" s="52" t="s">
        <v>5122</v>
      </c>
    </row>
    <row r="4" spans="1:35">
      <c r="A4" s="56">
        <v>3</v>
      </c>
      <c r="B4" s="56">
        <v>48</v>
      </c>
      <c r="C4" s="56">
        <v>1</v>
      </c>
      <c r="D4" s="56">
        <v>1</v>
      </c>
      <c r="E4" s="56">
        <v>1</v>
      </c>
      <c r="F4" s="56">
        <v>1</v>
      </c>
      <c r="G4" s="56">
        <v>1</v>
      </c>
      <c r="H4" s="56">
        <v>1</v>
      </c>
      <c r="I4" s="56">
        <v>1</v>
      </c>
      <c r="J4" s="56">
        <v>1</v>
      </c>
      <c r="K4" s="56" t="s">
        <v>575</v>
      </c>
      <c r="L4" s="56" t="s">
        <v>575</v>
      </c>
      <c r="M4" s="56" t="s">
        <v>575</v>
      </c>
      <c r="N4" s="56" t="s">
        <v>575</v>
      </c>
      <c r="O4" s="56" t="s">
        <v>575</v>
      </c>
      <c r="P4" s="56">
        <v>1</v>
      </c>
      <c r="Q4" s="56">
        <v>1</v>
      </c>
      <c r="R4" s="56">
        <v>48</v>
      </c>
      <c r="S4" s="56">
        <v>48</v>
      </c>
      <c r="T4" s="56">
        <v>1</v>
      </c>
      <c r="U4" s="56">
        <v>1</v>
      </c>
      <c r="V4" s="56">
        <v>1</v>
      </c>
      <c r="W4" s="56">
        <v>1</v>
      </c>
      <c r="X4" s="56">
        <v>1</v>
      </c>
      <c r="Y4" s="56">
        <v>1</v>
      </c>
      <c r="Z4" s="56">
        <v>1</v>
      </c>
      <c r="AA4" s="56">
        <v>1</v>
      </c>
      <c r="AB4" s="56">
        <v>32</v>
      </c>
      <c r="AC4" s="56">
        <v>1</v>
      </c>
      <c r="AD4" s="56">
        <v>1</v>
      </c>
      <c r="AE4" s="56"/>
      <c r="AF4" s="56"/>
      <c r="AG4" s="56"/>
      <c r="AH4" s="56"/>
      <c r="AI4" s="56"/>
    </row>
    <row r="5" spans="1:35">
      <c r="A5" s="62" t="s">
        <v>5490</v>
      </c>
      <c r="B5" t="str">
        <f>'1'!P5</f>
        <v>211837</v>
      </c>
      <c r="C5" s="39" t="s">
        <v>5381</v>
      </c>
      <c r="D5" s="39" t="s">
        <v>5381</v>
      </c>
      <c r="I5" s="39" t="s">
        <v>5381</v>
      </c>
      <c r="J5" s="39" t="s">
        <v>5381</v>
      </c>
      <c r="R5" t="str">
        <f>'1'!AC5</f>
        <v>211756</v>
      </c>
      <c r="S5" t="str">
        <f>'1'!AC5</f>
        <v>211756</v>
      </c>
      <c r="AC5" s="39" t="s">
        <v>5381</v>
      </c>
      <c r="AD5" s="39" t="s">
        <v>5381</v>
      </c>
    </row>
    <row r="6" spans="1:35">
      <c r="A6" s="62" t="s">
        <v>5490</v>
      </c>
      <c r="B6" t="str">
        <f>'1'!P6</f>
        <v>213331</v>
      </c>
      <c r="C6" s="39" t="s">
        <v>5381</v>
      </c>
      <c r="D6" s="39" t="s">
        <v>5381</v>
      </c>
      <c r="I6" s="39" t="s">
        <v>5381</v>
      </c>
      <c r="J6" s="39" t="s">
        <v>5381</v>
      </c>
      <c r="R6" t="str">
        <f>'1'!AC6</f>
        <v>207588</v>
      </c>
      <c r="S6" t="str">
        <f>'1'!AC6</f>
        <v>207588</v>
      </c>
      <c r="AC6" s="39" t="s">
        <v>5381</v>
      </c>
      <c r="AD6" s="39" t="s">
        <v>5381</v>
      </c>
    </row>
    <row r="7" spans="1:35">
      <c r="A7" s="62" t="s">
        <v>5490</v>
      </c>
      <c r="B7" t="str">
        <f>'1'!P7</f>
        <v>213226</v>
      </c>
      <c r="C7" s="39" t="s">
        <v>5381</v>
      </c>
      <c r="D7" s="39" t="s">
        <v>5381</v>
      </c>
      <c r="I7" s="39" t="s">
        <v>5381</v>
      </c>
      <c r="J7" s="39" t="s">
        <v>5381</v>
      </c>
      <c r="R7" t="str">
        <f>'1'!AC7</f>
        <v>211766</v>
      </c>
      <c r="S7" t="str">
        <f>'1'!AC7</f>
        <v>211766</v>
      </c>
      <c r="AC7" s="39" t="s">
        <v>5381</v>
      </c>
      <c r="AD7" s="39" t="s">
        <v>5381</v>
      </c>
    </row>
    <row r="8" spans="1:35">
      <c r="A8" s="62" t="s">
        <v>5490</v>
      </c>
      <c r="B8" t="str">
        <f>'1'!P8</f>
        <v>211901</v>
      </c>
      <c r="C8" s="39" t="s">
        <v>5381</v>
      </c>
      <c r="D8" s="39" t="s">
        <v>5381</v>
      </c>
      <c r="I8" s="39" t="s">
        <v>5381</v>
      </c>
      <c r="J8" s="39" t="s">
        <v>5381</v>
      </c>
      <c r="R8" t="str">
        <f>'1'!AC8</f>
        <v>211756</v>
      </c>
      <c r="S8" t="str">
        <f>'1'!AC8</f>
        <v>211756</v>
      </c>
      <c r="AC8" s="39" t="s">
        <v>5381</v>
      </c>
      <c r="AD8" s="39" t="s">
        <v>5381</v>
      </c>
    </row>
    <row r="9" spans="1:35">
      <c r="A9" s="62" t="s">
        <v>5490</v>
      </c>
      <c r="B9" t="str">
        <f>'1'!P9</f>
        <v>213306</v>
      </c>
      <c r="C9" s="39" t="s">
        <v>5381</v>
      </c>
      <c r="D9" s="39" t="s">
        <v>5381</v>
      </c>
      <c r="I9" s="39" t="s">
        <v>5381</v>
      </c>
      <c r="J9" s="39" t="s">
        <v>5381</v>
      </c>
      <c r="R9" t="str">
        <f>'1'!AC9</f>
        <v>211756</v>
      </c>
      <c r="S9" t="str">
        <f>'1'!AC9</f>
        <v>211756</v>
      </c>
      <c r="AC9" s="39" t="s">
        <v>5381</v>
      </c>
      <c r="AD9" s="39" t="s">
        <v>5381</v>
      </c>
    </row>
    <row r="10" spans="1:35">
      <c r="A10" s="62" t="s">
        <v>5490</v>
      </c>
      <c r="B10" t="str">
        <f>'1'!P10</f>
        <v>210892</v>
      </c>
      <c r="C10" s="39" t="s">
        <v>5381</v>
      </c>
      <c r="D10" s="39" t="s">
        <v>5381</v>
      </c>
      <c r="I10" s="39" t="s">
        <v>5381</v>
      </c>
      <c r="J10" s="39" t="s">
        <v>5381</v>
      </c>
      <c r="R10" t="str">
        <f>'1'!AC10</f>
        <v>211766</v>
      </c>
      <c r="S10" t="str">
        <f>'1'!AC10</f>
        <v>211766</v>
      </c>
      <c r="AC10" s="39" t="s">
        <v>5381</v>
      </c>
      <c r="AD10" s="39" t="s">
        <v>5381</v>
      </c>
    </row>
    <row r="11" spans="1:35">
      <c r="A11" s="62" t="s">
        <v>5490</v>
      </c>
      <c r="B11" t="str">
        <f>'1'!P11</f>
        <v>206848</v>
      </c>
      <c r="C11" s="39" t="s">
        <v>5381</v>
      </c>
      <c r="D11" s="39" t="s">
        <v>5381</v>
      </c>
      <c r="I11" s="39" t="s">
        <v>5381</v>
      </c>
      <c r="J11" s="39" t="s">
        <v>5381</v>
      </c>
      <c r="R11" t="str">
        <f>'1'!AC11</f>
        <v>211736</v>
      </c>
      <c r="S11" t="str">
        <f>'1'!AC11</f>
        <v>211736</v>
      </c>
      <c r="AC11" s="39" t="s">
        <v>5381</v>
      </c>
      <c r="AD11" s="39" t="s">
        <v>5381</v>
      </c>
    </row>
    <row r="12" spans="1:35">
      <c r="A12" s="62" t="s">
        <v>5490</v>
      </c>
      <c r="B12" t="str">
        <f>'1'!P12</f>
        <v>201688</v>
      </c>
      <c r="C12" s="39" t="s">
        <v>5381</v>
      </c>
      <c r="D12" s="39" t="s">
        <v>5381</v>
      </c>
      <c r="I12" s="39" t="s">
        <v>5381</v>
      </c>
      <c r="J12" s="39" t="s">
        <v>5381</v>
      </c>
      <c r="R12" t="str">
        <f>'1'!AC12</f>
        <v>008750</v>
      </c>
      <c r="S12" t="str">
        <f>'1'!AC12</f>
        <v>008750</v>
      </c>
      <c r="AC12" s="39" t="s">
        <v>5381</v>
      </c>
      <c r="AD12" s="39" t="s">
        <v>5381</v>
      </c>
    </row>
    <row r="13" spans="1:35">
      <c r="A13" s="62" t="s">
        <v>5490</v>
      </c>
      <c r="B13" t="str">
        <f>'1'!P13</f>
        <v>902688</v>
      </c>
      <c r="C13" s="39" t="s">
        <v>5381</v>
      </c>
      <c r="D13" s="39" t="s">
        <v>5381</v>
      </c>
      <c r="I13" s="39" t="s">
        <v>5381</v>
      </c>
      <c r="J13" s="39" t="s">
        <v>5381</v>
      </c>
      <c r="R13" t="str">
        <f>'1'!AC13</f>
        <v/>
      </c>
      <c r="S13" t="str">
        <f>'1'!AC13</f>
        <v/>
      </c>
      <c r="AC13" s="39" t="s">
        <v>5381</v>
      </c>
      <c r="AD13" s="39" t="s">
        <v>5381</v>
      </c>
    </row>
    <row r="14" spans="1:35">
      <c r="A14" s="62" t="s">
        <v>5490</v>
      </c>
      <c r="B14" t="str">
        <f>'1'!P14</f>
        <v>207709</v>
      </c>
      <c r="C14" s="39" t="s">
        <v>5381</v>
      </c>
      <c r="D14" s="39" t="s">
        <v>5381</v>
      </c>
      <c r="I14" s="39" t="s">
        <v>5381</v>
      </c>
      <c r="J14" s="39" t="s">
        <v>5381</v>
      </c>
      <c r="R14" t="str">
        <f>'1'!AC14</f>
        <v/>
      </c>
      <c r="S14" t="str">
        <f>'1'!AC14</f>
        <v/>
      </c>
      <c r="AC14" s="39" t="s">
        <v>5381</v>
      </c>
      <c r="AD14" s="39" t="s">
        <v>5381</v>
      </c>
    </row>
    <row r="15" spans="1:35">
      <c r="A15" s="62" t="s">
        <v>5490</v>
      </c>
      <c r="B15" t="str">
        <f>'1'!P15</f>
        <v>209579</v>
      </c>
      <c r="C15" s="39" t="s">
        <v>5381</v>
      </c>
      <c r="D15" s="39" t="s">
        <v>5381</v>
      </c>
      <c r="I15" s="39" t="s">
        <v>5381</v>
      </c>
      <c r="J15" s="39" t="s">
        <v>5381</v>
      </c>
      <c r="R15" t="str">
        <f>'1'!AC15</f>
        <v/>
      </c>
      <c r="S15" t="str">
        <f>'1'!AC15</f>
        <v/>
      </c>
      <c r="AC15" s="39" t="s">
        <v>5381</v>
      </c>
      <c r="AD15" s="39" t="s">
        <v>5381</v>
      </c>
    </row>
    <row r="16" spans="1:35">
      <c r="A16" s="62" t="s">
        <v>5490</v>
      </c>
      <c r="B16" t="str">
        <f>'1'!P16</f>
        <v>213037</v>
      </c>
      <c r="C16" s="39" t="s">
        <v>5381</v>
      </c>
      <c r="D16" s="39" t="s">
        <v>5381</v>
      </c>
      <c r="I16" s="39" t="s">
        <v>5381</v>
      </c>
      <c r="J16" s="39" t="s">
        <v>5381</v>
      </c>
      <c r="R16" t="str">
        <f>'1'!AC16</f>
        <v>207709</v>
      </c>
      <c r="S16" t="str">
        <f>'1'!AC16</f>
        <v>207709</v>
      </c>
      <c r="AC16" s="39" t="s">
        <v>5381</v>
      </c>
      <c r="AD16" s="39" t="s">
        <v>5381</v>
      </c>
    </row>
    <row r="17" spans="1:30">
      <c r="A17" s="62" t="s">
        <v>5490</v>
      </c>
      <c r="B17" t="str">
        <f>'1'!P17</f>
        <v>213333</v>
      </c>
      <c r="C17" s="39" t="s">
        <v>5381</v>
      </c>
      <c r="D17" s="39" t="s">
        <v>5381</v>
      </c>
      <c r="I17" s="39" t="s">
        <v>5381</v>
      </c>
      <c r="J17" s="39" t="s">
        <v>5381</v>
      </c>
      <c r="R17" t="str">
        <f>'1'!AC17</f>
        <v>207588</v>
      </c>
      <c r="S17" t="str">
        <f>'1'!AC17</f>
        <v>207588</v>
      </c>
      <c r="AC17" s="39" t="s">
        <v>5381</v>
      </c>
      <c r="AD17" s="39" t="s">
        <v>5381</v>
      </c>
    </row>
    <row r="18" spans="1:30">
      <c r="A18" s="62" t="s">
        <v>5490</v>
      </c>
      <c r="B18" t="str">
        <f>'1'!P18</f>
        <v>212626</v>
      </c>
      <c r="C18" s="39" t="s">
        <v>5381</v>
      </c>
      <c r="D18" s="39" t="s">
        <v>5381</v>
      </c>
      <c r="I18" s="39" t="s">
        <v>5381</v>
      </c>
      <c r="J18" s="39" t="s">
        <v>5381</v>
      </c>
      <c r="R18" t="str">
        <f>'1'!AC18</f>
        <v>211736</v>
      </c>
      <c r="S18" t="str">
        <f>'1'!AC18</f>
        <v>211736</v>
      </c>
      <c r="AC18" s="39" t="s">
        <v>5381</v>
      </c>
      <c r="AD18" s="39" t="s">
        <v>5381</v>
      </c>
    </row>
    <row r="19" spans="1:30">
      <c r="A19" s="62" t="s">
        <v>5490</v>
      </c>
      <c r="B19" t="str">
        <f>'1'!P19</f>
        <v>212639</v>
      </c>
      <c r="C19" s="39" t="s">
        <v>5381</v>
      </c>
      <c r="D19" s="39" t="s">
        <v>5381</v>
      </c>
      <c r="I19" s="39" t="s">
        <v>5381</v>
      </c>
      <c r="J19" s="39" t="s">
        <v>5381</v>
      </c>
      <c r="R19" t="str">
        <f>'1'!AC19</f>
        <v>211736</v>
      </c>
      <c r="S19" t="str">
        <f>'1'!AC19</f>
        <v>211736</v>
      </c>
      <c r="AC19" s="39" t="s">
        <v>5381</v>
      </c>
      <c r="AD19" s="39" t="s">
        <v>5381</v>
      </c>
    </row>
    <row r="20" spans="1:30">
      <c r="A20" s="62" t="s">
        <v>5490</v>
      </c>
      <c r="B20" t="str">
        <f>'1'!P20</f>
        <v>211464</v>
      </c>
      <c r="C20" s="39" t="s">
        <v>5381</v>
      </c>
      <c r="D20" s="39" t="s">
        <v>5381</v>
      </c>
      <c r="I20" s="39" t="s">
        <v>5381</v>
      </c>
      <c r="J20" s="39" t="s">
        <v>5381</v>
      </c>
      <c r="R20" t="str">
        <f>'1'!AC20</f>
        <v>211766</v>
      </c>
      <c r="S20" t="str">
        <f>'1'!AC20</f>
        <v>211766</v>
      </c>
      <c r="AC20" s="39" t="s">
        <v>5381</v>
      </c>
      <c r="AD20" s="39" t="s">
        <v>5381</v>
      </c>
    </row>
    <row r="21" spans="1:30">
      <c r="A21" s="62" t="s">
        <v>5490</v>
      </c>
      <c r="B21" t="str">
        <f>'1'!P21</f>
        <v>210102</v>
      </c>
      <c r="C21" s="39" t="s">
        <v>5381</v>
      </c>
      <c r="D21" s="39" t="s">
        <v>5381</v>
      </c>
      <c r="I21" s="39" t="s">
        <v>5381</v>
      </c>
      <c r="J21" s="39" t="s">
        <v>5381</v>
      </c>
      <c r="R21" t="str">
        <f>'1'!AC21</f>
        <v>901934</v>
      </c>
      <c r="S21" t="str">
        <f>'1'!AC21</f>
        <v>901934</v>
      </c>
      <c r="AC21" s="39" t="s">
        <v>5381</v>
      </c>
      <c r="AD21" s="39" t="s">
        <v>5381</v>
      </c>
    </row>
    <row r="22" spans="1:30">
      <c r="A22" s="62" t="s">
        <v>5490</v>
      </c>
      <c r="B22" t="str">
        <f>'1'!P22</f>
        <v>210375</v>
      </c>
      <c r="C22" s="39" t="s">
        <v>5381</v>
      </c>
      <c r="D22" s="39" t="s">
        <v>5381</v>
      </c>
      <c r="I22" s="39" t="s">
        <v>5381</v>
      </c>
      <c r="J22" s="39" t="s">
        <v>5381</v>
      </c>
      <c r="R22" t="str">
        <f>'1'!AC22</f>
        <v>211062</v>
      </c>
      <c r="S22" t="str">
        <f>'1'!AC22</f>
        <v>211062</v>
      </c>
      <c r="AC22" s="39" t="s">
        <v>5381</v>
      </c>
      <c r="AD22" s="39" t="s">
        <v>5381</v>
      </c>
    </row>
    <row r="23" spans="1:30">
      <c r="A23" s="62" t="s">
        <v>5490</v>
      </c>
      <c r="B23" t="str">
        <f>'1'!P23</f>
        <v>211174</v>
      </c>
      <c r="C23" s="39" t="s">
        <v>5381</v>
      </c>
      <c r="D23" s="39" t="s">
        <v>5381</v>
      </c>
      <c r="I23" s="39" t="s">
        <v>5381</v>
      </c>
      <c r="J23" s="39" t="s">
        <v>5381</v>
      </c>
      <c r="R23" t="str">
        <f>'1'!AC23</f>
        <v>211736</v>
      </c>
      <c r="S23" t="str">
        <f>'1'!AC23</f>
        <v>211736</v>
      </c>
      <c r="AC23" s="39" t="s">
        <v>5381</v>
      </c>
      <c r="AD23" s="39" t="s">
        <v>5381</v>
      </c>
    </row>
    <row r="24" spans="1:30">
      <c r="A24" s="62" t="s">
        <v>5490</v>
      </c>
      <c r="B24" t="str">
        <f>'1'!P24</f>
        <v/>
      </c>
      <c r="C24" s="39" t="s">
        <v>5381</v>
      </c>
      <c r="D24" s="39" t="s">
        <v>5381</v>
      </c>
      <c r="I24" s="39" t="s">
        <v>5381</v>
      </c>
      <c r="J24" s="39" t="s">
        <v>5381</v>
      </c>
      <c r="R24" t="str">
        <f>'1'!AC24</f>
        <v>211756</v>
      </c>
      <c r="S24" t="str">
        <f>'1'!AC24</f>
        <v>211756</v>
      </c>
      <c r="AC24" s="39" t="s">
        <v>5381</v>
      </c>
      <c r="AD24" s="39" t="s">
        <v>5381</v>
      </c>
    </row>
    <row r="25" spans="1:30">
      <c r="A25" s="62" t="s">
        <v>5490</v>
      </c>
      <c r="B25" t="str">
        <f>'1'!P25</f>
        <v>213234</v>
      </c>
      <c r="C25" s="39" t="s">
        <v>5381</v>
      </c>
      <c r="D25" s="39" t="s">
        <v>5381</v>
      </c>
      <c r="I25" s="39" t="s">
        <v>5381</v>
      </c>
      <c r="J25" s="39" t="s">
        <v>5381</v>
      </c>
      <c r="R25" t="str">
        <f>'1'!AC25</f>
        <v>211489</v>
      </c>
      <c r="S25" t="str">
        <f>'1'!AC25</f>
        <v>211489</v>
      </c>
      <c r="AC25" s="39" t="s">
        <v>5381</v>
      </c>
      <c r="AD25" s="39" t="s">
        <v>5381</v>
      </c>
    </row>
    <row r="26" spans="1:30">
      <c r="A26" s="62" t="s">
        <v>5490</v>
      </c>
      <c r="B26" t="str">
        <f>'1'!P26</f>
        <v/>
      </c>
      <c r="C26" s="39" t="s">
        <v>5381</v>
      </c>
      <c r="D26" s="39" t="s">
        <v>5381</v>
      </c>
      <c r="I26" s="39" t="s">
        <v>5381</v>
      </c>
      <c r="J26" s="39" t="s">
        <v>5381</v>
      </c>
      <c r="R26" t="str">
        <f>'1'!AC26</f>
        <v>211062</v>
      </c>
      <c r="S26" t="str">
        <f>'1'!AC26</f>
        <v>211062</v>
      </c>
      <c r="AC26" s="39" t="s">
        <v>5381</v>
      </c>
      <c r="AD26" s="39" t="s">
        <v>5381</v>
      </c>
    </row>
    <row r="27" spans="1:30">
      <c r="A27" s="62" t="s">
        <v>5490</v>
      </c>
      <c r="B27" t="str">
        <f>'1'!P27</f>
        <v>006769</v>
      </c>
      <c r="C27" s="39" t="s">
        <v>5381</v>
      </c>
      <c r="D27" s="39" t="s">
        <v>5381</v>
      </c>
      <c r="I27" s="39" t="s">
        <v>5381</v>
      </c>
      <c r="J27" s="39" t="s">
        <v>5381</v>
      </c>
      <c r="R27" t="str">
        <f>'1'!AC27</f>
        <v>213037</v>
      </c>
      <c r="S27" t="str">
        <f>'1'!AC27</f>
        <v>213037</v>
      </c>
      <c r="AC27" s="39" t="s">
        <v>5381</v>
      </c>
      <c r="AD27" s="39" t="s">
        <v>5381</v>
      </c>
    </row>
    <row r="28" spans="1:30">
      <c r="A28" s="62" t="s">
        <v>5490</v>
      </c>
      <c r="B28" t="str">
        <f>'1'!P28</f>
        <v>212370</v>
      </c>
      <c r="C28" s="39" t="s">
        <v>5381</v>
      </c>
      <c r="D28" s="39" t="s">
        <v>5381</v>
      </c>
      <c r="I28" s="39" t="s">
        <v>5381</v>
      </c>
      <c r="J28" s="39" t="s">
        <v>5381</v>
      </c>
      <c r="R28" t="str">
        <f>'1'!AC28</f>
        <v/>
      </c>
      <c r="S28" t="str">
        <f>'1'!AC28</f>
        <v/>
      </c>
      <c r="AC28" s="39" t="s">
        <v>5381</v>
      </c>
      <c r="AD28" s="39" t="s">
        <v>5381</v>
      </c>
    </row>
    <row r="29" spans="1:30">
      <c r="A29" s="62" t="s">
        <v>5490</v>
      </c>
      <c r="B29" t="str">
        <f>'1'!P29</f>
        <v>209735</v>
      </c>
      <c r="C29" s="39" t="s">
        <v>5381</v>
      </c>
      <c r="D29" s="39" t="s">
        <v>5381</v>
      </c>
      <c r="I29" s="39" t="s">
        <v>5381</v>
      </c>
      <c r="J29" s="39" t="s">
        <v>5381</v>
      </c>
      <c r="R29" t="str">
        <f>'1'!AC29</f>
        <v>211601</v>
      </c>
      <c r="S29" t="str">
        <f>'1'!AC29</f>
        <v>211601</v>
      </c>
      <c r="AC29" s="39" t="s">
        <v>5381</v>
      </c>
      <c r="AD29" s="39" t="s">
        <v>5381</v>
      </c>
    </row>
    <row r="30" spans="1:30">
      <c r="A30" s="62" t="s">
        <v>5490</v>
      </c>
      <c r="B30" t="str">
        <f>'1'!P30</f>
        <v>211756</v>
      </c>
      <c r="C30" s="39" t="s">
        <v>5381</v>
      </c>
      <c r="D30" s="39" t="s">
        <v>5381</v>
      </c>
      <c r="I30" s="39" t="s">
        <v>5381</v>
      </c>
      <c r="J30" s="39" t="s">
        <v>5381</v>
      </c>
      <c r="R30" t="str">
        <f>'1'!AC30</f>
        <v>211464</v>
      </c>
      <c r="S30" t="str">
        <f>'1'!AC30</f>
        <v>211464</v>
      </c>
      <c r="AC30" s="39" t="s">
        <v>5381</v>
      </c>
      <c r="AD30" s="39" t="s">
        <v>5381</v>
      </c>
    </row>
    <row r="31" spans="1:30">
      <c r="A31" s="62" t="s">
        <v>5490</v>
      </c>
      <c r="B31" t="str">
        <f>'1'!P31</f>
        <v>206741</v>
      </c>
      <c r="C31" s="39" t="s">
        <v>5381</v>
      </c>
      <c r="D31" s="39" t="s">
        <v>5381</v>
      </c>
      <c r="I31" s="39" t="s">
        <v>5381</v>
      </c>
      <c r="J31" s="39" t="s">
        <v>5381</v>
      </c>
      <c r="R31" t="str">
        <f>'1'!AC31</f>
        <v>211062</v>
      </c>
      <c r="S31" t="str">
        <f>'1'!AC31</f>
        <v>211062</v>
      </c>
      <c r="AC31" s="39" t="s">
        <v>5381</v>
      </c>
      <c r="AD31" s="39" t="s">
        <v>5381</v>
      </c>
    </row>
    <row r="32" spans="1:30">
      <c r="A32" s="62" t="s">
        <v>5490</v>
      </c>
      <c r="B32" t="str">
        <f>'1'!P32</f>
        <v>900826</v>
      </c>
      <c r="C32" s="39" t="s">
        <v>5381</v>
      </c>
      <c r="D32" s="39" t="s">
        <v>5381</v>
      </c>
      <c r="I32" s="39" t="s">
        <v>5381</v>
      </c>
      <c r="J32" s="39" t="s">
        <v>5381</v>
      </c>
      <c r="R32" t="str">
        <f>'1'!AC32</f>
        <v>211601</v>
      </c>
      <c r="S32" t="str">
        <f>'1'!AC32</f>
        <v>211601</v>
      </c>
      <c r="AC32" s="39" t="s">
        <v>5381</v>
      </c>
      <c r="AD32" s="39" t="s">
        <v>5381</v>
      </c>
    </row>
    <row r="33" spans="1:30">
      <c r="A33" s="62" t="s">
        <v>5490</v>
      </c>
      <c r="B33" t="str">
        <f>'1'!P33</f>
        <v>212737</v>
      </c>
      <c r="C33" s="39" t="s">
        <v>5381</v>
      </c>
      <c r="D33" s="39" t="s">
        <v>5381</v>
      </c>
      <c r="I33" s="39" t="s">
        <v>5381</v>
      </c>
      <c r="J33" s="39" t="s">
        <v>5381</v>
      </c>
      <c r="R33" t="str">
        <f>'1'!AC33</f>
        <v>213037</v>
      </c>
      <c r="S33" t="str">
        <f>'1'!AC33</f>
        <v>213037</v>
      </c>
      <c r="AC33" s="39" t="s">
        <v>5381</v>
      </c>
      <c r="AD33" s="39" t="s">
        <v>5381</v>
      </c>
    </row>
    <row r="34" spans="1:30">
      <c r="A34" s="62" t="s">
        <v>5490</v>
      </c>
      <c r="B34" t="str">
        <f>'1'!P34</f>
        <v>902435</v>
      </c>
      <c r="C34" s="39" t="s">
        <v>5381</v>
      </c>
      <c r="D34" s="39" t="s">
        <v>5381</v>
      </c>
      <c r="I34" s="39" t="s">
        <v>5381</v>
      </c>
      <c r="J34" s="39" t="s">
        <v>5381</v>
      </c>
      <c r="R34" t="str">
        <f>'1'!AC34</f>
        <v>211766</v>
      </c>
      <c r="S34" t="str">
        <f>'1'!AC34</f>
        <v>211766</v>
      </c>
      <c r="AC34" s="39" t="s">
        <v>5381</v>
      </c>
      <c r="AD34" s="39" t="s">
        <v>5381</v>
      </c>
    </row>
    <row r="35" spans="1:30">
      <c r="A35" s="62" t="s">
        <v>5490</v>
      </c>
      <c r="B35" t="str">
        <f>'1'!P35</f>
        <v>213265</v>
      </c>
      <c r="C35" s="39" t="s">
        <v>5381</v>
      </c>
      <c r="D35" s="39" t="s">
        <v>5381</v>
      </c>
      <c r="I35" s="39" t="s">
        <v>5381</v>
      </c>
      <c r="J35" s="39" t="s">
        <v>5381</v>
      </c>
      <c r="R35" t="str">
        <f>'1'!AC35</f>
        <v/>
      </c>
      <c r="S35" t="str">
        <f>'1'!AC35</f>
        <v/>
      </c>
      <c r="AC35" s="39" t="s">
        <v>5381</v>
      </c>
      <c r="AD35" s="39" t="s">
        <v>5381</v>
      </c>
    </row>
    <row r="36" spans="1:30">
      <c r="A36" s="62" t="s">
        <v>5490</v>
      </c>
      <c r="B36" t="str">
        <f>'1'!P36</f>
        <v>213265</v>
      </c>
      <c r="C36" s="39" t="s">
        <v>5381</v>
      </c>
      <c r="D36" s="39" t="s">
        <v>5381</v>
      </c>
      <c r="I36" s="39" t="s">
        <v>5381</v>
      </c>
      <c r="J36" s="39" t="s">
        <v>5381</v>
      </c>
      <c r="R36" t="str">
        <f>'1'!AC36</f>
        <v>210910</v>
      </c>
      <c r="S36" t="str">
        <f>'1'!AC36</f>
        <v>210910</v>
      </c>
      <c r="AC36" s="39" t="s">
        <v>5381</v>
      </c>
      <c r="AD36" s="39" t="s">
        <v>5381</v>
      </c>
    </row>
    <row r="37" spans="1:30">
      <c r="A37" s="62" t="s">
        <v>5490</v>
      </c>
      <c r="B37" t="str">
        <f>'1'!P37</f>
        <v>213265</v>
      </c>
      <c r="C37" s="39" t="s">
        <v>5381</v>
      </c>
      <c r="D37" s="39" t="s">
        <v>5381</v>
      </c>
      <c r="I37" s="39" t="s">
        <v>5381</v>
      </c>
      <c r="J37" s="39" t="s">
        <v>5381</v>
      </c>
      <c r="R37" t="str">
        <f>'1'!AC37</f>
        <v/>
      </c>
      <c r="S37" t="str">
        <f>'1'!AC37</f>
        <v/>
      </c>
      <c r="AC37" s="39" t="s">
        <v>5381</v>
      </c>
      <c r="AD37" s="39" t="s">
        <v>5381</v>
      </c>
    </row>
    <row r="38" spans="1:30">
      <c r="A38" s="62" t="s">
        <v>5490</v>
      </c>
      <c r="B38" t="str">
        <f>'1'!P38</f>
        <v>212699</v>
      </c>
      <c r="C38" s="39" t="s">
        <v>5381</v>
      </c>
      <c r="D38" s="39" t="s">
        <v>5381</v>
      </c>
      <c r="I38" s="39" t="s">
        <v>5381</v>
      </c>
      <c r="J38" s="39" t="s">
        <v>5381</v>
      </c>
      <c r="R38" t="str">
        <f>'1'!AC38</f>
        <v>211766</v>
      </c>
      <c r="S38" t="str">
        <f>'1'!AC38</f>
        <v>211766</v>
      </c>
      <c r="AC38" s="39" t="s">
        <v>5381</v>
      </c>
      <c r="AD38" s="39" t="s">
        <v>5381</v>
      </c>
    </row>
    <row r="39" spans="1:30">
      <c r="A39" s="62" t="s">
        <v>5490</v>
      </c>
      <c r="B39" t="str">
        <f>'1'!P39</f>
        <v>007633</v>
      </c>
      <c r="C39" s="39" t="s">
        <v>5381</v>
      </c>
      <c r="D39" s="39" t="s">
        <v>5381</v>
      </c>
      <c r="I39" s="39" t="s">
        <v>5381</v>
      </c>
      <c r="J39" s="39" t="s">
        <v>5381</v>
      </c>
      <c r="R39" t="str">
        <f>'1'!AC39</f>
        <v/>
      </c>
      <c r="S39" t="str">
        <f>'1'!AC39</f>
        <v/>
      </c>
      <c r="AC39" s="39" t="s">
        <v>5381</v>
      </c>
      <c r="AD39" s="39" t="s">
        <v>5381</v>
      </c>
    </row>
    <row r="40" spans="1:30">
      <c r="A40" s="62" t="s">
        <v>5490</v>
      </c>
      <c r="B40" t="str">
        <f>'1'!P40</f>
        <v/>
      </c>
      <c r="C40" s="39" t="s">
        <v>5381</v>
      </c>
      <c r="D40" s="39" t="s">
        <v>5381</v>
      </c>
      <c r="I40" s="39" t="s">
        <v>5381</v>
      </c>
      <c r="J40" s="39" t="s">
        <v>5381</v>
      </c>
      <c r="R40" t="str">
        <f>'1'!AC40</f>
        <v/>
      </c>
      <c r="S40" t="str">
        <f>'1'!AC40</f>
        <v/>
      </c>
      <c r="AC40" s="39" t="s">
        <v>5381</v>
      </c>
      <c r="AD40" s="39" t="s">
        <v>5381</v>
      </c>
    </row>
    <row r="41" spans="1:30">
      <c r="A41" s="62" t="s">
        <v>5490</v>
      </c>
      <c r="B41" t="str">
        <f>'1'!P41</f>
        <v>213236</v>
      </c>
      <c r="C41" s="39" t="s">
        <v>5381</v>
      </c>
      <c r="D41" s="39" t="s">
        <v>5381</v>
      </c>
      <c r="I41" s="39" t="s">
        <v>5381</v>
      </c>
      <c r="J41" s="39" t="s">
        <v>5381</v>
      </c>
      <c r="R41" t="str">
        <f>'1'!AC41</f>
        <v>202533</v>
      </c>
      <c r="S41" t="str">
        <f>'1'!AC41</f>
        <v>202533</v>
      </c>
      <c r="AC41" s="39" t="s">
        <v>5381</v>
      </c>
      <c r="AD41" s="39" t="s">
        <v>5381</v>
      </c>
    </row>
    <row r="42" spans="1:30">
      <c r="A42" s="62" t="s">
        <v>5490</v>
      </c>
      <c r="B42" t="str">
        <f>'1'!P42</f>
        <v>006774</v>
      </c>
      <c r="C42" s="39" t="s">
        <v>5381</v>
      </c>
      <c r="D42" s="39" t="s">
        <v>5381</v>
      </c>
      <c r="I42" s="39" t="s">
        <v>5381</v>
      </c>
      <c r="J42" s="39" t="s">
        <v>5381</v>
      </c>
      <c r="R42" t="str">
        <f>'1'!AC42</f>
        <v/>
      </c>
      <c r="S42" t="str">
        <f>'1'!AC42</f>
        <v/>
      </c>
      <c r="AC42" s="39" t="s">
        <v>5381</v>
      </c>
      <c r="AD42" s="39" t="s">
        <v>5381</v>
      </c>
    </row>
    <row r="43" spans="1:30">
      <c r="A43" s="62" t="s">
        <v>5490</v>
      </c>
      <c r="B43" t="str">
        <f>'1'!P43</f>
        <v>006774</v>
      </c>
      <c r="C43" s="39" t="s">
        <v>5381</v>
      </c>
      <c r="D43" s="39" t="s">
        <v>5381</v>
      </c>
      <c r="I43" s="39" t="s">
        <v>5381</v>
      </c>
      <c r="J43" s="39" t="s">
        <v>5381</v>
      </c>
      <c r="R43" t="str">
        <f>'1'!AC43</f>
        <v/>
      </c>
      <c r="S43" t="str">
        <f>'1'!AC43</f>
        <v/>
      </c>
      <c r="AC43" s="39" t="s">
        <v>5381</v>
      </c>
      <c r="AD43" s="39" t="s">
        <v>5381</v>
      </c>
    </row>
    <row r="44" spans="1:30">
      <c r="A44" s="62" t="s">
        <v>5490</v>
      </c>
      <c r="B44" t="str">
        <f>'1'!P44</f>
        <v>006774</v>
      </c>
      <c r="C44" s="39" t="s">
        <v>5381</v>
      </c>
      <c r="D44" s="39" t="s">
        <v>5381</v>
      </c>
      <c r="I44" s="39" t="s">
        <v>5381</v>
      </c>
      <c r="J44" s="39" t="s">
        <v>5381</v>
      </c>
      <c r="R44" t="str">
        <f>'1'!AC44</f>
        <v>211998</v>
      </c>
      <c r="S44" t="str">
        <f>'1'!AC44</f>
        <v>211998</v>
      </c>
      <c r="AC44" s="39" t="s">
        <v>5381</v>
      </c>
      <c r="AD44" s="39" t="s">
        <v>5381</v>
      </c>
    </row>
    <row r="45" spans="1:30">
      <c r="A45" s="62" t="s">
        <v>5490</v>
      </c>
      <c r="B45" t="str">
        <f>'1'!P45</f>
        <v>207391</v>
      </c>
      <c r="C45" s="39" t="s">
        <v>5381</v>
      </c>
      <c r="D45" s="39" t="s">
        <v>5381</v>
      </c>
      <c r="I45" s="39" t="s">
        <v>5381</v>
      </c>
      <c r="J45" s="39" t="s">
        <v>5381</v>
      </c>
      <c r="R45" t="str">
        <f>'1'!AC45</f>
        <v>211736</v>
      </c>
      <c r="S45" t="str">
        <f>'1'!AC45</f>
        <v>211736</v>
      </c>
      <c r="AC45" s="39" t="s">
        <v>5381</v>
      </c>
      <c r="AD45" s="39" t="s">
        <v>5381</v>
      </c>
    </row>
    <row r="46" spans="1:30">
      <c r="A46" s="62" t="s">
        <v>5490</v>
      </c>
      <c r="B46" t="str">
        <f>'1'!P46</f>
        <v>212244</v>
      </c>
      <c r="C46" s="39" t="s">
        <v>5381</v>
      </c>
      <c r="D46" s="39" t="s">
        <v>5381</v>
      </c>
      <c r="I46" s="39" t="s">
        <v>5381</v>
      </c>
      <c r="J46" s="39" t="s">
        <v>5381</v>
      </c>
      <c r="R46" t="str">
        <f>'1'!AC46</f>
        <v/>
      </c>
      <c r="S46" t="str">
        <f>'1'!AC46</f>
        <v/>
      </c>
      <c r="AC46" s="39" t="s">
        <v>5381</v>
      </c>
      <c r="AD46" s="39" t="s">
        <v>5381</v>
      </c>
    </row>
    <row r="47" spans="1:30">
      <c r="A47" s="62" t="s">
        <v>5490</v>
      </c>
      <c r="B47" t="str">
        <f>'1'!P47</f>
        <v>211895</v>
      </c>
      <c r="C47" s="39" t="s">
        <v>5381</v>
      </c>
      <c r="D47" s="39" t="s">
        <v>5381</v>
      </c>
      <c r="I47" s="39" t="s">
        <v>5381</v>
      </c>
      <c r="J47" s="39" t="s">
        <v>5381</v>
      </c>
      <c r="R47" t="str">
        <f>'1'!AC47</f>
        <v>211756</v>
      </c>
      <c r="S47" t="str">
        <f>'1'!AC47</f>
        <v>211756</v>
      </c>
      <c r="AC47" s="39" t="s">
        <v>5381</v>
      </c>
      <c r="AD47" s="39" t="s">
        <v>5381</v>
      </c>
    </row>
    <row r="48" spans="1:30">
      <c r="A48" s="62" t="s">
        <v>5490</v>
      </c>
      <c r="B48" t="str">
        <f>'1'!P48</f>
        <v>004330</v>
      </c>
      <c r="C48" s="39" t="s">
        <v>5381</v>
      </c>
      <c r="D48" s="39" t="s">
        <v>5381</v>
      </c>
      <c r="I48" s="39" t="s">
        <v>5381</v>
      </c>
      <c r="J48" s="39" t="s">
        <v>5381</v>
      </c>
      <c r="R48" t="str">
        <f>'1'!AC48</f>
        <v>211062</v>
      </c>
      <c r="S48" t="str">
        <f>'1'!AC48</f>
        <v>211062</v>
      </c>
      <c r="AC48" s="39" t="s">
        <v>5381</v>
      </c>
      <c r="AD48" s="39" t="s">
        <v>5381</v>
      </c>
    </row>
    <row r="49" spans="1:30">
      <c r="A49" s="62" t="s">
        <v>5490</v>
      </c>
      <c r="B49" t="str">
        <f>'1'!P49</f>
        <v>212072</v>
      </c>
      <c r="C49" s="39" t="s">
        <v>5381</v>
      </c>
      <c r="D49" s="39" t="s">
        <v>5381</v>
      </c>
      <c r="I49" s="39" t="s">
        <v>5381</v>
      </c>
      <c r="J49" s="39" t="s">
        <v>5381</v>
      </c>
      <c r="R49" t="str">
        <f>'1'!AC49</f>
        <v>211998</v>
      </c>
      <c r="S49" t="str">
        <f>'1'!AC49</f>
        <v>211998</v>
      </c>
      <c r="AC49" s="39" t="s">
        <v>5381</v>
      </c>
      <c r="AD49" s="39" t="s">
        <v>5381</v>
      </c>
    </row>
    <row r="50" spans="1:30">
      <c r="A50" s="62" t="s">
        <v>5490</v>
      </c>
      <c r="B50" t="str">
        <f>'1'!P50</f>
        <v>212921</v>
      </c>
      <c r="C50" s="39" t="s">
        <v>5381</v>
      </c>
      <c r="D50" s="39" t="s">
        <v>5381</v>
      </c>
      <c r="I50" s="39" t="s">
        <v>5381</v>
      </c>
      <c r="J50" s="39" t="s">
        <v>5381</v>
      </c>
      <c r="R50" t="str">
        <f>'1'!AC50</f>
        <v>207487</v>
      </c>
      <c r="S50" t="str">
        <f>'1'!AC50</f>
        <v>207487</v>
      </c>
      <c r="AC50" s="39" t="s">
        <v>5381</v>
      </c>
      <c r="AD50" s="39" t="s">
        <v>5381</v>
      </c>
    </row>
    <row r="51" spans="1:30">
      <c r="A51" s="62" t="s">
        <v>5490</v>
      </c>
      <c r="B51" t="str">
        <f>'1'!P51</f>
        <v>201958</v>
      </c>
      <c r="C51" s="39" t="s">
        <v>5381</v>
      </c>
      <c r="D51" s="39" t="s">
        <v>5381</v>
      </c>
      <c r="I51" s="39" t="s">
        <v>5381</v>
      </c>
      <c r="J51" s="39" t="s">
        <v>5381</v>
      </c>
      <c r="R51" t="str">
        <f>'1'!AC51</f>
        <v>901934</v>
      </c>
      <c r="S51" t="str">
        <f>'1'!AC51</f>
        <v>901934</v>
      </c>
      <c r="AC51" s="39" t="s">
        <v>5381</v>
      </c>
      <c r="AD51" s="39" t="s">
        <v>5381</v>
      </c>
    </row>
    <row r="52" spans="1:30">
      <c r="A52" s="62" t="s">
        <v>5490</v>
      </c>
      <c r="B52" t="str">
        <f>'1'!P52</f>
        <v>900848</v>
      </c>
      <c r="C52" s="39" t="s">
        <v>5381</v>
      </c>
      <c r="D52" s="39" t="s">
        <v>5381</v>
      </c>
      <c r="I52" s="39" t="s">
        <v>5381</v>
      </c>
      <c r="J52" s="39" t="s">
        <v>5381</v>
      </c>
      <c r="R52" t="str">
        <f>'1'!AC52</f>
        <v/>
      </c>
      <c r="S52" t="str">
        <f>'1'!AC52</f>
        <v/>
      </c>
      <c r="AC52" s="39" t="s">
        <v>5381</v>
      </c>
      <c r="AD52" s="39" t="s">
        <v>5381</v>
      </c>
    </row>
    <row r="53" spans="1:30">
      <c r="A53" s="62" t="s">
        <v>5490</v>
      </c>
      <c r="B53" t="str">
        <f>'1'!P53</f>
        <v>007863</v>
      </c>
      <c r="C53" s="39" t="s">
        <v>5381</v>
      </c>
      <c r="D53" s="39" t="s">
        <v>5381</v>
      </c>
      <c r="I53" s="39" t="s">
        <v>5381</v>
      </c>
      <c r="J53" s="39" t="s">
        <v>5381</v>
      </c>
      <c r="R53" t="str">
        <f>'1'!AC53</f>
        <v>901934</v>
      </c>
      <c r="S53" t="str">
        <f>'1'!AC53</f>
        <v>901934</v>
      </c>
      <c r="AC53" s="39" t="s">
        <v>5381</v>
      </c>
      <c r="AD53" s="39" t="s">
        <v>5381</v>
      </c>
    </row>
    <row r="54" spans="1:30">
      <c r="A54" s="62" t="s">
        <v>5490</v>
      </c>
      <c r="B54" t="str">
        <f>'1'!P54</f>
        <v>212151</v>
      </c>
      <c r="C54" s="39" t="s">
        <v>5381</v>
      </c>
      <c r="D54" s="39" t="s">
        <v>5381</v>
      </c>
      <c r="I54" s="39" t="s">
        <v>5381</v>
      </c>
      <c r="J54" s="39" t="s">
        <v>5381</v>
      </c>
      <c r="R54" t="str">
        <f>'1'!AC54</f>
        <v>211756</v>
      </c>
      <c r="S54" t="str">
        <f>'1'!AC54</f>
        <v>211756</v>
      </c>
      <c r="AC54" s="39" t="s">
        <v>5381</v>
      </c>
      <c r="AD54" s="39" t="s">
        <v>5381</v>
      </c>
    </row>
    <row r="55" spans="1:30">
      <c r="A55" s="62" t="s">
        <v>5490</v>
      </c>
      <c r="B55" t="str">
        <f>'1'!P55</f>
        <v>211779</v>
      </c>
      <c r="C55" s="39" t="s">
        <v>5381</v>
      </c>
      <c r="D55" s="39" t="s">
        <v>5381</v>
      </c>
      <c r="I55" s="39" t="s">
        <v>5381</v>
      </c>
      <c r="J55" s="39" t="s">
        <v>5381</v>
      </c>
      <c r="R55" t="str">
        <f>'1'!AC55</f>
        <v>211736</v>
      </c>
      <c r="S55" t="str">
        <f>'1'!AC55</f>
        <v>211736</v>
      </c>
      <c r="AC55" s="39" t="s">
        <v>5381</v>
      </c>
      <c r="AD55" s="39" t="s">
        <v>5381</v>
      </c>
    </row>
    <row r="56" spans="1:30">
      <c r="A56" s="62" t="s">
        <v>5490</v>
      </c>
      <c r="B56" t="str">
        <f>'1'!P56</f>
        <v>004352</v>
      </c>
      <c r="C56" s="39" t="s">
        <v>5381</v>
      </c>
      <c r="D56" s="39" t="s">
        <v>5381</v>
      </c>
      <c r="I56" s="39" t="s">
        <v>5381</v>
      </c>
      <c r="J56" s="39" t="s">
        <v>5381</v>
      </c>
      <c r="R56" t="str">
        <f>'1'!AC56</f>
        <v>211062</v>
      </c>
      <c r="S56" t="str">
        <f>'1'!AC56</f>
        <v>211062</v>
      </c>
      <c r="AC56" s="39" t="s">
        <v>5381</v>
      </c>
      <c r="AD56" s="39" t="s">
        <v>5381</v>
      </c>
    </row>
    <row r="57" spans="1:30">
      <c r="A57" s="62" t="s">
        <v>5490</v>
      </c>
      <c r="B57" t="str">
        <f>'1'!P57</f>
        <v>006780</v>
      </c>
      <c r="C57" s="39" t="s">
        <v>5381</v>
      </c>
      <c r="D57" s="39" t="s">
        <v>5381</v>
      </c>
      <c r="I57" s="39" t="s">
        <v>5381</v>
      </c>
      <c r="J57" s="39" t="s">
        <v>5381</v>
      </c>
      <c r="R57" t="str">
        <f>'1'!AC57</f>
        <v>213037</v>
      </c>
      <c r="S57" t="str">
        <f>'1'!AC57</f>
        <v>213037</v>
      </c>
      <c r="AC57" s="39" t="s">
        <v>5381</v>
      </c>
      <c r="AD57" s="39" t="s">
        <v>5381</v>
      </c>
    </row>
    <row r="58" spans="1:30">
      <c r="A58" s="62" t="s">
        <v>5490</v>
      </c>
      <c r="B58" t="str">
        <f>'1'!P58</f>
        <v>902627</v>
      </c>
      <c r="C58" s="39" t="s">
        <v>5381</v>
      </c>
      <c r="D58" s="39" t="s">
        <v>5381</v>
      </c>
      <c r="I58" s="39" t="s">
        <v>5381</v>
      </c>
      <c r="J58" s="39" t="s">
        <v>5381</v>
      </c>
      <c r="R58" t="str">
        <f>'1'!AC58</f>
        <v/>
      </c>
      <c r="S58" t="str">
        <f>'1'!AC58</f>
        <v/>
      </c>
      <c r="AC58" s="39" t="s">
        <v>5381</v>
      </c>
      <c r="AD58" s="39" t="s">
        <v>5381</v>
      </c>
    </row>
    <row r="59" spans="1:30">
      <c r="A59" s="62" t="s">
        <v>5490</v>
      </c>
      <c r="B59" t="str">
        <f>'1'!P59</f>
        <v>209540</v>
      </c>
      <c r="C59" s="39" t="s">
        <v>5381</v>
      </c>
      <c r="D59" s="39" t="s">
        <v>5381</v>
      </c>
      <c r="I59" s="39" t="s">
        <v>5381</v>
      </c>
      <c r="J59" s="39" t="s">
        <v>5381</v>
      </c>
      <c r="R59" t="str">
        <f>'1'!AC59</f>
        <v/>
      </c>
      <c r="S59" t="str">
        <f>'1'!AC59</f>
        <v/>
      </c>
      <c r="AC59" s="39" t="s">
        <v>5381</v>
      </c>
      <c r="AD59" s="39" t="s">
        <v>5381</v>
      </c>
    </row>
    <row r="60" spans="1:30">
      <c r="A60" s="62" t="s">
        <v>5490</v>
      </c>
      <c r="B60" t="str">
        <f>'1'!P60</f>
        <v>211991</v>
      </c>
      <c r="C60" s="39" t="s">
        <v>5381</v>
      </c>
      <c r="D60" s="39" t="s">
        <v>5381</v>
      </c>
      <c r="I60" s="39" t="s">
        <v>5381</v>
      </c>
      <c r="J60" s="39" t="s">
        <v>5381</v>
      </c>
      <c r="R60" t="str">
        <f>'1'!AC60</f>
        <v>211756</v>
      </c>
      <c r="S60" t="str">
        <f>'1'!AC60</f>
        <v>211756</v>
      </c>
      <c r="AC60" s="39" t="s">
        <v>5381</v>
      </c>
      <c r="AD60" s="39" t="s">
        <v>5381</v>
      </c>
    </row>
    <row r="61" spans="1:30">
      <c r="A61" s="62" t="s">
        <v>5490</v>
      </c>
      <c r="B61" t="str">
        <f>'1'!P61</f>
        <v>209642</v>
      </c>
      <c r="C61" s="39" t="s">
        <v>5381</v>
      </c>
      <c r="D61" s="39" t="s">
        <v>5381</v>
      </c>
      <c r="I61" s="39" t="s">
        <v>5381</v>
      </c>
      <c r="J61" s="39" t="s">
        <v>5381</v>
      </c>
      <c r="R61" t="str">
        <f>'1'!AC61</f>
        <v>008750</v>
      </c>
      <c r="S61" t="str">
        <f>'1'!AC61</f>
        <v>008750</v>
      </c>
      <c r="AC61" s="39" t="s">
        <v>5381</v>
      </c>
      <c r="AD61" s="39" t="s">
        <v>5381</v>
      </c>
    </row>
    <row r="62" spans="1:30">
      <c r="A62" s="62" t="s">
        <v>5490</v>
      </c>
      <c r="B62" t="str">
        <f>'1'!P62</f>
        <v>006785</v>
      </c>
      <c r="C62" s="39" t="s">
        <v>5381</v>
      </c>
      <c r="D62" s="39" t="s">
        <v>5381</v>
      </c>
      <c r="I62" s="39" t="s">
        <v>5381</v>
      </c>
      <c r="J62" s="39" t="s">
        <v>5381</v>
      </c>
      <c r="R62" t="str">
        <f>'1'!AC62</f>
        <v/>
      </c>
      <c r="S62" t="str">
        <f>'1'!AC62</f>
        <v/>
      </c>
      <c r="AC62" s="39" t="s">
        <v>5381</v>
      </c>
      <c r="AD62" s="39" t="s">
        <v>5381</v>
      </c>
    </row>
    <row r="63" spans="1:30">
      <c r="A63" s="62" t="s">
        <v>5490</v>
      </c>
      <c r="B63" t="str">
        <f>'1'!P63</f>
        <v>213224</v>
      </c>
      <c r="C63" s="39" t="s">
        <v>5381</v>
      </c>
      <c r="D63" s="39" t="s">
        <v>5381</v>
      </c>
      <c r="I63" s="39" t="s">
        <v>5381</v>
      </c>
      <c r="J63" s="39" t="s">
        <v>5381</v>
      </c>
      <c r="R63" t="str">
        <f>'1'!AC63</f>
        <v>211131</v>
      </c>
      <c r="S63" t="str">
        <f>'1'!AC63</f>
        <v>211131</v>
      </c>
      <c r="AC63" s="39" t="s">
        <v>5381</v>
      </c>
      <c r="AD63" s="39" t="s">
        <v>5381</v>
      </c>
    </row>
    <row r="64" spans="1:30">
      <c r="A64" s="62" t="s">
        <v>5490</v>
      </c>
      <c r="B64" t="str">
        <f>'1'!P64</f>
        <v>206228</v>
      </c>
      <c r="C64" s="39" t="s">
        <v>5381</v>
      </c>
      <c r="D64" s="39" t="s">
        <v>5381</v>
      </c>
      <c r="I64" s="39" t="s">
        <v>5381</v>
      </c>
      <c r="J64" s="39" t="s">
        <v>5381</v>
      </c>
      <c r="R64" t="str">
        <f>'1'!AC64</f>
        <v>210892</v>
      </c>
      <c r="S64" t="str">
        <f>'1'!AC64</f>
        <v>210892</v>
      </c>
      <c r="AC64" s="39" t="s">
        <v>5381</v>
      </c>
      <c r="AD64" s="39" t="s">
        <v>5381</v>
      </c>
    </row>
    <row r="65" spans="1:30">
      <c r="A65" s="62" t="s">
        <v>5490</v>
      </c>
      <c r="B65" t="str">
        <f>'1'!P65</f>
        <v>211489</v>
      </c>
      <c r="C65" s="39" t="s">
        <v>5381</v>
      </c>
      <c r="D65" s="39" t="s">
        <v>5381</v>
      </c>
      <c r="I65" s="39" t="s">
        <v>5381</v>
      </c>
      <c r="J65" s="39" t="s">
        <v>5381</v>
      </c>
      <c r="R65" t="str">
        <f>'1'!AC65</f>
        <v>211766</v>
      </c>
      <c r="S65" t="str">
        <f>'1'!AC65</f>
        <v>211766</v>
      </c>
      <c r="AC65" s="39" t="s">
        <v>5381</v>
      </c>
      <c r="AD65" s="39" t="s">
        <v>5381</v>
      </c>
    </row>
    <row r="66" spans="1:30">
      <c r="A66" s="62" t="s">
        <v>5490</v>
      </c>
      <c r="B66" t="str">
        <f>'1'!P66</f>
        <v>901454</v>
      </c>
      <c r="C66" s="39" t="s">
        <v>5381</v>
      </c>
      <c r="D66" s="39" t="s">
        <v>5381</v>
      </c>
      <c r="I66" s="39" t="s">
        <v>5381</v>
      </c>
      <c r="J66" s="39" t="s">
        <v>5381</v>
      </c>
      <c r="R66" t="str">
        <f>'1'!AC66</f>
        <v>211998</v>
      </c>
      <c r="S66" t="str">
        <f>'1'!AC66</f>
        <v>211998</v>
      </c>
      <c r="AC66" s="39" t="s">
        <v>5381</v>
      </c>
      <c r="AD66" s="39" t="s">
        <v>5381</v>
      </c>
    </row>
    <row r="67" spans="1:30">
      <c r="A67" s="62" t="s">
        <v>5490</v>
      </c>
      <c r="B67" t="str">
        <f>'1'!P67</f>
        <v>209425</v>
      </c>
      <c r="C67" s="39" t="s">
        <v>5381</v>
      </c>
      <c r="D67" s="39" t="s">
        <v>5381</v>
      </c>
      <c r="I67" s="39" t="s">
        <v>5381</v>
      </c>
      <c r="J67" s="39" t="s">
        <v>5381</v>
      </c>
      <c r="R67" t="str">
        <f>'1'!AC67</f>
        <v>211756</v>
      </c>
      <c r="S67" t="str">
        <f>'1'!AC67</f>
        <v>211756</v>
      </c>
      <c r="AC67" s="39" t="s">
        <v>5381</v>
      </c>
      <c r="AD67" s="39" t="s">
        <v>5381</v>
      </c>
    </row>
    <row r="68" spans="1:30">
      <c r="A68" s="62" t="s">
        <v>5490</v>
      </c>
      <c r="B68" t="str">
        <f>'1'!P68</f>
        <v>211045</v>
      </c>
      <c r="C68" s="39" t="s">
        <v>5381</v>
      </c>
      <c r="D68" s="39" t="s">
        <v>5381</v>
      </c>
      <c r="I68" s="39" t="s">
        <v>5381</v>
      </c>
      <c r="J68" s="39" t="s">
        <v>5381</v>
      </c>
      <c r="R68" t="str">
        <f>'1'!AC68</f>
        <v>901934</v>
      </c>
      <c r="S68" t="str">
        <f>'1'!AC68</f>
        <v>901934</v>
      </c>
      <c r="AC68" s="39" t="s">
        <v>5381</v>
      </c>
      <c r="AD68" s="39" t="s">
        <v>5381</v>
      </c>
    </row>
    <row r="69" spans="1:30">
      <c r="A69" s="62" t="s">
        <v>5490</v>
      </c>
      <c r="B69" t="str">
        <f>'1'!P69</f>
        <v>213144</v>
      </c>
      <c r="C69" s="39" t="s">
        <v>5381</v>
      </c>
      <c r="D69" s="39" t="s">
        <v>5381</v>
      </c>
      <c r="I69" s="39" t="s">
        <v>5381</v>
      </c>
      <c r="J69" s="39" t="s">
        <v>5381</v>
      </c>
      <c r="R69" t="str">
        <f>'1'!AC69</f>
        <v>211998</v>
      </c>
      <c r="S69" t="str">
        <f>'1'!AC69</f>
        <v>211998</v>
      </c>
      <c r="AC69" s="39" t="s">
        <v>5381</v>
      </c>
      <c r="AD69" s="39" t="s">
        <v>5381</v>
      </c>
    </row>
    <row r="70" spans="1:30">
      <c r="A70" s="62" t="s">
        <v>5490</v>
      </c>
      <c r="B70" t="str">
        <f>'1'!P70</f>
        <v>213144</v>
      </c>
      <c r="C70" s="39" t="s">
        <v>5381</v>
      </c>
      <c r="D70" s="39" t="s">
        <v>5381</v>
      </c>
      <c r="I70" s="39" t="s">
        <v>5381</v>
      </c>
      <c r="J70" s="39" t="s">
        <v>5381</v>
      </c>
      <c r="R70" t="str">
        <f>'1'!AC70</f>
        <v/>
      </c>
      <c r="S70" t="str">
        <f>'1'!AC70</f>
        <v/>
      </c>
      <c r="AC70" s="39" t="s">
        <v>5381</v>
      </c>
      <c r="AD70" s="39" t="s">
        <v>5381</v>
      </c>
    </row>
    <row r="71" spans="1:30">
      <c r="A71" s="62" t="s">
        <v>5490</v>
      </c>
      <c r="B71" t="str">
        <f>'1'!P71</f>
        <v>209424</v>
      </c>
      <c r="C71" s="39" t="s">
        <v>5381</v>
      </c>
      <c r="D71" s="39" t="s">
        <v>5381</v>
      </c>
      <c r="I71" s="39" t="s">
        <v>5381</v>
      </c>
      <c r="J71" s="39" t="s">
        <v>5381</v>
      </c>
      <c r="R71" t="str">
        <f>'1'!AC71</f>
        <v>211756</v>
      </c>
      <c r="S71" t="str">
        <f>'1'!AC71</f>
        <v>211756</v>
      </c>
      <c r="AC71" s="39" t="s">
        <v>5381</v>
      </c>
      <c r="AD71" s="39" t="s">
        <v>5381</v>
      </c>
    </row>
    <row r="72" spans="1:30">
      <c r="A72" s="62" t="s">
        <v>5490</v>
      </c>
      <c r="B72" t="str">
        <f>'1'!P72</f>
        <v>211181</v>
      </c>
      <c r="C72" s="39" t="s">
        <v>5381</v>
      </c>
      <c r="D72" s="39" t="s">
        <v>5381</v>
      </c>
      <c r="I72" s="39" t="s">
        <v>5381</v>
      </c>
      <c r="J72" s="39" t="s">
        <v>5381</v>
      </c>
      <c r="R72" t="str">
        <f>'1'!AC72</f>
        <v>900848</v>
      </c>
      <c r="S72" t="str">
        <f>'1'!AC72</f>
        <v>900848</v>
      </c>
      <c r="AC72" s="39" t="s">
        <v>5381</v>
      </c>
      <c r="AD72" s="39" t="s">
        <v>5381</v>
      </c>
    </row>
    <row r="73" spans="1:30">
      <c r="A73" s="62" t="s">
        <v>5490</v>
      </c>
      <c r="B73" t="str">
        <f>'1'!P73</f>
        <v>211181</v>
      </c>
      <c r="C73" s="39" t="s">
        <v>5381</v>
      </c>
      <c r="D73" s="39" t="s">
        <v>5381</v>
      </c>
      <c r="I73" s="39" t="s">
        <v>5381</v>
      </c>
      <c r="J73" s="39" t="s">
        <v>5381</v>
      </c>
      <c r="R73" t="str">
        <f>'1'!AC73</f>
        <v>207199</v>
      </c>
      <c r="S73" t="str">
        <f>'1'!AC73</f>
        <v>207199</v>
      </c>
      <c r="AC73" s="39" t="s">
        <v>5381</v>
      </c>
      <c r="AD73" s="39" t="s">
        <v>5381</v>
      </c>
    </row>
    <row r="74" spans="1:30">
      <c r="A74" s="62" t="s">
        <v>5490</v>
      </c>
      <c r="B74" t="str">
        <f>'1'!P74</f>
        <v>211145</v>
      </c>
      <c r="C74" s="39" t="s">
        <v>5381</v>
      </c>
      <c r="D74" s="39" t="s">
        <v>5381</v>
      </c>
      <c r="I74" s="39" t="s">
        <v>5381</v>
      </c>
      <c r="J74" s="39" t="s">
        <v>5381</v>
      </c>
      <c r="R74" t="str">
        <f>'1'!AC74</f>
        <v>211998</v>
      </c>
      <c r="S74" t="str">
        <f>'1'!AC74</f>
        <v>211998</v>
      </c>
      <c r="AC74" s="39" t="s">
        <v>5381</v>
      </c>
      <c r="AD74" s="39" t="s">
        <v>5381</v>
      </c>
    </row>
    <row r="75" spans="1:30">
      <c r="A75" s="62" t="s">
        <v>5490</v>
      </c>
      <c r="B75" t="str">
        <f>'1'!P75</f>
        <v>006792</v>
      </c>
      <c r="C75" s="39" t="s">
        <v>5381</v>
      </c>
      <c r="D75" s="39" t="s">
        <v>5381</v>
      </c>
      <c r="I75" s="39" t="s">
        <v>5381</v>
      </c>
      <c r="J75" s="39" t="s">
        <v>5381</v>
      </c>
      <c r="R75" t="str">
        <f>'1'!AC75</f>
        <v>006780</v>
      </c>
      <c r="S75" t="str">
        <f>'1'!AC75</f>
        <v>006780</v>
      </c>
      <c r="AC75" s="39" t="s">
        <v>5381</v>
      </c>
      <c r="AD75" s="39" t="s">
        <v>5381</v>
      </c>
    </row>
    <row r="76" spans="1:30">
      <c r="A76" s="62" t="s">
        <v>5490</v>
      </c>
      <c r="B76" t="str">
        <f>'1'!P76</f>
        <v/>
      </c>
      <c r="C76" s="39" t="s">
        <v>5381</v>
      </c>
      <c r="D76" s="39" t="s">
        <v>5381</v>
      </c>
      <c r="I76" s="39" t="s">
        <v>5381</v>
      </c>
      <c r="J76" s="39" t="s">
        <v>5381</v>
      </c>
      <c r="R76" t="str">
        <f>'1'!AC76</f>
        <v>211062</v>
      </c>
      <c r="S76" t="str">
        <f>'1'!AC76</f>
        <v>211062</v>
      </c>
      <c r="AC76" s="39" t="s">
        <v>5381</v>
      </c>
      <c r="AD76" s="39" t="s">
        <v>5381</v>
      </c>
    </row>
    <row r="77" spans="1:30">
      <c r="A77" s="62" t="s">
        <v>5490</v>
      </c>
      <c r="B77" t="str">
        <f>'1'!P77</f>
        <v>902349</v>
      </c>
      <c r="C77" s="39" t="s">
        <v>5381</v>
      </c>
      <c r="D77" s="39" t="s">
        <v>5381</v>
      </c>
      <c r="I77" s="39" t="s">
        <v>5381</v>
      </c>
      <c r="J77" s="39" t="s">
        <v>5381</v>
      </c>
      <c r="R77" t="str">
        <f>'1'!AC77</f>
        <v>209181</v>
      </c>
      <c r="S77" t="str">
        <f>'1'!AC77</f>
        <v>209181</v>
      </c>
      <c r="AC77" s="39" t="s">
        <v>5381</v>
      </c>
      <c r="AD77" s="39" t="s">
        <v>5381</v>
      </c>
    </row>
    <row r="78" spans="1:30">
      <c r="A78" s="62" t="s">
        <v>5490</v>
      </c>
      <c r="B78" t="str">
        <f>'1'!P78</f>
        <v>212966</v>
      </c>
      <c r="C78" s="39" t="s">
        <v>5381</v>
      </c>
      <c r="D78" s="39" t="s">
        <v>5381</v>
      </c>
      <c r="I78" s="39" t="s">
        <v>5381</v>
      </c>
      <c r="J78" s="39" t="s">
        <v>5381</v>
      </c>
      <c r="R78" t="str">
        <f>'1'!AC78</f>
        <v>207487</v>
      </c>
      <c r="S78" t="str">
        <f>'1'!AC78</f>
        <v>207487</v>
      </c>
      <c r="AC78" s="39" t="s">
        <v>5381</v>
      </c>
      <c r="AD78" s="39" t="s">
        <v>5381</v>
      </c>
    </row>
    <row r="79" spans="1:30">
      <c r="A79" s="62" t="s">
        <v>5490</v>
      </c>
      <c r="B79" t="str">
        <f>'1'!P79</f>
        <v>211932</v>
      </c>
      <c r="C79" s="39" t="s">
        <v>5381</v>
      </c>
      <c r="D79" s="39" t="s">
        <v>5381</v>
      </c>
      <c r="I79" s="39" t="s">
        <v>5381</v>
      </c>
      <c r="J79" s="39" t="s">
        <v>5381</v>
      </c>
      <c r="R79" t="str">
        <f>'1'!AC79</f>
        <v>211736</v>
      </c>
      <c r="S79" t="str">
        <f>'1'!AC79</f>
        <v>211736</v>
      </c>
      <c r="AC79" s="39" t="s">
        <v>5381</v>
      </c>
      <c r="AD79" s="39" t="s">
        <v>5381</v>
      </c>
    </row>
    <row r="80" spans="1:30">
      <c r="A80" s="62" t="s">
        <v>5490</v>
      </c>
      <c r="B80" t="str">
        <f>'1'!P80</f>
        <v>206442</v>
      </c>
      <c r="C80" s="39" t="s">
        <v>5381</v>
      </c>
      <c r="D80" s="39" t="s">
        <v>5381</v>
      </c>
      <c r="I80" s="39" t="s">
        <v>5381</v>
      </c>
      <c r="J80" s="39" t="s">
        <v>5381</v>
      </c>
      <c r="R80" t="str">
        <f>'1'!AC80</f>
        <v>211601</v>
      </c>
      <c r="S80" t="str">
        <f>'1'!AC80</f>
        <v>211601</v>
      </c>
      <c r="AC80" s="39" t="s">
        <v>5381</v>
      </c>
      <c r="AD80" s="39" t="s">
        <v>5381</v>
      </c>
    </row>
    <row r="81" spans="1:30">
      <c r="A81" s="62" t="s">
        <v>5490</v>
      </c>
      <c r="B81" t="str">
        <f>'1'!P81</f>
        <v>206442</v>
      </c>
      <c r="C81" s="39" t="s">
        <v>5381</v>
      </c>
      <c r="D81" s="39" t="s">
        <v>5381</v>
      </c>
      <c r="I81" s="39" t="s">
        <v>5381</v>
      </c>
      <c r="J81" s="39" t="s">
        <v>5381</v>
      </c>
      <c r="R81" t="str">
        <f>'1'!AC81</f>
        <v>211601</v>
      </c>
      <c r="S81" t="str">
        <f>'1'!AC81</f>
        <v>211601</v>
      </c>
      <c r="AC81" s="39" t="s">
        <v>5381</v>
      </c>
      <c r="AD81" s="39" t="s">
        <v>5381</v>
      </c>
    </row>
    <row r="82" spans="1:30">
      <c r="A82" s="62" t="s">
        <v>5490</v>
      </c>
      <c r="B82" t="str">
        <f>'1'!P82</f>
        <v>212479</v>
      </c>
      <c r="C82" s="39" t="s">
        <v>5381</v>
      </c>
      <c r="D82" s="39" t="s">
        <v>5381</v>
      </c>
      <c r="I82" s="39" t="s">
        <v>5381</v>
      </c>
      <c r="J82" s="39" t="s">
        <v>5381</v>
      </c>
      <c r="R82" t="str">
        <f>'1'!AC82</f>
        <v/>
      </c>
      <c r="S82" t="str">
        <f>'1'!AC82</f>
        <v/>
      </c>
      <c r="AC82" s="39" t="s">
        <v>5381</v>
      </c>
      <c r="AD82" s="39" t="s">
        <v>5381</v>
      </c>
    </row>
    <row r="83" spans="1:30">
      <c r="A83" s="62" t="s">
        <v>5490</v>
      </c>
      <c r="B83" t="str">
        <f>'1'!P83</f>
        <v>211943</v>
      </c>
      <c r="C83" s="39" t="s">
        <v>5381</v>
      </c>
      <c r="D83" s="39" t="s">
        <v>5381</v>
      </c>
      <c r="I83" s="39" t="s">
        <v>5381</v>
      </c>
      <c r="J83" s="39" t="s">
        <v>5381</v>
      </c>
      <c r="R83" t="str">
        <f>'1'!AC83</f>
        <v>211062</v>
      </c>
      <c r="S83" t="str">
        <f>'1'!AC83</f>
        <v>211062</v>
      </c>
      <c r="AC83" s="39" t="s">
        <v>5381</v>
      </c>
      <c r="AD83" s="39" t="s">
        <v>5381</v>
      </c>
    </row>
    <row r="84" spans="1:30">
      <c r="A84" s="62" t="s">
        <v>5490</v>
      </c>
      <c r="B84" t="str">
        <f>'1'!P84</f>
        <v>902026</v>
      </c>
      <c r="C84" s="39" t="s">
        <v>5381</v>
      </c>
      <c r="D84" s="39" t="s">
        <v>5381</v>
      </c>
      <c r="I84" s="39" t="s">
        <v>5381</v>
      </c>
      <c r="J84" s="39" t="s">
        <v>5381</v>
      </c>
      <c r="R84" t="str">
        <f>'1'!AC84</f>
        <v>207487</v>
      </c>
      <c r="S84" t="str">
        <f>'1'!AC84</f>
        <v>207487</v>
      </c>
      <c r="AC84" s="39" t="s">
        <v>5381</v>
      </c>
      <c r="AD84" s="39" t="s">
        <v>5381</v>
      </c>
    </row>
    <row r="85" spans="1:30">
      <c r="A85" s="62" t="s">
        <v>5490</v>
      </c>
      <c r="B85" t="str">
        <f>'1'!P85</f>
        <v>212418</v>
      </c>
      <c r="C85" s="39" t="s">
        <v>5381</v>
      </c>
      <c r="D85" s="39" t="s">
        <v>5381</v>
      </c>
      <c r="I85" s="39" t="s">
        <v>5381</v>
      </c>
      <c r="J85" s="39" t="s">
        <v>5381</v>
      </c>
      <c r="R85" t="str">
        <f>'1'!AC85</f>
        <v>207588</v>
      </c>
      <c r="S85" t="str">
        <f>'1'!AC85</f>
        <v>207588</v>
      </c>
      <c r="AC85" s="39" t="s">
        <v>5381</v>
      </c>
      <c r="AD85" s="39" t="s">
        <v>5381</v>
      </c>
    </row>
    <row r="86" spans="1:30">
      <c r="A86" s="62" t="s">
        <v>5490</v>
      </c>
      <c r="B86" t="str">
        <f>'1'!P86</f>
        <v/>
      </c>
      <c r="C86" s="39" t="s">
        <v>5381</v>
      </c>
      <c r="D86" s="39" t="s">
        <v>5381</v>
      </c>
      <c r="I86" s="39" t="s">
        <v>5381</v>
      </c>
      <c r="J86" s="39" t="s">
        <v>5381</v>
      </c>
      <c r="R86" t="str">
        <f>'1'!AC86</f>
        <v>202533</v>
      </c>
      <c r="S86" t="str">
        <f>'1'!AC86</f>
        <v>202533</v>
      </c>
      <c r="AC86" s="39" t="s">
        <v>5381</v>
      </c>
      <c r="AD86" s="39" t="s">
        <v>5381</v>
      </c>
    </row>
    <row r="87" spans="1:30">
      <c r="A87" s="62" t="s">
        <v>5490</v>
      </c>
      <c r="B87" t="str">
        <f>'1'!P87</f>
        <v>213235</v>
      </c>
      <c r="C87" s="39" t="s">
        <v>5381</v>
      </c>
      <c r="D87" s="39" t="s">
        <v>5381</v>
      </c>
      <c r="I87" s="39" t="s">
        <v>5381</v>
      </c>
      <c r="J87" s="39" t="s">
        <v>5381</v>
      </c>
      <c r="R87" t="str">
        <f>'1'!AC87</f>
        <v>210892</v>
      </c>
      <c r="S87" t="str">
        <f>'1'!AC87</f>
        <v>210892</v>
      </c>
      <c r="AC87" s="39" t="s">
        <v>5381</v>
      </c>
      <c r="AD87" s="39" t="s">
        <v>5381</v>
      </c>
    </row>
    <row r="88" spans="1:30">
      <c r="A88" s="62" t="s">
        <v>5490</v>
      </c>
      <c r="B88" t="str">
        <f>'1'!P88</f>
        <v>206680</v>
      </c>
      <c r="C88" s="39" t="s">
        <v>5381</v>
      </c>
      <c r="D88" s="39" t="s">
        <v>5381</v>
      </c>
      <c r="I88" s="39" t="s">
        <v>5381</v>
      </c>
      <c r="J88" s="39" t="s">
        <v>5381</v>
      </c>
      <c r="R88" t="str">
        <f>'1'!AC88</f>
        <v>211062</v>
      </c>
      <c r="S88" t="str">
        <f>'1'!AC88</f>
        <v>211062</v>
      </c>
      <c r="AC88" s="39" t="s">
        <v>5381</v>
      </c>
      <c r="AD88" s="39" t="s">
        <v>5381</v>
      </c>
    </row>
    <row r="89" spans="1:30">
      <c r="A89" s="62" t="s">
        <v>5490</v>
      </c>
      <c r="B89" t="str">
        <f>'1'!P89</f>
        <v>211766</v>
      </c>
      <c r="C89" s="39" t="s">
        <v>5381</v>
      </c>
      <c r="D89" s="39" t="s">
        <v>5381</v>
      </c>
      <c r="I89" s="39" t="s">
        <v>5381</v>
      </c>
      <c r="J89" s="39" t="s">
        <v>5381</v>
      </c>
      <c r="R89" t="str">
        <f>'1'!AC89</f>
        <v>207709</v>
      </c>
      <c r="S89" t="str">
        <f>'1'!AC89</f>
        <v>207709</v>
      </c>
      <c r="AC89" s="39" t="s">
        <v>5381</v>
      </c>
      <c r="AD89" s="39" t="s">
        <v>5381</v>
      </c>
    </row>
    <row r="90" spans="1:30">
      <c r="A90" s="62" t="s">
        <v>5490</v>
      </c>
      <c r="B90" t="str">
        <f>'1'!P90</f>
        <v>213229</v>
      </c>
      <c r="C90" s="39" t="s">
        <v>5381</v>
      </c>
      <c r="D90" s="39" t="s">
        <v>5381</v>
      </c>
      <c r="I90" s="39" t="s">
        <v>5381</v>
      </c>
      <c r="J90" s="39" t="s">
        <v>5381</v>
      </c>
      <c r="R90" t="str">
        <f>'1'!AC90</f>
        <v>008750</v>
      </c>
      <c r="S90" t="str">
        <f>'1'!AC90</f>
        <v>008750</v>
      </c>
      <c r="AC90" s="39" t="s">
        <v>5381</v>
      </c>
      <c r="AD90" s="39" t="s">
        <v>5381</v>
      </c>
    </row>
    <row r="91" spans="1:30">
      <c r="A91" s="62" t="s">
        <v>5490</v>
      </c>
      <c r="B91" t="str">
        <f>'1'!P91</f>
        <v>211085</v>
      </c>
      <c r="C91" s="39" t="s">
        <v>5381</v>
      </c>
      <c r="D91" s="39" t="s">
        <v>5381</v>
      </c>
      <c r="I91" s="39" t="s">
        <v>5381</v>
      </c>
      <c r="J91" s="39" t="s">
        <v>5381</v>
      </c>
      <c r="R91" t="str">
        <f>'1'!AC91</f>
        <v>211766</v>
      </c>
      <c r="S91" t="str">
        <f>'1'!AC91</f>
        <v>211766</v>
      </c>
      <c r="AC91" s="39" t="s">
        <v>5381</v>
      </c>
      <c r="AD91" s="39" t="s">
        <v>5381</v>
      </c>
    </row>
    <row r="92" spans="1:30">
      <c r="A92" s="62" t="s">
        <v>5490</v>
      </c>
      <c r="B92" t="str">
        <f>'1'!P92</f>
        <v>006805</v>
      </c>
      <c r="C92" s="39" t="s">
        <v>5381</v>
      </c>
      <c r="D92" s="39" t="s">
        <v>5381</v>
      </c>
      <c r="I92" s="39" t="s">
        <v>5381</v>
      </c>
      <c r="J92" s="39" t="s">
        <v>5381</v>
      </c>
      <c r="R92" t="str">
        <f>'1'!AC92</f>
        <v>211062</v>
      </c>
      <c r="S92" t="str">
        <f>'1'!AC92</f>
        <v>211062</v>
      </c>
      <c r="AC92" s="39" t="s">
        <v>5381</v>
      </c>
      <c r="AD92" s="39" t="s">
        <v>5381</v>
      </c>
    </row>
    <row r="93" spans="1:30">
      <c r="A93" s="62" t="s">
        <v>5490</v>
      </c>
      <c r="B93" t="str">
        <f>'1'!P93</f>
        <v>213298</v>
      </c>
      <c r="C93" s="39" t="s">
        <v>5381</v>
      </c>
      <c r="D93" s="39" t="s">
        <v>5381</v>
      </c>
      <c r="I93" s="39" t="s">
        <v>5381</v>
      </c>
      <c r="J93" s="39" t="s">
        <v>5381</v>
      </c>
      <c r="R93" t="str">
        <f>'1'!AC93</f>
        <v>202533</v>
      </c>
      <c r="S93" t="str">
        <f>'1'!AC93</f>
        <v>202533</v>
      </c>
      <c r="AC93" s="39" t="s">
        <v>5381</v>
      </c>
      <c r="AD93" s="39" t="s">
        <v>5381</v>
      </c>
    </row>
    <row r="94" spans="1:30">
      <c r="A94" s="62" t="s">
        <v>5490</v>
      </c>
      <c r="B94" t="str">
        <f>'1'!P94</f>
        <v>212177</v>
      </c>
      <c r="C94" s="39" t="s">
        <v>5381</v>
      </c>
      <c r="D94" s="39" t="s">
        <v>5381</v>
      </c>
      <c r="I94" s="39" t="s">
        <v>5381</v>
      </c>
      <c r="J94" s="39" t="s">
        <v>5381</v>
      </c>
      <c r="R94" t="str">
        <f>'1'!AC94</f>
        <v>211736</v>
      </c>
      <c r="S94" t="str">
        <f>'1'!AC94</f>
        <v>211736</v>
      </c>
      <c r="AC94" s="39" t="s">
        <v>5381</v>
      </c>
      <c r="AD94" s="39" t="s">
        <v>5381</v>
      </c>
    </row>
    <row r="95" spans="1:30">
      <c r="A95" s="62" t="s">
        <v>5490</v>
      </c>
      <c r="B95" t="str">
        <f>'1'!P95</f>
        <v>211736</v>
      </c>
      <c r="C95" s="39" t="s">
        <v>5381</v>
      </c>
      <c r="D95" s="39" t="s">
        <v>5381</v>
      </c>
      <c r="I95" s="39" t="s">
        <v>5381</v>
      </c>
      <c r="J95" s="39" t="s">
        <v>5381</v>
      </c>
      <c r="R95" t="str">
        <f>'1'!AC95</f>
        <v>211464</v>
      </c>
      <c r="S95" t="str">
        <f>'1'!AC95</f>
        <v>211464</v>
      </c>
      <c r="AC95" s="39" t="s">
        <v>5381</v>
      </c>
      <c r="AD95" s="39" t="s">
        <v>5381</v>
      </c>
    </row>
    <row r="96" spans="1:30">
      <c r="A96" s="62" t="s">
        <v>5490</v>
      </c>
      <c r="B96" t="str">
        <f>'1'!P96</f>
        <v>210371</v>
      </c>
      <c r="C96" s="39" t="s">
        <v>5381</v>
      </c>
      <c r="D96" s="39" t="s">
        <v>5381</v>
      </c>
      <c r="I96" s="39" t="s">
        <v>5381</v>
      </c>
      <c r="J96" s="39" t="s">
        <v>5381</v>
      </c>
      <c r="R96" t="str">
        <f>'1'!AC96</f>
        <v>211756</v>
      </c>
      <c r="S96" t="str">
        <f>'1'!AC96</f>
        <v>211756</v>
      </c>
      <c r="AC96" s="39" t="s">
        <v>5381</v>
      </c>
      <c r="AD96" s="39" t="s">
        <v>5381</v>
      </c>
    </row>
    <row r="97" spans="1:30">
      <c r="A97" s="62" t="s">
        <v>5490</v>
      </c>
      <c r="B97" t="str">
        <f>'1'!P97</f>
        <v>210910</v>
      </c>
      <c r="C97" s="39" t="s">
        <v>5381</v>
      </c>
      <c r="D97" s="39" t="s">
        <v>5381</v>
      </c>
      <c r="I97" s="39" t="s">
        <v>5381</v>
      </c>
      <c r="J97" s="39" t="s">
        <v>5381</v>
      </c>
      <c r="R97" t="str">
        <f>'1'!AC97</f>
        <v>213037</v>
      </c>
      <c r="S97" t="str">
        <f>'1'!AC97</f>
        <v>213037</v>
      </c>
      <c r="AC97" s="39" t="s">
        <v>5381</v>
      </c>
      <c r="AD97" s="39" t="s">
        <v>5381</v>
      </c>
    </row>
    <row r="98" spans="1:30">
      <c r="A98" s="62" t="s">
        <v>5490</v>
      </c>
      <c r="B98" t="str">
        <f>'1'!P98</f>
        <v>212990</v>
      </c>
      <c r="C98" s="39" t="s">
        <v>5381</v>
      </c>
      <c r="D98" s="39" t="s">
        <v>5381</v>
      </c>
      <c r="I98" s="39" t="s">
        <v>5381</v>
      </c>
      <c r="J98" s="39" t="s">
        <v>5381</v>
      </c>
      <c r="R98" t="str">
        <f>'1'!AC98</f>
        <v>209181</v>
      </c>
      <c r="S98" t="str">
        <f>'1'!AC98</f>
        <v>209181</v>
      </c>
      <c r="AC98" s="39" t="s">
        <v>5381</v>
      </c>
      <c r="AD98" s="39" t="s">
        <v>5381</v>
      </c>
    </row>
    <row r="99" spans="1:30">
      <c r="A99" s="62" t="s">
        <v>5490</v>
      </c>
      <c r="B99" t="str">
        <f>'1'!P99</f>
        <v>212598</v>
      </c>
      <c r="C99" s="39" t="s">
        <v>5381</v>
      </c>
      <c r="D99" s="39" t="s">
        <v>5381</v>
      </c>
      <c r="I99" s="39" t="s">
        <v>5381</v>
      </c>
      <c r="J99" s="39" t="s">
        <v>5381</v>
      </c>
      <c r="R99" t="str">
        <f>'1'!AC99</f>
        <v/>
      </c>
      <c r="S99" t="str">
        <f>'1'!AC99</f>
        <v/>
      </c>
      <c r="AC99" s="39" t="s">
        <v>5381</v>
      </c>
      <c r="AD99" s="39" t="s">
        <v>5381</v>
      </c>
    </row>
    <row r="100" spans="1:30">
      <c r="A100" s="62" t="s">
        <v>5490</v>
      </c>
      <c r="B100" t="str">
        <f>'1'!P100</f>
        <v>212598</v>
      </c>
      <c r="C100" s="39" t="s">
        <v>5381</v>
      </c>
      <c r="D100" s="39" t="s">
        <v>5381</v>
      </c>
      <c r="I100" s="39" t="s">
        <v>5381</v>
      </c>
      <c r="J100" s="39" t="s">
        <v>5381</v>
      </c>
      <c r="R100" t="str">
        <f>'1'!AC100</f>
        <v/>
      </c>
      <c r="S100" t="str">
        <f>'1'!AC100</f>
        <v/>
      </c>
      <c r="AC100" s="39" t="s">
        <v>5381</v>
      </c>
      <c r="AD100" s="39" t="s">
        <v>5381</v>
      </c>
    </row>
    <row r="101" spans="1:30">
      <c r="A101" s="62" t="s">
        <v>5490</v>
      </c>
      <c r="B101" t="str">
        <f>'1'!P101</f>
        <v>212598</v>
      </c>
      <c r="C101" s="39" t="s">
        <v>5381</v>
      </c>
      <c r="D101" s="39" t="s">
        <v>5381</v>
      </c>
      <c r="I101" s="39" t="s">
        <v>5381</v>
      </c>
      <c r="J101" s="39" t="s">
        <v>5381</v>
      </c>
      <c r="R101" t="str">
        <f>'1'!AC101</f>
        <v>211998</v>
      </c>
      <c r="S101" t="str">
        <f>'1'!AC101</f>
        <v>211998</v>
      </c>
      <c r="AC101" s="39" t="s">
        <v>5381</v>
      </c>
      <c r="AD101" s="39" t="s">
        <v>5381</v>
      </c>
    </row>
    <row r="102" spans="1:30">
      <c r="A102" s="62" t="s">
        <v>5490</v>
      </c>
      <c r="B102" t="str">
        <f>'1'!P102</f>
        <v>210316</v>
      </c>
      <c r="C102" s="39" t="s">
        <v>5381</v>
      </c>
      <c r="D102" s="39" t="s">
        <v>5381</v>
      </c>
      <c r="I102" s="39" t="s">
        <v>5381</v>
      </c>
      <c r="J102" s="39" t="s">
        <v>5381</v>
      </c>
      <c r="R102" t="str">
        <f>'1'!AC102</f>
        <v>211756</v>
      </c>
      <c r="S102" t="str">
        <f>'1'!AC102</f>
        <v>211756</v>
      </c>
      <c r="AC102" s="39" t="s">
        <v>5381</v>
      </c>
      <c r="AD102" s="39" t="s">
        <v>5381</v>
      </c>
    </row>
    <row r="103" spans="1:30">
      <c r="A103" s="62" t="s">
        <v>5490</v>
      </c>
      <c r="B103" t="str">
        <f>'1'!P103</f>
        <v>006809</v>
      </c>
      <c r="C103" s="39" t="s">
        <v>5381</v>
      </c>
      <c r="D103" s="39" t="s">
        <v>5381</v>
      </c>
      <c r="I103" s="39" t="s">
        <v>5381</v>
      </c>
      <c r="J103" s="39" t="s">
        <v>5381</v>
      </c>
      <c r="R103" t="str">
        <f>'1'!AC103</f>
        <v>212699</v>
      </c>
      <c r="S103" t="str">
        <f>'1'!AC103</f>
        <v>212699</v>
      </c>
      <c r="AC103" s="39" t="s">
        <v>5381</v>
      </c>
      <c r="AD103" s="39" t="s">
        <v>5381</v>
      </c>
    </row>
    <row r="104" spans="1:30">
      <c r="A104" s="62" t="s">
        <v>5490</v>
      </c>
      <c r="B104" t="str">
        <f>'1'!P104</f>
        <v>006809</v>
      </c>
      <c r="C104" s="39" t="s">
        <v>5381</v>
      </c>
      <c r="D104" s="39" t="s">
        <v>5381</v>
      </c>
      <c r="I104" s="39" t="s">
        <v>5381</v>
      </c>
      <c r="J104" s="39" t="s">
        <v>5381</v>
      </c>
      <c r="R104" t="str">
        <f>'1'!AC104</f>
        <v>213037</v>
      </c>
      <c r="S104" t="str">
        <f>'1'!AC104</f>
        <v>213037</v>
      </c>
      <c r="AC104" s="39" t="s">
        <v>5381</v>
      </c>
      <c r="AD104" s="39" t="s">
        <v>5381</v>
      </c>
    </row>
    <row r="105" spans="1:30">
      <c r="A105" s="62" t="s">
        <v>5490</v>
      </c>
      <c r="B105" t="str">
        <f>'1'!P105</f>
        <v>202609</v>
      </c>
      <c r="C105" s="39" t="s">
        <v>5381</v>
      </c>
      <c r="D105" s="39" t="s">
        <v>5381</v>
      </c>
      <c r="I105" s="39" t="s">
        <v>5381</v>
      </c>
      <c r="J105" s="39" t="s">
        <v>5381</v>
      </c>
      <c r="R105" t="str">
        <f>'1'!AC105</f>
        <v>210910</v>
      </c>
      <c r="S105" t="str">
        <f>'1'!AC105</f>
        <v>210910</v>
      </c>
      <c r="AC105" s="39" t="s">
        <v>5381</v>
      </c>
      <c r="AD105" s="39" t="s">
        <v>5381</v>
      </c>
    </row>
    <row r="106" spans="1:30">
      <c r="A106" s="62" t="s">
        <v>5490</v>
      </c>
      <c r="B106" t="str">
        <f>'1'!P106</f>
        <v>902563</v>
      </c>
      <c r="C106" s="39" t="s">
        <v>5381</v>
      </c>
      <c r="D106" s="39" t="s">
        <v>5381</v>
      </c>
      <c r="I106" s="39" t="s">
        <v>5381</v>
      </c>
      <c r="J106" s="39" t="s">
        <v>5381</v>
      </c>
      <c r="R106" t="str">
        <f>'1'!AC106</f>
        <v>211756</v>
      </c>
      <c r="S106" t="str">
        <f>'1'!AC106</f>
        <v>211756</v>
      </c>
      <c r="AC106" s="39" t="s">
        <v>5381</v>
      </c>
      <c r="AD106" s="39" t="s">
        <v>5381</v>
      </c>
    </row>
    <row r="107" spans="1:30">
      <c r="A107" s="62" t="s">
        <v>5490</v>
      </c>
      <c r="B107" t="str">
        <f>'1'!P107</f>
        <v>902437</v>
      </c>
      <c r="C107" s="39" t="s">
        <v>5381</v>
      </c>
      <c r="D107" s="39" t="s">
        <v>5381</v>
      </c>
      <c r="I107" s="39" t="s">
        <v>5381</v>
      </c>
      <c r="J107" s="39" t="s">
        <v>5381</v>
      </c>
      <c r="R107" t="str">
        <f>'1'!AC107</f>
        <v>207588</v>
      </c>
      <c r="S107" t="str">
        <f>'1'!AC107</f>
        <v>207588</v>
      </c>
      <c r="AC107" s="39" t="s">
        <v>5381</v>
      </c>
      <c r="AD107" s="39" t="s">
        <v>5381</v>
      </c>
    </row>
    <row r="108" spans="1:30">
      <c r="A108" s="62" t="s">
        <v>5490</v>
      </c>
      <c r="B108" t="str">
        <f>'1'!P108</f>
        <v>201343</v>
      </c>
      <c r="C108" s="39" t="s">
        <v>5381</v>
      </c>
      <c r="D108" s="39" t="s">
        <v>5381</v>
      </c>
      <c r="I108" s="39" t="s">
        <v>5381</v>
      </c>
      <c r="J108" s="39" t="s">
        <v>5381</v>
      </c>
      <c r="R108" t="str">
        <f>'1'!AC108</f>
        <v>211736</v>
      </c>
      <c r="S108" t="str">
        <f>'1'!AC108</f>
        <v>211736</v>
      </c>
      <c r="AC108" s="39" t="s">
        <v>5381</v>
      </c>
      <c r="AD108" s="39" t="s">
        <v>5381</v>
      </c>
    </row>
    <row r="109" spans="1:30">
      <c r="A109" s="62" t="s">
        <v>5490</v>
      </c>
      <c r="B109" t="str">
        <f>'1'!P109</f>
        <v>662995</v>
      </c>
      <c r="C109" s="39" t="s">
        <v>5381</v>
      </c>
      <c r="D109" s="39" t="s">
        <v>5381</v>
      </c>
      <c r="I109" s="39" t="s">
        <v>5381</v>
      </c>
      <c r="J109" s="39" t="s">
        <v>5381</v>
      </c>
      <c r="R109" t="str">
        <f>'1'!AC109</f>
        <v>211756</v>
      </c>
      <c r="S109" t="str">
        <f>'1'!AC109</f>
        <v>211756</v>
      </c>
      <c r="AC109" s="39" t="s">
        <v>5381</v>
      </c>
      <c r="AD109" s="39" t="s">
        <v>5381</v>
      </c>
    </row>
    <row r="110" spans="1:30">
      <c r="A110" s="62" t="s">
        <v>5490</v>
      </c>
      <c r="B110" t="str">
        <f>'1'!P110</f>
        <v>006811</v>
      </c>
      <c r="C110" s="39" t="s">
        <v>5381</v>
      </c>
      <c r="D110" s="39" t="s">
        <v>5381</v>
      </c>
      <c r="I110" s="39" t="s">
        <v>5381</v>
      </c>
      <c r="J110" s="39" t="s">
        <v>5381</v>
      </c>
      <c r="R110" t="str">
        <f>'1'!AC110</f>
        <v>211062</v>
      </c>
      <c r="S110" t="str">
        <f>'1'!AC110</f>
        <v>211062</v>
      </c>
      <c r="AC110" s="39" t="s">
        <v>5381</v>
      </c>
      <c r="AD110" s="39" t="s">
        <v>5381</v>
      </c>
    </row>
    <row r="111" spans="1:30">
      <c r="A111" s="62" t="s">
        <v>5490</v>
      </c>
      <c r="B111" t="str">
        <f>'1'!P111</f>
        <v>901213</v>
      </c>
      <c r="C111" s="39" t="s">
        <v>5381</v>
      </c>
      <c r="D111" s="39" t="s">
        <v>5381</v>
      </c>
      <c r="I111" s="39" t="s">
        <v>5381</v>
      </c>
      <c r="J111" s="39" t="s">
        <v>5381</v>
      </c>
      <c r="R111" t="str">
        <f>'1'!AC111</f>
        <v>211766</v>
      </c>
      <c r="S111" t="str">
        <f>'1'!AC111</f>
        <v>211766</v>
      </c>
      <c r="AC111" s="39" t="s">
        <v>5381</v>
      </c>
      <c r="AD111" s="39" t="s">
        <v>5381</v>
      </c>
    </row>
    <row r="112" spans="1:30">
      <c r="A112" s="62" t="s">
        <v>5490</v>
      </c>
      <c r="B112" t="str">
        <f>'1'!P112</f>
        <v>213332</v>
      </c>
      <c r="C112" s="39" t="s">
        <v>5381</v>
      </c>
      <c r="D112" s="39" t="s">
        <v>5381</v>
      </c>
      <c r="I112" s="39" t="s">
        <v>5381</v>
      </c>
      <c r="J112" s="39" t="s">
        <v>5381</v>
      </c>
      <c r="R112" t="str">
        <f>'1'!AC112</f>
        <v>211062</v>
      </c>
      <c r="S112" t="str">
        <f>'1'!AC112</f>
        <v>211062</v>
      </c>
      <c r="AC112" s="39" t="s">
        <v>5381</v>
      </c>
      <c r="AD112" s="39" t="s">
        <v>5381</v>
      </c>
    </row>
    <row r="113" spans="1:30">
      <c r="A113" s="62" t="s">
        <v>5490</v>
      </c>
      <c r="B113" t="str">
        <f>'1'!P113</f>
        <v>007861</v>
      </c>
      <c r="C113" s="39" t="s">
        <v>5381</v>
      </c>
      <c r="D113" s="39" t="s">
        <v>5381</v>
      </c>
      <c r="I113" s="39" t="s">
        <v>5381</v>
      </c>
      <c r="J113" s="39" t="s">
        <v>5381</v>
      </c>
      <c r="R113" t="str">
        <f>'1'!AC113</f>
        <v>008750</v>
      </c>
      <c r="S113" t="str">
        <f>'1'!AC113</f>
        <v>008750</v>
      </c>
      <c r="AC113" s="39" t="s">
        <v>5381</v>
      </c>
      <c r="AD113" s="39" t="s">
        <v>5381</v>
      </c>
    </row>
    <row r="114" spans="1:30">
      <c r="A114" s="62" t="s">
        <v>5490</v>
      </c>
      <c r="B114" t="str">
        <f>'1'!P114</f>
        <v/>
      </c>
      <c r="C114" s="39" t="s">
        <v>5381</v>
      </c>
      <c r="D114" s="39" t="s">
        <v>5381</v>
      </c>
      <c r="I114" s="39" t="s">
        <v>5381</v>
      </c>
      <c r="J114" s="39" t="s">
        <v>5381</v>
      </c>
      <c r="R114" t="str">
        <f>'1'!AC114</f>
        <v>211998</v>
      </c>
      <c r="S114" t="str">
        <f>'1'!AC114</f>
        <v>211998</v>
      </c>
      <c r="AC114" s="39" t="s">
        <v>5381</v>
      </c>
      <c r="AD114" s="39" t="s">
        <v>5381</v>
      </c>
    </row>
    <row r="115" spans="1:30">
      <c r="A115" s="62" t="s">
        <v>5490</v>
      </c>
      <c r="B115" t="str">
        <f>'1'!P115</f>
        <v>211905</v>
      </c>
      <c r="C115" s="39" t="s">
        <v>5381</v>
      </c>
      <c r="D115" s="39" t="s">
        <v>5381</v>
      </c>
      <c r="I115" s="39" t="s">
        <v>5381</v>
      </c>
      <c r="J115" s="39" t="s">
        <v>5381</v>
      </c>
      <c r="R115" t="str">
        <f>'1'!AC115</f>
        <v>211062</v>
      </c>
      <c r="S115" t="str">
        <f>'1'!AC115</f>
        <v>211062</v>
      </c>
      <c r="AC115" s="39" t="s">
        <v>5381</v>
      </c>
      <c r="AD115" s="39" t="s">
        <v>5381</v>
      </c>
    </row>
    <row r="116" spans="1:30">
      <c r="A116" s="62" t="s">
        <v>5490</v>
      </c>
      <c r="B116" t="str">
        <f>'1'!P116</f>
        <v>211456</v>
      </c>
      <c r="C116" s="39" t="s">
        <v>5381</v>
      </c>
      <c r="D116" s="39" t="s">
        <v>5381</v>
      </c>
      <c r="I116" s="39" t="s">
        <v>5381</v>
      </c>
      <c r="J116" s="39" t="s">
        <v>5381</v>
      </c>
      <c r="R116" t="str">
        <f>'1'!AC116</f>
        <v>211756</v>
      </c>
      <c r="S116" t="str">
        <f>'1'!AC116</f>
        <v>211756</v>
      </c>
      <c r="AC116" s="39" t="s">
        <v>5381</v>
      </c>
      <c r="AD116" s="39" t="s">
        <v>5381</v>
      </c>
    </row>
    <row r="117" spans="1:30">
      <c r="A117" s="62" t="s">
        <v>5490</v>
      </c>
      <c r="B117" t="str">
        <f>'1'!P117</f>
        <v>210134</v>
      </c>
      <c r="C117" s="39" t="s">
        <v>5381</v>
      </c>
      <c r="D117" s="39" t="s">
        <v>5381</v>
      </c>
      <c r="I117" s="39" t="s">
        <v>5381</v>
      </c>
      <c r="J117" s="39" t="s">
        <v>5381</v>
      </c>
      <c r="R117" t="str">
        <f>'1'!AC117</f>
        <v/>
      </c>
      <c r="S117" t="str">
        <f>'1'!AC117</f>
        <v/>
      </c>
      <c r="AC117" s="39" t="s">
        <v>5381</v>
      </c>
      <c r="AD117" s="39" t="s">
        <v>5381</v>
      </c>
    </row>
    <row r="118" spans="1:30">
      <c r="A118" s="62" t="s">
        <v>5490</v>
      </c>
      <c r="B118" t="str">
        <f>'1'!P118</f>
        <v>212052</v>
      </c>
      <c r="C118" s="39" t="s">
        <v>5381</v>
      </c>
      <c r="D118" s="39" t="s">
        <v>5381</v>
      </c>
      <c r="I118" s="39" t="s">
        <v>5381</v>
      </c>
      <c r="J118" s="39" t="s">
        <v>5381</v>
      </c>
      <c r="R118" t="str">
        <f>'1'!AC118</f>
        <v/>
      </c>
      <c r="S118" t="str">
        <f>'1'!AC118</f>
        <v/>
      </c>
      <c r="AC118" s="39" t="s">
        <v>5381</v>
      </c>
      <c r="AD118" s="39" t="s">
        <v>5381</v>
      </c>
    </row>
    <row r="119" spans="1:30">
      <c r="A119" s="62" t="s">
        <v>5490</v>
      </c>
      <c r="B119" t="str">
        <f>'1'!P119</f>
        <v>212052</v>
      </c>
      <c r="C119" s="39" t="s">
        <v>5381</v>
      </c>
      <c r="D119" s="39" t="s">
        <v>5381</v>
      </c>
      <c r="I119" s="39" t="s">
        <v>5381</v>
      </c>
      <c r="J119" s="39" t="s">
        <v>5381</v>
      </c>
      <c r="R119" t="str">
        <f>'1'!AC119</f>
        <v/>
      </c>
      <c r="S119" t="str">
        <f>'1'!AC119</f>
        <v/>
      </c>
      <c r="AC119" s="39" t="s">
        <v>5381</v>
      </c>
      <c r="AD119" s="39" t="s">
        <v>5381</v>
      </c>
    </row>
    <row r="120" spans="1:30">
      <c r="A120" s="62" t="s">
        <v>5490</v>
      </c>
      <c r="B120" t="str">
        <f>'1'!P120</f>
        <v>212052</v>
      </c>
      <c r="C120" s="39" t="s">
        <v>5381</v>
      </c>
      <c r="D120" s="39" t="s">
        <v>5381</v>
      </c>
      <c r="I120" s="39" t="s">
        <v>5381</v>
      </c>
      <c r="J120" s="39" t="s">
        <v>5381</v>
      </c>
      <c r="R120" t="str">
        <f>'1'!AC120</f>
        <v>006769</v>
      </c>
      <c r="S120" t="str">
        <f>'1'!AC120</f>
        <v>006769</v>
      </c>
      <c r="AC120" s="39" t="s">
        <v>5381</v>
      </c>
      <c r="AD120" s="39" t="s">
        <v>5381</v>
      </c>
    </row>
    <row r="121" spans="1:30">
      <c r="A121" s="62" t="s">
        <v>5490</v>
      </c>
      <c r="B121" t="str">
        <f>'1'!P121</f>
        <v>212052</v>
      </c>
      <c r="C121" s="39" t="s">
        <v>5381</v>
      </c>
      <c r="D121" s="39" t="s">
        <v>5381</v>
      </c>
      <c r="I121" s="39" t="s">
        <v>5381</v>
      </c>
      <c r="J121" s="39" t="s">
        <v>5381</v>
      </c>
      <c r="R121" t="str">
        <f>'1'!AC121</f>
        <v/>
      </c>
      <c r="S121" t="str">
        <f>'1'!AC121</f>
        <v/>
      </c>
      <c r="AC121" s="39" t="s">
        <v>5381</v>
      </c>
      <c r="AD121" s="39" t="s">
        <v>5381</v>
      </c>
    </row>
    <row r="122" spans="1:30">
      <c r="A122" s="62" t="s">
        <v>5490</v>
      </c>
      <c r="B122" t="str">
        <f>'1'!P122</f>
        <v>209746</v>
      </c>
      <c r="C122" s="39" t="s">
        <v>5381</v>
      </c>
      <c r="D122" s="39" t="s">
        <v>5381</v>
      </c>
      <c r="I122" s="39" t="s">
        <v>5381</v>
      </c>
      <c r="J122" s="39" t="s">
        <v>5381</v>
      </c>
      <c r="R122" t="str">
        <f>'1'!AC122</f>
        <v>211131</v>
      </c>
      <c r="S122" t="str">
        <f>'1'!AC122</f>
        <v>211131</v>
      </c>
      <c r="AC122" s="39" t="s">
        <v>5381</v>
      </c>
      <c r="AD122" s="39" t="s">
        <v>5381</v>
      </c>
    </row>
    <row r="123" spans="1:30">
      <c r="A123" s="62" t="s">
        <v>5490</v>
      </c>
      <c r="B123" t="str">
        <f>'1'!P123</f>
        <v>209746</v>
      </c>
      <c r="C123" s="39" t="s">
        <v>5381</v>
      </c>
      <c r="D123" s="39" t="s">
        <v>5381</v>
      </c>
      <c r="I123" s="39" t="s">
        <v>5381</v>
      </c>
      <c r="J123" s="39" t="s">
        <v>5381</v>
      </c>
      <c r="R123" t="str">
        <f>'1'!AC123</f>
        <v>211131</v>
      </c>
      <c r="S123" t="str">
        <f>'1'!AC123</f>
        <v>211131</v>
      </c>
      <c r="AC123" s="39" t="s">
        <v>5381</v>
      </c>
      <c r="AD123" s="39" t="s">
        <v>5381</v>
      </c>
    </row>
    <row r="124" spans="1:30">
      <c r="A124" s="62" t="s">
        <v>5490</v>
      </c>
      <c r="B124" t="str">
        <f>'1'!P124</f>
        <v>209746</v>
      </c>
      <c r="C124" s="39" t="s">
        <v>5381</v>
      </c>
      <c r="D124" s="39" t="s">
        <v>5381</v>
      </c>
      <c r="I124" s="39" t="s">
        <v>5381</v>
      </c>
      <c r="J124" s="39" t="s">
        <v>5381</v>
      </c>
      <c r="R124" t="str">
        <f>'1'!AC124</f>
        <v/>
      </c>
      <c r="S124" t="str">
        <f>'1'!AC124</f>
        <v/>
      </c>
      <c r="AC124" s="39" t="s">
        <v>5381</v>
      </c>
      <c r="AD124" s="39" t="s">
        <v>5381</v>
      </c>
    </row>
    <row r="125" spans="1:30">
      <c r="A125" s="62" t="s">
        <v>5490</v>
      </c>
      <c r="B125" t="str">
        <f>'1'!P125</f>
        <v>007630</v>
      </c>
      <c r="C125" s="39" t="s">
        <v>5381</v>
      </c>
      <c r="D125" s="39" t="s">
        <v>5381</v>
      </c>
      <c r="I125" s="39" t="s">
        <v>5381</v>
      </c>
      <c r="J125" s="39" t="s">
        <v>5381</v>
      </c>
      <c r="R125" t="str">
        <f>'1'!AC125</f>
        <v>210892</v>
      </c>
      <c r="S125" t="str">
        <f>'1'!AC125</f>
        <v>210892</v>
      </c>
      <c r="AC125" s="39" t="s">
        <v>5381</v>
      </c>
      <c r="AD125" s="39" t="s">
        <v>5381</v>
      </c>
    </row>
    <row r="126" spans="1:30">
      <c r="A126" s="62" t="s">
        <v>5490</v>
      </c>
      <c r="B126" t="str">
        <f>'1'!P126</f>
        <v>213225</v>
      </c>
      <c r="C126" s="39" t="s">
        <v>5381</v>
      </c>
      <c r="D126" s="39" t="s">
        <v>5381</v>
      </c>
      <c r="I126" s="39" t="s">
        <v>5381</v>
      </c>
      <c r="J126" s="39" t="s">
        <v>5381</v>
      </c>
      <c r="R126" t="str">
        <f>'1'!AC126</f>
        <v>211131</v>
      </c>
      <c r="S126" t="str">
        <f>'1'!AC126</f>
        <v>211131</v>
      </c>
      <c r="AC126" s="39" t="s">
        <v>5381</v>
      </c>
      <c r="AD126" s="39" t="s">
        <v>5381</v>
      </c>
    </row>
    <row r="127" spans="1:30">
      <c r="A127" s="62" t="s">
        <v>5490</v>
      </c>
      <c r="B127" t="str">
        <f>'1'!P127</f>
        <v>212349</v>
      </c>
      <c r="C127" s="39" t="s">
        <v>5381</v>
      </c>
      <c r="D127" s="39" t="s">
        <v>5381</v>
      </c>
      <c r="I127" s="39" t="s">
        <v>5381</v>
      </c>
      <c r="J127" s="39" t="s">
        <v>5381</v>
      </c>
      <c r="R127" t="str">
        <f>'1'!AC127</f>
        <v>211756</v>
      </c>
      <c r="S127" t="str">
        <f>'1'!AC127</f>
        <v>211756</v>
      </c>
      <c r="AC127" s="39" t="s">
        <v>5381</v>
      </c>
      <c r="AD127" s="39" t="s">
        <v>5381</v>
      </c>
    </row>
    <row r="128" spans="1:30">
      <c r="A128" s="62" t="s">
        <v>5490</v>
      </c>
      <c r="B128" t="str">
        <f>'1'!P128</f>
        <v>212129</v>
      </c>
      <c r="C128" s="39" t="s">
        <v>5381</v>
      </c>
      <c r="D128" s="39" t="s">
        <v>5381</v>
      </c>
      <c r="I128" s="39" t="s">
        <v>5381</v>
      </c>
      <c r="J128" s="39" t="s">
        <v>5381</v>
      </c>
      <c r="R128" t="str">
        <f>'1'!AC128</f>
        <v>211766</v>
      </c>
      <c r="S128" t="str">
        <f>'1'!AC128</f>
        <v>211766</v>
      </c>
      <c r="AC128" s="39" t="s">
        <v>5381</v>
      </c>
      <c r="AD128" s="39" t="s">
        <v>5381</v>
      </c>
    </row>
    <row r="129" spans="1:30">
      <c r="A129" s="62" t="s">
        <v>5490</v>
      </c>
      <c r="B129" t="str">
        <f>'1'!P129</f>
        <v>663830</v>
      </c>
      <c r="C129" s="39" t="s">
        <v>5381</v>
      </c>
      <c r="D129" s="39" t="s">
        <v>5381</v>
      </c>
      <c r="I129" s="39" t="s">
        <v>5381</v>
      </c>
      <c r="J129" s="39" t="s">
        <v>5381</v>
      </c>
      <c r="R129" t="str">
        <f>'1'!AC129</f>
        <v>211756</v>
      </c>
      <c r="S129" t="str">
        <f>'1'!AC129</f>
        <v>211756</v>
      </c>
      <c r="AC129" s="39" t="s">
        <v>5381</v>
      </c>
      <c r="AD129" s="39" t="s">
        <v>5381</v>
      </c>
    </row>
    <row r="130" spans="1:30">
      <c r="A130" s="62" t="s">
        <v>5490</v>
      </c>
      <c r="B130" t="str">
        <f>'1'!P130</f>
        <v>212678</v>
      </c>
      <c r="C130" s="39" t="s">
        <v>5381</v>
      </c>
      <c r="D130" s="39" t="s">
        <v>5381</v>
      </c>
      <c r="I130" s="39" t="s">
        <v>5381</v>
      </c>
      <c r="J130" s="39" t="s">
        <v>5381</v>
      </c>
      <c r="R130" t="str">
        <f>'1'!AC130</f>
        <v>901934</v>
      </c>
      <c r="S130" t="str">
        <f>'1'!AC130</f>
        <v>901934</v>
      </c>
      <c r="AC130" s="39" t="s">
        <v>5381</v>
      </c>
      <c r="AD130" s="39" t="s">
        <v>5381</v>
      </c>
    </row>
    <row r="131" spans="1:30">
      <c r="A131" s="62" t="s">
        <v>5490</v>
      </c>
      <c r="B131" t="str">
        <f>'1'!P131</f>
        <v>209181</v>
      </c>
      <c r="C131" s="39" t="s">
        <v>5381</v>
      </c>
      <c r="D131" s="39" t="s">
        <v>5381</v>
      </c>
      <c r="I131" s="39" t="s">
        <v>5381</v>
      </c>
      <c r="J131" s="39" t="s">
        <v>5381</v>
      </c>
      <c r="R131" t="str">
        <f>'1'!AC131</f>
        <v/>
      </c>
      <c r="S131" t="str">
        <f>'1'!AC131</f>
        <v/>
      </c>
      <c r="AC131" s="39" t="s">
        <v>5381</v>
      </c>
      <c r="AD131" s="39" t="s">
        <v>5381</v>
      </c>
    </row>
    <row r="132" spans="1:30">
      <c r="A132" s="62" t="s">
        <v>5490</v>
      </c>
      <c r="B132" t="str">
        <f>'1'!P132</f>
        <v>209634</v>
      </c>
      <c r="C132" s="39" t="s">
        <v>5381</v>
      </c>
      <c r="D132" s="39" t="s">
        <v>5381</v>
      </c>
      <c r="I132" s="39" t="s">
        <v>5381</v>
      </c>
      <c r="J132" s="39" t="s">
        <v>5381</v>
      </c>
      <c r="R132" t="str">
        <f>'1'!AC132</f>
        <v>212699</v>
      </c>
      <c r="S132" t="str">
        <f>'1'!AC132</f>
        <v>212699</v>
      </c>
      <c r="AC132" s="39" t="s">
        <v>5381</v>
      </c>
      <c r="AD132" s="39" t="s">
        <v>5381</v>
      </c>
    </row>
    <row r="133" spans="1:30">
      <c r="A133" s="62" t="s">
        <v>5490</v>
      </c>
      <c r="B133" t="str">
        <f>'1'!P133</f>
        <v>212725</v>
      </c>
      <c r="C133" s="39" t="s">
        <v>5381</v>
      </c>
      <c r="D133" s="39" t="s">
        <v>5381</v>
      </c>
      <c r="I133" s="39" t="s">
        <v>5381</v>
      </c>
      <c r="J133" s="39" t="s">
        <v>5381</v>
      </c>
      <c r="R133" t="str">
        <f>'1'!AC133</f>
        <v>213037</v>
      </c>
      <c r="S133" t="str">
        <f>'1'!AC133</f>
        <v>213037</v>
      </c>
      <c r="AC133" s="39" t="s">
        <v>5381</v>
      </c>
      <c r="AD133" s="39" t="s">
        <v>5381</v>
      </c>
    </row>
    <row r="134" spans="1:30">
      <c r="A134" s="62" t="s">
        <v>5490</v>
      </c>
      <c r="B134" t="str">
        <f>'1'!P134</f>
        <v>212119</v>
      </c>
      <c r="C134" s="39" t="s">
        <v>5381</v>
      </c>
      <c r="D134" s="39" t="s">
        <v>5381</v>
      </c>
      <c r="I134" s="39" t="s">
        <v>5381</v>
      </c>
      <c r="J134" s="39" t="s">
        <v>5381</v>
      </c>
      <c r="R134" t="str">
        <f>'1'!AC134</f>
        <v>212699</v>
      </c>
      <c r="S134" t="str">
        <f>'1'!AC134</f>
        <v>212699</v>
      </c>
      <c r="AC134" s="39" t="s">
        <v>5381</v>
      </c>
      <c r="AD134" s="39" t="s">
        <v>5381</v>
      </c>
    </row>
    <row r="135" spans="1:30">
      <c r="A135" s="62" t="s">
        <v>5490</v>
      </c>
      <c r="B135" t="str">
        <f>'1'!P135</f>
        <v>902690</v>
      </c>
      <c r="C135" s="39" t="s">
        <v>5381</v>
      </c>
      <c r="D135" s="39" t="s">
        <v>5381</v>
      </c>
      <c r="I135" s="39" t="s">
        <v>5381</v>
      </c>
      <c r="J135" s="39" t="s">
        <v>5381</v>
      </c>
      <c r="R135" t="str">
        <f>'1'!AC135</f>
        <v>211131</v>
      </c>
      <c r="S135" t="str">
        <f>'1'!AC135</f>
        <v>211131</v>
      </c>
      <c r="AC135" s="39" t="s">
        <v>5381</v>
      </c>
      <c r="AD135" s="39" t="s">
        <v>5381</v>
      </c>
    </row>
    <row r="136" spans="1:30">
      <c r="A136" s="62" t="s">
        <v>5490</v>
      </c>
      <c r="B136" t="str">
        <f>'1'!P136</f>
        <v>201903</v>
      </c>
      <c r="C136" s="39" t="s">
        <v>5381</v>
      </c>
      <c r="D136" s="39" t="s">
        <v>5381</v>
      </c>
      <c r="I136" s="39" t="s">
        <v>5381</v>
      </c>
      <c r="J136" s="39" t="s">
        <v>5381</v>
      </c>
      <c r="R136" t="str">
        <f>'1'!AC136</f>
        <v>212699</v>
      </c>
      <c r="S136" t="str">
        <f>'1'!AC136</f>
        <v>212699</v>
      </c>
      <c r="AC136" s="39" t="s">
        <v>5381</v>
      </c>
      <c r="AD136" s="39" t="s">
        <v>5381</v>
      </c>
    </row>
    <row r="137" spans="1:30">
      <c r="A137" s="62" t="s">
        <v>5490</v>
      </c>
      <c r="B137" t="str">
        <f>'1'!P137</f>
        <v>006820</v>
      </c>
      <c r="C137" s="39" t="s">
        <v>5381</v>
      </c>
      <c r="D137" s="39" t="s">
        <v>5381</v>
      </c>
      <c r="I137" s="39" t="s">
        <v>5381</v>
      </c>
      <c r="J137" s="39" t="s">
        <v>5381</v>
      </c>
      <c r="R137" t="str">
        <f>'1'!AC137</f>
        <v>211062</v>
      </c>
      <c r="S137" t="str">
        <f>'1'!AC137</f>
        <v>211062</v>
      </c>
      <c r="AC137" s="39" t="s">
        <v>5381</v>
      </c>
      <c r="AD137" s="39" t="s">
        <v>5381</v>
      </c>
    </row>
    <row r="138" spans="1:30">
      <c r="A138" s="62" t="s">
        <v>5490</v>
      </c>
      <c r="B138" t="str">
        <f>'1'!P138</f>
        <v>900851</v>
      </c>
      <c r="C138" s="39" t="s">
        <v>5381</v>
      </c>
      <c r="D138" s="39" t="s">
        <v>5381</v>
      </c>
      <c r="I138" s="39" t="s">
        <v>5381</v>
      </c>
      <c r="J138" s="39" t="s">
        <v>5381</v>
      </c>
      <c r="R138" t="str">
        <f>'1'!AC138</f>
        <v>211736</v>
      </c>
      <c r="S138" t="str">
        <f>'1'!AC138</f>
        <v>211736</v>
      </c>
      <c r="AC138" s="39" t="s">
        <v>5381</v>
      </c>
      <c r="AD138" s="39" t="s">
        <v>5381</v>
      </c>
    </row>
    <row r="139" spans="1:30">
      <c r="A139" s="62" t="s">
        <v>5490</v>
      </c>
      <c r="B139" t="str">
        <f>'1'!P139</f>
        <v>212478</v>
      </c>
      <c r="C139" s="39" t="s">
        <v>5381</v>
      </c>
      <c r="D139" s="39" t="s">
        <v>5381</v>
      </c>
      <c r="I139" s="39" t="s">
        <v>5381</v>
      </c>
      <c r="J139" s="39" t="s">
        <v>5381</v>
      </c>
      <c r="R139" t="str">
        <f>'1'!AC139</f>
        <v>207588</v>
      </c>
      <c r="S139" t="str">
        <f>'1'!AC139</f>
        <v>207588</v>
      </c>
      <c r="AC139" s="39" t="s">
        <v>5381</v>
      </c>
      <c r="AD139" s="39" t="s">
        <v>5381</v>
      </c>
    </row>
    <row r="140" spans="1:30">
      <c r="A140" s="62" t="s">
        <v>5490</v>
      </c>
      <c r="B140" t="str">
        <f>'1'!P140</f>
        <v>210402</v>
      </c>
      <c r="C140" s="39" t="s">
        <v>5381</v>
      </c>
      <c r="D140" s="39" t="s">
        <v>5381</v>
      </c>
      <c r="I140" s="39" t="s">
        <v>5381</v>
      </c>
      <c r="J140" s="39" t="s">
        <v>5381</v>
      </c>
      <c r="R140" t="str">
        <f>'1'!AC140</f>
        <v>901934</v>
      </c>
      <c r="S140" t="str">
        <f>'1'!AC140</f>
        <v>901934</v>
      </c>
      <c r="AC140" s="39" t="s">
        <v>5381</v>
      </c>
      <c r="AD140" s="39" t="s">
        <v>5381</v>
      </c>
    </row>
    <row r="141" spans="1:30">
      <c r="A141" s="62" t="s">
        <v>5490</v>
      </c>
      <c r="B141" t="str">
        <f>'1'!P141</f>
        <v>211531</v>
      </c>
      <c r="C141" s="39" t="s">
        <v>5381</v>
      </c>
      <c r="D141" s="39" t="s">
        <v>5381</v>
      </c>
      <c r="I141" s="39" t="s">
        <v>5381</v>
      </c>
      <c r="J141" s="39" t="s">
        <v>5381</v>
      </c>
      <c r="R141" t="str">
        <f>'1'!AC141</f>
        <v>211736</v>
      </c>
      <c r="S141" t="str">
        <f>'1'!AC141</f>
        <v>211736</v>
      </c>
      <c r="AC141" s="39" t="s">
        <v>5381</v>
      </c>
      <c r="AD141" s="39" t="s">
        <v>5381</v>
      </c>
    </row>
    <row r="142" spans="1:30">
      <c r="A142" s="62" t="s">
        <v>5490</v>
      </c>
      <c r="B142" t="str">
        <f>'1'!P142</f>
        <v>201895</v>
      </c>
      <c r="C142" s="39" t="s">
        <v>5381</v>
      </c>
      <c r="D142" s="39" t="s">
        <v>5381</v>
      </c>
      <c r="I142" s="39" t="s">
        <v>5381</v>
      </c>
      <c r="J142" s="39" t="s">
        <v>5381</v>
      </c>
      <c r="R142" t="str">
        <f>'1'!AC142</f>
        <v>212699</v>
      </c>
      <c r="S142" t="str">
        <f>'1'!AC142</f>
        <v>212699</v>
      </c>
      <c r="AC142" s="39" t="s">
        <v>5381</v>
      </c>
      <c r="AD142" s="39" t="s">
        <v>5381</v>
      </c>
    </row>
    <row r="143" spans="1:30">
      <c r="A143" s="62" t="s">
        <v>5490</v>
      </c>
      <c r="B143" t="str">
        <f>'1'!P143</f>
        <v>206738</v>
      </c>
      <c r="C143" s="39" t="s">
        <v>5381</v>
      </c>
      <c r="D143" s="39" t="s">
        <v>5381</v>
      </c>
      <c r="I143" s="39" t="s">
        <v>5381</v>
      </c>
      <c r="J143" s="39" t="s">
        <v>5381</v>
      </c>
      <c r="R143" t="str">
        <f>'1'!AC143</f>
        <v>213037</v>
      </c>
      <c r="S143" t="str">
        <f>'1'!AC143</f>
        <v>213037</v>
      </c>
      <c r="AC143" s="39" t="s">
        <v>5381</v>
      </c>
      <c r="AD143" s="39" t="s">
        <v>5381</v>
      </c>
    </row>
    <row r="144" spans="1:30">
      <c r="A144" s="62" t="s">
        <v>5490</v>
      </c>
      <c r="B144" t="str">
        <f>'1'!P144</f>
        <v>210018</v>
      </c>
      <c r="C144" s="39" t="s">
        <v>5381</v>
      </c>
      <c r="D144" s="39" t="s">
        <v>5381</v>
      </c>
      <c r="I144" s="39" t="s">
        <v>5381</v>
      </c>
      <c r="J144" s="39" t="s">
        <v>5381</v>
      </c>
      <c r="R144" t="str">
        <f>'1'!AC144</f>
        <v>207588</v>
      </c>
      <c r="S144" t="str">
        <f>'1'!AC144</f>
        <v>207588</v>
      </c>
      <c r="AC144" s="39" t="s">
        <v>5381</v>
      </c>
      <c r="AD144" s="39" t="s">
        <v>5381</v>
      </c>
    </row>
    <row r="145" spans="1:30">
      <c r="A145" s="62" t="s">
        <v>5490</v>
      </c>
      <c r="B145" t="str">
        <f>'1'!P145</f>
        <v>211131</v>
      </c>
      <c r="C145" s="39" t="s">
        <v>5381</v>
      </c>
      <c r="D145" s="39" t="s">
        <v>5381</v>
      </c>
      <c r="I145" s="39" t="s">
        <v>5381</v>
      </c>
      <c r="J145" s="39" t="s">
        <v>5381</v>
      </c>
      <c r="R145" t="str">
        <f>'1'!AC145</f>
        <v/>
      </c>
      <c r="S145" t="str">
        <f>'1'!AC145</f>
        <v/>
      </c>
      <c r="AC145" s="39" t="s">
        <v>5381</v>
      </c>
      <c r="AD145" s="39" t="s">
        <v>5381</v>
      </c>
    </row>
    <row r="146" spans="1:30">
      <c r="A146" s="62" t="s">
        <v>5490</v>
      </c>
      <c r="B146" t="str">
        <f>'1'!P146</f>
        <v>211131</v>
      </c>
      <c r="C146" s="39" t="s">
        <v>5381</v>
      </c>
      <c r="D146" s="39" t="s">
        <v>5381</v>
      </c>
      <c r="I146" s="39" t="s">
        <v>5381</v>
      </c>
      <c r="J146" s="39" t="s">
        <v>5381</v>
      </c>
      <c r="R146" t="str">
        <f>'1'!AC146</f>
        <v>211766</v>
      </c>
      <c r="S146" t="str">
        <f>'1'!AC146</f>
        <v>211766</v>
      </c>
      <c r="AC146" s="39" t="s">
        <v>5381</v>
      </c>
      <c r="AD146" s="39" t="s">
        <v>5381</v>
      </c>
    </row>
    <row r="147" spans="1:30">
      <c r="A147" s="62" t="s">
        <v>5490</v>
      </c>
      <c r="B147" t="str">
        <f>'1'!P147</f>
        <v>210035</v>
      </c>
      <c r="C147" s="39" t="s">
        <v>5381</v>
      </c>
      <c r="D147" s="39" t="s">
        <v>5381</v>
      </c>
      <c r="I147" s="39" t="s">
        <v>5381</v>
      </c>
      <c r="J147" s="39" t="s">
        <v>5381</v>
      </c>
      <c r="R147" t="str">
        <f>'1'!AC147</f>
        <v>211736</v>
      </c>
      <c r="S147" t="str">
        <f>'1'!AC147</f>
        <v>211736</v>
      </c>
      <c r="AC147" s="39" t="s">
        <v>5381</v>
      </c>
      <c r="AD147" s="39" t="s">
        <v>5381</v>
      </c>
    </row>
    <row r="148" spans="1:30">
      <c r="A148" s="62" t="s">
        <v>5490</v>
      </c>
      <c r="B148" t="str">
        <f>'1'!P148</f>
        <v>212074</v>
      </c>
      <c r="C148" s="39" t="s">
        <v>5381</v>
      </c>
      <c r="D148" s="39" t="s">
        <v>5381</v>
      </c>
      <c r="I148" s="39" t="s">
        <v>5381</v>
      </c>
      <c r="J148" s="39" t="s">
        <v>5381</v>
      </c>
      <c r="R148" t="str">
        <f>'1'!AC148</f>
        <v>211756</v>
      </c>
      <c r="S148" t="str">
        <f>'1'!AC148</f>
        <v>211756</v>
      </c>
      <c r="AC148" s="39" t="s">
        <v>5381</v>
      </c>
      <c r="AD148" s="39" t="s">
        <v>5381</v>
      </c>
    </row>
    <row r="149" spans="1:30">
      <c r="A149" s="62" t="s">
        <v>5490</v>
      </c>
      <c r="B149" t="str">
        <f>'1'!P149</f>
        <v>210727</v>
      </c>
      <c r="C149" s="39" t="s">
        <v>5381</v>
      </c>
      <c r="D149" s="39" t="s">
        <v>5381</v>
      </c>
      <c r="I149" s="39" t="s">
        <v>5381</v>
      </c>
      <c r="J149" s="39" t="s">
        <v>5381</v>
      </c>
      <c r="R149" t="str">
        <f>'1'!AC149</f>
        <v>211736</v>
      </c>
      <c r="S149" t="str">
        <f>'1'!AC149</f>
        <v>211736</v>
      </c>
      <c r="AC149" s="39" t="s">
        <v>5381</v>
      </c>
      <c r="AD149" s="39" t="s">
        <v>5381</v>
      </c>
    </row>
    <row r="150" spans="1:30">
      <c r="A150" s="62" t="s">
        <v>5490</v>
      </c>
      <c r="B150" t="str">
        <f>'1'!P150</f>
        <v/>
      </c>
      <c r="C150" s="39" t="s">
        <v>5381</v>
      </c>
      <c r="D150" s="39" t="s">
        <v>5381</v>
      </c>
      <c r="I150" s="39" t="s">
        <v>5381</v>
      </c>
      <c r="J150" s="39" t="s">
        <v>5381</v>
      </c>
      <c r="R150" t="str">
        <f>'1'!AC150</f>
        <v/>
      </c>
      <c r="S150" t="str">
        <f>'1'!AC150</f>
        <v/>
      </c>
      <c r="AC150" s="39" t="s">
        <v>5381</v>
      </c>
      <c r="AD150" s="39" t="s">
        <v>5381</v>
      </c>
    </row>
    <row r="151" spans="1:30">
      <c r="A151" s="62" t="s">
        <v>5490</v>
      </c>
      <c r="B151" t="str">
        <f>'1'!P151</f>
        <v>212338</v>
      </c>
      <c r="C151" s="39" t="s">
        <v>5381</v>
      </c>
      <c r="D151" s="39" t="s">
        <v>5381</v>
      </c>
      <c r="I151" s="39" t="s">
        <v>5381</v>
      </c>
      <c r="J151" s="39" t="s">
        <v>5381</v>
      </c>
      <c r="R151" t="str">
        <f>'1'!AC151</f>
        <v>211998</v>
      </c>
      <c r="S151" t="str">
        <f>'1'!AC151</f>
        <v>211998</v>
      </c>
      <c r="AC151" s="39" t="s">
        <v>5381</v>
      </c>
      <c r="AD151" s="39" t="s">
        <v>5381</v>
      </c>
    </row>
    <row r="152" spans="1:30">
      <c r="A152" s="62" t="s">
        <v>5490</v>
      </c>
      <c r="B152" t="str">
        <f>'1'!P152</f>
        <v>207588</v>
      </c>
      <c r="C152" s="39" t="s">
        <v>5381</v>
      </c>
      <c r="D152" s="39" t="s">
        <v>5381</v>
      </c>
      <c r="I152" s="39" t="s">
        <v>5381</v>
      </c>
      <c r="J152" s="39" t="s">
        <v>5381</v>
      </c>
      <c r="R152" t="str">
        <f>'1'!AC152</f>
        <v>207709</v>
      </c>
      <c r="S152" t="str">
        <f>'1'!AC152</f>
        <v>207709</v>
      </c>
      <c r="AC152" s="39" t="s">
        <v>5381</v>
      </c>
      <c r="AD152" s="39" t="s">
        <v>5381</v>
      </c>
    </row>
    <row r="153" spans="1:30">
      <c r="A153" s="62" t="s">
        <v>5490</v>
      </c>
      <c r="B153" t="str">
        <f>'1'!P153</f>
        <v>207487</v>
      </c>
      <c r="C153" s="39" t="s">
        <v>5381</v>
      </c>
      <c r="D153" s="39" t="s">
        <v>5381</v>
      </c>
      <c r="I153" s="39" t="s">
        <v>5381</v>
      </c>
      <c r="J153" s="39" t="s">
        <v>5381</v>
      </c>
      <c r="R153" t="str">
        <f>'1'!AC153</f>
        <v>211464</v>
      </c>
      <c r="S153" t="str">
        <f>'1'!AC153</f>
        <v>211464</v>
      </c>
      <c r="AC153" s="39" t="s">
        <v>5381</v>
      </c>
      <c r="AD153" s="39" t="s">
        <v>5381</v>
      </c>
    </row>
    <row r="154" spans="1:30">
      <c r="A154" s="62" t="s">
        <v>5490</v>
      </c>
      <c r="B154" t="str">
        <f>'1'!P154</f>
        <v/>
      </c>
      <c r="C154" s="39" t="s">
        <v>5381</v>
      </c>
      <c r="D154" s="39" t="s">
        <v>5381</v>
      </c>
      <c r="I154" s="39" t="s">
        <v>5381</v>
      </c>
      <c r="J154" s="39" t="s">
        <v>5381</v>
      </c>
      <c r="R154" t="str">
        <f>'1'!AC154</f>
        <v>207487</v>
      </c>
      <c r="S154" t="str">
        <f>'1'!AC154</f>
        <v>207487</v>
      </c>
      <c r="AC154" s="39" t="s">
        <v>5381</v>
      </c>
      <c r="AD154" s="39" t="s">
        <v>5381</v>
      </c>
    </row>
    <row r="155" spans="1:30">
      <c r="A155" s="62" t="s">
        <v>5490</v>
      </c>
      <c r="B155" t="str">
        <f>'1'!P155</f>
        <v>007647</v>
      </c>
      <c r="C155" s="39" t="s">
        <v>5381</v>
      </c>
      <c r="D155" s="39" t="s">
        <v>5381</v>
      </c>
      <c r="I155" s="39" t="s">
        <v>5381</v>
      </c>
      <c r="J155" s="39" t="s">
        <v>5381</v>
      </c>
      <c r="R155" t="str">
        <f>'1'!AC155</f>
        <v>008750</v>
      </c>
      <c r="S155" t="str">
        <f>'1'!AC155</f>
        <v>008750</v>
      </c>
      <c r="AC155" s="39" t="s">
        <v>5381</v>
      </c>
      <c r="AD155" s="39" t="s">
        <v>5381</v>
      </c>
    </row>
    <row r="156" spans="1:30">
      <c r="A156" s="62" t="s">
        <v>5490</v>
      </c>
      <c r="B156" t="str">
        <f>'1'!P156</f>
        <v>004374</v>
      </c>
      <c r="C156" s="39" t="s">
        <v>5381</v>
      </c>
      <c r="D156" s="39" t="s">
        <v>5381</v>
      </c>
      <c r="I156" s="39" t="s">
        <v>5381</v>
      </c>
      <c r="J156" s="39" t="s">
        <v>5381</v>
      </c>
      <c r="R156" t="str">
        <f>'1'!AC156</f>
        <v>211062</v>
      </c>
      <c r="S156" t="str">
        <f>'1'!AC156</f>
        <v>211062</v>
      </c>
      <c r="AC156" s="39" t="s">
        <v>5381</v>
      </c>
      <c r="AD156" s="39" t="s">
        <v>5381</v>
      </c>
    </row>
    <row r="157" spans="1:30">
      <c r="A157" s="62" t="s">
        <v>5490</v>
      </c>
      <c r="B157" t="str">
        <f>'1'!P157</f>
        <v>213091</v>
      </c>
      <c r="C157" s="39" t="s">
        <v>5381</v>
      </c>
      <c r="D157" s="39" t="s">
        <v>5381</v>
      </c>
      <c r="I157" s="39" t="s">
        <v>5381</v>
      </c>
      <c r="J157" s="39" t="s">
        <v>5381</v>
      </c>
      <c r="R157" t="str">
        <f>'1'!AC157</f>
        <v>207487</v>
      </c>
      <c r="S157" t="str">
        <f>'1'!AC157</f>
        <v>207487</v>
      </c>
      <c r="AC157" s="39" t="s">
        <v>5381</v>
      </c>
      <c r="AD157" s="39" t="s">
        <v>5381</v>
      </c>
    </row>
    <row r="158" spans="1:30">
      <c r="A158" s="62" t="s">
        <v>5490</v>
      </c>
      <c r="B158" t="str">
        <f>'1'!P158</f>
        <v>900439</v>
      </c>
      <c r="C158" s="39" t="s">
        <v>5381</v>
      </c>
      <c r="D158" s="39" t="s">
        <v>5381</v>
      </c>
      <c r="I158" s="39" t="s">
        <v>5381</v>
      </c>
      <c r="J158" s="39" t="s">
        <v>5381</v>
      </c>
      <c r="R158" t="str">
        <f>'1'!AC158</f>
        <v>213037</v>
      </c>
      <c r="S158" t="str">
        <f>'1'!AC158</f>
        <v>213037</v>
      </c>
      <c r="AC158" s="39" t="s">
        <v>5381</v>
      </c>
      <c r="AD158" s="39" t="s">
        <v>5381</v>
      </c>
    </row>
    <row r="159" spans="1:30">
      <c r="A159" s="62" t="s">
        <v>5490</v>
      </c>
      <c r="B159" t="str">
        <f>'1'!P159</f>
        <v>210127</v>
      </c>
      <c r="C159" s="39" t="s">
        <v>5381</v>
      </c>
      <c r="D159" s="39" t="s">
        <v>5381</v>
      </c>
      <c r="I159" s="39" t="s">
        <v>5381</v>
      </c>
      <c r="J159" s="39" t="s">
        <v>5381</v>
      </c>
      <c r="R159" t="str">
        <f>'1'!AC159</f>
        <v>211736</v>
      </c>
      <c r="S159" t="str">
        <f>'1'!AC159</f>
        <v>211736</v>
      </c>
      <c r="AC159" s="39" t="s">
        <v>5381</v>
      </c>
      <c r="AD159" s="39" t="s">
        <v>5381</v>
      </c>
    </row>
    <row r="160" spans="1:30">
      <c r="A160" s="62" t="s">
        <v>5490</v>
      </c>
      <c r="B160" t="str">
        <f>'1'!P160</f>
        <v>212421</v>
      </c>
      <c r="C160" s="39" t="s">
        <v>5381</v>
      </c>
      <c r="D160" s="39" t="s">
        <v>5381</v>
      </c>
      <c r="I160" s="39" t="s">
        <v>5381</v>
      </c>
      <c r="J160" s="39" t="s">
        <v>5381</v>
      </c>
      <c r="R160" t="str">
        <f>'1'!AC160</f>
        <v/>
      </c>
      <c r="S160" t="str">
        <f>'1'!AC160</f>
        <v/>
      </c>
      <c r="AC160" s="39" t="s">
        <v>5381</v>
      </c>
      <c r="AD160" s="39" t="s">
        <v>5381</v>
      </c>
    </row>
    <row r="161" spans="1:30">
      <c r="A161" s="62" t="s">
        <v>5490</v>
      </c>
      <c r="B161" t="str">
        <f>'1'!P161</f>
        <v/>
      </c>
      <c r="C161" s="39" t="s">
        <v>5381</v>
      </c>
      <c r="D161" s="39" t="s">
        <v>5381</v>
      </c>
      <c r="I161" s="39" t="s">
        <v>5381</v>
      </c>
      <c r="J161" s="39" t="s">
        <v>5381</v>
      </c>
      <c r="R161" t="str">
        <f>'1'!AC161</f>
        <v>211756</v>
      </c>
      <c r="S161" t="str">
        <f>'1'!AC161</f>
        <v>211756</v>
      </c>
      <c r="AC161" s="39" t="s">
        <v>5381</v>
      </c>
      <c r="AD161" s="39" t="s">
        <v>5381</v>
      </c>
    </row>
    <row r="162" spans="1:30">
      <c r="A162" s="62" t="s">
        <v>5490</v>
      </c>
      <c r="B162" t="str">
        <f>'1'!P162</f>
        <v>207466</v>
      </c>
      <c r="C162" s="39" t="s">
        <v>5381</v>
      </c>
      <c r="D162" s="39" t="s">
        <v>5381</v>
      </c>
      <c r="I162" s="39" t="s">
        <v>5381</v>
      </c>
      <c r="J162" s="39" t="s">
        <v>5381</v>
      </c>
      <c r="R162" t="str">
        <f>'1'!AC162</f>
        <v>211756</v>
      </c>
      <c r="S162" t="str">
        <f>'1'!AC162</f>
        <v>211756</v>
      </c>
      <c r="AC162" s="39" t="s">
        <v>5381</v>
      </c>
      <c r="AD162" s="39" t="s">
        <v>5381</v>
      </c>
    </row>
    <row r="163" spans="1:30">
      <c r="A163" s="62" t="s">
        <v>5490</v>
      </c>
      <c r="B163" t="str">
        <f>'1'!P163</f>
        <v>210281</v>
      </c>
      <c r="C163" s="39" t="s">
        <v>5381</v>
      </c>
      <c r="D163" s="39" t="s">
        <v>5381</v>
      </c>
      <c r="I163" s="39" t="s">
        <v>5381</v>
      </c>
      <c r="J163" s="39" t="s">
        <v>5381</v>
      </c>
      <c r="R163" t="str">
        <f>'1'!AC163</f>
        <v>211736</v>
      </c>
      <c r="S163" t="str">
        <f>'1'!AC163</f>
        <v>211736</v>
      </c>
      <c r="AC163" s="39" t="s">
        <v>5381</v>
      </c>
      <c r="AD163" s="39" t="s">
        <v>5381</v>
      </c>
    </row>
    <row r="164" spans="1:30">
      <c r="A164" s="62" t="s">
        <v>5490</v>
      </c>
      <c r="B164" t="str">
        <f>'1'!P164</f>
        <v>211062</v>
      </c>
      <c r="C164" s="39" t="s">
        <v>5381</v>
      </c>
      <c r="D164" s="39" t="s">
        <v>5381</v>
      </c>
      <c r="I164" s="39" t="s">
        <v>5381</v>
      </c>
      <c r="J164" s="39" t="s">
        <v>5381</v>
      </c>
      <c r="R164" t="str">
        <f>'1'!AC164</f>
        <v>006780</v>
      </c>
      <c r="S164" t="str">
        <f>'1'!AC164</f>
        <v>006780</v>
      </c>
      <c r="AC164" s="39" t="s">
        <v>5381</v>
      </c>
      <c r="AD164" s="39" t="s">
        <v>5381</v>
      </c>
    </row>
    <row r="165" spans="1:30">
      <c r="A165" s="62" t="s">
        <v>5490</v>
      </c>
      <c r="B165" t="str">
        <f>'1'!P165</f>
        <v>212191</v>
      </c>
      <c r="C165" s="39" t="s">
        <v>5381</v>
      </c>
      <c r="D165" s="39" t="s">
        <v>5381</v>
      </c>
      <c r="I165" s="39" t="s">
        <v>5381</v>
      </c>
      <c r="J165" s="39" t="s">
        <v>5381</v>
      </c>
      <c r="R165" t="str">
        <f>'1'!AC165</f>
        <v>211601</v>
      </c>
      <c r="S165" t="str">
        <f>'1'!AC165</f>
        <v>211601</v>
      </c>
      <c r="AC165" s="39" t="s">
        <v>5381</v>
      </c>
      <c r="AD165" s="39" t="s">
        <v>5381</v>
      </c>
    </row>
    <row r="166" spans="1:30">
      <c r="A166" s="62" t="s">
        <v>5490</v>
      </c>
      <c r="B166" t="str">
        <f>'1'!P166</f>
        <v>212191</v>
      </c>
      <c r="C166" s="39" t="s">
        <v>5381</v>
      </c>
      <c r="D166" s="39" t="s">
        <v>5381</v>
      </c>
      <c r="I166" s="39" t="s">
        <v>5381</v>
      </c>
      <c r="J166" s="39" t="s">
        <v>5381</v>
      </c>
      <c r="R166" t="str">
        <f>'1'!AC166</f>
        <v>213037</v>
      </c>
      <c r="S166" t="str">
        <f>'1'!AC166</f>
        <v>213037</v>
      </c>
      <c r="AC166" s="39" t="s">
        <v>5381</v>
      </c>
      <c r="AD166" s="39" t="s">
        <v>5381</v>
      </c>
    </row>
    <row r="167" spans="1:30">
      <c r="A167" s="62" t="s">
        <v>5490</v>
      </c>
      <c r="B167" t="str">
        <f>'1'!P167</f>
        <v>004382</v>
      </c>
      <c r="C167" s="39" t="s">
        <v>5381</v>
      </c>
      <c r="D167" s="39" t="s">
        <v>5381</v>
      </c>
      <c r="I167" s="39" t="s">
        <v>5381</v>
      </c>
      <c r="J167" s="39" t="s">
        <v>5381</v>
      </c>
      <c r="R167" t="str">
        <f>'1'!AC167</f>
        <v>211062</v>
      </c>
      <c r="S167" t="str">
        <f>'1'!AC167</f>
        <v>211062</v>
      </c>
      <c r="AC167" s="39" t="s">
        <v>5381</v>
      </c>
      <c r="AD167" s="39" t="s">
        <v>5381</v>
      </c>
    </row>
    <row r="168" spans="1:30">
      <c r="A168" s="62" t="s">
        <v>5490</v>
      </c>
      <c r="B168" t="str">
        <f>'1'!P168</f>
        <v>210103</v>
      </c>
      <c r="C168" s="39" t="s">
        <v>5381</v>
      </c>
      <c r="D168" s="39" t="s">
        <v>5381</v>
      </c>
      <c r="I168" s="39" t="s">
        <v>5381</v>
      </c>
      <c r="J168" s="39" t="s">
        <v>5381</v>
      </c>
      <c r="R168" t="str">
        <f>'1'!AC168</f>
        <v>212699</v>
      </c>
      <c r="S168" t="str">
        <f>'1'!AC168</f>
        <v>212699</v>
      </c>
      <c r="AC168" s="39" t="s">
        <v>5381</v>
      </c>
      <c r="AD168" s="39" t="s">
        <v>5381</v>
      </c>
    </row>
    <row r="169" spans="1:30">
      <c r="A169" s="62" t="s">
        <v>5490</v>
      </c>
      <c r="B169" t="str">
        <f>'1'!P169</f>
        <v>212146</v>
      </c>
      <c r="C169" s="39" t="s">
        <v>5381</v>
      </c>
      <c r="D169" s="39" t="s">
        <v>5381</v>
      </c>
      <c r="I169" s="39" t="s">
        <v>5381</v>
      </c>
      <c r="J169" s="39" t="s">
        <v>5381</v>
      </c>
      <c r="R169" t="str">
        <f>'1'!AC169</f>
        <v>008750</v>
      </c>
      <c r="S169" t="str">
        <f>'1'!AC169</f>
        <v>008750</v>
      </c>
      <c r="AC169" s="39" t="s">
        <v>5381</v>
      </c>
      <c r="AD169" s="39" t="s">
        <v>5381</v>
      </c>
    </row>
    <row r="170" spans="1:30">
      <c r="A170" s="62" t="s">
        <v>5490</v>
      </c>
      <c r="B170" t="str">
        <f>'1'!P170</f>
        <v>213227</v>
      </c>
      <c r="C170" s="39" t="s">
        <v>5381</v>
      </c>
      <c r="D170" s="39" t="s">
        <v>5381</v>
      </c>
      <c r="I170" s="39" t="s">
        <v>5381</v>
      </c>
      <c r="J170" s="39" t="s">
        <v>5381</v>
      </c>
      <c r="R170" t="str">
        <f>'1'!AC170</f>
        <v>210910</v>
      </c>
      <c r="S170" t="str">
        <f>'1'!AC170</f>
        <v>210910</v>
      </c>
      <c r="AC170" s="39" t="s">
        <v>5381</v>
      </c>
      <c r="AD170" s="39" t="s">
        <v>5381</v>
      </c>
    </row>
    <row r="171" spans="1:30">
      <c r="A171" s="62" t="s">
        <v>5490</v>
      </c>
      <c r="B171" t="str">
        <f>'1'!P171</f>
        <v>213227</v>
      </c>
      <c r="C171" s="39" t="s">
        <v>5381</v>
      </c>
      <c r="D171" s="39" t="s">
        <v>5381</v>
      </c>
      <c r="I171" s="39" t="s">
        <v>5381</v>
      </c>
      <c r="J171" s="39" t="s">
        <v>5381</v>
      </c>
      <c r="R171" t="str">
        <f>'1'!AC171</f>
        <v/>
      </c>
      <c r="S171" t="str">
        <f>'1'!AC171</f>
        <v/>
      </c>
      <c r="AC171" s="39" t="s">
        <v>5381</v>
      </c>
      <c r="AD171" s="39" t="s">
        <v>5381</v>
      </c>
    </row>
    <row r="172" spans="1:30">
      <c r="A172" s="62" t="s">
        <v>5490</v>
      </c>
      <c r="B172" t="str">
        <f>'1'!P172</f>
        <v>213227</v>
      </c>
      <c r="C172" s="39" t="s">
        <v>5381</v>
      </c>
      <c r="D172" s="39" t="s">
        <v>5381</v>
      </c>
      <c r="I172" s="39" t="s">
        <v>5381</v>
      </c>
      <c r="J172" s="39" t="s">
        <v>5381</v>
      </c>
      <c r="R172" t="str">
        <f>'1'!AC172</f>
        <v/>
      </c>
      <c r="S172" t="str">
        <f>'1'!AC172</f>
        <v/>
      </c>
      <c r="AC172" s="39" t="s">
        <v>5381</v>
      </c>
      <c r="AD172" s="39" t="s">
        <v>5381</v>
      </c>
    </row>
    <row r="173" spans="1:30">
      <c r="A173" s="62" t="s">
        <v>5490</v>
      </c>
      <c r="B173" t="str">
        <f>'1'!P173</f>
        <v>901943</v>
      </c>
      <c r="C173" s="39" t="s">
        <v>5381</v>
      </c>
      <c r="D173" s="39" t="s">
        <v>5381</v>
      </c>
      <c r="I173" s="39" t="s">
        <v>5381</v>
      </c>
      <c r="J173" s="39" t="s">
        <v>5381</v>
      </c>
      <c r="R173" t="str">
        <f>'1'!AC173</f>
        <v>008750</v>
      </c>
      <c r="S173" t="str">
        <f>'1'!AC173</f>
        <v>008750</v>
      </c>
      <c r="AC173" s="39" t="s">
        <v>5381</v>
      </c>
      <c r="AD173" s="39" t="s">
        <v>5381</v>
      </c>
    </row>
    <row r="174" spans="1:30">
      <c r="A174" s="62" t="s">
        <v>5490</v>
      </c>
      <c r="B174" t="str">
        <f>'1'!P174</f>
        <v>211521</v>
      </c>
      <c r="C174" s="39" t="s">
        <v>5381</v>
      </c>
      <c r="D174" s="39" t="s">
        <v>5381</v>
      </c>
      <c r="I174" s="39" t="s">
        <v>5381</v>
      </c>
      <c r="J174" s="39" t="s">
        <v>5381</v>
      </c>
      <c r="R174" t="str">
        <f>'1'!AC174</f>
        <v>211736</v>
      </c>
      <c r="S174" t="str">
        <f>'1'!AC174</f>
        <v>211736</v>
      </c>
      <c r="AC174" s="39" t="s">
        <v>5381</v>
      </c>
      <c r="AD174" s="39" t="s">
        <v>5381</v>
      </c>
    </row>
    <row r="175" spans="1:30">
      <c r="A175" s="62" t="s">
        <v>5490</v>
      </c>
      <c r="B175" t="str">
        <f>'1'!P175</f>
        <v>902013</v>
      </c>
      <c r="C175" s="39" t="s">
        <v>5381</v>
      </c>
      <c r="D175" s="39" t="s">
        <v>5381</v>
      </c>
      <c r="I175" s="39" t="s">
        <v>5381</v>
      </c>
      <c r="J175" s="39" t="s">
        <v>5381</v>
      </c>
      <c r="R175" t="str">
        <f>'1'!AC175</f>
        <v>008750</v>
      </c>
      <c r="S175" t="str">
        <f>'1'!AC175</f>
        <v>008750</v>
      </c>
      <c r="AC175" s="39" t="s">
        <v>5381</v>
      </c>
      <c r="AD175" s="39" t="s">
        <v>5381</v>
      </c>
    </row>
    <row r="176" spans="1:30">
      <c r="A176" s="62" t="s">
        <v>5490</v>
      </c>
      <c r="B176" t="str">
        <f>'1'!P176</f>
        <v>213241</v>
      </c>
      <c r="C176" s="39" t="s">
        <v>5381</v>
      </c>
      <c r="D176" s="39" t="s">
        <v>5381</v>
      </c>
      <c r="I176" s="39" t="s">
        <v>5381</v>
      </c>
      <c r="J176" s="39" t="s">
        <v>5381</v>
      </c>
      <c r="R176" t="str">
        <f>'1'!AC176</f>
        <v>211131</v>
      </c>
      <c r="S176" t="str">
        <f>'1'!AC176</f>
        <v>211131</v>
      </c>
      <c r="AC176" s="39" t="s">
        <v>5381</v>
      </c>
      <c r="AD176" s="39" t="s">
        <v>5381</v>
      </c>
    </row>
    <row r="177" spans="1:30">
      <c r="A177" s="62" t="s">
        <v>5490</v>
      </c>
      <c r="B177" t="str">
        <f>'1'!P177</f>
        <v>206638</v>
      </c>
      <c r="C177" s="39" t="s">
        <v>5381</v>
      </c>
      <c r="D177" s="39" t="s">
        <v>5381</v>
      </c>
      <c r="I177" s="39" t="s">
        <v>5381</v>
      </c>
      <c r="J177" s="39" t="s">
        <v>5381</v>
      </c>
      <c r="R177" t="str">
        <f>'1'!AC177</f>
        <v>212699</v>
      </c>
      <c r="S177" t="str">
        <f>'1'!AC177</f>
        <v>212699</v>
      </c>
      <c r="AC177" s="39" t="s">
        <v>5381</v>
      </c>
      <c r="AD177" s="39" t="s">
        <v>5381</v>
      </c>
    </row>
    <row r="178" spans="1:30">
      <c r="A178" s="62" t="s">
        <v>5490</v>
      </c>
      <c r="B178" t="str">
        <f>'1'!P178</f>
        <v>210339</v>
      </c>
      <c r="C178" s="39" t="s">
        <v>5381</v>
      </c>
      <c r="D178" s="39" t="s">
        <v>5381</v>
      </c>
      <c r="I178" s="39" t="s">
        <v>5381</v>
      </c>
      <c r="J178" s="39" t="s">
        <v>5381</v>
      </c>
      <c r="R178" t="str">
        <f>'1'!AC178</f>
        <v>008750</v>
      </c>
      <c r="S178" t="str">
        <f>'1'!AC178</f>
        <v>008750</v>
      </c>
      <c r="AC178" s="39" t="s">
        <v>5381</v>
      </c>
      <c r="AD178" s="39" t="s">
        <v>5381</v>
      </c>
    </row>
    <row r="179" spans="1:30">
      <c r="A179" s="62" t="s">
        <v>5490</v>
      </c>
      <c r="B179" t="str">
        <f>'1'!P179</f>
        <v>206110</v>
      </c>
      <c r="C179" s="39" t="s">
        <v>5381</v>
      </c>
      <c r="D179" s="39" t="s">
        <v>5381</v>
      </c>
      <c r="I179" s="39" t="s">
        <v>5381</v>
      </c>
      <c r="J179" s="39" t="s">
        <v>5381</v>
      </c>
      <c r="R179" t="str">
        <f>'1'!AC179</f>
        <v>211062</v>
      </c>
      <c r="S179" t="str">
        <f>'1'!AC179</f>
        <v>211062</v>
      </c>
      <c r="AC179" s="39" t="s">
        <v>5381</v>
      </c>
      <c r="AD179" s="39" t="s">
        <v>5381</v>
      </c>
    </row>
    <row r="180" spans="1:30">
      <c r="A180" s="62" t="s">
        <v>5490</v>
      </c>
      <c r="B180" t="str">
        <f>'1'!P180</f>
        <v>212254</v>
      </c>
      <c r="C180" s="39" t="s">
        <v>5381</v>
      </c>
      <c r="D180" s="39" t="s">
        <v>5381</v>
      </c>
      <c r="I180" s="39" t="s">
        <v>5381</v>
      </c>
      <c r="J180" s="39" t="s">
        <v>5381</v>
      </c>
      <c r="R180" t="str">
        <f>'1'!AC180</f>
        <v>211131</v>
      </c>
      <c r="S180" t="str">
        <f>'1'!AC180</f>
        <v>211131</v>
      </c>
      <c r="AC180" s="39" t="s">
        <v>5381</v>
      </c>
      <c r="AD180" s="39" t="s">
        <v>5381</v>
      </c>
    </row>
    <row r="181" spans="1:30">
      <c r="A181" s="62" t="s">
        <v>5490</v>
      </c>
      <c r="B181" t="str">
        <f>'1'!P181</f>
        <v>212254</v>
      </c>
      <c r="C181" s="39" t="s">
        <v>5381</v>
      </c>
      <c r="D181" s="39" t="s">
        <v>5381</v>
      </c>
      <c r="I181" s="39" t="s">
        <v>5381</v>
      </c>
      <c r="J181" s="39" t="s">
        <v>5381</v>
      </c>
      <c r="R181" t="str">
        <f>'1'!AC181</f>
        <v/>
      </c>
      <c r="S181" t="str">
        <f>'1'!AC181</f>
        <v/>
      </c>
      <c r="AC181" s="39" t="s">
        <v>5381</v>
      </c>
      <c r="AD181" s="39" t="s">
        <v>5381</v>
      </c>
    </row>
    <row r="182" spans="1:30">
      <c r="A182" s="62" t="s">
        <v>5490</v>
      </c>
      <c r="B182" t="str">
        <f>'1'!P182</f>
        <v>211601</v>
      </c>
      <c r="C182" s="39" t="s">
        <v>5381</v>
      </c>
      <c r="D182" s="39" t="s">
        <v>5381</v>
      </c>
      <c r="I182" s="39" t="s">
        <v>5381</v>
      </c>
      <c r="J182" s="39" t="s">
        <v>5381</v>
      </c>
      <c r="R182" t="str">
        <f>'1'!AC182</f>
        <v>207709</v>
      </c>
      <c r="S182" t="str">
        <f>'1'!AC182</f>
        <v>207709</v>
      </c>
      <c r="AC182" s="39" t="s">
        <v>5381</v>
      </c>
      <c r="AD182" s="39" t="s">
        <v>5381</v>
      </c>
    </row>
    <row r="183" spans="1:30">
      <c r="A183" s="62" t="s">
        <v>5490</v>
      </c>
      <c r="B183" t="str">
        <f>'1'!P183</f>
        <v>206287</v>
      </c>
      <c r="C183" s="39" t="s">
        <v>5381</v>
      </c>
      <c r="D183" s="39" t="s">
        <v>5381</v>
      </c>
      <c r="I183" s="39" t="s">
        <v>5381</v>
      </c>
      <c r="J183" s="39" t="s">
        <v>5381</v>
      </c>
      <c r="R183" t="str">
        <f>'1'!AC183</f>
        <v>211062</v>
      </c>
      <c r="S183" t="str">
        <f>'1'!AC183</f>
        <v>211062</v>
      </c>
      <c r="AC183" s="39" t="s">
        <v>5381</v>
      </c>
      <c r="AD183" s="39" t="s">
        <v>5381</v>
      </c>
    </row>
    <row r="184" spans="1:30">
      <c r="A184" s="62" t="s">
        <v>5490</v>
      </c>
      <c r="B184" t="str">
        <f>'1'!P184</f>
        <v>212687</v>
      </c>
      <c r="C184" s="39" t="s">
        <v>5381</v>
      </c>
      <c r="D184" s="39" t="s">
        <v>5381</v>
      </c>
      <c r="I184" s="39" t="s">
        <v>5381</v>
      </c>
      <c r="J184" s="39" t="s">
        <v>5381</v>
      </c>
      <c r="R184" t="str">
        <f>'1'!AC184</f>
        <v/>
      </c>
      <c r="S184" t="str">
        <f>'1'!AC184</f>
        <v/>
      </c>
      <c r="AC184" s="39" t="s">
        <v>5381</v>
      </c>
      <c r="AD184" s="39" t="s">
        <v>5381</v>
      </c>
    </row>
    <row r="185" spans="1:30">
      <c r="A185" s="62" t="s">
        <v>5490</v>
      </c>
      <c r="B185" t="str">
        <f>'1'!P185</f>
        <v>206272</v>
      </c>
      <c r="C185" s="39" t="s">
        <v>5381</v>
      </c>
      <c r="D185" s="39" t="s">
        <v>5381</v>
      </c>
      <c r="I185" s="39" t="s">
        <v>5381</v>
      </c>
      <c r="J185" s="39" t="s">
        <v>5381</v>
      </c>
      <c r="R185" t="str">
        <f>'1'!AC185</f>
        <v>211756</v>
      </c>
      <c r="S185" t="str">
        <f>'1'!AC185</f>
        <v>211756</v>
      </c>
      <c r="AC185" s="39" t="s">
        <v>5381</v>
      </c>
      <c r="AD185" s="39" t="s">
        <v>5381</v>
      </c>
    </row>
    <row r="186" spans="1:30">
      <c r="A186" s="62" t="s">
        <v>5490</v>
      </c>
      <c r="B186" t="str">
        <f>'1'!P186</f>
        <v>211022</v>
      </c>
      <c r="C186" s="39" t="s">
        <v>5381</v>
      </c>
      <c r="D186" s="39" t="s">
        <v>5381</v>
      </c>
      <c r="I186" s="39" t="s">
        <v>5381</v>
      </c>
      <c r="J186" s="39" t="s">
        <v>5381</v>
      </c>
      <c r="R186" t="str">
        <f>'1'!AC186</f>
        <v/>
      </c>
      <c r="S186" t="str">
        <f>'1'!AC186</f>
        <v/>
      </c>
      <c r="AC186" s="39" t="s">
        <v>5381</v>
      </c>
      <c r="AD186" s="39" t="s">
        <v>5381</v>
      </c>
    </row>
    <row r="187" spans="1:30">
      <c r="A187" s="62" t="s">
        <v>5490</v>
      </c>
      <c r="B187" t="str">
        <f>'1'!P187</f>
        <v>211022</v>
      </c>
      <c r="C187" s="39" t="s">
        <v>5381</v>
      </c>
      <c r="D187" s="39" t="s">
        <v>5381</v>
      </c>
      <c r="I187" s="39" t="s">
        <v>5381</v>
      </c>
      <c r="J187" s="39" t="s">
        <v>5381</v>
      </c>
      <c r="R187" t="str">
        <f>'1'!AC187</f>
        <v/>
      </c>
      <c r="S187" t="str">
        <f>'1'!AC187</f>
        <v/>
      </c>
      <c r="AC187" s="39" t="s">
        <v>5381</v>
      </c>
      <c r="AD187" s="39" t="s">
        <v>5381</v>
      </c>
    </row>
    <row r="188" spans="1:30">
      <c r="A188" s="62" t="s">
        <v>5490</v>
      </c>
      <c r="B188" t="str">
        <f>'1'!P188</f>
        <v>211022</v>
      </c>
      <c r="C188" s="39" t="s">
        <v>5381</v>
      </c>
      <c r="D188" s="39" t="s">
        <v>5381</v>
      </c>
      <c r="I188" s="39" t="s">
        <v>5381</v>
      </c>
      <c r="J188" s="39" t="s">
        <v>5381</v>
      </c>
      <c r="R188" t="str">
        <f>'1'!AC188</f>
        <v>211998</v>
      </c>
      <c r="S188" t="str">
        <f>'1'!AC188</f>
        <v>211998</v>
      </c>
      <c r="AC188" s="39" t="s">
        <v>5381</v>
      </c>
      <c r="AD188" s="39" t="s">
        <v>5381</v>
      </c>
    </row>
    <row r="189" spans="1:30">
      <c r="A189" s="62" t="s">
        <v>5490</v>
      </c>
      <c r="B189" t="str">
        <f>'1'!P189</f>
        <v>211998</v>
      </c>
      <c r="C189" s="39" t="s">
        <v>5381</v>
      </c>
      <c r="D189" s="39" t="s">
        <v>5381</v>
      </c>
      <c r="I189" s="39" t="s">
        <v>5381</v>
      </c>
      <c r="J189" s="39" t="s">
        <v>5381</v>
      </c>
      <c r="R189" t="str">
        <f>'1'!AC189</f>
        <v>213037</v>
      </c>
      <c r="S189" t="str">
        <f>'1'!AC189</f>
        <v>213037</v>
      </c>
      <c r="AC189" s="39" t="s">
        <v>5381</v>
      </c>
      <c r="AD189" s="39" t="s">
        <v>5381</v>
      </c>
    </row>
    <row r="190" spans="1:30">
      <c r="A190" s="62" t="s">
        <v>5490</v>
      </c>
      <c r="B190" t="str">
        <f>'1'!P190</f>
        <v>008750</v>
      </c>
      <c r="C190" s="39" t="s">
        <v>5381</v>
      </c>
      <c r="D190" s="39" t="s">
        <v>5381</v>
      </c>
      <c r="I190" s="39" t="s">
        <v>5381</v>
      </c>
      <c r="J190" s="39" t="s">
        <v>5381</v>
      </c>
      <c r="R190" t="str">
        <f>'1'!AC190</f>
        <v>207709</v>
      </c>
      <c r="S190" t="str">
        <f>'1'!AC190</f>
        <v>207709</v>
      </c>
      <c r="AC190" s="39" t="s">
        <v>5381</v>
      </c>
      <c r="AD190" s="39" t="s">
        <v>5381</v>
      </c>
    </row>
    <row r="191" spans="1:30">
      <c r="A191" s="62" t="s">
        <v>5490</v>
      </c>
      <c r="B191" t="str">
        <f>'1'!P191</f>
        <v>212705</v>
      </c>
      <c r="C191" s="39" t="s">
        <v>5381</v>
      </c>
      <c r="D191" s="39" t="s">
        <v>5381</v>
      </c>
      <c r="I191" s="39" t="s">
        <v>5381</v>
      </c>
      <c r="J191" s="39" t="s">
        <v>5381</v>
      </c>
      <c r="R191" t="str">
        <f>'1'!AC191</f>
        <v>209181</v>
      </c>
      <c r="S191" t="str">
        <f>'1'!AC191</f>
        <v>209181</v>
      </c>
      <c r="AC191" s="39" t="s">
        <v>5381</v>
      </c>
      <c r="AD191" s="39" t="s">
        <v>5381</v>
      </c>
    </row>
    <row r="192" spans="1:30">
      <c r="A192" s="62" t="s">
        <v>5490</v>
      </c>
      <c r="B192" t="str">
        <f>'1'!P192</f>
        <v>213286</v>
      </c>
      <c r="C192" s="39" t="s">
        <v>5381</v>
      </c>
      <c r="D192" s="39" t="s">
        <v>5381</v>
      </c>
      <c r="I192" s="39" t="s">
        <v>5381</v>
      </c>
      <c r="J192" s="39" t="s">
        <v>5381</v>
      </c>
      <c r="R192" t="str">
        <f>'1'!AC192</f>
        <v>202533</v>
      </c>
      <c r="S192" t="str">
        <f>'1'!AC192</f>
        <v>202533</v>
      </c>
      <c r="AC192" s="39" t="s">
        <v>5381</v>
      </c>
      <c r="AD192" s="39" t="s">
        <v>5381</v>
      </c>
    </row>
    <row r="193" spans="1:30">
      <c r="A193" s="62" t="s">
        <v>5490</v>
      </c>
      <c r="B193" t="str">
        <f>'1'!P193</f>
        <v>901090</v>
      </c>
      <c r="C193" s="39" t="s">
        <v>5381</v>
      </c>
      <c r="D193" s="39" t="s">
        <v>5381</v>
      </c>
      <c r="I193" s="39" t="s">
        <v>5381</v>
      </c>
      <c r="J193" s="39" t="s">
        <v>5381</v>
      </c>
      <c r="R193" t="str">
        <f>'1'!AC193</f>
        <v>213037</v>
      </c>
      <c r="S193" t="str">
        <f>'1'!AC193</f>
        <v>213037</v>
      </c>
      <c r="AC193" s="39" t="s">
        <v>5381</v>
      </c>
      <c r="AD193" s="39" t="s">
        <v>5381</v>
      </c>
    </row>
    <row r="194" spans="1:30">
      <c r="A194" s="62" t="s">
        <v>5490</v>
      </c>
      <c r="B194" t="str">
        <f>'1'!P194</f>
        <v>207850</v>
      </c>
      <c r="C194" s="39" t="s">
        <v>5381</v>
      </c>
      <c r="D194" s="39" t="s">
        <v>5381</v>
      </c>
      <c r="I194" s="39" t="s">
        <v>5381</v>
      </c>
      <c r="J194" s="39" t="s">
        <v>5381</v>
      </c>
      <c r="R194" t="str">
        <f>'1'!AC194</f>
        <v>211601</v>
      </c>
      <c r="S194" t="str">
        <f>'1'!AC194</f>
        <v>211601</v>
      </c>
      <c r="AC194" s="39" t="s">
        <v>5381</v>
      </c>
      <c r="AD194" s="39" t="s">
        <v>5381</v>
      </c>
    </row>
    <row r="195" spans="1:30">
      <c r="A195" s="62" t="s">
        <v>5490</v>
      </c>
      <c r="B195" t="str">
        <f>'1'!P195</f>
        <v>211939</v>
      </c>
      <c r="C195" s="39" t="s">
        <v>5381</v>
      </c>
      <c r="D195" s="39" t="s">
        <v>5381</v>
      </c>
      <c r="I195" s="39" t="s">
        <v>5381</v>
      </c>
      <c r="J195" s="39" t="s">
        <v>5381</v>
      </c>
      <c r="R195" t="str">
        <f>'1'!AC195</f>
        <v>211998</v>
      </c>
      <c r="S195" t="str">
        <f>'1'!AC195</f>
        <v>211998</v>
      </c>
      <c r="AC195" s="39" t="s">
        <v>5381</v>
      </c>
      <c r="AD195" s="39" t="s">
        <v>5381</v>
      </c>
    </row>
    <row r="196" spans="1:30">
      <c r="A196" s="62" t="s">
        <v>5490</v>
      </c>
      <c r="B196" t="str">
        <f>'1'!P196</f>
        <v>211939</v>
      </c>
      <c r="C196" s="39" t="s">
        <v>5381</v>
      </c>
      <c r="D196" s="39" t="s">
        <v>5381</v>
      </c>
      <c r="I196" s="39" t="s">
        <v>5381</v>
      </c>
      <c r="J196" s="39" t="s">
        <v>5381</v>
      </c>
      <c r="R196" t="str">
        <f>'1'!AC196</f>
        <v/>
      </c>
      <c r="S196" t="str">
        <f>'1'!AC196</f>
        <v/>
      </c>
      <c r="AC196" s="39" t="s">
        <v>5381</v>
      </c>
      <c r="AD196" s="39" t="s">
        <v>5381</v>
      </c>
    </row>
    <row r="197" spans="1:30">
      <c r="A197" s="62" t="s">
        <v>5490</v>
      </c>
      <c r="B197" t="str">
        <f>'1'!P197</f>
        <v>211939</v>
      </c>
      <c r="C197" s="39" t="s">
        <v>5381</v>
      </c>
      <c r="D197" s="39" t="s">
        <v>5381</v>
      </c>
      <c r="I197" s="39" t="s">
        <v>5381</v>
      </c>
      <c r="J197" s="39" t="s">
        <v>5381</v>
      </c>
      <c r="R197" t="str">
        <f>'1'!AC197</f>
        <v/>
      </c>
      <c r="S197" t="str">
        <f>'1'!AC197</f>
        <v/>
      </c>
      <c r="AC197" s="39" t="s">
        <v>5381</v>
      </c>
      <c r="AD197" s="39" t="s">
        <v>5381</v>
      </c>
    </row>
    <row r="198" spans="1:30">
      <c r="A198" s="62" t="s">
        <v>5490</v>
      </c>
      <c r="B198" t="str">
        <f>'1'!P198</f>
        <v>901934</v>
      </c>
      <c r="C198" s="39" t="s">
        <v>5381</v>
      </c>
      <c r="D198" s="39" t="s">
        <v>5381</v>
      </c>
      <c r="I198" s="39" t="s">
        <v>5381</v>
      </c>
      <c r="J198" s="39" t="s">
        <v>5381</v>
      </c>
      <c r="R198" t="str">
        <f>'1'!AC198</f>
        <v>207588</v>
      </c>
      <c r="S198" t="str">
        <f>'1'!AC198</f>
        <v>207588</v>
      </c>
      <c r="AC198" s="39" t="s">
        <v>5381</v>
      </c>
      <c r="AD198" s="39" t="s">
        <v>5381</v>
      </c>
    </row>
    <row r="199" spans="1:30">
      <c r="A199" s="62" t="s">
        <v>5490</v>
      </c>
      <c r="B199" t="str">
        <f>'1'!P199</f>
        <v>209539</v>
      </c>
      <c r="C199" s="39" t="s">
        <v>5381</v>
      </c>
      <c r="D199" s="39" t="s">
        <v>5381</v>
      </c>
      <c r="I199" s="39" t="s">
        <v>5381</v>
      </c>
      <c r="J199" s="39" t="s">
        <v>5381</v>
      </c>
      <c r="R199" t="str">
        <f>'1'!AC199</f>
        <v>211756</v>
      </c>
      <c r="S199" t="str">
        <f>'1'!AC199</f>
        <v>211756</v>
      </c>
      <c r="AC199" s="39" t="s">
        <v>5381</v>
      </c>
      <c r="AD199" s="39" t="s">
        <v>5381</v>
      </c>
    </row>
    <row r="200" spans="1:30">
      <c r="A200" s="62" t="s">
        <v>5490</v>
      </c>
      <c r="B200" t="str">
        <f>'1'!P200</f>
        <v>202533</v>
      </c>
      <c r="C200" s="39" t="s">
        <v>5381</v>
      </c>
      <c r="D200" s="39" t="s">
        <v>5381</v>
      </c>
      <c r="I200" s="39" t="s">
        <v>5381</v>
      </c>
      <c r="J200" s="39" t="s">
        <v>5381</v>
      </c>
      <c r="R200" t="str">
        <f>'1'!AC200</f>
        <v>211766</v>
      </c>
      <c r="S200" t="str">
        <f>'1'!AC200</f>
        <v>211766</v>
      </c>
      <c r="AC200" s="39" t="s">
        <v>5381</v>
      </c>
      <c r="AD200" s="39" t="s">
        <v>5381</v>
      </c>
    </row>
    <row r="201" spans="1:30">
      <c r="A201" s="62" t="s">
        <v>5490</v>
      </c>
      <c r="B201" t="str">
        <f>'1'!P201</f>
        <v>206672</v>
      </c>
      <c r="C201" s="39" t="s">
        <v>5381</v>
      </c>
      <c r="D201" s="39" t="s">
        <v>5381</v>
      </c>
      <c r="I201" s="39" t="s">
        <v>5381</v>
      </c>
      <c r="J201" s="39" t="s">
        <v>5381</v>
      </c>
      <c r="R201" t="str">
        <f>'1'!AC201</f>
        <v>212699</v>
      </c>
      <c r="S201" t="str">
        <f>'1'!AC201</f>
        <v>212699</v>
      </c>
      <c r="AC201" s="39" t="s">
        <v>5381</v>
      </c>
      <c r="AD201" s="39" t="s">
        <v>5381</v>
      </c>
    </row>
    <row r="202" spans="1:30">
      <c r="A202" s="62" t="s">
        <v>5490</v>
      </c>
      <c r="B202" t="str">
        <f>'1'!P202</f>
        <v>207809</v>
      </c>
      <c r="C202" s="39" t="s">
        <v>5381</v>
      </c>
      <c r="D202" s="39" t="s">
        <v>5381</v>
      </c>
      <c r="I202" s="39" t="s">
        <v>5381</v>
      </c>
      <c r="J202" s="39" t="s">
        <v>5381</v>
      </c>
      <c r="R202" t="str">
        <f>'1'!AC202</f>
        <v>210892</v>
      </c>
      <c r="S202" t="str">
        <f>'1'!AC202</f>
        <v>210892</v>
      </c>
      <c r="AC202" s="39" t="s">
        <v>5381</v>
      </c>
      <c r="AD202" s="39" t="s">
        <v>5381</v>
      </c>
    </row>
    <row r="203" spans="1:30">
      <c r="A203" s="62" t="s">
        <v>5490</v>
      </c>
      <c r="B203" t="str">
        <f>'1'!P203</f>
        <v>212100</v>
      </c>
      <c r="C203" s="39" t="s">
        <v>5381</v>
      </c>
      <c r="D203" s="39" t="s">
        <v>5381</v>
      </c>
      <c r="I203" s="39" t="s">
        <v>5381</v>
      </c>
      <c r="J203" s="39" t="s">
        <v>5381</v>
      </c>
      <c r="R203" t="str">
        <f>'1'!AC203</f>
        <v>006780</v>
      </c>
      <c r="S203" t="str">
        <f>'1'!AC203</f>
        <v>006780</v>
      </c>
      <c r="AC203" s="39" t="s">
        <v>5381</v>
      </c>
      <c r="AD203" s="39" t="s">
        <v>5381</v>
      </c>
    </row>
  </sheetData>
  <autoFilter ref="A3:AI203" xr:uid="{C9CAA402-D7A8-574B-8D1D-745C14B8803B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15EF-85EC-BD42-BDD1-D611623FC7EB}">
  <dimension ref="A1:EG85"/>
  <sheetViews>
    <sheetView workbookViewId="0">
      <selection activeCell="I1" sqref="I1"/>
    </sheetView>
  </sheetViews>
  <sheetFormatPr baseColWidth="10" defaultRowHeight="15"/>
  <cols>
    <col min="6" max="6" width="20.33203125" customWidth="1"/>
  </cols>
  <sheetData>
    <row r="1" spans="1:137" s="55" customFormat="1" ht="81.75" customHeight="1">
      <c r="A1" s="51" t="s">
        <v>5024</v>
      </c>
      <c r="B1" s="51" t="s">
        <v>5025</v>
      </c>
      <c r="C1" s="51" t="s">
        <v>5026</v>
      </c>
      <c r="D1" s="51" t="s">
        <v>5027</v>
      </c>
      <c r="E1" s="51" t="s">
        <v>5028</v>
      </c>
      <c r="F1" s="97" t="s">
        <v>5961</v>
      </c>
      <c r="G1" s="52" t="s">
        <v>5030</v>
      </c>
      <c r="H1" s="51" t="s">
        <v>5031</v>
      </c>
      <c r="I1" s="82" t="s">
        <v>5870</v>
      </c>
      <c r="J1" s="51" t="s">
        <v>5033</v>
      </c>
      <c r="K1" s="52" t="s">
        <v>5034</v>
      </c>
      <c r="L1" s="51" t="s">
        <v>5035</v>
      </c>
      <c r="M1" s="82" t="s">
        <v>5913</v>
      </c>
      <c r="N1" s="53" t="s">
        <v>5037</v>
      </c>
      <c r="O1" s="51" t="s">
        <v>5038</v>
      </c>
      <c r="P1" s="82" t="s">
        <v>5915</v>
      </c>
      <c r="Q1" s="51" t="s">
        <v>5015</v>
      </c>
      <c r="R1" s="52" t="s">
        <v>5039</v>
      </c>
      <c r="S1" s="52" t="s">
        <v>5040</v>
      </c>
      <c r="T1" s="52" t="s">
        <v>5041</v>
      </c>
      <c r="U1" s="52" t="s">
        <v>5042</v>
      </c>
      <c r="V1" s="52" t="s">
        <v>5043</v>
      </c>
      <c r="W1" s="51" t="s">
        <v>5384</v>
      </c>
      <c r="X1" s="82" t="s">
        <v>5914</v>
      </c>
      <c r="Y1" s="52" t="s">
        <v>5044</v>
      </c>
      <c r="Z1" s="82" t="s">
        <v>5916</v>
      </c>
      <c r="AA1" s="52" t="s">
        <v>5045</v>
      </c>
      <c r="AB1" s="51" t="s">
        <v>5387</v>
      </c>
      <c r="AC1" s="51" t="s">
        <v>5388</v>
      </c>
      <c r="AD1" s="52" t="s">
        <v>5046</v>
      </c>
      <c r="AE1" s="52" t="s">
        <v>5047</v>
      </c>
      <c r="AF1" s="52" t="s">
        <v>5048</v>
      </c>
      <c r="AG1" s="52" t="s">
        <v>5049</v>
      </c>
      <c r="AH1" s="52" t="s">
        <v>5050</v>
      </c>
      <c r="AI1" s="52" t="s">
        <v>5051</v>
      </c>
      <c r="AJ1" s="52" t="s">
        <v>5052</v>
      </c>
      <c r="AK1" s="52" t="s">
        <v>5053</v>
      </c>
      <c r="AL1" s="52" t="s">
        <v>5054</v>
      </c>
      <c r="AM1" s="52" t="s">
        <v>5055</v>
      </c>
      <c r="AN1" s="52" t="s">
        <v>5056</v>
      </c>
      <c r="AO1" s="52" t="s">
        <v>5057</v>
      </c>
      <c r="AP1" s="82" t="s">
        <v>5917</v>
      </c>
      <c r="AQ1" s="52" t="s">
        <v>5059</v>
      </c>
      <c r="AR1" s="52" t="s">
        <v>5060</v>
      </c>
      <c r="AS1" s="52" t="s">
        <v>5061</v>
      </c>
      <c r="AT1" s="52" t="s">
        <v>5062</v>
      </c>
      <c r="AU1" s="52" t="s">
        <v>5063</v>
      </c>
      <c r="AV1" s="52" t="s">
        <v>5064</v>
      </c>
      <c r="AW1" s="52" t="s">
        <v>5065</v>
      </c>
      <c r="AX1" s="52" t="s">
        <v>5066</v>
      </c>
      <c r="AY1" s="52" t="s">
        <v>5067</v>
      </c>
      <c r="AZ1" s="52" t="s">
        <v>5068</v>
      </c>
      <c r="BA1" s="52" t="s">
        <v>5069</v>
      </c>
      <c r="BB1" s="52" t="s">
        <v>5070</v>
      </c>
      <c r="BC1" s="52" t="s">
        <v>5071</v>
      </c>
      <c r="BD1" s="52" t="s">
        <v>5072</v>
      </c>
      <c r="BE1" s="52" t="s">
        <v>5073</v>
      </c>
      <c r="BF1" s="52" t="s">
        <v>5074</v>
      </c>
      <c r="BG1" s="53" t="s">
        <v>5075</v>
      </c>
      <c r="BH1" s="53" t="s">
        <v>5076</v>
      </c>
      <c r="BI1" s="53" t="s">
        <v>5077</v>
      </c>
      <c r="BJ1" s="52" t="s">
        <v>5078</v>
      </c>
      <c r="BK1" s="53" t="s">
        <v>5079</v>
      </c>
      <c r="BL1" s="53" t="s">
        <v>5080</v>
      </c>
      <c r="BM1" s="52" t="s">
        <v>5081</v>
      </c>
      <c r="BN1" s="52" t="s">
        <v>5082</v>
      </c>
      <c r="BO1" s="52" t="s">
        <v>5083</v>
      </c>
      <c r="BP1" s="52" t="s">
        <v>5082</v>
      </c>
      <c r="BQ1" s="52" t="s">
        <v>5084</v>
      </c>
      <c r="BR1" s="52" t="s">
        <v>5085</v>
      </c>
      <c r="BS1" s="52" t="s">
        <v>5086</v>
      </c>
      <c r="BT1" s="52" t="s">
        <v>5087</v>
      </c>
      <c r="BU1" s="54" t="s">
        <v>5088</v>
      </c>
      <c r="BV1" s="54" t="s">
        <v>5089</v>
      </c>
      <c r="BW1" s="52" t="s">
        <v>5090</v>
      </c>
      <c r="BX1" s="52" t="s">
        <v>5091</v>
      </c>
      <c r="BY1" s="52" t="s">
        <v>5092</v>
      </c>
      <c r="BZ1" s="53" t="s">
        <v>5093</v>
      </c>
      <c r="CA1" s="53" t="s">
        <v>5094</v>
      </c>
      <c r="CB1" s="52" t="s">
        <v>5095</v>
      </c>
      <c r="CC1" s="52" t="s">
        <v>5096</v>
      </c>
      <c r="CD1" s="52" t="s">
        <v>5097</v>
      </c>
      <c r="CE1" s="52" t="s">
        <v>5098</v>
      </c>
      <c r="CF1" s="52" t="s">
        <v>5099</v>
      </c>
      <c r="CG1" s="52" t="s">
        <v>5100</v>
      </c>
      <c r="CH1" s="53" t="s">
        <v>5101</v>
      </c>
      <c r="CI1" s="52" t="s">
        <v>5102</v>
      </c>
      <c r="CJ1" s="52" t="s">
        <v>5103</v>
      </c>
      <c r="CK1" s="52" t="s">
        <v>5104</v>
      </c>
      <c r="CL1" s="52" t="s">
        <v>5105</v>
      </c>
      <c r="CM1" s="54" t="s">
        <v>5106</v>
      </c>
      <c r="CN1" s="54" t="s">
        <v>5107</v>
      </c>
      <c r="CO1" s="54" t="s">
        <v>5108</v>
      </c>
      <c r="CP1" s="52" t="s">
        <v>5109</v>
      </c>
      <c r="CQ1" s="52" t="s">
        <v>5110</v>
      </c>
      <c r="CR1" s="52" t="s">
        <v>5111</v>
      </c>
      <c r="CS1" s="52" t="s">
        <v>5112</v>
      </c>
      <c r="CT1" s="52" t="s">
        <v>5113</v>
      </c>
      <c r="CU1" s="52" t="s">
        <v>5114</v>
      </c>
      <c r="CV1" s="52" t="s">
        <v>5115</v>
      </c>
      <c r="CW1" s="52" t="s">
        <v>5116</v>
      </c>
      <c r="CX1" s="52" t="s">
        <v>5117</v>
      </c>
      <c r="CY1" s="52" t="s">
        <v>5118</v>
      </c>
      <c r="CZ1" s="52" t="s">
        <v>5119</v>
      </c>
      <c r="DA1" s="52" t="s">
        <v>5120</v>
      </c>
      <c r="DB1" s="52" t="s">
        <v>5121</v>
      </c>
      <c r="DC1" s="52" t="s">
        <v>5122</v>
      </c>
      <c r="DD1" s="52" t="s">
        <v>5123</v>
      </c>
      <c r="DE1" s="52" t="s">
        <v>5124</v>
      </c>
      <c r="DF1" s="52" t="s">
        <v>5125</v>
      </c>
      <c r="DG1" s="52" t="s">
        <v>5126</v>
      </c>
      <c r="DH1" s="52" t="s">
        <v>5127</v>
      </c>
      <c r="DI1" s="52" t="s">
        <v>5128</v>
      </c>
      <c r="DJ1" s="52" t="s">
        <v>5129</v>
      </c>
      <c r="DK1" s="52" t="s">
        <v>5130</v>
      </c>
      <c r="DL1" s="52" t="s">
        <v>5131</v>
      </c>
      <c r="DM1" s="52" t="s">
        <v>5132</v>
      </c>
      <c r="DN1" s="52" t="s">
        <v>5133</v>
      </c>
      <c r="DO1" s="52" t="s">
        <v>5134</v>
      </c>
      <c r="DP1" s="52" t="s">
        <v>5135</v>
      </c>
      <c r="DQ1" s="52" t="s">
        <v>5136</v>
      </c>
      <c r="DR1" s="52" t="s">
        <v>5137</v>
      </c>
      <c r="DS1" s="52" t="s">
        <v>5138</v>
      </c>
      <c r="DT1" s="52" t="s">
        <v>5139</v>
      </c>
      <c r="DU1" s="52" t="s">
        <v>5140</v>
      </c>
      <c r="DV1" s="52" t="s">
        <v>5141</v>
      </c>
      <c r="DW1" s="52" t="s">
        <v>5142</v>
      </c>
      <c r="DX1" s="52" t="s">
        <v>5143</v>
      </c>
      <c r="DY1" s="52" t="s">
        <v>5144</v>
      </c>
      <c r="DZ1" s="52" t="s">
        <v>5145</v>
      </c>
      <c r="EA1" s="52" t="s">
        <v>5146</v>
      </c>
      <c r="EB1" s="52" t="s">
        <v>5147</v>
      </c>
      <c r="EC1" s="52" t="s">
        <v>5148</v>
      </c>
      <c r="ED1" s="52" t="s">
        <v>5149</v>
      </c>
      <c r="EE1" s="52" t="s">
        <v>5150</v>
      </c>
      <c r="EF1" s="52" t="s">
        <v>5151</v>
      </c>
      <c r="EG1" s="52" t="s">
        <v>5152</v>
      </c>
    </row>
    <row r="2" spans="1:137" ht="16" thickBot="1">
      <c r="A2" s="62" t="s">
        <v>5380</v>
      </c>
      <c r="B2" s="78" t="s">
        <v>5492</v>
      </c>
      <c r="D2" s="78" t="s">
        <v>5564</v>
      </c>
      <c r="E2" s="78" t="s">
        <v>5628</v>
      </c>
      <c r="F2" s="78" t="str">
        <f>H2&amp;".new.uat"</f>
        <v>RCarrillo@onebarnes.com.new.uat</v>
      </c>
      <c r="G2" s="39" t="s">
        <v>5389</v>
      </c>
      <c r="H2" s="78" t="s">
        <v>5707</v>
      </c>
      <c r="I2" t="str">
        <f>IFERROR(VLOOKUP(J2,'Language Map'!M:O,3,FALSE),"en_"&amp;J2)</f>
        <v>es_MX</v>
      </c>
      <c r="J2" s="78" t="s">
        <v>5864</v>
      </c>
      <c r="L2" s="78" t="s">
        <v>5871</v>
      </c>
      <c r="M2" t="str">
        <f>IFERROR(VLOOKUP(J2,'Country Map'!E:H,3,FALSE),"Country Currency Not Mapped")</f>
        <v>MXN</v>
      </c>
      <c r="O2" s="39" t="s">
        <v>5381</v>
      </c>
      <c r="P2" t="str">
        <f>L2</f>
        <v>0084</v>
      </c>
      <c r="Q2" s="78" t="s">
        <v>5905</v>
      </c>
      <c r="W2" s="78" t="s">
        <v>80</v>
      </c>
      <c r="X2" t="str">
        <f>IFERROR(VLOOKUP(W2,'Salary Map'!A:D,3,FALSE),"Salary Code Not Mapped")</f>
        <v>Default</v>
      </c>
      <c r="Z2" t="str">
        <f>Q2</f>
        <v>84RDM</v>
      </c>
      <c r="AP2" t="str">
        <f>L2</f>
        <v>0084</v>
      </c>
      <c r="BG2" s="78" t="s">
        <v>5629</v>
      </c>
      <c r="BK2" s="39" t="s">
        <v>5381</v>
      </c>
      <c r="BL2" s="39" t="s">
        <v>5381</v>
      </c>
      <c r="BU2" s="39" t="s">
        <v>5381</v>
      </c>
      <c r="BV2" s="39" t="s">
        <v>5381</v>
      </c>
      <c r="CE2" s="39" t="s">
        <v>5381</v>
      </c>
    </row>
    <row r="3" spans="1:137" ht="16" thickBot="1">
      <c r="A3" s="62" t="s">
        <v>5380</v>
      </c>
      <c r="B3" s="78" t="s">
        <v>5493</v>
      </c>
      <c r="D3" s="78" t="s">
        <v>5565</v>
      </c>
      <c r="E3" s="78" t="s">
        <v>5629</v>
      </c>
      <c r="F3" s="78" t="str">
        <f t="shared" ref="F3:F66" si="0">H3&amp;".new.uat"</f>
        <v>jvillarreal@onebarnes.com.new.uat</v>
      </c>
      <c r="G3" s="39" t="s">
        <v>5786</v>
      </c>
      <c r="H3" s="78" t="s">
        <v>5708</v>
      </c>
      <c r="I3" t="str">
        <f>IFERROR(VLOOKUP(J3,'Language Map'!M:O,3,FALSE),"en_"&amp;J3)</f>
        <v>es_MX</v>
      </c>
      <c r="J3" s="78" t="s">
        <v>5864</v>
      </c>
      <c r="L3" s="78" t="s">
        <v>5872</v>
      </c>
      <c r="M3" t="str">
        <f>IFERROR(VLOOKUP(J3,'Country Map'!E:H,3,FALSE),"Country Currency Not Mapped")</f>
        <v>MXN</v>
      </c>
      <c r="O3" s="39" t="s">
        <v>5381</v>
      </c>
      <c r="P3" t="str">
        <f t="shared" ref="P3:P66" si="1">L3</f>
        <v>0075</v>
      </c>
      <c r="Q3" s="78" t="s">
        <v>5906</v>
      </c>
      <c r="W3" s="78" t="s">
        <v>80</v>
      </c>
      <c r="X3" t="str">
        <f>IFERROR(VLOOKUP(W3,'Salary Map'!A:D,3,FALSE),"Salary Code Not Mapped")</f>
        <v>Default</v>
      </c>
      <c r="Z3" t="str">
        <f t="shared" ref="Z3:Z66" si="2">Q3</f>
        <v>SALES</v>
      </c>
      <c r="AP3" t="str">
        <f t="shared" ref="AP3:AP66" si="3">L3</f>
        <v>0075</v>
      </c>
      <c r="BG3" s="78" t="s">
        <v>319</v>
      </c>
      <c r="BK3" s="39" t="s">
        <v>5381</v>
      </c>
      <c r="BL3" s="39" t="s">
        <v>5381</v>
      </c>
      <c r="BU3" s="39" t="s">
        <v>5381</v>
      </c>
      <c r="BV3" s="39" t="s">
        <v>5381</v>
      </c>
      <c r="CE3" s="39" t="s">
        <v>5381</v>
      </c>
    </row>
    <row r="4" spans="1:137" ht="16" thickBot="1">
      <c r="A4" s="62" t="s">
        <v>5380</v>
      </c>
      <c r="B4" s="78" t="s">
        <v>5494</v>
      </c>
      <c r="D4" s="78" t="s">
        <v>5566</v>
      </c>
      <c r="E4" s="78" t="s">
        <v>5630</v>
      </c>
      <c r="F4" s="78" t="str">
        <f t="shared" si="0"/>
        <v>JMarin@onebarnes.com.new.uat</v>
      </c>
      <c r="G4" s="39" t="s">
        <v>5787</v>
      </c>
      <c r="H4" s="78" t="s">
        <v>5709</v>
      </c>
      <c r="I4" t="str">
        <f>IFERROR(VLOOKUP(J4,'Language Map'!M:O,3,FALSE),"en_"&amp;J4)</f>
        <v>es_MX</v>
      </c>
      <c r="J4" s="78" t="s">
        <v>5864</v>
      </c>
      <c r="L4" s="78" t="s">
        <v>5872</v>
      </c>
      <c r="M4" t="str">
        <f>IFERROR(VLOOKUP(J4,'Country Map'!E:H,3,FALSE),"Country Currency Not Mapped")</f>
        <v>MXN</v>
      </c>
      <c r="O4" s="39" t="s">
        <v>5381</v>
      </c>
      <c r="P4" t="str">
        <f t="shared" si="1"/>
        <v>0075</v>
      </c>
      <c r="Q4" s="78" t="s">
        <v>5906</v>
      </c>
      <c r="W4" s="78" t="s">
        <v>505</v>
      </c>
      <c r="X4" t="str">
        <f>IFERROR(VLOOKUP(W4,'Salary Map'!A:D,3,FALSE),"Salary Code Not Mapped")</f>
        <v>Default</v>
      </c>
      <c r="Z4" t="str">
        <f t="shared" si="2"/>
        <v>SALES</v>
      </c>
      <c r="AP4" t="str">
        <f t="shared" si="3"/>
        <v>0075</v>
      </c>
      <c r="BG4" s="78" t="s">
        <v>5629</v>
      </c>
      <c r="BK4" s="39" t="s">
        <v>5381</v>
      </c>
      <c r="BL4" s="39" t="s">
        <v>5381</v>
      </c>
      <c r="BU4" s="39" t="s">
        <v>5381</v>
      </c>
      <c r="BV4" s="39" t="s">
        <v>5381</v>
      </c>
      <c r="CE4" s="39" t="s">
        <v>5381</v>
      </c>
    </row>
    <row r="5" spans="1:137" ht="16" thickBot="1">
      <c r="A5" s="62" t="s">
        <v>5380</v>
      </c>
      <c r="B5" s="78" t="s">
        <v>5495</v>
      </c>
      <c r="D5" s="78" t="s">
        <v>5567</v>
      </c>
      <c r="E5" s="78" t="s">
        <v>5631</v>
      </c>
      <c r="F5" s="78" t="str">
        <f t="shared" si="0"/>
        <v>DGonzalez@onebarnes.com.new.uat</v>
      </c>
      <c r="G5" s="39" t="s">
        <v>5788</v>
      </c>
      <c r="H5" s="78" t="s">
        <v>5710</v>
      </c>
      <c r="I5" t="str">
        <f>IFERROR(VLOOKUP(J5,'Language Map'!M:O,3,FALSE),"en_"&amp;J5)</f>
        <v>es_MX</v>
      </c>
      <c r="J5" s="78" t="s">
        <v>5864</v>
      </c>
      <c r="L5" s="78" t="s">
        <v>5872</v>
      </c>
      <c r="M5" t="str">
        <f>IFERROR(VLOOKUP(J5,'Country Map'!E:H,3,FALSE),"Country Currency Not Mapped")</f>
        <v>MXN</v>
      </c>
      <c r="O5" s="39" t="s">
        <v>5381</v>
      </c>
      <c r="P5" t="str">
        <f t="shared" si="1"/>
        <v>0075</v>
      </c>
      <c r="Q5" s="78" t="s">
        <v>5906</v>
      </c>
      <c r="W5" s="78" t="s">
        <v>680</v>
      </c>
      <c r="X5" t="str">
        <f>IFERROR(VLOOKUP(W5,'Salary Map'!A:D,3,FALSE),"Salary Code Not Mapped")</f>
        <v>Default</v>
      </c>
      <c r="Z5" t="str">
        <f t="shared" si="2"/>
        <v>SALES</v>
      </c>
      <c r="AP5" t="str">
        <f t="shared" si="3"/>
        <v>0075</v>
      </c>
      <c r="BG5" s="78" t="s">
        <v>5629</v>
      </c>
      <c r="BK5" s="39" t="s">
        <v>5381</v>
      </c>
      <c r="BL5" s="39" t="s">
        <v>5381</v>
      </c>
      <c r="BU5" s="39" t="s">
        <v>5381</v>
      </c>
      <c r="BV5" s="39" t="s">
        <v>5381</v>
      </c>
      <c r="CE5" s="39" t="s">
        <v>5381</v>
      </c>
    </row>
    <row r="6" spans="1:137" ht="16" thickBot="1">
      <c r="A6" s="62" t="s">
        <v>5380</v>
      </c>
      <c r="B6" s="78" t="s">
        <v>5496</v>
      </c>
      <c r="D6" s="78" t="s">
        <v>5568</v>
      </c>
      <c r="E6" s="78" t="s">
        <v>5632</v>
      </c>
      <c r="F6" s="78" t="str">
        <f t="shared" si="0"/>
        <v>MCastorena@onebarnes.com.new.uat</v>
      </c>
      <c r="G6" s="39" t="s">
        <v>5789</v>
      </c>
      <c r="H6" s="78" t="s">
        <v>5711</v>
      </c>
      <c r="I6" t="str">
        <f>IFERROR(VLOOKUP(J6,'Language Map'!M:O,3,FALSE),"en_"&amp;J6)</f>
        <v>es_MX</v>
      </c>
      <c r="J6" s="78" t="s">
        <v>5864</v>
      </c>
      <c r="L6" s="78" t="s">
        <v>5872</v>
      </c>
      <c r="M6" t="str">
        <f>IFERROR(VLOOKUP(J6,'Country Map'!E:H,3,FALSE),"Country Currency Not Mapped")</f>
        <v>MXN</v>
      </c>
      <c r="O6" s="39" t="s">
        <v>5381</v>
      </c>
      <c r="P6" t="str">
        <f t="shared" si="1"/>
        <v>0075</v>
      </c>
      <c r="Q6" s="78" t="s">
        <v>5906</v>
      </c>
      <c r="W6" s="78" t="s">
        <v>755</v>
      </c>
      <c r="X6" t="str">
        <f>IFERROR(VLOOKUP(W6,'Salary Map'!A:D,3,FALSE),"Salary Code Not Mapped")</f>
        <v>Default</v>
      </c>
      <c r="Z6" t="str">
        <f t="shared" si="2"/>
        <v>SALES</v>
      </c>
      <c r="AP6" t="str">
        <f t="shared" si="3"/>
        <v>0075</v>
      </c>
      <c r="BG6" s="78" t="s">
        <v>5629</v>
      </c>
      <c r="BK6" s="39" t="s">
        <v>5381</v>
      </c>
      <c r="BL6" s="39" t="s">
        <v>5381</v>
      </c>
      <c r="BU6" s="39" t="s">
        <v>5381</v>
      </c>
      <c r="BV6" s="39" t="s">
        <v>5381</v>
      </c>
      <c r="CE6" s="39" t="s">
        <v>5381</v>
      </c>
    </row>
    <row r="7" spans="1:137" ht="16" thickBot="1">
      <c r="A7" s="62" t="s">
        <v>5380</v>
      </c>
      <c r="B7" s="78" t="s">
        <v>5497</v>
      </c>
      <c r="D7" s="78" t="s">
        <v>5569</v>
      </c>
      <c r="E7" s="78" t="s">
        <v>5633</v>
      </c>
      <c r="F7" s="78" t="str">
        <f t="shared" si="0"/>
        <v>AReyes@onebarnes.com.new.uat</v>
      </c>
      <c r="G7" s="39" t="s">
        <v>5790</v>
      </c>
      <c r="H7" s="78" t="s">
        <v>5712</v>
      </c>
      <c r="I7" t="str">
        <f>IFERROR(VLOOKUP(J7,'Language Map'!M:O,3,FALSE),"en_"&amp;J7)</f>
        <v>es_MX</v>
      </c>
      <c r="J7" s="78" t="s">
        <v>5864</v>
      </c>
      <c r="L7" s="78" t="s">
        <v>5872</v>
      </c>
      <c r="M7" t="str">
        <f>IFERROR(VLOOKUP(J7,'Country Map'!E:H,3,FALSE),"Country Currency Not Mapped")</f>
        <v>MXN</v>
      </c>
      <c r="O7" s="39" t="s">
        <v>5381</v>
      </c>
      <c r="P7" t="str">
        <f t="shared" si="1"/>
        <v>0075</v>
      </c>
      <c r="Q7" s="78" t="s">
        <v>5906</v>
      </c>
      <c r="W7" s="78" t="s">
        <v>755</v>
      </c>
      <c r="X7" t="str">
        <f>IFERROR(VLOOKUP(W7,'Salary Map'!A:D,3,FALSE),"Salary Code Not Mapped")</f>
        <v>Default</v>
      </c>
      <c r="Z7" t="str">
        <f t="shared" si="2"/>
        <v>SALES</v>
      </c>
      <c r="AP7" t="str">
        <f t="shared" si="3"/>
        <v>0075</v>
      </c>
      <c r="BG7" s="78" t="s">
        <v>5629</v>
      </c>
      <c r="BK7" s="39" t="s">
        <v>5381</v>
      </c>
      <c r="BL7" s="39" t="s">
        <v>5381</v>
      </c>
      <c r="BU7" s="39" t="s">
        <v>5381</v>
      </c>
      <c r="BV7" s="39" t="s">
        <v>5381</v>
      </c>
      <c r="CE7" s="39" t="s">
        <v>5381</v>
      </c>
    </row>
    <row r="8" spans="1:137" ht="16" thickBot="1">
      <c r="A8" s="62" t="s">
        <v>5380</v>
      </c>
      <c r="B8" s="78" t="s">
        <v>5498</v>
      </c>
      <c r="D8" s="78" t="s">
        <v>5570</v>
      </c>
      <c r="E8" s="78" t="s">
        <v>5634</v>
      </c>
      <c r="F8" s="78" t="str">
        <f t="shared" si="0"/>
        <v>HMartinez@onebarnes.com.new.uat</v>
      </c>
      <c r="G8" s="39" t="s">
        <v>5791</v>
      </c>
      <c r="H8" s="78" t="s">
        <v>5713</v>
      </c>
      <c r="I8" t="str">
        <f>IFERROR(VLOOKUP(J8,'Language Map'!M:O,3,FALSE),"en_"&amp;J8)</f>
        <v>es_MX</v>
      </c>
      <c r="J8" s="78" t="s">
        <v>5864</v>
      </c>
      <c r="L8" s="78" t="s">
        <v>5872</v>
      </c>
      <c r="M8" t="str">
        <f>IFERROR(VLOOKUP(J8,'Country Map'!E:H,3,FALSE),"Country Currency Not Mapped")</f>
        <v>MXN</v>
      </c>
      <c r="O8" s="39" t="s">
        <v>5381</v>
      </c>
      <c r="P8" t="str">
        <f t="shared" si="1"/>
        <v>0075</v>
      </c>
      <c r="Q8" s="78" t="s">
        <v>5906</v>
      </c>
      <c r="W8" s="78" t="s">
        <v>1755</v>
      </c>
      <c r="X8" t="str">
        <f>IFERROR(VLOOKUP(W8,'Salary Map'!A:D,3,FALSE),"Salary Code Not Mapped")</f>
        <v>Default</v>
      </c>
      <c r="Z8" t="str">
        <f t="shared" si="2"/>
        <v>SALES</v>
      </c>
      <c r="AP8" t="str">
        <f t="shared" si="3"/>
        <v>0075</v>
      </c>
      <c r="BG8" s="78" t="s">
        <v>4668</v>
      </c>
      <c r="BK8" s="39" t="s">
        <v>5381</v>
      </c>
      <c r="BL8" s="39" t="s">
        <v>5381</v>
      </c>
      <c r="BU8" s="39" t="s">
        <v>5381</v>
      </c>
      <c r="BV8" s="39" t="s">
        <v>5381</v>
      </c>
      <c r="CE8" s="39" t="s">
        <v>5381</v>
      </c>
    </row>
    <row r="9" spans="1:137" ht="16" thickBot="1">
      <c r="A9" s="62" t="s">
        <v>5380</v>
      </c>
      <c r="B9" s="78" t="s">
        <v>5499</v>
      </c>
      <c r="D9" s="78" t="s">
        <v>5571</v>
      </c>
      <c r="E9" s="78" t="s">
        <v>5635</v>
      </c>
      <c r="F9" s="78" t="str">
        <f t="shared" si="0"/>
        <v>ecarrizales@onebarnes.com.new.uat</v>
      </c>
      <c r="G9" s="39" t="s">
        <v>5792</v>
      </c>
      <c r="H9" s="78" t="s">
        <v>5714</v>
      </c>
      <c r="I9" t="str">
        <f>IFERROR(VLOOKUP(J9,'Language Map'!M:O,3,FALSE),"en_"&amp;J9)</f>
        <v>es_MX</v>
      </c>
      <c r="J9" s="78" t="s">
        <v>5864</v>
      </c>
      <c r="L9" s="78" t="s">
        <v>5872</v>
      </c>
      <c r="M9" t="str">
        <f>IFERROR(VLOOKUP(J9,'Country Map'!E:H,3,FALSE),"Country Currency Not Mapped")</f>
        <v>MXN</v>
      </c>
      <c r="O9" s="39" t="s">
        <v>5381</v>
      </c>
      <c r="P9" t="str">
        <f t="shared" si="1"/>
        <v>0075</v>
      </c>
      <c r="Q9" s="78" t="s">
        <v>5906</v>
      </c>
      <c r="W9" s="78" t="s">
        <v>505</v>
      </c>
      <c r="X9" t="str">
        <f>IFERROR(VLOOKUP(W9,'Salary Map'!A:D,3,FALSE),"Salary Code Not Mapped")</f>
        <v>Default</v>
      </c>
      <c r="Z9" t="str">
        <f t="shared" si="2"/>
        <v>SALES</v>
      </c>
      <c r="AP9" t="str">
        <f t="shared" si="3"/>
        <v>0075</v>
      </c>
      <c r="BG9" s="78" t="s">
        <v>5629</v>
      </c>
      <c r="BK9" s="39" t="s">
        <v>5381</v>
      </c>
      <c r="BL9" s="39" t="s">
        <v>5381</v>
      </c>
      <c r="BU9" s="39" t="s">
        <v>5381</v>
      </c>
      <c r="BV9" s="39" t="s">
        <v>5381</v>
      </c>
      <c r="CE9" s="39" t="s">
        <v>5381</v>
      </c>
    </row>
    <row r="10" spans="1:137" ht="16" thickBot="1">
      <c r="A10" s="62" t="s">
        <v>5380</v>
      </c>
      <c r="B10" s="78" t="s">
        <v>5500</v>
      </c>
      <c r="D10" s="78" t="s">
        <v>5572</v>
      </c>
      <c r="E10" s="78" t="s">
        <v>5636</v>
      </c>
      <c r="F10" s="78" t="str">
        <f t="shared" si="0"/>
        <v>dmcneilly@onebarnes.com.new.uat</v>
      </c>
      <c r="G10" s="39" t="s">
        <v>5793</v>
      </c>
      <c r="H10" s="78" t="s">
        <v>5715</v>
      </c>
      <c r="I10" t="str">
        <f>IFERROR(VLOOKUP(J10,'Language Map'!M:O,3,FALSE),"en_"&amp;J10)</f>
        <v>en_GB</v>
      </c>
      <c r="J10" s="78" t="s">
        <v>5865</v>
      </c>
      <c r="L10" s="78" t="s">
        <v>5873</v>
      </c>
      <c r="M10" t="str">
        <f>IFERROR(VLOOKUP(J10,'Country Map'!E:H,3,FALSE),"Country Currency Not Mapped")</f>
        <v>GBP</v>
      </c>
      <c r="O10" s="39" t="s">
        <v>5381</v>
      </c>
      <c r="P10" t="str">
        <f t="shared" si="1"/>
        <v>0035</v>
      </c>
      <c r="Q10" s="85"/>
      <c r="W10" s="78" t="s">
        <v>80</v>
      </c>
      <c r="X10" t="str">
        <f>IFERROR(VLOOKUP(W10,'Salary Map'!A:D,3,FALSE),"Salary Code Not Mapped")</f>
        <v>Default</v>
      </c>
      <c r="Z10">
        <f t="shared" si="2"/>
        <v>0</v>
      </c>
      <c r="AP10" t="str">
        <f t="shared" si="3"/>
        <v>0035</v>
      </c>
      <c r="BG10" s="78" t="s">
        <v>5919</v>
      </c>
      <c r="BK10" s="39" t="s">
        <v>5381</v>
      </c>
      <c r="BL10" s="39" t="s">
        <v>5381</v>
      </c>
      <c r="BU10" s="39" t="s">
        <v>5381</v>
      </c>
      <c r="BV10" s="39" t="s">
        <v>5381</v>
      </c>
      <c r="CE10" s="39" t="s">
        <v>5381</v>
      </c>
    </row>
    <row r="11" spans="1:137" ht="16" thickBot="1">
      <c r="A11" s="62" t="s">
        <v>5380</v>
      </c>
      <c r="B11" s="78" t="s">
        <v>5501</v>
      </c>
      <c r="D11" s="78" t="s">
        <v>5573</v>
      </c>
      <c r="E11" s="78" t="s">
        <v>5637</v>
      </c>
      <c r="F11" s="78" t="str">
        <f t="shared" si="0"/>
        <v>thanks@assocspring.co.uk.new.uat</v>
      </c>
      <c r="G11" s="39" t="s">
        <v>5794</v>
      </c>
      <c r="H11" s="78" t="s">
        <v>5716</v>
      </c>
      <c r="I11" t="str">
        <f>IFERROR(VLOOKUP(J11,'Language Map'!M:O,3,FALSE),"en_"&amp;J11)</f>
        <v>en_GB</v>
      </c>
      <c r="J11" s="78" t="s">
        <v>5865</v>
      </c>
      <c r="L11" s="78" t="s">
        <v>5873</v>
      </c>
      <c r="M11" t="str">
        <f>IFERROR(VLOOKUP(J11,'Country Map'!E:H,3,FALSE),"Country Currency Not Mapped")</f>
        <v>GBP</v>
      </c>
      <c r="O11" s="39" t="s">
        <v>5381</v>
      </c>
      <c r="P11" t="str">
        <f t="shared" si="1"/>
        <v>0035</v>
      </c>
      <c r="Q11" s="85"/>
      <c r="W11" s="78" t="s">
        <v>1755</v>
      </c>
      <c r="X11" t="str">
        <f>IFERROR(VLOOKUP(W11,'Salary Map'!A:D,3,FALSE),"Salary Code Not Mapped")</f>
        <v>Default</v>
      </c>
      <c r="Z11">
        <f t="shared" si="2"/>
        <v>0</v>
      </c>
      <c r="AP11" t="str">
        <f t="shared" si="3"/>
        <v>0035</v>
      </c>
      <c r="BG11" s="78" t="s">
        <v>5645</v>
      </c>
      <c r="BK11" s="39" t="s">
        <v>5381</v>
      </c>
      <c r="BL11" s="39" t="s">
        <v>5381</v>
      </c>
      <c r="BU11" s="39" t="s">
        <v>5381</v>
      </c>
      <c r="BV11" s="39" t="s">
        <v>5381</v>
      </c>
      <c r="CE11" s="39" t="s">
        <v>5381</v>
      </c>
    </row>
    <row r="12" spans="1:137" ht="16" thickBot="1">
      <c r="A12" s="62" t="s">
        <v>5380</v>
      </c>
      <c r="B12" s="78" t="s">
        <v>5502</v>
      </c>
      <c r="D12" s="78" t="s">
        <v>5574</v>
      </c>
      <c r="E12" s="78" t="s">
        <v>5638</v>
      </c>
      <c r="F12" s="78" t="str">
        <f t="shared" si="0"/>
        <v>sjeantheodore@assocspring.co.uk.new.uat</v>
      </c>
      <c r="G12" s="39" t="s">
        <v>5795</v>
      </c>
      <c r="H12" s="78" t="s">
        <v>5717</v>
      </c>
      <c r="I12" t="str">
        <f>IFERROR(VLOOKUP(J12,'Language Map'!M:O,3,FALSE),"en_"&amp;J12)</f>
        <v>en_GB</v>
      </c>
      <c r="J12" s="78" t="s">
        <v>5865</v>
      </c>
      <c r="L12" s="78" t="s">
        <v>5873</v>
      </c>
      <c r="M12" t="str">
        <f>IFERROR(VLOOKUP(J12,'Country Map'!E:H,3,FALSE),"Country Currency Not Mapped")</f>
        <v>GBP</v>
      </c>
      <c r="O12" s="39" t="s">
        <v>5381</v>
      </c>
      <c r="P12" t="str">
        <f t="shared" si="1"/>
        <v>0035</v>
      </c>
      <c r="Q12" s="85"/>
      <c r="W12" s="78" t="s">
        <v>1755</v>
      </c>
      <c r="X12" t="str">
        <f>IFERROR(VLOOKUP(W12,'Salary Map'!A:D,3,FALSE),"Salary Code Not Mapped")</f>
        <v>Default</v>
      </c>
      <c r="Z12">
        <f t="shared" si="2"/>
        <v>0</v>
      </c>
      <c r="AP12" t="str">
        <f t="shared" si="3"/>
        <v>0035</v>
      </c>
      <c r="BG12" s="78" t="s">
        <v>575</v>
      </c>
      <c r="BK12" s="39" t="s">
        <v>5381</v>
      </c>
      <c r="BL12" s="39" t="s">
        <v>5381</v>
      </c>
      <c r="BU12" s="39" t="s">
        <v>5381</v>
      </c>
      <c r="BV12" s="39" t="s">
        <v>5381</v>
      </c>
      <c r="CE12" s="39" t="s">
        <v>5381</v>
      </c>
    </row>
    <row r="13" spans="1:137" ht="16" thickBot="1">
      <c r="A13" s="62" t="s">
        <v>5380</v>
      </c>
      <c r="B13" s="78" t="s">
        <v>5503</v>
      </c>
      <c r="D13" s="78" t="s">
        <v>5575</v>
      </c>
      <c r="E13" s="78" t="s">
        <v>5639</v>
      </c>
      <c r="F13" s="78" t="str">
        <f t="shared" si="0"/>
        <v>dlewis@onebarnes.com.new.uat</v>
      </c>
      <c r="G13" s="39" t="s">
        <v>5796</v>
      </c>
      <c r="H13" s="78" t="s">
        <v>5718</v>
      </c>
      <c r="I13" t="str">
        <f>IFERROR(VLOOKUP(J13,'Language Map'!M:O,3,FALSE),"en_"&amp;J13)</f>
        <v>en_GB</v>
      </c>
      <c r="J13" s="78" t="s">
        <v>5865</v>
      </c>
      <c r="L13" s="78" t="s">
        <v>5873</v>
      </c>
      <c r="M13" t="str">
        <f>IFERROR(VLOOKUP(J13,'Country Map'!E:H,3,FALSE),"Country Currency Not Mapped")</f>
        <v>GBP</v>
      </c>
      <c r="O13" s="39" t="s">
        <v>5381</v>
      </c>
      <c r="P13" t="str">
        <f t="shared" si="1"/>
        <v>0035</v>
      </c>
      <c r="Q13" s="85"/>
      <c r="W13" s="78" t="s">
        <v>680</v>
      </c>
      <c r="X13" t="str">
        <f>IFERROR(VLOOKUP(W13,'Salary Map'!A:D,3,FALSE),"Salary Code Not Mapped")</f>
        <v>Default</v>
      </c>
      <c r="Z13">
        <f t="shared" si="2"/>
        <v>0</v>
      </c>
      <c r="AP13" t="str">
        <f t="shared" si="3"/>
        <v>0035</v>
      </c>
      <c r="BG13" s="78" t="s">
        <v>5640</v>
      </c>
      <c r="BK13" s="39" t="s">
        <v>5381</v>
      </c>
      <c r="BL13" s="39" t="s">
        <v>5381</v>
      </c>
      <c r="BU13" s="39" t="s">
        <v>5381</v>
      </c>
      <c r="BV13" s="39" t="s">
        <v>5381</v>
      </c>
      <c r="CE13" s="39" t="s">
        <v>5381</v>
      </c>
    </row>
    <row r="14" spans="1:137" ht="16" thickBot="1">
      <c r="A14" s="62" t="s">
        <v>5380</v>
      </c>
      <c r="B14" s="78" t="s">
        <v>5504</v>
      </c>
      <c r="D14" s="78" t="s">
        <v>5576</v>
      </c>
      <c r="E14" s="78" t="s">
        <v>5640</v>
      </c>
      <c r="F14" s="78" t="str">
        <f t="shared" si="0"/>
        <v>rbishop@onebarnes.com.new.uat</v>
      </c>
      <c r="G14" s="39" t="s">
        <v>5797</v>
      </c>
      <c r="H14" s="78" t="s">
        <v>5719</v>
      </c>
      <c r="I14" t="str">
        <f>IFERROR(VLOOKUP(J14,'Language Map'!M:O,3,FALSE),"en_"&amp;J14)</f>
        <v>en_GB</v>
      </c>
      <c r="J14" s="78" t="s">
        <v>5865</v>
      </c>
      <c r="L14" s="78" t="s">
        <v>5873</v>
      </c>
      <c r="M14" t="str">
        <f>IFERROR(VLOOKUP(J14,'Country Map'!E:H,3,FALSE),"Country Currency Not Mapped")</f>
        <v>GBP</v>
      </c>
      <c r="O14" s="39" t="s">
        <v>5381</v>
      </c>
      <c r="P14" t="str">
        <f t="shared" si="1"/>
        <v>0035</v>
      </c>
      <c r="Q14" s="85"/>
      <c r="W14" s="78" t="s">
        <v>80</v>
      </c>
      <c r="X14" t="str">
        <f>IFERROR(VLOOKUP(W14,'Salary Map'!A:D,3,FALSE),"Salary Code Not Mapped")</f>
        <v>Default</v>
      </c>
      <c r="Z14">
        <f t="shared" si="2"/>
        <v>0</v>
      </c>
      <c r="AP14" t="str">
        <f t="shared" si="3"/>
        <v>0035</v>
      </c>
      <c r="BG14" s="78" t="s">
        <v>5920</v>
      </c>
      <c r="BK14" s="39" t="s">
        <v>5381</v>
      </c>
      <c r="BL14" s="39" t="s">
        <v>5381</v>
      </c>
      <c r="BU14" s="39" t="s">
        <v>5381</v>
      </c>
      <c r="BV14" s="39" t="s">
        <v>5381</v>
      </c>
      <c r="CE14" s="39" t="s">
        <v>5381</v>
      </c>
    </row>
    <row r="15" spans="1:137" ht="16" thickBot="1">
      <c r="A15" s="62" t="s">
        <v>5380</v>
      </c>
      <c r="B15" s="78" t="s">
        <v>5505</v>
      </c>
      <c r="D15" s="78" t="s">
        <v>5577</v>
      </c>
      <c r="E15" s="78" t="s">
        <v>5641</v>
      </c>
      <c r="F15" s="78" t="str">
        <f t="shared" si="0"/>
        <v>kbirch@assocspring.co.uk.new.uat</v>
      </c>
      <c r="G15" s="39" t="s">
        <v>5798</v>
      </c>
      <c r="H15" s="78" t="s">
        <v>5720</v>
      </c>
      <c r="I15" t="str">
        <f>IFERROR(VLOOKUP(J15,'Language Map'!M:O,3,FALSE),"en_"&amp;J15)</f>
        <v>en_GB</v>
      </c>
      <c r="J15" s="78" t="s">
        <v>5865</v>
      </c>
      <c r="L15" s="78" t="s">
        <v>5873</v>
      </c>
      <c r="M15" t="str">
        <f>IFERROR(VLOOKUP(J15,'Country Map'!E:H,3,FALSE),"Country Currency Not Mapped")</f>
        <v>GBP</v>
      </c>
      <c r="O15" s="39" t="s">
        <v>5381</v>
      </c>
      <c r="P15" t="str">
        <f t="shared" si="1"/>
        <v>0035</v>
      </c>
      <c r="Q15" s="85"/>
      <c r="W15" s="78" t="s">
        <v>955</v>
      </c>
      <c r="X15" t="str">
        <f>IFERROR(VLOOKUP(W15,'Salary Map'!A:D,3,FALSE),"Salary Code Not Mapped")</f>
        <v>Default</v>
      </c>
      <c r="Z15">
        <f t="shared" si="2"/>
        <v>0</v>
      </c>
      <c r="AP15" t="str">
        <f t="shared" si="3"/>
        <v>0035</v>
      </c>
      <c r="BG15" s="78" t="s">
        <v>5637</v>
      </c>
      <c r="BK15" s="39" t="s">
        <v>5381</v>
      </c>
      <c r="BL15" s="39" t="s">
        <v>5381</v>
      </c>
      <c r="BU15" s="39" t="s">
        <v>5381</v>
      </c>
      <c r="BV15" s="39" t="s">
        <v>5381</v>
      </c>
      <c r="CE15" s="39" t="s">
        <v>5381</v>
      </c>
    </row>
    <row r="16" spans="1:137" ht="16" thickBot="1">
      <c r="A16" s="62" t="s">
        <v>5380</v>
      </c>
      <c r="B16" s="78" t="s">
        <v>5506</v>
      </c>
      <c r="D16" s="78" t="s">
        <v>5578</v>
      </c>
      <c r="E16" s="78" t="s">
        <v>5642</v>
      </c>
      <c r="F16" s="78" t="str">
        <f t="shared" si="0"/>
        <v>CLuchini@onebarnes.com.new.uat</v>
      </c>
      <c r="G16" s="39" t="s">
        <v>5799</v>
      </c>
      <c r="H16" s="78" t="s">
        <v>5721</v>
      </c>
      <c r="I16" t="str">
        <f>IFERROR(VLOOKUP(J16,'Language Map'!M:O,3,FALSE),"en_"&amp;J16)</f>
        <v>en_GB</v>
      </c>
      <c r="J16" s="78" t="s">
        <v>5865</v>
      </c>
      <c r="L16" s="78" t="s">
        <v>5874</v>
      </c>
      <c r="M16" t="str">
        <f>IFERROR(VLOOKUP(J16,'Country Map'!E:H,3,FALSE),"Country Currency Not Mapped")</f>
        <v>GBP</v>
      </c>
      <c r="O16" s="39" t="s">
        <v>5381</v>
      </c>
      <c r="P16" t="str">
        <f t="shared" si="1"/>
        <v>0218</v>
      </c>
      <c r="Q16" s="85"/>
      <c r="W16" s="78" t="s">
        <v>5912</v>
      </c>
      <c r="X16" t="str">
        <f>IFERROR(VLOOKUP(W16,'Salary Map'!A:D,3,FALSE),"Salary Code Not Mapped")</f>
        <v>Salary Code Not Mapped</v>
      </c>
      <c r="Z16">
        <f t="shared" si="2"/>
        <v>0</v>
      </c>
      <c r="AP16" t="str">
        <f t="shared" si="3"/>
        <v>0218</v>
      </c>
      <c r="BG16" s="78" t="s">
        <v>5921</v>
      </c>
      <c r="BK16" s="39" t="s">
        <v>5381</v>
      </c>
      <c r="BL16" s="39" t="s">
        <v>5381</v>
      </c>
      <c r="BU16" s="39" t="s">
        <v>5381</v>
      </c>
      <c r="BV16" s="39" t="s">
        <v>5381</v>
      </c>
      <c r="CE16" s="39" t="s">
        <v>5381</v>
      </c>
    </row>
    <row r="17" spans="1:83" s="90" customFormat="1" ht="16" thickBot="1">
      <c r="A17" s="88" t="s">
        <v>5380</v>
      </c>
      <c r="B17" s="89" t="s">
        <v>5507</v>
      </c>
      <c r="D17" s="89" t="s">
        <v>5579</v>
      </c>
      <c r="E17" s="89" t="s">
        <v>5643</v>
      </c>
      <c r="F17" s="78" t="str">
        <f t="shared" si="0"/>
        <v>jduvillard@onebarnes.com.new.uat</v>
      </c>
      <c r="G17" s="91" t="s">
        <v>5800</v>
      </c>
      <c r="H17" s="89" t="s">
        <v>5722</v>
      </c>
      <c r="I17" s="90" t="str">
        <f>IFERROR(VLOOKUP(J17,'Language Map'!M:O,3,FALSE),"en_"&amp;J17)</f>
        <v>en_GB</v>
      </c>
      <c r="J17" s="89" t="s">
        <v>5865</v>
      </c>
      <c r="L17" s="89" t="s">
        <v>5874</v>
      </c>
      <c r="M17" s="90" t="str">
        <f>IFERROR(VLOOKUP(J17,'Country Map'!E:H,3,FALSE),"Country Currency Not Mapped")</f>
        <v>GBP</v>
      </c>
      <c r="O17" s="91" t="s">
        <v>5381</v>
      </c>
      <c r="P17" s="90" t="str">
        <f t="shared" si="1"/>
        <v>0218</v>
      </c>
      <c r="Q17" s="92"/>
      <c r="W17" s="89" t="s">
        <v>305</v>
      </c>
      <c r="X17" s="90" t="str">
        <f>IFERROR(VLOOKUP(W17,'Salary Map'!A:D,3,FALSE),"Salary Code Not Mapped")</f>
        <v>Default</v>
      </c>
      <c r="Z17" s="90">
        <f t="shared" si="2"/>
        <v>0</v>
      </c>
      <c r="AC17" s="91" t="str">
        <f>"JP "&amp;D17</f>
        <v>JP Duvillard</v>
      </c>
      <c r="AP17" s="90" t="str">
        <f t="shared" si="3"/>
        <v>0218</v>
      </c>
      <c r="BG17" s="89" t="s">
        <v>5371</v>
      </c>
      <c r="BK17" s="91" t="s">
        <v>5381</v>
      </c>
      <c r="BL17" s="91" t="s">
        <v>5381</v>
      </c>
      <c r="BU17" s="91" t="s">
        <v>5381</v>
      </c>
      <c r="BV17" s="91" t="s">
        <v>5381</v>
      </c>
      <c r="CE17" s="91" t="s">
        <v>5381</v>
      </c>
    </row>
    <row r="18" spans="1:83" ht="16" thickBot="1">
      <c r="A18" s="62" t="s">
        <v>5380</v>
      </c>
      <c r="B18" s="78" t="s">
        <v>5508</v>
      </c>
      <c r="D18" s="78" t="s">
        <v>5580</v>
      </c>
      <c r="E18" s="78" t="s">
        <v>5644</v>
      </c>
      <c r="F18" s="78" t="str">
        <f t="shared" si="0"/>
        <v>MBryant@onebarnes.com.new.uat</v>
      </c>
      <c r="G18" s="39" t="s">
        <v>5801</v>
      </c>
      <c r="H18" s="78" t="s">
        <v>5723</v>
      </c>
      <c r="I18" t="str">
        <f>IFERROR(VLOOKUP(J18,'Language Map'!M:O,3,FALSE),"en_"&amp;J18)</f>
        <v>en_GB</v>
      </c>
      <c r="J18" s="78" t="s">
        <v>5865</v>
      </c>
      <c r="L18" s="78" t="s">
        <v>5874</v>
      </c>
      <c r="M18" t="str">
        <f>IFERROR(VLOOKUP(J18,'Country Map'!E:H,3,FALSE),"Country Currency Not Mapped")</f>
        <v>GBP</v>
      </c>
      <c r="O18" s="39" t="s">
        <v>5381</v>
      </c>
      <c r="P18" t="str">
        <f t="shared" si="1"/>
        <v>0218</v>
      </c>
      <c r="Q18" s="85"/>
      <c r="W18" s="78" t="s">
        <v>755</v>
      </c>
      <c r="X18" t="str">
        <f>IFERROR(VLOOKUP(W18,'Salary Map'!A:D,3,FALSE),"Salary Code Not Mapped")</f>
        <v>Default</v>
      </c>
      <c r="Z18">
        <f t="shared" si="2"/>
        <v>0</v>
      </c>
      <c r="AP18" t="str">
        <f t="shared" si="3"/>
        <v>0218</v>
      </c>
      <c r="BG18" s="78" t="s">
        <v>5922</v>
      </c>
      <c r="BK18" s="39" t="s">
        <v>5381</v>
      </c>
      <c r="BL18" s="39" t="s">
        <v>5381</v>
      </c>
      <c r="BU18" s="39" t="s">
        <v>5381</v>
      </c>
      <c r="BV18" s="39" t="s">
        <v>5381</v>
      </c>
      <c r="CE18" s="39" t="s">
        <v>5381</v>
      </c>
    </row>
    <row r="19" spans="1:83" s="77" customFormat="1" ht="16" thickBot="1">
      <c r="A19" s="62" t="s">
        <v>5380</v>
      </c>
      <c r="B19" s="79" t="s">
        <v>5509</v>
      </c>
      <c r="D19" s="79" t="s">
        <v>2383</v>
      </c>
      <c r="E19" s="79" t="s">
        <v>5645</v>
      </c>
      <c r="F19" s="78" t="str">
        <f t="shared" si="0"/>
        <v>linda.joseph@igsltd.co.uk.new.uat</v>
      </c>
      <c r="G19" s="80" t="s">
        <v>5802</v>
      </c>
      <c r="H19" s="79" t="s">
        <v>5724</v>
      </c>
      <c r="I19" t="str">
        <f>IFERROR(VLOOKUP(J19,'Language Map'!M:O,3,FALSE),"en_"&amp;J19)</f>
        <v>en_US</v>
      </c>
      <c r="J19" s="79" t="s">
        <v>5366</v>
      </c>
      <c r="L19" s="78" t="s">
        <v>5875</v>
      </c>
      <c r="M19" t="str">
        <f>IFERROR(VLOOKUP(J19,'Country Map'!E:H,3,FALSE),"Country Currency Not Mapped")</f>
        <v>USD</v>
      </c>
      <c r="O19" s="39" t="s">
        <v>5381</v>
      </c>
      <c r="P19" t="str">
        <f t="shared" si="1"/>
        <v>219</v>
      </c>
      <c r="Q19" s="78" t="s">
        <v>224</v>
      </c>
      <c r="W19" s="78" t="s">
        <v>5163</v>
      </c>
      <c r="X19" t="str">
        <f>IFERROR(VLOOKUP(W19,'Salary Map'!A:D,3,FALSE),"Salary Code Not Mapped")</f>
        <v>Grade 20</v>
      </c>
      <c r="Z19" t="str">
        <f t="shared" si="2"/>
        <v>Finance General</v>
      </c>
      <c r="AP19" t="str">
        <f t="shared" si="3"/>
        <v>219</v>
      </c>
      <c r="BG19" s="78" t="s">
        <v>5923</v>
      </c>
      <c r="BK19" s="39" t="s">
        <v>5381</v>
      </c>
      <c r="BL19" s="39" t="s">
        <v>5381</v>
      </c>
      <c r="BM19"/>
      <c r="BN19"/>
      <c r="BO19"/>
      <c r="BP19"/>
      <c r="BQ19"/>
      <c r="BR19"/>
      <c r="BS19"/>
      <c r="BT19"/>
      <c r="BU19" s="39" t="s">
        <v>5381</v>
      </c>
      <c r="BV19" s="39" t="s">
        <v>5381</v>
      </c>
      <c r="BW19"/>
      <c r="BX19"/>
      <c r="BY19"/>
      <c r="BZ19"/>
      <c r="CA19"/>
      <c r="CB19"/>
      <c r="CC19"/>
      <c r="CD19"/>
      <c r="CE19" s="39" t="s">
        <v>5381</v>
      </c>
    </row>
    <row r="20" spans="1:83" ht="16" thickBot="1">
      <c r="A20" s="62" t="s">
        <v>5380</v>
      </c>
      <c r="B20" s="78" t="s">
        <v>2085</v>
      </c>
      <c r="D20" s="78" t="s">
        <v>5581</v>
      </c>
      <c r="E20" s="78" t="s">
        <v>5646</v>
      </c>
      <c r="F20" s="78" t="str">
        <f t="shared" si="0"/>
        <v>KStreeter@onebarnes.com.new.uat</v>
      </c>
      <c r="G20" s="39" t="s">
        <v>5803</v>
      </c>
      <c r="H20" s="78" t="s">
        <v>5725</v>
      </c>
      <c r="I20" t="str">
        <f>IFERROR(VLOOKUP(J20,'Language Map'!M:O,3,FALSE),"en_"&amp;J20)</f>
        <v>en_GB</v>
      </c>
      <c r="J20" s="78" t="s">
        <v>5865</v>
      </c>
      <c r="L20" s="78" t="s">
        <v>5874</v>
      </c>
      <c r="M20" t="str">
        <f>IFERROR(VLOOKUP(J20,'Country Map'!E:H,3,FALSE),"Country Currency Not Mapped")</f>
        <v>GBP</v>
      </c>
      <c r="O20" s="39" t="s">
        <v>5381</v>
      </c>
      <c r="P20" t="str">
        <f t="shared" si="1"/>
        <v>0218</v>
      </c>
      <c r="Q20" s="85"/>
      <c r="W20" s="78" t="s">
        <v>305</v>
      </c>
      <c r="X20" t="str">
        <f>IFERROR(VLOOKUP(W20,'Salary Map'!A:D,3,FALSE),"Salary Code Not Mapped")</f>
        <v>Default</v>
      </c>
      <c r="Z20">
        <f t="shared" si="2"/>
        <v>0</v>
      </c>
      <c r="AP20" t="str">
        <f t="shared" si="3"/>
        <v>0218</v>
      </c>
      <c r="BG20" s="78" t="s">
        <v>5924</v>
      </c>
      <c r="BK20" s="39" t="s">
        <v>5381</v>
      </c>
      <c r="BL20" s="39" t="s">
        <v>5381</v>
      </c>
      <c r="BU20" s="39" t="s">
        <v>5381</v>
      </c>
      <c r="BV20" s="39" t="s">
        <v>5381</v>
      </c>
      <c r="CE20" s="39" t="s">
        <v>5381</v>
      </c>
    </row>
    <row r="21" spans="1:83" ht="16" thickBot="1">
      <c r="A21" s="62" t="s">
        <v>5380</v>
      </c>
      <c r="B21" s="78" t="s">
        <v>3433</v>
      </c>
      <c r="D21" s="78" t="s">
        <v>5582</v>
      </c>
      <c r="E21" s="78" t="s">
        <v>5647</v>
      </c>
      <c r="F21" s="78" t="str">
        <f t="shared" si="0"/>
        <v>BChilds@onebarnes.com.new.uat</v>
      </c>
      <c r="G21" s="39" t="s">
        <v>5804</v>
      </c>
      <c r="H21" s="78" t="s">
        <v>5726</v>
      </c>
      <c r="I21" t="str">
        <f>IFERROR(VLOOKUP(J21,'Language Map'!M:O,3,FALSE),"en_"&amp;J21)</f>
        <v>en_GB</v>
      </c>
      <c r="J21" s="78" t="s">
        <v>5865</v>
      </c>
      <c r="L21" s="78" t="s">
        <v>5874</v>
      </c>
      <c r="M21" t="str">
        <f>IFERROR(VLOOKUP(J21,'Country Map'!E:H,3,FALSE),"Country Currency Not Mapped")</f>
        <v>GBP</v>
      </c>
      <c r="O21" s="39" t="s">
        <v>5381</v>
      </c>
      <c r="P21" t="str">
        <f t="shared" si="1"/>
        <v>0218</v>
      </c>
      <c r="Q21" s="85"/>
      <c r="W21" s="78" t="s">
        <v>1755</v>
      </c>
      <c r="X21" t="str">
        <f>IFERROR(VLOOKUP(W21,'Salary Map'!A:D,3,FALSE),"Salary Code Not Mapped")</f>
        <v>Default</v>
      </c>
      <c r="Z21">
        <f t="shared" si="2"/>
        <v>0</v>
      </c>
      <c r="AP21" t="str">
        <f t="shared" si="3"/>
        <v>0218</v>
      </c>
      <c r="BG21" s="78" t="s">
        <v>5922</v>
      </c>
      <c r="BK21" s="39" t="s">
        <v>5381</v>
      </c>
      <c r="BL21" s="39" t="s">
        <v>5381</v>
      </c>
      <c r="BU21" s="39" t="s">
        <v>5381</v>
      </c>
      <c r="BV21" s="39" t="s">
        <v>5381</v>
      </c>
      <c r="CE21" s="39" t="s">
        <v>5381</v>
      </c>
    </row>
    <row r="22" spans="1:83" ht="16" thickBot="1">
      <c r="A22" s="62" t="s">
        <v>5380</v>
      </c>
      <c r="B22" s="78" t="s">
        <v>5510</v>
      </c>
      <c r="D22" s="78" t="s">
        <v>5583</v>
      </c>
      <c r="E22" s="78" t="s">
        <v>5648</v>
      </c>
      <c r="F22" s="78" t="str">
        <f t="shared" si="0"/>
        <v>jacky.yu@asbg.com.cn.new.uat</v>
      </c>
      <c r="G22" s="39" t="s">
        <v>5805</v>
      </c>
      <c r="H22" s="78" t="s">
        <v>5727</v>
      </c>
      <c r="I22" t="str">
        <f>IFERROR(VLOOKUP(J22,'Language Map'!M:O,3,FALSE),"en_"&amp;J22)</f>
        <v>zh_CN</v>
      </c>
      <c r="J22" s="78" t="s">
        <v>5866</v>
      </c>
      <c r="L22" s="78" t="s">
        <v>5876</v>
      </c>
      <c r="M22" t="str">
        <f>IFERROR(VLOOKUP(J22,'Country Map'!E:H,3,FALSE),"Country Currency Not Mapped")</f>
        <v>CNY</v>
      </c>
      <c r="O22" s="39" t="s">
        <v>5381</v>
      </c>
      <c r="P22" t="str">
        <f t="shared" si="1"/>
        <v>0079</v>
      </c>
      <c r="Q22" s="78" t="s">
        <v>5907</v>
      </c>
      <c r="W22" s="78" t="s">
        <v>805</v>
      </c>
      <c r="X22" t="str">
        <f>IFERROR(VLOOKUP(W22,'Salary Map'!A:D,3,FALSE),"Salary Code Not Mapped")</f>
        <v>Default</v>
      </c>
      <c r="Z22" t="str">
        <f t="shared" si="2"/>
        <v>Production</v>
      </c>
      <c r="AP22" t="str">
        <f t="shared" si="3"/>
        <v>0079</v>
      </c>
      <c r="BG22" s="78" t="s">
        <v>5657</v>
      </c>
      <c r="BK22" s="39" t="s">
        <v>5381</v>
      </c>
      <c r="BL22" s="39" t="s">
        <v>5381</v>
      </c>
      <c r="BU22" s="39" t="s">
        <v>5381</v>
      </c>
      <c r="BV22" s="39" t="s">
        <v>5381</v>
      </c>
      <c r="CE22" s="39" t="s">
        <v>5381</v>
      </c>
    </row>
    <row r="23" spans="1:83" ht="16" thickBot="1">
      <c r="A23" s="62" t="s">
        <v>5380</v>
      </c>
      <c r="B23" s="78" t="s">
        <v>5511</v>
      </c>
      <c r="D23" s="78" t="s">
        <v>5584</v>
      </c>
      <c r="E23" s="78" t="s">
        <v>5649</v>
      </c>
      <c r="F23" s="78" t="str">
        <f t="shared" si="0"/>
        <v>lliu@onebarnes.com.new.uat</v>
      </c>
      <c r="G23" s="39" t="s">
        <v>5806</v>
      </c>
      <c r="H23" s="78" t="s">
        <v>5728</v>
      </c>
      <c r="I23" t="str">
        <f>IFERROR(VLOOKUP(J23,'Language Map'!M:O,3,FALSE),"en_"&amp;J23)</f>
        <v>zh_CN</v>
      </c>
      <c r="J23" s="78" t="s">
        <v>5866</v>
      </c>
      <c r="L23" s="78" t="s">
        <v>5876</v>
      </c>
      <c r="M23" t="str">
        <f>IFERROR(VLOOKUP(J23,'Country Map'!E:H,3,FALSE),"Country Currency Not Mapped")</f>
        <v>CNY</v>
      </c>
      <c r="O23" s="39" t="s">
        <v>5381</v>
      </c>
      <c r="P23" t="str">
        <f t="shared" si="1"/>
        <v>0079</v>
      </c>
      <c r="Q23" s="78" t="s">
        <v>5907</v>
      </c>
      <c r="W23" s="78" t="s">
        <v>505</v>
      </c>
      <c r="X23" t="str">
        <f>IFERROR(VLOOKUP(W23,'Salary Map'!A:D,3,FALSE),"Salary Code Not Mapped")</f>
        <v>Default</v>
      </c>
      <c r="Z23" t="str">
        <f t="shared" si="2"/>
        <v>Production</v>
      </c>
      <c r="AP23" t="str">
        <f t="shared" si="3"/>
        <v>0079</v>
      </c>
      <c r="BG23" s="78" t="s">
        <v>5651</v>
      </c>
      <c r="BK23" s="39" t="s">
        <v>5381</v>
      </c>
      <c r="BL23" s="39" t="s">
        <v>5381</v>
      </c>
      <c r="BU23" s="39" t="s">
        <v>5381</v>
      </c>
      <c r="BV23" s="39" t="s">
        <v>5381</v>
      </c>
      <c r="CE23" s="39" t="s">
        <v>5381</v>
      </c>
    </row>
    <row r="24" spans="1:83" ht="16" thickBot="1">
      <c r="A24" s="62" t="s">
        <v>5380</v>
      </c>
      <c r="B24" s="78" t="s">
        <v>5512</v>
      </c>
      <c r="D24" s="78" t="s">
        <v>5585</v>
      </c>
      <c r="E24" s="78" t="s">
        <v>5650</v>
      </c>
      <c r="F24" s="78" t="str">
        <f t="shared" si="0"/>
        <v>CYang@onebarnes.com.new.uat</v>
      </c>
      <c r="G24" s="39" t="s">
        <v>5807</v>
      </c>
      <c r="H24" s="78" t="s">
        <v>5729</v>
      </c>
      <c r="I24" t="str">
        <f>IFERROR(VLOOKUP(J24,'Language Map'!M:O,3,FALSE),"en_"&amp;J24)</f>
        <v>zh_CN</v>
      </c>
      <c r="J24" s="78" t="s">
        <v>5866</v>
      </c>
      <c r="L24" s="78" t="s">
        <v>5876</v>
      </c>
      <c r="M24" t="str">
        <f>IFERROR(VLOOKUP(J24,'Country Map'!E:H,3,FALSE),"Country Currency Not Mapped")</f>
        <v>CNY</v>
      </c>
      <c r="O24" s="39" t="s">
        <v>5381</v>
      </c>
      <c r="P24" t="str">
        <f t="shared" si="1"/>
        <v>0079</v>
      </c>
      <c r="Q24" s="78" t="s">
        <v>5907</v>
      </c>
      <c r="W24" s="78" t="s">
        <v>505</v>
      </c>
      <c r="X24" t="str">
        <f>IFERROR(VLOOKUP(W24,'Salary Map'!A:D,3,FALSE),"Salary Code Not Mapped")</f>
        <v>Default</v>
      </c>
      <c r="Z24" t="str">
        <f t="shared" si="2"/>
        <v>Production</v>
      </c>
      <c r="AP24" t="str">
        <f t="shared" si="3"/>
        <v>0079</v>
      </c>
      <c r="BG24" s="78" t="s">
        <v>5657</v>
      </c>
      <c r="BK24" s="39" t="s">
        <v>5381</v>
      </c>
      <c r="BL24" s="39" t="s">
        <v>5381</v>
      </c>
      <c r="BU24" s="39" t="s">
        <v>5381</v>
      </c>
      <c r="BV24" s="39" t="s">
        <v>5381</v>
      </c>
      <c r="CE24" s="39" t="s">
        <v>5381</v>
      </c>
    </row>
    <row r="25" spans="1:83" ht="16" thickBot="1">
      <c r="A25" s="62" t="s">
        <v>5380</v>
      </c>
      <c r="B25" s="78" t="s">
        <v>5513</v>
      </c>
      <c r="D25" s="78" t="s">
        <v>5586</v>
      </c>
      <c r="E25" s="78" t="s">
        <v>5651</v>
      </c>
      <c r="F25" s="78" t="str">
        <f t="shared" si="0"/>
        <v>qtian@onebarnes.com.new.uat</v>
      </c>
      <c r="G25" s="39" t="s">
        <v>5808</v>
      </c>
      <c r="H25" s="78" t="s">
        <v>5730</v>
      </c>
      <c r="I25" t="str">
        <f>IFERROR(VLOOKUP(J25,'Language Map'!M:O,3,FALSE),"en_"&amp;J25)</f>
        <v>zh_CN</v>
      </c>
      <c r="J25" s="78" t="s">
        <v>5866</v>
      </c>
      <c r="L25" s="78" t="s">
        <v>5876</v>
      </c>
      <c r="M25" t="str">
        <f>IFERROR(VLOOKUP(J25,'Country Map'!E:H,3,FALSE),"Country Currency Not Mapped")</f>
        <v>CNY</v>
      </c>
      <c r="O25" s="39" t="s">
        <v>5381</v>
      </c>
      <c r="P25" t="str">
        <f t="shared" si="1"/>
        <v>0079</v>
      </c>
      <c r="Q25" s="78" t="s">
        <v>5907</v>
      </c>
      <c r="W25" s="78" t="s">
        <v>1755</v>
      </c>
      <c r="X25" t="str">
        <f>IFERROR(VLOOKUP(W25,'Salary Map'!A:D,3,FALSE),"Salary Code Not Mapped")</f>
        <v>Default</v>
      </c>
      <c r="Z25" t="str">
        <f t="shared" si="2"/>
        <v>Production</v>
      </c>
      <c r="AP25" t="str">
        <f t="shared" si="3"/>
        <v>0079</v>
      </c>
      <c r="BG25" s="78" t="s">
        <v>5657</v>
      </c>
      <c r="BK25" s="39" t="s">
        <v>5381</v>
      </c>
      <c r="BL25" s="39" t="s">
        <v>5381</v>
      </c>
      <c r="BU25" s="39" t="s">
        <v>5381</v>
      </c>
      <c r="BV25" s="39" t="s">
        <v>5381</v>
      </c>
      <c r="CE25" s="39" t="s">
        <v>5381</v>
      </c>
    </row>
    <row r="26" spans="1:83" ht="16" thickBot="1">
      <c r="A26" s="62" t="s">
        <v>5380</v>
      </c>
      <c r="B26" s="78" t="s">
        <v>5514</v>
      </c>
      <c r="D26" s="78" t="s">
        <v>5584</v>
      </c>
      <c r="E26" s="78" t="s">
        <v>5652</v>
      </c>
      <c r="F26" s="78" t="str">
        <f t="shared" si="0"/>
        <v>meliu@onebarnes.com.new.uat</v>
      </c>
      <c r="G26" s="39" t="s">
        <v>5809</v>
      </c>
      <c r="H26" s="78" t="s">
        <v>5731</v>
      </c>
      <c r="I26" t="str">
        <f>IFERROR(VLOOKUP(J26,'Language Map'!M:O,3,FALSE),"en_"&amp;J26)</f>
        <v>zh_CN</v>
      </c>
      <c r="J26" s="78" t="s">
        <v>5866</v>
      </c>
      <c r="L26" s="78" t="s">
        <v>5876</v>
      </c>
      <c r="M26" t="str">
        <f>IFERROR(VLOOKUP(J26,'Country Map'!E:H,3,FALSE),"Country Currency Not Mapped")</f>
        <v>CNY</v>
      </c>
      <c r="O26" s="39" t="s">
        <v>5381</v>
      </c>
      <c r="P26" t="str">
        <f t="shared" si="1"/>
        <v>0079</v>
      </c>
      <c r="Q26" s="78" t="s">
        <v>5907</v>
      </c>
      <c r="W26" s="78" t="s">
        <v>505</v>
      </c>
      <c r="X26" t="str">
        <f>IFERROR(VLOOKUP(W26,'Salary Map'!A:D,3,FALSE),"Salary Code Not Mapped")</f>
        <v>Default</v>
      </c>
      <c r="Z26" t="str">
        <f t="shared" si="2"/>
        <v>Production</v>
      </c>
      <c r="AP26" t="str">
        <f t="shared" si="3"/>
        <v>0079</v>
      </c>
      <c r="BG26" s="78" t="s">
        <v>5651</v>
      </c>
      <c r="BK26" s="39" t="s">
        <v>5381</v>
      </c>
      <c r="BL26" s="39" t="s">
        <v>5381</v>
      </c>
      <c r="BU26" s="39" t="s">
        <v>5381</v>
      </c>
      <c r="BV26" s="39" t="s">
        <v>5381</v>
      </c>
      <c r="CE26" s="39" t="s">
        <v>5381</v>
      </c>
    </row>
    <row r="27" spans="1:83" ht="16" thickBot="1">
      <c r="A27" s="62" t="s">
        <v>5380</v>
      </c>
      <c r="B27" s="78" t="s">
        <v>5515</v>
      </c>
      <c r="D27" s="78" t="s">
        <v>5587</v>
      </c>
      <c r="E27" s="78" t="s">
        <v>5653</v>
      </c>
      <c r="F27" s="78" t="str">
        <f t="shared" si="0"/>
        <v>MLi@onebarnes.com.new.uat</v>
      </c>
      <c r="G27" s="39" t="s">
        <v>5810</v>
      </c>
      <c r="H27" s="78" t="s">
        <v>5732</v>
      </c>
      <c r="I27" t="str">
        <f>IFERROR(VLOOKUP(J27,'Language Map'!M:O,3,FALSE),"en_"&amp;J27)</f>
        <v>zh_CN</v>
      </c>
      <c r="J27" s="78" t="s">
        <v>5866</v>
      </c>
      <c r="L27" s="78" t="s">
        <v>5876</v>
      </c>
      <c r="M27" t="str">
        <f>IFERROR(VLOOKUP(J27,'Country Map'!E:H,3,FALSE),"Country Currency Not Mapped")</f>
        <v>CNY</v>
      </c>
      <c r="O27" s="39" t="s">
        <v>5381</v>
      </c>
      <c r="P27" t="str">
        <f t="shared" si="1"/>
        <v>0079</v>
      </c>
      <c r="Q27" s="78" t="s">
        <v>5907</v>
      </c>
      <c r="W27" s="78" t="s">
        <v>505</v>
      </c>
      <c r="X27" t="str">
        <f>IFERROR(VLOOKUP(W27,'Salary Map'!A:D,3,FALSE),"Salary Code Not Mapped")</f>
        <v>Default</v>
      </c>
      <c r="Z27" t="str">
        <f t="shared" si="2"/>
        <v>Production</v>
      </c>
      <c r="AP27" t="str">
        <f t="shared" si="3"/>
        <v>0079</v>
      </c>
      <c r="BG27" s="78" t="s">
        <v>5651</v>
      </c>
      <c r="BK27" s="39" t="s">
        <v>5381</v>
      </c>
      <c r="BL27" s="39" t="s">
        <v>5381</v>
      </c>
      <c r="BU27" s="39" t="s">
        <v>5381</v>
      </c>
      <c r="BV27" s="39" t="s">
        <v>5381</v>
      </c>
      <c r="CE27" s="39" t="s">
        <v>5381</v>
      </c>
    </row>
    <row r="28" spans="1:83" ht="16" thickBot="1">
      <c r="A28" s="62" t="s">
        <v>5380</v>
      </c>
      <c r="B28" s="78" t="s">
        <v>5516</v>
      </c>
      <c r="D28" s="78" t="s">
        <v>5588</v>
      </c>
      <c r="E28" s="78" t="s">
        <v>5654</v>
      </c>
      <c r="F28" s="78" t="str">
        <f t="shared" si="0"/>
        <v>ZZhang@onebarnes.com.new.uat</v>
      </c>
      <c r="G28" s="39" t="s">
        <v>5811</v>
      </c>
      <c r="H28" s="78" t="s">
        <v>5733</v>
      </c>
      <c r="I28" t="str">
        <f>IFERROR(VLOOKUP(J28,'Language Map'!M:O,3,FALSE),"en_"&amp;J28)</f>
        <v>zh_CN</v>
      </c>
      <c r="J28" s="78" t="s">
        <v>5866</v>
      </c>
      <c r="L28" s="78" t="s">
        <v>5876</v>
      </c>
      <c r="M28" t="str">
        <f>IFERROR(VLOOKUP(J28,'Country Map'!E:H,3,FALSE),"Country Currency Not Mapped")</f>
        <v>CNY</v>
      </c>
      <c r="O28" s="39" t="s">
        <v>5381</v>
      </c>
      <c r="P28" t="str">
        <f t="shared" si="1"/>
        <v>0079</v>
      </c>
      <c r="Q28" s="78" t="s">
        <v>5907</v>
      </c>
      <c r="W28" s="78" t="s">
        <v>505</v>
      </c>
      <c r="X28" t="str">
        <f>IFERROR(VLOOKUP(W28,'Salary Map'!A:D,3,FALSE),"Salary Code Not Mapped")</f>
        <v>Default</v>
      </c>
      <c r="Z28" t="str">
        <f t="shared" si="2"/>
        <v>Production</v>
      </c>
      <c r="AP28" t="str">
        <f t="shared" si="3"/>
        <v>0079</v>
      </c>
      <c r="BG28" s="78" t="s">
        <v>5650</v>
      </c>
      <c r="BK28" s="39" t="s">
        <v>5381</v>
      </c>
      <c r="BL28" s="39" t="s">
        <v>5381</v>
      </c>
      <c r="BU28" s="39" t="s">
        <v>5381</v>
      </c>
      <c r="BV28" s="39" t="s">
        <v>5381</v>
      </c>
      <c r="CE28" s="39" t="s">
        <v>5381</v>
      </c>
    </row>
    <row r="29" spans="1:83" ht="16" thickBot="1">
      <c r="A29" s="62" t="s">
        <v>5380</v>
      </c>
      <c r="B29" s="78" t="s">
        <v>5517</v>
      </c>
      <c r="D29" s="78" t="s">
        <v>5589</v>
      </c>
      <c r="E29" s="78" t="s">
        <v>5655</v>
      </c>
      <c r="F29" s="78" t="str">
        <f t="shared" si="0"/>
        <v>juntao.hu@asbg.com.cn.new.uat</v>
      </c>
      <c r="G29" s="39" t="s">
        <v>5812</v>
      </c>
      <c r="H29" s="78" t="s">
        <v>5734</v>
      </c>
      <c r="I29" t="str">
        <f>IFERROR(VLOOKUP(J29,'Language Map'!M:O,3,FALSE),"en_"&amp;J29)</f>
        <v>zh_CN</v>
      </c>
      <c r="J29" s="78" t="s">
        <v>5866</v>
      </c>
      <c r="L29" s="78" t="s">
        <v>5876</v>
      </c>
      <c r="M29" t="str">
        <f>IFERROR(VLOOKUP(J29,'Country Map'!E:H,3,FALSE),"Country Currency Not Mapped")</f>
        <v>CNY</v>
      </c>
      <c r="O29" s="39" t="s">
        <v>5381</v>
      </c>
      <c r="P29" t="str">
        <f t="shared" si="1"/>
        <v>0079</v>
      </c>
      <c r="Q29" s="78" t="s">
        <v>5908</v>
      </c>
      <c r="W29" s="78" t="s">
        <v>880</v>
      </c>
      <c r="X29" t="str">
        <f>IFERROR(VLOOKUP(W29,'Salary Map'!A:D,3,FALSE),"Salary Code Not Mapped")</f>
        <v>Default</v>
      </c>
      <c r="Z29" t="str">
        <f t="shared" si="2"/>
        <v>G&amp;A</v>
      </c>
      <c r="AP29" t="str">
        <f t="shared" si="3"/>
        <v>0079</v>
      </c>
      <c r="BG29" s="78" t="s">
        <v>5925</v>
      </c>
      <c r="BK29" s="39" t="s">
        <v>5381</v>
      </c>
      <c r="BL29" s="39" t="s">
        <v>5381</v>
      </c>
      <c r="BU29" s="39" t="s">
        <v>5381</v>
      </c>
      <c r="BV29" s="39" t="s">
        <v>5381</v>
      </c>
      <c r="CE29" s="39" t="s">
        <v>5381</v>
      </c>
    </row>
    <row r="30" spans="1:83" ht="16" thickBot="1">
      <c r="A30" s="62" t="s">
        <v>5380</v>
      </c>
      <c r="B30" s="78" t="s">
        <v>5518</v>
      </c>
      <c r="D30" s="78" t="s">
        <v>5590</v>
      </c>
      <c r="E30" s="78" t="s">
        <v>5656</v>
      </c>
      <c r="F30" s="78" t="str">
        <f t="shared" si="0"/>
        <v>lenie@onebarnes.com.new.uat</v>
      </c>
      <c r="G30" s="39" t="s">
        <v>5813</v>
      </c>
      <c r="H30" s="78" t="s">
        <v>5735</v>
      </c>
      <c r="I30" t="str">
        <f>IFERROR(VLOOKUP(J30,'Language Map'!M:O,3,FALSE),"en_"&amp;J30)</f>
        <v>zh_CN</v>
      </c>
      <c r="J30" s="78" t="s">
        <v>5866</v>
      </c>
      <c r="L30" s="78" t="s">
        <v>5876</v>
      </c>
      <c r="M30" t="str">
        <f>IFERROR(VLOOKUP(J30,'Country Map'!E:H,3,FALSE),"Country Currency Not Mapped")</f>
        <v>CNY</v>
      </c>
      <c r="O30" s="39" t="s">
        <v>5381</v>
      </c>
      <c r="P30" t="str">
        <f t="shared" si="1"/>
        <v>0079</v>
      </c>
      <c r="Q30" s="78" t="s">
        <v>5909</v>
      </c>
      <c r="W30" s="78" t="s">
        <v>755</v>
      </c>
      <c r="X30" t="str">
        <f>IFERROR(VLOOKUP(W30,'Salary Map'!A:D,3,FALSE),"Salary Code Not Mapped")</f>
        <v>Default</v>
      </c>
      <c r="Z30" t="str">
        <f t="shared" si="2"/>
        <v>Selling</v>
      </c>
      <c r="AP30" t="str">
        <f t="shared" si="3"/>
        <v>0079</v>
      </c>
      <c r="BG30" s="78" t="s">
        <v>5655</v>
      </c>
      <c r="BK30" s="39" t="s">
        <v>5381</v>
      </c>
      <c r="BL30" s="39" t="s">
        <v>5381</v>
      </c>
      <c r="BU30" s="39" t="s">
        <v>5381</v>
      </c>
      <c r="BV30" s="39" t="s">
        <v>5381</v>
      </c>
      <c r="CE30" s="39" t="s">
        <v>5381</v>
      </c>
    </row>
    <row r="31" spans="1:83" ht="16" thickBot="1">
      <c r="A31" s="62" t="s">
        <v>5380</v>
      </c>
      <c r="B31" s="78" t="s">
        <v>5519</v>
      </c>
      <c r="D31" s="78" t="s">
        <v>5591</v>
      </c>
      <c r="E31" s="78" t="s">
        <v>5657</v>
      </c>
      <c r="F31" s="78" t="str">
        <f t="shared" si="0"/>
        <v>hosong@onebarnes.com.new.uat</v>
      </c>
      <c r="G31" s="39" t="s">
        <v>5814</v>
      </c>
      <c r="H31" s="78" t="s">
        <v>5736</v>
      </c>
      <c r="I31" t="str">
        <f>IFERROR(VLOOKUP(J31,'Language Map'!M:O,3,FALSE),"en_"&amp;J31)</f>
        <v>zh_CN</v>
      </c>
      <c r="J31" s="78" t="s">
        <v>5866</v>
      </c>
      <c r="L31" s="78" t="s">
        <v>5876</v>
      </c>
      <c r="M31" t="str">
        <f>IFERROR(VLOOKUP(J31,'Country Map'!E:H,3,FALSE),"Country Currency Not Mapped")</f>
        <v>CNY</v>
      </c>
      <c r="O31" s="39" t="s">
        <v>5381</v>
      </c>
      <c r="P31" t="str">
        <f t="shared" si="1"/>
        <v>0079</v>
      </c>
      <c r="Q31" s="78" t="s">
        <v>5907</v>
      </c>
      <c r="W31" s="78" t="s">
        <v>305</v>
      </c>
      <c r="X31" t="str">
        <f>IFERROR(VLOOKUP(W31,'Salary Map'!A:D,3,FALSE),"Salary Code Not Mapped")</f>
        <v>Default</v>
      </c>
      <c r="Z31" t="str">
        <f t="shared" si="2"/>
        <v>Production</v>
      </c>
      <c r="AP31" t="str">
        <f t="shared" si="3"/>
        <v>0079</v>
      </c>
      <c r="BG31" s="78" t="s">
        <v>5655</v>
      </c>
      <c r="BK31" s="39" t="s">
        <v>5381</v>
      </c>
      <c r="BL31" s="39" t="s">
        <v>5381</v>
      </c>
      <c r="BU31" s="39" t="s">
        <v>5381</v>
      </c>
      <c r="BV31" s="39" t="s">
        <v>5381</v>
      </c>
      <c r="CE31" s="39" t="s">
        <v>5381</v>
      </c>
    </row>
    <row r="32" spans="1:83" ht="16" thickBot="1">
      <c r="A32" s="62" t="s">
        <v>5380</v>
      </c>
      <c r="B32" s="78" t="s">
        <v>5520</v>
      </c>
      <c r="D32" s="78" t="s">
        <v>5592</v>
      </c>
      <c r="E32" s="78" t="s">
        <v>5658</v>
      </c>
      <c r="F32" s="78" t="str">
        <f t="shared" si="0"/>
        <v>PHou@onebarnes.com.new.uat</v>
      </c>
      <c r="G32" s="39" t="s">
        <v>5815</v>
      </c>
      <c r="H32" s="78" t="s">
        <v>5737</v>
      </c>
      <c r="I32" t="str">
        <f>IFERROR(VLOOKUP(J32,'Language Map'!M:O,3,FALSE),"en_"&amp;J32)</f>
        <v>zh_CN</v>
      </c>
      <c r="J32" s="78" t="s">
        <v>5866</v>
      </c>
      <c r="L32" s="78" t="s">
        <v>5876</v>
      </c>
      <c r="M32" t="str">
        <f>IFERROR(VLOOKUP(J32,'Country Map'!E:H,3,FALSE),"Country Currency Not Mapped")</f>
        <v>CNY</v>
      </c>
      <c r="O32" s="39" t="s">
        <v>5381</v>
      </c>
      <c r="P32" t="str">
        <f t="shared" si="1"/>
        <v>0079</v>
      </c>
      <c r="Q32" s="78" t="s">
        <v>5907</v>
      </c>
      <c r="W32" s="78" t="s">
        <v>755</v>
      </c>
      <c r="X32" t="str">
        <f>IFERROR(VLOOKUP(W32,'Salary Map'!A:D,3,FALSE),"Salary Code Not Mapped")</f>
        <v>Default</v>
      </c>
      <c r="Z32" t="str">
        <f t="shared" si="2"/>
        <v>Production</v>
      </c>
      <c r="AP32" t="str">
        <f t="shared" si="3"/>
        <v>0079</v>
      </c>
      <c r="BG32" s="78" t="s">
        <v>5656</v>
      </c>
      <c r="BK32" s="39" t="s">
        <v>5381</v>
      </c>
      <c r="BL32" s="39" t="s">
        <v>5381</v>
      </c>
      <c r="BU32" s="39" t="s">
        <v>5381</v>
      </c>
      <c r="BV32" s="39" t="s">
        <v>5381</v>
      </c>
      <c r="CE32" s="39" t="s">
        <v>5381</v>
      </c>
    </row>
    <row r="33" spans="1:83" ht="16" thickBot="1">
      <c r="A33" s="62" t="s">
        <v>5380</v>
      </c>
      <c r="B33" s="78" t="s">
        <v>5521</v>
      </c>
      <c r="D33" s="78" t="s">
        <v>5593</v>
      </c>
      <c r="E33" s="78" t="s">
        <v>5659</v>
      </c>
      <c r="F33" s="78" t="str">
        <f t="shared" si="0"/>
        <v>biwang@onebarnes.com.new.uat</v>
      </c>
      <c r="G33" s="39" t="s">
        <v>5816</v>
      </c>
      <c r="H33" s="78" t="s">
        <v>5738</v>
      </c>
      <c r="I33" t="str">
        <f>IFERROR(VLOOKUP(J33,'Language Map'!M:O,3,FALSE),"en_"&amp;J33)</f>
        <v>zh_CN</v>
      </c>
      <c r="J33" s="78" t="s">
        <v>5866</v>
      </c>
      <c r="L33" s="78" t="s">
        <v>5876</v>
      </c>
      <c r="M33" t="str">
        <f>IFERROR(VLOOKUP(J33,'Country Map'!E:H,3,FALSE),"Country Currency Not Mapped")</f>
        <v>CNY</v>
      </c>
      <c r="O33" s="39" t="s">
        <v>5381</v>
      </c>
      <c r="P33" t="str">
        <f t="shared" si="1"/>
        <v>0079</v>
      </c>
      <c r="Q33" s="78" t="s">
        <v>5909</v>
      </c>
      <c r="W33" s="78" t="s">
        <v>755</v>
      </c>
      <c r="X33" t="str">
        <f>IFERROR(VLOOKUP(W33,'Salary Map'!A:D,3,FALSE),"Salary Code Not Mapped")</f>
        <v>Default</v>
      </c>
      <c r="Z33" t="str">
        <f t="shared" si="2"/>
        <v>Selling</v>
      </c>
      <c r="AP33" t="str">
        <f t="shared" si="3"/>
        <v>0079</v>
      </c>
      <c r="BG33" s="78" t="s">
        <v>5656</v>
      </c>
      <c r="BK33" s="39" t="s">
        <v>5381</v>
      </c>
      <c r="BL33" s="39" t="s">
        <v>5381</v>
      </c>
      <c r="BU33" s="39" t="s">
        <v>5381</v>
      </c>
      <c r="BV33" s="39" t="s">
        <v>5381</v>
      </c>
      <c r="CE33" s="39" t="s">
        <v>5381</v>
      </c>
    </row>
    <row r="34" spans="1:83" ht="16" thickBot="1">
      <c r="A34" s="62" t="s">
        <v>5380</v>
      </c>
      <c r="B34" s="78" t="s">
        <v>5522</v>
      </c>
      <c r="D34" s="78" t="s">
        <v>5585</v>
      </c>
      <c r="E34" s="78" t="s">
        <v>5660</v>
      </c>
      <c r="F34" s="78" t="str">
        <f t="shared" si="0"/>
        <v>beyang@onebarnes.com.new.uat</v>
      </c>
      <c r="G34" s="39" t="s">
        <v>5817</v>
      </c>
      <c r="H34" s="78" t="s">
        <v>5739</v>
      </c>
      <c r="I34" t="str">
        <f>IFERROR(VLOOKUP(J34,'Language Map'!M:O,3,FALSE),"en_"&amp;J34)</f>
        <v>zh_CN</v>
      </c>
      <c r="J34" s="78" t="s">
        <v>5866</v>
      </c>
      <c r="L34" s="78" t="s">
        <v>5876</v>
      </c>
      <c r="M34" t="str">
        <f>IFERROR(VLOOKUP(J34,'Country Map'!E:H,3,FALSE),"Country Currency Not Mapped")</f>
        <v>CNY</v>
      </c>
      <c r="O34" s="39" t="s">
        <v>5381</v>
      </c>
      <c r="P34" t="str">
        <f t="shared" si="1"/>
        <v>0079</v>
      </c>
      <c r="Q34" s="78" t="s">
        <v>5908</v>
      </c>
      <c r="W34" s="78" t="s">
        <v>80</v>
      </c>
      <c r="X34" t="str">
        <f>IFERROR(VLOOKUP(W34,'Salary Map'!A:D,3,FALSE),"Salary Code Not Mapped")</f>
        <v>Default</v>
      </c>
      <c r="Z34" t="str">
        <f t="shared" si="2"/>
        <v>G&amp;A</v>
      </c>
      <c r="AP34" t="str">
        <f t="shared" si="3"/>
        <v>0079</v>
      </c>
      <c r="BG34" s="78" t="s">
        <v>5655</v>
      </c>
      <c r="BK34" s="39" t="s">
        <v>5381</v>
      </c>
      <c r="BL34" s="39" t="s">
        <v>5381</v>
      </c>
      <c r="BU34" s="39" t="s">
        <v>5381</v>
      </c>
      <c r="BV34" s="39" t="s">
        <v>5381</v>
      </c>
      <c r="CE34" s="39" t="s">
        <v>5381</v>
      </c>
    </row>
    <row r="35" spans="1:83" ht="16" thickBot="1">
      <c r="A35" s="62" t="s">
        <v>5380</v>
      </c>
      <c r="B35" s="78" t="s">
        <v>5523</v>
      </c>
      <c r="D35" s="78" t="s">
        <v>5594</v>
      </c>
      <c r="E35" s="78" t="s">
        <v>5661</v>
      </c>
      <c r="F35" s="78" t="str">
        <f t="shared" si="0"/>
        <v>CYe@onebarnes.com.new.uat</v>
      </c>
      <c r="G35" s="39" t="s">
        <v>5818</v>
      </c>
      <c r="H35" s="78" t="s">
        <v>5740</v>
      </c>
      <c r="I35" t="str">
        <f>IFERROR(VLOOKUP(J35,'Language Map'!M:O,3,FALSE),"en_"&amp;J35)</f>
        <v>zh_CN</v>
      </c>
      <c r="J35" s="78" t="s">
        <v>5866</v>
      </c>
      <c r="L35" s="78" t="s">
        <v>5876</v>
      </c>
      <c r="M35" t="str">
        <f>IFERROR(VLOOKUP(J35,'Country Map'!E:H,3,FALSE),"Country Currency Not Mapped")</f>
        <v>CNY</v>
      </c>
      <c r="O35" s="39" t="s">
        <v>5381</v>
      </c>
      <c r="P35" t="str">
        <f t="shared" si="1"/>
        <v>0079</v>
      </c>
      <c r="Q35" s="78" t="s">
        <v>5908</v>
      </c>
      <c r="W35" s="78" t="s">
        <v>80</v>
      </c>
      <c r="X35" t="str">
        <f>IFERROR(VLOOKUP(W35,'Salary Map'!A:D,3,FALSE),"Salary Code Not Mapped")</f>
        <v>Default</v>
      </c>
      <c r="Z35" t="str">
        <f t="shared" si="2"/>
        <v>G&amp;A</v>
      </c>
      <c r="AP35" t="str">
        <f t="shared" si="3"/>
        <v>0079</v>
      </c>
      <c r="BG35" s="78" t="s">
        <v>4668</v>
      </c>
      <c r="BK35" s="39" t="s">
        <v>5381</v>
      </c>
      <c r="BL35" s="39" t="s">
        <v>5381</v>
      </c>
      <c r="BU35" s="39" t="s">
        <v>5381</v>
      </c>
      <c r="BV35" s="39" t="s">
        <v>5381</v>
      </c>
      <c r="CE35" s="39" t="s">
        <v>5381</v>
      </c>
    </row>
    <row r="36" spans="1:83" ht="16" thickBot="1">
      <c r="A36" s="62" t="s">
        <v>5380</v>
      </c>
      <c r="B36" s="78" t="s">
        <v>5524</v>
      </c>
      <c r="D36" s="78" t="s">
        <v>5595</v>
      </c>
      <c r="E36" s="78" t="s">
        <v>5662</v>
      </c>
      <c r="F36" s="78" t="str">
        <f t="shared" si="0"/>
        <v>yzhao@onebarnes.com.new.uat</v>
      </c>
      <c r="G36" s="39" t="s">
        <v>5819</v>
      </c>
      <c r="H36" s="78" t="s">
        <v>5741</v>
      </c>
      <c r="I36" t="str">
        <f>IFERROR(VLOOKUP(J36,'Language Map'!M:O,3,FALSE),"en_"&amp;J36)</f>
        <v>zh_CN</v>
      </c>
      <c r="J36" s="78" t="s">
        <v>5866</v>
      </c>
      <c r="L36" s="78" t="s">
        <v>5876</v>
      </c>
      <c r="M36" t="str">
        <f>IFERROR(VLOOKUP(J36,'Country Map'!E:H,3,FALSE),"Country Currency Not Mapped")</f>
        <v>CNY</v>
      </c>
      <c r="O36" s="39" t="s">
        <v>5381</v>
      </c>
      <c r="P36" t="str">
        <f t="shared" si="1"/>
        <v>0079</v>
      </c>
      <c r="Q36" s="78" t="s">
        <v>5908</v>
      </c>
      <c r="W36" s="78" t="s">
        <v>805</v>
      </c>
      <c r="X36" t="str">
        <f>IFERROR(VLOOKUP(W36,'Salary Map'!A:D,3,FALSE),"Salary Code Not Mapped")</f>
        <v>Default</v>
      </c>
      <c r="Z36" t="str">
        <f t="shared" si="2"/>
        <v>G&amp;A</v>
      </c>
      <c r="AP36" t="str">
        <f t="shared" si="3"/>
        <v>0079</v>
      </c>
      <c r="BG36" s="78" t="s">
        <v>5661</v>
      </c>
      <c r="BK36" s="39" t="s">
        <v>5381</v>
      </c>
      <c r="BL36" s="39" t="s">
        <v>5381</v>
      </c>
      <c r="BU36" s="39" t="s">
        <v>5381</v>
      </c>
      <c r="BV36" s="39" t="s">
        <v>5381</v>
      </c>
      <c r="CE36" s="39" t="s">
        <v>5381</v>
      </c>
    </row>
    <row r="37" spans="1:83" ht="16" thickBot="1">
      <c r="A37" s="62" t="s">
        <v>5380</v>
      </c>
      <c r="B37" s="78" t="s">
        <v>5525</v>
      </c>
      <c r="D37" s="78" t="s">
        <v>5593</v>
      </c>
      <c r="E37" s="78" t="s">
        <v>5663</v>
      </c>
      <c r="F37" s="78" t="str">
        <f t="shared" si="0"/>
        <v>kawang@onebarnes.com.new.uat</v>
      </c>
      <c r="G37" s="39" t="s">
        <v>5820</v>
      </c>
      <c r="H37" s="78" t="s">
        <v>5742</v>
      </c>
      <c r="I37" t="str">
        <f>IFERROR(VLOOKUP(J37,'Language Map'!M:O,3,FALSE),"en_"&amp;J37)</f>
        <v>zh_CN</v>
      </c>
      <c r="J37" s="78" t="s">
        <v>5866</v>
      </c>
      <c r="L37" s="78" t="s">
        <v>5876</v>
      </c>
      <c r="M37" t="str">
        <f>IFERROR(VLOOKUP(J37,'Country Map'!E:H,3,FALSE),"Country Currency Not Mapped")</f>
        <v>CNY</v>
      </c>
      <c r="O37" s="39" t="s">
        <v>5381</v>
      </c>
      <c r="P37" t="str">
        <f t="shared" si="1"/>
        <v>0079</v>
      </c>
      <c r="Q37" s="78" t="s">
        <v>5908</v>
      </c>
      <c r="W37" s="78" t="s">
        <v>505</v>
      </c>
      <c r="X37" t="str">
        <f>IFERROR(VLOOKUP(W37,'Salary Map'!A:D,3,FALSE),"Salary Code Not Mapped")</f>
        <v>Default</v>
      </c>
      <c r="Z37" t="str">
        <f t="shared" si="2"/>
        <v>G&amp;A</v>
      </c>
      <c r="AP37" t="str">
        <f t="shared" si="3"/>
        <v>0079</v>
      </c>
      <c r="BG37" s="78" t="s">
        <v>5661</v>
      </c>
      <c r="BK37" s="39" t="s">
        <v>5381</v>
      </c>
      <c r="BL37" s="39" t="s">
        <v>5381</v>
      </c>
      <c r="BU37" s="39" t="s">
        <v>5381</v>
      </c>
      <c r="BV37" s="39" t="s">
        <v>5381</v>
      </c>
      <c r="CE37" s="39" t="s">
        <v>5381</v>
      </c>
    </row>
    <row r="38" spans="1:83" ht="16" thickBot="1">
      <c r="A38" s="62" t="s">
        <v>5380</v>
      </c>
      <c r="B38" s="78" t="s">
        <v>5526</v>
      </c>
      <c r="D38" s="78" t="s">
        <v>5512</v>
      </c>
      <c r="E38" s="78" t="s">
        <v>5664</v>
      </c>
      <c r="F38" s="78" t="str">
        <f t="shared" si="0"/>
        <v>Ycui@onebarnes.com.new.uat</v>
      </c>
      <c r="G38" s="39" t="s">
        <v>5821</v>
      </c>
      <c r="H38" s="78" t="s">
        <v>5743</v>
      </c>
      <c r="I38" t="str">
        <f>IFERROR(VLOOKUP(J38,'Language Map'!M:O,3,FALSE),"en_"&amp;J38)</f>
        <v>zh_CN</v>
      </c>
      <c r="J38" s="78" t="s">
        <v>5866</v>
      </c>
      <c r="L38" s="78" t="s">
        <v>5876</v>
      </c>
      <c r="M38" t="str">
        <f>IFERROR(VLOOKUP(J38,'Country Map'!E:H,3,FALSE),"Country Currency Not Mapped")</f>
        <v>CNY</v>
      </c>
      <c r="O38" s="39" t="s">
        <v>5381</v>
      </c>
      <c r="P38" t="str">
        <f t="shared" si="1"/>
        <v>0079</v>
      </c>
      <c r="Q38" s="78" t="s">
        <v>5908</v>
      </c>
      <c r="W38" s="78" t="s">
        <v>805</v>
      </c>
      <c r="X38" t="str">
        <f>IFERROR(VLOOKUP(W38,'Salary Map'!A:D,3,FALSE),"Salary Code Not Mapped")</f>
        <v>Default</v>
      </c>
      <c r="Z38" t="str">
        <f t="shared" si="2"/>
        <v>G&amp;A</v>
      </c>
      <c r="AP38" t="str">
        <f t="shared" si="3"/>
        <v>0079</v>
      </c>
      <c r="BG38" s="78" t="s">
        <v>5661</v>
      </c>
      <c r="BK38" s="39" t="s">
        <v>5381</v>
      </c>
      <c r="BL38" s="39" t="s">
        <v>5381</v>
      </c>
      <c r="BU38" s="39" t="s">
        <v>5381</v>
      </c>
      <c r="BV38" s="39" t="s">
        <v>5381</v>
      </c>
      <c r="CE38" s="39" t="s">
        <v>5381</v>
      </c>
    </row>
    <row r="39" spans="1:83" ht="16" thickBot="1">
      <c r="A39" s="62" t="s">
        <v>5380</v>
      </c>
      <c r="B39" s="78" t="s">
        <v>5527</v>
      </c>
      <c r="D39" s="78" t="s">
        <v>5596</v>
      </c>
      <c r="E39" s="78" t="s">
        <v>5665</v>
      </c>
      <c r="F39" s="78" t="str">
        <f t="shared" si="0"/>
        <v>fadong@onebarnes.com.new.uat</v>
      </c>
      <c r="G39" s="39" t="s">
        <v>5822</v>
      </c>
      <c r="H39" s="78" t="s">
        <v>5744</v>
      </c>
      <c r="I39" t="str">
        <f>IFERROR(VLOOKUP(J39,'Language Map'!M:O,3,FALSE),"en_"&amp;J39)</f>
        <v>zh_CN</v>
      </c>
      <c r="J39" s="78" t="s">
        <v>5866</v>
      </c>
      <c r="L39" s="78" t="s">
        <v>5876</v>
      </c>
      <c r="M39" t="str">
        <f>IFERROR(VLOOKUP(J39,'Country Map'!E:H,3,FALSE),"Country Currency Not Mapped")</f>
        <v>CNY</v>
      </c>
      <c r="O39" s="39" t="s">
        <v>5381</v>
      </c>
      <c r="P39" t="str">
        <f t="shared" si="1"/>
        <v>0079</v>
      </c>
      <c r="Q39" s="78" t="s">
        <v>5907</v>
      </c>
      <c r="W39" s="78" t="s">
        <v>230</v>
      </c>
      <c r="X39" t="str">
        <f>IFERROR(VLOOKUP(W39,'Salary Map'!A:D,3,FALSE),"Salary Code Not Mapped")</f>
        <v>Default</v>
      </c>
      <c r="Z39" t="str">
        <f t="shared" si="2"/>
        <v>Production</v>
      </c>
      <c r="AP39" t="str">
        <f t="shared" si="3"/>
        <v>0079</v>
      </c>
      <c r="BG39" s="78" t="s">
        <v>5656</v>
      </c>
      <c r="BK39" s="39" t="s">
        <v>5381</v>
      </c>
      <c r="BL39" s="39" t="s">
        <v>5381</v>
      </c>
      <c r="BU39" s="39" t="s">
        <v>5381</v>
      </c>
      <c r="BV39" s="39" t="s">
        <v>5381</v>
      </c>
      <c r="CE39" s="39" t="s">
        <v>5381</v>
      </c>
    </row>
    <row r="40" spans="1:83" ht="16" thickBot="1">
      <c r="A40" s="62" t="s">
        <v>5380</v>
      </c>
      <c r="B40" s="78" t="s">
        <v>5528</v>
      </c>
      <c r="D40" s="78" t="s">
        <v>5592</v>
      </c>
      <c r="E40" s="78" t="s">
        <v>5666</v>
      </c>
      <c r="F40" s="78" t="str">
        <f t="shared" si="0"/>
        <v>YHou@onebarnes.com.new.uat</v>
      </c>
      <c r="G40" s="39" t="s">
        <v>5823</v>
      </c>
      <c r="H40" s="78" t="s">
        <v>5745</v>
      </c>
      <c r="I40" t="str">
        <f>IFERROR(VLOOKUP(J40,'Language Map'!M:O,3,FALSE),"en_"&amp;J40)</f>
        <v>zh_CN</v>
      </c>
      <c r="J40" s="78" t="s">
        <v>5866</v>
      </c>
      <c r="L40" s="78" t="s">
        <v>5876</v>
      </c>
      <c r="M40" t="str">
        <f>IFERROR(VLOOKUP(J40,'Country Map'!E:H,3,FALSE),"Country Currency Not Mapped")</f>
        <v>CNY</v>
      </c>
      <c r="O40" s="39" t="s">
        <v>5381</v>
      </c>
      <c r="P40" t="str">
        <f t="shared" si="1"/>
        <v>0079</v>
      </c>
      <c r="Q40" s="78" t="s">
        <v>5907</v>
      </c>
      <c r="W40" s="78" t="s">
        <v>805</v>
      </c>
      <c r="X40" t="str">
        <f>IFERROR(VLOOKUP(W40,'Salary Map'!A:D,3,FALSE),"Salary Code Not Mapped")</f>
        <v>Default</v>
      </c>
      <c r="Z40" t="str">
        <f t="shared" si="2"/>
        <v>Production</v>
      </c>
      <c r="AP40" t="str">
        <f t="shared" si="3"/>
        <v>0079</v>
      </c>
      <c r="BG40" s="78" t="s">
        <v>5658</v>
      </c>
      <c r="BK40" s="39" t="s">
        <v>5381</v>
      </c>
      <c r="BL40" s="39" t="s">
        <v>5381</v>
      </c>
      <c r="BU40" s="39" t="s">
        <v>5381</v>
      </c>
      <c r="BV40" s="39" t="s">
        <v>5381</v>
      </c>
      <c r="CE40" s="39" t="s">
        <v>5381</v>
      </c>
    </row>
    <row r="41" spans="1:83" ht="16" thickBot="1">
      <c r="A41" s="62" t="s">
        <v>5380</v>
      </c>
      <c r="B41" s="78" t="s">
        <v>5529</v>
      </c>
      <c r="D41" s="78" t="s">
        <v>5593</v>
      </c>
      <c r="E41" s="78" t="s">
        <v>5667</v>
      </c>
      <c r="F41" s="78" t="str">
        <f t="shared" si="0"/>
        <v>jan.wang@asbg.com.cn.new.uat</v>
      </c>
      <c r="G41" s="39" t="s">
        <v>5824</v>
      </c>
      <c r="H41" s="78" t="s">
        <v>5746</v>
      </c>
      <c r="I41" t="str">
        <f>IFERROR(VLOOKUP(J41,'Language Map'!M:O,3,FALSE),"en_"&amp;J41)</f>
        <v>zh_CN</v>
      </c>
      <c r="J41" s="78" t="s">
        <v>5866</v>
      </c>
      <c r="L41" s="78" t="s">
        <v>5876</v>
      </c>
      <c r="M41" t="str">
        <f>IFERROR(VLOOKUP(J41,'Country Map'!E:H,3,FALSE),"Country Currency Not Mapped")</f>
        <v>CNY</v>
      </c>
      <c r="O41" s="39" t="s">
        <v>5381</v>
      </c>
      <c r="P41" t="str">
        <f t="shared" si="1"/>
        <v>0079</v>
      </c>
      <c r="Q41" s="78" t="s">
        <v>5907</v>
      </c>
      <c r="W41" s="78" t="s">
        <v>680</v>
      </c>
      <c r="X41" t="str">
        <f>IFERROR(VLOOKUP(W41,'Salary Map'!A:D,3,FALSE),"Salary Code Not Mapped")</f>
        <v>Default</v>
      </c>
      <c r="Z41" t="str">
        <f t="shared" si="2"/>
        <v>Production</v>
      </c>
      <c r="AP41" t="str">
        <f t="shared" si="3"/>
        <v>0079</v>
      </c>
      <c r="BG41" s="78" t="s">
        <v>5656</v>
      </c>
      <c r="BK41" s="39" t="s">
        <v>5381</v>
      </c>
      <c r="BL41" s="39" t="s">
        <v>5381</v>
      </c>
      <c r="BU41" s="39" t="s">
        <v>5381</v>
      </c>
      <c r="BV41" s="39" t="s">
        <v>5381</v>
      </c>
      <c r="CE41" s="39" t="s">
        <v>5381</v>
      </c>
    </row>
    <row r="42" spans="1:83" ht="16" thickBot="1">
      <c r="A42" s="62" t="s">
        <v>5380</v>
      </c>
      <c r="B42" s="78" t="s">
        <v>5530</v>
      </c>
      <c r="D42" s="78" t="s">
        <v>5597</v>
      </c>
      <c r="E42" s="78" t="s">
        <v>5668</v>
      </c>
      <c r="F42" s="78" t="str">
        <f t="shared" si="0"/>
        <v>jzhu@onebarnes.com.new.uat</v>
      </c>
      <c r="G42" s="39" t="s">
        <v>5825</v>
      </c>
      <c r="H42" s="78" t="s">
        <v>5747</v>
      </c>
      <c r="I42" t="str">
        <f>IFERROR(VLOOKUP(J42,'Language Map'!M:O,3,FALSE),"en_"&amp;J42)</f>
        <v>zh_CN</v>
      </c>
      <c r="J42" s="78" t="s">
        <v>5866</v>
      </c>
      <c r="L42" s="78" t="s">
        <v>5877</v>
      </c>
      <c r="M42" t="str">
        <f>IFERROR(VLOOKUP(J42,'Country Map'!E:H,3,FALSE),"Country Currency Not Mapped")</f>
        <v>CNY</v>
      </c>
      <c r="O42" s="39" t="s">
        <v>5381</v>
      </c>
      <c r="P42" t="str">
        <f t="shared" si="1"/>
        <v>0083</v>
      </c>
      <c r="Q42" s="78" t="s">
        <v>5910</v>
      </c>
      <c r="W42" s="78" t="s">
        <v>230</v>
      </c>
      <c r="X42" t="str">
        <f>IFERROR(VLOOKUP(W42,'Salary Map'!A:D,3,FALSE),"Salary Code Not Mapped")</f>
        <v>Default</v>
      </c>
      <c r="Z42" t="str">
        <f t="shared" si="2"/>
        <v>Sales</v>
      </c>
      <c r="AP42" t="str">
        <f t="shared" si="3"/>
        <v>0083</v>
      </c>
      <c r="BG42" s="78" t="s">
        <v>5673</v>
      </c>
      <c r="BK42" s="39" t="s">
        <v>5381</v>
      </c>
      <c r="BL42" s="39" t="s">
        <v>5381</v>
      </c>
      <c r="BU42" s="39" t="s">
        <v>5381</v>
      </c>
      <c r="BV42" s="39" t="s">
        <v>5381</v>
      </c>
      <c r="CE42" s="39" t="s">
        <v>5381</v>
      </c>
    </row>
    <row r="43" spans="1:83" ht="16" thickBot="1">
      <c r="A43" s="62" t="s">
        <v>5380</v>
      </c>
      <c r="B43" s="78" t="s">
        <v>5531</v>
      </c>
      <c r="D43" s="78" t="s">
        <v>5598</v>
      </c>
      <c r="E43" s="78" t="s">
        <v>5669</v>
      </c>
      <c r="F43" s="78" t="str">
        <f t="shared" si="0"/>
        <v>sxu2@onebarnes.com.new.uat</v>
      </c>
      <c r="G43" s="39" t="s">
        <v>5826</v>
      </c>
      <c r="H43" s="78" t="s">
        <v>5748</v>
      </c>
      <c r="I43" t="str">
        <f>IFERROR(VLOOKUP(J43,'Language Map'!M:O,3,FALSE),"en_"&amp;J43)</f>
        <v>zh_CN</v>
      </c>
      <c r="J43" s="78" t="s">
        <v>5866</v>
      </c>
      <c r="L43" s="78" t="s">
        <v>5877</v>
      </c>
      <c r="M43" t="str">
        <f>IFERROR(VLOOKUP(J43,'Country Map'!E:H,3,FALSE),"Country Currency Not Mapped")</f>
        <v>CNY</v>
      </c>
      <c r="O43" s="39" t="s">
        <v>5381</v>
      </c>
      <c r="P43" t="str">
        <f t="shared" si="1"/>
        <v>0083</v>
      </c>
      <c r="Q43" s="78" t="s">
        <v>5910</v>
      </c>
      <c r="W43" s="78" t="s">
        <v>1755</v>
      </c>
      <c r="X43" t="str">
        <f>IFERROR(VLOOKUP(W43,'Salary Map'!A:D,3,FALSE),"Salary Code Not Mapped")</f>
        <v>Default</v>
      </c>
      <c r="Z43" t="str">
        <f t="shared" si="2"/>
        <v>Sales</v>
      </c>
      <c r="AP43" t="str">
        <f t="shared" si="3"/>
        <v>0083</v>
      </c>
      <c r="BG43" s="78" t="s">
        <v>5673</v>
      </c>
      <c r="BK43" s="39" t="s">
        <v>5381</v>
      </c>
      <c r="BL43" s="39" t="s">
        <v>5381</v>
      </c>
      <c r="BU43" s="39" t="s">
        <v>5381</v>
      </c>
      <c r="BV43" s="39" t="s">
        <v>5381</v>
      </c>
      <c r="CE43" s="39" t="s">
        <v>5381</v>
      </c>
    </row>
    <row r="44" spans="1:83" ht="16" thickBot="1">
      <c r="A44" s="62" t="s">
        <v>5380</v>
      </c>
      <c r="B44" s="78" t="s">
        <v>5532</v>
      </c>
      <c r="D44" s="78" t="s">
        <v>5599</v>
      </c>
      <c r="E44" s="78" t="s">
        <v>5670</v>
      </c>
      <c r="F44" s="78" t="str">
        <f t="shared" si="0"/>
        <v>SShi@onebarnes.com.new.uat</v>
      </c>
      <c r="G44" s="39" t="s">
        <v>5827</v>
      </c>
      <c r="H44" s="78" t="s">
        <v>5749</v>
      </c>
      <c r="I44" t="str">
        <f>IFERROR(VLOOKUP(J44,'Language Map'!M:O,3,FALSE),"en_"&amp;J44)</f>
        <v>zh_CN</v>
      </c>
      <c r="J44" s="78" t="s">
        <v>5866</v>
      </c>
      <c r="L44" s="78" t="s">
        <v>5877</v>
      </c>
      <c r="M44" t="str">
        <f>IFERROR(VLOOKUP(J44,'Country Map'!E:H,3,FALSE),"Country Currency Not Mapped")</f>
        <v>CNY</v>
      </c>
      <c r="O44" s="39" t="s">
        <v>5381</v>
      </c>
      <c r="P44" t="str">
        <f t="shared" si="1"/>
        <v>0083</v>
      </c>
      <c r="Q44" s="78" t="s">
        <v>5910</v>
      </c>
      <c r="W44" s="78" t="s">
        <v>755</v>
      </c>
      <c r="X44" t="str">
        <f>IFERROR(VLOOKUP(W44,'Salary Map'!A:D,3,FALSE),"Salary Code Not Mapped")</f>
        <v>Default</v>
      </c>
      <c r="Z44" t="str">
        <f t="shared" si="2"/>
        <v>Sales</v>
      </c>
      <c r="AP44" t="str">
        <f t="shared" si="3"/>
        <v>0083</v>
      </c>
      <c r="BG44" s="78" t="s">
        <v>5636</v>
      </c>
      <c r="BK44" s="39" t="s">
        <v>5381</v>
      </c>
      <c r="BL44" s="39" t="s">
        <v>5381</v>
      </c>
      <c r="BU44" s="39" t="s">
        <v>5381</v>
      </c>
      <c r="BV44" s="39" t="s">
        <v>5381</v>
      </c>
      <c r="CE44" s="39" t="s">
        <v>5381</v>
      </c>
    </row>
    <row r="45" spans="1:83" ht="16" thickBot="1">
      <c r="A45" s="62" t="s">
        <v>5380</v>
      </c>
      <c r="B45" s="78" t="s">
        <v>5533</v>
      </c>
      <c r="D45" s="78" t="s">
        <v>5593</v>
      </c>
      <c r="E45" s="78" t="s">
        <v>5671</v>
      </c>
      <c r="F45" s="78" t="str">
        <f t="shared" si="0"/>
        <v>ZJWang@onebarnes.com.new.uat</v>
      </c>
      <c r="G45" s="39" t="s">
        <v>5828</v>
      </c>
      <c r="H45" s="78" t="s">
        <v>5750</v>
      </c>
      <c r="I45" t="str">
        <f>IFERROR(VLOOKUP(J45,'Language Map'!M:O,3,FALSE),"en_"&amp;J45)</f>
        <v>zh_CN</v>
      </c>
      <c r="J45" s="78" t="s">
        <v>5866</v>
      </c>
      <c r="L45" s="78" t="s">
        <v>5877</v>
      </c>
      <c r="M45" t="str">
        <f>IFERROR(VLOOKUP(J45,'Country Map'!E:H,3,FALSE),"Country Currency Not Mapped")</f>
        <v>CNY</v>
      </c>
      <c r="O45" s="39" t="s">
        <v>5381</v>
      </c>
      <c r="P45" t="str">
        <f t="shared" si="1"/>
        <v>0083</v>
      </c>
      <c r="Q45" s="78" t="s">
        <v>5910</v>
      </c>
      <c r="W45" s="78" t="s">
        <v>680</v>
      </c>
      <c r="X45" t="str">
        <f>IFERROR(VLOOKUP(W45,'Salary Map'!A:D,3,FALSE),"Salary Code Not Mapped")</f>
        <v>Default</v>
      </c>
      <c r="Z45" t="str">
        <f t="shared" si="2"/>
        <v>Sales</v>
      </c>
      <c r="AP45" t="str">
        <f t="shared" si="3"/>
        <v>0083</v>
      </c>
      <c r="BG45" s="78" t="s">
        <v>3719</v>
      </c>
      <c r="BK45" s="39" t="s">
        <v>5381</v>
      </c>
      <c r="BL45" s="39" t="s">
        <v>5381</v>
      </c>
      <c r="BU45" s="39" t="s">
        <v>5381</v>
      </c>
      <c r="BV45" s="39" t="s">
        <v>5381</v>
      </c>
      <c r="CE45" s="39" t="s">
        <v>5381</v>
      </c>
    </row>
    <row r="46" spans="1:83" ht="16" thickBot="1">
      <c r="A46" s="62" t="s">
        <v>5380</v>
      </c>
      <c r="B46" s="78" t="s">
        <v>5534</v>
      </c>
      <c r="D46" s="78" t="s">
        <v>5600</v>
      </c>
      <c r="E46" s="78" t="s">
        <v>5672</v>
      </c>
      <c r="F46" s="78" t="str">
        <f t="shared" si="0"/>
        <v>hwu@onebarnes.com.new.uat</v>
      </c>
      <c r="G46" s="39" t="s">
        <v>5829</v>
      </c>
      <c r="H46" s="78" t="s">
        <v>5751</v>
      </c>
      <c r="I46" t="str">
        <f>IFERROR(VLOOKUP(J46,'Language Map'!M:O,3,FALSE),"en_"&amp;J46)</f>
        <v>zh_CN</v>
      </c>
      <c r="J46" s="78" t="s">
        <v>5866</v>
      </c>
      <c r="L46" s="78" t="s">
        <v>5877</v>
      </c>
      <c r="M46" t="str">
        <f>IFERROR(VLOOKUP(J46,'Country Map'!E:H,3,FALSE),"Country Currency Not Mapped")</f>
        <v>CNY</v>
      </c>
      <c r="O46" s="39" t="s">
        <v>5381</v>
      </c>
      <c r="P46" t="str">
        <f t="shared" si="1"/>
        <v>0083</v>
      </c>
      <c r="Q46" s="78" t="s">
        <v>5910</v>
      </c>
      <c r="W46" s="78" t="s">
        <v>305</v>
      </c>
      <c r="X46" t="str">
        <f>IFERROR(VLOOKUP(W46,'Salary Map'!A:D,3,FALSE),"Salary Code Not Mapped")</f>
        <v>Default</v>
      </c>
      <c r="Z46" t="str">
        <f t="shared" si="2"/>
        <v>Sales</v>
      </c>
      <c r="AP46" t="str">
        <f t="shared" si="3"/>
        <v>0083</v>
      </c>
      <c r="BG46" s="78" t="s">
        <v>5673</v>
      </c>
      <c r="BK46" s="39" t="s">
        <v>5381</v>
      </c>
      <c r="BL46" s="39" t="s">
        <v>5381</v>
      </c>
      <c r="BU46" s="39" t="s">
        <v>5381</v>
      </c>
      <c r="BV46" s="39" t="s">
        <v>5381</v>
      </c>
      <c r="CE46" s="39" t="s">
        <v>5381</v>
      </c>
    </row>
    <row r="47" spans="1:83" ht="16" thickBot="1">
      <c r="A47" s="62" t="s">
        <v>5380</v>
      </c>
      <c r="B47" s="78" t="s">
        <v>5535</v>
      </c>
      <c r="D47" s="78" t="s">
        <v>5591</v>
      </c>
      <c r="E47" s="78" t="s">
        <v>5673</v>
      </c>
      <c r="F47" s="78" t="str">
        <f t="shared" si="0"/>
        <v>gsong@onebarnes.com.new.uat</v>
      </c>
      <c r="G47" s="39" t="s">
        <v>5830</v>
      </c>
      <c r="H47" s="78" t="s">
        <v>5752</v>
      </c>
      <c r="I47" t="str">
        <f>IFERROR(VLOOKUP(J47,'Language Map'!M:O,3,FALSE),"en_"&amp;J47)</f>
        <v>zh_CN</v>
      </c>
      <c r="J47" s="78" t="s">
        <v>5866</v>
      </c>
      <c r="L47" s="78" t="s">
        <v>5877</v>
      </c>
      <c r="M47" t="str">
        <f>IFERROR(VLOOKUP(J47,'Country Map'!E:H,3,FALSE),"Country Currency Not Mapped")</f>
        <v>CNY</v>
      </c>
      <c r="O47" s="39" t="s">
        <v>5381</v>
      </c>
      <c r="P47" t="str">
        <f t="shared" si="1"/>
        <v>0083</v>
      </c>
      <c r="Q47" s="78" t="s">
        <v>5910</v>
      </c>
      <c r="W47" s="78" t="s">
        <v>305</v>
      </c>
      <c r="X47" t="str">
        <f>IFERROR(VLOOKUP(W47,'Salary Map'!A:D,3,FALSE),"Salary Code Not Mapped")</f>
        <v>Default</v>
      </c>
      <c r="Z47" t="str">
        <f t="shared" si="2"/>
        <v>Sales</v>
      </c>
      <c r="AP47" t="str">
        <f t="shared" si="3"/>
        <v>0083</v>
      </c>
      <c r="BG47" s="78" t="s">
        <v>5926</v>
      </c>
      <c r="BK47" s="39" t="s">
        <v>5381</v>
      </c>
      <c r="BL47" s="39" t="s">
        <v>5381</v>
      </c>
      <c r="BU47" s="39" t="s">
        <v>5381</v>
      </c>
      <c r="BV47" s="39" t="s">
        <v>5381</v>
      </c>
      <c r="CE47" s="39" t="s">
        <v>5381</v>
      </c>
    </row>
    <row r="48" spans="1:83" ht="16" thickBot="1">
      <c r="A48" s="62" t="s">
        <v>5380</v>
      </c>
      <c r="B48" s="78" t="s">
        <v>5536</v>
      </c>
      <c r="D48" s="78" t="s">
        <v>5601</v>
      </c>
      <c r="E48" s="78" t="s">
        <v>5674</v>
      </c>
      <c r="F48" s="78" t="str">
        <f t="shared" si="0"/>
        <v>sandip.nikam@bginc.com.new.uat</v>
      </c>
      <c r="G48" s="39" t="s">
        <v>5831</v>
      </c>
      <c r="H48" s="78" t="s">
        <v>5753</v>
      </c>
      <c r="I48" t="str">
        <f>IFERROR(VLOOKUP(J48,'Language Map'!M:O,3,FALSE),"en_"&amp;J48)</f>
        <v>en_IN</v>
      </c>
      <c r="J48" s="78" t="s">
        <v>5867</v>
      </c>
      <c r="L48" s="78" t="s">
        <v>5878</v>
      </c>
      <c r="M48" t="str">
        <f>IFERROR(VLOOKUP(J48,'Country Map'!E:H,3,FALSE),"Country Currency Not Mapped")</f>
        <v>INR</v>
      </c>
      <c r="O48" s="39" t="s">
        <v>5381</v>
      </c>
      <c r="P48" t="str">
        <f t="shared" si="1"/>
        <v>26</v>
      </c>
      <c r="Q48" s="78" t="s">
        <v>5908</v>
      </c>
      <c r="W48" s="78" t="s">
        <v>80</v>
      </c>
      <c r="X48" t="str">
        <f>IFERROR(VLOOKUP(W48,'Salary Map'!A:D,3,FALSE),"Salary Code Not Mapped")</f>
        <v>Default</v>
      </c>
      <c r="Z48" t="str">
        <f t="shared" si="2"/>
        <v>G&amp;A</v>
      </c>
      <c r="AP48" t="str">
        <f t="shared" si="3"/>
        <v>26</v>
      </c>
      <c r="BG48" s="78" t="s">
        <v>5927</v>
      </c>
      <c r="BK48" s="39" t="s">
        <v>5381</v>
      </c>
      <c r="BL48" s="39" t="s">
        <v>5381</v>
      </c>
      <c r="BU48" s="39" t="s">
        <v>5381</v>
      </c>
      <c r="BV48" s="39" t="s">
        <v>5381</v>
      </c>
      <c r="CE48" s="39" t="s">
        <v>5381</v>
      </c>
    </row>
    <row r="49" spans="1:83" ht="16" thickBot="1">
      <c r="A49" s="62" t="s">
        <v>5380</v>
      </c>
      <c r="B49" s="78" t="s">
        <v>5537</v>
      </c>
      <c r="D49" s="78" t="s">
        <v>5602</v>
      </c>
      <c r="E49" s="78" t="s">
        <v>5675</v>
      </c>
      <c r="F49" s="78" t="str">
        <f t="shared" si="0"/>
        <v>akash.deshmukh@bginc.com.new.uat</v>
      </c>
      <c r="G49" s="39" t="s">
        <v>5832</v>
      </c>
      <c r="H49" s="78" t="s">
        <v>5754</v>
      </c>
      <c r="I49" t="str">
        <f>IFERROR(VLOOKUP(J49,'Language Map'!M:O,3,FALSE),"en_"&amp;J49)</f>
        <v>en_IN</v>
      </c>
      <c r="J49" s="78" t="s">
        <v>5867</v>
      </c>
      <c r="L49" s="78" t="s">
        <v>5878</v>
      </c>
      <c r="M49" t="str">
        <f>IFERROR(VLOOKUP(J49,'Country Map'!E:H,3,FALSE),"Country Currency Not Mapped")</f>
        <v>INR</v>
      </c>
      <c r="O49" s="39" t="s">
        <v>5381</v>
      </c>
      <c r="P49" t="str">
        <f t="shared" si="1"/>
        <v>26</v>
      </c>
      <c r="Q49" s="78" t="s">
        <v>5908</v>
      </c>
      <c r="W49" s="78" t="s">
        <v>755</v>
      </c>
      <c r="X49" t="str">
        <f>IFERROR(VLOOKUP(W49,'Salary Map'!A:D,3,FALSE),"Salary Code Not Mapped")</f>
        <v>Default</v>
      </c>
      <c r="Z49" t="str">
        <f t="shared" si="2"/>
        <v>G&amp;A</v>
      </c>
      <c r="AP49" t="str">
        <f t="shared" si="3"/>
        <v>26</v>
      </c>
      <c r="BG49" s="78" t="s">
        <v>5674</v>
      </c>
      <c r="BK49" s="39" t="s">
        <v>5381</v>
      </c>
      <c r="BL49" s="39" t="s">
        <v>5381</v>
      </c>
      <c r="BU49" s="39" t="s">
        <v>5381</v>
      </c>
      <c r="BV49" s="39" t="s">
        <v>5381</v>
      </c>
      <c r="CE49" s="39" t="s">
        <v>5381</v>
      </c>
    </row>
    <row r="50" spans="1:83" ht="16" thickBot="1">
      <c r="A50" s="62" t="s">
        <v>5380</v>
      </c>
      <c r="B50" s="78" t="s">
        <v>5538</v>
      </c>
      <c r="D50" s="78" t="s">
        <v>5603</v>
      </c>
      <c r="E50" s="78" t="s">
        <v>5676</v>
      </c>
      <c r="F50" s="78" t="str">
        <f t="shared" si="0"/>
        <v>elim@raymondasia.com.new.uat</v>
      </c>
      <c r="G50" s="39" t="s">
        <v>5833</v>
      </c>
      <c r="H50" s="78" t="s">
        <v>5755</v>
      </c>
      <c r="I50" t="str">
        <f>IFERROR(VLOOKUP(J50,'Language Map'!M:O,3,FALSE),"en_"&amp;J50)</f>
        <v>en_SG</v>
      </c>
      <c r="J50" s="78" t="s">
        <v>5868</v>
      </c>
      <c r="L50" s="78" t="s">
        <v>5879</v>
      </c>
      <c r="M50" t="str">
        <f>IFERROR(VLOOKUP(J50,'Country Map'!E:H,3,FALSE),"Country Currency Not Mapped")</f>
        <v>SGD</v>
      </c>
      <c r="O50" s="39" t="s">
        <v>5381</v>
      </c>
      <c r="P50" t="str">
        <f t="shared" si="1"/>
        <v>0057</v>
      </c>
      <c r="Q50" s="78" t="s">
        <v>5910</v>
      </c>
      <c r="W50" s="78" t="s">
        <v>680</v>
      </c>
      <c r="X50" t="str">
        <f>IFERROR(VLOOKUP(W50,'Salary Map'!A:D,3,FALSE),"Salary Code Not Mapped")</f>
        <v>Default</v>
      </c>
      <c r="Z50" t="str">
        <f t="shared" si="2"/>
        <v>Sales</v>
      </c>
      <c r="AP50" t="str">
        <f t="shared" si="3"/>
        <v>0057</v>
      </c>
      <c r="BG50" s="78" t="s">
        <v>3719</v>
      </c>
      <c r="BK50" s="39" t="s">
        <v>5381</v>
      </c>
      <c r="BL50" s="39" t="s">
        <v>5381</v>
      </c>
      <c r="BU50" s="39" t="s">
        <v>5381</v>
      </c>
      <c r="BV50" s="39" t="s">
        <v>5381</v>
      </c>
      <c r="CE50" s="39" t="s">
        <v>5381</v>
      </c>
    </row>
    <row r="51" spans="1:83" ht="16" thickBot="1">
      <c r="A51" s="62" t="s">
        <v>5380</v>
      </c>
      <c r="B51" s="78" t="s">
        <v>5539</v>
      </c>
      <c r="D51" s="78" t="s">
        <v>5604</v>
      </c>
      <c r="E51" s="78" t="s">
        <v>5677</v>
      </c>
      <c r="F51" s="78" t="str">
        <f t="shared" si="0"/>
        <v>chon@kaller.com.new.uat</v>
      </c>
      <c r="G51" s="39" t="s">
        <v>5834</v>
      </c>
      <c r="H51" s="78" t="s">
        <v>5756</v>
      </c>
      <c r="I51" t="str">
        <f>IFERROR(VLOOKUP(J51,'Language Map'!M:O,3,FALSE),"en_"&amp;J51)</f>
        <v>ko_KR</v>
      </c>
      <c r="J51" s="78" t="s">
        <v>5869</v>
      </c>
      <c r="L51" s="78" t="s">
        <v>5880</v>
      </c>
      <c r="M51" t="str">
        <f>IFERROR(VLOOKUP(J51,'Country Map'!E:H,3,FALSE),"Country Currency Not Mapped")</f>
        <v>KRW</v>
      </c>
      <c r="O51" s="39" t="s">
        <v>5381</v>
      </c>
      <c r="P51" t="str">
        <f t="shared" si="1"/>
        <v>34</v>
      </c>
      <c r="Q51" s="78" t="s">
        <v>5909</v>
      </c>
      <c r="W51" s="78" t="s">
        <v>80</v>
      </c>
      <c r="X51" t="str">
        <f>IFERROR(VLOOKUP(W51,'Salary Map'!A:D,3,FALSE),"Salary Code Not Mapped")</f>
        <v>Default</v>
      </c>
      <c r="Z51" t="str">
        <f t="shared" si="2"/>
        <v>Selling</v>
      </c>
      <c r="AP51" t="str">
        <f t="shared" si="3"/>
        <v>34</v>
      </c>
      <c r="BG51" s="78" t="s">
        <v>5925</v>
      </c>
      <c r="BK51" s="39" t="s">
        <v>5381</v>
      </c>
      <c r="BL51" s="39" t="s">
        <v>5381</v>
      </c>
      <c r="BU51" s="39" t="s">
        <v>5381</v>
      </c>
      <c r="BV51" s="39" t="s">
        <v>5381</v>
      </c>
      <c r="CE51" s="39" t="s">
        <v>5381</v>
      </c>
    </row>
    <row r="52" spans="1:83" ht="16" thickBot="1">
      <c r="A52" s="62" t="s">
        <v>5380</v>
      </c>
      <c r="B52" s="78" t="s">
        <v>5540</v>
      </c>
      <c r="D52" s="78" t="s">
        <v>5605</v>
      </c>
      <c r="E52" s="78" t="s">
        <v>5678</v>
      </c>
      <c r="F52" s="78" t="str">
        <f t="shared" si="0"/>
        <v>jung@kaller.com.new.uat</v>
      </c>
      <c r="G52" s="39" t="s">
        <v>5835</v>
      </c>
      <c r="H52" s="78" t="s">
        <v>5757</v>
      </c>
      <c r="I52" t="str">
        <f>IFERROR(VLOOKUP(J52,'Language Map'!M:O,3,FALSE),"en_"&amp;J52)</f>
        <v>ko_KR</v>
      </c>
      <c r="J52" s="78" t="s">
        <v>5869</v>
      </c>
      <c r="L52" s="78" t="s">
        <v>5880</v>
      </c>
      <c r="M52" t="str">
        <f>IFERROR(VLOOKUP(J52,'Country Map'!E:H,3,FALSE),"Country Currency Not Mapped")</f>
        <v>KRW</v>
      </c>
      <c r="O52" s="39" t="s">
        <v>5381</v>
      </c>
      <c r="P52" t="str">
        <f t="shared" si="1"/>
        <v>34</v>
      </c>
      <c r="Q52" s="78" t="s">
        <v>5909</v>
      </c>
      <c r="W52" s="78" t="s">
        <v>755</v>
      </c>
      <c r="X52" t="str">
        <f>IFERROR(VLOOKUP(W52,'Salary Map'!A:D,3,FALSE),"Salary Code Not Mapped")</f>
        <v>Default</v>
      </c>
      <c r="Z52" t="str">
        <f t="shared" si="2"/>
        <v>Selling</v>
      </c>
      <c r="AP52" t="str">
        <f t="shared" si="3"/>
        <v>34</v>
      </c>
      <c r="BG52" s="78" t="s">
        <v>5677</v>
      </c>
      <c r="BK52" s="39" t="s">
        <v>5381</v>
      </c>
      <c r="BL52" s="39" t="s">
        <v>5381</v>
      </c>
      <c r="BU52" s="39" t="s">
        <v>5381</v>
      </c>
      <c r="BV52" s="39" t="s">
        <v>5381</v>
      </c>
      <c r="CE52" s="39" t="s">
        <v>5381</v>
      </c>
    </row>
    <row r="53" spans="1:83" ht="16" thickBot="1">
      <c r="A53" s="62" t="s">
        <v>5380</v>
      </c>
      <c r="B53" s="78" t="s">
        <v>5541</v>
      </c>
      <c r="D53" s="78" t="s">
        <v>5606</v>
      </c>
      <c r="E53" s="78" t="s">
        <v>5679</v>
      </c>
      <c r="F53" s="78" t="str">
        <f t="shared" si="0"/>
        <v>young-el.kwon@kaller.com.new.uat</v>
      </c>
      <c r="G53" s="39" t="s">
        <v>5836</v>
      </c>
      <c r="H53" s="78" t="s">
        <v>5758</v>
      </c>
      <c r="I53" t="str">
        <f>IFERROR(VLOOKUP(J53,'Language Map'!M:O,3,FALSE),"en_"&amp;J53)</f>
        <v>ko_KR</v>
      </c>
      <c r="J53" s="78" t="s">
        <v>5869</v>
      </c>
      <c r="L53" s="78" t="s">
        <v>5880</v>
      </c>
      <c r="M53" t="str">
        <f>IFERROR(VLOOKUP(J53,'Country Map'!E:H,3,FALSE),"Country Currency Not Mapped")</f>
        <v>KRW</v>
      </c>
      <c r="O53" s="39" t="s">
        <v>5381</v>
      </c>
      <c r="P53" t="str">
        <f t="shared" si="1"/>
        <v>34</v>
      </c>
      <c r="Q53" s="78" t="s">
        <v>5909</v>
      </c>
      <c r="W53" s="78" t="s">
        <v>1755</v>
      </c>
      <c r="X53" t="str">
        <f>IFERROR(VLOOKUP(W53,'Salary Map'!A:D,3,FALSE),"Salary Code Not Mapped")</f>
        <v>Default</v>
      </c>
      <c r="Z53" t="str">
        <f t="shared" si="2"/>
        <v>Selling</v>
      </c>
      <c r="AP53" t="str">
        <f t="shared" si="3"/>
        <v>34</v>
      </c>
      <c r="BG53" s="78" t="s">
        <v>5677</v>
      </c>
      <c r="BK53" s="39" t="s">
        <v>5381</v>
      </c>
      <c r="BL53" s="39" t="s">
        <v>5381</v>
      </c>
      <c r="BU53" s="39" t="s">
        <v>5381</v>
      </c>
      <c r="BV53" s="39" t="s">
        <v>5381</v>
      </c>
      <c r="CE53" s="39" t="s">
        <v>5381</v>
      </c>
    </row>
    <row r="54" spans="1:83" ht="16" thickBot="1">
      <c r="A54" s="62" t="s">
        <v>5380</v>
      </c>
      <c r="B54" s="78" t="s">
        <v>5542</v>
      </c>
      <c r="D54" s="78" t="s">
        <v>5560</v>
      </c>
      <c r="E54" s="78" t="s">
        <v>5680</v>
      </c>
      <c r="F54" s="78" t="str">
        <f t="shared" si="0"/>
        <v>lee@kaller.com.new.uat</v>
      </c>
      <c r="G54" s="39" t="s">
        <v>5837</v>
      </c>
      <c r="H54" s="78" t="s">
        <v>5759</v>
      </c>
      <c r="I54" t="str">
        <f>IFERROR(VLOOKUP(J54,'Language Map'!M:O,3,FALSE),"en_"&amp;J54)</f>
        <v>ko_KR</v>
      </c>
      <c r="J54" s="78" t="s">
        <v>5869</v>
      </c>
      <c r="L54" s="78" t="s">
        <v>5880</v>
      </c>
      <c r="M54" t="str">
        <f>IFERROR(VLOOKUP(J54,'Country Map'!E:H,3,FALSE),"Country Currency Not Mapped")</f>
        <v>KRW</v>
      </c>
      <c r="O54" s="39" t="s">
        <v>5381</v>
      </c>
      <c r="P54" t="str">
        <f t="shared" si="1"/>
        <v>34</v>
      </c>
      <c r="Q54" s="78" t="s">
        <v>5909</v>
      </c>
      <c r="W54" s="78" t="s">
        <v>1755</v>
      </c>
      <c r="X54" t="str">
        <f>IFERROR(VLOOKUP(W54,'Salary Map'!A:D,3,FALSE),"Salary Code Not Mapped")</f>
        <v>Default</v>
      </c>
      <c r="Z54" t="str">
        <f t="shared" si="2"/>
        <v>Selling</v>
      </c>
      <c r="AP54" t="str">
        <f t="shared" si="3"/>
        <v>34</v>
      </c>
      <c r="BG54" s="78" t="s">
        <v>5677</v>
      </c>
      <c r="BK54" s="39" t="s">
        <v>5381</v>
      </c>
      <c r="BL54" s="39" t="s">
        <v>5381</v>
      </c>
      <c r="BU54" s="39" t="s">
        <v>5381</v>
      </c>
      <c r="BV54" s="39" t="s">
        <v>5381</v>
      </c>
      <c r="CE54" s="39" t="s">
        <v>5381</v>
      </c>
    </row>
    <row r="55" spans="1:83" ht="16" thickBot="1">
      <c r="A55" s="62" t="s">
        <v>5380</v>
      </c>
      <c r="B55" s="78" t="s">
        <v>5543</v>
      </c>
      <c r="D55" s="78" t="s">
        <v>5607</v>
      </c>
      <c r="E55" s="78" t="s">
        <v>5681</v>
      </c>
      <c r="F55" s="78" t="str">
        <f t="shared" si="0"/>
        <v>seoungjae.yoon@kaller.com.new.uat</v>
      </c>
      <c r="G55" s="39" t="s">
        <v>5838</v>
      </c>
      <c r="H55" s="78" t="s">
        <v>5760</v>
      </c>
      <c r="I55" t="str">
        <f>IFERROR(VLOOKUP(J55,'Language Map'!M:O,3,FALSE),"en_"&amp;J55)</f>
        <v>ko_KR</v>
      </c>
      <c r="J55" s="78" t="s">
        <v>5869</v>
      </c>
      <c r="L55" s="78" t="s">
        <v>5880</v>
      </c>
      <c r="M55" t="str">
        <f>IFERROR(VLOOKUP(J55,'Country Map'!E:H,3,FALSE),"Country Currency Not Mapped")</f>
        <v>KRW</v>
      </c>
      <c r="O55" s="39" t="s">
        <v>5381</v>
      </c>
      <c r="P55" t="str">
        <f t="shared" si="1"/>
        <v>34</v>
      </c>
      <c r="Q55" s="78" t="s">
        <v>5909</v>
      </c>
      <c r="W55" s="78" t="s">
        <v>1755</v>
      </c>
      <c r="X55" t="str">
        <f>IFERROR(VLOOKUP(W55,'Salary Map'!A:D,3,FALSE),"Salary Code Not Mapped")</f>
        <v>Default</v>
      </c>
      <c r="Z55" t="str">
        <f t="shared" si="2"/>
        <v>Selling</v>
      </c>
      <c r="AP55" t="str">
        <f t="shared" si="3"/>
        <v>34</v>
      </c>
      <c r="BG55" s="78" t="s">
        <v>5677</v>
      </c>
      <c r="BK55" s="39" t="s">
        <v>5381</v>
      </c>
      <c r="BL55" s="39" t="s">
        <v>5381</v>
      </c>
      <c r="BU55" s="39" t="s">
        <v>5381</v>
      </c>
      <c r="BV55" s="39" t="s">
        <v>5381</v>
      </c>
      <c r="CE55" s="39" t="s">
        <v>5381</v>
      </c>
    </row>
    <row r="56" spans="1:83" ht="16" thickBot="1">
      <c r="A56" s="62" t="s">
        <v>5380</v>
      </c>
      <c r="B56" s="78" t="s">
        <v>5524</v>
      </c>
      <c r="D56" s="78" t="s">
        <v>5608</v>
      </c>
      <c r="E56" s="78" t="s">
        <v>5682</v>
      </c>
      <c r="F56" s="78" t="str">
        <f t="shared" si="0"/>
        <v>YLu@onebarnes.com.new.uat</v>
      </c>
      <c r="G56" s="39" t="s">
        <v>5839</v>
      </c>
      <c r="H56" s="78" t="s">
        <v>5761</v>
      </c>
      <c r="I56" t="str">
        <f>IFERROR(VLOOKUP(J56,'Language Map'!M:O,3,FALSE),"en_"&amp;J56)</f>
        <v>zh_CN</v>
      </c>
      <c r="J56" s="78" t="s">
        <v>5866</v>
      </c>
      <c r="L56" s="78" t="s">
        <v>5876</v>
      </c>
      <c r="M56" t="str">
        <f>IFERROR(VLOOKUP(J56,'Country Map'!E:H,3,FALSE),"Country Currency Not Mapped")</f>
        <v>CNY</v>
      </c>
      <c r="O56" s="39" t="s">
        <v>5381</v>
      </c>
      <c r="P56" t="str">
        <f t="shared" si="1"/>
        <v>0079</v>
      </c>
      <c r="Q56" s="78" t="s">
        <v>5908</v>
      </c>
      <c r="W56" s="78" t="s">
        <v>505</v>
      </c>
      <c r="X56" t="str">
        <f>IFERROR(VLOOKUP(W56,'Salary Map'!A:D,3,FALSE),"Salary Code Not Mapped")</f>
        <v>Default</v>
      </c>
      <c r="Z56" t="str">
        <f t="shared" si="2"/>
        <v>G&amp;A</v>
      </c>
      <c r="AP56" t="str">
        <f t="shared" si="3"/>
        <v>0079</v>
      </c>
      <c r="BG56" s="78" t="s">
        <v>5655</v>
      </c>
      <c r="BK56" s="39" t="s">
        <v>5381</v>
      </c>
      <c r="BL56" s="39" t="s">
        <v>5381</v>
      </c>
      <c r="BU56" s="39" t="s">
        <v>5381</v>
      </c>
      <c r="BV56" s="39" t="s">
        <v>5381</v>
      </c>
      <c r="CE56" s="39" t="s">
        <v>5381</v>
      </c>
    </row>
    <row r="57" spans="1:83" ht="16" thickBot="1">
      <c r="A57" s="62" t="s">
        <v>5380</v>
      </c>
      <c r="B57" s="78" t="s">
        <v>1958</v>
      </c>
      <c r="D57" s="78" t="s">
        <v>4784</v>
      </c>
      <c r="E57" s="78" t="s">
        <v>5683</v>
      </c>
      <c r="F57" s="78" t="str">
        <f t="shared" si="0"/>
        <v>cwhite@onebarnes.com.new.uat</v>
      </c>
      <c r="G57" s="39" t="s">
        <v>5840</v>
      </c>
      <c r="H57" s="78" t="s">
        <v>5762</v>
      </c>
      <c r="I57" t="str">
        <f>IFERROR(VLOOKUP(J57,'Language Map'!M:O,3,FALSE),"en_"&amp;J57)</f>
        <v>en_GB</v>
      </c>
      <c r="J57" s="78" t="s">
        <v>5865</v>
      </c>
      <c r="L57" s="78" t="s">
        <v>5873</v>
      </c>
      <c r="M57" t="str">
        <f>IFERROR(VLOOKUP(J57,'Country Map'!E:H,3,FALSE),"Country Currency Not Mapped")</f>
        <v>GBP</v>
      </c>
      <c r="O57" s="39" t="s">
        <v>5381</v>
      </c>
      <c r="P57" t="str">
        <f t="shared" si="1"/>
        <v>0035</v>
      </c>
      <c r="Q57" s="85"/>
      <c r="W57" s="78" t="s">
        <v>1755</v>
      </c>
      <c r="X57" t="str">
        <f>IFERROR(VLOOKUP(W57,'Salary Map'!A:D,3,FALSE),"Salary Code Not Mapped")</f>
        <v>Default</v>
      </c>
      <c r="Z57">
        <f t="shared" si="2"/>
        <v>0</v>
      </c>
      <c r="AP57" t="str">
        <f t="shared" si="3"/>
        <v>0035</v>
      </c>
      <c r="BG57" s="78" t="s">
        <v>5636</v>
      </c>
      <c r="BK57" s="39" t="s">
        <v>5381</v>
      </c>
      <c r="BL57" s="39" t="s">
        <v>5381</v>
      </c>
      <c r="BU57" s="39" t="s">
        <v>5381</v>
      </c>
      <c r="BV57" s="39" t="s">
        <v>5381</v>
      </c>
      <c r="CE57" s="39" t="s">
        <v>5381</v>
      </c>
    </row>
    <row r="58" spans="1:83" ht="16" thickBot="1">
      <c r="A58" s="62" t="s">
        <v>5380</v>
      </c>
      <c r="B58" s="78" t="s">
        <v>5544</v>
      </c>
      <c r="D58" s="78" t="s">
        <v>5609</v>
      </c>
      <c r="E58" s="78" t="s">
        <v>5684</v>
      </c>
      <c r="F58" s="78" t="str">
        <f t="shared" si="0"/>
        <v>rtoroczkai@onebarnes.com.new.uat</v>
      </c>
      <c r="G58" s="39" t="s">
        <v>5841</v>
      </c>
      <c r="H58" s="78" t="s">
        <v>5763</v>
      </c>
      <c r="I58" t="str">
        <f>IFERROR(VLOOKUP(J58,'Language Map'!M:O,3,FALSE),"en_"&amp;J58)</f>
        <v>en_GB</v>
      </c>
      <c r="J58" s="78" t="s">
        <v>5865</v>
      </c>
      <c r="L58" s="78" t="s">
        <v>5873</v>
      </c>
      <c r="M58" t="str">
        <f>IFERROR(VLOOKUP(J58,'Country Map'!E:H,3,FALSE),"Country Currency Not Mapped")</f>
        <v>GBP</v>
      </c>
      <c r="O58" s="39" t="s">
        <v>5381</v>
      </c>
      <c r="P58" t="str">
        <f t="shared" si="1"/>
        <v>0035</v>
      </c>
      <c r="Q58" s="85"/>
      <c r="W58" s="78" t="s">
        <v>55</v>
      </c>
      <c r="X58" t="str">
        <f>IFERROR(VLOOKUP(W58,'Salary Map'!A:D,3,FALSE),"Salary Code Not Mapped")</f>
        <v>Default</v>
      </c>
      <c r="Z58">
        <f t="shared" si="2"/>
        <v>0</v>
      </c>
      <c r="AP58" t="str">
        <f t="shared" si="3"/>
        <v>0035</v>
      </c>
      <c r="BG58" s="78" t="s">
        <v>5686</v>
      </c>
      <c r="BK58" s="39" t="s">
        <v>5381</v>
      </c>
      <c r="BL58" s="39" t="s">
        <v>5381</v>
      </c>
      <c r="BU58" s="39" t="s">
        <v>5381</v>
      </c>
      <c r="BV58" s="39" t="s">
        <v>5381</v>
      </c>
      <c r="CE58" s="39" t="s">
        <v>5381</v>
      </c>
    </row>
    <row r="59" spans="1:83" ht="16" thickBot="1">
      <c r="A59" s="62" t="s">
        <v>5380</v>
      </c>
      <c r="B59" s="78" t="s">
        <v>5545</v>
      </c>
      <c r="D59" s="78" t="s">
        <v>5610</v>
      </c>
      <c r="E59" s="78" t="s">
        <v>5685</v>
      </c>
      <c r="F59" s="78" t="str">
        <f t="shared" si="0"/>
        <v>Vicky.goodworth@igsltd.co.uk.new.uat</v>
      </c>
      <c r="G59" s="39" t="s">
        <v>5842</v>
      </c>
      <c r="H59" s="78" t="s">
        <v>5764</v>
      </c>
      <c r="I59" t="str">
        <f>IFERROR(VLOOKUP(J59,'Language Map'!M:O,3,FALSE),"en_"&amp;J59)</f>
        <v>en_GB</v>
      </c>
      <c r="J59" s="78" t="s">
        <v>5865</v>
      </c>
      <c r="L59" s="78" t="s">
        <v>5874</v>
      </c>
      <c r="M59" t="str">
        <f>IFERROR(VLOOKUP(J59,'Country Map'!E:H,3,FALSE),"Country Currency Not Mapped")</f>
        <v>GBP</v>
      </c>
      <c r="O59" s="39" t="s">
        <v>5381</v>
      </c>
      <c r="P59" t="str">
        <f t="shared" si="1"/>
        <v>0218</v>
      </c>
      <c r="Q59" s="85"/>
      <c r="W59" s="78" t="s">
        <v>805</v>
      </c>
      <c r="X59" t="str">
        <f>IFERROR(VLOOKUP(W59,'Salary Map'!A:D,3,FALSE),"Salary Code Not Mapped")</f>
        <v>Default</v>
      </c>
      <c r="Z59">
        <f t="shared" si="2"/>
        <v>0</v>
      </c>
      <c r="AP59" t="str">
        <f t="shared" si="3"/>
        <v>0218</v>
      </c>
      <c r="BG59" s="78" t="s">
        <v>5645</v>
      </c>
      <c r="BK59" s="39" t="s">
        <v>5381</v>
      </c>
      <c r="BL59" s="39" t="s">
        <v>5381</v>
      </c>
      <c r="BU59" s="39" t="s">
        <v>5381</v>
      </c>
      <c r="BV59" s="39" t="s">
        <v>5381</v>
      </c>
      <c r="CE59" s="39" t="s">
        <v>5381</v>
      </c>
    </row>
    <row r="60" spans="1:83" ht="16" thickBot="1">
      <c r="A60" s="62" t="s">
        <v>5380</v>
      </c>
      <c r="B60" s="78" t="s">
        <v>158</v>
      </c>
      <c r="D60" s="78" t="s">
        <v>5611</v>
      </c>
      <c r="E60" s="78" t="s">
        <v>5686</v>
      </c>
      <c r="F60" s="78" t="str">
        <f t="shared" si="0"/>
        <v>tcuthbert@onebarnes.com.new.uat</v>
      </c>
      <c r="G60" s="39" t="s">
        <v>5843</v>
      </c>
      <c r="H60" s="78" t="s">
        <v>5765</v>
      </c>
      <c r="I60" t="str">
        <f>IFERROR(VLOOKUP(J60,'Language Map'!M:O,3,FALSE),"en_"&amp;J60)</f>
        <v>en_GB</v>
      </c>
      <c r="J60" s="78" t="s">
        <v>5865</v>
      </c>
      <c r="L60" s="78" t="s">
        <v>5873</v>
      </c>
      <c r="M60" t="str">
        <f>IFERROR(VLOOKUP(J60,'Country Map'!E:H,3,FALSE),"Country Currency Not Mapped")</f>
        <v>GBP</v>
      </c>
      <c r="O60" s="39" t="s">
        <v>5381</v>
      </c>
      <c r="P60" t="str">
        <f t="shared" si="1"/>
        <v>0035</v>
      </c>
      <c r="Q60" s="85"/>
      <c r="W60" s="78" t="s">
        <v>1755</v>
      </c>
      <c r="X60" t="str">
        <f>IFERROR(VLOOKUP(W60,'Salary Map'!A:D,3,FALSE),"Salary Code Not Mapped")</f>
        <v>Default</v>
      </c>
      <c r="Z60">
        <f t="shared" si="2"/>
        <v>0</v>
      </c>
      <c r="AP60" t="str">
        <f t="shared" si="3"/>
        <v>0035</v>
      </c>
      <c r="BG60" s="78" t="s">
        <v>5640</v>
      </c>
      <c r="BK60" s="39" t="s">
        <v>5381</v>
      </c>
      <c r="BL60" s="39" t="s">
        <v>5381</v>
      </c>
      <c r="BU60" s="39" t="s">
        <v>5381</v>
      </c>
      <c r="BV60" s="39" t="s">
        <v>5381</v>
      </c>
      <c r="CE60" s="39" t="s">
        <v>5381</v>
      </c>
    </row>
    <row r="61" spans="1:83" ht="16" thickBot="1">
      <c r="A61" s="62" t="s">
        <v>5380</v>
      </c>
      <c r="B61" s="78" t="s">
        <v>5546</v>
      </c>
      <c r="D61" s="78" t="s">
        <v>5612</v>
      </c>
      <c r="E61" s="78" t="s">
        <v>5687</v>
      </c>
      <c r="F61" s="78" t="str">
        <f t="shared" si="0"/>
        <v>RQayyum@onebarnes.com.new.uat</v>
      </c>
      <c r="G61" s="39" t="s">
        <v>5844</v>
      </c>
      <c r="H61" s="78" t="s">
        <v>5766</v>
      </c>
      <c r="I61" t="str">
        <f>IFERROR(VLOOKUP(J61,'Language Map'!M:O,3,FALSE),"en_"&amp;J61)</f>
        <v>en_GB</v>
      </c>
      <c r="J61" s="78" t="s">
        <v>5865</v>
      </c>
      <c r="L61" s="78" t="s">
        <v>5874</v>
      </c>
      <c r="M61" t="str">
        <f>IFERROR(VLOOKUP(J61,'Country Map'!E:H,3,FALSE),"Country Currency Not Mapped")</f>
        <v>GBP</v>
      </c>
      <c r="O61" s="39" t="s">
        <v>5381</v>
      </c>
      <c r="P61" t="str">
        <f t="shared" si="1"/>
        <v>0218</v>
      </c>
      <c r="Q61" s="85"/>
      <c r="W61" s="78" t="s">
        <v>955</v>
      </c>
      <c r="X61" t="str">
        <f>IFERROR(VLOOKUP(W61,'Salary Map'!A:D,3,FALSE),"Salary Code Not Mapped")</f>
        <v>Default</v>
      </c>
      <c r="Z61">
        <f t="shared" si="2"/>
        <v>0</v>
      </c>
      <c r="AP61" t="str">
        <f t="shared" si="3"/>
        <v>0218</v>
      </c>
      <c r="BG61" s="78" t="s">
        <v>5928</v>
      </c>
      <c r="BK61" s="39" t="s">
        <v>5381</v>
      </c>
      <c r="BL61" s="39" t="s">
        <v>5381</v>
      </c>
      <c r="BU61" s="39" t="s">
        <v>5381</v>
      </c>
      <c r="BV61" s="39" t="s">
        <v>5381</v>
      </c>
      <c r="CE61" s="39" t="s">
        <v>5381</v>
      </c>
    </row>
    <row r="62" spans="1:83" ht="16" thickBot="1">
      <c r="A62" s="62" t="s">
        <v>5380</v>
      </c>
      <c r="B62" s="78" t="s">
        <v>5547</v>
      </c>
      <c r="D62" s="78" t="s">
        <v>458</v>
      </c>
      <c r="E62" s="78" t="s">
        <v>5688</v>
      </c>
      <c r="F62" s="78" t="str">
        <f t="shared" si="0"/>
        <v>sjames@onebarnes.com.new.uat</v>
      </c>
      <c r="G62" s="39" t="s">
        <v>5845</v>
      </c>
      <c r="H62" s="78" t="s">
        <v>5767</v>
      </c>
      <c r="I62" t="str">
        <f>IFERROR(VLOOKUP(J62,'Language Map'!M:O,3,FALSE),"en_"&amp;J62)</f>
        <v>en_GB</v>
      </c>
      <c r="J62" s="78" t="s">
        <v>5865</v>
      </c>
      <c r="L62" s="78" t="s">
        <v>5873</v>
      </c>
      <c r="M62" t="str">
        <f>IFERROR(VLOOKUP(J62,'Country Map'!E:H,3,FALSE),"Country Currency Not Mapped")</f>
        <v>GBP</v>
      </c>
      <c r="O62" s="39" t="s">
        <v>5381</v>
      </c>
      <c r="P62" t="str">
        <f t="shared" si="1"/>
        <v>0035</v>
      </c>
      <c r="Q62" s="85"/>
      <c r="W62" s="78" t="s">
        <v>1755</v>
      </c>
      <c r="X62" t="str">
        <f>IFERROR(VLOOKUP(W62,'Salary Map'!A:D,3,FALSE),"Salary Code Not Mapped")</f>
        <v>Default</v>
      </c>
      <c r="Z62">
        <f t="shared" si="2"/>
        <v>0</v>
      </c>
      <c r="AP62" t="str">
        <f t="shared" si="3"/>
        <v>0035</v>
      </c>
      <c r="BG62" s="78" t="s">
        <v>5636</v>
      </c>
      <c r="BK62" s="39" t="s">
        <v>5381</v>
      </c>
      <c r="BL62" s="39" t="s">
        <v>5381</v>
      </c>
      <c r="BU62" s="39" t="s">
        <v>5381</v>
      </c>
      <c r="BV62" s="39" t="s">
        <v>5381</v>
      </c>
      <c r="CE62" s="39" t="s">
        <v>5381</v>
      </c>
    </row>
    <row r="63" spans="1:83" ht="16" thickBot="1">
      <c r="A63" s="62" t="s">
        <v>5380</v>
      </c>
      <c r="B63" s="78" t="s">
        <v>5548</v>
      </c>
      <c r="D63" s="78" t="s">
        <v>5613</v>
      </c>
      <c r="E63" s="78" t="s">
        <v>5689</v>
      </c>
      <c r="F63" s="78" t="str">
        <f t="shared" si="0"/>
        <v>ltong@onebarnes.com.new.uat</v>
      </c>
      <c r="G63" s="39" t="s">
        <v>5846</v>
      </c>
      <c r="H63" s="78" t="s">
        <v>5768</v>
      </c>
      <c r="I63" t="str">
        <f>IFERROR(VLOOKUP(J63,'Language Map'!M:O,3,FALSE),"en_"&amp;J63)</f>
        <v>zh_CN</v>
      </c>
      <c r="J63" s="78" t="s">
        <v>5866</v>
      </c>
      <c r="L63" s="78" t="s">
        <v>5876</v>
      </c>
      <c r="M63" t="str">
        <f>IFERROR(VLOOKUP(J63,'Country Map'!E:H,3,FALSE),"Country Currency Not Mapped")</f>
        <v>CNY</v>
      </c>
      <c r="O63" s="39" t="s">
        <v>5381</v>
      </c>
      <c r="P63" t="str">
        <f t="shared" si="1"/>
        <v>0079</v>
      </c>
      <c r="Q63" s="78" t="s">
        <v>5907</v>
      </c>
      <c r="W63" s="78" t="s">
        <v>505</v>
      </c>
      <c r="X63" t="str">
        <f>IFERROR(VLOOKUP(W63,'Salary Map'!A:D,3,FALSE),"Salary Code Not Mapped")</f>
        <v>Default</v>
      </c>
      <c r="Z63" t="str">
        <f t="shared" si="2"/>
        <v>Production</v>
      </c>
      <c r="AP63" t="str">
        <f t="shared" si="3"/>
        <v>0079</v>
      </c>
      <c r="BG63" s="78" t="s">
        <v>5650</v>
      </c>
      <c r="BK63" s="39" t="s">
        <v>5381</v>
      </c>
      <c r="BL63" s="39" t="s">
        <v>5381</v>
      </c>
      <c r="BU63" s="39" t="s">
        <v>5381</v>
      </c>
      <c r="BV63" s="39" t="s">
        <v>5381</v>
      </c>
      <c r="CE63" s="39" t="s">
        <v>5381</v>
      </c>
    </row>
    <row r="64" spans="1:83" ht="16" thickBot="1">
      <c r="A64" s="62" t="s">
        <v>5380</v>
      </c>
      <c r="B64" s="78" t="s">
        <v>5549</v>
      </c>
      <c r="D64" s="78" t="s">
        <v>5614</v>
      </c>
      <c r="E64" s="78" t="s">
        <v>5690</v>
      </c>
      <c r="F64" s="78" t="str">
        <f t="shared" si="0"/>
        <v>FGuo@onebarnes.com.new.uat</v>
      </c>
      <c r="G64" s="39" t="s">
        <v>5847</v>
      </c>
      <c r="H64" s="78" t="s">
        <v>5769</v>
      </c>
      <c r="I64" t="str">
        <f>IFERROR(VLOOKUP(J64,'Language Map'!M:O,3,FALSE),"en_"&amp;J64)</f>
        <v>zh_CN</v>
      </c>
      <c r="J64" s="78" t="s">
        <v>5866</v>
      </c>
      <c r="L64" s="78" t="s">
        <v>5876</v>
      </c>
      <c r="M64" t="str">
        <f>IFERROR(VLOOKUP(J64,'Country Map'!E:H,3,FALSE),"Country Currency Not Mapped")</f>
        <v>CNY</v>
      </c>
      <c r="O64" s="39" t="s">
        <v>5381</v>
      </c>
      <c r="P64" t="str">
        <f t="shared" si="1"/>
        <v>0079</v>
      </c>
      <c r="Q64" s="78" t="s">
        <v>5907</v>
      </c>
      <c r="W64" s="78" t="s">
        <v>505</v>
      </c>
      <c r="X64" t="str">
        <f>IFERROR(VLOOKUP(W64,'Salary Map'!A:D,3,FALSE),"Salary Code Not Mapped")</f>
        <v>Default</v>
      </c>
      <c r="Z64" t="str">
        <f t="shared" si="2"/>
        <v>Production</v>
      </c>
      <c r="AP64" t="str">
        <f t="shared" si="3"/>
        <v>0079</v>
      </c>
      <c r="BG64" s="78" t="s">
        <v>5650</v>
      </c>
      <c r="BK64" s="39" t="s">
        <v>5381</v>
      </c>
      <c r="BL64" s="39" t="s">
        <v>5381</v>
      </c>
      <c r="BU64" s="39" t="s">
        <v>5381</v>
      </c>
      <c r="BV64" s="39" t="s">
        <v>5381</v>
      </c>
      <c r="CE64" s="39" t="s">
        <v>5381</v>
      </c>
    </row>
    <row r="65" spans="1:83" ht="16" thickBot="1">
      <c r="A65" s="62" t="s">
        <v>5380</v>
      </c>
      <c r="B65" s="78" t="s">
        <v>5550</v>
      </c>
      <c r="D65" s="78" t="s">
        <v>5615</v>
      </c>
      <c r="E65" s="78" t="s">
        <v>5691</v>
      </c>
      <c r="F65" s="78" t="str">
        <f t="shared" si="0"/>
        <v>WOverton@onebarnes.com.new.uat</v>
      </c>
      <c r="G65" s="39" t="s">
        <v>5848</v>
      </c>
      <c r="H65" s="78" t="s">
        <v>5770</v>
      </c>
      <c r="I65" t="str">
        <f>IFERROR(VLOOKUP(J65,'Language Map'!M:O,3,FALSE),"en_"&amp;J65)</f>
        <v>en_GB</v>
      </c>
      <c r="J65" s="78" t="s">
        <v>5865</v>
      </c>
      <c r="L65" s="78" t="s">
        <v>5873</v>
      </c>
      <c r="M65" t="str">
        <f>IFERROR(VLOOKUP(J65,'Country Map'!E:H,3,FALSE),"Country Currency Not Mapped")</f>
        <v>GBP</v>
      </c>
      <c r="O65" s="39" t="s">
        <v>5381</v>
      </c>
      <c r="P65" t="str">
        <f t="shared" si="1"/>
        <v>0035</v>
      </c>
      <c r="Q65" s="85"/>
      <c r="W65" s="78" t="s">
        <v>80</v>
      </c>
      <c r="X65" t="str">
        <f>IFERROR(VLOOKUP(W65,'Salary Map'!A:D,3,FALSE),"Salary Code Not Mapped")</f>
        <v>Default</v>
      </c>
      <c r="Z65">
        <f t="shared" si="2"/>
        <v>0</v>
      </c>
      <c r="AP65" t="str">
        <f t="shared" si="3"/>
        <v>0035</v>
      </c>
      <c r="BG65" s="78" t="s">
        <v>5929</v>
      </c>
      <c r="BK65" s="39" t="s">
        <v>5381</v>
      </c>
      <c r="BL65" s="39" t="s">
        <v>5381</v>
      </c>
      <c r="BU65" s="39" t="s">
        <v>5381</v>
      </c>
      <c r="BV65" s="39" t="s">
        <v>5381</v>
      </c>
      <c r="CE65" s="39" t="s">
        <v>5381</v>
      </c>
    </row>
    <row r="66" spans="1:83" ht="16" thickBot="1">
      <c r="A66" s="62" t="s">
        <v>5380</v>
      </c>
      <c r="B66" s="78" t="s">
        <v>5551</v>
      </c>
      <c r="D66" s="78" t="s">
        <v>5616</v>
      </c>
      <c r="E66" s="78" t="s">
        <v>5692</v>
      </c>
      <c r="F66" s="78" t="str">
        <f t="shared" si="0"/>
        <v>SSarvothayakumar@onebarnes.com.new.uat</v>
      </c>
      <c r="G66" s="39" t="s">
        <v>5849</v>
      </c>
      <c r="H66" s="78" t="s">
        <v>5771</v>
      </c>
      <c r="I66" t="str">
        <f>IFERROR(VLOOKUP(J66,'Language Map'!M:O,3,FALSE),"en_"&amp;J66)</f>
        <v>en_GB</v>
      </c>
      <c r="J66" s="78" t="s">
        <v>5865</v>
      </c>
      <c r="L66" s="78" t="s">
        <v>5874</v>
      </c>
      <c r="M66" t="str">
        <f>IFERROR(VLOOKUP(J66,'Country Map'!E:H,3,FALSE),"Country Currency Not Mapped")</f>
        <v>GBP</v>
      </c>
      <c r="O66" s="39" t="s">
        <v>5381</v>
      </c>
      <c r="P66" t="str">
        <f t="shared" si="1"/>
        <v>0218</v>
      </c>
      <c r="Q66" s="85"/>
      <c r="W66" s="78" t="s">
        <v>1755</v>
      </c>
      <c r="X66" t="str">
        <f>IFERROR(VLOOKUP(W66,'Salary Map'!A:D,3,FALSE),"Salary Code Not Mapped")</f>
        <v>Default</v>
      </c>
      <c r="Z66">
        <f t="shared" si="2"/>
        <v>0</v>
      </c>
      <c r="AP66" t="str">
        <f t="shared" si="3"/>
        <v>0218</v>
      </c>
      <c r="BG66" s="78" t="s">
        <v>5646</v>
      </c>
      <c r="BK66" s="39" t="s">
        <v>5381</v>
      </c>
      <c r="BL66" s="39" t="s">
        <v>5381</v>
      </c>
      <c r="BU66" s="39" t="s">
        <v>5381</v>
      </c>
      <c r="BV66" s="39" t="s">
        <v>5381</v>
      </c>
      <c r="CE66" s="39" t="s">
        <v>5381</v>
      </c>
    </row>
    <row r="67" spans="1:83" ht="16" thickBot="1">
      <c r="A67" s="62" t="s">
        <v>5380</v>
      </c>
      <c r="B67" s="78" t="s">
        <v>5552</v>
      </c>
      <c r="D67" s="78" t="s">
        <v>5617</v>
      </c>
      <c r="E67" s="78" t="s">
        <v>5693</v>
      </c>
      <c r="F67" s="78" t="str">
        <f t="shared" ref="F67:F85" si="4">H67&amp;".new.uat"</f>
        <v>VHillel@onebarnes.com.new.uat</v>
      </c>
      <c r="G67" s="39" t="s">
        <v>5850</v>
      </c>
      <c r="H67" s="78" t="s">
        <v>5772</v>
      </c>
      <c r="I67" t="str">
        <f>IFERROR(VLOOKUP(J67,'Language Map'!M:O,3,FALSE),"en_"&amp;J67)</f>
        <v>es_MX</v>
      </c>
      <c r="J67" s="78" t="s">
        <v>5864</v>
      </c>
      <c r="L67" s="78" t="s">
        <v>5872</v>
      </c>
      <c r="M67" t="str">
        <f>IFERROR(VLOOKUP(J67,'Country Map'!E:H,3,FALSE),"Country Currency Not Mapped")</f>
        <v>MXN</v>
      </c>
      <c r="O67" s="39" t="s">
        <v>5381</v>
      </c>
      <c r="P67" t="str">
        <f t="shared" ref="P67:P84" si="5">L67</f>
        <v>0075</v>
      </c>
      <c r="Q67" s="78" t="s">
        <v>5906</v>
      </c>
      <c r="W67" s="78" t="s">
        <v>755</v>
      </c>
      <c r="X67" t="str">
        <f>IFERROR(VLOOKUP(W67,'Salary Map'!A:D,3,FALSE),"Salary Code Not Mapped")</f>
        <v>Default</v>
      </c>
      <c r="Z67" t="str">
        <f t="shared" ref="Z67:Z79" si="6">Q67</f>
        <v>SALES</v>
      </c>
      <c r="AP67" t="str">
        <f t="shared" ref="AP67:AP79" si="7">L67</f>
        <v>0075</v>
      </c>
      <c r="BG67" s="78" t="s">
        <v>5629</v>
      </c>
      <c r="BK67" s="39" t="s">
        <v>5381</v>
      </c>
      <c r="BL67" s="39" t="s">
        <v>5381</v>
      </c>
      <c r="BU67" s="39" t="s">
        <v>5381</v>
      </c>
      <c r="BV67" s="39" t="s">
        <v>5381</v>
      </c>
      <c r="CE67" s="39" t="s">
        <v>5381</v>
      </c>
    </row>
    <row r="68" spans="1:83" ht="16" thickBot="1">
      <c r="A68" s="62" t="s">
        <v>5380</v>
      </c>
      <c r="B68" s="78" t="s">
        <v>5553</v>
      </c>
      <c r="D68" s="78" t="s">
        <v>5618</v>
      </c>
      <c r="E68" s="78" t="s">
        <v>5694</v>
      </c>
      <c r="F68" s="78" t="str">
        <f t="shared" si="4"/>
        <v>JAlves@onebarnes.com.new.uat</v>
      </c>
      <c r="G68" s="39" t="s">
        <v>5851</v>
      </c>
      <c r="H68" s="78" t="s">
        <v>5773</v>
      </c>
      <c r="I68" t="str">
        <f>IFERROR(VLOOKUP(J68,'Language Map'!M:O,3,FALSE),"en_"&amp;J68)</f>
        <v>en_GB</v>
      </c>
      <c r="J68" s="78" t="s">
        <v>5865</v>
      </c>
      <c r="L68" s="78" t="s">
        <v>5874</v>
      </c>
      <c r="M68" t="str">
        <f>IFERROR(VLOOKUP(J68,'Country Map'!E:H,3,FALSE),"Country Currency Not Mapped")</f>
        <v>GBP</v>
      </c>
      <c r="O68" s="39" t="s">
        <v>5381</v>
      </c>
      <c r="P68" t="str">
        <f t="shared" si="5"/>
        <v>0218</v>
      </c>
      <c r="Q68" s="85"/>
      <c r="W68" s="78" t="s">
        <v>1755</v>
      </c>
      <c r="X68" t="str">
        <f>IFERROR(VLOOKUP(W68,'Salary Map'!A:D,3,FALSE),"Salary Code Not Mapped")</f>
        <v>Default</v>
      </c>
      <c r="Z68">
        <f t="shared" si="6"/>
        <v>0</v>
      </c>
      <c r="AP68" t="str">
        <f t="shared" si="7"/>
        <v>0218</v>
      </c>
      <c r="BG68" s="78" t="s">
        <v>5922</v>
      </c>
      <c r="BK68" s="39" t="s">
        <v>5381</v>
      </c>
      <c r="BL68" s="39" t="s">
        <v>5381</v>
      </c>
      <c r="BU68" s="39" t="s">
        <v>5381</v>
      </c>
      <c r="BV68" s="39" t="s">
        <v>5381</v>
      </c>
      <c r="CE68" s="39" t="s">
        <v>5381</v>
      </c>
    </row>
    <row r="69" spans="1:83" ht="16" thickBot="1">
      <c r="A69" s="62" t="s">
        <v>5380</v>
      </c>
      <c r="B69" s="78" t="s">
        <v>5554</v>
      </c>
      <c r="D69" s="78" t="s">
        <v>5619</v>
      </c>
      <c r="E69" s="78" t="s">
        <v>5695</v>
      </c>
      <c r="F69" s="78" t="str">
        <f t="shared" si="4"/>
        <v>JJimenez@onebarnes.com.new.uat</v>
      </c>
      <c r="G69" s="39" t="s">
        <v>5852</v>
      </c>
      <c r="H69" s="78" t="s">
        <v>5774</v>
      </c>
      <c r="I69" t="str">
        <f>IFERROR(VLOOKUP(J69,'Language Map'!M:O,3,FALSE),"en_"&amp;J69)</f>
        <v>es_MX</v>
      </c>
      <c r="J69" s="78" t="s">
        <v>5864</v>
      </c>
      <c r="L69" s="78" t="s">
        <v>5872</v>
      </c>
      <c r="M69" t="str">
        <f>IFERROR(VLOOKUP(J69,'Country Map'!E:H,3,FALSE),"Country Currency Not Mapped")</f>
        <v>MXN</v>
      </c>
      <c r="O69" s="39" t="s">
        <v>5381</v>
      </c>
      <c r="P69" t="str">
        <f t="shared" si="5"/>
        <v>0075</v>
      </c>
      <c r="Q69" s="78" t="s">
        <v>5906</v>
      </c>
      <c r="W69" s="78" t="s">
        <v>505</v>
      </c>
      <c r="X69" t="str">
        <f>IFERROR(VLOOKUP(W69,'Salary Map'!A:D,3,FALSE),"Salary Code Not Mapped")</f>
        <v>Default</v>
      </c>
      <c r="Z69" t="str">
        <f t="shared" si="6"/>
        <v>SALES</v>
      </c>
      <c r="AP69" t="str">
        <f t="shared" si="7"/>
        <v>0075</v>
      </c>
      <c r="BG69" s="78" t="s">
        <v>5629</v>
      </c>
      <c r="BK69" s="39" t="s">
        <v>5381</v>
      </c>
      <c r="BL69" s="39" t="s">
        <v>5381</v>
      </c>
      <c r="BU69" s="39" t="s">
        <v>5381</v>
      </c>
      <c r="BV69" s="39" t="s">
        <v>5381</v>
      </c>
      <c r="CE69" s="39" t="s">
        <v>5381</v>
      </c>
    </row>
    <row r="70" spans="1:83" ht="16" thickBot="1">
      <c r="A70" s="62" t="s">
        <v>5380</v>
      </c>
      <c r="B70" s="78" t="s">
        <v>5508</v>
      </c>
      <c r="D70" s="78" t="s">
        <v>5620</v>
      </c>
      <c r="E70" s="78" t="s">
        <v>5696</v>
      </c>
      <c r="F70" s="78" t="str">
        <f t="shared" si="4"/>
        <v>mark.duncan@kaller.com.new.uat</v>
      </c>
      <c r="G70" s="39" t="s">
        <v>5853</v>
      </c>
      <c r="H70" s="78" t="s">
        <v>5775</v>
      </c>
      <c r="I70" t="str">
        <f>IFERROR(VLOOKUP(J70,'Language Map'!M:O,3,FALSE),"en_"&amp;J70)</f>
        <v>en_GB</v>
      </c>
      <c r="J70" s="78" t="s">
        <v>5865</v>
      </c>
      <c r="L70" s="78" t="s">
        <v>5873</v>
      </c>
      <c r="M70" t="str">
        <f>IFERROR(VLOOKUP(J70,'Country Map'!E:H,3,FALSE),"Country Currency Not Mapped")</f>
        <v>GBP</v>
      </c>
      <c r="O70" s="39" t="s">
        <v>5381</v>
      </c>
      <c r="P70" t="str">
        <f t="shared" si="5"/>
        <v>0035</v>
      </c>
      <c r="Q70" s="85"/>
      <c r="W70" s="85"/>
      <c r="X70" t="str">
        <f>IFERROR(VLOOKUP(W70,'Salary Map'!A:D,3,FALSE),"Salary Code Not Mapped")</f>
        <v>Salary Code Not Mapped</v>
      </c>
      <c r="Z70">
        <f t="shared" si="6"/>
        <v>0</v>
      </c>
      <c r="AP70" t="str">
        <f t="shared" si="7"/>
        <v>0035</v>
      </c>
      <c r="BG70" s="78" t="s">
        <v>5702</v>
      </c>
      <c r="BK70" s="39" t="s">
        <v>5381</v>
      </c>
      <c r="BL70" s="39" t="s">
        <v>5381</v>
      </c>
      <c r="BU70" s="39" t="s">
        <v>5381</v>
      </c>
      <c r="BV70" s="39" t="s">
        <v>5381</v>
      </c>
      <c r="CE70" s="39" t="s">
        <v>5381</v>
      </c>
    </row>
    <row r="71" spans="1:83" ht="16" thickBot="1">
      <c r="A71" s="62" t="s">
        <v>5380</v>
      </c>
      <c r="B71" s="78" t="s">
        <v>5555</v>
      </c>
      <c r="D71" s="78" t="s">
        <v>2035</v>
      </c>
      <c r="E71" s="78" t="s">
        <v>5697</v>
      </c>
      <c r="F71" s="78" t="str">
        <f t="shared" si="4"/>
        <v>bryn.jones@kaller.com.new.uat</v>
      </c>
      <c r="G71" s="39" t="s">
        <v>5854</v>
      </c>
      <c r="H71" s="78" t="s">
        <v>5776</v>
      </c>
      <c r="I71" t="str">
        <f>IFERROR(VLOOKUP(J71,'Language Map'!M:O,3,FALSE),"en_"&amp;J71)</f>
        <v>en_GB</v>
      </c>
      <c r="J71" s="78" t="s">
        <v>5865</v>
      </c>
      <c r="L71" s="78" t="s">
        <v>5873</v>
      </c>
      <c r="M71" t="str">
        <f>IFERROR(VLOOKUP(J71,'Country Map'!E:H,3,FALSE),"Country Currency Not Mapped")</f>
        <v>GBP</v>
      </c>
      <c r="O71" s="39" t="s">
        <v>5381</v>
      </c>
      <c r="P71" t="str">
        <f t="shared" si="5"/>
        <v>0035</v>
      </c>
      <c r="Q71" s="85"/>
      <c r="W71" s="85"/>
      <c r="X71" t="str">
        <f>IFERROR(VLOOKUP(W71,'Salary Map'!A:D,3,FALSE),"Salary Code Not Mapped")</f>
        <v>Salary Code Not Mapped</v>
      </c>
      <c r="Z71">
        <f t="shared" si="6"/>
        <v>0</v>
      </c>
      <c r="AP71" t="str">
        <f t="shared" si="7"/>
        <v>0035</v>
      </c>
      <c r="BG71" s="78" t="s">
        <v>5702</v>
      </c>
      <c r="BK71" s="39" t="s">
        <v>5381</v>
      </c>
      <c r="BL71" s="39" t="s">
        <v>5381</v>
      </c>
      <c r="BU71" s="39" t="s">
        <v>5381</v>
      </c>
      <c r="BV71" s="39" t="s">
        <v>5381</v>
      </c>
      <c r="CE71" s="39" t="s">
        <v>5381</v>
      </c>
    </row>
    <row r="72" spans="1:83" ht="16" thickBot="1">
      <c r="A72" s="62" t="s">
        <v>5380</v>
      </c>
      <c r="B72" s="78" t="s">
        <v>5556</v>
      </c>
      <c r="D72" s="78" t="s">
        <v>5621</v>
      </c>
      <c r="E72" s="78" t="s">
        <v>5698</v>
      </c>
      <c r="F72" s="78" t="str">
        <f t="shared" si="4"/>
        <v>monika.demange@kaller.com.new.uat</v>
      </c>
      <c r="G72" s="39" t="s">
        <v>5855</v>
      </c>
      <c r="H72" s="78" t="s">
        <v>5777</v>
      </c>
      <c r="I72" t="str">
        <f>IFERROR(VLOOKUP(J72,'Language Map'!M:O,3,FALSE),"en_"&amp;J72)</f>
        <v>en_GB</v>
      </c>
      <c r="J72" s="78" t="s">
        <v>5865</v>
      </c>
      <c r="L72" s="78" t="s">
        <v>5873</v>
      </c>
      <c r="M72" t="str">
        <f>IFERROR(VLOOKUP(J72,'Country Map'!E:H,3,FALSE),"Country Currency Not Mapped")</f>
        <v>GBP</v>
      </c>
      <c r="O72" s="39" t="s">
        <v>5381</v>
      </c>
      <c r="P72" t="str">
        <f t="shared" si="5"/>
        <v>0035</v>
      </c>
      <c r="Q72" s="85"/>
      <c r="W72" s="85"/>
      <c r="X72" t="str">
        <f>IFERROR(VLOOKUP(W72,'Salary Map'!A:D,3,FALSE),"Salary Code Not Mapped")</f>
        <v>Salary Code Not Mapped</v>
      </c>
      <c r="Z72">
        <f t="shared" si="6"/>
        <v>0</v>
      </c>
      <c r="AP72" t="str">
        <f t="shared" si="7"/>
        <v>0035</v>
      </c>
      <c r="BG72" s="78" t="s">
        <v>5702</v>
      </c>
      <c r="BK72" s="39" t="s">
        <v>5381</v>
      </c>
      <c r="BL72" s="39" t="s">
        <v>5381</v>
      </c>
      <c r="BU72" s="39" t="s">
        <v>5381</v>
      </c>
      <c r="BV72" s="39" t="s">
        <v>5381</v>
      </c>
      <c r="CE72" s="39" t="s">
        <v>5381</v>
      </c>
    </row>
    <row r="73" spans="1:83" ht="16" thickBot="1">
      <c r="A73" s="62" t="s">
        <v>5380</v>
      </c>
      <c r="B73" s="78" t="s">
        <v>5557</v>
      </c>
      <c r="D73" s="78" t="s">
        <v>5622</v>
      </c>
      <c r="E73" s="78" t="s">
        <v>5699</v>
      </c>
      <c r="F73" s="78" t="str">
        <f t="shared" si="4"/>
        <v>ivazquez@onebarnes.com.new.uat</v>
      </c>
      <c r="G73" s="39" t="s">
        <v>5856</v>
      </c>
      <c r="H73" s="78" t="s">
        <v>5778</v>
      </c>
      <c r="I73" t="str">
        <f>IFERROR(VLOOKUP(J73,'Language Map'!M:O,3,FALSE),"en_"&amp;J73)</f>
        <v>es_MX</v>
      </c>
      <c r="J73" s="78" t="s">
        <v>5864</v>
      </c>
      <c r="L73" s="78" t="s">
        <v>5872</v>
      </c>
      <c r="M73" t="str">
        <f>IFERROR(VLOOKUP(J73,'Country Map'!E:H,3,FALSE),"Country Currency Not Mapped")</f>
        <v>MXN</v>
      </c>
      <c r="O73" s="39" t="s">
        <v>5381</v>
      </c>
      <c r="P73" t="str">
        <f t="shared" si="5"/>
        <v>0075</v>
      </c>
      <c r="Q73" s="78" t="s">
        <v>5906</v>
      </c>
      <c r="W73" s="78" t="s">
        <v>805</v>
      </c>
      <c r="X73" t="str">
        <f>IFERROR(VLOOKUP(W73,'Salary Map'!A:D,3,FALSE),"Salary Code Not Mapped")</f>
        <v>Default</v>
      </c>
      <c r="Z73" t="str">
        <f t="shared" si="6"/>
        <v>SALES</v>
      </c>
      <c r="AP73" t="str">
        <f t="shared" si="7"/>
        <v>0075</v>
      </c>
      <c r="BG73" s="78" t="s">
        <v>5629</v>
      </c>
      <c r="BK73" s="39" t="s">
        <v>5381</v>
      </c>
      <c r="BL73" s="39" t="s">
        <v>5381</v>
      </c>
      <c r="BU73" s="39" t="s">
        <v>5381</v>
      </c>
      <c r="BV73" s="39" t="s">
        <v>5381</v>
      </c>
      <c r="CE73" s="39" t="s">
        <v>5381</v>
      </c>
    </row>
    <row r="74" spans="1:83" ht="16" thickBot="1">
      <c r="A74" s="62" t="s">
        <v>5380</v>
      </c>
      <c r="B74" s="78" t="s">
        <v>5558</v>
      </c>
      <c r="D74" s="78" t="s">
        <v>5623</v>
      </c>
      <c r="E74" s="78" t="s">
        <v>5700</v>
      </c>
      <c r="F74" s="78" t="str">
        <f t="shared" si="4"/>
        <v>hnevin@assocspring.co.uk.new.uat</v>
      </c>
      <c r="G74" s="39" t="s">
        <v>5857</v>
      </c>
      <c r="H74" s="78" t="s">
        <v>5779</v>
      </c>
      <c r="I74" t="str">
        <f>IFERROR(VLOOKUP(J74,'Language Map'!M:O,3,FALSE),"en_"&amp;J74)</f>
        <v>en_GB</v>
      </c>
      <c r="J74" s="78" t="s">
        <v>5865</v>
      </c>
      <c r="L74" s="78" t="s">
        <v>5873</v>
      </c>
      <c r="M74" t="str">
        <f>IFERROR(VLOOKUP(J74,'Country Map'!E:H,3,FALSE),"Country Currency Not Mapped")</f>
        <v>GBP</v>
      </c>
      <c r="O74" s="39" t="s">
        <v>5381</v>
      </c>
      <c r="P74" t="str">
        <f t="shared" si="5"/>
        <v>0035</v>
      </c>
      <c r="Q74" s="85"/>
      <c r="W74" s="85"/>
      <c r="X74" t="str">
        <f>IFERROR(VLOOKUP(W74,'Salary Map'!A:D,3,FALSE),"Salary Code Not Mapped")</f>
        <v>Salary Code Not Mapped</v>
      </c>
      <c r="Z74">
        <f t="shared" si="6"/>
        <v>0</v>
      </c>
      <c r="AP74" t="str">
        <f t="shared" si="7"/>
        <v>0035</v>
      </c>
      <c r="BG74" s="78" t="s">
        <v>5637</v>
      </c>
      <c r="BK74" s="39" t="s">
        <v>5381</v>
      </c>
      <c r="BL74" s="39" t="s">
        <v>5381</v>
      </c>
      <c r="BU74" s="39" t="s">
        <v>5381</v>
      </c>
      <c r="BV74" s="39" t="s">
        <v>5381</v>
      </c>
      <c r="CE74" s="39" t="s">
        <v>5381</v>
      </c>
    </row>
    <row r="75" spans="1:83" ht="16" thickBot="1">
      <c r="A75" s="62" t="s">
        <v>5380</v>
      </c>
      <c r="B75" s="78" t="s">
        <v>5559</v>
      </c>
      <c r="D75" s="78" t="s">
        <v>5624</v>
      </c>
      <c r="E75" s="78" t="s">
        <v>5701</v>
      </c>
      <c r="F75" s="78" t="str">
        <f t="shared" si="4"/>
        <v>Eflores@onebarnes.com.new.uat</v>
      </c>
      <c r="G75" s="39" t="s">
        <v>5858</v>
      </c>
      <c r="H75" s="78" t="s">
        <v>5780</v>
      </c>
      <c r="I75" t="str">
        <f>IFERROR(VLOOKUP(J75,'Language Map'!M:O,3,FALSE),"en_"&amp;J75)</f>
        <v>es_MX</v>
      </c>
      <c r="J75" s="78" t="s">
        <v>5864</v>
      </c>
      <c r="L75" s="78" t="s">
        <v>5872</v>
      </c>
      <c r="M75" t="str">
        <f>IFERROR(VLOOKUP(J75,'Country Map'!E:H,3,FALSE),"Country Currency Not Mapped")</f>
        <v>MXN</v>
      </c>
      <c r="O75" s="39" t="s">
        <v>5381</v>
      </c>
      <c r="P75" t="str">
        <f t="shared" si="5"/>
        <v>0075</v>
      </c>
      <c r="Q75" s="78" t="s">
        <v>5906</v>
      </c>
      <c r="W75" s="78" t="s">
        <v>505</v>
      </c>
      <c r="X75" t="str">
        <f>IFERROR(VLOOKUP(W75,'Salary Map'!A:D,3,FALSE),"Salary Code Not Mapped")</f>
        <v>Default</v>
      </c>
      <c r="Z75" t="str">
        <f t="shared" si="6"/>
        <v>SALES</v>
      </c>
      <c r="AP75" t="str">
        <f t="shared" si="7"/>
        <v>0075</v>
      </c>
      <c r="BG75" s="78" t="s">
        <v>5629</v>
      </c>
      <c r="BK75" s="39" t="s">
        <v>5381</v>
      </c>
      <c r="BL75" s="39" t="s">
        <v>5381</v>
      </c>
      <c r="BU75" s="39" t="s">
        <v>5381</v>
      </c>
      <c r="BV75" s="39" t="s">
        <v>5381</v>
      </c>
      <c r="CE75" s="39" t="s">
        <v>5381</v>
      </c>
    </row>
    <row r="76" spans="1:83" ht="16" thickBot="1">
      <c r="A76" s="62" t="s">
        <v>5380</v>
      </c>
      <c r="B76" s="78" t="s">
        <v>5560</v>
      </c>
      <c r="D76" s="78" t="s">
        <v>60</v>
      </c>
      <c r="E76" s="78" t="s">
        <v>5702</v>
      </c>
      <c r="F76" s="78" t="str">
        <f t="shared" si="4"/>
        <v>ladams@onebarnes.com.new.uat</v>
      </c>
      <c r="G76" s="39" t="s">
        <v>5859</v>
      </c>
      <c r="H76" s="78" t="s">
        <v>5781</v>
      </c>
      <c r="I76" t="str">
        <f>IFERROR(VLOOKUP(J76,'Language Map'!M:O,3,FALSE),"en_"&amp;J76)</f>
        <v>en_GB</v>
      </c>
      <c r="J76" s="78" t="s">
        <v>5865</v>
      </c>
      <c r="L76" s="78" t="s">
        <v>575</v>
      </c>
      <c r="M76" t="str">
        <f>IFERROR(VLOOKUP(J76,'Country Map'!E:H,3,FALSE),"Country Currency Not Mapped")</f>
        <v>GBP</v>
      </c>
      <c r="O76" s="39" t="s">
        <v>5381</v>
      </c>
      <c r="P76" t="str">
        <f t="shared" si="5"/>
        <v xml:space="preserve"> </v>
      </c>
      <c r="Q76" s="85"/>
      <c r="W76" s="85"/>
      <c r="X76" t="str">
        <f>IFERROR(VLOOKUP(W76,'Salary Map'!A:D,3,FALSE),"Salary Code Not Mapped")</f>
        <v>Salary Code Not Mapped</v>
      </c>
      <c r="Z76">
        <f t="shared" si="6"/>
        <v>0</v>
      </c>
      <c r="AP76" t="str">
        <f t="shared" si="7"/>
        <v xml:space="preserve"> </v>
      </c>
      <c r="BG76" s="78" t="s">
        <v>575</v>
      </c>
      <c r="BK76" s="39" t="s">
        <v>5381</v>
      </c>
      <c r="BL76" s="39" t="s">
        <v>5381</v>
      </c>
      <c r="BU76" s="39" t="s">
        <v>5381</v>
      </c>
      <c r="BV76" s="39" t="s">
        <v>5381</v>
      </c>
      <c r="CE76" s="39" t="s">
        <v>5381</v>
      </c>
    </row>
    <row r="77" spans="1:83" ht="16" thickBot="1">
      <c r="A77" s="62" t="s">
        <v>5380</v>
      </c>
      <c r="B77" s="78" t="s">
        <v>5561</v>
      </c>
      <c r="D77" s="78" t="s">
        <v>5625</v>
      </c>
      <c r="E77" s="78" t="s">
        <v>5703</v>
      </c>
      <c r="F77" s="78" t="str">
        <f t="shared" si="4"/>
        <v>wwong@onebarnes.com.new.uat</v>
      </c>
      <c r="G77" s="39" t="s">
        <v>5860</v>
      </c>
      <c r="H77" s="78" t="s">
        <v>5782</v>
      </c>
      <c r="I77" t="str">
        <f>IFERROR(VLOOKUP(J77,'Language Map'!M:O,3,FALSE),"en_"&amp;J77)</f>
        <v>en_SG</v>
      </c>
      <c r="J77" s="78" t="s">
        <v>5868</v>
      </c>
      <c r="L77" s="78" t="s">
        <v>5879</v>
      </c>
      <c r="M77" t="str">
        <f>IFERROR(VLOOKUP(J77,'Country Map'!E:H,3,FALSE),"Country Currency Not Mapped")</f>
        <v>SGD</v>
      </c>
      <c r="O77" s="39" t="s">
        <v>5381</v>
      </c>
      <c r="P77" t="str">
        <f t="shared" si="5"/>
        <v>0057</v>
      </c>
      <c r="Q77" s="78" t="s">
        <v>5910</v>
      </c>
      <c r="W77" s="85"/>
      <c r="X77" t="str">
        <f>IFERROR(VLOOKUP(W77,'Salary Map'!A:D,3,FALSE),"Salary Code Not Mapped")</f>
        <v>Salary Code Not Mapped</v>
      </c>
      <c r="Z77" t="str">
        <f t="shared" si="6"/>
        <v>Sales</v>
      </c>
      <c r="AP77" t="str">
        <f t="shared" si="7"/>
        <v>0057</v>
      </c>
      <c r="BG77" s="78" t="s">
        <v>3719</v>
      </c>
      <c r="BK77" s="39" t="s">
        <v>5381</v>
      </c>
      <c r="BL77" s="39" t="s">
        <v>5381</v>
      </c>
      <c r="BU77" s="39" t="s">
        <v>5381</v>
      </c>
      <c r="BV77" s="39" t="s">
        <v>5381</v>
      </c>
      <c r="CE77" s="39" t="s">
        <v>5381</v>
      </c>
    </row>
    <row r="78" spans="1:83" ht="16" thickBot="1">
      <c r="A78" s="62" t="s">
        <v>5380</v>
      </c>
      <c r="B78" s="78" t="s">
        <v>5562</v>
      </c>
      <c r="D78" s="78" t="s">
        <v>5626</v>
      </c>
      <c r="E78" s="78" t="s">
        <v>5704</v>
      </c>
      <c r="F78" s="78" t="str">
        <f t="shared" si="4"/>
        <v>FMORENO@ONEBARNES.COM.new.uat</v>
      </c>
      <c r="G78" s="39" t="s">
        <v>5861</v>
      </c>
      <c r="H78" s="78" t="s">
        <v>5783</v>
      </c>
      <c r="I78" t="str">
        <f>IFERROR(VLOOKUP(J78,'Language Map'!M:O,3,FALSE),"en_"&amp;J78)</f>
        <v>es_MX</v>
      </c>
      <c r="J78" s="78" t="s">
        <v>5864</v>
      </c>
      <c r="L78" s="78" t="s">
        <v>5872</v>
      </c>
      <c r="M78" t="str">
        <f>IFERROR(VLOOKUP(J78,'Country Map'!E:H,3,FALSE),"Country Currency Not Mapped")</f>
        <v>MXN</v>
      </c>
      <c r="O78" s="39" t="s">
        <v>5381</v>
      </c>
      <c r="P78" t="str">
        <f t="shared" si="5"/>
        <v>0075</v>
      </c>
      <c r="Q78" s="78" t="s">
        <v>5906</v>
      </c>
      <c r="W78" s="78" t="s">
        <v>505</v>
      </c>
      <c r="X78" t="str">
        <f>IFERROR(VLOOKUP(W78,'Salary Map'!A:D,3,FALSE),"Salary Code Not Mapped")</f>
        <v>Default</v>
      </c>
      <c r="Z78" t="str">
        <f t="shared" si="6"/>
        <v>SALES</v>
      </c>
      <c r="AP78" t="str">
        <f t="shared" si="7"/>
        <v>0075</v>
      </c>
      <c r="BG78" s="78" t="s">
        <v>5629</v>
      </c>
      <c r="BK78" s="39" t="s">
        <v>5381</v>
      </c>
      <c r="BL78" s="39" t="s">
        <v>5381</v>
      </c>
      <c r="BU78" s="39" t="s">
        <v>5381</v>
      </c>
      <c r="BV78" s="39" t="s">
        <v>5381</v>
      </c>
      <c r="CE78" s="39" t="s">
        <v>5381</v>
      </c>
    </row>
    <row r="79" spans="1:83" ht="16" thickBot="1">
      <c r="A79" s="62" t="s">
        <v>5380</v>
      </c>
      <c r="B79" s="78" t="s">
        <v>333</v>
      </c>
      <c r="D79" s="78" t="s">
        <v>335</v>
      </c>
      <c r="E79" s="78" t="s">
        <v>5705</v>
      </c>
      <c r="F79" s="78" t="str">
        <f t="shared" si="4"/>
        <v>gqnbeasley@icloud.com.new.uat</v>
      </c>
      <c r="G79" s="39" t="s">
        <v>5862</v>
      </c>
      <c r="H79" s="78" t="s">
        <v>5784</v>
      </c>
      <c r="I79" t="str">
        <f>IFERROR(VLOOKUP(J79,'Language Map'!M:O,3,FALSE),"en_"&amp;J79)</f>
        <v>en_US</v>
      </c>
      <c r="J79" s="78" t="s">
        <v>5366</v>
      </c>
      <c r="L79" s="78" t="s">
        <v>575</v>
      </c>
      <c r="M79" t="str">
        <f>IFERROR(VLOOKUP(J79,'Country Map'!E:H,3,FALSE),"Country Currency Not Mapped")</f>
        <v>USD</v>
      </c>
      <c r="O79" s="39" t="s">
        <v>5381</v>
      </c>
      <c r="P79" t="str">
        <f t="shared" si="5"/>
        <v xml:space="preserve"> </v>
      </c>
      <c r="Q79" s="78" t="s">
        <v>5911</v>
      </c>
      <c r="W79" s="85"/>
      <c r="X79" t="str">
        <f>IFERROR(VLOOKUP(W79,'Salary Map'!A:D,3,FALSE),"Salary Code Not Mapped")</f>
        <v>Salary Code Not Mapped</v>
      </c>
      <c r="Z79" t="str">
        <f t="shared" si="6"/>
        <v>Human Resources</v>
      </c>
      <c r="AP79" t="str">
        <f t="shared" si="7"/>
        <v xml:space="preserve"> </v>
      </c>
      <c r="BG79" s="78" t="s">
        <v>575</v>
      </c>
      <c r="BK79" s="39" t="s">
        <v>5381</v>
      </c>
      <c r="BL79" s="39" t="s">
        <v>5381</v>
      </c>
      <c r="BU79" s="39" t="s">
        <v>5381</v>
      </c>
      <c r="BV79" s="39" t="s">
        <v>5381</v>
      </c>
      <c r="CE79" s="39" t="s">
        <v>5381</v>
      </c>
    </row>
    <row r="80" spans="1:83" ht="16" thickBot="1">
      <c r="A80" s="98" t="s">
        <v>5380</v>
      </c>
      <c r="B80" s="78" t="s">
        <v>5563</v>
      </c>
      <c r="D80" s="78" t="s">
        <v>5627</v>
      </c>
      <c r="E80" s="78" t="s">
        <v>5706</v>
      </c>
      <c r="F80" s="78" t="str">
        <f t="shared" si="4"/>
        <v>psaha1@onebarnes.com.new.uat</v>
      </c>
      <c r="G80" s="39" t="s">
        <v>5863</v>
      </c>
      <c r="H80" s="78" t="s">
        <v>5785</v>
      </c>
      <c r="I80" t="str">
        <f>IFERROR(VLOOKUP(J80,'Language Map'!M:O,3,FALSE),"en_"&amp;J80)</f>
        <v>en_US</v>
      </c>
      <c r="J80" s="78" t="s">
        <v>5366</v>
      </c>
      <c r="L80" s="99" t="s">
        <v>5018</v>
      </c>
      <c r="M80" t="str">
        <f>IFERROR(VLOOKUP(J80,'Country Map'!E:H,3,FALSE),"Country Currency Not Mapped")</f>
        <v>USD</v>
      </c>
      <c r="O80" s="39" t="s">
        <v>5381</v>
      </c>
      <c r="P80" t="str">
        <f t="shared" si="5"/>
        <v>0088</v>
      </c>
      <c r="Q80" s="85"/>
      <c r="W80" s="101" t="s">
        <v>5163</v>
      </c>
      <c r="X80" t="str">
        <f>IFERROR(VLOOKUP(W80,'Salary Map'!A:D,3,FALSE),"Salary Code Not Mapped")</f>
        <v>Grade 20</v>
      </c>
      <c r="Z80">
        <f>Q80</f>
        <v>0</v>
      </c>
      <c r="AP80" s="86" t="s">
        <v>5918</v>
      </c>
      <c r="BG80" s="78" t="s">
        <v>575</v>
      </c>
      <c r="BK80" s="39" t="s">
        <v>5381</v>
      </c>
      <c r="BL80" s="39" t="s">
        <v>5381</v>
      </c>
      <c r="BU80" s="39" t="s">
        <v>5381</v>
      </c>
      <c r="BV80" s="39" t="s">
        <v>5381</v>
      </c>
      <c r="CE80" s="39" t="s">
        <v>5381</v>
      </c>
    </row>
    <row r="81" spans="1:83" ht="16" thickBot="1">
      <c r="A81" s="98" t="s">
        <v>5380</v>
      </c>
      <c r="B81" s="93" t="s">
        <v>5930</v>
      </c>
      <c r="D81" s="93" t="s">
        <v>5931</v>
      </c>
      <c r="E81" s="93" t="s">
        <v>5932</v>
      </c>
      <c r="F81" s="78" t="str">
        <f t="shared" si="4"/>
        <v>TAdewalure@onebarnes.com.new.uat</v>
      </c>
      <c r="G81" s="39" t="s">
        <v>5935</v>
      </c>
      <c r="H81" s="93" t="s">
        <v>5933</v>
      </c>
      <c r="I81" t="str">
        <f>IFERROR(VLOOKUP(J81,'Language Map'!M:O,3,FALSE),"en_"&amp;J81)</f>
        <v>en_GB</v>
      </c>
      <c r="J81" s="81" t="s">
        <v>5865</v>
      </c>
      <c r="L81" s="100" t="s">
        <v>5874</v>
      </c>
      <c r="M81" t="str">
        <f>IFERROR(VLOOKUP(J81,'Country Map'!E:H,3,FALSE),"Country Currency Not Mapped")</f>
        <v>GBP</v>
      </c>
      <c r="O81" s="39" t="s">
        <v>5381</v>
      </c>
      <c r="P81" t="str">
        <f t="shared" si="5"/>
        <v>0218</v>
      </c>
      <c r="W81" s="39" t="s">
        <v>880</v>
      </c>
      <c r="X81" t="str">
        <f>IFERROR(VLOOKUP(W81,'Salary Map'!A:D,3,FALSE),"Salary Code Not Mapped")</f>
        <v>Default</v>
      </c>
      <c r="Z81">
        <f t="shared" ref="Z81:Z85" si="8">Q81</f>
        <v>0</v>
      </c>
      <c r="AP81" s="86" t="s">
        <v>5918</v>
      </c>
      <c r="BG81" s="93" t="s">
        <v>269</v>
      </c>
      <c r="BK81" s="39" t="s">
        <v>5381</v>
      </c>
      <c r="BL81" s="39" t="s">
        <v>5381</v>
      </c>
      <c r="BU81" s="39" t="s">
        <v>5381</v>
      </c>
      <c r="BV81" s="39" t="s">
        <v>5381</v>
      </c>
      <c r="CE81" s="39" t="s">
        <v>5381</v>
      </c>
    </row>
    <row r="82" spans="1:83" ht="16" thickBot="1">
      <c r="A82" s="98" t="s">
        <v>5380</v>
      </c>
      <c r="B82" s="93" t="s">
        <v>5937</v>
      </c>
      <c r="D82" s="93" t="s">
        <v>5938</v>
      </c>
      <c r="E82" s="93" t="s">
        <v>5925</v>
      </c>
      <c r="F82" s="78" t="str">
        <f t="shared" si="4"/>
        <v>jwannstrom1@onebarnes.com.new.uat</v>
      </c>
      <c r="G82" s="39" t="s">
        <v>5936</v>
      </c>
      <c r="H82" s="93" t="s">
        <v>5934</v>
      </c>
      <c r="I82" t="str">
        <f>IFERROR(VLOOKUP(J82,'Language Map'!M:O,3,FALSE),"en_"&amp;J82)</f>
        <v>sv_SE</v>
      </c>
      <c r="J82" s="81" t="s">
        <v>5939</v>
      </c>
      <c r="L82" s="96" t="s">
        <v>5957</v>
      </c>
      <c r="M82" t="str">
        <f>IFERROR(VLOOKUP(J82,'Country Map'!E:H,3,FALSE),"Country Currency Not Mapped")</f>
        <v>SEK</v>
      </c>
      <c r="O82" s="39" t="s">
        <v>5381</v>
      </c>
      <c r="P82" t="str">
        <f t="shared" si="5"/>
        <v>0077</v>
      </c>
      <c r="Q82" s="96" t="s">
        <v>5958</v>
      </c>
      <c r="W82" s="39" t="s">
        <v>5163</v>
      </c>
      <c r="X82" t="str">
        <f>IFERROR(VLOOKUP(W82,'Salary Map'!A:D,3,FALSE),"Salary Code Not Mapped")</f>
        <v>Grade 20</v>
      </c>
      <c r="Z82" t="str">
        <f t="shared" si="8"/>
        <v>990</v>
      </c>
      <c r="AP82" t="str">
        <f t="shared" ref="AP82" si="9">L82</f>
        <v>0077</v>
      </c>
      <c r="BG82" s="93" t="s">
        <v>269</v>
      </c>
      <c r="BK82" s="39" t="s">
        <v>5381</v>
      </c>
      <c r="BL82" s="39" t="s">
        <v>5381</v>
      </c>
      <c r="BU82" s="39" t="s">
        <v>5381</v>
      </c>
      <c r="BV82" s="39" t="s">
        <v>5381</v>
      </c>
      <c r="CE82" s="39" t="s">
        <v>5381</v>
      </c>
    </row>
    <row r="83" spans="1:83" ht="16" thickBot="1">
      <c r="A83" s="98" t="s">
        <v>5380</v>
      </c>
      <c r="B83" s="81" t="s">
        <v>5940</v>
      </c>
      <c r="D83" s="81" t="s">
        <v>5941</v>
      </c>
      <c r="E83" s="62" t="s">
        <v>5371</v>
      </c>
      <c r="F83" s="78" t="str">
        <f t="shared" si="4"/>
        <v>MErdogan@onebarnes.com.new.uat</v>
      </c>
      <c r="G83" s="39" t="s">
        <v>5955</v>
      </c>
      <c r="H83" t="s">
        <v>5954</v>
      </c>
      <c r="I83" t="str">
        <f>IFERROR(VLOOKUP(J83,'Language Map'!M:O,3,FALSE),"en_"&amp;J83)</f>
        <v>de_DE</v>
      </c>
      <c r="J83" s="81" t="s">
        <v>5942</v>
      </c>
      <c r="L83" s="96" t="s">
        <v>5957</v>
      </c>
      <c r="M83" t="str">
        <f>IFERROR(VLOOKUP(J83,'Country Map'!E:H,3,FALSE),"Country Currency Not Mapped")</f>
        <v>EUR</v>
      </c>
      <c r="O83" s="39" t="s">
        <v>5381</v>
      </c>
      <c r="P83" t="str">
        <f t="shared" si="5"/>
        <v>0077</v>
      </c>
      <c r="W83" s="94"/>
      <c r="X83" t="str">
        <f>IFERROR(VLOOKUP(W83,'Salary Map'!A:D,3,FALSE),"Salary Code Not Mapped")</f>
        <v>Salary Code Not Mapped</v>
      </c>
      <c r="Z83">
        <f t="shared" si="8"/>
        <v>0</v>
      </c>
      <c r="AP83" s="86" t="s">
        <v>5918</v>
      </c>
      <c r="BG83" s="93" t="s">
        <v>269</v>
      </c>
      <c r="BK83" s="39" t="s">
        <v>5381</v>
      </c>
      <c r="BL83" s="39" t="s">
        <v>5381</v>
      </c>
      <c r="BU83" s="39" t="s">
        <v>5381</v>
      </c>
      <c r="BV83" s="39" t="s">
        <v>5381</v>
      </c>
      <c r="CE83" s="39" t="s">
        <v>5381</v>
      </c>
    </row>
    <row r="84" spans="1:83" ht="16" thickBot="1">
      <c r="A84" s="98" t="s">
        <v>5380</v>
      </c>
      <c r="B84" s="81" t="s">
        <v>5952</v>
      </c>
      <c r="D84" s="81" t="s">
        <v>5953</v>
      </c>
      <c r="E84" s="87"/>
      <c r="F84" s="78" t="str">
        <f t="shared" si="4"/>
        <v>TKlohn@onebarnes.com.new.uat</v>
      </c>
      <c r="G84" s="39" t="s">
        <v>5956</v>
      </c>
      <c r="H84" s="95" t="s">
        <v>5951</v>
      </c>
      <c r="I84" t="str">
        <f>IFERROR(VLOOKUP(J84,'Language Map'!M:O,3,FALSE),"en_"&amp;J84)</f>
        <v>de_DE</v>
      </c>
      <c r="J84" s="81" t="s">
        <v>5942</v>
      </c>
      <c r="L84" s="96" t="s">
        <v>5957</v>
      </c>
      <c r="M84" t="str">
        <f>IFERROR(VLOOKUP(J84,'Country Map'!E:H,3,FALSE),"Country Currency Not Mapped")</f>
        <v>EUR</v>
      </c>
      <c r="O84" s="39" t="s">
        <v>5381</v>
      </c>
      <c r="P84" t="str">
        <f t="shared" si="5"/>
        <v>0077</v>
      </c>
      <c r="W84" s="94"/>
      <c r="X84" t="str">
        <f>IFERROR(VLOOKUP(W84,'Salary Map'!A:D,3,FALSE),"Salary Code Not Mapped")</f>
        <v>Salary Code Not Mapped</v>
      </c>
      <c r="Z84">
        <f t="shared" si="8"/>
        <v>0</v>
      </c>
      <c r="AP84" s="86" t="s">
        <v>5918</v>
      </c>
      <c r="BG84" s="62" t="s">
        <v>5371</v>
      </c>
      <c r="BK84" s="39" t="s">
        <v>5381</v>
      </c>
      <c r="BL84" s="39" t="s">
        <v>5381</v>
      </c>
      <c r="BU84" s="39" t="s">
        <v>5381</v>
      </c>
      <c r="BV84" s="39" t="s">
        <v>5381</v>
      </c>
      <c r="CE84" s="39" t="s">
        <v>5381</v>
      </c>
    </row>
    <row r="85" spans="1:83" ht="16" thickBot="1">
      <c r="A85" s="98" t="s">
        <v>5380</v>
      </c>
      <c r="B85" s="81" t="s">
        <v>508</v>
      </c>
      <c r="D85" s="81" t="s">
        <v>5959</v>
      </c>
      <c r="E85" s="102" t="s">
        <v>36</v>
      </c>
      <c r="F85" s="78" t="str">
        <f t="shared" si="4"/>
        <v>rschortz@onebarnes.com.new.uat</v>
      </c>
      <c r="G85" s="39" t="s">
        <v>5956</v>
      </c>
      <c r="H85" t="s">
        <v>5960</v>
      </c>
      <c r="I85" t="str">
        <f>IFERROR(VLOOKUP(J85,'Language Map'!M:O,3,FALSE),"en_"&amp;J85)</f>
        <v>sv_SE</v>
      </c>
      <c r="J85" s="81" t="s">
        <v>5939</v>
      </c>
      <c r="L85" s="62" t="s">
        <v>5957</v>
      </c>
      <c r="M85" t="str">
        <f>IFERROR(VLOOKUP(J85,'Country Map'!E:H,3,FALSE),"Country Currency Not Mapped")</f>
        <v>SEK</v>
      </c>
      <c r="O85" s="39" t="s">
        <v>5381</v>
      </c>
      <c r="P85" t="str">
        <f t="shared" ref="P85" si="10">L85</f>
        <v>0077</v>
      </c>
      <c r="Q85" s="96" t="s">
        <v>5958</v>
      </c>
      <c r="W85" s="94"/>
      <c r="X85" t="str">
        <f>IFERROR(VLOOKUP(W85,'Salary Map'!A:D,3,FALSE),"Salary Code Not Mapped")</f>
        <v>Salary Code Not Mapped</v>
      </c>
      <c r="Z85" t="str">
        <f t="shared" si="8"/>
        <v>990</v>
      </c>
      <c r="AP85" t="str">
        <f t="shared" ref="AP85" si="11">L85</f>
        <v>0077</v>
      </c>
      <c r="BG85" s="93" t="s">
        <v>269</v>
      </c>
      <c r="BK85" s="39" t="s">
        <v>5381</v>
      </c>
      <c r="BL85" s="39" t="s">
        <v>5381</v>
      </c>
    </row>
  </sheetData>
  <autoFilter ref="A1:EG80" xr:uid="{B14815EF-85EC-BD42-BDD1-D611623FC7EB}"/>
  <phoneticPr fontId="45" type="noConversion"/>
  <hyperlinks>
    <hyperlink ref="H84" r:id="rId1" xr:uid="{658193AB-CF46-F74F-A78E-FC7FD40D19C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BD08-DF7C-8542-9A4D-0213B4F41D6F}">
  <dimension ref="A1:AI88"/>
  <sheetViews>
    <sheetView topLeftCell="A48" workbookViewId="0">
      <selection activeCell="S84" sqref="S84"/>
    </sheetView>
  </sheetViews>
  <sheetFormatPr baseColWidth="10" defaultRowHeight="15"/>
  <sheetData>
    <row r="1" spans="1:35">
      <c r="A1" s="75" t="s">
        <v>5395</v>
      </c>
    </row>
    <row r="2" spans="1:35">
      <c r="A2" s="51">
        <v>1</v>
      </c>
      <c r="B2" s="76">
        <v>2</v>
      </c>
      <c r="C2" s="52">
        <v>3</v>
      </c>
      <c r="D2" s="52">
        <v>4</v>
      </c>
      <c r="E2" s="52">
        <v>5</v>
      </c>
      <c r="F2" s="52">
        <v>6</v>
      </c>
      <c r="G2" s="52">
        <v>7</v>
      </c>
      <c r="H2" s="52">
        <v>8</v>
      </c>
      <c r="I2" s="52">
        <v>9</v>
      </c>
      <c r="J2" s="52">
        <v>10</v>
      </c>
      <c r="K2" s="52">
        <v>11</v>
      </c>
      <c r="L2" s="52">
        <v>12</v>
      </c>
      <c r="M2" s="52">
        <v>13</v>
      </c>
      <c r="N2" s="52">
        <v>14</v>
      </c>
      <c r="O2" s="52">
        <v>15</v>
      </c>
      <c r="P2" s="52">
        <v>16</v>
      </c>
      <c r="Q2" s="52">
        <v>17</v>
      </c>
      <c r="R2" s="52">
        <v>18</v>
      </c>
      <c r="S2" s="52">
        <v>19</v>
      </c>
      <c r="T2" s="52">
        <v>20</v>
      </c>
      <c r="U2" s="52">
        <v>21</v>
      </c>
      <c r="V2" s="52">
        <v>22</v>
      </c>
      <c r="W2" s="52">
        <v>23</v>
      </c>
      <c r="X2" s="52">
        <v>24</v>
      </c>
      <c r="Y2" s="52">
        <v>25</v>
      </c>
      <c r="Z2" s="52">
        <v>26</v>
      </c>
      <c r="AA2" s="52">
        <v>27</v>
      </c>
      <c r="AB2" s="52">
        <v>28</v>
      </c>
      <c r="AC2" s="52">
        <v>29</v>
      </c>
      <c r="AD2" s="52">
        <v>30</v>
      </c>
      <c r="AE2" s="52">
        <v>31</v>
      </c>
      <c r="AF2" s="52">
        <v>32</v>
      </c>
      <c r="AG2" s="52">
        <v>33</v>
      </c>
      <c r="AH2" s="52">
        <v>34</v>
      </c>
      <c r="AI2" s="52">
        <v>35</v>
      </c>
    </row>
    <row r="3" spans="1:35" ht="54" customHeight="1">
      <c r="A3" s="51" t="s">
        <v>5464</v>
      </c>
      <c r="B3" s="51" t="s">
        <v>5397</v>
      </c>
      <c r="C3" s="51" t="s">
        <v>5465</v>
      </c>
      <c r="D3" s="51" t="s">
        <v>5466</v>
      </c>
      <c r="E3" s="52" t="s">
        <v>5467</v>
      </c>
      <c r="F3" s="52" t="s">
        <v>5468</v>
      </c>
      <c r="G3" s="52" t="s">
        <v>5469</v>
      </c>
      <c r="H3" s="52" t="s">
        <v>5470</v>
      </c>
      <c r="I3" s="51" t="s">
        <v>5471</v>
      </c>
      <c r="J3" s="51" t="s">
        <v>5472</v>
      </c>
      <c r="K3" s="52" t="s">
        <v>5473</v>
      </c>
      <c r="L3" s="52" t="s">
        <v>5474</v>
      </c>
      <c r="M3" s="52" t="s">
        <v>5457</v>
      </c>
      <c r="N3" s="52" t="s">
        <v>5458</v>
      </c>
      <c r="O3" s="52" t="s">
        <v>5459</v>
      </c>
      <c r="P3" s="52" t="s">
        <v>5475</v>
      </c>
      <c r="Q3" s="52" t="s">
        <v>5476</v>
      </c>
      <c r="R3" s="52" t="s">
        <v>5477</v>
      </c>
      <c r="S3" s="51" t="s">
        <v>5478</v>
      </c>
      <c r="T3" s="51" t="s">
        <v>5479</v>
      </c>
      <c r="U3" s="52" t="s">
        <v>5480</v>
      </c>
      <c r="V3" s="52" t="s">
        <v>5481</v>
      </c>
      <c r="W3" s="52" t="s">
        <v>5482</v>
      </c>
      <c r="X3" s="52" t="s">
        <v>5483</v>
      </c>
      <c r="Y3" s="52" t="s">
        <v>5484</v>
      </c>
      <c r="Z3" s="52" t="s">
        <v>5485</v>
      </c>
      <c r="AA3" s="52" t="s">
        <v>5486</v>
      </c>
      <c r="AB3" s="52" t="s">
        <v>5487</v>
      </c>
      <c r="AC3" s="52" t="s">
        <v>5488</v>
      </c>
      <c r="AD3" s="52" t="s">
        <v>5489</v>
      </c>
      <c r="AE3" s="52" t="s">
        <v>5118</v>
      </c>
      <c r="AF3" s="52" t="s">
        <v>5119</v>
      </c>
      <c r="AG3" s="52" t="s">
        <v>5120</v>
      </c>
      <c r="AH3" s="52" t="s">
        <v>5121</v>
      </c>
      <c r="AI3" s="52" t="s">
        <v>5122</v>
      </c>
    </row>
    <row r="4" spans="1:35">
      <c r="A4" s="56">
        <v>3</v>
      </c>
      <c r="B4" s="56">
        <v>48</v>
      </c>
      <c r="C4" s="56">
        <v>1</v>
      </c>
      <c r="D4" s="56">
        <v>1</v>
      </c>
      <c r="E4" s="56">
        <v>1</v>
      </c>
      <c r="F4" s="56">
        <v>1</v>
      </c>
      <c r="G4" s="56">
        <v>1</v>
      </c>
      <c r="H4" s="56">
        <v>1</v>
      </c>
      <c r="I4" s="56">
        <v>1</v>
      </c>
      <c r="J4" s="56">
        <v>1</v>
      </c>
      <c r="K4" s="56" t="s">
        <v>575</v>
      </c>
      <c r="L4" s="56" t="s">
        <v>575</v>
      </c>
      <c r="M4" s="56" t="s">
        <v>575</v>
      </c>
      <c r="N4" s="56" t="s">
        <v>575</v>
      </c>
      <c r="O4" s="56" t="s">
        <v>575</v>
      </c>
      <c r="P4" s="56">
        <v>1</v>
      </c>
      <c r="Q4" s="56">
        <v>1</v>
      </c>
      <c r="R4" s="56">
        <v>48</v>
      </c>
      <c r="S4" s="56">
        <v>48</v>
      </c>
      <c r="T4" s="56">
        <v>1</v>
      </c>
      <c r="U4" s="56">
        <v>1</v>
      </c>
      <c r="V4" s="56">
        <v>1</v>
      </c>
      <c r="W4" s="56">
        <v>1</v>
      </c>
      <c r="X4" s="56">
        <v>1</v>
      </c>
      <c r="Y4" s="56">
        <v>1</v>
      </c>
      <c r="Z4" s="56">
        <v>1</v>
      </c>
      <c r="AA4" s="56">
        <v>1</v>
      </c>
      <c r="AB4" s="56">
        <v>32</v>
      </c>
      <c r="AC4" s="56">
        <v>1</v>
      </c>
      <c r="AD4" s="56">
        <v>1</v>
      </c>
      <c r="AE4" s="56"/>
      <c r="AF4" s="56"/>
      <c r="AG4" s="56"/>
      <c r="AH4" s="56"/>
      <c r="AI4" s="56"/>
    </row>
    <row r="5" spans="1:35" ht="16" thickBot="1">
      <c r="A5" s="62" t="s">
        <v>5490</v>
      </c>
      <c r="B5" s="78" t="s">
        <v>5628</v>
      </c>
      <c r="C5" s="39" t="s">
        <v>5381</v>
      </c>
      <c r="D5" s="39" t="s">
        <v>5381</v>
      </c>
      <c r="I5" s="39" t="s">
        <v>5381</v>
      </c>
      <c r="J5" s="39" t="s">
        <v>5381</v>
      </c>
      <c r="S5" t="str">
        <f>IFERROR(VLOOKUP(B5,'305 Non US Non SE'!E:BG,55,FALSE),"Employee ID Issue")</f>
        <v>202182</v>
      </c>
      <c r="T5" t="str">
        <f>IFERROR(VLOOKUP(B5,'305 Non US Non SE'!E:BG,55,FALSE),"Employee ID Issue")</f>
        <v>202182</v>
      </c>
      <c r="AC5" s="39" t="s">
        <v>5381</v>
      </c>
      <c r="AD5" s="39" t="s">
        <v>5381</v>
      </c>
    </row>
    <row r="6" spans="1:35" ht="16" thickBot="1">
      <c r="A6" s="62" t="s">
        <v>5490</v>
      </c>
      <c r="B6" s="78" t="s">
        <v>5629</v>
      </c>
      <c r="C6" s="39" t="s">
        <v>5381</v>
      </c>
      <c r="D6" s="39" t="s">
        <v>5381</v>
      </c>
      <c r="I6" s="39" t="s">
        <v>5381</v>
      </c>
      <c r="J6" s="39" t="s">
        <v>5381</v>
      </c>
      <c r="S6" t="str">
        <f>IFERROR(VLOOKUP(B6,'305 Non US Non SE'!E:BG,55,FALSE),"Employee ID Issue")</f>
        <v>213037</v>
      </c>
      <c r="T6" t="str">
        <f>IFERROR(VLOOKUP(B6,'305 Non US Non SE'!E:BG,55,FALSE),"Employee ID Issue")</f>
        <v>213037</v>
      </c>
      <c r="AC6" s="39" t="s">
        <v>5381</v>
      </c>
      <c r="AD6" s="39" t="s">
        <v>5381</v>
      </c>
    </row>
    <row r="7" spans="1:35" ht="16" thickBot="1">
      <c r="A7" s="62" t="s">
        <v>5490</v>
      </c>
      <c r="B7" s="78" t="s">
        <v>5630</v>
      </c>
      <c r="C7" s="39" t="s">
        <v>5381</v>
      </c>
      <c r="D7" s="39" t="s">
        <v>5381</v>
      </c>
      <c r="I7" s="39" t="s">
        <v>5381</v>
      </c>
      <c r="J7" s="39" t="s">
        <v>5381</v>
      </c>
      <c r="S7" t="str">
        <f>IFERROR(VLOOKUP(B7,'305 Non US Non SE'!E:BG,55,FALSE),"Employee ID Issue")</f>
        <v>202182</v>
      </c>
      <c r="T7" t="str">
        <f>IFERROR(VLOOKUP(B7,'305 Non US Non SE'!E:BG,55,FALSE),"Employee ID Issue")</f>
        <v>202182</v>
      </c>
      <c r="AC7" s="39" t="s">
        <v>5381</v>
      </c>
      <c r="AD7" s="39" t="s">
        <v>5381</v>
      </c>
    </row>
    <row r="8" spans="1:35" ht="16" thickBot="1">
      <c r="A8" s="62" t="s">
        <v>5490</v>
      </c>
      <c r="B8" s="78" t="s">
        <v>5631</v>
      </c>
      <c r="C8" s="39" t="s">
        <v>5381</v>
      </c>
      <c r="D8" s="39" t="s">
        <v>5381</v>
      </c>
      <c r="I8" s="39" t="s">
        <v>5381</v>
      </c>
      <c r="J8" s="39" t="s">
        <v>5381</v>
      </c>
      <c r="S8" t="str">
        <f>IFERROR(VLOOKUP(B8,'305 Non US Non SE'!E:BG,55,FALSE),"Employee ID Issue")</f>
        <v>202182</v>
      </c>
      <c r="T8" t="str">
        <f>IFERROR(VLOOKUP(B8,'305 Non US Non SE'!E:BG,55,FALSE),"Employee ID Issue")</f>
        <v>202182</v>
      </c>
      <c r="AC8" s="39" t="s">
        <v>5381</v>
      </c>
      <c r="AD8" s="39" t="s">
        <v>5381</v>
      </c>
    </row>
    <row r="9" spans="1:35" ht="16" thickBot="1">
      <c r="A9" s="62" t="s">
        <v>5490</v>
      </c>
      <c r="B9" s="78" t="s">
        <v>5632</v>
      </c>
      <c r="C9" s="39" t="s">
        <v>5381</v>
      </c>
      <c r="D9" s="39" t="s">
        <v>5381</v>
      </c>
      <c r="I9" s="39" t="s">
        <v>5381</v>
      </c>
      <c r="J9" s="39" t="s">
        <v>5381</v>
      </c>
      <c r="S9" t="str">
        <f>IFERROR(VLOOKUP(B9,'305 Non US Non SE'!E:BG,55,FALSE),"Employee ID Issue")</f>
        <v>202182</v>
      </c>
      <c r="T9" t="str">
        <f>IFERROR(VLOOKUP(B9,'305 Non US Non SE'!E:BG,55,FALSE),"Employee ID Issue")</f>
        <v>202182</v>
      </c>
      <c r="AC9" s="39" t="s">
        <v>5381</v>
      </c>
      <c r="AD9" s="39" t="s">
        <v>5381</v>
      </c>
    </row>
    <row r="10" spans="1:35" ht="16" thickBot="1">
      <c r="A10" s="62" t="s">
        <v>5490</v>
      </c>
      <c r="B10" s="78" t="s">
        <v>5633</v>
      </c>
      <c r="C10" s="39" t="s">
        <v>5381</v>
      </c>
      <c r="D10" s="39" t="s">
        <v>5381</v>
      </c>
      <c r="I10" s="39" t="s">
        <v>5381</v>
      </c>
      <c r="J10" s="39" t="s">
        <v>5381</v>
      </c>
      <c r="S10" t="str">
        <f>IFERROR(VLOOKUP(B10,'305 Non US Non SE'!E:BG,55,FALSE),"Employee ID Issue")</f>
        <v>202182</v>
      </c>
      <c r="T10" t="str">
        <f>IFERROR(VLOOKUP(B10,'305 Non US Non SE'!E:BG,55,FALSE),"Employee ID Issue")</f>
        <v>202182</v>
      </c>
      <c r="AC10" s="39" t="s">
        <v>5381</v>
      </c>
      <c r="AD10" s="39" t="s">
        <v>5381</v>
      </c>
    </row>
    <row r="11" spans="1:35" ht="16" thickBot="1">
      <c r="A11" s="62" t="s">
        <v>5490</v>
      </c>
      <c r="B11" s="78" t="s">
        <v>5634</v>
      </c>
      <c r="C11" s="39" t="s">
        <v>5381</v>
      </c>
      <c r="D11" s="39" t="s">
        <v>5381</v>
      </c>
      <c r="I11" s="39" t="s">
        <v>5381</v>
      </c>
      <c r="J11" s="39" t="s">
        <v>5381</v>
      </c>
      <c r="S11" t="str">
        <f>IFERROR(VLOOKUP(B11,'305 Non US Non SE'!E:BG,55,FALSE),"Employee ID Issue")</f>
        <v>008750</v>
      </c>
      <c r="T11" t="str">
        <f>IFERROR(VLOOKUP(B11,'305 Non US Non SE'!E:BG,55,FALSE),"Employee ID Issue")</f>
        <v>008750</v>
      </c>
      <c r="AC11" s="39" t="s">
        <v>5381</v>
      </c>
      <c r="AD11" s="39" t="s">
        <v>5381</v>
      </c>
    </row>
    <row r="12" spans="1:35" ht="16" thickBot="1">
      <c r="A12" s="62" t="s">
        <v>5490</v>
      </c>
      <c r="B12" s="78" t="s">
        <v>5635</v>
      </c>
      <c r="C12" s="39" t="s">
        <v>5381</v>
      </c>
      <c r="D12" s="39" t="s">
        <v>5381</v>
      </c>
      <c r="I12" s="39" t="s">
        <v>5381</v>
      </c>
      <c r="J12" s="39" t="s">
        <v>5381</v>
      </c>
      <c r="S12" t="str">
        <f>IFERROR(VLOOKUP(B12,'305 Non US Non SE'!E:BG,55,FALSE),"Employee ID Issue")</f>
        <v>202182</v>
      </c>
      <c r="T12" t="str">
        <f>IFERROR(VLOOKUP(B12,'305 Non US Non SE'!E:BG,55,FALSE),"Employee ID Issue")</f>
        <v>202182</v>
      </c>
      <c r="AC12" s="39" t="s">
        <v>5381</v>
      </c>
      <c r="AD12" s="39" t="s">
        <v>5381</v>
      </c>
    </row>
    <row r="13" spans="1:35" ht="16" thickBot="1">
      <c r="A13" s="62" t="s">
        <v>5490</v>
      </c>
      <c r="B13" s="78" t="s">
        <v>5636</v>
      </c>
      <c r="C13" s="39" t="s">
        <v>5381</v>
      </c>
      <c r="D13" s="39" t="s">
        <v>5381</v>
      </c>
      <c r="I13" s="39" t="s">
        <v>5381</v>
      </c>
      <c r="J13" s="39" t="s">
        <v>5381</v>
      </c>
      <c r="S13" t="str">
        <f>IFERROR(VLOOKUP(B13,'305 Non US Non SE'!E:BG,55,FALSE),"Employee ID Issue")</f>
        <v>205067</v>
      </c>
      <c r="T13" t="str">
        <f>IFERROR(VLOOKUP(B13,'305 Non US Non SE'!E:BG,55,FALSE),"Employee ID Issue")</f>
        <v>205067</v>
      </c>
      <c r="AC13" s="39" t="s">
        <v>5381</v>
      </c>
      <c r="AD13" s="39" t="s">
        <v>5381</v>
      </c>
    </row>
    <row r="14" spans="1:35" ht="16" thickBot="1">
      <c r="A14" s="62" t="s">
        <v>5490</v>
      </c>
      <c r="B14" s="78" t="s">
        <v>5637</v>
      </c>
      <c r="C14" s="39" t="s">
        <v>5381</v>
      </c>
      <c r="D14" s="39" t="s">
        <v>5381</v>
      </c>
      <c r="I14" s="39" t="s">
        <v>5381</v>
      </c>
      <c r="J14" s="39" t="s">
        <v>5381</v>
      </c>
      <c r="S14" t="str">
        <f>IFERROR(VLOOKUP(B14,'305 Non US Non SE'!E:BG,55,FALSE),"Employee ID Issue")</f>
        <v>203042</v>
      </c>
      <c r="T14" t="str">
        <f>IFERROR(VLOOKUP(B14,'305 Non US Non SE'!E:BG,55,FALSE),"Employee ID Issue")</f>
        <v>203042</v>
      </c>
      <c r="AC14" s="39" t="s">
        <v>5381</v>
      </c>
      <c r="AD14" s="39" t="s">
        <v>5381</v>
      </c>
    </row>
    <row r="15" spans="1:35" ht="16" thickBot="1">
      <c r="A15" s="62" t="s">
        <v>5490</v>
      </c>
      <c r="B15" s="78" t="s">
        <v>5638</v>
      </c>
      <c r="C15" s="39" t="s">
        <v>5381</v>
      </c>
      <c r="D15" s="39" t="s">
        <v>5381</v>
      </c>
      <c r="I15" s="39" t="s">
        <v>5381</v>
      </c>
      <c r="J15" s="39" t="s">
        <v>5381</v>
      </c>
      <c r="S15" s="87" t="str">
        <f>IFERROR(VLOOKUP(B15,'305 Non US Non SE'!E:BG,55,FALSE),"Employee ID Issue")</f>
        <v xml:space="preserve"> </v>
      </c>
      <c r="T15" s="87" t="str">
        <f>IFERROR(VLOOKUP(B15,'305 Non US Non SE'!E:BG,55,FALSE),"Employee ID Issue")</f>
        <v xml:space="preserve"> </v>
      </c>
      <c r="AC15" s="39" t="s">
        <v>5381</v>
      </c>
      <c r="AD15" s="39" t="s">
        <v>5381</v>
      </c>
    </row>
    <row r="16" spans="1:35" ht="16" thickBot="1">
      <c r="A16" s="62" t="s">
        <v>5490</v>
      </c>
      <c r="B16" s="78" t="s">
        <v>5639</v>
      </c>
      <c r="C16" s="39" t="s">
        <v>5381</v>
      </c>
      <c r="D16" s="39" t="s">
        <v>5381</v>
      </c>
      <c r="I16" s="39" t="s">
        <v>5381</v>
      </c>
      <c r="J16" s="39" t="s">
        <v>5381</v>
      </c>
      <c r="S16" t="str">
        <f>IFERROR(VLOOKUP(B16,'305 Non US Non SE'!E:BG,55,FALSE),"Employee ID Issue")</f>
        <v>203016</v>
      </c>
      <c r="T16" t="str">
        <f>IFERROR(VLOOKUP(B16,'305 Non US Non SE'!E:BG,55,FALSE),"Employee ID Issue")</f>
        <v>203016</v>
      </c>
      <c r="AC16" s="39" t="s">
        <v>5381</v>
      </c>
      <c r="AD16" s="39" t="s">
        <v>5381</v>
      </c>
    </row>
    <row r="17" spans="1:30" ht="16" thickBot="1">
      <c r="A17" s="62" t="s">
        <v>5490</v>
      </c>
      <c r="B17" s="78" t="s">
        <v>5640</v>
      </c>
      <c r="C17" s="39" t="s">
        <v>5381</v>
      </c>
      <c r="D17" s="39" t="s">
        <v>5381</v>
      </c>
      <c r="I17" s="39" t="s">
        <v>5381</v>
      </c>
      <c r="J17" s="39" t="s">
        <v>5381</v>
      </c>
      <c r="S17" t="str">
        <f>IFERROR(VLOOKUP(B17,'305 Non US Non SE'!E:BG,55,FALSE),"Employee ID Issue")</f>
        <v>209364</v>
      </c>
      <c r="T17" t="str">
        <f>IFERROR(VLOOKUP(B17,'305 Non US Non SE'!E:BG,55,FALSE),"Employee ID Issue")</f>
        <v>209364</v>
      </c>
      <c r="AC17" s="39" t="s">
        <v>5381</v>
      </c>
      <c r="AD17" s="39" t="s">
        <v>5381</v>
      </c>
    </row>
    <row r="18" spans="1:30" ht="16" thickBot="1">
      <c r="A18" s="62" t="s">
        <v>5490</v>
      </c>
      <c r="B18" s="78" t="s">
        <v>5641</v>
      </c>
      <c r="C18" s="39" t="s">
        <v>5381</v>
      </c>
      <c r="D18" s="39" t="s">
        <v>5381</v>
      </c>
      <c r="I18" s="39" t="s">
        <v>5381</v>
      </c>
      <c r="J18" s="39" t="s">
        <v>5381</v>
      </c>
      <c r="S18" t="str">
        <f>IFERROR(VLOOKUP(B18,'305 Non US Non SE'!E:BG,55,FALSE),"Employee ID Issue")</f>
        <v>203009</v>
      </c>
      <c r="T18" t="str">
        <f>IFERROR(VLOOKUP(B18,'305 Non US Non SE'!E:BG,55,FALSE),"Employee ID Issue")</f>
        <v>203009</v>
      </c>
      <c r="AC18" s="39" t="s">
        <v>5381</v>
      </c>
      <c r="AD18" s="39" t="s">
        <v>5381</v>
      </c>
    </row>
    <row r="19" spans="1:30" ht="16" thickBot="1">
      <c r="A19" s="62" t="s">
        <v>5490</v>
      </c>
      <c r="B19" s="78" t="s">
        <v>5642</v>
      </c>
      <c r="C19" s="39" t="s">
        <v>5381</v>
      </c>
      <c r="D19" s="39" t="s">
        <v>5381</v>
      </c>
      <c r="I19" s="39" t="s">
        <v>5381</v>
      </c>
      <c r="J19" s="39" t="s">
        <v>5381</v>
      </c>
      <c r="S19" t="str">
        <f>IFERROR(VLOOKUP(B19,'305 Non US Non SE'!E:BG,55,FALSE),"Employee ID Issue")</f>
        <v>209365</v>
      </c>
      <c r="T19" t="str">
        <f>IFERROR(VLOOKUP(B19,'305 Non US Non SE'!E:BG,55,FALSE),"Employee ID Issue")</f>
        <v>209365</v>
      </c>
      <c r="AC19" s="39" t="s">
        <v>5381</v>
      </c>
      <c r="AD19" s="39" t="s">
        <v>5381</v>
      </c>
    </row>
    <row r="20" spans="1:30" ht="16" thickBot="1">
      <c r="A20" s="62" t="s">
        <v>5490</v>
      </c>
      <c r="B20" s="78" t="s">
        <v>5643</v>
      </c>
      <c r="C20" s="39" t="s">
        <v>5381</v>
      </c>
      <c r="D20" s="39" t="s">
        <v>5381</v>
      </c>
      <c r="I20" s="39" t="s">
        <v>5381</v>
      </c>
      <c r="J20" s="39" t="s">
        <v>5381</v>
      </c>
      <c r="S20" t="str">
        <f>IFERROR(VLOOKUP(B20,'305 Non US Non SE'!E:BG,55,FALSE),"Employee ID Issue")</f>
        <v>207199</v>
      </c>
      <c r="T20" t="str">
        <f>IFERROR(VLOOKUP(B20,'305 Non US Non SE'!E:BG,55,FALSE),"Employee ID Issue")</f>
        <v>207199</v>
      </c>
      <c r="AC20" s="39" t="s">
        <v>5381</v>
      </c>
      <c r="AD20" s="39" t="s">
        <v>5381</v>
      </c>
    </row>
    <row r="21" spans="1:30" ht="16" thickBot="1">
      <c r="A21" s="62" t="s">
        <v>5490</v>
      </c>
      <c r="B21" s="78" t="s">
        <v>5644</v>
      </c>
      <c r="C21" s="39" t="s">
        <v>5381</v>
      </c>
      <c r="D21" s="39" t="s">
        <v>5381</v>
      </c>
      <c r="I21" s="39" t="s">
        <v>5381</v>
      </c>
      <c r="J21" s="39" t="s">
        <v>5381</v>
      </c>
      <c r="S21" t="str">
        <f>IFERROR(VLOOKUP(B21,'305 Non US Non SE'!E:BG,55,FALSE),"Employee ID Issue")</f>
        <v>203041</v>
      </c>
      <c r="T21" t="str">
        <f>IFERROR(VLOOKUP(B21,'305 Non US Non SE'!E:BG,55,FALSE),"Employee ID Issue")</f>
        <v>203041</v>
      </c>
      <c r="AC21" s="39" t="s">
        <v>5381</v>
      </c>
      <c r="AD21" s="39" t="s">
        <v>5381</v>
      </c>
    </row>
    <row r="22" spans="1:30" ht="16" thickBot="1">
      <c r="A22" s="62" t="s">
        <v>5490</v>
      </c>
      <c r="B22" s="79" t="s">
        <v>5645</v>
      </c>
      <c r="C22" s="39" t="s">
        <v>5381</v>
      </c>
      <c r="D22" s="39" t="s">
        <v>5381</v>
      </c>
      <c r="I22" s="39" t="s">
        <v>5381</v>
      </c>
      <c r="J22" s="39" t="s">
        <v>5381</v>
      </c>
      <c r="S22" t="str">
        <f>IFERROR(VLOOKUP(B22,'305 Non US Non SE'!E:BG,55,FALSE),"Employee ID Issue")</f>
        <v>007183</v>
      </c>
      <c r="T22" t="str">
        <f>IFERROR(VLOOKUP(B22,'305 Non US Non SE'!E:BG,55,FALSE),"Employee ID Issue")</f>
        <v>007183</v>
      </c>
      <c r="AC22" s="39" t="s">
        <v>5381</v>
      </c>
      <c r="AD22" s="39" t="s">
        <v>5381</v>
      </c>
    </row>
    <row r="23" spans="1:30" ht="16" thickBot="1">
      <c r="A23" s="62" t="s">
        <v>5490</v>
      </c>
      <c r="B23" s="78" t="s">
        <v>5646</v>
      </c>
      <c r="C23" s="39" t="s">
        <v>5381</v>
      </c>
      <c r="D23" s="39" t="s">
        <v>5381</v>
      </c>
      <c r="I23" s="39" t="s">
        <v>5381</v>
      </c>
      <c r="J23" s="39" t="s">
        <v>5381</v>
      </c>
      <c r="S23" t="str">
        <f>IFERROR(VLOOKUP(B23,'305 Non US Non SE'!E:BG,55,FALSE),"Employee ID Issue")</f>
        <v>901838</v>
      </c>
      <c r="T23" t="str">
        <f>IFERROR(VLOOKUP(B23,'305 Non US Non SE'!E:BG,55,FALSE),"Employee ID Issue")</f>
        <v>901838</v>
      </c>
      <c r="AC23" s="39" t="s">
        <v>5381</v>
      </c>
      <c r="AD23" s="39" t="s">
        <v>5381</v>
      </c>
    </row>
    <row r="24" spans="1:30" ht="16" thickBot="1">
      <c r="A24" s="62" t="s">
        <v>5490</v>
      </c>
      <c r="B24" s="78" t="s">
        <v>5647</v>
      </c>
      <c r="C24" s="39" t="s">
        <v>5381</v>
      </c>
      <c r="D24" s="39" t="s">
        <v>5381</v>
      </c>
      <c r="I24" s="39" t="s">
        <v>5381</v>
      </c>
      <c r="J24" s="39" t="s">
        <v>5381</v>
      </c>
      <c r="S24" t="str">
        <f>IFERROR(VLOOKUP(B24,'305 Non US Non SE'!E:BG,55,FALSE),"Employee ID Issue")</f>
        <v>203041</v>
      </c>
      <c r="T24" t="str">
        <f>IFERROR(VLOOKUP(B24,'305 Non US Non SE'!E:BG,55,FALSE),"Employee ID Issue")</f>
        <v>203041</v>
      </c>
      <c r="AC24" s="39" t="s">
        <v>5381</v>
      </c>
      <c r="AD24" s="39" t="s">
        <v>5381</v>
      </c>
    </row>
    <row r="25" spans="1:30" ht="16" thickBot="1">
      <c r="A25" s="62" t="s">
        <v>5490</v>
      </c>
      <c r="B25" s="78" t="s">
        <v>5648</v>
      </c>
      <c r="C25" s="39" t="s">
        <v>5381</v>
      </c>
      <c r="D25" s="39" t="s">
        <v>5381</v>
      </c>
      <c r="I25" s="39" t="s">
        <v>5381</v>
      </c>
      <c r="J25" s="39" t="s">
        <v>5381</v>
      </c>
      <c r="S25" t="str">
        <f>IFERROR(VLOOKUP(B25,'305 Non US Non SE'!E:BG,55,FALSE),"Employee ID Issue")</f>
        <v>204855</v>
      </c>
      <c r="T25" t="str">
        <f>IFERROR(VLOOKUP(B25,'305 Non US Non SE'!E:BG,55,FALSE),"Employee ID Issue")</f>
        <v>204855</v>
      </c>
      <c r="AC25" s="39" t="s">
        <v>5381</v>
      </c>
      <c r="AD25" s="39" t="s">
        <v>5381</v>
      </c>
    </row>
    <row r="26" spans="1:30" ht="16" thickBot="1">
      <c r="A26" s="62" t="s">
        <v>5490</v>
      </c>
      <c r="B26" s="78" t="s">
        <v>5649</v>
      </c>
      <c r="C26" s="39" t="s">
        <v>5381</v>
      </c>
      <c r="D26" s="39" t="s">
        <v>5381</v>
      </c>
      <c r="I26" s="39" t="s">
        <v>5381</v>
      </c>
      <c r="J26" s="39" t="s">
        <v>5381</v>
      </c>
      <c r="S26" t="str">
        <f>IFERROR(VLOOKUP(B26,'305 Non US Non SE'!E:BG,55,FALSE),"Employee ID Issue")</f>
        <v>204380</v>
      </c>
      <c r="T26" t="str">
        <f>IFERROR(VLOOKUP(B26,'305 Non US Non SE'!E:BG,55,FALSE),"Employee ID Issue")</f>
        <v>204380</v>
      </c>
      <c r="AC26" s="39" t="s">
        <v>5381</v>
      </c>
      <c r="AD26" s="39" t="s">
        <v>5381</v>
      </c>
    </row>
    <row r="27" spans="1:30" ht="16" thickBot="1">
      <c r="A27" s="62" t="s">
        <v>5490</v>
      </c>
      <c r="B27" s="78" t="s">
        <v>5650</v>
      </c>
      <c r="C27" s="39" t="s">
        <v>5381</v>
      </c>
      <c r="D27" s="39" t="s">
        <v>5381</v>
      </c>
      <c r="I27" s="39" t="s">
        <v>5381</v>
      </c>
      <c r="J27" s="39" t="s">
        <v>5381</v>
      </c>
      <c r="S27" t="str">
        <f>IFERROR(VLOOKUP(B27,'305 Non US Non SE'!E:BG,55,FALSE),"Employee ID Issue")</f>
        <v>204855</v>
      </c>
      <c r="T27" t="str">
        <f>IFERROR(VLOOKUP(B27,'305 Non US Non SE'!E:BG,55,FALSE),"Employee ID Issue")</f>
        <v>204855</v>
      </c>
      <c r="AC27" s="39" t="s">
        <v>5381</v>
      </c>
      <c r="AD27" s="39" t="s">
        <v>5381</v>
      </c>
    </row>
    <row r="28" spans="1:30" ht="16" thickBot="1">
      <c r="A28" s="62" t="s">
        <v>5490</v>
      </c>
      <c r="B28" s="78" t="s">
        <v>5651</v>
      </c>
      <c r="C28" s="39" t="s">
        <v>5381</v>
      </c>
      <c r="D28" s="39" t="s">
        <v>5381</v>
      </c>
      <c r="I28" s="39" t="s">
        <v>5381</v>
      </c>
      <c r="J28" s="39" t="s">
        <v>5381</v>
      </c>
      <c r="S28" t="str">
        <f>IFERROR(VLOOKUP(B28,'305 Non US Non SE'!E:BG,55,FALSE),"Employee ID Issue")</f>
        <v>204855</v>
      </c>
      <c r="T28" t="str">
        <f>IFERROR(VLOOKUP(B28,'305 Non US Non SE'!E:BG,55,FALSE),"Employee ID Issue")</f>
        <v>204855</v>
      </c>
      <c r="AC28" s="39" t="s">
        <v>5381</v>
      </c>
      <c r="AD28" s="39" t="s">
        <v>5381</v>
      </c>
    </row>
    <row r="29" spans="1:30" ht="16" thickBot="1">
      <c r="A29" s="62" t="s">
        <v>5490</v>
      </c>
      <c r="B29" s="78" t="s">
        <v>5652</v>
      </c>
      <c r="C29" s="39" t="s">
        <v>5381</v>
      </c>
      <c r="D29" s="39" t="s">
        <v>5381</v>
      </c>
      <c r="I29" s="39" t="s">
        <v>5381</v>
      </c>
      <c r="J29" s="39" t="s">
        <v>5381</v>
      </c>
      <c r="S29" t="str">
        <f>IFERROR(VLOOKUP(B29,'305 Non US Non SE'!E:BG,55,FALSE),"Employee ID Issue")</f>
        <v>204380</v>
      </c>
      <c r="T29" t="str">
        <f>IFERROR(VLOOKUP(B29,'305 Non US Non SE'!E:BG,55,FALSE),"Employee ID Issue")</f>
        <v>204380</v>
      </c>
      <c r="AC29" s="39" t="s">
        <v>5381</v>
      </c>
      <c r="AD29" s="39" t="s">
        <v>5381</v>
      </c>
    </row>
    <row r="30" spans="1:30" ht="16" thickBot="1">
      <c r="A30" s="62" t="s">
        <v>5490</v>
      </c>
      <c r="B30" s="78" t="s">
        <v>5653</v>
      </c>
      <c r="C30" s="39" t="s">
        <v>5381</v>
      </c>
      <c r="D30" s="39" t="s">
        <v>5381</v>
      </c>
      <c r="I30" s="39" t="s">
        <v>5381</v>
      </c>
      <c r="J30" s="39" t="s">
        <v>5381</v>
      </c>
      <c r="S30" t="str">
        <f>IFERROR(VLOOKUP(B30,'305 Non US Non SE'!E:BG,55,FALSE),"Employee ID Issue")</f>
        <v>204380</v>
      </c>
      <c r="T30" t="str">
        <f>IFERROR(VLOOKUP(B30,'305 Non US Non SE'!E:BG,55,FALSE),"Employee ID Issue")</f>
        <v>204380</v>
      </c>
      <c r="AC30" s="39" t="s">
        <v>5381</v>
      </c>
      <c r="AD30" s="39" t="s">
        <v>5381</v>
      </c>
    </row>
    <row r="31" spans="1:30" ht="16" thickBot="1">
      <c r="A31" s="62" t="s">
        <v>5490</v>
      </c>
      <c r="B31" s="78" t="s">
        <v>5654</v>
      </c>
      <c r="C31" s="39" t="s">
        <v>5381</v>
      </c>
      <c r="D31" s="39" t="s">
        <v>5381</v>
      </c>
      <c r="I31" s="39" t="s">
        <v>5381</v>
      </c>
      <c r="J31" s="39" t="s">
        <v>5381</v>
      </c>
      <c r="S31" t="str">
        <f>IFERROR(VLOOKUP(B31,'305 Non US Non SE'!E:BG,55,FALSE),"Employee ID Issue")</f>
        <v>204379</v>
      </c>
      <c r="T31" t="str">
        <f>IFERROR(VLOOKUP(B31,'305 Non US Non SE'!E:BG,55,FALSE),"Employee ID Issue")</f>
        <v>204379</v>
      </c>
      <c r="AC31" s="39" t="s">
        <v>5381</v>
      </c>
      <c r="AD31" s="39" t="s">
        <v>5381</v>
      </c>
    </row>
    <row r="32" spans="1:30" ht="16" thickBot="1">
      <c r="A32" s="62" t="s">
        <v>5490</v>
      </c>
      <c r="B32" s="78" t="s">
        <v>5655</v>
      </c>
      <c r="C32" s="39" t="s">
        <v>5381</v>
      </c>
      <c r="D32" s="39" t="s">
        <v>5381</v>
      </c>
      <c r="I32" s="39" t="s">
        <v>5381</v>
      </c>
      <c r="J32" s="39" t="s">
        <v>5381</v>
      </c>
      <c r="S32" t="str">
        <f>IFERROR(VLOOKUP(B32,'305 Non US Non SE'!E:BG,55,FALSE),"Employee ID Issue")</f>
        <v>205389</v>
      </c>
      <c r="T32" t="str">
        <f>IFERROR(VLOOKUP(B32,'305 Non US Non SE'!E:BG,55,FALSE),"Employee ID Issue")</f>
        <v>205389</v>
      </c>
      <c r="AC32" s="39" t="s">
        <v>5381</v>
      </c>
      <c r="AD32" s="39" t="s">
        <v>5381</v>
      </c>
    </row>
    <row r="33" spans="1:30" ht="16" thickBot="1">
      <c r="A33" s="62" t="s">
        <v>5490</v>
      </c>
      <c r="B33" s="78" t="s">
        <v>5656</v>
      </c>
      <c r="C33" s="39" t="s">
        <v>5381</v>
      </c>
      <c r="D33" s="39" t="s">
        <v>5381</v>
      </c>
      <c r="I33" s="39" t="s">
        <v>5381</v>
      </c>
      <c r="J33" s="39" t="s">
        <v>5381</v>
      </c>
      <c r="S33" t="str">
        <f>IFERROR(VLOOKUP(B33,'305 Non US Non SE'!E:BG,55,FALSE),"Employee ID Issue")</f>
        <v>204853</v>
      </c>
      <c r="T33" t="str">
        <f>IFERROR(VLOOKUP(B33,'305 Non US Non SE'!E:BG,55,FALSE),"Employee ID Issue")</f>
        <v>204853</v>
      </c>
      <c r="AC33" s="39" t="s">
        <v>5381</v>
      </c>
      <c r="AD33" s="39" t="s">
        <v>5381</v>
      </c>
    </row>
    <row r="34" spans="1:30" ht="16" thickBot="1">
      <c r="A34" s="62" t="s">
        <v>5490</v>
      </c>
      <c r="B34" s="78" t="s">
        <v>5657</v>
      </c>
      <c r="C34" s="39" t="s">
        <v>5381</v>
      </c>
      <c r="D34" s="39" t="s">
        <v>5381</v>
      </c>
      <c r="I34" s="39" t="s">
        <v>5381</v>
      </c>
      <c r="J34" s="39" t="s">
        <v>5381</v>
      </c>
      <c r="S34" t="str">
        <f>IFERROR(VLOOKUP(B34,'305 Non US Non SE'!E:BG,55,FALSE),"Employee ID Issue")</f>
        <v>204853</v>
      </c>
      <c r="T34" t="str">
        <f>IFERROR(VLOOKUP(B34,'305 Non US Non SE'!E:BG,55,FALSE),"Employee ID Issue")</f>
        <v>204853</v>
      </c>
      <c r="AC34" s="39" t="s">
        <v>5381</v>
      </c>
      <c r="AD34" s="39" t="s">
        <v>5381</v>
      </c>
    </row>
    <row r="35" spans="1:30" ht="16" thickBot="1">
      <c r="A35" s="62" t="s">
        <v>5490</v>
      </c>
      <c r="B35" s="78" t="s">
        <v>5658</v>
      </c>
      <c r="C35" s="39" t="s">
        <v>5381</v>
      </c>
      <c r="D35" s="39" t="s">
        <v>5381</v>
      </c>
      <c r="I35" s="39" t="s">
        <v>5381</v>
      </c>
      <c r="J35" s="39" t="s">
        <v>5381</v>
      </c>
      <c r="S35" t="str">
        <f>IFERROR(VLOOKUP(B35,'305 Non US Non SE'!E:BG,55,FALSE),"Employee ID Issue")</f>
        <v>204854</v>
      </c>
      <c r="T35" t="str">
        <f>IFERROR(VLOOKUP(B35,'305 Non US Non SE'!E:BG,55,FALSE),"Employee ID Issue")</f>
        <v>204854</v>
      </c>
      <c r="AC35" s="39" t="s">
        <v>5381</v>
      </c>
      <c r="AD35" s="39" t="s">
        <v>5381</v>
      </c>
    </row>
    <row r="36" spans="1:30" ht="16" thickBot="1">
      <c r="A36" s="62" t="s">
        <v>5490</v>
      </c>
      <c r="B36" s="78" t="s">
        <v>5659</v>
      </c>
      <c r="C36" s="39" t="s">
        <v>5381</v>
      </c>
      <c r="D36" s="39" t="s">
        <v>5381</v>
      </c>
      <c r="I36" s="39" t="s">
        <v>5381</v>
      </c>
      <c r="J36" s="39" t="s">
        <v>5381</v>
      </c>
      <c r="S36" t="str">
        <f>IFERROR(VLOOKUP(B36,'305 Non US Non SE'!E:BG,55,FALSE),"Employee ID Issue")</f>
        <v>204854</v>
      </c>
      <c r="T36" t="str">
        <f>IFERROR(VLOOKUP(B36,'305 Non US Non SE'!E:BG,55,FALSE),"Employee ID Issue")</f>
        <v>204854</v>
      </c>
      <c r="AC36" s="39" t="s">
        <v>5381</v>
      </c>
      <c r="AD36" s="39" t="s">
        <v>5381</v>
      </c>
    </row>
    <row r="37" spans="1:30" ht="16" thickBot="1">
      <c r="A37" s="62" t="s">
        <v>5490</v>
      </c>
      <c r="B37" s="78" t="s">
        <v>5660</v>
      </c>
      <c r="C37" s="39" t="s">
        <v>5381</v>
      </c>
      <c r="D37" s="39" t="s">
        <v>5381</v>
      </c>
      <c r="I37" s="39" t="s">
        <v>5381</v>
      </c>
      <c r="J37" s="39" t="s">
        <v>5381</v>
      </c>
      <c r="S37" t="str">
        <f>IFERROR(VLOOKUP(B37,'305 Non US Non SE'!E:BG,55,FALSE),"Employee ID Issue")</f>
        <v>204853</v>
      </c>
      <c r="T37" t="str">
        <f>IFERROR(VLOOKUP(B37,'305 Non US Non SE'!E:BG,55,FALSE),"Employee ID Issue")</f>
        <v>204853</v>
      </c>
      <c r="AC37" s="39" t="s">
        <v>5381</v>
      </c>
      <c r="AD37" s="39" t="s">
        <v>5381</v>
      </c>
    </row>
    <row r="38" spans="1:30" ht="16" thickBot="1">
      <c r="A38" s="62" t="s">
        <v>5490</v>
      </c>
      <c r="B38" s="78" t="s">
        <v>5661</v>
      </c>
      <c r="C38" s="39" t="s">
        <v>5381</v>
      </c>
      <c r="D38" s="39" t="s">
        <v>5381</v>
      </c>
      <c r="I38" s="39" t="s">
        <v>5381</v>
      </c>
      <c r="J38" s="39" t="s">
        <v>5381</v>
      </c>
      <c r="S38" t="str">
        <f>IFERROR(VLOOKUP(B38,'305 Non US Non SE'!E:BG,55,FALSE),"Employee ID Issue")</f>
        <v>008750</v>
      </c>
      <c r="T38" t="str">
        <f>IFERROR(VLOOKUP(B38,'305 Non US Non SE'!E:BG,55,FALSE),"Employee ID Issue")</f>
        <v>008750</v>
      </c>
      <c r="AC38" s="39" t="s">
        <v>5381</v>
      </c>
      <c r="AD38" s="39" t="s">
        <v>5381</v>
      </c>
    </row>
    <row r="39" spans="1:30" ht="16" thickBot="1">
      <c r="A39" s="62" t="s">
        <v>5490</v>
      </c>
      <c r="B39" s="78" t="s">
        <v>5662</v>
      </c>
      <c r="C39" s="39" t="s">
        <v>5381</v>
      </c>
      <c r="D39" s="39" t="s">
        <v>5381</v>
      </c>
      <c r="I39" s="39" t="s">
        <v>5381</v>
      </c>
      <c r="J39" s="39" t="s">
        <v>5381</v>
      </c>
      <c r="S39" t="str">
        <f>IFERROR(VLOOKUP(B39,'305 Non US Non SE'!E:BG,55,FALSE),"Employee ID Issue")</f>
        <v>204859</v>
      </c>
      <c r="T39" t="str">
        <f>IFERROR(VLOOKUP(B39,'305 Non US Non SE'!E:BG,55,FALSE),"Employee ID Issue")</f>
        <v>204859</v>
      </c>
      <c r="AC39" s="39" t="s">
        <v>5381</v>
      </c>
      <c r="AD39" s="39" t="s">
        <v>5381</v>
      </c>
    </row>
    <row r="40" spans="1:30" ht="16" thickBot="1">
      <c r="A40" s="62" t="s">
        <v>5490</v>
      </c>
      <c r="B40" s="78" t="s">
        <v>5663</v>
      </c>
      <c r="C40" s="39" t="s">
        <v>5381</v>
      </c>
      <c r="D40" s="39" t="s">
        <v>5381</v>
      </c>
      <c r="I40" s="39" t="s">
        <v>5381</v>
      </c>
      <c r="J40" s="39" t="s">
        <v>5381</v>
      </c>
      <c r="S40" t="str">
        <f>IFERROR(VLOOKUP(B40,'305 Non US Non SE'!E:BG,55,FALSE),"Employee ID Issue")</f>
        <v>204859</v>
      </c>
      <c r="T40" t="str">
        <f>IFERROR(VLOOKUP(B40,'305 Non US Non SE'!E:BG,55,FALSE),"Employee ID Issue")</f>
        <v>204859</v>
      </c>
      <c r="AC40" s="39" t="s">
        <v>5381</v>
      </c>
      <c r="AD40" s="39" t="s">
        <v>5381</v>
      </c>
    </row>
    <row r="41" spans="1:30" ht="16" thickBot="1">
      <c r="A41" s="62" t="s">
        <v>5490</v>
      </c>
      <c r="B41" s="78" t="s">
        <v>5664</v>
      </c>
      <c r="C41" s="39" t="s">
        <v>5381</v>
      </c>
      <c r="D41" s="39" t="s">
        <v>5381</v>
      </c>
      <c r="I41" s="39" t="s">
        <v>5381</v>
      </c>
      <c r="J41" s="39" t="s">
        <v>5381</v>
      </c>
      <c r="S41" t="str">
        <f>IFERROR(VLOOKUP(B41,'305 Non US Non SE'!E:BG,55,FALSE),"Employee ID Issue")</f>
        <v>204859</v>
      </c>
      <c r="T41" t="str">
        <f>IFERROR(VLOOKUP(B41,'305 Non US Non SE'!E:BG,55,FALSE),"Employee ID Issue")</f>
        <v>204859</v>
      </c>
      <c r="AC41" s="39" t="s">
        <v>5381</v>
      </c>
      <c r="AD41" s="39" t="s">
        <v>5381</v>
      </c>
    </row>
    <row r="42" spans="1:30" ht="16" thickBot="1">
      <c r="A42" s="62" t="s">
        <v>5490</v>
      </c>
      <c r="B42" s="78" t="s">
        <v>5665</v>
      </c>
      <c r="C42" s="39" t="s">
        <v>5381</v>
      </c>
      <c r="D42" s="39" t="s">
        <v>5381</v>
      </c>
      <c r="I42" s="39" t="s">
        <v>5381</v>
      </c>
      <c r="J42" s="39" t="s">
        <v>5381</v>
      </c>
      <c r="S42" t="str">
        <f>IFERROR(VLOOKUP(B42,'305 Non US Non SE'!E:BG,55,FALSE),"Employee ID Issue")</f>
        <v>204854</v>
      </c>
      <c r="T42" t="str">
        <f>IFERROR(VLOOKUP(B42,'305 Non US Non SE'!E:BG,55,FALSE),"Employee ID Issue")</f>
        <v>204854</v>
      </c>
      <c r="AC42" s="39" t="s">
        <v>5381</v>
      </c>
      <c r="AD42" s="39" t="s">
        <v>5381</v>
      </c>
    </row>
    <row r="43" spans="1:30" ht="16" thickBot="1">
      <c r="A43" s="62" t="s">
        <v>5490</v>
      </c>
      <c r="B43" s="78" t="s">
        <v>5666</v>
      </c>
      <c r="C43" s="39" t="s">
        <v>5381</v>
      </c>
      <c r="D43" s="39" t="s">
        <v>5381</v>
      </c>
      <c r="I43" s="39" t="s">
        <v>5381</v>
      </c>
      <c r="J43" s="39" t="s">
        <v>5381</v>
      </c>
      <c r="S43" t="str">
        <f>IFERROR(VLOOKUP(B43,'305 Non US Non SE'!E:BG,55,FALSE),"Employee ID Issue")</f>
        <v>204856</v>
      </c>
      <c r="T43" t="str">
        <f>IFERROR(VLOOKUP(B43,'305 Non US Non SE'!E:BG,55,FALSE),"Employee ID Issue")</f>
        <v>204856</v>
      </c>
      <c r="AC43" s="39" t="s">
        <v>5381</v>
      </c>
      <c r="AD43" s="39" t="s">
        <v>5381</v>
      </c>
    </row>
    <row r="44" spans="1:30" ht="16" thickBot="1">
      <c r="A44" s="62" t="s">
        <v>5490</v>
      </c>
      <c r="B44" s="78" t="s">
        <v>5667</v>
      </c>
      <c r="C44" s="39" t="s">
        <v>5381</v>
      </c>
      <c r="D44" s="39" t="s">
        <v>5381</v>
      </c>
      <c r="I44" s="39" t="s">
        <v>5381</v>
      </c>
      <c r="J44" s="39" t="s">
        <v>5381</v>
      </c>
      <c r="S44" t="str">
        <f>IFERROR(VLOOKUP(B44,'305 Non US Non SE'!E:BG,55,FALSE),"Employee ID Issue")</f>
        <v>204854</v>
      </c>
      <c r="T44" t="str">
        <f>IFERROR(VLOOKUP(B44,'305 Non US Non SE'!E:BG,55,FALSE),"Employee ID Issue")</f>
        <v>204854</v>
      </c>
      <c r="AC44" s="39" t="s">
        <v>5381</v>
      </c>
      <c r="AD44" s="39" t="s">
        <v>5381</v>
      </c>
    </row>
    <row r="45" spans="1:30" ht="16" thickBot="1">
      <c r="A45" s="62" t="s">
        <v>5490</v>
      </c>
      <c r="B45" s="78" t="s">
        <v>5668</v>
      </c>
      <c r="C45" s="39" t="s">
        <v>5381</v>
      </c>
      <c r="D45" s="39" t="s">
        <v>5381</v>
      </c>
      <c r="I45" s="39" t="s">
        <v>5381</v>
      </c>
      <c r="J45" s="39" t="s">
        <v>5381</v>
      </c>
      <c r="S45" t="str">
        <f>IFERROR(VLOOKUP(B45,'305 Non US Non SE'!E:BG,55,FALSE),"Employee ID Issue")</f>
        <v>206241</v>
      </c>
      <c r="T45" t="str">
        <f>IFERROR(VLOOKUP(B45,'305 Non US Non SE'!E:BG,55,FALSE),"Employee ID Issue")</f>
        <v>206241</v>
      </c>
      <c r="AC45" s="39" t="s">
        <v>5381</v>
      </c>
      <c r="AD45" s="39" t="s">
        <v>5381</v>
      </c>
    </row>
    <row r="46" spans="1:30" ht="16" thickBot="1">
      <c r="A46" s="62" t="s">
        <v>5490</v>
      </c>
      <c r="B46" s="78" t="s">
        <v>5669</v>
      </c>
      <c r="C46" s="39" t="s">
        <v>5381</v>
      </c>
      <c r="D46" s="39" t="s">
        <v>5381</v>
      </c>
      <c r="I46" s="39" t="s">
        <v>5381</v>
      </c>
      <c r="J46" s="39" t="s">
        <v>5381</v>
      </c>
      <c r="S46" t="str">
        <f>IFERROR(VLOOKUP(B46,'305 Non US Non SE'!E:BG,55,FALSE),"Employee ID Issue")</f>
        <v>206241</v>
      </c>
      <c r="T46" t="str">
        <f>IFERROR(VLOOKUP(B46,'305 Non US Non SE'!E:BG,55,FALSE),"Employee ID Issue")</f>
        <v>206241</v>
      </c>
      <c r="AC46" s="39" t="s">
        <v>5381</v>
      </c>
      <c r="AD46" s="39" t="s">
        <v>5381</v>
      </c>
    </row>
    <row r="47" spans="1:30" ht="16" thickBot="1">
      <c r="A47" s="62" t="s">
        <v>5490</v>
      </c>
      <c r="B47" s="78" t="s">
        <v>5670</v>
      </c>
      <c r="C47" s="39" t="s">
        <v>5381</v>
      </c>
      <c r="D47" s="39" t="s">
        <v>5381</v>
      </c>
      <c r="I47" s="39" t="s">
        <v>5381</v>
      </c>
      <c r="J47" s="39" t="s">
        <v>5381</v>
      </c>
      <c r="S47" t="str">
        <f>IFERROR(VLOOKUP(B47,'305 Non US Non SE'!E:BG,55,FALSE),"Employee ID Issue")</f>
        <v>203007</v>
      </c>
      <c r="T47" t="str">
        <f>IFERROR(VLOOKUP(B47,'305 Non US Non SE'!E:BG,55,FALSE),"Employee ID Issue")</f>
        <v>203007</v>
      </c>
      <c r="AC47" s="39" t="s">
        <v>5381</v>
      </c>
      <c r="AD47" s="39" t="s">
        <v>5381</v>
      </c>
    </row>
    <row r="48" spans="1:30" ht="16" thickBot="1">
      <c r="A48" s="62" t="s">
        <v>5490</v>
      </c>
      <c r="B48" s="78" t="s">
        <v>5671</v>
      </c>
      <c r="C48" s="39" t="s">
        <v>5381</v>
      </c>
      <c r="D48" s="39" t="s">
        <v>5381</v>
      </c>
      <c r="I48" s="39" t="s">
        <v>5381</v>
      </c>
      <c r="J48" s="39" t="s">
        <v>5381</v>
      </c>
      <c r="S48" t="str">
        <f>IFERROR(VLOOKUP(B48,'305 Non US Non SE'!E:BG,55,FALSE),"Employee ID Issue")</f>
        <v>207588</v>
      </c>
      <c r="T48" t="str">
        <f>IFERROR(VLOOKUP(B48,'305 Non US Non SE'!E:BG,55,FALSE),"Employee ID Issue")</f>
        <v>207588</v>
      </c>
      <c r="AC48" s="39" t="s">
        <v>5381</v>
      </c>
      <c r="AD48" s="39" t="s">
        <v>5381</v>
      </c>
    </row>
    <row r="49" spans="1:30" ht="16" thickBot="1">
      <c r="A49" s="62" t="s">
        <v>5490</v>
      </c>
      <c r="B49" s="78" t="s">
        <v>5672</v>
      </c>
      <c r="C49" s="39" t="s">
        <v>5381</v>
      </c>
      <c r="D49" s="39" t="s">
        <v>5381</v>
      </c>
      <c r="I49" s="39" t="s">
        <v>5381</v>
      </c>
      <c r="J49" s="39" t="s">
        <v>5381</v>
      </c>
      <c r="S49" t="str">
        <f>IFERROR(VLOOKUP(B49,'305 Non US Non SE'!E:BG,55,FALSE),"Employee ID Issue")</f>
        <v>206241</v>
      </c>
      <c r="T49" t="str">
        <f>IFERROR(VLOOKUP(B49,'305 Non US Non SE'!E:BG,55,FALSE),"Employee ID Issue")</f>
        <v>206241</v>
      </c>
      <c r="AC49" s="39" t="s">
        <v>5381</v>
      </c>
      <c r="AD49" s="39" t="s">
        <v>5381</v>
      </c>
    </row>
    <row r="50" spans="1:30" ht="16" thickBot="1">
      <c r="A50" s="62" t="s">
        <v>5490</v>
      </c>
      <c r="B50" s="78" t="s">
        <v>5673</v>
      </c>
      <c r="C50" s="39" t="s">
        <v>5381</v>
      </c>
      <c r="D50" s="39" t="s">
        <v>5381</v>
      </c>
      <c r="I50" s="39" t="s">
        <v>5381</v>
      </c>
      <c r="J50" s="39" t="s">
        <v>5381</v>
      </c>
      <c r="S50" t="str">
        <f>IFERROR(VLOOKUP(B50,'305 Non US Non SE'!E:BG,55,FALSE),"Employee ID Issue")</f>
        <v>211175</v>
      </c>
      <c r="T50" t="str">
        <f>IFERROR(VLOOKUP(B50,'305 Non US Non SE'!E:BG,55,FALSE),"Employee ID Issue")</f>
        <v>211175</v>
      </c>
      <c r="AC50" s="39" t="s">
        <v>5381</v>
      </c>
      <c r="AD50" s="39" t="s">
        <v>5381</v>
      </c>
    </row>
    <row r="51" spans="1:30" ht="16" thickBot="1">
      <c r="A51" s="62" t="s">
        <v>5490</v>
      </c>
      <c r="B51" s="78" t="s">
        <v>5674</v>
      </c>
      <c r="C51" s="39" t="s">
        <v>5381</v>
      </c>
      <c r="D51" s="39" t="s">
        <v>5381</v>
      </c>
      <c r="I51" s="39" t="s">
        <v>5381</v>
      </c>
      <c r="J51" s="39" t="s">
        <v>5381</v>
      </c>
      <c r="S51" t="str">
        <f>IFERROR(VLOOKUP(B51,'305 Non US Non SE'!E:BG,55,FALSE),"Employee ID Issue")</f>
        <v>205373</v>
      </c>
      <c r="T51" t="str">
        <f>IFERROR(VLOOKUP(B51,'305 Non US Non SE'!E:BG,55,FALSE),"Employee ID Issue")</f>
        <v>205373</v>
      </c>
      <c r="AC51" s="39" t="s">
        <v>5381</v>
      </c>
      <c r="AD51" s="39" t="s">
        <v>5381</v>
      </c>
    </row>
    <row r="52" spans="1:30" ht="16" thickBot="1">
      <c r="A52" s="62" t="s">
        <v>5490</v>
      </c>
      <c r="B52" s="78" t="s">
        <v>5675</v>
      </c>
      <c r="C52" s="39" t="s">
        <v>5381</v>
      </c>
      <c r="D52" s="39" t="s">
        <v>5381</v>
      </c>
      <c r="I52" s="39" t="s">
        <v>5381</v>
      </c>
      <c r="J52" s="39" t="s">
        <v>5381</v>
      </c>
      <c r="S52" t="str">
        <f>IFERROR(VLOOKUP(B52,'305 Non US Non SE'!E:BG,55,FALSE),"Employee ID Issue")</f>
        <v>206252</v>
      </c>
      <c r="T52" t="str">
        <f>IFERROR(VLOOKUP(B52,'305 Non US Non SE'!E:BG,55,FALSE),"Employee ID Issue")</f>
        <v>206252</v>
      </c>
      <c r="AC52" s="39" t="s">
        <v>5381</v>
      </c>
      <c r="AD52" s="39" t="s">
        <v>5381</v>
      </c>
    </row>
    <row r="53" spans="1:30" ht="16" thickBot="1">
      <c r="A53" s="62" t="s">
        <v>5490</v>
      </c>
      <c r="B53" s="78" t="s">
        <v>5676</v>
      </c>
      <c r="C53" s="39" t="s">
        <v>5381</v>
      </c>
      <c r="D53" s="39" t="s">
        <v>5381</v>
      </c>
      <c r="I53" s="39" t="s">
        <v>5381</v>
      </c>
      <c r="J53" s="39" t="s">
        <v>5381</v>
      </c>
      <c r="S53" t="str">
        <f>IFERROR(VLOOKUP(B53,'305 Non US Non SE'!E:BG,55,FALSE),"Employee ID Issue")</f>
        <v>207588</v>
      </c>
      <c r="T53" t="str">
        <f>IFERROR(VLOOKUP(B53,'305 Non US Non SE'!E:BG,55,FALSE),"Employee ID Issue")</f>
        <v>207588</v>
      </c>
      <c r="AC53" s="39" t="s">
        <v>5381</v>
      </c>
      <c r="AD53" s="39" t="s">
        <v>5381</v>
      </c>
    </row>
    <row r="54" spans="1:30" ht="16" thickBot="1">
      <c r="A54" s="62" t="s">
        <v>5490</v>
      </c>
      <c r="B54" s="78" t="s">
        <v>5677</v>
      </c>
      <c r="C54" s="39" t="s">
        <v>5381</v>
      </c>
      <c r="D54" s="39" t="s">
        <v>5381</v>
      </c>
      <c r="I54" s="39" t="s">
        <v>5381</v>
      </c>
      <c r="J54" s="39" t="s">
        <v>5381</v>
      </c>
      <c r="S54" t="str">
        <f>IFERROR(VLOOKUP(B54,'305 Non US Non SE'!E:BG,55,FALSE),"Employee ID Issue")</f>
        <v>205389</v>
      </c>
      <c r="T54" t="str">
        <f>IFERROR(VLOOKUP(B54,'305 Non US Non SE'!E:BG,55,FALSE),"Employee ID Issue")</f>
        <v>205389</v>
      </c>
      <c r="AC54" s="39" t="s">
        <v>5381</v>
      </c>
      <c r="AD54" s="39" t="s">
        <v>5381</v>
      </c>
    </row>
    <row r="55" spans="1:30" ht="16" thickBot="1">
      <c r="A55" s="62" t="s">
        <v>5490</v>
      </c>
      <c r="B55" s="78" t="s">
        <v>5678</v>
      </c>
      <c r="C55" s="39" t="s">
        <v>5381</v>
      </c>
      <c r="D55" s="39" t="s">
        <v>5381</v>
      </c>
      <c r="I55" s="39" t="s">
        <v>5381</v>
      </c>
      <c r="J55" s="39" t="s">
        <v>5381</v>
      </c>
      <c r="S55" t="str">
        <f>IFERROR(VLOOKUP(B55,'305 Non US Non SE'!E:BG,55,FALSE),"Employee ID Issue")</f>
        <v>206503</v>
      </c>
      <c r="T55" t="str">
        <f>IFERROR(VLOOKUP(B55,'305 Non US Non SE'!E:BG,55,FALSE),"Employee ID Issue")</f>
        <v>206503</v>
      </c>
      <c r="AC55" s="39" t="s">
        <v>5381</v>
      </c>
      <c r="AD55" s="39" t="s">
        <v>5381</v>
      </c>
    </row>
    <row r="56" spans="1:30" ht="16" thickBot="1">
      <c r="A56" s="62" t="s">
        <v>5490</v>
      </c>
      <c r="B56" s="78" t="s">
        <v>5679</v>
      </c>
      <c r="C56" s="39" t="s">
        <v>5381</v>
      </c>
      <c r="D56" s="39" t="s">
        <v>5381</v>
      </c>
      <c r="I56" s="39" t="s">
        <v>5381</v>
      </c>
      <c r="J56" s="39" t="s">
        <v>5381</v>
      </c>
      <c r="S56" t="str">
        <f>IFERROR(VLOOKUP(B56,'305 Non US Non SE'!E:BG,55,FALSE),"Employee ID Issue")</f>
        <v>206503</v>
      </c>
      <c r="T56" t="str">
        <f>IFERROR(VLOOKUP(B56,'305 Non US Non SE'!E:BG,55,FALSE),"Employee ID Issue")</f>
        <v>206503</v>
      </c>
      <c r="AC56" s="39" t="s">
        <v>5381</v>
      </c>
      <c r="AD56" s="39" t="s">
        <v>5381</v>
      </c>
    </row>
    <row r="57" spans="1:30" ht="16" thickBot="1">
      <c r="A57" s="62" t="s">
        <v>5490</v>
      </c>
      <c r="B57" s="78" t="s">
        <v>5680</v>
      </c>
      <c r="C57" s="39" t="s">
        <v>5381</v>
      </c>
      <c r="D57" s="39" t="s">
        <v>5381</v>
      </c>
      <c r="I57" s="39" t="s">
        <v>5381</v>
      </c>
      <c r="J57" s="39" t="s">
        <v>5381</v>
      </c>
      <c r="S57" t="str">
        <f>IFERROR(VLOOKUP(B57,'305 Non US Non SE'!E:BG,55,FALSE),"Employee ID Issue")</f>
        <v>206503</v>
      </c>
      <c r="T57" t="str">
        <f>IFERROR(VLOOKUP(B57,'305 Non US Non SE'!E:BG,55,FALSE),"Employee ID Issue")</f>
        <v>206503</v>
      </c>
      <c r="AC57" s="39" t="s">
        <v>5381</v>
      </c>
      <c r="AD57" s="39" t="s">
        <v>5381</v>
      </c>
    </row>
    <row r="58" spans="1:30" ht="16" thickBot="1">
      <c r="A58" s="62" t="s">
        <v>5490</v>
      </c>
      <c r="B58" s="78" t="s">
        <v>5681</v>
      </c>
      <c r="C58" s="39" t="s">
        <v>5381</v>
      </c>
      <c r="D58" s="39" t="s">
        <v>5381</v>
      </c>
      <c r="I58" s="39" t="s">
        <v>5381</v>
      </c>
      <c r="J58" s="39" t="s">
        <v>5381</v>
      </c>
      <c r="S58" t="str">
        <f>IFERROR(VLOOKUP(B58,'305 Non US Non SE'!E:BG,55,FALSE),"Employee ID Issue")</f>
        <v>206503</v>
      </c>
      <c r="T58" t="str">
        <f>IFERROR(VLOOKUP(B58,'305 Non US Non SE'!E:BG,55,FALSE),"Employee ID Issue")</f>
        <v>206503</v>
      </c>
      <c r="AC58" s="39" t="s">
        <v>5381</v>
      </c>
      <c r="AD58" s="39" t="s">
        <v>5381</v>
      </c>
    </row>
    <row r="59" spans="1:30" ht="16" thickBot="1">
      <c r="A59" s="62" t="s">
        <v>5490</v>
      </c>
      <c r="B59" s="78" t="s">
        <v>5682</v>
      </c>
      <c r="C59" s="39" t="s">
        <v>5381</v>
      </c>
      <c r="D59" s="39" t="s">
        <v>5381</v>
      </c>
      <c r="I59" s="39" t="s">
        <v>5381</v>
      </c>
      <c r="J59" s="39" t="s">
        <v>5381</v>
      </c>
      <c r="S59" t="str">
        <f>IFERROR(VLOOKUP(B59,'305 Non US Non SE'!E:BG,55,FALSE),"Employee ID Issue")</f>
        <v>204853</v>
      </c>
      <c r="T59" t="str">
        <f>IFERROR(VLOOKUP(B59,'305 Non US Non SE'!E:BG,55,FALSE),"Employee ID Issue")</f>
        <v>204853</v>
      </c>
      <c r="AC59" s="39" t="s">
        <v>5381</v>
      </c>
      <c r="AD59" s="39" t="s">
        <v>5381</v>
      </c>
    </row>
    <row r="60" spans="1:30" ht="16" thickBot="1">
      <c r="A60" s="62" t="s">
        <v>5490</v>
      </c>
      <c r="B60" s="78" t="s">
        <v>5683</v>
      </c>
      <c r="C60" s="39" t="s">
        <v>5381</v>
      </c>
      <c r="D60" s="39" t="s">
        <v>5381</v>
      </c>
      <c r="I60" s="39" t="s">
        <v>5381</v>
      </c>
      <c r="J60" s="39" t="s">
        <v>5381</v>
      </c>
      <c r="S60" t="str">
        <f>IFERROR(VLOOKUP(B60,'305 Non US Non SE'!E:BG,55,FALSE),"Employee ID Issue")</f>
        <v>203007</v>
      </c>
      <c r="T60" t="str">
        <f>IFERROR(VLOOKUP(B60,'305 Non US Non SE'!E:BG,55,FALSE),"Employee ID Issue")</f>
        <v>203007</v>
      </c>
      <c r="AC60" s="39" t="s">
        <v>5381</v>
      </c>
      <c r="AD60" s="39" t="s">
        <v>5381</v>
      </c>
    </row>
    <row r="61" spans="1:30" ht="16" thickBot="1">
      <c r="A61" s="62" t="s">
        <v>5490</v>
      </c>
      <c r="B61" s="78" t="s">
        <v>5684</v>
      </c>
      <c r="C61" s="39" t="s">
        <v>5381</v>
      </c>
      <c r="D61" s="39" t="s">
        <v>5381</v>
      </c>
      <c r="I61" s="39" t="s">
        <v>5381</v>
      </c>
      <c r="J61" s="39" t="s">
        <v>5381</v>
      </c>
      <c r="S61" t="str">
        <f>IFERROR(VLOOKUP(B61,'305 Non US Non SE'!E:BG,55,FALSE),"Employee ID Issue")</f>
        <v>206835</v>
      </c>
      <c r="T61" t="str">
        <f>IFERROR(VLOOKUP(B61,'305 Non US Non SE'!E:BG,55,FALSE),"Employee ID Issue")</f>
        <v>206835</v>
      </c>
      <c r="AC61" s="39" t="s">
        <v>5381</v>
      </c>
      <c r="AD61" s="39" t="s">
        <v>5381</v>
      </c>
    </row>
    <row r="62" spans="1:30" ht="16" thickBot="1">
      <c r="A62" s="62" t="s">
        <v>5490</v>
      </c>
      <c r="B62" s="78" t="s">
        <v>5685</v>
      </c>
      <c r="C62" s="39" t="s">
        <v>5381</v>
      </c>
      <c r="D62" s="39" t="s">
        <v>5381</v>
      </c>
      <c r="I62" s="39" t="s">
        <v>5381</v>
      </c>
      <c r="J62" s="39" t="s">
        <v>5381</v>
      </c>
      <c r="S62" t="str">
        <f>IFERROR(VLOOKUP(B62,'305 Non US Non SE'!E:BG,55,FALSE),"Employee ID Issue")</f>
        <v>203042</v>
      </c>
      <c r="T62" t="str">
        <f>IFERROR(VLOOKUP(B62,'305 Non US Non SE'!E:BG,55,FALSE),"Employee ID Issue")</f>
        <v>203042</v>
      </c>
      <c r="AC62" s="39" t="s">
        <v>5381</v>
      </c>
      <c r="AD62" s="39" t="s">
        <v>5381</v>
      </c>
    </row>
    <row r="63" spans="1:30" ht="16" thickBot="1">
      <c r="A63" s="62" t="s">
        <v>5490</v>
      </c>
      <c r="B63" s="78" t="s">
        <v>5686</v>
      </c>
      <c r="C63" s="39" t="s">
        <v>5381</v>
      </c>
      <c r="D63" s="39" t="s">
        <v>5381</v>
      </c>
      <c r="I63" s="39" t="s">
        <v>5381</v>
      </c>
      <c r="J63" s="39" t="s">
        <v>5381</v>
      </c>
      <c r="S63" t="str">
        <f>IFERROR(VLOOKUP(B63,'305 Non US Non SE'!E:BG,55,FALSE),"Employee ID Issue")</f>
        <v>203016</v>
      </c>
      <c r="T63" t="str">
        <f>IFERROR(VLOOKUP(B63,'305 Non US Non SE'!E:BG,55,FALSE),"Employee ID Issue")</f>
        <v>203016</v>
      </c>
      <c r="AC63" s="39" t="s">
        <v>5381</v>
      </c>
      <c r="AD63" s="39" t="s">
        <v>5381</v>
      </c>
    </row>
    <row r="64" spans="1:30" ht="16" thickBot="1">
      <c r="A64" s="62" t="s">
        <v>5490</v>
      </c>
      <c r="B64" s="78" t="s">
        <v>5687</v>
      </c>
      <c r="C64" s="39" t="s">
        <v>5381</v>
      </c>
      <c r="D64" s="39" t="s">
        <v>5381</v>
      </c>
      <c r="I64" s="39" t="s">
        <v>5381</v>
      </c>
      <c r="J64" s="39" t="s">
        <v>5381</v>
      </c>
      <c r="S64" t="str">
        <f>IFERROR(VLOOKUP(B64,'305 Non US Non SE'!E:BG,55,FALSE),"Employee ID Issue")</f>
        <v>207472</v>
      </c>
      <c r="T64" t="str">
        <f>IFERROR(VLOOKUP(B64,'305 Non US Non SE'!E:BG,55,FALSE),"Employee ID Issue")</f>
        <v>207472</v>
      </c>
      <c r="AC64" s="39" t="s">
        <v>5381</v>
      </c>
      <c r="AD64" s="39" t="s">
        <v>5381</v>
      </c>
    </row>
    <row r="65" spans="1:30" ht="16" thickBot="1">
      <c r="A65" s="62" t="s">
        <v>5490</v>
      </c>
      <c r="B65" s="78" t="s">
        <v>5688</v>
      </c>
      <c r="C65" s="39" t="s">
        <v>5381</v>
      </c>
      <c r="D65" s="39" t="s">
        <v>5381</v>
      </c>
      <c r="I65" s="39" t="s">
        <v>5381</v>
      </c>
      <c r="J65" s="39" t="s">
        <v>5381</v>
      </c>
      <c r="S65" t="str">
        <f>IFERROR(VLOOKUP(B65,'305 Non US Non SE'!E:BG,55,FALSE),"Employee ID Issue")</f>
        <v>203007</v>
      </c>
      <c r="T65" t="str">
        <f>IFERROR(VLOOKUP(B65,'305 Non US Non SE'!E:BG,55,FALSE),"Employee ID Issue")</f>
        <v>203007</v>
      </c>
      <c r="AC65" s="39" t="s">
        <v>5381</v>
      </c>
      <c r="AD65" s="39" t="s">
        <v>5381</v>
      </c>
    </row>
    <row r="66" spans="1:30" ht="16" thickBot="1">
      <c r="A66" s="62" t="s">
        <v>5490</v>
      </c>
      <c r="B66" s="78" t="s">
        <v>5689</v>
      </c>
      <c r="C66" s="39" t="s">
        <v>5381</v>
      </c>
      <c r="D66" s="39" t="s">
        <v>5381</v>
      </c>
      <c r="I66" s="39" t="s">
        <v>5381</v>
      </c>
      <c r="J66" s="39" t="s">
        <v>5381</v>
      </c>
      <c r="S66" t="str">
        <f>IFERROR(VLOOKUP(B66,'305 Non US Non SE'!E:BG,55,FALSE),"Employee ID Issue")</f>
        <v>204379</v>
      </c>
      <c r="T66" t="str">
        <f>IFERROR(VLOOKUP(B66,'305 Non US Non SE'!E:BG,55,FALSE),"Employee ID Issue")</f>
        <v>204379</v>
      </c>
      <c r="AC66" s="39" t="s">
        <v>5381</v>
      </c>
      <c r="AD66" s="39" t="s">
        <v>5381</v>
      </c>
    </row>
    <row r="67" spans="1:30" ht="16" thickBot="1">
      <c r="A67" s="62" t="s">
        <v>5490</v>
      </c>
      <c r="B67" s="78" t="s">
        <v>5690</v>
      </c>
      <c r="C67" s="39" t="s">
        <v>5381</v>
      </c>
      <c r="D67" s="39" t="s">
        <v>5381</v>
      </c>
      <c r="I67" s="39" t="s">
        <v>5381</v>
      </c>
      <c r="J67" s="39" t="s">
        <v>5381</v>
      </c>
      <c r="S67" t="str">
        <f>IFERROR(VLOOKUP(B67,'305 Non US Non SE'!E:BG,55,FALSE),"Employee ID Issue")</f>
        <v>204379</v>
      </c>
      <c r="T67" t="str">
        <f>IFERROR(VLOOKUP(B67,'305 Non US Non SE'!E:BG,55,FALSE),"Employee ID Issue")</f>
        <v>204379</v>
      </c>
      <c r="AC67" s="39" t="s">
        <v>5381</v>
      </c>
      <c r="AD67" s="39" t="s">
        <v>5381</v>
      </c>
    </row>
    <row r="68" spans="1:30" ht="16" thickBot="1">
      <c r="A68" s="62" t="s">
        <v>5490</v>
      </c>
      <c r="B68" s="78" t="s">
        <v>5691</v>
      </c>
      <c r="C68" s="39" t="s">
        <v>5381</v>
      </c>
      <c r="D68" s="39" t="s">
        <v>5381</v>
      </c>
      <c r="I68" s="39" t="s">
        <v>5381</v>
      </c>
      <c r="J68" s="39" t="s">
        <v>5381</v>
      </c>
      <c r="S68" t="str">
        <f>IFERROR(VLOOKUP(B68,'305 Non US Non SE'!E:BG,55,FALSE),"Employee ID Issue")</f>
        <v>205948</v>
      </c>
      <c r="T68" t="str">
        <f>IFERROR(VLOOKUP(B68,'305 Non US Non SE'!E:BG,55,FALSE),"Employee ID Issue")</f>
        <v>205948</v>
      </c>
      <c r="AC68" s="39" t="s">
        <v>5381</v>
      </c>
      <c r="AD68" s="39" t="s">
        <v>5381</v>
      </c>
    </row>
    <row r="69" spans="1:30" ht="16" thickBot="1">
      <c r="A69" s="62" t="s">
        <v>5490</v>
      </c>
      <c r="B69" s="78" t="s">
        <v>5692</v>
      </c>
      <c r="C69" s="39" t="s">
        <v>5381</v>
      </c>
      <c r="D69" s="39" t="s">
        <v>5381</v>
      </c>
      <c r="I69" s="39" t="s">
        <v>5381</v>
      </c>
      <c r="J69" s="39" t="s">
        <v>5381</v>
      </c>
      <c r="S69" t="str">
        <f>IFERROR(VLOOKUP(B69,'305 Non US Non SE'!E:BG,55,FALSE),"Employee ID Issue")</f>
        <v>203046</v>
      </c>
      <c r="T69" t="str">
        <f>IFERROR(VLOOKUP(B69,'305 Non US Non SE'!E:BG,55,FALSE),"Employee ID Issue")</f>
        <v>203046</v>
      </c>
      <c r="AC69" s="39" t="s">
        <v>5381</v>
      </c>
      <c r="AD69" s="39" t="s">
        <v>5381</v>
      </c>
    </row>
    <row r="70" spans="1:30" ht="16" thickBot="1">
      <c r="A70" s="62" t="s">
        <v>5490</v>
      </c>
      <c r="B70" s="78" t="s">
        <v>5693</v>
      </c>
      <c r="C70" s="39" t="s">
        <v>5381</v>
      </c>
      <c r="D70" s="39" t="s">
        <v>5381</v>
      </c>
      <c r="I70" s="39" t="s">
        <v>5381</v>
      </c>
      <c r="J70" s="39" t="s">
        <v>5381</v>
      </c>
      <c r="S70" t="str">
        <f>IFERROR(VLOOKUP(B70,'305 Non US Non SE'!E:BG,55,FALSE),"Employee ID Issue")</f>
        <v>202182</v>
      </c>
      <c r="T70" t="str">
        <f>IFERROR(VLOOKUP(B70,'305 Non US Non SE'!E:BG,55,FALSE),"Employee ID Issue")</f>
        <v>202182</v>
      </c>
      <c r="AC70" s="39" t="s">
        <v>5381</v>
      </c>
      <c r="AD70" s="39" t="s">
        <v>5381</v>
      </c>
    </row>
    <row r="71" spans="1:30" ht="16" thickBot="1">
      <c r="A71" s="62" t="s">
        <v>5490</v>
      </c>
      <c r="B71" s="78" t="s">
        <v>5694</v>
      </c>
      <c r="C71" s="39" t="s">
        <v>5381</v>
      </c>
      <c r="D71" s="39" t="s">
        <v>5381</v>
      </c>
      <c r="I71" s="39" t="s">
        <v>5381</v>
      </c>
      <c r="J71" s="39" t="s">
        <v>5381</v>
      </c>
      <c r="S71" t="str">
        <f>IFERROR(VLOOKUP(B71,'305 Non US Non SE'!E:BG,55,FALSE),"Employee ID Issue")</f>
        <v>203041</v>
      </c>
      <c r="T71" t="str">
        <f>IFERROR(VLOOKUP(B71,'305 Non US Non SE'!E:BG,55,FALSE),"Employee ID Issue")</f>
        <v>203041</v>
      </c>
      <c r="AC71" s="39" t="s">
        <v>5381</v>
      </c>
      <c r="AD71" s="39" t="s">
        <v>5381</v>
      </c>
    </row>
    <row r="72" spans="1:30" ht="16" thickBot="1">
      <c r="A72" s="62" t="s">
        <v>5490</v>
      </c>
      <c r="B72" s="78" t="s">
        <v>5695</v>
      </c>
      <c r="C72" s="39" t="s">
        <v>5381</v>
      </c>
      <c r="D72" s="39" t="s">
        <v>5381</v>
      </c>
      <c r="I72" s="39" t="s">
        <v>5381</v>
      </c>
      <c r="J72" s="39" t="s">
        <v>5381</v>
      </c>
      <c r="S72" t="str">
        <f>IFERROR(VLOOKUP(B72,'305 Non US Non SE'!E:BG,55,FALSE),"Employee ID Issue")</f>
        <v>202182</v>
      </c>
      <c r="T72" t="str">
        <f>IFERROR(VLOOKUP(B72,'305 Non US Non SE'!E:BG,55,FALSE),"Employee ID Issue")</f>
        <v>202182</v>
      </c>
      <c r="AC72" s="39" t="s">
        <v>5381</v>
      </c>
      <c r="AD72" s="39" t="s">
        <v>5381</v>
      </c>
    </row>
    <row r="73" spans="1:30" ht="16" thickBot="1">
      <c r="A73" s="62" t="s">
        <v>5490</v>
      </c>
      <c r="B73" s="78" t="s">
        <v>5696</v>
      </c>
      <c r="C73" s="39" t="s">
        <v>5381</v>
      </c>
      <c r="D73" s="39" t="s">
        <v>5381</v>
      </c>
      <c r="I73" s="39" t="s">
        <v>5381</v>
      </c>
      <c r="J73" s="39" t="s">
        <v>5381</v>
      </c>
      <c r="S73" t="str">
        <f>IFERROR(VLOOKUP(B73,'305 Non US Non SE'!E:BG,55,FALSE),"Employee ID Issue")</f>
        <v>210868</v>
      </c>
      <c r="T73" t="str">
        <f>IFERROR(VLOOKUP(B73,'305 Non US Non SE'!E:BG,55,FALSE),"Employee ID Issue")</f>
        <v>210868</v>
      </c>
      <c r="AC73" s="39" t="s">
        <v>5381</v>
      </c>
      <c r="AD73" s="39" t="s">
        <v>5381</v>
      </c>
    </row>
    <row r="74" spans="1:30" ht="16" thickBot="1">
      <c r="A74" s="62" t="s">
        <v>5490</v>
      </c>
      <c r="B74" s="78" t="s">
        <v>5697</v>
      </c>
      <c r="C74" s="39" t="s">
        <v>5381</v>
      </c>
      <c r="D74" s="39" t="s">
        <v>5381</v>
      </c>
      <c r="I74" s="39" t="s">
        <v>5381</v>
      </c>
      <c r="J74" s="39" t="s">
        <v>5381</v>
      </c>
      <c r="S74" t="str">
        <f>IFERROR(VLOOKUP(B74,'305 Non US Non SE'!E:BG,55,FALSE),"Employee ID Issue")</f>
        <v>210868</v>
      </c>
      <c r="T74" t="str">
        <f>IFERROR(VLOOKUP(B74,'305 Non US Non SE'!E:BG,55,FALSE),"Employee ID Issue")</f>
        <v>210868</v>
      </c>
      <c r="AC74" s="39" t="s">
        <v>5381</v>
      </c>
      <c r="AD74" s="39" t="s">
        <v>5381</v>
      </c>
    </row>
    <row r="75" spans="1:30" ht="16" thickBot="1">
      <c r="A75" s="62" t="s">
        <v>5490</v>
      </c>
      <c r="B75" s="78" t="s">
        <v>5698</v>
      </c>
      <c r="C75" s="39" t="s">
        <v>5381</v>
      </c>
      <c r="D75" s="39" t="s">
        <v>5381</v>
      </c>
      <c r="I75" s="39" t="s">
        <v>5381</v>
      </c>
      <c r="J75" s="39" t="s">
        <v>5381</v>
      </c>
      <c r="S75" t="str">
        <f>IFERROR(VLOOKUP(B75,'305 Non US Non SE'!E:BG,55,FALSE),"Employee ID Issue")</f>
        <v>210868</v>
      </c>
      <c r="T75" t="str">
        <f>IFERROR(VLOOKUP(B75,'305 Non US Non SE'!E:BG,55,FALSE),"Employee ID Issue")</f>
        <v>210868</v>
      </c>
      <c r="AC75" s="39" t="s">
        <v>5381</v>
      </c>
      <c r="AD75" s="39" t="s">
        <v>5381</v>
      </c>
    </row>
    <row r="76" spans="1:30" ht="16" thickBot="1">
      <c r="A76" s="62" t="s">
        <v>5490</v>
      </c>
      <c r="B76" s="78" t="s">
        <v>5699</v>
      </c>
      <c r="C76" s="39" t="s">
        <v>5381</v>
      </c>
      <c r="D76" s="39" t="s">
        <v>5381</v>
      </c>
      <c r="I76" s="39" t="s">
        <v>5381</v>
      </c>
      <c r="J76" s="39" t="s">
        <v>5381</v>
      </c>
      <c r="S76" t="str">
        <f>IFERROR(VLOOKUP(B76,'305 Non US Non SE'!E:BG,55,FALSE),"Employee ID Issue")</f>
        <v>202182</v>
      </c>
      <c r="T76" t="str">
        <f>IFERROR(VLOOKUP(B76,'305 Non US Non SE'!E:BG,55,FALSE),"Employee ID Issue")</f>
        <v>202182</v>
      </c>
      <c r="AC76" s="39" t="s">
        <v>5381</v>
      </c>
      <c r="AD76" s="39" t="s">
        <v>5381</v>
      </c>
    </row>
    <row r="77" spans="1:30" ht="16" thickBot="1">
      <c r="A77" s="62" t="s">
        <v>5490</v>
      </c>
      <c r="B77" s="78" t="s">
        <v>5700</v>
      </c>
      <c r="C77" s="39" t="s">
        <v>5381</v>
      </c>
      <c r="D77" s="39" t="s">
        <v>5381</v>
      </c>
      <c r="I77" s="39" t="s">
        <v>5381</v>
      </c>
      <c r="J77" s="39" t="s">
        <v>5381</v>
      </c>
      <c r="S77" t="str">
        <f>IFERROR(VLOOKUP(B77,'305 Non US Non SE'!E:BG,55,FALSE),"Employee ID Issue")</f>
        <v>203009</v>
      </c>
      <c r="T77" t="str">
        <f>IFERROR(VLOOKUP(B77,'305 Non US Non SE'!E:BG,55,FALSE),"Employee ID Issue")</f>
        <v>203009</v>
      </c>
      <c r="AC77" s="39" t="s">
        <v>5381</v>
      </c>
      <c r="AD77" s="39" t="s">
        <v>5381</v>
      </c>
    </row>
    <row r="78" spans="1:30" ht="16" thickBot="1">
      <c r="A78" s="62" t="s">
        <v>5490</v>
      </c>
      <c r="B78" s="78" t="s">
        <v>5701</v>
      </c>
      <c r="C78" s="39" t="s">
        <v>5381</v>
      </c>
      <c r="D78" s="39" t="s">
        <v>5381</v>
      </c>
      <c r="I78" s="39" t="s">
        <v>5381</v>
      </c>
      <c r="J78" s="39" t="s">
        <v>5381</v>
      </c>
      <c r="S78" t="str">
        <f>IFERROR(VLOOKUP(B78,'305 Non US Non SE'!E:BG,55,FALSE),"Employee ID Issue")</f>
        <v>202182</v>
      </c>
      <c r="T78" t="str">
        <f>IFERROR(VLOOKUP(B78,'305 Non US Non SE'!E:BG,55,FALSE),"Employee ID Issue")</f>
        <v>202182</v>
      </c>
      <c r="AC78" s="39" t="s">
        <v>5381</v>
      </c>
      <c r="AD78" s="39" t="s">
        <v>5381</v>
      </c>
    </row>
    <row r="79" spans="1:30" ht="16" thickBot="1">
      <c r="A79" s="62" t="s">
        <v>5490</v>
      </c>
      <c r="B79" s="78" t="s">
        <v>5702</v>
      </c>
      <c r="C79" s="39" t="s">
        <v>5381</v>
      </c>
      <c r="D79" s="39" t="s">
        <v>5381</v>
      </c>
      <c r="I79" s="39" t="s">
        <v>5381</v>
      </c>
      <c r="J79" s="39" t="s">
        <v>5381</v>
      </c>
      <c r="S79" s="87" t="str">
        <f>IFERROR(VLOOKUP(B79,'305 Non US Non SE'!E:BG,55,FALSE),"Employee ID Issue")</f>
        <v xml:space="preserve"> </v>
      </c>
      <c r="T79" s="87" t="str">
        <f>IFERROR(VLOOKUP(B79,'305 Non US Non SE'!E:BG,55,FALSE),"Employee ID Issue")</f>
        <v xml:space="preserve"> </v>
      </c>
      <c r="AC79" s="39" t="s">
        <v>5381</v>
      </c>
      <c r="AD79" s="39" t="s">
        <v>5381</v>
      </c>
    </row>
    <row r="80" spans="1:30" ht="16" thickBot="1">
      <c r="A80" s="62" t="s">
        <v>5490</v>
      </c>
      <c r="B80" s="78" t="s">
        <v>5703</v>
      </c>
      <c r="C80" s="39" t="s">
        <v>5381</v>
      </c>
      <c r="D80" s="39" t="s">
        <v>5381</v>
      </c>
      <c r="I80" s="39" t="s">
        <v>5381</v>
      </c>
      <c r="J80" s="39" t="s">
        <v>5381</v>
      </c>
      <c r="S80" t="str">
        <f>IFERROR(VLOOKUP(B80,'305 Non US Non SE'!E:BG,55,FALSE),"Employee ID Issue")</f>
        <v>207588</v>
      </c>
      <c r="T80" t="str">
        <f>IFERROR(VLOOKUP(B80,'305 Non US Non SE'!E:BG,55,FALSE),"Employee ID Issue")</f>
        <v>207588</v>
      </c>
      <c r="AC80" s="39" t="s">
        <v>5381</v>
      </c>
      <c r="AD80" s="39" t="s">
        <v>5381</v>
      </c>
    </row>
    <row r="81" spans="1:30" ht="16" thickBot="1">
      <c r="A81" s="62" t="s">
        <v>5490</v>
      </c>
      <c r="B81" s="78" t="s">
        <v>5704</v>
      </c>
      <c r="C81" s="39" t="s">
        <v>5381</v>
      </c>
      <c r="D81" s="39" t="s">
        <v>5381</v>
      </c>
      <c r="I81" s="39" t="s">
        <v>5381</v>
      </c>
      <c r="J81" s="39" t="s">
        <v>5381</v>
      </c>
      <c r="S81" t="str">
        <f>IFERROR(VLOOKUP(B81,'305 Non US Non SE'!E:BG,55,FALSE),"Employee ID Issue")</f>
        <v>202182</v>
      </c>
      <c r="T81" t="str">
        <f>IFERROR(VLOOKUP(B81,'305 Non US Non SE'!E:BG,55,FALSE),"Employee ID Issue")</f>
        <v>202182</v>
      </c>
      <c r="AC81" s="39" t="s">
        <v>5381</v>
      </c>
      <c r="AD81" s="39" t="s">
        <v>5381</v>
      </c>
    </row>
    <row r="82" spans="1:30" ht="16" thickBot="1">
      <c r="A82" s="62" t="s">
        <v>5490</v>
      </c>
      <c r="B82" s="78" t="s">
        <v>5705</v>
      </c>
      <c r="C82" s="39" t="s">
        <v>5381</v>
      </c>
      <c r="D82" s="39" t="s">
        <v>5381</v>
      </c>
      <c r="I82" s="39" t="s">
        <v>5381</v>
      </c>
      <c r="J82" s="39" t="s">
        <v>5381</v>
      </c>
      <c r="S82" s="87" t="str">
        <f>IFERROR(VLOOKUP(B82,'305 Non US Non SE'!E:BG,55,FALSE),"Employee ID Issue")</f>
        <v xml:space="preserve"> </v>
      </c>
      <c r="T82" s="87" t="str">
        <f>IFERROR(VLOOKUP(B82,'305 Non US Non SE'!E:BG,55,FALSE),"Employee ID Issue")</f>
        <v xml:space="preserve"> </v>
      </c>
      <c r="AC82" s="39" t="s">
        <v>5381</v>
      </c>
      <c r="AD82" s="39" t="s">
        <v>5381</v>
      </c>
    </row>
    <row r="83" spans="1:30" ht="16" thickBot="1">
      <c r="A83" s="62" t="s">
        <v>5490</v>
      </c>
      <c r="B83" s="78" t="s">
        <v>5706</v>
      </c>
      <c r="C83" s="39" t="s">
        <v>5381</v>
      </c>
      <c r="D83" s="39" t="s">
        <v>5381</v>
      </c>
      <c r="I83" s="39" t="s">
        <v>5381</v>
      </c>
      <c r="J83" s="39" t="s">
        <v>5381</v>
      </c>
      <c r="S83" s="87" t="str">
        <f>IFERROR(VLOOKUP(B83,'305 Non US Non SE'!E:BG,55,FALSE),"Employee ID Issue")</f>
        <v xml:space="preserve"> </v>
      </c>
      <c r="T83" s="87" t="str">
        <f>IFERROR(VLOOKUP(B83,'305 Non US Non SE'!E:BG,55,FALSE),"Employee ID Issue")</f>
        <v xml:space="preserve"> </v>
      </c>
      <c r="AC83" s="39" t="s">
        <v>5381</v>
      </c>
      <c r="AD83" s="39" t="s">
        <v>5381</v>
      </c>
    </row>
    <row r="84" spans="1:30" ht="16" thickBot="1">
      <c r="A84" s="62" t="s">
        <v>5490</v>
      </c>
      <c r="B84" s="93" t="s">
        <v>5932</v>
      </c>
      <c r="C84" s="39" t="s">
        <v>5381</v>
      </c>
      <c r="D84" s="39" t="s">
        <v>5381</v>
      </c>
      <c r="I84" s="39" t="s">
        <v>5381</v>
      </c>
      <c r="J84" s="39" t="s">
        <v>5381</v>
      </c>
      <c r="S84" t="str">
        <f>IFERROR(VLOOKUP(B84,'305 Non US Non SE'!E:BG,55,FALSE),"Employee ID Issue")</f>
        <v>207709</v>
      </c>
      <c r="T84" t="str">
        <f>IFERROR(VLOOKUP(B84,'305 Non US Non SE'!E:BG,55,FALSE),"Employee ID Issue")</f>
        <v>207709</v>
      </c>
    </row>
    <row r="85" spans="1:30" ht="16" thickBot="1">
      <c r="A85" s="62" t="s">
        <v>5490</v>
      </c>
      <c r="B85" s="93" t="s">
        <v>5925</v>
      </c>
      <c r="C85" s="39" t="s">
        <v>5381</v>
      </c>
      <c r="D85" s="39" t="s">
        <v>5381</v>
      </c>
      <c r="I85" s="39" t="s">
        <v>5381</v>
      </c>
      <c r="J85" s="39" t="s">
        <v>5381</v>
      </c>
      <c r="S85" t="str">
        <f>IFERROR(VLOOKUP(B85,'305 Non US Non SE'!E:BG,55,FALSE),"Employee ID Issue")</f>
        <v>207709</v>
      </c>
      <c r="T85" t="str">
        <f>IFERROR(VLOOKUP(B85,'305 Non US Non SE'!E:BG,55,FALSE),"Employee ID Issue")</f>
        <v>207709</v>
      </c>
    </row>
    <row r="86" spans="1:30">
      <c r="A86" s="62" t="s">
        <v>5490</v>
      </c>
      <c r="B86" s="62" t="s">
        <v>5371</v>
      </c>
      <c r="C86" s="39" t="s">
        <v>5381</v>
      </c>
      <c r="D86" s="39" t="s">
        <v>5381</v>
      </c>
      <c r="I86" s="39" t="s">
        <v>5381</v>
      </c>
      <c r="J86" s="39" t="s">
        <v>5381</v>
      </c>
      <c r="S86" t="str">
        <f>IFERROR(VLOOKUP(B86,'305 Non US Non SE'!E:BG,55,FALSE),"Employee ID Issue")</f>
        <v>207709</v>
      </c>
      <c r="T86" t="str">
        <f>IFERROR(VLOOKUP(B86,'305 Non US Non SE'!E:BG,55,FALSE),"Employee ID Issue")</f>
        <v>207709</v>
      </c>
    </row>
    <row r="87" spans="1:30">
      <c r="A87" s="62" t="s">
        <v>5490</v>
      </c>
      <c r="B87" s="87"/>
      <c r="C87" s="39" t="s">
        <v>5381</v>
      </c>
      <c r="D87" s="39" t="s">
        <v>5381</v>
      </c>
      <c r="I87" s="39" t="s">
        <v>5381</v>
      </c>
      <c r="J87" s="39" t="s">
        <v>5381</v>
      </c>
      <c r="S87" t="str">
        <f>IFERROR(VLOOKUP(B87,'305 Non US Non SE'!E:BG,55,FALSE),"Employee ID Issue")</f>
        <v>Employee ID Issue</v>
      </c>
      <c r="T87" t="str">
        <f>IFERROR(VLOOKUP(B87,'305 Non US Non SE'!E:BG,55,FALSE),"Employee ID Issue")</f>
        <v>Employee ID Issue</v>
      </c>
    </row>
    <row r="88" spans="1:30">
      <c r="A88" s="62" t="s">
        <v>5490</v>
      </c>
      <c r="B88" s="87"/>
      <c r="C88" s="39" t="s">
        <v>5381</v>
      </c>
      <c r="D88" s="39" t="s">
        <v>5381</v>
      </c>
      <c r="I88" s="39" t="s">
        <v>5381</v>
      </c>
      <c r="J88" s="39" t="s">
        <v>5381</v>
      </c>
      <c r="S88" t="str">
        <f>IFERROR(VLOOKUP(B88,'305 Non US Non SE'!E:BG,55,FALSE),"Employee ID Issue")</f>
        <v>Employee ID Issue</v>
      </c>
      <c r="T88" t="str">
        <f>IFERROR(VLOOKUP(B88,'305 Non US Non SE'!E:BG,55,FALSE),"Employee ID Issue")</f>
        <v>Employee ID Issue</v>
      </c>
    </row>
  </sheetData>
  <autoFilter ref="A3:AI83" xr:uid="{4490BD08-DF7C-8542-9A4D-0213B4F41D6F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Multiple Payrolls</vt:lpstr>
      <vt:lpstr>Sheet2</vt:lpstr>
      <vt:lpstr>1</vt:lpstr>
      <vt:lpstr>Status Map</vt:lpstr>
      <vt:lpstr>Country Map</vt:lpstr>
      <vt:lpstr>Org Map</vt:lpstr>
      <vt:lpstr>Language Map</vt:lpstr>
      <vt:lpstr>Salary Map</vt:lpstr>
      <vt:lpstr>US Supervisor Map</vt:lpstr>
      <vt:lpstr>305</vt:lpstr>
      <vt:lpstr>350</vt:lpstr>
      <vt:lpstr>360</vt:lpstr>
      <vt:lpstr>305 Non US Non SE</vt:lpstr>
      <vt:lpstr>360 Non US Non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Noto</cp:lastModifiedBy>
  <dcterms:created xsi:type="dcterms:W3CDTF">2026-08-31T18:23:11Z</dcterms:created>
  <dcterms:modified xsi:type="dcterms:W3CDTF">2026-09-03T17:44:39Z</dcterms:modified>
</cp:coreProperties>
</file>