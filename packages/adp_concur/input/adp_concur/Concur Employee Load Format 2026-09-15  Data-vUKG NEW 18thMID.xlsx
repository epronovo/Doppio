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F2A57235-F633-154C-ABB3-D765BBE5734B}" xr6:coauthVersionLast="47" xr6:coauthVersionMax="47" xr10:uidLastSave="{00000000-0000-0000-0000-000000000000}"/>
  <bookViews>
    <workbookView xWindow="34560" yWindow="-220" windowWidth="40960" windowHeight="22440" firstSheet="9" activeTab="9" xr2:uid="{00000000-000D-0000-FFFF-FFFF00000000}"/>
  </bookViews>
  <sheets>
    <sheet name="320 One Time" sheetId="16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UKG Company Map" sheetId="31" r:id="rId10"/>
    <sheet name="KN EP Brute Force" sheetId="32" r:id="rId11"/>
    <sheet name="ADP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" sheetId="19" r:id="rId18"/>
    <sheet name="305 UKG Employees All" sheetId="11" r:id="rId19"/>
    <sheet name="360 UKG Payables All" sheetId="12" r:id="rId20"/>
    <sheet name="700 UKG Payables (Limited)" sheetId="29" r:id="rId21"/>
    <sheet name="305 Mehmet" sheetId="26" r:id="rId22"/>
    <sheet name="360 Mehmet" sheetId="27" r:id="rId23"/>
    <sheet name="700 Mehmet" sheetId="20" r:id="rId24"/>
  </sheets>
  <definedNames>
    <definedName name="_xlnm._FilterDatabase" localSheetId="12" hidden="1">'305 ADP Employee (All)'!$A$3:$EG$203</definedName>
    <definedName name="_xlnm._FilterDatabase" localSheetId="21" hidden="1">'305 Mehmet'!$A$1:$EG$2</definedName>
    <definedName name="_xlnm._FilterDatabase" localSheetId="18" hidden="1">'305 UKG Employees All'!$A$1:$EG$363</definedName>
    <definedName name="_xlnm._FilterDatabase" localSheetId="0" hidden="1">'320 One Time'!$A$2:$I$203</definedName>
    <definedName name="_xlnm._FilterDatabase" localSheetId="15" hidden="1">'360 ADP Payables (limit)'!$A$3:$AI$203</definedName>
    <definedName name="_xlnm._FilterDatabase" localSheetId="22" hidden="1">'360 Mehmet'!$A$3:$AI$5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3" hidden="1">'700 Mehmet'!$A$3:$P$359</definedName>
    <definedName name="_xlnm._FilterDatabase" localSheetId="20" hidden="1">'700 UKG Payables (Limited)'!$A$3:$P$362</definedName>
    <definedName name="_xlnm._FilterDatabase" localSheetId="11" hidden="1">ADP!$A$4:$AR$169</definedName>
    <definedName name="_xlnm._FilterDatabase" localSheetId="17" hidden="1">UKG!$A$1:$BO$363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1" l="1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5" i="18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5" i="6"/>
  <c r="AO118" i="1"/>
  <c r="BJ3" i="19"/>
  <c r="BJ4" i="19"/>
  <c r="BJ5" i="19"/>
  <c r="BJ6" i="19"/>
  <c r="BJ7" i="19"/>
  <c r="BJ8" i="19"/>
  <c r="BJ9" i="19"/>
  <c r="BJ10" i="19"/>
  <c r="BJ11" i="19"/>
  <c r="BJ12" i="19"/>
  <c r="BJ13" i="19"/>
  <c r="BJ14" i="19"/>
  <c r="BJ15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37" i="19"/>
  <c r="BJ38" i="19"/>
  <c r="BJ39" i="19"/>
  <c r="BJ40" i="19"/>
  <c r="BJ41" i="19"/>
  <c r="BJ42" i="19"/>
  <c r="BJ43" i="19"/>
  <c r="BJ44" i="19"/>
  <c r="BJ45" i="19"/>
  <c r="BJ46" i="19"/>
  <c r="BJ47" i="19"/>
  <c r="BJ48" i="19"/>
  <c r="BJ49" i="19"/>
  <c r="BJ50" i="19"/>
  <c r="BJ51" i="19"/>
  <c r="BJ52" i="19"/>
  <c r="BJ53" i="19"/>
  <c r="BJ54" i="19"/>
  <c r="BJ55" i="19"/>
  <c r="BJ56" i="19"/>
  <c r="BJ57" i="19"/>
  <c r="BJ58" i="19"/>
  <c r="BJ59" i="19"/>
  <c r="BJ60" i="19"/>
  <c r="BJ61" i="19"/>
  <c r="BJ62" i="19"/>
  <c r="BJ63" i="19"/>
  <c r="BJ64" i="19"/>
  <c r="BJ65" i="19"/>
  <c r="BJ66" i="19"/>
  <c r="BJ67" i="19"/>
  <c r="BJ68" i="19"/>
  <c r="BJ69" i="19"/>
  <c r="BJ70" i="19"/>
  <c r="BJ71" i="19"/>
  <c r="BJ72" i="19"/>
  <c r="BJ73" i="19"/>
  <c r="BJ74" i="19"/>
  <c r="BJ75" i="19"/>
  <c r="BJ76" i="19"/>
  <c r="BJ77" i="19"/>
  <c r="BJ78" i="19"/>
  <c r="BJ79" i="19"/>
  <c r="BJ80" i="19"/>
  <c r="BJ81" i="19"/>
  <c r="BJ82" i="19"/>
  <c r="BJ83" i="19"/>
  <c r="BJ84" i="19"/>
  <c r="BJ85" i="19"/>
  <c r="BJ86" i="19"/>
  <c r="BJ87" i="19"/>
  <c r="BJ88" i="19"/>
  <c r="BJ89" i="19"/>
  <c r="BJ90" i="19"/>
  <c r="BJ91" i="19"/>
  <c r="BJ92" i="19"/>
  <c r="BJ93" i="19"/>
  <c r="BJ94" i="19"/>
  <c r="BJ95" i="19"/>
  <c r="BJ96" i="19"/>
  <c r="BJ97" i="19"/>
  <c r="BJ98" i="19"/>
  <c r="BJ99" i="19"/>
  <c r="BJ100" i="19"/>
  <c r="BJ101" i="19"/>
  <c r="BJ102" i="19"/>
  <c r="BJ103" i="19"/>
  <c r="BJ104" i="19"/>
  <c r="BJ105" i="19"/>
  <c r="BJ106" i="19"/>
  <c r="BJ107" i="19"/>
  <c r="BJ108" i="19"/>
  <c r="BJ109" i="19"/>
  <c r="BJ110" i="19"/>
  <c r="BJ111" i="19"/>
  <c r="BJ112" i="19"/>
  <c r="BJ113" i="19"/>
  <c r="BJ114" i="19"/>
  <c r="BJ115" i="19"/>
  <c r="BJ116" i="19"/>
  <c r="BJ117" i="19"/>
  <c r="BJ118" i="19"/>
  <c r="BJ119" i="19"/>
  <c r="BJ120" i="19"/>
  <c r="BJ121" i="19"/>
  <c r="BJ122" i="19"/>
  <c r="BJ123" i="19"/>
  <c r="BJ124" i="19"/>
  <c r="BJ125" i="19"/>
  <c r="BJ126" i="19"/>
  <c r="BJ127" i="19"/>
  <c r="BJ128" i="19"/>
  <c r="BJ129" i="19"/>
  <c r="BJ130" i="19"/>
  <c r="BJ131" i="19"/>
  <c r="BJ132" i="19"/>
  <c r="BJ133" i="19"/>
  <c r="BJ134" i="19"/>
  <c r="BJ135" i="19"/>
  <c r="BJ136" i="19"/>
  <c r="BJ137" i="19"/>
  <c r="BJ138" i="19"/>
  <c r="BJ139" i="19"/>
  <c r="BJ140" i="19"/>
  <c r="BJ141" i="19"/>
  <c r="BJ142" i="19"/>
  <c r="BJ143" i="19"/>
  <c r="BJ144" i="19"/>
  <c r="BJ145" i="19"/>
  <c r="BJ146" i="19"/>
  <c r="BJ147" i="19"/>
  <c r="BJ148" i="19"/>
  <c r="BJ149" i="19"/>
  <c r="BJ150" i="19"/>
  <c r="BJ151" i="19"/>
  <c r="BJ152" i="19"/>
  <c r="BJ153" i="19"/>
  <c r="BJ154" i="19"/>
  <c r="BJ155" i="19"/>
  <c r="BJ156" i="19"/>
  <c r="BJ157" i="19"/>
  <c r="BJ158" i="19"/>
  <c r="BJ159" i="19"/>
  <c r="BJ160" i="19"/>
  <c r="BJ161" i="19"/>
  <c r="BJ162" i="19"/>
  <c r="BJ163" i="19"/>
  <c r="BJ164" i="19"/>
  <c r="BJ165" i="19"/>
  <c r="BJ166" i="19"/>
  <c r="BJ167" i="19"/>
  <c r="BJ168" i="19"/>
  <c r="BJ169" i="19"/>
  <c r="BJ170" i="19"/>
  <c r="BJ171" i="19"/>
  <c r="BJ172" i="19"/>
  <c r="BJ173" i="19"/>
  <c r="BJ174" i="19"/>
  <c r="BJ175" i="19"/>
  <c r="BJ176" i="19"/>
  <c r="BJ177" i="19"/>
  <c r="BJ178" i="19"/>
  <c r="BJ179" i="19"/>
  <c r="BJ180" i="19"/>
  <c r="BJ181" i="19"/>
  <c r="BJ182" i="19"/>
  <c r="BJ183" i="19"/>
  <c r="BJ184" i="19"/>
  <c r="BJ185" i="19"/>
  <c r="BJ186" i="19"/>
  <c r="BJ187" i="19"/>
  <c r="BJ188" i="19"/>
  <c r="BJ189" i="19"/>
  <c r="BJ190" i="19"/>
  <c r="BJ191" i="19"/>
  <c r="BJ192" i="19"/>
  <c r="BJ193" i="19"/>
  <c r="BJ194" i="19"/>
  <c r="BJ195" i="19"/>
  <c r="BJ196" i="19"/>
  <c r="BJ197" i="19"/>
  <c r="BJ198" i="19"/>
  <c r="BJ199" i="19"/>
  <c r="BJ200" i="19"/>
  <c r="BJ201" i="19"/>
  <c r="BJ202" i="19"/>
  <c r="BJ203" i="19"/>
  <c r="BJ204" i="19"/>
  <c r="BJ205" i="19"/>
  <c r="BJ206" i="19"/>
  <c r="BJ207" i="19"/>
  <c r="BJ208" i="19"/>
  <c r="BJ209" i="19"/>
  <c r="BJ210" i="19"/>
  <c r="BJ211" i="19"/>
  <c r="BJ212" i="19"/>
  <c r="BJ213" i="19"/>
  <c r="BJ214" i="19"/>
  <c r="BJ215" i="19"/>
  <c r="BJ216" i="19"/>
  <c r="BJ217" i="19"/>
  <c r="BJ218" i="19"/>
  <c r="BJ219" i="19"/>
  <c r="BJ220" i="19"/>
  <c r="BJ221" i="19"/>
  <c r="BJ222" i="19"/>
  <c r="BJ223" i="19"/>
  <c r="BJ224" i="19"/>
  <c r="BJ225" i="19"/>
  <c r="BJ226" i="19"/>
  <c r="BJ227" i="19"/>
  <c r="BJ228" i="19"/>
  <c r="BJ229" i="19"/>
  <c r="BJ230" i="19"/>
  <c r="BJ231" i="19"/>
  <c r="BJ232" i="19"/>
  <c r="BJ233" i="19"/>
  <c r="BJ234" i="19"/>
  <c r="BJ235" i="19"/>
  <c r="BJ236" i="19"/>
  <c r="BJ237" i="19"/>
  <c r="BJ238" i="19"/>
  <c r="BJ239" i="19"/>
  <c r="BJ240" i="19"/>
  <c r="BJ241" i="19"/>
  <c r="BJ242" i="19"/>
  <c r="BJ243" i="19"/>
  <c r="BJ244" i="19"/>
  <c r="BJ245" i="19"/>
  <c r="BJ246" i="19"/>
  <c r="BJ247" i="19"/>
  <c r="BJ248" i="19"/>
  <c r="BJ249" i="19"/>
  <c r="BJ250" i="19"/>
  <c r="BJ251" i="19"/>
  <c r="BJ252" i="19"/>
  <c r="BJ253" i="19"/>
  <c r="BJ254" i="19"/>
  <c r="BJ255" i="19"/>
  <c r="BJ256" i="19"/>
  <c r="BJ257" i="19"/>
  <c r="BJ258" i="19"/>
  <c r="BJ259" i="19"/>
  <c r="BJ260" i="19"/>
  <c r="BJ261" i="19"/>
  <c r="BJ262" i="19"/>
  <c r="BJ263" i="19"/>
  <c r="BJ264" i="19"/>
  <c r="BJ265" i="19"/>
  <c r="BJ266" i="19"/>
  <c r="BJ267" i="19"/>
  <c r="BJ268" i="19"/>
  <c r="BJ269" i="19"/>
  <c r="BJ270" i="19"/>
  <c r="BJ271" i="19"/>
  <c r="BJ272" i="19"/>
  <c r="BJ273" i="19"/>
  <c r="BJ274" i="19"/>
  <c r="BJ275" i="19"/>
  <c r="BJ276" i="19"/>
  <c r="BJ277" i="19"/>
  <c r="BJ278" i="19"/>
  <c r="BJ279" i="19"/>
  <c r="BJ280" i="19"/>
  <c r="BJ281" i="19"/>
  <c r="BJ282" i="19"/>
  <c r="BJ283" i="19"/>
  <c r="BJ284" i="19"/>
  <c r="BJ285" i="19"/>
  <c r="BJ286" i="19"/>
  <c r="BJ287" i="19"/>
  <c r="BJ288" i="19"/>
  <c r="BJ289" i="19"/>
  <c r="BJ290" i="19"/>
  <c r="BJ291" i="19"/>
  <c r="BJ292" i="19"/>
  <c r="BJ293" i="19"/>
  <c r="BJ294" i="19"/>
  <c r="BJ295" i="19"/>
  <c r="BJ296" i="19"/>
  <c r="BJ297" i="19"/>
  <c r="BJ298" i="19"/>
  <c r="BJ299" i="19"/>
  <c r="BJ300" i="19"/>
  <c r="BJ301" i="19"/>
  <c r="BJ302" i="19"/>
  <c r="BJ303" i="19"/>
  <c r="BJ304" i="19"/>
  <c r="BJ305" i="19"/>
  <c r="BJ306" i="19"/>
  <c r="BJ307" i="19"/>
  <c r="BJ308" i="19"/>
  <c r="BJ309" i="19"/>
  <c r="BJ310" i="19"/>
  <c r="BJ311" i="19"/>
  <c r="BJ312" i="19"/>
  <c r="BJ313" i="19"/>
  <c r="BJ314" i="19"/>
  <c r="BJ315" i="19"/>
  <c r="BJ316" i="19"/>
  <c r="BJ317" i="19"/>
  <c r="BJ318" i="19"/>
  <c r="BJ319" i="19"/>
  <c r="BJ320" i="19"/>
  <c r="BJ321" i="19"/>
  <c r="BJ322" i="19"/>
  <c r="BJ323" i="19"/>
  <c r="BJ324" i="19"/>
  <c r="BJ325" i="19"/>
  <c r="BJ326" i="19"/>
  <c r="BJ327" i="19"/>
  <c r="BJ328" i="19"/>
  <c r="BJ329" i="19"/>
  <c r="BJ330" i="19"/>
  <c r="BJ331" i="19"/>
  <c r="BJ332" i="19"/>
  <c r="BJ333" i="19"/>
  <c r="BJ334" i="19"/>
  <c r="BJ335" i="19"/>
  <c r="BJ336" i="19"/>
  <c r="BJ337" i="19"/>
  <c r="BJ338" i="19"/>
  <c r="BJ339" i="19"/>
  <c r="BJ340" i="19"/>
  <c r="BJ341" i="19"/>
  <c r="BJ342" i="19"/>
  <c r="BJ343" i="19"/>
  <c r="BJ344" i="19"/>
  <c r="BJ345" i="19"/>
  <c r="BJ346" i="19"/>
  <c r="BJ347" i="19"/>
  <c r="BJ348" i="19"/>
  <c r="BJ349" i="19"/>
  <c r="BJ350" i="19"/>
  <c r="BJ351" i="19"/>
  <c r="BJ352" i="19"/>
  <c r="BJ353" i="19"/>
  <c r="BJ354" i="19"/>
  <c r="BJ355" i="19"/>
  <c r="BJ356" i="19"/>
  <c r="BJ357" i="19"/>
  <c r="O357" i="11" s="1"/>
  <c r="BJ358" i="19"/>
  <c r="O358" i="11" s="1"/>
  <c r="BJ359" i="19"/>
  <c r="O359" i="11" s="1"/>
  <c r="BJ360" i="19"/>
  <c r="O360" i="11" s="1"/>
  <c r="BJ361" i="19"/>
  <c r="O361" i="11" s="1"/>
  <c r="BJ362" i="19"/>
  <c r="O362" i="11" s="1"/>
  <c r="BJ363" i="19"/>
  <c r="O363" i="11" s="1"/>
  <c r="BJ2" i="19"/>
  <c r="B357" i="12"/>
  <c r="E363" i="11"/>
  <c r="H363" i="11"/>
  <c r="F363" i="11" s="1"/>
  <c r="W363" i="11"/>
  <c r="BM363" i="19"/>
  <c r="BO363" i="19" s="1"/>
  <c r="B363" i="11" s="1"/>
  <c r="BL363" i="19"/>
  <c r="BE363" i="19" s="1"/>
  <c r="BH363" i="19"/>
  <c r="M363" i="11" s="1"/>
  <c r="BF363" i="19"/>
  <c r="J363" i="11" s="1"/>
  <c r="I363" i="11" s="1"/>
  <c r="BD363" i="19"/>
  <c r="BC363" i="19"/>
  <c r="X363" i="11" s="1"/>
  <c r="BA363" i="19"/>
  <c r="BB363" i="19" s="1"/>
  <c r="AZ363" i="19"/>
  <c r="BG363" i="11" s="1"/>
  <c r="I3" i="26"/>
  <c r="AP2" i="26"/>
  <c r="I2" i="26"/>
  <c r="AH12" i="1"/>
  <c r="BL63" i="19"/>
  <c r="H66" i="12" s="1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H362" i="19"/>
  <c r="M362" i="11" s="1"/>
  <c r="BF362" i="19"/>
  <c r="J362" i="11" s="1"/>
  <c r="I362" i="11" s="1"/>
  <c r="BD362" i="19"/>
  <c r="BC362" i="19"/>
  <c r="X362" i="11" s="1"/>
  <c r="BA362" i="19"/>
  <c r="AZ362" i="19"/>
  <c r="BG362" i="11" s="1"/>
  <c r="BM361" i="19"/>
  <c r="BO361" i="19" s="1"/>
  <c r="B361" i="11" s="1"/>
  <c r="BL361" i="19"/>
  <c r="BE361" i="19" s="1"/>
  <c r="BH361" i="19"/>
  <c r="M361" i="11" s="1"/>
  <c r="BF361" i="19"/>
  <c r="J361" i="11" s="1"/>
  <c r="I361" i="11" s="1"/>
  <c r="BD361" i="19"/>
  <c r="BC361" i="19"/>
  <c r="X361" i="11" s="1"/>
  <c r="BA361" i="19"/>
  <c r="AZ361" i="19"/>
  <c r="BG361" i="11" s="1"/>
  <c r="BM360" i="19"/>
  <c r="BO360" i="19" s="1"/>
  <c r="B360" i="11" s="1"/>
  <c r="BL360" i="19"/>
  <c r="BE360" i="19" s="1"/>
  <c r="BH360" i="19"/>
  <c r="M360" i="11" s="1"/>
  <c r="BF360" i="19"/>
  <c r="J360" i="11" s="1"/>
  <c r="I360" i="11" s="1"/>
  <c r="BD360" i="19"/>
  <c r="BC360" i="19"/>
  <c r="X360" i="11" s="1"/>
  <c r="BA360" i="19"/>
  <c r="AZ360" i="19"/>
  <c r="BG360" i="11" s="1"/>
  <c r="BM359" i="19"/>
  <c r="BN359" i="19" s="1"/>
  <c r="D359" i="11" s="1"/>
  <c r="BL359" i="19"/>
  <c r="B362" i="29" s="1"/>
  <c r="BH359" i="19"/>
  <c r="M359" i="11" s="1"/>
  <c r="BF359" i="19"/>
  <c r="J359" i="11" s="1"/>
  <c r="I359" i="11" s="1"/>
  <c r="BD359" i="19"/>
  <c r="BC359" i="19"/>
  <c r="X359" i="11" s="1"/>
  <c r="BA359" i="19"/>
  <c r="AZ359" i="19"/>
  <c r="BG359" i="11" s="1"/>
  <c r="BM358" i="19"/>
  <c r="BN358" i="19" s="1"/>
  <c r="D358" i="11" s="1"/>
  <c r="BL358" i="19"/>
  <c r="B361" i="29" s="1"/>
  <c r="BH358" i="19"/>
  <c r="M358" i="11" s="1"/>
  <c r="BF358" i="19"/>
  <c r="J358" i="11" s="1"/>
  <c r="I358" i="11" s="1"/>
  <c r="BD358" i="19"/>
  <c r="BC358" i="19"/>
  <c r="X358" i="11" s="1"/>
  <c r="BA358" i="19"/>
  <c r="AZ358" i="19"/>
  <c r="BG358" i="11" s="1"/>
  <c r="BM357" i="19"/>
  <c r="BN357" i="19" s="1"/>
  <c r="D357" i="11" s="1"/>
  <c r="BL357" i="19"/>
  <c r="B360" i="29" s="1"/>
  <c r="BH357" i="19"/>
  <c r="M357" i="11" s="1"/>
  <c r="BF357" i="19"/>
  <c r="J357" i="11" s="1"/>
  <c r="I357" i="11" s="1"/>
  <c r="BD357" i="19"/>
  <c r="BC357" i="19"/>
  <c r="X357" i="11" s="1"/>
  <c r="BA357" i="19"/>
  <c r="AZ357" i="19"/>
  <c r="BG357" i="11" s="1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A42" i="24"/>
  <c r="B42" i="24"/>
  <c r="A43" i="24"/>
  <c r="B43" i="24"/>
  <c r="A44" i="24"/>
  <c r="B44" i="24"/>
  <c r="A45" i="24"/>
  <c r="B45" i="24"/>
  <c r="A46" i="24"/>
  <c r="B46" i="24"/>
  <c r="A47" i="24"/>
  <c r="B47" i="24"/>
  <c r="A48" i="24"/>
  <c r="B48" i="24"/>
  <c r="A49" i="24"/>
  <c r="B49" i="24"/>
  <c r="A50" i="24"/>
  <c r="B50" i="24"/>
  <c r="A51" i="24"/>
  <c r="B51" i="24"/>
  <c r="A52" i="24"/>
  <c r="B52" i="24"/>
  <c r="A53" i="24"/>
  <c r="B53" i="24"/>
  <c r="A54" i="24"/>
  <c r="B54" i="24"/>
  <c r="A55" i="24"/>
  <c r="B55" i="24"/>
  <c r="A56" i="24"/>
  <c r="B56" i="24"/>
  <c r="A57" i="24"/>
  <c r="B57" i="24"/>
  <c r="A58" i="24"/>
  <c r="B58" i="24"/>
  <c r="A59" i="24"/>
  <c r="B59" i="24"/>
  <c r="A60" i="24"/>
  <c r="B60" i="24"/>
  <c r="A61" i="24"/>
  <c r="B61" i="24"/>
  <c r="A62" i="24"/>
  <c r="B62" i="24"/>
  <c r="A63" i="24"/>
  <c r="B63" i="24"/>
  <c r="A64" i="24"/>
  <c r="B64" i="24"/>
  <c r="A65" i="24"/>
  <c r="B65" i="24"/>
  <c r="A66" i="24"/>
  <c r="B66" i="24"/>
  <c r="A67" i="24"/>
  <c r="B67" i="24"/>
  <c r="A68" i="24"/>
  <c r="B68" i="24"/>
  <c r="A69" i="24"/>
  <c r="B69" i="24"/>
  <c r="A70" i="24"/>
  <c r="B70" i="24"/>
  <c r="A71" i="24"/>
  <c r="B71" i="24"/>
  <c r="A72" i="24"/>
  <c r="B72" i="24"/>
  <c r="A73" i="24"/>
  <c r="B73" i="24"/>
  <c r="A74" i="24"/>
  <c r="B74" i="24"/>
  <c r="A75" i="24"/>
  <c r="B75" i="24"/>
  <c r="A76" i="24"/>
  <c r="B76" i="24"/>
  <c r="A77" i="24"/>
  <c r="B77" i="24"/>
  <c r="A78" i="24"/>
  <c r="B78" i="24"/>
  <c r="A79" i="24"/>
  <c r="B79" i="24"/>
  <c r="A80" i="24"/>
  <c r="B80" i="24"/>
  <c r="A81" i="24"/>
  <c r="B81" i="24"/>
  <c r="A82" i="24"/>
  <c r="B82" i="24"/>
  <c r="A83" i="24"/>
  <c r="B83" i="24"/>
  <c r="A84" i="24"/>
  <c r="B84" i="24"/>
  <c r="A85" i="24"/>
  <c r="B85" i="24"/>
  <c r="A86" i="24"/>
  <c r="B86" i="24"/>
  <c r="A87" i="24"/>
  <c r="B87" i="24"/>
  <c r="A88" i="24"/>
  <c r="B88" i="24"/>
  <c r="A89" i="24"/>
  <c r="B89" i="24"/>
  <c r="A90" i="24"/>
  <c r="B90" i="24"/>
  <c r="A91" i="24"/>
  <c r="B91" i="24"/>
  <c r="A92" i="24"/>
  <c r="B92" i="24"/>
  <c r="A93" i="24"/>
  <c r="B93" i="24"/>
  <c r="A94" i="24"/>
  <c r="B94" i="24"/>
  <c r="A95" i="24"/>
  <c r="B95" i="24"/>
  <c r="A96" i="24"/>
  <c r="B96" i="24"/>
  <c r="A97" i="24"/>
  <c r="B97" i="24"/>
  <c r="A98" i="24"/>
  <c r="B98" i="24"/>
  <c r="A99" i="24"/>
  <c r="B99" i="24"/>
  <c r="A100" i="24"/>
  <c r="B100" i="24"/>
  <c r="A101" i="24"/>
  <c r="B101" i="24"/>
  <c r="A102" i="24"/>
  <c r="B102" i="24"/>
  <c r="A103" i="24"/>
  <c r="B103" i="24"/>
  <c r="A104" i="24"/>
  <c r="B104" i="24"/>
  <c r="A105" i="24"/>
  <c r="B105" i="24"/>
  <c r="A106" i="24"/>
  <c r="B106" i="24"/>
  <c r="A107" i="24"/>
  <c r="B107" i="24"/>
  <c r="A108" i="24"/>
  <c r="B108" i="24"/>
  <c r="A109" i="24"/>
  <c r="B109" i="24"/>
  <c r="A110" i="24"/>
  <c r="B110" i="24"/>
  <c r="A111" i="24"/>
  <c r="B111" i="24"/>
  <c r="A112" i="24"/>
  <c r="B112" i="24"/>
  <c r="A113" i="24"/>
  <c r="B113" i="24"/>
  <c r="A114" i="24"/>
  <c r="B114" i="24"/>
  <c r="A115" i="24"/>
  <c r="B115" i="24"/>
  <c r="A116" i="24"/>
  <c r="B116" i="24"/>
  <c r="A117" i="24"/>
  <c r="B117" i="24"/>
  <c r="A118" i="24"/>
  <c r="B118" i="24"/>
  <c r="A119" i="24"/>
  <c r="B119" i="24"/>
  <c r="A120" i="24"/>
  <c r="B120" i="24"/>
  <c r="A121" i="24"/>
  <c r="B121" i="24"/>
  <c r="A122" i="24"/>
  <c r="B122" i="24"/>
  <c r="A123" i="24"/>
  <c r="B123" i="24"/>
  <c r="A124" i="24"/>
  <c r="B124" i="24"/>
  <c r="A125" i="24"/>
  <c r="B125" i="24"/>
  <c r="A126" i="24"/>
  <c r="B126" i="24"/>
  <c r="A127" i="24"/>
  <c r="B127" i="24"/>
  <c r="A128" i="24"/>
  <c r="B128" i="24"/>
  <c r="A129" i="24"/>
  <c r="B129" i="24"/>
  <c r="A130" i="24"/>
  <c r="B130" i="24"/>
  <c r="A131" i="24"/>
  <c r="B131" i="24"/>
  <c r="A132" i="24"/>
  <c r="B132" i="24"/>
  <c r="A133" i="24"/>
  <c r="B133" i="24"/>
  <c r="A134" i="24"/>
  <c r="B134" i="24"/>
  <c r="A135" i="24"/>
  <c r="B135" i="24"/>
  <c r="A136" i="24"/>
  <c r="B136" i="24"/>
  <c r="A137" i="24"/>
  <c r="B137" i="24"/>
  <c r="A138" i="24"/>
  <c r="B138" i="24"/>
  <c r="A139" i="24"/>
  <c r="B139" i="24"/>
  <c r="A140" i="24"/>
  <c r="B140" i="24"/>
  <c r="A141" i="24"/>
  <c r="B141" i="24"/>
  <c r="A142" i="24"/>
  <c r="B142" i="24"/>
  <c r="A143" i="24"/>
  <c r="B143" i="24"/>
  <c r="A144" i="24"/>
  <c r="B144" i="24"/>
  <c r="A145" i="24"/>
  <c r="B145" i="24"/>
  <c r="A146" i="24"/>
  <c r="B146" i="24"/>
  <c r="A147" i="24"/>
  <c r="B147" i="24"/>
  <c r="A148" i="24"/>
  <c r="B148" i="24"/>
  <c r="A149" i="24"/>
  <c r="B149" i="24"/>
  <c r="A150" i="24"/>
  <c r="B150" i="24"/>
  <c r="A151" i="24"/>
  <c r="B151" i="24"/>
  <c r="A152" i="24"/>
  <c r="B152" i="24"/>
  <c r="A153" i="24"/>
  <c r="B153" i="24"/>
  <c r="A154" i="24"/>
  <c r="B154" i="24"/>
  <c r="A155" i="24"/>
  <c r="B155" i="24"/>
  <c r="A156" i="24"/>
  <c r="B156" i="24"/>
  <c r="A157" i="24"/>
  <c r="B157" i="24"/>
  <c r="A158" i="24"/>
  <c r="B158" i="24"/>
  <c r="A159" i="24"/>
  <c r="B159" i="24"/>
  <c r="A160" i="24"/>
  <c r="B160" i="24"/>
  <c r="A161" i="24"/>
  <c r="B161" i="24"/>
  <c r="A162" i="24"/>
  <c r="B162" i="24"/>
  <c r="A163" i="24"/>
  <c r="B163" i="24"/>
  <c r="A164" i="24"/>
  <c r="B164" i="24"/>
  <c r="A165" i="24"/>
  <c r="B165" i="24"/>
  <c r="A166" i="24"/>
  <c r="B166" i="24"/>
  <c r="A167" i="24"/>
  <c r="B167" i="24"/>
  <c r="A168" i="24"/>
  <c r="B168" i="24"/>
  <c r="A169" i="24"/>
  <c r="B169" i="24"/>
  <c r="A170" i="24"/>
  <c r="B170" i="24"/>
  <c r="A171" i="24"/>
  <c r="B171" i="24"/>
  <c r="A172" i="24"/>
  <c r="B172" i="24"/>
  <c r="A173" i="24"/>
  <c r="B173" i="24"/>
  <c r="A174" i="24"/>
  <c r="B174" i="24"/>
  <c r="A175" i="24"/>
  <c r="B175" i="24"/>
  <c r="A176" i="24"/>
  <c r="B176" i="24"/>
  <c r="A177" i="24"/>
  <c r="B177" i="24"/>
  <c r="A178" i="24"/>
  <c r="B178" i="24"/>
  <c r="A179" i="24"/>
  <c r="B179" i="24"/>
  <c r="A180" i="24"/>
  <c r="B180" i="24"/>
  <c r="A181" i="24"/>
  <c r="B181" i="24"/>
  <c r="A182" i="24"/>
  <c r="B182" i="24"/>
  <c r="A183" i="24"/>
  <c r="B183" i="24"/>
  <c r="A184" i="24"/>
  <c r="B184" i="24"/>
  <c r="A185" i="24"/>
  <c r="B185" i="24"/>
  <c r="A186" i="24"/>
  <c r="B186" i="24"/>
  <c r="A187" i="24"/>
  <c r="B187" i="24"/>
  <c r="A188" i="24"/>
  <c r="B188" i="24"/>
  <c r="A189" i="24"/>
  <c r="B189" i="24"/>
  <c r="A190" i="24"/>
  <c r="B190" i="24"/>
  <c r="A191" i="24"/>
  <c r="B191" i="24"/>
  <c r="A192" i="24"/>
  <c r="B192" i="24"/>
  <c r="A193" i="24"/>
  <c r="B193" i="24"/>
  <c r="A194" i="24"/>
  <c r="B194" i="24"/>
  <c r="A195" i="24"/>
  <c r="B195" i="24"/>
  <c r="A196" i="24"/>
  <c r="B196" i="24"/>
  <c r="A197" i="24"/>
  <c r="B197" i="24"/>
  <c r="A198" i="24"/>
  <c r="B198" i="24"/>
  <c r="A199" i="24"/>
  <c r="B199" i="24"/>
  <c r="A200" i="24"/>
  <c r="B200" i="24"/>
  <c r="A201" i="24"/>
  <c r="B201" i="24"/>
  <c r="A202" i="24"/>
  <c r="B202" i="24"/>
  <c r="A203" i="24"/>
  <c r="B203" i="24"/>
  <c r="B5" i="24"/>
  <c r="A5" i="24"/>
  <c r="V203" i="24"/>
  <c r="T203" i="24"/>
  <c r="D203" i="24"/>
  <c r="V202" i="24"/>
  <c r="T202" i="24"/>
  <c r="D202" i="24"/>
  <c r="V201" i="24"/>
  <c r="T201" i="24"/>
  <c r="D201" i="24"/>
  <c r="V200" i="24"/>
  <c r="T200" i="24"/>
  <c r="D200" i="24"/>
  <c r="V199" i="24"/>
  <c r="T199" i="24"/>
  <c r="D199" i="24"/>
  <c r="V198" i="24"/>
  <c r="T198" i="24"/>
  <c r="D198" i="24"/>
  <c r="V197" i="24"/>
  <c r="T197" i="24"/>
  <c r="D197" i="24"/>
  <c r="V196" i="24"/>
  <c r="T196" i="24"/>
  <c r="D196" i="24"/>
  <c r="V195" i="24"/>
  <c r="T195" i="24"/>
  <c r="D195" i="24"/>
  <c r="V194" i="24"/>
  <c r="T194" i="24"/>
  <c r="D194" i="24"/>
  <c r="V193" i="24"/>
  <c r="T193" i="24"/>
  <c r="D193" i="24"/>
  <c r="V192" i="24"/>
  <c r="T192" i="24"/>
  <c r="D192" i="24"/>
  <c r="V191" i="24"/>
  <c r="T191" i="24"/>
  <c r="D191" i="24"/>
  <c r="V190" i="24"/>
  <c r="T190" i="24"/>
  <c r="D190" i="24"/>
  <c r="V189" i="24"/>
  <c r="T189" i="24"/>
  <c r="D189" i="24"/>
  <c r="V188" i="24"/>
  <c r="T188" i="24"/>
  <c r="D188" i="24"/>
  <c r="V187" i="24"/>
  <c r="T187" i="24"/>
  <c r="D187" i="24"/>
  <c r="V186" i="24"/>
  <c r="T186" i="24"/>
  <c r="D186" i="24"/>
  <c r="V185" i="24"/>
  <c r="T185" i="24"/>
  <c r="D185" i="24"/>
  <c r="V184" i="24"/>
  <c r="T184" i="24"/>
  <c r="D184" i="24"/>
  <c r="V183" i="24"/>
  <c r="T183" i="24"/>
  <c r="D183" i="24"/>
  <c r="V182" i="24"/>
  <c r="T182" i="24"/>
  <c r="D182" i="24"/>
  <c r="V181" i="24"/>
  <c r="T181" i="24"/>
  <c r="D181" i="24"/>
  <c r="V180" i="24"/>
  <c r="T180" i="24"/>
  <c r="D180" i="24"/>
  <c r="V179" i="24"/>
  <c r="T179" i="24"/>
  <c r="D179" i="24"/>
  <c r="V178" i="24"/>
  <c r="T178" i="24"/>
  <c r="D178" i="24"/>
  <c r="V177" i="24"/>
  <c r="T177" i="24"/>
  <c r="D177" i="24"/>
  <c r="V176" i="24"/>
  <c r="T176" i="24"/>
  <c r="D176" i="24"/>
  <c r="V175" i="24"/>
  <c r="T175" i="24"/>
  <c r="D175" i="24"/>
  <c r="V174" i="24"/>
  <c r="T174" i="24"/>
  <c r="D174" i="24"/>
  <c r="V173" i="24"/>
  <c r="T173" i="24"/>
  <c r="D173" i="24"/>
  <c r="V172" i="24"/>
  <c r="T172" i="24"/>
  <c r="D172" i="24"/>
  <c r="V171" i="24"/>
  <c r="T171" i="24"/>
  <c r="D171" i="24"/>
  <c r="V170" i="24"/>
  <c r="T170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B363" i="29" l="1"/>
  <c r="B66" i="29"/>
  <c r="P357" i="11"/>
  <c r="Z357" i="11"/>
  <c r="L357" i="11"/>
  <c r="P358" i="11"/>
  <c r="Z358" i="11"/>
  <c r="P359" i="11"/>
  <c r="Z359" i="11"/>
  <c r="AP359" i="11"/>
  <c r="P360" i="11"/>
  <c r="Z360" i="11"/>
  <c r="BB360" i="19"/>
  <c r="L360" i="11"/>
  <c r="AP361" i="11"/>
  <c r="P361" i="11"/>
  <c r="BB361" i="19"/>
  <c r="Q361" i="11" s="1"/>
  <c r="P362" i="11"/>
  <c r="AP362" i="11"/>
  <c r="L362" i="11"/>
  <c r="BB362" i="19"/>
  <c r="Q362" i="11" s="1"/>
  <c r="BB357" i="19"/>
  <c r="Q357" i="11" s="1"/>
  <c r="L359" i="11"/>
  <c r="Z362" i="11"/>
  <c r="L358" i="11"/>
  <c r="Z361" i="11"/>
  <c r="AP360" i="11"/>
  <c r="AP358" i="11"/>
  <c r="AP357" i="11"/>
  <c r="BB359" i="19"/>
  <c r="Q359" i="11" s="1"/>
  <c r="P363" i="11"/>
  <c r="L363" i="11"/>
  <c r="AP363" i="11"/>
  <c r="Z363" i="11"/>
  <c r="BB358" i="19"/>
  <c r="Q358" i="11" s="1"/>
  <c r="L361" i="11"/>
  <c r="Q360" i="11"/>
  <c r="Q363" i="11"/>
  <c r="P363" i="29"/>
  <c r="BV363" i="11"/>
  <c r="O363" i="29"/>
  <c r="BU363" i="11"/>
  <c r="C363" i="29"/>
  <c r="A363" i="29"/>
  <c r="BN363" i="19"/>
  <c r="D363" i="11" s="1"/>
  <c r="BE358" i="19"/>
  <c r="P361" i="29"/>
  <c r="O361" i="29"/>
  <c r="C361" i="29"/>
  <c r="A361" i="29"/>
  <c r="BE359" i="19"/>
  <c r="P362" i="29"/>
  <c r="A362" i="29"/>
  <c r="C362" i="29"/>
  <c r="O362" i="29"/>
  <c r="P66" i="29"/>
  <c r="C66" i="29"/>
  <c r="A66" i="29"/>
  <c r="BE357" i="19"/>
  <c r="A360" i="29"/>
  <c r="P360" i="29"/>
  <c r="C360" i="29"/>
  <c r="O360" i="29"/>
  <c r="P2" i="26"/>
  <c r="Z2" i="26" s="1"/>
  <c r="BU362" i="11"/>
  <c r="C358" i="20"/>
  <c r="O358" i="20"/>
  <c r="BU361" i="11"/>
  <c r="B359" i="20"/>
  <c r="BV360" i="11"/>
  <c r="BU360" i="11"/>
  <c r="A357" i="20"/>
  <c r="B357" i="20"/>
  <c r="P358" i="20"/>
  <c r="C357" i="20"/>
  <c r="A359" i="20"/>
  <c r="BU357" i="11"/>
  <c r="O357" i="20"/>
  <c r="BU358" i="11"/>
  <c r="P357" i="20"/>
  <c r="C359" i="20"/>
  <c r="A358" i="20"/>
  <c r="O359" i="20"/>
  <c r="BV362" i="11"/>
  <c r="BV361" i="11"/>
  <c r="B358" i="20"/>
  <c r="P359" i="20"/>
  <c r="BV358" i="11"/>
  <c r="BV357" i="11"/>
  <c r="BV359" i="11"/>
  <c r="BU359" i="1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A200" i="18"/>
  <c r="P199" i="18"/>
  <c r="O199" i="18"/>
  <c r="C199" i="18"/>
  <c r="A199" i="18"/>
  <c r="P198" i="18"/>
  <c r="O198" i="18"/>
  <c r="C198" i="18"/>
  <c r="A198" i="18"/>
  <c r="P197" i="18"/>
  <c r="O197" i="18"/>
  <c r="C197" i="18"/>
  <c r="A197" i="18"/>
  <c r="P196" i="18"/>
  <c r="O196" i="18"/>
  <c r="C196" i="18"/>
  <c r="A196" i="18"/>
  <c r="P195" i="18"/>
  <c r="O195" i="18"/>
  <c r="C195" i="18"/>
  <c r="A195" i="18"/>
  <c r="P194" i="18"/>
  <c r="O194" i="18"/>
  <c r="C194" i="18"/>
  <c r="A194" i="18"/>
  <c r="P193" i="18"/>
  <c r="O193" i="18"/>
  <c r="C193" i="18"/>
  <c r="A193" i="18"/>
  <c r="P192" i="18"/>
  <c r="O192" i="18"/>
  <c r="C192" i="18"/>
  <c r="A192" i="18"/>
  <c r="P191" i="18"/>
  <c r="O191" i="18"/>
  <c r="C191" i="18"/>
  <c r="A191" i="18"/>
  <c r="P190" i="18"/>
  <c r="O190" i="18"/>
  <c r="C190" i="18"/>
  <c r="A190" i="18"/>
  <c r="P189" i="18"/>
  <c r="O189" i="18"/>
  <c r="C189" i="18"/>
  <c r="A189" i="18"/>
  <c r="P188" i="18"/>
  <c r="O188" i="18"/>
  <c r="C188" i="18"/>
  <c r="A188" i="18"/>
  <c r="P187" i="18"/>
  <c r="O187" i="18"/>
  <c r="C187" i="18"/>
  <c r="A187" i="18"/>
  <c r="P186" i="18"/>
  <c r="O186" i="18"/>
  <c r="C186" i="18"/>
  <c r="A186" i="18"/>
  <c r="P185" i="18"/>
  <c r="O185" i="18"/>
  <c r="C185" i="18"/>
  <c r="A185" i="18"/>
  <c r="P184" i="18"/>
  <c r="O184" i="18"/>
  <c r="C184" i="18"/>
  <c r="A184" i="18"/>
  <c r="P183" i="18"/>
  <c r="O183" i="18"/>
  <c r="C183" i="18"/>
  <c r="A183" i="18"/>
  <c r="P182" i="18"/>
  <c r="O182" i="18"/>
  <c r="C182" i="18"/>
  <c r="A182" i="18"/>
  <c r="P181" i="18"/>
  <c r="O181" i="18"/>
  <c r="C181" i="18"/>
  <c r="A181" i="18"/>
  <c r="P180" i="18"/>
  <c r="O180" i="18"/>
  <c r="C180" i="18"/>
  <c r="A180" i="18"/>
  <c r="P179" i="18"/>
  <c r="O179" i="18"/>
  <c r="C179" i="18"/>
  <c r="A179" i="18"/>
  <c r="P178" i="18"/>
  <c r="O178" i="18"/>
  <c r="C178" i="18"/>
  <c r="A178" i="18"/>
  <c r="P177" i="18"/>
  <c r="O177" i="18"/>
  <c r="C177" i="18"/>
  <c r="A177" i="18"/>
  <c r="P176" i="18"/>
  <c r="O176" i="18"/>
  <c r="C176" i="18"/>
  <c r="A176" i="18"/>
  <c r="P175" i="18"/>
  <c r="O175" i="18"/>
  <c r="C175" i="18"/>
  <c r="A175" i="18"/>
  <c r="P174" i="18"/>
  <c r="O174" i="18"/>
  <c r="C174" i="18"/>
  <c r="A174" i="18"/>
  <c r="P173" i="18"/>
  <c r="O173" i="18"/>
  <c r="C173" i="18"/>
  <c r="A173" i="18"/>
  <c r="P172" i="18"/>
  <c r="O172" i="18"/>
  <c r="C172" i="18"/>
  <c r="A172" i="18"/>
  <c r="P171" i="18"/>
  <c r="O171" i="18"/>
  <c r="C171" i="18"/>
  <c r="A171" i="18"/>
  <c r="P170" i="18"/>
  <c r="O170" i="18"/>
  <c r="C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358" i="29" s="1"/>
  <c r="BL356" i="19"/>
  <c r="B359" i="29" s="1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H206" i="12" l="1"/>
  <c r="B206" i="29"/>
  <c r="H192" i="12"/>
  <c r="B192" i="29"/>
  <c r="H178" i="12"/>
  <c r="B178" i="29"/>
  <c r="H164" i="12"/>
  <c r="B164" i="29"/>
  <c r="H150" i="12"/>
  <c r="B150" i="29"/>
  <c r="H136" i="12"/>
  <c r="B136" i="29"/>
  <c r="H122" i="12"/>
  <c r="B122" i="29"/>
  <c r="H108" i="12"/>
  <c r="B108" i="29"/>
  <c r="H94" i="12"/>
  <c r="B94" i="29"/>
  <c r="H80" i="12"/>
  <c r="B80" i="29"/>
  <c r="H65" i="12"/>
  <c r="B65" i="29"/>
  <c r="H51" i="12"/>
  <c r="B51" i="29"/>
  <c r="H37" i="12"/>
  <c r="B37" i="29"/>
  <c r="H23" i="12"/>
  <c r="B23" i="29"/>
  <c r="H9" i="12"/>
  <c r="B9" i="29"/>
  <c r="H191" i="12"/>
  <c r="B191" i="29"/>
  <c r="H177" i="12"/>
  <c r="B177" i="29"/>
  <c r="H163" i="12"/>
  <c r="B163" i="29"/>
  <c r="H149" i="12"/>
  <c r="B149" i="29"/>
  <c r="H135" i="12"/>
  <c r="B135" i="29"/>
  <c r="H121" i="12"/>
  <c r="B121" i="29"/>
  <c r="H107" i="12"/>
  <c r="B107" i="29"/>
  <c r="H93" i="12"/>
  <c r="B93" i="29"/>
  <c r="H79" i="12"/>
  <c r="B79" i="29"/>
  <c r="H64" i="12"/>
  <c r="B64" i="29"/>
  <c r="H50" i="12"/>
  <c r="B50" i="29"/>
  <c r="H36" i="12"/>
  <c r="B36" i="29"/>
  <c r="H22" i="12"/>
  <c r="B22" i="29"/>
  <c r="H8" i="12"/>
  <c r="B8" i="29"/>
  <c r="H204" i="12"/>
  <c r="B204" i="29"/>
  <c r="H190" i="12"/>
  <c r="B190" i="29"/>
  <c r="H176" i="12"/>
  <c r="B176" i="29"/>
  <c r="H162" i="12"/>
  <c r="B162" i="29"/>
  <c r="H148" i="12"/>
  <c r="B148" i="29"/>
  <c r="H134" i="12"/>
  <c r="B134" i="29"/>
  <c r="H120" i="12"/>
  <c r="B120" i="29"/>
  <c r="H106" i="12"/>
  <c r="B106" i="29"/>
  <c r="H92" i="12"/>
  <c r="B92" i="29"/>
  <c r="H78" i="12"/>
  <c r="B78" i="29"/>
  <c r="H63" i="12"/>
  <c r="B63" i="29"/>
  <c r="H49" i="12"/>
  <c r="B49" i="29"/>
  <c r="H35" i="12"/>
  <c r="B35" i="29"/>
  <c r="H21" i="12"/>
  <c r="B21" i="29"/>
  <c r="H7" i="12"/>
  <c r="B7" i="29"/>
  <c r="H217" i="12"/>
  <c r="B217" i="29"/>
  <c r="H203" i="12"/>
  <c r="B203" i="29"/>
  <c r="H189" i="12"/>
  <c r="B189" i="29"/>
  <c r="H175" i="12"/>
  <c r="B175" i="29"/>
  <c r="H161" i="12"/>
  <c r="B161" i="29"/>
  <c r="H147" i="12"/>
  <c r="B147" i="29"/>
  <c r="H133" i="12"/>
  <c r="B133" i="29"/>
  <c r="H119" i="12"/>
  <c r="B119" i="29"/>
  <c r="H105" i="12"/>
  <c r="B105" i="29"/>
  <c r="H91" i="12"/>
  <c r="B91" i="29"/>
  <c r="H77" i="12"/>
  <c r="B77" i="29"/>
  <c r="H62" i="12"/>
  <c r="B62" i="29"/>
  <c r="H48" i="12"/>
  <c r="B48" i="29"/>
  <c r="H34" i="12"/>
  <c r="B34" i="29"/>
  <c r="H20" i="12"/>
  <c r="B20" i="29"/>
  <c r="H6" i="12"/>
  <c r="B6" i="29"/>
  <c r="H355" i="12"/>
  <c r="B355" i="29"/>
  <c r="H341" i="12"/>
  <c r="B341" i="29"/>
  <c r="H327" i="12"/>
  <c r="B327" i="29"/>
  <c r="H313" i="12"/>
  <c r="B313" i="29"/>
  <c r="H299" i="12"/>
  <c r="B299" i="29"/>
  <c r="H285" i="12"/>
  <c r="B285" i="29"/>
  <c r="H271" i="12"/>
  <c r="B271" i="29"/>
  <c r="H257" i="12"/>
  <c r="B257" i="29"/>
  <c r="H243" i="12"/>
  <c r="B243" i="29"/>
  <c r="H354" i="12"/>
  <c r="B354" i="29"/>
  <c r="H340" i="12"/>
  <c r="B340" i="29"/>
  <c r="H326" i="12"/>
  <c r="B326" i="29"/>
  <c r="H312" i="12"/>
  <c r="B312" i="29"/>
  <c r="H298" i="12"/>
  <c r="B298" i="29"/>
  <c r="H284" i="12"/>
  <c r="B284" i="29"/>
  <c r="H270" i="12"/>
  <c r="B270" i="29"/>
  <c r="H256" i="12"/>
  <c r="B256" i="29"/>
  <c r="H242" i="12"/>
  <c r="B242" i="29"/>
  <c r="H353" i="12"/>
  <c r="B353" i="29"/>
  <c r="H339" i="12"/>
  <c r="B339" i="29"/>
  <c r="H325" i="12"/>
  <c r="B325" i="29"/>
  <c r="H311" i="12"/>
  <c r="B311" i="29"/>
  <c r="H297" i="12"/>
  <c r="B297" i="29"/>
  <c r="H283" i="12"/>
  <c r="B283" i="29"/>
  <c r="H269" i="12"/>
  <c r="B269" i="29"/>
  <c r="H255" i="12"/>
  <c r="B255" i="29"/>
  <c r="H241" i="12"/>
  <c r="B241" i="29"/>
  <c r="H352" i="12"/>
  <c r="B352" i="29"/>
  <c r="H338" i="12"/>
  <c r="B338" i="29"/>
  <c r="H324" i="12"/>
  <c r="B324" i="29"/>
  <c r="H310" i="12"/>
  <c r="B310" i="29"/>
  <c r="H296" i="12"/>
  <c r="B296" i="29"/>
  <c r="H282" i="12"/>
  <c r="B282" i="29"/>
  <c r="H268" i="12"/>
  <c r="B268" i="29"/>
  <c r="H254" i="12"/>
  <c r="B254" i="29"/>
  <c r="H240" i="12"/>
  <c r="B240" i="29"/>
  <c r="H226" i="12"/>
  <c r="B226" i="29"/>
  <c r="H351" i="12"/>
  <c r="B351" i="29"/>
  <c r="H337" i="12"/>
  <c r="B337" i="29"/>
  <c r="H323" i="12"/>
  <c r="B323" i="29"/>
  <c r="H309" i="12"/>
  <c r="B309" i="29"/>
  <c r="H295" i="12"/>
  <c r="B295" i="29"/>
  <c r="H281" i="12"/>
  <c r="B281" i="29"/>
  <c r="H267" i="12"/>
  <c r="B267" i="29"/>
  <c r="H253" i="12"/>
  <c r="B253" i="29"/>
  <c r="H239" i="12"/>
  <c r="B239" i="29"/>
  <c r="H350" i="12"/>
  <c r="B350" i="29"/>
  <c r="H336" i="12"/>
  <c r="B336" i="29"/>
  <c r="H322" i="12"/>
  <c r="B322" i="29"/>
  <c r="H308" i="12"/>
  <c r="B308" i="29"/>
  <c r="H294" i="12"/>
  <c r="B294" i="29"/>
  <c r="H280" i="12"/>
  <c r="B280" i="29"/>
  <c r="H266" i="12"/>
  <c r="B266" i="29"/>
  <c r="H252" i="12"/>
  <c r="B252" i="29"/>
  <c r="H238" i="12"/>
  <c r="B238" i="29"/>
  <c r="H349" i="12"/>
  <c r="B349" i="29"/>
  <c r="H335" i="12"/>
  <c r="B335" i="29"/>
  <c r="H321" i="12"/>
  <c r="B321" i="29"/>
  <c r="H307" i="12"/>
  <c r="B307" i="29"/>
  <c r="H293" i="12"/>
  <c r="B293" i="29"/>
  <c r="H279" i="12"/>
  <c r="B279" i="29"/>
  <c r="H265" i="12"/>
  <c r="B265" i="29"/>
  <c r="H251" i="12"/>
  <c r="B251" i="29"/>
  <c r="H237" i="12"/>
  <c r="B237" i="29"/>
  <c r="H223" i="12"/>
  <c r="B223" i="29"/>
  <c r="H348" i="12"/>
  <c r="B348" i="29"/>
  <c r="H334" i="12"/>
  <c r="B334" i="29"/>
  <c r="H320" i="12"/>
  <c r="B320" i="29"/>
  <c r="H306" i="12"/>
  <c r="B306" i="29"/>
  <c r="H292" i="12"/>
  <c r="B292" i="29"/>
  <c r="H278" i="12"/>
  <c r="B278" i="29"/>
  <c r="H264" i="12"/>
  <c r="B264" i="29"/>
  <c r="H250" i="12"/>
  <c r="B250" i="29"/>
  <c r="H236" i="12"/>
  <c r="B236" i="29"/>
  <c r="H222" i="12"/>
  <c r="B222" i="29"/>
  <c r="H347" i="12"/>
  <c r="B347" i="29"/>
  <c r="H333" i="12"/>
  <c r="B333" i="29"/>
  <c r="H319" i="12"/>
  <c r="B319" i="29"/>
  <c r="H305" i="12"/>
  <c r="B305" i="29"/>
  <c r="H291" i="12"/>
  <c r="B291" i="29"/>
  <c r="H277" i="12"/>
  <c r="B277" i="29"/>
  <c r="H263" i="12"/>
  <c r="B263" i="29"/>
  <c r="H249" i="12"/>
  <c r="B249" i="29"/>
  <c r="H235" i="12"/>
  <c r="B235" i="29"/>
  <c r="H5" i="12"/>
  <c r="B5" i="29"/>
  <c r="H346" i="12"/>
  <c r="B346" i="29"/>
  <c r="H332" i="12"/>
  <c r="B332" i="29"/>
  <c r="H318" i="12"/>
  <c r="B318" i="29"/>
  <c r="H304" i="12"/>
  <c r="B304" i="29"/>
  <c r="H290" i="12"/>
  <c r="B290" i="29"/>
  <c r="H276" i="12"/>
  <c r="B276" i="29"/>
  <c r="H262" i="12"/>
  <c r="B262" i="29"/>
  <c r="H248" i="12"/>
  <c r="B248" i="29"/>
  <c r="H234" i="12"/>
  <c r="B234" i="29"/>
  <c r="H220" i="12"/>
  <c r="B220" i="29"/>
  <c r="H345" i="12"/>
  <c r="B345" i="29"/>
  <c r="H331" i="12"/>
  <c r="B331" i="29"/>
  <c r="H317" i="12"/>
  <c r="B317" i="29"/>
  <c r="H303" i="12"/>
  <c r="B303" i="29"/>
  <c r="H289" i="12"/>
  <c r="B289" i="29"/>
  <c r="H275" i="12"/>
  <c r="B275" i="29"/>
  <c r="H261" i="12"/>
  <c r="B261" i="29"/>
  <c r="H247" i="12"/>
  <c r="B247" i="29"/>
  <c r="H233" i="12"/>
  <c r="B233" i="29"/>
  <c r="H219" i="12"/>
  <c r="B219" i="29"/>
  <c r="H205" i="12"/>
  <c r="B205" i="29"/>
  <c r="H344" i="12"/>
  <c r="B344" i="29"/>
  <c r="H330" i="12"/>
  <c r="B330" i="29"/>
  <c r="H316" i="12"/>
  <c r="B316" i="29"/>
  <c r="H302" i="12"/>
  <c r="B302" i="29"/>
  <c r="H288" i="12"/>
  <c r="B288" i="29"/>
  <c r="H274" i="12"/>
  <c r="B274" i="29"/>
  <c r="H260" i="12"/>
  <c r="B260" i="29"/>
  <c r="H246" i="12"/>
  <c r="B246" i="29"/>
  <c r="H232" i="12"/>
  <c r="B232" i="29"/>
  <c r="H218" i="12"/>
  <c r="B218" i="29"/>
  <c r="H357" i="12"/>
  <c r="B357" i="29"/>
  <c r="H343" i="12"/>
  <c r="B343" i="29"/>
  <c r="H329" i="12"/>
  <c r="B329" i="29"/>
  <c r="H315" i="12"/>
  <c r="B315" i="29"/>
  <c r="H301" i="12"/>
  <c r="B301" i="29"/>
  <c r="H287" i="12"/>
  <c r="B287" i="29"/>
  <c r="H273" i="12"/>
  <c r="B273" i="29"/>
  <c r="H259" i="12"/>
  <c r="B259" i="29"/>
  <c r="H245" i="12"/>
  <c r="B245" i="29"/>
  <c r="H231" i="12"/>
  <c r="B231" i="29"/>
  <c r="H356" i="12"/>
  <c r="B356" i="29"/>
  <c r="H342" i="12"/>
  <c r="B342" i="29"/>
  <c r="H328" i="12"/>
  <c r="B328" i="29"/>
  <c r="H314" i="12"/>
  <c r="B314" i="29"/>
  <c r="H300" i="12"/>
  <c r="B300" i="29"/>
  <c r="H286" i="12"/>
  <c r="B286" i="29"/>
  <c r="H272" i="12"/>
  <c r="B272" i="29"/>
  <c r="H258" i="12"/>
  <c r="B258" i="29"/>
  <c r="H244" i="12"/>
  <c r="B244" i="29"/>
  <c r="H230" i="12"/>
  <c r="B230" i="29"/>
  <c r="H216" i="12"/>
  <c r="B216" i="29"/>
  <c r="H202" i="12"/>
  <c r="B202" i="29"/>
  <c r="H188" i="12"/>
  <c r="B188" i="29"/>
  <c r="H174" i="12"/>
  <c r="B174" i="29"/>
  <c r="H160" i="12"/>
  <c r="B160" i="29"/>
  <c r="H146" i="12"/>
  <c r="B146" i="29"/>
  <c r="H132" i="12"/>
  <c r="B132" i="29"/>
  <c r="H118" i="12"/>
  <c r="B118" i="29"/>
  <c r="H104" i="12"/>
  <c r="B104" i="29"/>
  <c r="H90" i="12"/>
  <c r="B90" i="29"/>
  <c r="H76" i="12"/>
  <c r="B76" i="29"/>
  <c r="H61" i="12"/>
  <c r="B61" i="29"/>
  <c r="H47" i="12"/>
  <c r="B47" i="29"/>
  <c r="H33" i="12"/>
  <c r="B33" i="29"/>
  <c r="H19" i="12"/>
  <c r="B19" i="29"/>
  <c r="H229" i="12"/>
  <c r="B229" i="29"/>
  <c r="H215" i="12"/>
  <c r="B215" i="29"/>
  <c r="H201" i="12"/>
  <c r="B201" i="29"/>
  <c r="H187" i="12"/>
  <c r="B187" i="29"/>
  <c r="H173" i="12"/>
  <c r="B173" i="29"/>
  <c r="H159" i="12"/>
  <c r="B159" i="29"/>
  <c r="H145" i="12"/>
  <c r="B145" i="29"/>
  <c r="H131" i="12"/>
  <c r="B131" i="29"/>
  <c r="H117" i="12"/>
  <c r="B117" i="29"/>
  <c r="H103" i="12"/>
  <c r="B103" i="29"/>
  <c r="H89" i="12"/>
  <c r="B89" i="29"/>
  <c r="H75" i="12"/>
  <c r="B75" i="29"/>
  <c r="H60" i="12"/>
  <c r="B60" i="29"/>
  <c r="H46" i="12"/>
  <c r="B46" i="29"/>
  <c r="H32" i="12"/>
  <c r="B32" i="29"/>
  <c r="H18" i="12"/>
  <c r="B18" i="29"/>
  <c r="H228" i="12"/>
  <c r="B228" i="29"/>
  <c r="H214" i="12"/>
  <c r="B214" i="29"/>
  <c r="H200" i="12"/>
  <c r="B200" i="29"/>
  <c r="H186" i="12"/>
  <c r="B186" i="29"/>
  <c r="H172" i="12"/>
  <c r="B172" i="29"/>
  <c r="H158" i="12"/>
  <c r="B158" i="29"/>
  <c r="H144" i="12"/>
  <c r="B144" i="29"/>
  <c r="H130" i="12"/>
  <c r="B130" i="29"/>
  <c r="H116" i="12"/>
  <c r="B116" i="29"/>
  <c r="H102" i="12"/>
  <c r="B102" i="29"/>
  <c r="H88" i="12"/>
  <c r="B88" i="29"/>
  <c r="H74" i="12"/>
  <c r="B74" i="29"/>
  <c r="H59" i="12"/>
  <c r="B59" i="29"/>
  <c r="H45" i="12"/>
  <c r="B45" i="29"/>
  <c r="H31" i="12"/>
  <c r="B31" i="29"/>
  <c r="H17" i="12"/>
  <c r="B17" i="29"/>
  <c r="H227" i="12"/>
  <c r="B227" i="29"/>
  <c r="H213" i="12"/>
  <c r="B213" i="29"/>
  <c r="H199" i="12"/>
  <c r="B199" i="29"/>
  <c r="H185" i="12"/>
  <c r="B185" i="29"/>
  <c r="H171" i="12"/>
  <c r="B171" i="29"/>
  <c r="H157" i="12"/>
  <c r="B157" i="29"/>
  <c r="H143" i="12"/>
  <c r="B143" i="29"/>
  <c r="H129" i="12"/>
  <c r="B129" i="29"/>
  <c r="H115" i="12"/>
  <c r="B115" i="29"/>
  <c r="H101" i="12"/>
  <c r="B101" i="29"/>
  <c r="H87" i="12"/>
  <c r="B87" i="29"/>
  <c r="H73" i="12"/>
  <c r="B73" i="29"/>
  <c r="H58" i="12"/>
  <c r="B58" i="29"/>
  <c r="H44" i="12"/>
  <c r="B44" i="29"/>
  <c r="H30" i="12"/>
  <c r="B30" i="29"/>
  <c r="H16" i="12"/>
  <c r="B16" i="29"/>
  <c r="H212" i="12"/>
  <c r="B212" i="29"/>
  <c r="H198" i="12"/>
  <c r="B198" i="29"/>
  <c r="H184" i="12"/>
  <c r="B184" i="29"/>
  <c r="H170" i="12"/>
  <c r="B170" i="29"/>
  <c r="H156" i="12"/>
  <c r="B156" i="29"/>
  <c r="H142" i="12"/>
  <c r="B142" i="29"/>
  <c r="H128" i="12"/>
  <c r="B128" i="29"/>
  <c r="H114" i="12"/>
  <c r="B114" i="29"/>
  <c r="H100" i="12"/>
  <c r="B100" i="29"/>
  <c r="H86" i="12"/>
  <c r="B86" i="29"/>
  <c r="H72" i="12"/>
  <c r="B72" i="29"/>
  <c r="H57" i="12"/>
  <c r="B57" i="29"/>
  <c r="H43" i="12"/>
  <c r="B43" i="29"/>
  <c r="H29" i="12"/>
  <c r="B29" i="29"/>
  <c r="H15" i="12"/>
  <c r="B15" i="29"/>
  <c r="H225" i="12"/>
  <c r="B225" i="29"/>
  <c r="H211" i="12"/>
  <c r="B211" i="29"/>
  <c r="H197" i="12"/>
  <c r="B197" i="29"/>
  <c r="H183" i="12"/>
  <c r="B183" i="29"/>
  <c r="H169" i="12"/>
  <c r="B169" i="29"/>
  <c r="H155" i="12"/>
  <c r="B155" i="29"/>
  <c r="H141" i="12"/>
  <c r="B141" i="29"/>
  <c r="H127" i="12"/>
  <c r="B127" i="29"/>
  <c r="H113" i="12"/>
  <c r="B113" i="29"/>
  <c r="H99" i="12"/>
  <c r="B99" i="29"/>
  <c r="H85" i="12"/>
  <c r="B85" i="29"/>
  <c r="H71" i="12"/>
  <c r="B71" i="29"/>
  <c r="H56" i="12"/>
  <c r="B56" i="29"/>
  <c r="H42" i="12"/>
  <c r="B42" i="29"/>
  <c r="H28" i="12"/>
  <c r="B28" i="29"/>
  <c r="H14" i="12"/>
  <c r="B14" i="29"/>
  <c r="H224" i="12"/>
  <c r="B224" i="29"/>
  <c r="H210" i="12"/>
  <c r="B210" i="29"/>
  <c r="H196" i="12"/>
  <c r="B196" i="29"/>
  <c r="H182" i="12"/>
  <c r="B182" i="29"/>
  <c r="H168" i="12"/>
  <c r="B168" i="29"/>
  <c r="H154" i="12"/>
  <c r="B154" i="29"/>
  <c r="H140" i="12"/>
  <c r="B140" i="29"/>
  <c r="H126" i="12"/>
  <c r="B126" i="29"/>
  <c r="H112" i="12"/>
  <c r="B112" i="29"/>
  <c r="H98" i="12"/>
  <c r="B98" i="29"/>
  <c r="H84" i="12"/>
  <c r="B84" i="29"/>
  <c r="H70" i="12"/>
  <c r="B70" i="29"/>
  <c r="H55" i="12"/>
  <c r="B55" i="29"/>
  <c r="H41" i="12"/>
  <c r="B41" i="29"/>
  <c r="H27" i="12"/>
  <c r="B27" i="29"/>
  <c r="H13" i="12"/>
  <c r="B13" i="29"/>
  <c r="H209" i="12"/>
  <c r="B209" i="29"/>
  <c r="H195" i="12"/>
  <c r="B195" i="29"/>
  <c r="H181" i="12"/>
  <c r="B181" i="29"/>
  <c r="H167" i="12"/>
  <c r="B167" i="29"/>
  <c r="H153" i="12"/>
  <c r="B153" i="29"/>
  <c r="H139" i="12"/>
  <c r="B139" i="29"/>
  <c r="H125" i="12"/>
  <c r="B125" i="29"/>
  <c r="H111" i="12"/>
  <c r="B111" i="29"/>
  <c r="H97" i="12"/>
  <c r="B97" i="29"/>
  <c r="H83" i="12"/>
  <c r="B83" i="29"/>
  <c r="H69" i="12"/>
  <c r="B69" i="29"/>
  <c r="H54" i="12"/>
  <c r="B54" i="29"/>
  <c r="H40" i="12"/>
  <c r="B40" i="29"/>
  <c r="H26" i="12"/>
  <c r="B26" i="29"/>
  <c r="H12" i="12"/>
  <c r="B12" i="29"/>
  <c r="H208" i="12"/>
  <c r="B208" i="29"/>
  <c r="H194" i="12"/>
  <c r="B194" i="29"/>
  <c r="H180" i="12"/>
  <c r="B180" i="29"/>
  <c r="H166" i="12"/>
  <c r="B166" i="29"/>
  <c r="H152" i="12"/>
  <c r="B152" i="29"/>
  <c r="H138" i="12"/>
  <c r="B138" i="29"/>
  <c r="H124" i="12"/>
  <c r="B124" i="29"/>
  <c r="H110" i="12"/>
  <c r="B110" i="29"/>
  <c r="H96" i="12"/>
  <c r="B96" i="29"/>
  <c r="H82" i="12"/>
  <c r="B82" i="29"/>
  <c r="H68" i="12"/>
  <c r="B68" i="29"/>
  <c r="H53" i="12"/>
  <c r="B53" i="29"/>
  <c r="H39" i="12"/>
  <c r="B39" i="29"/>
  <c r="H25" i="12"/>
  <c r="B25" i="29"/>
  <c r="H11" i="12"/>
  <c r="B11" i="29"/>
  <c r="H221" i="12"/>
  <c r="B221" i="29"/>
  <c r="H207" i="12"/>
  <c r="B207" i="29"/>
  <c r="H193" i="12"/>
  <c r="B193" i="29"/>
  <c r="H179" i="12"/>
  <c r="B179" i="29"/>
  <c r="H165" i="12"/>
  <c r="B165" i="29"/>
  <c r="H151" i="12"/>
  <c r="B151" i="29"/>
  <c r="H137" i="12"/>
  <c r="B137" i="29"/>
  <c r="H123" i="12"/>
  <c r="B123" i="29"/>
  <c r="H109" i="12"/>
  <c r="B109" i="29"/>
  <c r="H95" i="12"/>
  <c r="B95" i="29"/>
  <c r="H81" i="12"/>
  <c r="B81" i="29"/>
  <c r="H67" i="12"/>
  <c r="B67" i="29"/>
  <c r="H52" i="12"/>
  <c r="B52" i="29"/>
  <c r="H38" i="12"/>
  <c r="B38" i="29"/>
  <c r="H24" i="12"/>
  <c r="B24" i="29"/>
  <c r="H10" i="12"/>
  <c r="B10" i="29"/>
  <c r="I357" i="12"/>
  <c r="J357" i="12"/>
  <c r="AC357" i="12"/>
  <c r="C357" i="12"/>
  <c r="D357" i="12"/>
  <c r="P123" i="29"/>
  <c r="A123" i="29"/>
  <c r="O123" i="29"/>
  <c r="C123" i="29"/>
  <c r="P115" i="29"/>
  <c r="A115" i="29"/>
  <c r="O115" i="29"/>
  <c r="C115" i="29"/>
  <c r="P107" i="29"/>
  <c r="A107" i="29"/>
  <c r="O107" i="29"/>
  <c r="C107" i="29"/>
  <c r="P99" i="29"/>
  <c r="A99" i="29"/>
  <c r="O99" i="29"/>
  <c r="C99" i="29"/>
  <c r="P91" i="29"/>
  <c r="A91" i="29"/>
  <c r="O91" i="29"/>
  <c r="C91" i="29"/>
  <c r="P83" i="29"/>
  <c r="A83" i="29"/>
  <c r="O83" i="29"/>
  <c r="C83" i="29"/>
  <c r="P75" i="29"/>
  <c r="A75" i="29"/>
  <c r="O75" i="29"/>
  <c r="C75" i="29"/>
  <c r="P67" i="29"/>
  <c r="A67" i="29"/>
  <c r="O67" i="29"/>
  <c r="C67" i="29"/>
  <c r="P58" i="29"/>
  <c r="O58" i="29"/>
  <c r="C58" i="29"/>
  <c r="A58" i="29"/>
  <c r="P50" i="29"/>
  <c r="O50" i="29"/>
  <c r="C50" i="29"/>
  <c r="A50" i="29"/>
  <c r="P42" i="29"/>
  <c r="O42" i="29"/>
  <c r="C42" i="29"/>
  <c r="A42" i="29"/>
  <c r="P34" i="29"/>
  <c r="O34" i="29"/>
  <c r="C34" i="29"/>
  <c r="A34" i="29"/>
  <c r="P26" i="29"/>
  <c r="O26" i="29"/>
  <c r="C26" i="29"/>
  <c r="A26" i="29"/>
  <c r="P18" i="29"/>
  <c r="O18" i="29"/>
  <c r="C18" i="29"/>
  <c r="A18" i="29"/>
  <c r="P10" i="29"/>
  <c r="O10" i="29"/>
  <c r="C10" i="29"/>
  <c r="A10" i="29"/>
  <c r="P130" i="29"/>
  <c r="O130" i="29"/>
  <c r="C130" i="29"/>
  <c r="A130" i="29"/>
  <c r="P122" i="29"/>
  <c r="O122" i="29"/>
  <c r="C122" i="29"/>
  <c r="A122" i="29"/>
  <c r="P114" i="29"/>
  <c r="O114" i="29"/>
  <c r="C114" i="29"/>
  <c r="A114" i="29"/>
  <c r="P106" i="29"/>
  <c r="O106" i="29"/>
  <c r="C106" i="29"/>
  <c r="A106" i="29"/>
  <c r="P98" i="29"/>
  <c r="O98" i="29"/>
  <c r="C98" i="29"/>
  <c r="A98" i="29"/>
  <c r="P90" i="29"/>
  <c r="O90" i="29"/>
  <c r="C90" i="29"/>
  <c r="A90" i="29"/>
  <c r="P82" i="29"/>
  <c r="O82" i="29"/>
  <c r="C82" i="29"/>
  <c r="A82" i="29"/>
  <c r="P74" i="29"/>
  <c r="O74" i="29"/>
  <c r="C74" i="29"/>
  <c r="A74" i="29"/>
  <c r="P65" i="29"/>
  <c r="A65" i="29"/>
  <c r="O65" i="29"/>
  <c r="C65" i="29"/>
  <c r="P57" i="29"/>
  <c r="A57" i="29"/>
  <c r="O57" i="29"/>
  <c r="C57" i="29"/>
  <c r="P49" i="29"/>
  <c r="A49" i="29"/>
  <c r="O49" i="29"/>
  <c r="C49" i="29"/>
  <c r="P41" i="29"/>
  <c r="A41" i="29"/>
  <c r="O41" i="29"/>
  <c r="C41" i="29"/>
  <c r="P33" i="29"/>
  <c r="A33" i="29"/>
  <c r="O33" i="29"/>
  <c r="C33" i="29"/>
  <c r="P25" i="29"/>
  <c r="A25" i="29"/>
  <c r="O25" i="29"/>
  <c r="C25" i="29"/>
  <c r="P17" i="29"/>
  <c r="A17" i="29"/>
  <c r="O17" i="29"/>
  <c r="C17" i="29"/>
  <c r="P9" i="29"/>
  <c r="A9" i="29"/>
  <c r="O9" i="29"/>
  <c r="C9" i="29"/>
  <c r="P121" i="29"/>
  <c r="A121" i="29"/>
  <c r="O121" i="29"/>
  <c r="C121" i="29"/>
  <c r="P113" i="29"/>
  <c r="A113" i="29"/>
  <c r="O113" i="29"/>
  <c r="C113" i="29"/>
  <c r="P105" i="29"/>
  <c r="A105" i="29"/>
  <c r="O105" i="29"/>
  <c r="C105" i="29"/>
  <c r="P97" i="29"/>
  <c r="A97" i="29"/>
  <c r="O97" i="29"/>
  <c r="C97" i="29"/>
  <c r="P89" i="29"/>
  <c r="A89" i="29"/>
  <c r="O89" i="29"/>
  <c r="C89" i="29"/>
  <c r="P81" i="29"/>
  <c r="A81" i="29"/>
  <c r="O81" i="29"/>
  <c r="C81" i="29"/>
  <c r="P73" i="29"/>
  <c r="A73" i="29"/>
  <c r="O73" i="29"/>
  <c r="C73" i="29"/>
  <c r="P64" i="29"/>
  <c r="O64" i="29"/>
  <c r="C64" i="29"/>
  <c r="A64" i="29"/>
  <c r="P56" i="29"/>
  <c r="O56" i="29"/>
  <c r="C56" i="29"/>
  <c r="A56" i="29"/>
  <c r="P48" i="29"/>
  <c r="O48" i="29"/>
  <c r="C48" i="29"/>
  <c r="A48" i="29"/>
  <c r="P40" i="29"/>
  <c r="O40" i="29"/>
  <c r="C40" i="29"/>
  <c r="A40" i="29"/>
  <c r="P32" i="29"/>
  <c r="C32" i="29"/>
  <c r="A32" i="29"/>
  <c r="P24" i="29"/>
  <c r="O24" i="29"/>
  <c r="C24" i="29"/>
  <c r="A24" i="29"/>
  <c r="P16" i="29"/>
  <c r="O16" i="29"/>
  <c r="C16" i="29"/>
  <c r="A16" i="29"/>
  <c r="P8" i="29"/>
  <c r="O8" i="29"/>
  <c r="C8" i="29"/>
  <c r="A8" i="29"/>
  <c r="O351" i="29"/>
  <c r="P351" i="29"/>
  <c r="A351" i="29"/>
  <c r="C351" i="29"/>
  <c r="O343" i="29"/>
  <c r="A343" i="29"/>
  <c r="C343" i="29"/>
  <c r="P343" i="29"/>
  <c r="O335" i="29"/>
  <c r="P335" i="29"/>
  <c r="A335" i="29"/>
  <c r="C335" i="29"/>
  <c r="O327" i="29"/>
  <c r="A327" i="29"/>
  <c r="C327" i="29"/>
  <c r="P327" i="29"/>
  <c r="O319" i="29"/>
  <c r="P319" i="29"/>
  <c r="A319" i="29"/>
  <c r="C319" i="29"/>
  <c r="O303" i="29"/>
  <c r="P303" i="29"/>
  <c r="A303" i="29"/>
  <c r="C303" i="29"/>
  <c r="O295" i="29"/>
  <c r="A295" i="29"/>
  <c r="C295" i="29"/>
  <c r="P295" i="29"/>
  <c r="A358" i="29"/>
  <c r="C358" i="29"/>
  <c r="P358" i="29"/>
  <c r="O358" i="29"/>
  <c r="A350" i="29"/>
  <c r="C350" i="29"/>
  <c r="P350" i="29"/>
  <c r="O350" i="29"/>
  <c r="A342" i="29"/>
  <c r="C342" i="29"/>
  <c r="P342" i="29"/>
  <c r="O342" i="29"/>
  <c r="A334" i="29"/>
  <c r="C334" i="29"/>
  <c r="P334" i="29"/>
  <c r="O334" i="29"/>
  <c r="A326" i="29"/>
  <c r="C326" i="29"/>
  <c r="P326" i="29"/>
  <c r="O326" i="29"/>
  <c r="A318" i="29"/>
  <c r="C318" i="29"/>
  <c r="P318" i="29"/>
  <c r="O318" i="29"/>
  <c r="A310" i="29"/>
  <c r="C310" i="29"/>
  <c r="P310" i="29"/>
  <c r="O310" i="29"/>
  <c r="A302" i="29"/>
  <c r="C302" i="29"/>
  <c r="P302" i="29"/>
  <c r="O302" i="29"/>
  <c r="A294" i="29"/>
  <c r="C294" i="29"/>
  <c r="P294" i="29"/>
  <c r="O294" i="29"/>
  <c r="A286" i="29"/>
  <c r="C286" i="29"/>
  <c r="P286" i="29"/>
  <c r="O286" i="29"/>
  <c r="C278" i="29"/>
  <c r="A278" i="29"/>
  <c r="P278" i="29"/>
  <c r="O278" i="29"/>
  <c r="C270" i="29"/>
  <c r="P270" i="29"/>
  <c r="A270" i="29"/>
  <c r="O270" i="29"/>
  <c r="C262" i="29"/>
  <c r="A262" i="29"/>
  <c r="P262" i="29"/>
  <c r="O262" i="29"/>
  <c r="C254" i="29"/>
  <c r="P254" i="29"/>
  <c r="A254" i="29"/>
  <c r="O254" i="29"/>
  <c r="C246" i="29"/>
  <c r="A246" i="29"/>
  <c r="P246" i="29"/>
  <c r="O246" i="29"/>
  <c r="C238" i="29"/>
  <c r="P238" i="29"/>
  <c r="A238" i="29"/>
  <c r="O238" i="29"/>
  <c r="C230" i="29"/>
  <c r="A230" i="29"/>
  <c r="P230" i="29"/>
  <c r="O230" i="29"/>
  <c r="C222" i="29"/>
  <c r="P222" i="29"/>
  <c r="A222" i="29"/>
  <c r="O222" i="29"/>
  <c r="C214" i="29"/>
  <c r="A214" i="29"/>
  <c r="P214" i="29"/>
  <c r="O214" i="29"/>
  <c r="C206" i="29"/>
  <c r="P206" i="29"/>
  <c r="A206" i="29"/>
  <c r="O206" i="29"/>
  <c r="C198" i="29"/>
  <c r="A198" i="29"/>
  <c r="P198" i="29"/>
  <c r="O198" i="29"/>
  <c r="P190" i="29"/>
  <c r="O190" i="29"/>
  <c r="C190" i="29"/>
  <c r="A190" i="29"/>
  <c r="P182" i="29"/>
  <c r="O182" i="29"/>
  <c r="C182" i="29"/>
  <c r="A182" i="29"/>
  <c r="P174" i="29"/>
  <c r="O174" i="29"/>
  <c r="C174" i="29"/>
  <c r="A174" i="29"/>
  <c r="P166" i="29"/>
  <c r="O166" i="29"/>
  <c r="C166" i="29"/>
  <c r="A166" i="29"/>
  <c r="P158" i="29"/>
  <c r="O158" i="29"/>
  <c r="C158" i="29"/>
  <c r="A158" i="29"/>
  <c r="P150" i="29"/>
  <c r="O150" i="29"/>
  <c r="C150" i="29"/>
  <c r="A150" i="29"/>
  <c r="P142" i="29"/>
  <c r="O142" i="29"/>
  <c r="C142" i="29"/>
  <c r="A142" i="29"/>
  <c r="P134" i="29"/>
  <c r="O134" i="29"/>
  <c r="C134" i="29"/>
  <c r="A134" i="29"/>
  <c r="P126" i="29"/>
  <c r="O126" i="29"/>
  <c r="C126" i="29"/>
  <c r="A126" i="29"/>
  <c r="O357" i="29"/>
  <c r="C357" i="29"/>
  <c r="A357" i="29"/>
  <c r="P357" i="29"/>
  <c r="O349" i="29"/>
  <c r="C349" i="29"/>
  <c r="P349" i="29"/>
  <c r="A349" i="29"/>
  <c r="C341" i="29"/>
  <c r="A341" i="29"/>
  <c r="P341" i="29"/>
  <c r="O333" i="29"/>
  <c r="C333" i="29"/>
  <c r="P333" i="29"/>
  <c r="A333" i="29"/>
  <c r="O325" i="29"/>
  <c r="C325" i="29"/>
  <c r="A325" i="29"/>
  <c r="P325" i="29"/>
  <c r="O317" i="29"/>
  <c r="C317" i="29"/>
  <c r="P317" i="29"/>
  <c r="A317" i="29"/>
  <c r="O309" i="29"/>
  <c r="C309" i="29"/>
  <c r="A309" i="29"/>
  <c r="P309" i="29"/>
  <c r="O301" i="29"/>
  <c r="C301" i="29"/>
  <c r="P301" i="29"/>
  <c r="A301" i="29"/>
  <c r="O293" i="29"/>
  <c r="C293" i="29"/>
  <c r="A293" i="29"/>
  <c r="P293" i="29"/>
  <c r="O285" i="29"/>
  <c r="C285" i="29"/>
  <c r="P285" i="29"/>
  <c r="A285" i="29"/>
  <c r="A277" i="29"/>
  <c r="P277" i="29"/>
  <c r="O277" i="29"/>
  <c r="C277" i="29"/>
  <c r="P269" i="29"/>
  <c r="A269" i="29"/>
  <c r="O269" i="29"/>
  <c r="C269" i="29"/>
  <c r="A261" i="29"/>
  <c r="O261" i="29"/>
  <c r="C261" i="29"/>
  <c r="P261" i="29"/>
  <c r="P253" i="29"/>
  <c r="A253" i="29"/>
  <c r="O253" i="29"/>
  <c r="C253" i="29"/>
  <c r="A245" i="29"/>
  <c r="O245" i="29"/>
  <c r="C245" i="29"/>
  <c r="P245" i="29"/>
  <c r="P237" i="29"/>
  <c r="A237" i="29"/>
  <c r="O237" i="29"/>
  <c r="C237" i="29"/>
  <c r="A229" i="29"/>
  <c r="O229" i="29"/>
  <c r="C229" i="29"/>
  <c r="P229" i="29"/>
  <c r="P221" i="29"/>
  <c r="A221" i="29"/>
  <c r="O221" i="29"/>
  <c r="C221" i="29"/>
  <c r="A213" i="29"/>
  <c r="O213" i="29"/>
  <c r="C213" i="29"/>
  <c r="P213" i="29"/>
  <c r="P205" i="29"/>
  <c r="A205" i="29"/>
  <c r="O205" i="29"/>
  <c r="C205" i="29"/>
  <c r="A197" i="29"/>
  <c r="O197" i="29"/>
  <c r="P197" i="29"/>
  <c r="C197" i="29"/>
  <c r="P189" i="29"/>
  <c r="A189" i="29"/>
  <c r="O189" i="29"/>
  <c r="C189" i="29"/>
  <c r="A181" i="29"/>
  <c r="P181" i="29"/>
  <c r="O181" i="29"/>
  <c r="C181" i="29"/>
  <c r="P173" i="29"/>
  <c r="A173" i="29"/>
  <c r="O173" i="29"/>
  <c r="C173" i="29"/>
  <c r="P165" i="29"/>
  <c r="A165" i="29"/>
  <c r="O165" i="29"/>
  <c r="C165" i="29"/>
  <c r="P157" i="29"/>
  <c r="A157" i="29"/>
  <c r="O157" i="29"/>
  <c r="C157" i="29"/>
  <c r="P149" i="29"/>
  <c r="A149" i="29"/>
  <c r="O149" i="29"/>
  <c r="C149" i="29"/>
  <c r="P141" i="29"/>
  <c r="A141" i="29"/>
  <c r="O141" i="29"/>
  <c r="C141" i="29"/>
  <c r="A356" i="29"/>
  <c r="C356" i="29"/>
  <c r="O356" i="29"/>
  <c r="P356" i="29"/>
  <c r="A348" i="29"/>
  <c r="C348" i="29"/>
  <c r="P348" i="29"/>
  <c r="O348" i="29"/>
  <c r="A340" i="29"/>
  <c r="C340" i="29"/>
  <c r="O340" i="29"/>
  <c r="P340" i="29"/>
  <c r="A332" i="29"/>
  <c r="C332" i="29"/>
  <c r="P332" i="29"/>
  <c r="O332" i="29"/>
  <c r="A324" i="29"/>
  <c r="C324" i="29"/>
  <c r="P324" i="29"/>
  <c r="O324" i="29"/>
  <c r="A316" i="29"/>
  <c r="C316" i="29"/>
  <c r="P316" i="29"/>
  <c r="O316" i="29"/>
  <c r="A308" i="29"/>
  <c r="C308" i="29"/>
  <c r="P308" i="29"/>
  <c r="O308" i="29"/>
  <c r="A300" i="29"/>
  <c r="C300" i="29"/>
  <c r="P300" i="29"/>
  <c r="O300" i="29"/>
  <c r="A292" i="29"/>
  <c r="C292" i="29"/>
  <c r="P292" i="29"/>
  <c r="O292" i="29"/>
  <c r="A284" i="29"/>
  <c r="C284" i="29"/>
  <c r="P284" i="29"/>
  <c r="O284" i="29"/>
  <c r="C276" i="29"/>
  <c r="A276" i="29"/>
  <c r="O276" i="29"/>
  <c r="P276" i="29"/>
  <c r="P268" i="29"/>
  <c r="C268" i="29"/>
  <c r="A268" i="29"/>
  <c r="O268" i="29"/>
  <c r="C260" i="29"/>
  <c r="A260" i="29"/>
  <c r="O260" i="29"/>
  <c r="P260" i="29"/>
  <c r="P252" i="29"/>
  <c r="C252" i="29"/>
  <c r="A252" i="29"/>
  <c r="O252" i="29"/>
  <c r="C244" i="29"/>
  <c r="A244" i="29"/>
  <c r="P244" i="29"/>
  <c r="O244" i="29"/>
  <c r="P236" i="29"/>
  <c r="C236" i="29"/>
  <c r="A236" i="29"/>
  <c r="O236" i="29"/>
  <c r="C228" i="29"/>
  <c r="A228" i="29"/>
  <c r="P228" i="29"/>
  <c r="O228" i="29"/>
  <c r="P220" i="29"/>
  <c r="C220" i="29"/>
  <c r="A220" i="29"/>
  <c r="O220" i="29"/>
  <c r="C212" i="29"/>
  <c r="A212" i="29"/>
  <c r="P212" i="29"/>
  <c r="O212" i="29"/>
  <c r="P204" i="29"/>
  <c r="C204" i="29"/>
  <c r="A204" i="29"/>
  <c r="O204" i="29"/>
  <c r="C196" i="29"/>
  <c r="P196" i="29"/>
  <c r="A196" i="29"/>
  <c r="O196" i="29"/>
  <c r="P188" i="29"/>
  <c r="O188" i="29"/>
  <c r="C188" i="29"/>
  <c r="A188" i="29"/>
  <c r="O180" i="29"/>
  <c r="C180" i="29"/>
  <c r="P180" i="29"/>
  <c r="A180" i="29"/>
  <c r="P172" i="29"/>
  <c r="O172" i="29"/>
  <c r="C172" i="29"/>
  <c r="A172" i="29"/>
  <c r="O164" i="29"/>
  <c r="C164" i="29"/>
  <c r="P164" i="29"/>
  <c r="A164" i="29"/>
  <c r="P156" i="29"/>
  <c r="O156" i="29"/>
  <c r="C156" i="29"/>
  <c r="A156" i="29"/>
  <c r="O148" i="29"/>
  <c r="C148" i="29"/>
  <c r="P148" i="29"/>
  <c r="A148" i="29"/>
  <c r="P140" i="29"/>
  <c r="O140" i="29"/>
  <c r="C140" i="29"/>
  <c r="A140" i="29"/>
  <c r="O132" i="29"/>
  <c r="C132" i="29"/>
  <c r="P132" i="29"/>
  <c r="A132" i="29"/>
  <c r="P124" i="29"/>
  <c r="O124" i="29"/>
  <c r="C124" i="29"/>
  <c r="A124" i="29"/>
  <c r="O116" i="29"/>
  <c r="P116" i="29"/>
  <c r="C116" i="29"/>
  <c r="A116" i="29"/>
  <c r="P355" i="29"/>
  <c r="O355" i="29"/>
  <c r="A355" i="29"/>
  <c r="C355" i="29"/>
  <c r="P347" i="29"/>
  <c r="O347" i="29"/>
  <c r="A347" i="29"/>
  <c r="C347" i="29"/>
  <c r="P339" i="29"/>
  <c r="O339" i="29"/>
  <c r="A339" i="29"/>
  <c r="C339" i="29"/>
  <c r="P331" i="29"/>
  <c r="O331" i="29"/>
  <c r="A331" i="29"/>
  <c r="C331" i="29"/>
  <c r="P323" i="29"/>
  <c r="O323" i="29"/>
  <c r="A323" i="29"/>
  <c r="C323" i="29"/>
  <c r="P315" i="29"/>
  <c r="O315" i="29"/>
  <c r="A315" i="29"/>
  <c r="C315" i="29"/>
  <c r="P307" i="29"/>
  <c r="O307" i="29"/>
  <c r="A307" i="29"/>
  <c r="C307" i="29"/>
  <c r="P299" i="29"/>
  <c r="O299" i="29"/>
  <c r="A299" i="29"/>
  <c r="C299" i="29"/>
  <c r="P291" i="29"/>
  <c r="O291" i="29"/>
  <c r="A291" i="29"/>
  <c r="C291" i="29"/>
  <c r="P283" i="29"/>
  <c r="A283" i="29"/>
  <c r="O283" i="29"/>
  <c r="C283" i="29"/>
  <c r="P275" i="29"/>
  <c r="A275" i="29"/>
  <c r="C275" i="29"/>
  <c r="O275" i="29"/>
  <c r="P267" i="29"/>
  <c r="A267" i="29"/>
  <c r="O267" i="29"/>
  <c r="C267" i="29"/>
  <c r="P259" i="29"/>
  <c r="A259" i="29"/>
  <c r="O259" i="29"/>
  <c r="C259" i="29"/>
  <c r="P251" i="29"/>
  <c r="A251" i="29"/>
  <c r="O251" i="29"/>
  <c r="C251" i="29"/>
  <c r="P243" i="29"/>
  <c r="A243" i="29"/>
  <c r="O243" i="29"/>
  <c r="C243" i="29"/>
  <c r="P235" i="29"/>
  <c r="A235" i="29"/>
  <c r="O235" i="29"/>
  <c r="C235" i="29"/>
  <c r="P227" i="29"/>
  <c r="A227" i="29"/>
  <c r="O227" i="29"/>
  <c r="C227" i="29"/>
  <c r="P219" i="29"/>
  <c r="A219" i="29"/>
  <c r="O219" i="29"/>
  <c r="C219" i="29"/>
  <c r="P211" i="29"/>
  <c r="A211" i="29"/>
  <c r="O211" i="29"/>
  <c r="C211" i="29"/>
  <c r="P203" i="29"/>
  <c r="A203" i="29"/>
  <c r="O203" i="29"/>
  <c r="C203" i="29"/>
  <c r="P195" i="29"/>
  <c r="A195" i="29"/>
  <c r="C195" i="29"/>
  <c r="O195" i="29"/>
  <c r="P187" i="29"/>
  <c r="A187" i="29"/>
  <c r="O187" i="29"/>
  <c r="C187" i="29"/>
  <c r="P179" i="29"/>
  <c r="A179" i="29"/>
  <c r="O179" i="29"/>
  <c r="C179" i="29"/>
  <c r="P171" i="29"/>
  <c r="A171" i="29"/>
  <c r="O171" i="29"/>
  <c r="C171" i="29"/>
  <c r="P163" i="29"/>
  <c r="A163" i="29"/>
  <c r="O163" i="29"/>
  <c r="C163" i="29"/>
  <c r="P155" i="29"/>
  <c r="A155" i="29"/>
  <c r="O155" i="29"/>
  <c r="C155" i="29"/>
  <c r="P147" i="29"/>
  <c r="A147" i="29"/>
  <c r="O147" i="29"/>
  <c r="C147" i="29"/>
  <c r="P139" i="29"/>
  <c r="A139" i="29"/>
  <c r="O139" i="29"/>
  <c r="C139" i="29"/>
  <c r="P131" i="29"/>
  <c r="A131" i="29"/>
  <c r="O131" i="29"/>
  <c r="C131" i="29"/>
  <c r="P354" i="29"/>
  <c r="A354" i="29"/>
  <c r="C354" i="29"/>
  <c r="O354" i="29"/>
  <c r="P346" i="29"/>
  <c r="A346" i="29"/>
  <c r="C346" i="29"/>
  <c r="O346" i="29"/>
  <c r="P338" i="29"/>
  <c r="A338" i="29"/>
  <c r="C338" i="29"/>
  <c r="O338" i="29"/>
  <c r="P330" i="29"/>
  <c r="A330" i="29"/>
  <c r="C330" i="29"/>
  <c r="O330" i="29"/>
  <c r="P322" i="29"/>
  <c r="A322" i="29"/>
  <c r="C322" i="29"/>
  <c r="O322" i="29"/>
  <c r="P314" i="29"/>
  <c r="A314" i="29"/>
  <c r="C314" i="29"/>
  <c r="O314" i="29"/>
  <c r="P306" i="29"/>
  <c r="A306" i="29"/>
  <c r="C306" i="29"/>
  <c r="O306" i="29"/>
  <c r="P298" i="29"/>
  <c r="A298" i="29"/>
  <c r="C298" i="29"/>
  <c r="O298" i="29"/>
  <c r="P290" i="29"/>
  <c r="A290" i="29"/>
  <c r="C290" i="29"/>
  <c r="O290" i="29"/>
  <c r="P282" i="29"/>
  <c r="C282" i="29"/>
  <c r="O282" i="29"/>
  <c r="A282" i="29"/>
  <c r="P274" i="29"/>
  <c r="C274" i="29"/>
  <c r="A274" i="29"/>
  <c r="O274" i="29"/>
  <c r="P266" i="29"/>
  <c r="C266" i="29"/>
  <c r="A266" i="29"/>
  <c r="O266" i="29"/>
  <c r="P258" i="29"/>
  <c r="C258" i="29"/>
  <c r="A258" i="29"/>
  <c r="O258" i="29"/>
  <c r="P250" i="29"/>
  <c r="C250" i="29"/>
  <c r="A250" i="29"/>
  <c r="O250" i="29"/>
  <c r="P242" i="29"/>
  <c r="C242" i="29"/>
  <c r="A242" i="29"/>
  <c r="O242" i="29"/>
  <c r="P234" i="29"/>
  <c r="C234" i="29"/>
  <c r="A234" i="29"/>
  <c r="O234" i="29"/>
  <c r="P226" i="29"/>
  <c r="C226" i="29"/>
  <c r="A226" i="29"/>
  <c r="O226" i="29"/>
  <c r="P218" i="29"/>
  <c r="C218" i="29"/>
  <c r="A218" i="29"/>
  <c r="O218" i="29"/>
  <c r="P210" i="29"/>
  <c r="C210" i="29"/>
  <c r="A210" i="29"/>
  <c r="O210" i="29"/>
  <c r="P202" i="29"/>
  <c r="C202" i="29"/>
  <c r="A202" i="29"/>
  <c r="O202" i="29"/>
  <c r="P194" i="29"/>
  <c r="C194" i="29"/>
  <c r="O194" i="29"/>
  <c r="A194" i="29"/>
  <c r="P186" i="29"/>
  <c r="O186" i="29"/>
  <c r="C186" i="29"/>
  <c r="A186" i="29"/>
  <c r="P178" i="29"/>
  <c r="O178" i="29"/>
  <c r="C178" i="29"/>
  <c r="A178" i="29"/>
  <c r="P170" i="29"/>
  <c r="O170" i="29"/>
  <c r="C170" i="29"/>
  <c r="A170" i="29"/>
  <c r="P162" i="29"/>
  <c r="O162" i="29"/>
  <c r="C162" i="29"/>
  <c r="A162" i="29"/>
  <c r="P154" i="29"/>
  <c r="O154" i="29"/>
  <c r="C154" i="29"/>
  <c r="A154" i="29"/>
  <c r="P146" i="29"/>
  <c r="O146" i="29"/>
  <c r="C146" i="29"/>
  <c r="A146" i="29"/>
  <c r="P138" i="29"/>
  <c r="O138" i="29"/>
  <c r="C138" i="29"/>
  <c r="A138" i="29"/>
  <c r="P353" i="29"/>
  <c r="O353" i="29"/>
  <c r="C353" i="29"/>
  <c r="A353" i="29"/>
  <c r="P345" i="29"/>
  <c r="O345" i="29"/>
  <c r="C345" i="29"/>
  <c r="A345" i="29"/>
  <c r="P337" i="29"/>
  <c r="O337" i="29"/>
  <c r="C337" i="29"/>
  <c r="A337" i="29"/>
  <c r="P329" i="29"/>
  <c r="O329" i="29"/>
  <c r="C329" i="29"/>
  <c r="A329" i="29"/>
  <c r="P321" i="29"/>
  <c r="O321" i="29"/>
  <c r="C321" i="29"/>
  <c r="A321" i="29"/>
  <c r="P313" i="29"/>
  <c r="O313" i="29"/>
  <c r="C313" i="29"/>
  <c r="A313" i="29"/>
  <c r="P305" i="29"/>
  <c r="O305" i="29"/>
  <c r="C305" i="29"/>
  <c r="A305" i="29"/>
  <c r="P297" i="29"/>
  <c r="O297" i="29"/>
  <c r="C297" i="29"/>
  <c r="A297" i="29"/>
  <c r="P289" i="29"/>
  <c r="O289" i="29"/>
  <c r="C289" i="29"/>
  <c r="A289" i="29"/>
  <c r="P281" i="29"/>
  <c r="A281" i="29"/>
  <c r="O281" i="29"/>
  <c r="C281" i="29"/>
  <c r="P273" i="29"/>
  <c r="A273" i="29"/>
  <c r="O273" i="29"/>
  <c r="C273" i="29"/>
  <c r="P265" i="29"/>
  <c r="A265" i="29"/>
  <c r="O265" i="29"/>
  <c r="C265" i="29"/>
  <c r="P257" i="29"/>
  <c r="A257" i="29"/>
  <c r="O257" i="29"/>
  <c r="C257" i="29"/>
  <c r="P249" i="29"/>
  <c r="A249" i="29"/>
  <c r="O249" i="29"/>
  <c r="C249" i="29"/>
  <c r="P241" i="29"/>
  <c r="A241" i="29"/>
  <c r="O241" i="29"/>
  <c r="C241" i="29"/>
  <c r="P233" i="29"/>
  <c r="A233" i="29"/>
  <c r="O233" i="29"/>
  <c r="C233" i="29"/>
  <c r="P225" i="29"/>
  <c r="A225" i="29"/>
  <c r="O225" i="29"/>
  <c r="C225" i="29"/>
  <c r="P217" i="29"/>
  <c r="A217" i="29"/>
  <c r="O217" i="29"/>
  <c r="C217" i="29"/>
  <c r="P209" i="29"/>
  <c r="A209" i="29"/>
  <c r="O209" i="29"/>
  <c r="C209" i="29"/>
  <c r="P201" i="29"/>
  <c r="A201" i="29"/>
  <c r="O201" i="29"/>
  <c r="C201" i="29"/>
  <c r="P193" i="29"/>
  <c r="A193" i="29"/>
  <c r="O193" i="29"/>
  <c r="C193" i="29"/>
  <c r="P185" i="29"/>
  <c r="A185" i="29"/>
  <c r="O185" i="29"/>
  <c r="C185" i="29"/>
  <c r="P177" i="29"/>
  <c r="A177" i="29"/>
  <c r="O177" i="29"/>
  <c r="C177" i="29"/>
  <c r="P169" i="29"/>
  <c r="A169" i="29"/>
  <c r="O169" i="29"/>
  <c r="C169" i="29"/>
  <c r="P161" i="29"/>
  <c r="A161" i="29"/>
  <c r="O161" i="29"/>
  <c r="C161" i="29"/>
  <c r="P153" i="29"/>
  <c r="A153" i="29"/>
  <c r="O153" i="29"/>
  <c r="C153" i="29"/>
  <c r="P145" i="29"/>
  <c r="A145" i="29"/>
  <c r="O145" i="29"/>
  <c r="C145" i="29"/>
  <c r="P137" i="29"/>
  <c r="A137" i="29"/>
  <c r="O137" i="29"/>
  <c r="C137" i="29"/>
  <c r="P129" i="29"/>
  <c r="A129" i="29"/>
  <c r="O129" i="29"/>
  <c r="C129" i="29"/>
  <c r="P5" i="29"/>
  <c r="C5" i="29"/>
  <c r="AC5" i="27"/>
  <c r="O5" i="29"/>
  <c r="A5" i="29"/>
  <c r="J5" i="27"/>
  <c r="I5" i="27"/>
  <c r="D5" i="27"/>
  <c r="C5" i="27"/>
  <c r="A352" i="29"/>
  <c r="P352" i="29"/>
  <c r="C352" i="29"/>
  <c r="O352" i="29"/>
  <c r="A344" i="29"/>
  <c r="P344" i="29"/>
  <c r="C344" i="29"/>
  <c r="O344" i="29"/>
  <c r="A336" i="29"/>
  <c r="P336" i="29"/>
  <c r="C336" i="29"/>
  <c r="O336" i="29"/>
  <c r="A328" i="29"/>
  <c r="P328" i="29"/>
  <c r="C328" i="29"/>
  <c r="O328" i="29"/>
  <c r="A320" i="29"/>
  <c r="P320" i="29"/>
  <c r="C320" i="29"/>
  <c r="O320" i="29"/>
  <c r="A312" i="29"/>
  <c r="P312" i="29"/>
  <c r="C312" i="29"/>
  <c r="O312" i="29"/>
  <c r="A304" i="29"/>
  <c r="P304" i="29"/>
  <c r="C304" i="29"/>
  <c r="O304" i="29"/>
  <c r="A296" i="29"/>
  <c r="P296" i="29"/>
  <c r="C296" i="29"/>
  <c r="O296" i="29"/>
  <c r="A288" i="29"/>
  <c r="P288" i="29"/>
  <c r="C288" i="29"/>
  <c r="O288" i="29"/>
  <c r="P280" i="29"/>
  <c r="C280" i="29"/>
  <c r="A280" i="29"/>
  <c r="O280" i="29"/>
  <c r="P272" i="29"/>
  <c r="C272" i="29"/>
  <c r="A272" i="29"/>
  <c r="O272" i="29"/>
  <c r="P264" i="29"/>
  <c r="C264" i="29"/>
  <c r="A264" i="29"/>
  <c r="O264" i="29"/>
  <c r="P256" i="29"/>
  <c r="C256" i="29"/>
  <c r="A256" i="29"/>
  <c r="O256" i="29"/>
  <c r="P248" i="29"/>
  <c r="C248" i="29"/>
  <c r="A248" i="29"/>
  <c r="O248" i="29"/>
  <c r="P240" i="29"/>
  <c r="C240" i="29"/>
  <c r="A240" i="29"/>
  <c r="O240" i="29"/>
  <c r="P232" i="29"/>
  <c r="C232" i="29"/>
  <c r="A232" i="29"/>
  <c r="O232" i="29"/>
  <c r="P224" i="29"/>
  <c r="C224" i="29"/>
  <c r="A224" i="29"/>
  <c r="O224" i="29"/>
  <c r="P216" i="29"/>
  <c r="C216" i="29"/>
  <c r="A216" i="29"/>
  <c r="O216" i="29"/>
  <c r="P208" i="29"/>
  <c r="C208" i="29"/>
  <c r="A208" i="29"/>
  <c r="O208" i="29"/>
  <c r="P200" i="29"/>
  <c r="C200" i="29"/>
  <c r="A200" i="29"/>
  <c r="O200" i="29"/>
  <c r="P192" i="29"/>
  <c r="C192" i="29"/>
  <c r="O192" i="29"/>
  <c r="A192" i="29"/>
  <c r="P184" i="29"/>
  <c r="O184" i="29"/>
  <c r="C184" i="29"/>
  <c r="A184" i="29"/>
  <c r="P176" i="29"/>
  <c r="O176" i="29"/>
  <c r="C176" i="29"/>
  <c r="A176" i="29"/>
  <c r="P168" i="29"/>
  <c r="O168" i="29"/>
  <c r="C168" i="29"/>
  <c r="A168" i="29"/>
  <c r="P160" i="29"/>
  <c r="O160" i="29"/>
  <c r="C160" i="29"/>
  <c r="A160" i="29"/>
  <c r="P152" i="29"/>
  <c r="O152" i="29"/>
  <c r="C152" i="29"/>
  <c r="A152" i="29"/>
  <c r="P144" i="29"/>
  <c r="O144" i="29"/>
  <c r="C144" i="29"/>
  <c r="A144" i="29"/>
  <c r="P136" i="29"/>
  <c r="O136" i="29"/>
  <c r="C136" i="29"/>
  <c r="A136" i="29"/>
  <c r="P128" i="29"/>
  <c r="O128" i="29"/>
  <c r="C128" i="29"/>
  <c r="A128" i="29"/>
  <c r="P120" i="29"/>
  <c r="O120" i="29"/>
  <c r="C120" i="29"/>
  <c r="A120" i="29"/>
  <c r="P112" i="29"/>
  <c r="O112" i="29"/>
  <c r="C112" i="29"/>
  <c r="A112" i="29"/>
  <c r="P104" i="29"/>
  <c r="O104" i="29"/>
  <c r="C104" i="29"/>
  <c r="A104" i="29"/>
  <c r="P96" i="29"/>
  <c r="O96" i="29"/>
  <c r="C96" i="29"/>
  <c r="A96" i="29"/>
  <c r="P88" i="29"/>
  <c r="O88" i="29"/>
  <c r="C88" i="29"/>
  <c r="A88" i="29"/>
  <c r="P80" i="29"/>
  <c r="O80" i="29"/>
  <c r="C80" i="29"/>
  <c r="A80" i="29"/>
  <c r="P72" i="29"/>
  <c r="O72" i="29"/>
  <c r="C72" i="29"/>
  <c r="A72" i="29"/>
  <c r="P63" i="29"/>
  <c r="A63" i="29"/>
  <c r="C63" i="29"/>
  <c r="O63" i="29"/>
  <c r="P55" i="29"/>
  <c r="A55" i="29"/>
  <c r="O55" i="29"/>
  <c r="C55" i="29"/>
  <c r="P47" i="29"/>
  <c r="A47" i="29"/>
  <c r="C47" i="29"/>
  <c r="O47" i="29"/>
  <c r="P39" i="29"/>
  <c r="A39" i="29"/>
  <c r="O39" i="29"/>
  <c r="C39" i="29"/>
  <c r="A31" i="29"/>
  <c r="C31" i="29"/>
  <c r="P31" i="29"/>
  <c r="O31" i="29"/>
  <c r="P23" i="29"/>
  <c r="A23" i="29"/>
  <c r="O23" i="29"/>
  <c r="C23" i="29"/>
  <c r="P15" i="29"/>
  <c r="A15" i="29"/>
  <c r="C15" i="29"/>
  <c r="O15" i="29"/>
  <c r="P7" i="29"/>
  <c r="A7" i="29"/>
  <c r="O7" i="29"/>
  <c r="C7" i="29"/>
  <c r="O359" i="29"/>
  <c r="A359" i="29"/>
  <c r="P359" i="29"/>
  <c r="C359" i="29"/>
  <c r="O311" i="29"/>
  <c r="A311" i="29"/>
  <c r="C311" i="29"/>
  <c r="P311" i="29"/>
  <c r="O287" i="29"/>
  <c r="P287" i="29"/>
  <c r="A287" i="29"/>
  <c r="C287" i="29"/>
  <c r="A279" i="29"/>
  <c r="P279" i="29"/>
  <c r="O279" i="29"/>
  <c r="C279" i="29"/>
  <c r="P271" i="29"/>
  <c r="A271" i="29"/>
  <c r="O271" i="29"/>
  <c r="C271" i="29"/>
  <c r="A263" i="29"/>
  <c r="C263" i="29"/>
  <c r="O263" i="29"/>
  <c r="P263" i="29"/>
  <c r="P255" i="29"/>
  <c r="A255" i="29"/>
  <c r="O255" i="29"/>
  <c r="C255" i="29"/>
  <c r="A247" i="29"/>
  <c r="P247" i="29"/>
  <c r="O247" i="29"/>
  <c r="C247" i="29"/>
  <c r="P239" i="29"/>
  <c r="A239" i="29"/>
  <c r="O239" i="29"/>
  <c r="C239" i="29"/>
  <c r="A231" i="29"/>
  <c r="P231" i="29"/>
  <c r="O231" i="29"/>
  <c r="C231" i="29"/>
  <c r="P223" i="29"/>
  <c r="A223" i="29"/>
  <c r="O223" i="29"/>
  <c r="C223" i="29"/>
  <c r="A215" i="29"/>
  <c r="P215" i="29"/>
  <c r="O215" i="29"/>
  <c r="C215" i="29"/>
  <c r="P207" i="29"/>
  <c r="A207" i="29"/>
  <c r="O207" i="29"/>
  <c r="C207" i="29"/>
  <c r="A199" i="29"/>
  <c r="P199" i="29"/>
  <c r="O199" i="29"/>
  <c r="C199" i="29"/>
  <c r="P191" i="29"/>
  <c r="A191" i="29"/>
  <c r="O191" i="29"/>
  <c r="C191" i="29"/>
  <c r="P183" i="29"/>
  <c r="A183" i="29"/>
  <c r="O183" i="29"/>
  <c r="C183" i="29"/>
  <c r="P175" i="29"/>
  <c r="A175" i="29"/>
  <c r="O175" i="29"/>
  <c r="C175" i="29"/>
  <c r="A167" i="29"/>
  <c r="O167" i="29"/>
  <c r="C167" i="29"/>
  <c r="P167" i="29"/>
  <c r="P159" i="29"/>
  <c r="A159" i="29"/>
  <c r="O159" i="29"/>
  <c r="C159" i="29"/>
  <c r="P151" i="29"/>
  <c r="A151" i="29"/>
  <c r="O151" i="29"/>
  <c r="C151" i="29"/>
  <c r="P143" i="29"/>
  <c r="A143" i="29"/>
  <c r="O143" i="29"/>
  <c r="C143" i="29"/>
  <c r="A135" i="29"/>
  <c r="O135" i="29"/>
  <c r="C135" i="29"/>
  <c r="P135" i="29"/>
  <c r="P127" i="29"/>
  <c r="A127" i="29"/>
  <c r="O127" i="29"/>
  <c r="C127" i="29"/>
  <c r="P119" i="29"/>
  <c r="A119" i="29"/>
  <c r="O119" i="29"/>
  <c r="C119" i="29"/>
  <c r="P111" i="29"/>
  <c r="A111" i="29"/>
  <c r="O111" i="29"/>
  <c r="C111" i="29"/>
  <c r="P103" i="29"/>
  <c r="A103" i="29"/>
  <c r="O103" i="29"/>
  <c r="C103" i="29"/>
  <c r="P95" i="29"/>
  <c r="A95" i="29"/>
  <c r="C95" i="29"/>
  <c r="O95" i="29"/>
  <c r="A87" i="29"/>
  <c r="P87" i="29"/>
  <c r="O87" i="29"/>
  <c r="C87" i="29"/>
  <c r="P79" i="29"/>
  <c r="A79" i="29"/>
  <c r="C79" i="29"/>
  <c r="O79" i="29"/>
  <c r="P71" i="29"/>
  <c r="A71" i="29"/>
  <c r="O71" i="29"/>
  <c r="C71" i="29"/>
  <c r="P62" i="29"/>
  <c r="O62" i="29"/>
  <c r="C62" i="29"/>
  <c r="A62" i="29"/>
  <c r="P54" i="29"/>
  <c r="O54" i="29"/>
  <c r="C54" i="29"/>
  <c r="A54" i="29"/>
  <c r="P46" i="29"/>
  <c r="O46" i="29"/>
  <c r="C46" i="29"/>
  <c r="A46" i="29"/>
  <c r="P38" i="29"/>
  <c r="O38" i="29"/>
  <c r="C38" i="29"/>
  <c r="A38" i="29"/>
  <c r="O30" i="29"/>
  <c r="C30" i="29"/>
  <c r="P30" i="29"/>
  <c r="A30" i="29"/>
  <c r="P22" i="29"/>
  <c r="O22" i="29"/>
  <c r="C22" i="29"/>
  <c r="A22" i="29"/>
  <c r="P14" i="29"/>
  <c r="O14" i="29"/>
  <c r="C14" i="29"/>
  <c r="A14" i="29"/>
  <c r="P6" i="29"/>
  <c r="O6" i="29"/>
  <c r="C6" i="29"/>
  <c r="A6" i="29"/>
  <c r="P118" i="29"/>
  <c r="O118" i="29"/>
  <c r="C118" i="29"/>
  <c r="A118" i="29"/>
  <c r="P110" i="29"/>
  <c r="O110" i="29"/>
  <c r="C110" i="29"/>
  <c r="A110" i="29"/>
  <c r="P102" i="29"/>
  <c r="O102" i="29"/>
  <c r="C102" i="29"/>
  <c r="A102" i="29"/>
  <c r="P94" i="29"/>
  <c r="O94" i="29"/>
  <c r="C94" i="29"/>
  <c r="A94" i="29"/>
  <c r="P86" i="29"/>
  <c r="O86" i="29"/>
  <c r="C86" i="29"/>
  <c r="A86" i="29"/>
  <c r="P78" i="29"/>
  <c r="O78" i="29"/>
  <c r="C78" i="29"/>
  <c r="A78" i="29"/>
  <c r="P70" i="29"/>
  <c r="O70" i="29"/>
  <c r="C70" i="29"/>
  <c r="A70" i="29"/>
  <c r="P61" i="29"/>
  <c r="A61" i="29"/>
  <c r="O61" i="29"/>
  <c r="C61" i="29"/>
  <c r="P53" i="29"/>
  <c r="A53" i="29"/>
  <c r="O53" i="29"/>
  <c r="C53" i="29"/>
  <c r="P45" i="29"/>
  <c r="A45" i="29"/>
  <c r="O45" i="29"/>
  <c r="C45" i="29"/>
  <c r="P37" i="29"/>
  <c r="A37" i="29"/>
  <c r="O37" i="29"/>
  <c r="C37" i="29"/>
  <c r="P29" i="29"/>
  <c r="A29" i="29"/>
  <c r="O29" i="29"/>
  <c r="C29" i="29"/>
  <c r="P21" i="29"/>
  <c r="A21" i="29"/>
  <c r="O21" i="29"/>
  <c r="C21" i="29"/>
  <c r="P13" i="29"/>
  <c r="A13" i="29"/>
  <c r="O13" i="29"/>
  <c r="C13" i="29"/>
  <c r="A133" i="29"/>
  <c r="P133" i="29"/>
  <c r="O133" i="29"/>
  <c r="C133" i="29"/>
  <c r="P125" i="29"/>
  <c r="A125" i="29"/>
  <c r="O125" i="29"/>
  <c r="C125" i="29"/>
  <c r="P117" i="29"/>
  <c r="A117" i="29"/>
  <c r="O117" i="29"/>
  <c r="C117" i="29"/>
  <c r="P109" i="29"/>
  <c r="A109" i="29"/>
  <c r="O109" i="29"/>
  <c r="C109" i="29"/>
  <c r="P101" i="29"/>
  <c r="A101" i="29"/>
  <c r="O101" i="29"/>
  <c r="C101" i="29"/>
  <c r="P93" i="29"/>
  <c r="A93" i="29"/>
  <c r="O93" i="29"/>
  <c r="C93" i="29"/>
  <c r="P85" i="29"/>
  <c r="A85" i="29"/>
  <c r="O85" i="29"/>
  <c r="C85" i="29"/>
  <c r="P77" i="29"/>
  <c r="A77" i="29"/>
  <c r="O77" i="29"/>
  <c r="C77" i="29"/>
  <c r="P69" i="29"/>
  <c r="A69" i="29"/>
  <c r="O69" i="29"/>
  <c r="C69" i="29"/>
  <c r="P60" i="29"/>
  <c r="O60" i="29"/>
  <c r="C60" i="29"/>
  <c r="A60" i="29"/>
  <c r="P52" i="29"/>
  <c r="O52" i="29"/>
  <c r="C52" i="29"/>
  <c r="A52" i="29"/>
  <c r="P44" i="29"/>
  <c r="O44" i="29"/>
  <c r="C44" i="29"/>
  <c r="A44" i="29"/>
  <c r="P36" i="29"/>
  <c r="O36" i="29"/>
  <c r="C36" i="29"/>
  <c r="A36" i="29"/>
  <c r="P28" i="29"/>
  <c r="O28" i="29"/>
  <c r="C28" i="29"/>
  <c r="A28" i="29"/>
  <c r="P20" i="29"/>
  <c r="O20" i="29"/>
  <c r="C20" i="29"/>
  <c r="A20" i="29"/>
  <c r="P12" i="29"/>
  <c r="O12" i="29"/>
  <c r="C12" i="29"/>
  <c r="A12" i="29"/>
  <c r="P108" i="29"/>
  <c r="O108" i="29"/>
  <c r="C108" i="29"/>
  <c r="A108" i="29"/>
  <c r="O100" i="29"/>
  <c r="P100" i="29"/>
  <c r="C100" i="29"/>
  <c r="A100" i="29"/>
  <c r="P92" i="29"/>
  <c r="O92" i="29"/>
  <c r="C92" i="29"/>
  <c r="A92" i="29"/>
  <c r="P84" i="29"/>
  <c r="O84" i="29"/>
  <c r="C84" i="29"/>
  <c r="A84" i="29"/>
  <c r="P76" i="29"/>
  <c r="O76" i="29"/>
  <c r="C76" i="29"/>
  <c r="A76" i="29"/>
  <c r="P68" i="29"/>
  <c r="O68" i="29"/>
  <c r="C68" i="29"/>
  <c r="A68" i="29"/>
  <c r="P59" i="29"/>
  <c r="A59" i="29"/>
  <c r="O59" i="29"/>
  <c r="C59" i="29"/>
  <c r="P51" i="29"/>
  <c r="A51" i="29"/>
  <c r="O51" i="29"/>
  <c r="C51" i="29"/>
  <c r="P43" i="29"/>
  <c r="A43" i="29"/>
  <c r="O43" i="29"/>
  <c r="C43" i="29"/>
  <c r="P35" i="29"/>
  <c r="A35" i="29"/>
  <c r="O35" i="29"/>
  <c r="C35" i="29"/>
  <c r="P27" i="29"/>
  <c r="A27" i="29"/>
  <c r="O27" i="29"/>
  <c r="C27" i="29"/>
  <c r="P19" i="29"/>
  <c r="A19" i="29"/>
  <c r="O19" i="29"/>
  <c r="C19" i="29"/>
  <c r="P11" i="29"/>
  <c r="A11" i="29"/>
  <c r="O11" i="29"/>
  <c r="C11" i="29"/>
  <c r="O356" i="20"/>
  <c r="C356" i="20"/>
  <c r="P356" i="20"/>
  <c r="B356" i="20"/>
  <c r="A356" i="20"/>
  <c r="A355" i="20"/>
  <c r="B355" i="20"/>
  <c r="P355" i="20"/>
  <c r="O355" i="20"/>
  <c r="C355" i="20"/>
  <c r="P354" i="20"/>
  <c r="O354" i="20"/>
  <c r="C354" i="20"/>
  <c r="B354" i="20"/>
  <c r="A354" i="20"/>
  <c r="C124" i="20"/>
  <c r="B124" i="20"/>
  <c r="A124" i="20"/>
  <c r="P124" i="20"/>
  <c r="O124" i="20"/>
  <c r="AC126" i="12"/>
  <c r="J126" i="12"/>
  <c r="I126" i="12"/>
  <c r="D126" i="12"/>
  <c r="C126" i="12"/>
  <c r="C116" i="20"/>
  <c r="B116" i="20"/>
  <c r="A116" i="20"/>
  <c r="P116" i="20"/>
  <c r="O116" i="20"/>
  <c r="AC118" i="12"/>
  <c r="J118" i="12"/>
  <c r="I118" i="12"/>
  <c r="D118" i="12"/>
  <c r="C118" i="12"/>
  <c r="C108" i="20"/>
  <c r="B108" i="20"/>
  <c r="A108" i="20"/>
  <c r="P108" i="20"/>
  <c r="O108" i="20"/>
  <c r="AC110" i="12"/>
  <c r="J110" i="12"/>
  <c r="I110" i="12"/>
  <c r="D110" i="12"/>
  <c r="C110" i="12"/>
  <c r="C100" i="20"/>
  <c r="B100" i="20"/>
  <c r="A100" i="20"/>
  <c r="P100" i="20"/>
  <c r="O100" i="20"/>
  <c r="AC102" i="12"/>
  <c r="J102" i="12"/>
  <c r="I102" i="12"/>
  <c r="D102" i="12"/>
  <c r="C102" i="12"/>
  <c r="C92" i="20"/>
  <c r="B92" i="20"/>
  <c r="A92" i="20"/>
  <c r="P92" i="20"/>
  <c r="AC94" i="12"/>
  <c r="J94" i="12"/>
  <c r="I94" i="12"/>
  <c r="D94" i="12"/>
  <c r="C94" i="12"/>
  <c r="C84" i="20"/>
  <c r="B84" i="20"/>
  <c r="A84" i="20"/>
  <c r="P84" i="20"/>
  <c r="O84" i="20"/>
  <c r="AC86" i="12"/>
  <c r="C86" i="12"/>
  <c r="J86" i="12"/>
  <c r="I86" i="12"/>
  <c r="D86" i="12"/>
  <c r="C76" i="20"/>
  <c r="B76" i="20"/>
  <c r="A76" i="20"/>
  <c r="P76" i="20"/>
  <c r="O76" i="20"/>
  <c r="AC78" i="12"/>
  <c r="C78" i="12"/>
  <c r="J78" i="12"/>
  <c r="I78" i="12"/>
  <c r="D78" i="12"/>
  <c r="C68" i="20"/>
  <c r="B68" i="20"/>
  <c r="A68" i="20"/>
  <c r="P68" i="20"/>
  <c r="O68" i="20"/>
  <c r="C70" i="12"/>
  <c r="AC70" i="12"/>
  <c r="J70" i="12"/>
  <c r="I70" i="12"/>
  <c r="D70" i="12"/>
  <c r="C61" i="20"/>
  <c r="B61" i="20"/>
  <c r="A61" i="20"/>
  <c r="P61" i="20"/>
  <c r="O61" i="20"/>
  <c r="C62" i="12"/>
  <c r="AC62" i="12"/>
  <c r="J62" i="12"/>
  <c r="I62" i="12"/>
  <c r="D62" i="12"/>
  <c r="C53" i="20"/>
  <c r="B53" i="20"/>
  <c r="A53" i="20"/>
  <c r="O53" i="20"/>
  <c r="P53" i="20"/>
  <c r="C54" i="12"/>
  <c r="AC54" i="12"/>
  <c r="J54" i="12"/>
  <c r="I54" i="12"/>
  <c r="D54" i="12"/>
  <c r="C45" i="20"/>
  <c r="B45" i="20"/>
  <c r="A45" i="20"/>
  <c r="P45" i="20"/>
  <c r="O45" i="20"/>
  <c r="C46" i="12"/>
  <c r="AC46" i="12"/>
  <c r="J46" i="12"/>
  <c r="I46" i="12"/>
  <c r="D46" i="12"/>
  <c r="C37" i="20"/>
  <c r="B37" i="20"/>
  <c r="A37" i="20"/>
  <c r="P37" i="20"/>
  <c r="O37" i="20"/>
  <c r="C38" i="12"/>
  <c r="AC38" i="12"/>
  <c r="J38" i="12"/>
  <c r="D38" i="12"/>
  <c r="I38" i="12"/>
  <c r="P30" i="20"/>
  <c r="O30" i="20"/>
  <c r="C30" i="20"/>
  <c r="B30" i="20"/>
  <c r="A30" i="20"/>
  <c r="C30" i="12"/>
  <c r="AC30" i="12"/>
  <c r="D30" i="12"/>
  <c r="J30" i="12"/>
  <c r="I30" i="12"/>
  <c r="C22" i="20"/>
  <c r="P22" i="20"/>
  <c r="O22" i="20"/>
  <c r="B22" i="20"/>
  <c r="A22" i="20"/>
  <c r="C22" i="12"/>
  <c r="AC22" i="12"/>
  <c r="D22" i="12"/>
  <c r="J22" i="12"/>
  <c r="I22" i="12"/>
  <c r="C14" i="20"/>
  <c r="B14" i="20"/>
  <c r="A14" i="20"/>
  <c r="P14" i="20"/>
  <c r="O14" i="20"/>
  <c r="C14" i="12"/>
  <c r="AC14" i="12"/>
  <c r="D14" i="12"/>
  <c r="J14" i="12"/>
  <c r="I14" i="12"/>
  <c r="C6" i="20"/>
  <c r="P6" i="20"/>
  <c r="O6" i="20"/>
  <c r="B6" i="20"/>
  <c r="A6" i="20"/>
  <c r="C6" i="12"/>
  <c r="AC6" i="12"/>
  <c r="D6" i="12"/>
  <c r="J6" i="12"/>
  <c r="I6" i="12"/>
  <c r="P131" i="20"/>
  <c r="C131" i="20"/>
  <c r="B131" i="20"/>
  <c r="A131" i="20"/>
  <c r="AC133" i="12"/>
  <c r="J133" i="12"/>
  <c r="I133" i="12"/>
  <c r="D133" i="12"/>
  <c r="C133" i="12"/>
  <c r="P123" i="20"/>
  <c r="O123" i="20"/>
  <c r="C123" i="20"/>
  <c r="B123" i="20"/>
  <c r="A123" i="20"/>
  <c r="AC125" i="12"/>
  <c r="J125" i="12"/>
  <c r="I125" i="12"/>
  <c r="D125" i="12"/>
  <c r="C125" i="12"/>
  <c r="BE114" i="19"/>
  <c r="P115" i="20"/>
  <c r="C115" i="20"/>
  <c r="B115" i="20"/>
  <c r="A115" i="20"/>
  <c r="O115" i="20"/>
  <c r="AC117" i="12"/>
  <c r="J117" i="12"/>
  <c r="I117" i="12"/>
  <c r="D117" i="12"/>
  <c r="C117" i="12"/>
  <c r="BE106" i="19"/>
  <c r="P107" i="20"/>
  <c r="C107" i="20"/>
  <c r="B107" i="20"/>
  <c r="A107" i="20"/>
  <c r="O107" i="20"/>
  <c r="AC109" i="12"/>
  <c r="J109" i="12"/>
  <c r="I109" i="12"/>
  <c r="D109" i="12"/>
  <c r="C109" i="12"/>
  <c r="A99" i="20"/>
  <c r="P99" i="20"/>
  <c r="O99" i="20"/>
  <c r="C99" i="20"/>
  <c r="B99" i="20"/>
  <c r="AC101" i="12"/>
  <c r="J101" i="12"/>
  <c r="I101" i="12"/>
  <c r="D101" i="12"/>
  <c r="C101" i="12"/>
  <c r="BE90" i="19"/>
  <c r="O91" i="20" s="1"/>
  <c r="A91" i="20"/>
  <c r="C91" i="20"/>
  <c r="B91" i="20"/>
  <c r="P91" i="20"/>
  <c r="AC93" i="12"/>
  <c r="J93" i="12"/>
  <c r="I93" i="12"/>
  <c r="D93" i="12"/>
  <c r="C93" i="12"/>
  <c r="B83" i="20"/>
  <c r="A83" i="20"/>
  <c r="P83" i="20"/>
  <c r="O83" i="20"/>
  <c r="C83" i="20"/>
  <c r="AC85" i="12"/>
  <c r="J85" i="12"/>
  <c r="I85" i="12"/>
  <c r="D85" i="12"/>
  <c r="C85" i="12"/>
  <c r="C75" i="20"/>
  <c r="B75" i="20"/>
  <c r="A75" i="20"/>
  <c r="P75" i="20"/>
  <c r="O75" i="20"/>
  <c r="C77" i="12"/>
  <c r="AC77" i="12"/>
  <c r="J77" i="12"/>
  <c r="I77" i="12"/>
  <c r="D77" i="12"/>
  <c r="BE66" i="19"/>
  <c r="O67" i="20"/>
  <c r="C67" i="20"/>
  <c r="B67" i="20"/>
  <c r="A67" i="20"/>
  <c r="P67" i="20"/>
  <c r="C69" i="12"/>
  <c r="AC69" i="12"/>
  <c r="J69" i="12"/>
  <c r="I69" i="12"/>
  <c r="D69" i="12"/>
  <c r="BE58" i="19"/>
  <c r="P60" i="20"/>
  <c r="O60" i="20"/>
  <c r="C60" i="20"/>
  <c r="B60" i="20"/>
  <c r="A60" i="20"/>
  <c r="C61" i="12"/>
  <c r="AC61" i="12"/>
  <c r="J61" i="12"/>
  <c r="I61" i="12"/>
  <c r="D61" i="12"/>
  <c r="P52" i="20"/>
  <c r="O52" i="20"/>
  <c r="C52" i="20"/>
  <c r="B52" i="20"/>
  <c r="A52" i="20"/>
  <c r="C53" i="12"/>
  <c r="AC53" i="12"/>
  <c r="J53" i="12"/>
  <c r="I53" i="12"/>
  <c r="D53" i="12"/>
  <c r="BE42" i="19"/>
  <c r="P44" i="20"/>
  <c r="O44" i="20"/>
  <c r="C44" i="20"/>
  <c r="B44" i="20"/>
  <c r="A44" i="20"/>
  <c r="C45" i="12"/>
  <c r="AC45" i="12"/>
  <c r="J45" i="12"/>
  <c r="I45" i="12"/>
  <c r="D45" i="12"/>
  <c r="BE34" i="19"/>
  <c r="P36" i="20"/>
  <c r="O36" i="20"/>
  <c r="C36" i="20"/>
  <c r="B36" i="20"/>
  <c r="A36" i="20"/>
  <c r="C37" i="12"/>
  <c r="AC37" i="12"/>
  <c r="D37" i="12"/>
  <c r="J37" i="12"/>
  <c r="I37" i="12"/>
  <c r="P29" i="20"/>
  <c r="O29" i="20"/>
  <c r="C29" i="20"/>
  <c r="B29" i="20"/>
  <c r="A29" i="20"/>
  <c r="C29" i="12"/>
  <c r="AC29" i="12"/>
  <c r="D29" i="12"/>
  <c r="J29" i="12"/>
  <c r="I29" i="12"/>
  <c r="P21" i="20"/>
  <c r="O21" i="20"/>
  <c r="C21" i="20"/>
  <c r="B21" i="20"/>
  <c r="A21" i="20"/>
  <c r="C21" i="12"/>
  <c r="AC21" i="12"/>
  <c r="D21" i="12"/>
  <c r="J21" i="12"/>
  <c r="I21" i="12"/>
  <c r="BE10" i="19"/>
  <c r="P13" i="20"/>
  <c r="O13" i="20"/>
  <c r="C13" i="20"/>
  <c r="B13" i="20"/>
  <c r="A13" i="20"/>
  <c r="C13" i="12"/>
  <c r="AC13" i="12"/>
  <c r="D13" i="12"/>
  <c r="J13" i="12"/>
  <c r="I13" i="12"/>
  <c r="P130" i="20"/>
  <c r="O130" i="20"/>
  <c r="C130" i="20"/>
  <c r="B130" i="20"/>
  <c r="A130" i="20"/>
  <c r="AC132" i="12"/>
  <c r="C132" i="12"/>
  <c r="J132" i="12"/>
  <c r="I132" i="12"/>
  <c r="D132" i="12"/>
  <c r="P122" i="20"/>
  <c r="O122" i="20"/>
  <c r="C122" i="20"/>
  <c r="B122" i="20"/>
  <c r="A122" i="20"/>
  <c r="AC124" i="12"/>
  <c r="C124" i="12"/>
  <c r="J124" i="12"/>
  <c r="I124" i="12"/>
  <c r="D124" i="12"/>
  <c r="P114" i="20"/>
  <c r="O114" i="20"/>
  <c r="C114" i="20"/>
  <c r="B114" i="20"/>
  <c r="A114" i="20"/>
  <c r="AC116" i="12"/>
  <c r="C116" i="12"/>
  <c r="J116" i="12"/>
  <c r="I116" i="12"/>
  <c r="D116" i="12"/>
  <c r="P106" i="20"/>
  <c r="O106" i="20"/>
  <c r="C106" i="20"/>
  <c r="B106" i="20"/>
  <c r="A106" i="20"/>
  <c r="AC108" i="12"/>
  <c r="C108" i="12"/>
  <c r="J108" i="12"/>
  <c r="I108" i="12"/>
  <c r="D108" i="12"/>
  <c r="P98" i="20"/>
  <c r="O98" i="20"/>
  <c r="C98" i="20"/>
  <c r="A98" i="20"/>
  <c r="B98" i="20"/>
  <c r="AC100" i="12"/>
  <c r="C100" i="12"/>
  <c r="J100" i="12"/>
  <c r="I100" i="12"/>
  <c r="D100" i="12"/>
  <c r="P90" i="20"/>
  <c r="O90" i="20"/>
  <c r="C90" i="20"/>
  <c r="B90" i="20"/>
  <c r="A90" i="20"/>
  <c r="AC92" i="12"/>
  <c r="C92" i="12"/>
  <c r="J92" i="12"/>
  <c r="I92" i="12"/>
  <c r="D92" i="12"/>
  <c r="P82" i="20"/>
  <c r="O82" i="20"/>
  <c r="C82" i="20"/>
  <c r="B82" i="20"/>
  <c r="A82" i="20"/>
  <c r="AC84" i="12"/>
  <c r="J84" i="12"/>
  <c r="I84" i="12"/>
  <c r="D84" i="12"/>
  <c r="C84" i="12"/>
  <c r="P74" i="20"/>
  <c r="O74" i="20"/>
  <c r="C74" i="20"/>
  <c r="B74" i="20"/>
  <c r="A74" i="20"/>
  <c r="C76" i="12"/>
  <c r="AC76" i="12"/>
  <c r="J76" i="12"/>
  <c r="I76" i="12"/>
  <c r="D76" i="12"/>
  <c r="P66" i="20"/>
  <c r="O66" i="20"/>
  <c r="C66" i="20"/>
  <c r="B66" i="20"/>
  <c r="A66" i="20"/>
  <c r="C68" i="12"/>
  <c r="AC68" i="12"/>
  <c r="J68" i="12"/>
  <c r="I68" i="12"/>
  <c r="D68" i="12"/>
  <c r="P59" i="20"/>
  <c r="O59" i="20"/>
  <c r="C59" i="20"/>
  <c r="B59" i="20"/>
  <c r="A59" i="20"/>
  <c r="C60" i="12"/>
  <c r="AC60" i="12"/>
  <c r="J60" i="12"/>
  <c r="I60" i="12"/>
  <c r="D60" i="12"/>
  <c r="P51" i="20"/>
  <c r="O51" i="20"/>
  <c r="C51" i="20"/>
  <c r="B51" i="20"/>
  <c r="A51" i="20"/>
  <c r="C52" i="12"/>
  <c r="AC52" i="12"/>
  <c r="J52" i="12"/>
  <c r="I52" i="12"/>
  <c r="D52" i="12"/>
  <c r="P43" i="20"/>
  <c r="O43" i="20"/>
  <c r="C43" i="20"/>
  <c r="A43" i="20"/>
  <c r="B43" i="20"/>
  <c r="C44" i="12"/>
  <c r="AC44" i="12"/>
  <c r="J44" i="12"/>
  <c r="I44" i="12"/>
  <c r="D44" i="12"/>
  <c r="P35" i="20"/>
  <c r="O35" i="20"/>
  <c r="C35" i="20"/>
  <c r="B35" i="20"/>
  <c r="A35" i="20"/>
  <c r="C36" i="12"/>
  <c r="AC36" i="12"/>
  <c r="D36" i="12"/>
  <c r="J36" i="12"/>
  <c r="I36" i="12"/>
  <c r="B28" i="20"/>
  <c r="A28" i="20"/>
  <c r="P28" i="20"/>
  <c r="O28" i="20"/>
  <c r="C28" i="20"/>
  <c r="C28" i="12"/>
  <c r="AC28" i="12"/>
  <c r="D28" i="12"/>
  <c r="J28" i="12"/>
  <c r="I28" i="12"/>
  <c r="B20" i="20"/>
  <c r="A20" i="20"/>
  <c r="P20" i="20"/>
  <c r="O20" i="20"/>
  <c r="C20" i="20"/>
  <c r="C20" i="12"/>
  <c r="AC20" i="12"/>
  <c r="D20" i="12"/>
  <c r="J20" i="12"/>
  <c r="I20" i="12"/>
  <c r="B12" i="20"/>
  <c r="A12" i="20"/>
  <c r="P12" i="20"/>
  <c r="O12" i="20"/>
  <c r="C12" i="20"/>
  <c r="C12" i="12"/>
  <c r="AC12" i="12"/>
  <c r="D12" i="12"/>
  <c r="J12" i="12"/>
  <c r="I12" i="12"/>
  <c r="C148" i="20"/>
  <c r="B148" i="20"/>
  <c r="A148" i="20"/>
  <c r="P148" i="20"/>
  <c r="O148" i="20"/>
  <c r="AC150" i="12"/>
  <c r="J150" i="12"/>
  <c r="I150" i="12"/>
  <c r="D150" i="12"/>
  <c r="C150" i="12"/>
  <c r="A163" i="20"/>
  <c r="P163" i="20"/>
  <c r="O163" i="20"/>
  <c r="C163" i="20"/>
  <c r="B163" i="20"/>
  <c r="AC165" i="12"/>
  <c r="D165" i="12"/>
  <c r="C165" i="12"/>
  <c r="J165" i="12"/>
  <c r="I165" i="12"/>
  <c r="P353" i="20"/>
  <c r="O353" i="20"/>
  <c r="C353" i="20"/>
  <c r="B353" i="20"/>
  <c r="A353" i="20"/>
  <c r="C356" i="12"/>
  <c r="AC356" i="12"/>
  <c r="D356" i="12"/>
  <c r="J356" i="12"/>
  <c r="I356" i="12"/>
  <c r="O345" i="20"/>
  <c r="C345" i="20"/>
  <c r="B345" i="20"/>
  <c r="P345" i="20"/>
  <c r="A345" i="20"/>
  <c r="C348" i="12"/>
  <c r="AC348" i="12"/>
  <c r="J348" i="12"/>
  <c r="D348" i="12"/>
  <c r="I348" i="12"/>
  <c r="O338" i="20"/>
  <c r="C338" i="20"/>
  <c r="B338" i="20"/>
  <c r="P338" i="20"/>
  <c r="A338" i="20"/>
  <c r="C340" i="12"/>
  <c r="AC340" i="12"/>
  <c r="J340" i="12"/>
  <c r="D340" i="12"/>
  <c r="I340" i="12"/>
  <c r="B330" i="20"/>
  <c r="P330" i="20"/>
  <c r="O330" i="20"/>
  <c r="C330" i="20"/>
  <c r="A330" i="20"/>
  <c r="C332" i="12"/>
  <c r="AC332" i="12"/>
  <c r="J332" i="12"/>
  <c r="D332" i="12"/>
  <c r="I332" i="12"/>
  <c r="B322" i="20"/>
  <c r="P322" i="20"/>
  <c r="O322" i="20"/>
  <c r="C322" i="20"/>
  <c r="A322" i="20"/>
  <c r="C324" i="12"/>
  <c r="AC324" i="12"/>
  <c r="J324" i="12"/>
  <c r="D324" i="12"/>
  <c r="I324" i="12"/>
  <c r="B314" i="20"/>
  <c r="P314" i="20"/>
  <c r="O314" i="20"/>
  <c r="C314" i="20"/>
  <c r="A314" i="20"/>
  <c r="C316" i="12"/>
  <c r="AC316" i="12"/>
  <c r="I316" i="12"/>
  <c r="D316" i="12"/>
  <c r="J316" i="12"/>
  <c r="B306" i="20"/>
  <c r="P306" i="20"/>
  <c r="O306" i="20"/>
  <c r="C306" i="20"/>
  <c r="A306" i="20"/>
  <c r="C308" i="12"/>
  <c r="AC308" i="12"/>
  <c r="I308" i="12"/>
  <c r="D308" i="12"/>
  <c r="J308" i="12"/>
  <c r="B298" i="20"/>
  <c r="P298" i="20"/>
  <c r="O298" i="20"/>
  <c r="C298" i="20"/>
  <c r="A298" i="20"/>
  <c r="C300" i="12"/>
  <c r="AC300" i="12"/>
  <c r="I300" i="12"/>
  <c r="D300" i="12"/>
  <c r="J300" i="12"/>
  <c r="B290" i="20"/>
  <c r="P290" i="20"/>
  <c r="O290" i="20"/>
  <c r="C290" i="20"/>
  <c r="A290" i="20"/>
  <c r="C292" i="12"/>
  <c r="AC292" i="12"/>
  <c r="I292" i="12"/>
  <c r="D292" i="12"/>
  <c r="J292" i="12"/>
  <c r="B282" i="20"/>
  <c r="P282" i="20"/>
  <c r="O282" i="20"/>
  <c r="C282" i="20"/>
  <c r="A282" i="20"/>
  <c r="C284" i="12"/>
  <c r="AC284" i="12"/>
  <c r="I284" i="12"/>
  <c r="D284" i="12"/>
  <c r="J284" i="12"/>
  <c r="B274" i="20"/>
  <c r="P274" i="20"/>
  <c r="O274" i="20"/>
  <c r="C274" i="20"/>
  <c r="A274" i="20"/>
  <c r="C276" i="12"/>
  <c r="AC276" i="12"/>
  <c r="I276" i="12"/>
  <c r="D276" i="12"/>
  <c r="J276" i="12"/>
  <c r="B266" i="20"/>
  <c r="P266" i="20"/>
  <c r="O266" i="20"/>
  <c r="C266" i="20"/>
  <c r="A266" i="20"/>
  <c r="C268" i="12"/>
  <c r="AC268" i="12"/>
  <c r="D268" i="12"/>
  <c r="J268" i="12"/>
  <c r="I268" i="12"/>
  <c r="B258" i="20"/>
  <c r="P258" i="20"/>
  <c r="O258" i="20"/>
  <c r="C258" i="20"/>
  <c r="A258" i="20"/>
  <c r="C260" i="12"/>
  <c r="AC260" i="12"/>
  <c r="D260" i="12"/>
  <c r="J260" i="12"/>
  <c r="I260" i="12"/>
  <c r="B250" i="20"/>
  <c r="P250" i="20"/>
  <c r="O250" i="20"/>
  <c r="C250" i="20"/>
  <c r="A250" i="20"/>
  <c r="C252" i="12"/>
  <c r="AC252" i="12"/>
  <c r="D252" i="12"/>
  <c r="J252" i="12"/>
  <c r="I252" i="12"/>
  <c r="B242" i="20"/>
  <c r="P242" i="20"/>
  <c r="O242" i="20"/>
  <c r="C242" i="20"/>
  <c r="A242" i="20"/>
  <c r="C244" i="12"/>
  <c r="AC244" i="12"/>
  <c r="J244" i="12"/>
  <c r="I244" i="12"/>
  <c r="D244" i="12"/>
  <c r="B234" i="20"/>
  <c r="P234" i="20"/>
  <c r="O234" i="20"/>
  <c r="C234" i="20"/>
  <c r="A234" i="20"/>
  <c r="C236" i="12"/>
  <c r="AC236" i="12"/>
  <c r="J236" i="12"/>
  <c r="I236" i="12"/>
  <c r="D236" i="12"/>
  <c r="B226" i="20"/>
  <c r="P226" i="20"/>
  <c r="O226" i="20"/>
  <c r="C226" i="20"/>
  <c r="A226" i="20"/>
  <c r="C228" i="12"/>
  <c r="AC228" i="12"/>
  <c r="J228" i="12"/>
  <c r="I228" i="12"/>
  <c r="D228" i="12"/>
  <c r="P218" i="20"/>
  <c r="O218" i="20"/>
  <c r="C218" i="20"/>
  <c r="B218" i="20"/>
  <c r="A218" i="20"/>
  <c r="C220" i="12"/>
  <c r="AC220" i="12"/>
  <c r="J220" i="12"/>
  <c r="I220" i="12"/>
  <c r="D220" i="12"/>
  <c r="P210" i="20"/>
  <c r="O210" i="20"/>
  <c r="C210" i="20"/>
  <c r="B210" i="20"/>
  <c r="A210" i="20"/>
  <c r="C212" i="12"/>
  <c r="AC212" i="12"/>
  <c r="J212" i="12"/>
  <c r="I212" i="12"/>
  <c r="D212" i="12"/>
  <c r="P202" i="20"/>
  <c r="O202" i="20"/>
  <c r="C202" i="20"/>
  <c r="B202" i="20"/>
  <c r="A202" i="20"/>
  <c r="C204" i="12"/>
  <c r="AC204" i="12"/>
  <c r="J204" i="12"/>
  <c r="I204" i="12"/>
  <c r="D204" i="12"/>
  <c r="P194" i="20"/>
  <c r="O194" i="20"/>
  <c r="C194" i="20"/>
  <c r="B194" i="20"/>
  <c r="A194" i="20"/>
  <c r="C196" i="12"/>
  <c r="AC196" i="12"/>
  <c r="J196" i="12"/>
  <c r="I196" i="12"/>
  <c r="D196" i="12"/>
  <c r="P186" i="20"/>
  <c r="O186" i="20"/>
  <c r="C186" i="20"/>
  <c r="B186" i="20"/>
  <c r="A186" i="20"/>
  <c r="C188" i="12"/>
  <c r="AC188" i="12"/>
  <c r="J188" i="12"/>
  <c r="I188" i="12"/>
  <c r="D188" i="12"/>
  <c r="P178" i="20"/>
  <c r="O178" i="20"/>
  <c r="C178" i="20"/>
  <c r="A178" i="20"/>
  <c r="B178" i="20"/>
  <c r="C180" i="12"/>
  <c r="AC180" i="12"/>
  <c r="J180" i="12"/>
  <c r="I180" i="12"/>
  <c r="D180" i="12"/>
  <c r="P170" i="20"/>
  <c r="O170" i="20"/>
  <c r="C170" i="20"/>
  <c r="B170" i="20"/>
  <c r="A170" i="20"/>
  <c r="C172" i="12"/>
  <c r="AC172" i="12"/>
  <c r="J172" i="12"/>
  <c r="I172" i="12"/>
  <c r="D172" i="12"/>
  <c r="P162" i="20"/>
  <c r="O162" i="20"/>
  <c r="C162" i="20"/>
  <c r="B162" i="20"/>
  <c r="A162" i="20"/>
  <c r="AC164" i="12"/>
  <c r="C164" i="12"/>
  <c r="I164" i="12"/>
  <c r="D164" i="12"/>
  <c r="J164" i="12"/>
  <c r="P154" i="20"/>
  <c r="O154" i="20"/>
  <c r="C154" i="20"/>
  <c r="B154" i="20"/>
  <c r="A154" i="20"/>
  <c r="AC156" i="12"/>
  <c r="C156" i="12"/>
  <c r="J156" i="12"/>
  <c r="I156" i="12"/>
  <c r="D156" i="12"/>
  <c r="O146" i="20"/>
  <c r="C146" i="20"/>
  <c r="P146" i="20"/>
  <c r="B146" i="20"/>
  <c r="A146" i="20"/>
  <c r="AC148" i="12"/>
  <c r="C148" i="12"/>
  <c r="J148" i="12"/>
  <c r="I148" i="12"/>
  <c r="D148" i="12"/>
  <c r="P138" i="20"/>
  <c r="O138" i="20"/>
  <c r="C138" i="20"/>
  <c r="B138" i="20"/>
  <c r="A138" i="20"/>
  <c r="AC140" i="12"/>
  <c r="C140" i="12"/>
  <c r="J140" i="12"/>
  <c r="I140" i="12"/>
  <c r="D140" i="12"/>
  <c r="P352" i="20"/>
  <c r="O352" i="20"/>
  <c r="C352" i="20"/>
  <c r="B352" i="20"/>
  <c r="A352" i="20"/>
  <c r="C355" i="12"/>
  <c r="AC355" i="12"/>
  <c r="J355" i="12"/>
  <c r="I355" i="12"/>
  <c r="D355" i="12"/>
  <c r="P344" i="20"/>
  <c r="O344" i="20"/>
  <c r="C344" i="20"/>
  <c r="A344" i="20"/>
  <c r="B344" i="20"/>
  <c r="C347" i="12"/>
  <c r="AC347" i="12"/>
  <c r="J347" i="12"/>
  <c r="I347" i="12"/>
  <c r="D347" i="12"/>
  <c r="P337" i="20"/>
  <c r="O337" i="20"/>
  <c r="C337" i="20"/>
  <c r="A337" i="20"/>
  <c r="B337" i="20"/>
  <c r="C339" i="12"/>
  <c r="AC339" i="12"/>
  <c r="J339" i="12"/>
  <c r="I339" i="12"/>
  <c r="D339" i="12"/>
  <c r="P329" i="20"/>
  <c r="O329" i="20"/>
  <c r="C329" i="20"/>
  <c r="B329" i="20"/>
  <c r="A329" i="20"/>
  <c r="C331" i="12"/>
  <c r="AC331" i="12"/>
  <c r="J331" i="12"/>
  <c r="I331" i="12"/>
  <c r="D331" i="12"/>
  <c r="P321" i="20"/>
  <c r="O321" i="20"/>
  <c r="C321" i="20"/>
  <c r="B321" i="20"/>
  <c r="A321" i="20"/>
  <c r="C323" i="12"/>
  <c r="AC323" i="12"/>
  <c r="J323" i="12"/>
  <c r="I323" i="12"/>
  <c r="D323" i="12"/>
  <c r="P313" i="20"/>
  <c r="O313" i="20"/>
  <c r="C313" i="20"/>
  <c r="B313" i="20"/>
  <c r="A313" i="20"/>
  <c r="C315" i="12"/>
  <c r="AC315" i="12"/>
  <c r="D315" i="12"/>
  <c r="J315" i="12"/>
  <c r="I315" i="12"/>
  <c r="P305" i="20"/>
  <c r="O305" i="20"/>
  <c r="C305" i="20"/>
  <c r="B305" i="20"/>
  <c r="A305" i="20"/>
  <c r="C307" i="12"/>
  <c r="AC307" i="12"/>
  <c r="D307" i="12"/>
  <c r="J307" i="12"/>
  <c r="I307" i="12"/>
  <c r="P297" i="20"/>
  <c r="O297" i="20"/>
  <c r="C297" i="20"/>
  <c r="B297" i="20"/>
  <c r="A297" i="20"/>
  <c r="C299" i="12"/>
  <c r="AC299" i="12"/>
  <c r="D299" i="12"/>
  <c r="J299" i="12"/>
  <c r="I299" i="12"/>
  <c r="P289" i="20"/>
  <c r="O289" i="20"/>
  <c r="C289" i="20"/>
  <c r="B289" i="20"/>
  <c r="A289" i="20"/>
  <c r="C291" i="12"/>
  <c r="AC291" i="12"/>
  <c r="D291" i="12"/>
  <c r="I291" i="12"/>
  <c r="J291" i="12"/>
  <c r="P281" i="20"/>
  <c r="O281" i="20"/>
  <c r="C281" i="20"/>
  <c r="B281" i="20"/>
  <c r="A281" i="20"/>
  <c r="C283" i="12"/>
  <c r="AC283" i="12"/>
  <c r="D283" i="12"/>
  <c r="J283" i="12"/>
  <c r="I283" i="12"/>
  <c r="P273" i="20"/>
  <c r="O273" i="20"/>
  <c r="C273" i="20"/>
  <c r="B273" i="20"/>
  <c r="A273" i="20"/>
  <c r="C275" i="12"/>
  <c r="AC275" i="12"/>
  <c r="D275" i="12"/>
  <c r="J275" i="12"/>
  <c r="I275" i="12"/>
  <c r="P265" i="20"/>
  <c r="O265" i="20"/>
  <c r="C265" i="20"/>
  <c r="B265" i="20"/>
  <c r="A265" i="20"/>
  <c r="C267" i="12"/>
  <c r="AC267" i="12"/>
  <c r="D267" i="12"/>
  <c r="J267" i="12"/>
  <c r="I267" i="12"/>
  <c r="P257" i="20"/>
  <c r="O257" i="20"/>
  <c r="C257" i="20"/>
  <c r="B257" i="20"/>
  <c r="A257" i="20"/>
  <c r="C259" i="12"/>
  <c r="AC259" i="12"/>
  <c r="D259" i="12"/>
  <c r="J259" i="12"/>
  <c r="I259" i="12"/>
  <c r="P249" i="20"/>
  <c r="O249" i="20"/>
  <c r="C249" i="20"/>
  <c r="B249" i="20"/>
  <c r="A249" i="20"/>
  <c r="C251" i="12"/>
  <c r="AC251" i="12"/>
  <c r="D251" i="12"/>
  <c r="J251" i="12"/>
  <c r="I251" i="12"/>
  <c r="P241" i="20"/>
  <c r="O241" i="20"/>
  <c r="C241" i="20"/>
  <c r="B241" i="20"/>
  <c r="A241" i="20"/>
  <c r="C243" i="12"/>
  <c r="AC243" i="12"/>
  <c r="J243" i="12"/>
  <c r="I243" i="12"/>
  <c r="D243" i="12"/>
  <c r="P233" i="20"/>
  <c r="O233" i="20"/>
  <c r="C233" i="20"/>
  <c r="B233" i="20"/>
  <c r="A233" i="20"/>
  <c r="C235" i="12"/>
  <c r="AC235" i="12"/>
  <c r="J235" i="12"/>
  <c r="I235" i="12"/>
  <c r="D235" i="12"/>
  <c r="P225" i="20"/>
  <c r="O225" i="20"/>
  <c r="C225" i="20"/>
  <c r="B225" i="20"/>
  <c r="A225" i="20"/>
  <c r="C227" i="12"/>
  <c r="AC227" i="12"/>
  <c r="J227" i="12"/>
  <c r="I227" i="12"/>
  <c r="D227" i="12"/>
  <c r="B217" i="20"/>
  <c r="A217" i="20"/>
  <c r="P217" i="20"/>
  <c r="O217" i="20"/>
  <c r="C217" i="20"/>
  <c r="C219" i="12"/>
  <c r="AC219" i="12"/>
  <c r="J219" i="12"/>
  <c r="I219" i="12"/>
  <c r="D219" i="12"/>
  <c r="B209" i="20"/>
  <c r="A209" i="20"/>
  <c r="P209" i="20"/>
  <c r="O209" i="20"/>
  <c r="C209" i="20"/>
  <c r="C211" i="12"/>
  <c r="AC211" i="12"/>
  <c r="J211" i="12"/>
  <c r="I211" i="12"/>
  <c r="D211" i="12"/>
  <c r="B201" i="20"/>
  <c r="A201" i="20"/>
  <c r="P201" i="20"/>
  <c r="O201" i="20"/>
  <c r="C201" i="20"/>
  <c r="C203" i="12"/>
  <c r="AC203" i="12"/>
  <c r="J203" i="12"/>
  <c r="I203" i="12"/>
  <c r="D203" i="12"/>
  <c r="B193" i="20"/>
  <c r="A193" i="20"/>
  <c r="P193" i="20"/>
  <c r="O193" i="20"/>
  <c r="C193" i="20"/>
  <c r="C195" i="12"/>
  <c r="AC195" i="12"/>
  <c r="J195" i="12"/>
  <c r="I195" i="12"/>
  <c r="D195" i="12"/>
  <c r="B185" i="20"/>
  <c r="A185" i="20"/>
  <c r="P185" i="20"/>
  <c r="O185" i="20"/>
  <c r="C185" i="20"/>
  <c r="C187" i="12"/>
  <c r="AC187" i="12"/>
  <c r="J187" i="12"/>
  <c r="I187" i="12"/>
  <c r="D187" i="12"/>
  <c r="B177" i="20"/>
  <c r="A177" i="20"/>
  <c r="P177" i="20"/>
  <c r="O177" i="20"/>
  <c r="C177" i="20"/>
  <c r="C179" i="12"/>
  <c r="AC179" i="12"/>
  <c r="J179" i="12"/>
  <c r="D179" i="12"/>
  <c r="I179" i="12"/>
  <c r="B169" i="20"/>
  <c r="A169" i="20"/>
  <c r="P169" i="20"/>
  <c r="O169" i="20"/>
  <c r="C169" i="20"/>
  <c r="C171" i="12"/>
  <c r="AC171" i="12"/>
  <c r="J171" i="12"/>
  <c r="D171" i="12"/>
  <c r="I171" i="12"/>
  <c r="B161" i="20"/>
  <c r="A161" i="20"/>
  <c r="P161" i="20"/>
  <c r="O161" i="20"/>
  <c r="C161" i="20"/>
  <c r="AC163" i="12"/>
  <c r="J163" i="12"/>
  <c r="D163" i="12"/>
  <c r="C163" i="12"/>
  <c r="I163" i="12"/>
  <c r="B153" i="20"/>
  <c r="A153" i="20"/>
  <c r="P153" i="20"/>
  <c r="O153" i="20"/>
  <c r="C153" i="20"/>
  <c r="AC155" i="12"/>
  <c r="J155" i="12"/>
  <c r="I155" i="12"/>
  <c r="D155" i="12"/>
  <c r="C155" i="12"/>
  <c r="A145" i="20"/>
  <c r="C145" i="20"/>
  <c r="B145" i="20"/>
  <c r="P145" i="20"/>
  <c r="O145" i="20"/>
  <c r="AC147" i="12"/>
  <c r="J147" i="12"/>
  <c r="I147" i="12"/>
  <c r="D147" i="12"/>
  <c r="C147" i="12"/>
  <c r="B137" i="20"/>
  <c r="A137" i="20"/>
  <c r="P137" i="20"/>
  <c r="O137" i="20"/>
  <c r="C137" i="20"/>
  <c r="AC139" i="12"/>
  <c r="J139" i="12"/>
  <c r="I139" i="12"/>
  <c r="D139" i="12"/>
  <c r="C139" i="12"/>
  <c r="B129" i="20"/>
  <c r="A129" i="20"/>
  <c r="P129" i="20"/>
  <c r="O129" i="20"/>
  <c r="C129" i="20"/>
  <c r="AC131" i="12"/>
  <c r="J131" i="12"/>
  <c r="I131" i="12"/>
  <c r="D131" i="12"/>
  <c r="C131" i="12"/>
  <c r="B121" i="20"/>
  <c r="A121" i="20"/>
  <c r="P121" i="20"/>
  <c r="O121" i="20"/>
  <c r="C121" i="20"/>
  <c r="AC123" i="12"/>
  <c r="J123" i="12"/>
  <c r="I123" i="12"/>
  <c r="D123" i="12"/>
  <c r="C123" i="12"/>
  <c r="B113" i="20"/>
  <c r="A113" i="20"/>
  <c r="P113" i="20"/>
  <c r="O113" i="20"/>
  <c r="C113" i="20"/>
  <c r="AC115" i="12"/>
  <c r="J115" i="12"/>
  <c r="I115" i="12"/>
  <c r="D115" i="12"/>
  <c r="C115" i="12"/>
  <c r="B105" i="20"/>
  <c r="A105" i="20"/>
  <c r="O105" i="20"/>
  <c r="C105" i="20"/>
  <c r="P105" i="20"/>
  <c r="AC107" i="12"/>
  <c r="J107" i="12"/>
  <c r="I107" i="12"/>
  <c r="D107" i="12"/>
  <c r="C107" i="12"/>
  <c r="B97" i="20"/>
  <c r="A97" i="20"/>
  <c r="C97" i="20"/>
  <c r="P97" i="20"/>
  <c r="O97" i="20"/>
  <c r="AC99" i="12"/>
  <c r="J99" i="12"/>
  <c r="I99" i="12"/>
  <c r="D99" i="12"/>
  <c r="C99" i="12"/>
  <c r="B89" i="20"/>
  <c r="A89" i="20"/>
  <c r="C89" i="20"/>
  <c r="P89" i="20"/>
  <c r="O89" i="20"/>
  <c r="AC91" i="12"/>
  <c r="J91" i="12"/>
  <c r="I91" i="12"/>
  <c r="D91" i="12"/>
  <c r="C91" i="12"/>
  <c r="B81" i="20"/>
  <c r="A81" i="20"/>
  <c r="P81" i="20"/>
  <c r="O81" i="20"/>
  <c r="C81" i="20"/>
  <c r="AC83" i="12"/>
  <c r="J83" i="12"/>
  <c r="I83" i="12"/>
  <c r="D83" i="12"/>
  <c r="C83" i="12"/>
  <c r="B73" i="20"/>
  <c r="A73" i="20"/>
  <c r="P73" i="20"/>
  <c r="O73" i="20"/>
  <c r="C73" i="20"/>
  <c r="C75" i="12"/>
  <c r="AC75" i="12"/>
  <c r="J75" i="12"/>
  <c r="I75" i="12"/>
  <c r="D75" i="12"/>
  <c r="B65" i="20"/>
  <c r="A65" i="20"/>
  <c r="C65" i="20"/>
  <c r="P65" i="20"/>
  <c r="O65" i="20"/>
  <c r="C67" i="12"/>
  <c r="AC67" i="12"/>
  <c r="J67" i="12"/>
  <c r="I67" i="12"/>
  <c r="D67" i="12"/>
  <c r="B58" i="20"/>
  <c r="A58" i="20"/>
  <c r="O58" i="20"/>
  <c r="C58" i="20"/>
  <c r="P58" i="20"/>
  <c r="C59" i="12"/>
  <c r="AC59" i="12"/>
  <c r="J59" i="12"/>
  <c r="I59" i="12"/>
  <c r="D59" i="12"/>
  <c r="B50" i="20"/>
  <c r="A50" i="20"/>
  <c r="P50" i="20"/>
  <c r="O50" i="20"/>
  <c r="C50" i="20"/>
  <c r="C51" i="12"/>
  <c r="AC51" i="12"/>
  <c r="J51" i="12"/>
  <c r="I51" i="12"/>
  <c r="D51" i="12"/>
  <c r="B42" i="20"/>
  <c r="A42" i="20"/>
  <c r="P42" i="20"/>
  <c r="O42" i="20"/>
  <c r="C42" i="20"/>
  <c r="C43" i="12"/>
  <c r="AC43" i="12"/>
  <c r="J43" i="12"/>
  <c r="I43" i="12"/>
  <c r="D43" i="12"/>
  <c r="B34" i="20"/>
  <c r="A34" i="20"/>
  <c r="P34" i="20"/>
  <c r="O34" i="20"/>
  <c r="C34" i="20"/>
  <c r="C35" i="12"/>
  <c r="AC35" i="12"/>
  <c r="D35" i="12"/>
  <c r="J35" i="12"/>
  <c r="I35" i="12"/>
  <c r="P27" i="20"/>
  <c r="O27" i="20"/>
  <c r="C27" i="20"/>
  <c r="B27" i="20"/>
  <c r="A27" i="20"/>
  <c r="C27" i="12"/>
  <c r="AC27" i="12"/>
  <c r="D27" i="12"/>
  <c r="J27" i="12"/>
  <c r="I27" i="12"/>
  <c r="P19" i="20"/>
  <c r="B19" i="20"/>
  <c r="O19" i="20"/>
  <c r="C19" i="20"/>
  <c r="A19" i="20"/>
  <c r="C19" i="12"/>
  <c r="AC19" i="12"/>
  <c r="D19" i="12"/>
  <c r="J19" i="12"/>
  <c r="I19" i="12"/>
  <c r="P11" i="20"/>
  <c r="B11" i="20"/>
  <c r="A11" i="20"/>
  <c r="O11" i="20"/>
  <c r="C11" i="20"/>
  <c r="C11" i="12"/>
  <c r="AC11" i="12"/>
  <c r="D11" i="12"/>
  <c r="J11" i="12"/>
  <c r="I11" i="12"/>
  <c r="P128" i="20"/>
  <c r="O128" i="20"/>
  <c r="C128" i="20"/>
  <c r="B128" i="20"/>
  <c r="A128" i="20"/>
  <c r="AC130" i="12"/>
  <c r="I130" i="12"/>
  <c r="D130" i="12"/>
  <c r="C130" i="12"/>
  <c r="J130" i="12"/>
  <c r="P120" i="20"/>
  <c r="O120" i="20"/>
  <c r="B120" i="20"/>
  <c r="A120" i="20"/>
  <c r="C120" i="20"/>
  <c r="AC122" i="12"/>
  <c r="I122" i="12"/>
  <c r="D122" i="12"/>
  <c r="C122" i="12"/>
  <c r="J122" i="12"/>
  <c r="P112" i="20"/>
  <c r="O112" i="20"/>
  <c r="B112" i="20"/>
  <c r="A112" i="20"/>
  <c r="C112" i="20"/>
  <c r="AC114" i="12"/>
  <c r="I114" i="12"/>
  <c r="D114" i="12"/>
  <c r="C114" i="12"/>
  <c r="J114" i="12"/>
  <c r="P104" i="20"/>
  <c r="O104" i="20"/>
  <c r="A104" i="20"/>
  <c r="C104" i="20"/>
  <c r="B104" i="20"/>
  <c r="AC106" i="12"/>
  <c r="I106" i="12"/>
  <c r="D106" i="12"/>
  <c r="C106" i="12"/>
  <c r="J106" i="12"/>
  <c r="P96" i="20"/>
  <c r="O96" i="20"/>
  <c r="C96" i="20"/>
  <c r="B96" i="20"/>
  <c r="A96" i="20"/>
  <c r="AC98" i="12"/>
  <c r="I98" i="12"/>
  <c r="D98" i="12"/>
  <c r="C98" i="12"/>
  <c r="J98" i="12"/>
  <c r="P88" i="20"/>
  <c r="C88" i="20"/>
  <c r="B88" i="20"/>
  <c r="A88" i="20"/>
  <c r="O88" i="20"/>
  <c r="AC90" i="12"/>
  <c r="I90" i="12"/>
  <c r="D90" i="12"/>
  <c r="C90" i="12"/>
  <c r="J90" i="12"/>
  <c r="P80" i="20"/>
  <c r="C80" i="20"/>
  <c r="B80" i="20"/>
  <c r="A80" i="20"/>
  <c r="O80" i="20"/>
  <c r="AC82" i="12"/>
  <c r="J82" i="12"/>
  <c r="I82" i="12"/>
  <c r="D82" i="12"/>
  <c r="C82" i="12"/>
  <c r="P72" i="20"/>
  <c r="O72" i="20"/>
  <c r="C72" i="20"/>
  <c r="B72" i="20"/>
  <c r="A72" i="20"/>
  <c r="C74" i="12"/>
  <c r="AC74" i="12"/>
  <c r="J74" i="12"/>
  <c r="I74" i="12"/>
  <c r="D74" i="12"/>
  <c r="C66" i="12"/>
  <c r="AC66" i="12"/>
  <c r="J66" i="12"/>
  <c r="I66" i="12"/>
  <c r="D66" i="12"/>
  <c r="P57" i="20"/>
  <c r="O57" i="20"/>
  <c r="C57" i="20"/>
  <c r="B57" i="20"/>
  <c r="A57" i="20"/>
  <c r="C58" i="12"/>
  <c r="AC58" i="12"/>
  <c r="J58" i="12"/>
  <c r="I58" i="12"/>
  <c r="D58" i="12"/>
  <c r="P49" i="20"/>
  <c r="O49" i="20"/>
  <c r="C49" i="20"/>
  <c r="B49" i="20"/>
  <c r="A49" i="20"/>
  <c r="C50" i="12"/>
  <c r="AC50" i="12"/>
  <c r="J50" i="12"/>
  <c r="I50" i="12"/>
  <c r="D50" i="12"/>
  <c r="P41" i="20"/>
  <c r="O41" i="20"/>
  <c r="C41" i="20"/>
  <c r="B41" i="20"/>
  <c r="A41" i="20"/>
  <c r="C42" i="12"/>
  <c r="AC42" i="12"/>
  <c r="J42" i="12"/>
  <c r="I42" i="12"/>
  <c r="D42" i="12"/>
  <c r="P33" i="20"/>
  <c r="A33" i="20"/>
  <c r="C33" i="20"/>
  <c r="B33" i="20"/>
  <c r="C34" i="12"/>
  <c r="AC34" i="12"/>
  <c r="D34" i="12"/>
  <c r="J34" i="12"/>
  <c r="I34" i="12"/>
  <c r="O26" i="20"/>
  <c r="C26" i="20"/>
  <c r="B26" i="20"/>
  <c r="A26" i="20"/>
  <c r="P26" i="20"/>
  <c r="C26" i="12"/>
  <c r="AC26" i="12"/>
  <c r="D26" i="12"/>
  <c r="J26" i="12"/>
  <c r="I26" i="12"/>
  <c r="O18" i="20"/>
  <c r="C18" i="20"/>
  <c r="B18" i="20"/>
  <c r="P18" i="20"/>
  <c r="A18" i="20"/>
  <c r="C18" i="12"/>
  <c r="AC18" i="12"/>
  <c r="D18" i="12"/>
  <c r="J18" i="12"/>
  <c r="I18" i="12"/>
  <c r="O10" i="20"/>
  <c r="C10" i="20"/>
  <c r="B10" i="20"/>
  <c r="P10" i="20"/>
  <c r="A10" i="20"/>
  <c r="C10" i="12"/>
  <c r="AC10" i="12"/>
  <c r="D10" i="12"/>
  <c r="J10" i="12"/>
  <c r="I10" i="12"/>
  <c r="P347" i="20"/>
  <c r="O347" i="20"/>
  <c r="B347" i="20"/>
  <c r="A347" i="20"/>
  <c r="C347" i="20"/>
  <c r="C350" i="12"/>
  <c r="AC350" i="12"/>
  <c r="J350" i="12"/>
  <c r="I350" i="12"/>
  <c r="D350" i="12"/>
  <c r="P332" i="20"/>
  <c r="O332" i="20"/>
  <c r="C332" i="20"/>
  <c r="B332" i="20"/>
  <c r="A332" i="20"/>
  <c r="C334" i="12"/>
  <c r="AC334" i="12"/>
  <c r="J334" i="12"/>
  <c r="I334" i="12"/>
  <c r="D334" i="12"/>
  <c r="P324" i="20"/>
  <c r="O324" i="20"/>
  <c r="C324" i="20"/>
  <c r="B324" i="20"/>
  <c r="A324" i="20"/>
  <c r="C326" i="12"/>
  <c r="AC326" i="12"/>
  <c r="J326" i="12"/>
  <c r="D326" i="12"/>
  <c r="I326" i="12"/>
  <c r="P308" i="20"/>
  <c r="O308" i="20"/>
  <c r="C308" i="20"/>
  <c r="B308" i="20"/>
  <c r="A308" i="20"/>
  <c r="C310" i="12"/>
  <c r="AC310" i="12"/>
  <c r="J310" i="12"/>
  <c r="I310" i="12"/>
  <c r="D310" i="12"/>
  <c r="P300" i="20"/>
  <c r="O300" i="20"/>
  <c r="C300" i="20"/>
  <c r="B300" i="20"/>
  <c r="A300" i="20"/>
  <c r="C302" i="12"/>
  <c r="AC302" i="12"/>
  <c r="J302" i="12"/>
  <c r="I302" i="12"/>
  <c r="D302" i="12"/>
  <c r="P292" i="20"/>
  <c r="O292" i="20"/>
  <c r="C292" i="20"/>
  <c r="B292" i="20"/>
  <c r="A292" i="20"/>
  <c r="C294" i="12"/>
  <c r="AC294" i="12"/>
  <c r="J294" i="12"/>
  <c r="I294" i="12"/>
  <c r="D294" i="12"/>
  <c r="P284" i="20"/>
  <c r="O284" i="20"/>
  <c r="C284" i="20"/>
  <c r="B284" i="20"/>
  <c r="A284" i="20"/>
  <c r="C286" i="12"/>
  <c r="AC286" i="12"/>
  <c r="I286" i="12"/>
  <c r="J286" i="12"/>
  <c r="D286" i="12"/>
  <c r="P276" i="20"/>
  <c r="O276" i="20"/>
  <c r="C276" i="20"/>
  <c r="B276" i="20"/>
  <c r="A276" i="20"/>
  <c r="C278" i="12"/>
  <c r="AC278" i="12"/>
  <c r="I278" i="12"/>
  <c r="J278" i="12"/>
  <c r="D278" i="12"/>
  <c r="P268" i="20"/>
  <c r="O268" i="20"/>
  <c r="C268" i="20"/>
  <c r="B268" i="20"/>
  <c r="A268" i="20"/>
  <c r="C270" i="12"/>
  <c r="AC270" i="12"/>
  <c r="D270" i="12"/>
  <c r="J270" i="12"/>
  <c r="I270" i="12"/>
  <c r="P260" i="20"/>
  <c r="O260" i="20"/>
  <c r="C260" i="20"/>
  <c r="B260" i="20"/>
  <c r="A260" i="20"/>
  <c r="C262" i="12"/>
  <c r="AC262" i="12"/>
  <c r="D262" i="12"/>
  <c r="J262" i="12"/>
  <c r="I262" i="12"/>
  <c r="P252" i="20"/>
  <c r="O252" i="20"/>
  <c r="C252" i="20"/>
  <c r="B252" i="20"/>
  <c r="A252" i="20"/>
  <c r="C254" i="12"/>
  <c r="AC254" i="12"/>
  <c r="D254" i="12"/>
  <c r="J254" i="12"/>
  <c r="I254" i="12"/>
  <c r="P244" i="20"/>
  <c r="O244" i="20"/>
  <c r="C244" i="20"/>
  <c r="B244" i="20"/>
  <c r="A244" i="20"/>
  <c r="C246" i="12"/>
  <c r="AC246" i="12"/>
  <c r="D246" i="12"/>
  <c r="J246" i="12"/>
  <c r="I246" i="12"/>
  <c r="P236" i="20"/>
  <c r="O236" i="20"/>
  <c r="C236" i="20"/>
  <c r="B236" i="20"/>
  <c r="A236" i="20"/>
  <c r="C238" i="12"/>
  <c r="AC238" i="12"/>
  <c r="J238" i="12"/>
  <c r="I238" i="12"/>
  <c r="D238" i="12"/>
  <c r="P228" i="20"/>
  <c r="O228" i="20"/>
  <c r="C228" i="20"/>
  <c r="B228" i="20"/>
  <c r="A228" i="20"/>
  <c r="C230" i="12"/>
  <c r="AC230" i="12"/>
  <c r="J230" i="12"/>
  <c r="I230" i="12"/>
  <c r="D230" i="12"/>
  <c r="P220" i="20"/>
  <c r="O220" i="20"/>
  <c r="C220" i="20"/>
  <c r="B220" i="20"/>
  <c r="A220" i="20"/>
  <c r="C222" i="12"/>
  <c r="AC222" i="12"/>
  <c r="J222" i="12"/>
  <c r="I222" i="12"/>
  <c r="D222" i="12"/>
  <c r="C212" i="20"/>
  <c r="B212" i="20"/>
  <c r="A212" i="20"/>
  <c r="P212" i="20"/>
  <c r="O212" i="20"/>
  <c r="C214" i="12"/>
  <c r="AC214" i="12"/>
  <c r="J214" i="12"/>
  <c r="I214" i="12"/>
  <c r="D214" i="12"/>
  <c r="C204" i="20"/>
  <c r="B204" i="20"/>
  <c r="A204" i="20"/>
  <c r="P204" i="20"/>
  <c r="O204" i="20"/>
  <c r="C206" i="12"/>
  <c r="AC206" i="12"/>
  <c r="J206" i="12"/>
  <c r="I206" i="12"/>
  <c r="D206" i="12"/>
  <c r="C196" i="20"/>
  <c r="B196" i="20"/>
  <c r="A196" i="20"/>
  <c r="P196" i="20"/>
  <c r="O196" i="20"/>
  <c r="C198" i="12"/>
  <c r="AC198" i="12"/>
  <c r="J198" i="12"/>
  <c r="I198" i="12"/>
  <c r="D198" i="12"/>
  <c r="C188" i="20"/>
  <c r="B188" i="20"/>
  <c r="A188" i="20"/>
  <c r="P188" i="20"/>
  <c r="O188" i="20"/>
  <c r="C190" i="12"/>
  <c r="AC190" i="12"/>
  <c r="J190" i="12"/>
  <c r="I190" i="12"/>
  <c r="D190" i="12"/>
  <c r="C180" i="20"/>
  <c r="B180" i="20"/>
  <c r="A180" i="20"/>
  <c r="P180" i="20"/>
  <c r="O180" i="20"/>
  <c r="C182" i="12"/>
  <c r="AC182" i="12"/>
  <c r="J182" i="12"/>
  <c r="I182" i="12"/>
  <c r="D182" i="12"/>
  <c r="C172" i="20"/>
  <c r="B172" i="20"/>
  <c r="A172" i="20"/>
  <c r="P172" i="20"/>
  <c r="O172" i="20"/>
  <c r="C174" i="12"/>
  <c r="AC174" i="12"/>
  <c r="J174" i="12"/>
  <c r="I174" i="12"/>
  <c r="D174" i="12"/>
  <c r="C164" i="20"/>
  <c r="B164" i="20"/>
  <c r="A164" i="20"/>
  <c r="P164" i="20"/>
  <c r="O164" i="20"/>
  <c r="C166" i="12"/>
  <c r="AC166" i="12"/>
  <c r="J166" i="12"/>
  <c r="I166" i="12"/>
  <c r="D166" i="12"/>
  <c r="C132" i="20"/>
  <c r="B132" i="20"/>
  <c r="A132" i="20"/>
  <c r="P132" i="20"/>
  <c r="O132" i="20"/>
  <c r="AC134" i="12"/>
  <c r="J134" i="12"/>
  <c r="I134" i="12"/>
  <c r="D134" i="12"/>
  <c r="C134" i="12"/>
  <c r="C341" i="12"/>
  <c r="AC341" i="12"/>
  <c r="J341" i="12"/>
  <c r="I341" i="12"/>
  <c r="D341" i="12"/>
  <c r="C315" i="20"/>
  <c r="B315" i="20"/>
  <c r="A315" i="20"/>
  <c r="P315" i="20"/>
  <c r="O315" i="20"/>
  <c r="C317" i="12"/>
  <c r="AC317" i="12"/>
  <c r="J317" i="12"/>
  <c r="I317" i="12"/>
  <c r="D317" i="12"/>
  <c r="C147" i="20"/>
  <c r="B147" i="20"/>
  <c r="A147" i="20"/>
  <c r="P147" i="20"/>
  <c r="O147" i="20"/>
  <c r="AC149" i="12"/>
  <c r="J149" i="12"/>
  <c r="I149" i="12"/>
  <c r="D149" i="12"/>
  <c r="C149" i="12"/>
  <c r="B343" i="20"/>
  <c r="A343" i="20"/>
  <c r="P343" i="20"/>
  <c r="O343" i="20"/>
  <c r="C343" i="20"/>
  <c r="C346" i="12"/>
  <c r="AC346" i="12"/>
  <c r="J346" i="12"/>
  <c r="I346" i="12"/>
  <c r="D346" i="12"/>
  <c r="B328" i="20"/>
  <c r="A328" i="20"/>
  <c r="O328" i="20"/>
  <c r="P328" i="20"/>
  <c r="C328" i="20"/>
  <c r="C330" i="12"/>
  <c r="AC330" i="12"/>
  <c r="J330" i="12"/>
  <c r="I330" i="12"/>
  <c r="D330" i="12"/>
  <c r="B312" i="20"/>
  <c r="A312" i="20"/>
  <c r="O312" i="20"/>
  <c r="P312" i="20"/>
  <c r="C312" i="20"/>
  <c r="C314" i="12"/>
  <c r="AC314" i="12"/>
  <c r="J314" i="12"/>
  <c r="I314" i="12"/>
  <c r="D314" i="12"/>
  <c r="B304" i="20"/>
  <c r="A304" i="20"/>
  <c r="O304" i="20"/>
  <c r="P304" i="20"/>
  <c r="C304" i="20"/>
  <c r="C306" i="12"/>
  <c r="AC306" i="12"/>
  <c r="J306" i="12"/>
  <c r="I306" i="12"/>
  <c r="D306" i="12"/>
  <c r="B288" i="20"/>
  <c r="A288" i="20"/>
  <c r="O288" i="20"/>
  <c r="P288" i="20"/>
  <c r="C288" i="20"/>
  <c r="C290" i="12"/>
  <c r="AC290" i="12"/>
  <c r="J290" i="12"/>
  <c r="I290" i="12"/>
  <c r="D290" i="12"/>
  <c r="B280" i="20"/>
  <c r="A280" i="20"/>
  <c r="O280" i="20"/>
  <c r="P280" i="20"/>
  <c r="C280" i="20"/>
  <c r="C282" i="12"/>
  <c r="AC282" i="12"/>
  <c r="I282" i="12"/>
  <c r="J282" i="12"/>
  <c r="D282" i="12"/>
  <c r="B272" i="20"/>
  <c r="A272" i="20"/>
  <c r="O272" i="20"/>
  <c r="P272" i="20"/>
  <c r="C272" i="20"/>
  <c r="C274" i="12"/>
  <c r="AC274" i="12"/>
  <c r="J274" i="12"/>
  <c r="I274" i="12"/>
  <c r="D274" i="12"/>
  <c r="B264" i="20"/>
  <c r="A264" i="20"/>
  <c r="O264" i="20"/>
  <c r="P264" i="20"/>
  <c r="C264" i="20"/>
  <c r="C266" i="12"/>
  <c r="AC266" i="12"/>
  <c r="D266" i="12"/>
  <c r="J266" i="12"/>
  <c r="I266" i="12"/>
  <c r="B256" i="20"/>
  <c r="A256" i="20"/>
  <c r="O256" i="20"/>
  <c r="P256" i="20"/>
  <c r="C256" i="20"/>
  <c r="C258" i="12"/>
  <c r="AC258" i="12"/>
  <c r="D258" i="12"/>
  <c r="J258" i="12"/>
  <c r="I258" i="12"/>
  <c r="B248" i="20"/>
  <c r="A248" i="20"/>
  <c r="O248" i="20"/>
  <c r="P248" i="20"/>
  <c r="C248" i="20"/>
  <c r="C250" i="12"/>
  <c r="AC250" i="12"/>
  <c r="D250" i="12"/>
  <c r="J250" i="12"/>
  <c r="I250" i="12"/>
  <c r="B240" i="20"/>
  <c r="A240" i="20"/>
  <c r="O240" i="20"/>
  <c r="P240" i="20"/>
  <c r="C240" i="20"/>
  <c r="C242" i="12"/>
  <c r="AC242" i="12"/>
  <c r="J242" i="12"/>
  <c r="I242" i="12"/>
  <c r="D242" i="12"/>
  <c r="B232" i="20"/>
  <c r="A232" i="20"/>
  <c r="O232" i="20"/>
  <c r="P232" i="20"/>
  <c r="C232" i="20"/>
  <c r="C234" i="12"/>
  <c r="AC234" i="12"/>
  <c r="J234" i="12"/>
  <c r="I234" i="12"/>
  <c r="D234" i="12"/>
  <c r="B224" i="20"/>
  <c r="A224" i="20"/>
  <c r="O224" i="20"/>
  <c r="P224" i="20"/>
  <c r="C224" i="20"/>
  <c r="C226" i="12"/>
  <c r="AC226" i="12"/>
  <c r="J226" i="12"/>
  <c r="I226" i="12"/>
  <c r="D226" i="12"/>
  <c r="P216" i="20"/>
  <c r="O216" i="20"/>
  <c r="C216" i="20"/>
  <c r="B216" i="20"/>
  <c r="A216" i="20"/>
  <c r="C218" i="12"/>
  <c r="AC218" i="12"/>
  <c r="J218" i="12"/>
  <c r="I218" i="12"/>
  <c r="D218" i="12"/>
  <c r="P208" i="20"/>
  <c r="O208" i="20"/>
  <c r="C208" i="20"/>
  <c r="B208" i="20"/>
  <c r="A208" i="20"/>
  <c r="C210" i="12"/>
  <c r="AC210" i="12"/>
  <c r="J210" i="12"/>
  <c r="I210" i="12"/>
  <c r="D210" i="12"/>
  <c r="P200" i="20"/>
  <c r="O200" i="20"/>
  <c r="C200" i="20"/>
  <c r="B200" i="20"/>
  <c r="A200" i="20"/>
  <c r="C202" i="12"/>
  <c r="AC202" i="12"/>
  <c r="J202" i="12"/>
  <c r="I202" i="12"/>
  <c r="D202" i="12"/>
  <c r="P192" i="20"/>
  <c r="C192" i="20"/>
  <c r="B192" i="20"/>
  <c r="A192" i="20"/>
  <c r="C194" i="12"/>
  <c r="AC194" i="12"/>
  <c r="J194" i="12"/>
  <c r="I194" i="12"/>
  <c r="D194" i="12"/>
  <c r="P184" i="20"/>
  <c r="O184" i="20"/>
  <c r="C184" i="20"/>
  <c r="B184" i="20"/>
  <c r="A184" i="20"/>
  <c r="C186" i="12"/>
  <c r="AC186" i="12"/>
  <c r="J186" i="12"/>
  <c r="I186" i="12"/>
  <c r="D186" i="12"/>
  <c r="P176" i="20"/>
  <c r="O176" i="20"/>
  <c r="C176" i="20"/>
  <c r="B176" i="20"/>
  <c r="A176" i="20"/>
  <c r="C178" i="12"/>
  <c r="AC178" i="12"/>
  <c r="J178" i="12"/>
  <c r="I178" i="12"/>
  <c r="D178" i="12"/>
  <c r="P168" i="20"/>
  <c r="A168" i="20"/>
  <c r="O168" i="20"/>
  <c r="C168" i="20"/>
  <c r="B168" i="20"/>
  <c r="C170" i="12"/>
  <c r="AC170" i="12"/>
  <c r="J170" i="12"/>
  <c r="I170" i="12"/>
  <c r="D170" i="12"/>
  <c r="P160" i="20"/>
  <c r="B160" i="20"/>
  <c r="A160" i="20"/>
  <c r="O160" i="20"/>
  <c r="C160" i="20"/>
  <c r="AC162" i="12"/>
  <c r="I162" i="12"/>
  <c r="D162" i="12"/>
  <c r="C162" i="12"/>
  <c r="J162" i="12"/>
  <c r="P136" i="20"/>
  <c r="O136" i="20"/>
  <c r="C136" i="20"/>
  <c r="B136" i="20"/>
  <c r="A136" i="20"/>
  <c r="AC138" i="12"/>
  <c r="I138" i="12"/>
  <c r="D138" i="12"/>
  <c r="C138" i="12"/>
  <c r="J138" i="12"/>
  <c r="P350" i="20"/>
  <c r="C350" i="20"/>
  <c r="B350" i="20"/>
  <c r="A350" i="20"/>
  <c r="O350" i="20"/>
  <c r="C353" i="12"/>
  <c r="AC353" i="12"/>
  <c r="J353" i="12"/>
  <c r="I353" i="12"/>
  <c r="D353" i="12"/>
  <c r="P342" i="20"/>
  <c r="C342" i="20"/>
  <c r="B342" i="20"/>
  <c r="A342" i="20"/>
  <c r="O342" i="20"/>
  <c r="C345" i="12"/>
  <c r="AC345" i="12"/>
  <c r="J345" i="12"/>
  <c r="I345" i="12"/>
  <c r="D345" i="12"/>
  <c r="P335" i="20"/>
  <c r="A335" i="20"/>
  <c r="O335" i="20"/>
  <c r="C335" i="20"/>
  <c r="B335" i="20"/>
  <c r="C337" i="12"/>
  <c r="AC337" i="12"/>
  <c r="J337" i="12"/>
  <c r="I337" i="12"/>
  <c r="D337" i="12"/>
  <c r="P327" i="20"/>
  <c r="A327" i="20"/>
  <c r="O327" i="20"/>
  <c r="C327" i="20"/>
  <c r="B327" i="20"/>
  <c r="C329" i="12"/>
  <c r="AC329" i="12"/>
  <c r="J329" i="12"/>
  <c r="I329" i="12"/>
  <c r="D329" i="12"/>
  <c r="P319" i="20"/>
  <c r="A319" i="20"/>
  <c r="O319" i="20"/>
  <c r="C319" i="20"/>
  <c r="B319" i="20"/>
  <c r="C321" i="12"/>
  <c r="AC321" i="12"/>
  <c r="J321" i="12"/>
  <c r="I321" i="12"/>
  <c r="D321" i="12"/>
  <c r="P311" i="20"/>
  <c r="A311" i="20"/>
  <c r="O311" i="20"/>
  <c r="C311" i="20"/>
  <c r="B311" i="20"/>
  <c r="C313" i="12"/>
  <c r="AC313" i="12"/>
  <c r="J313" i="12"/>
  <c r="I313" i="12"/>
  <c r="D313" i="12"/>
  <c r="P303" i="20"/>
  <c r="A303" i="20"/>
  <c r="O303" i="20"/>
  <c r="C303" i="20"/>
  <c r="B303" i="20"/>
  <c r="C305" i="12"/>
  <c r="AC305" i="12"/>
  <c r="J305" i="12"/>
  <c r="I305" i="12"/>
  <c r="D305" i="12"/>
  <c r="P295" i="20"/>
  <c r="A295" i="20"/>
  <c r="O295" i="20"/>
  <c r="C295" i="20"/>
  <c r="B295" i="20"/>
  <c r="C297" i="12"/>
  <c r="AC297" i="12"/>
  <c r="J297" i="12"/>
  <c r="I297" i="12"/>
  <c r="D297" i="12"/>
  <c r="P287" i="20"/>
  <c r="A287" i="20"/>
  <c r="O287" i="20"/>
  <c r="C287" i="20"/>
  <c r="B287" i="20"/>
  <c r="C289" i="12"/>
  <c r="AC289" i="12"/>
  <c r="J289" i="12"/>
  <c r="I289" i="12"/>
  <c r="D289" i="12"/>
  <c r="P279" i="20"/>
  <c r="A279" i="20"/>
  <c r="O279" i="20"/>
  <c r="C279" i="20"/>
  <c r="B279" i="20"/>
  <c r="C281" i="12"/>
  <c r="AC281" i="12"/>
  <c r="J281" i="12"/>
  <c r="I281" i="12"/>
  <c r="D281" i="12"/>
  <c r="P271" i="20"/>
  <c r="A271" i="20"/>
  <c r="O271" i="20"/>
  <c r="C271" i="20"/>
  <c r="B271" i="20"/>
  <c r="C273" i="12"/>
  <c r="AC273" i="12"/>
  <c r="J273" i="12"/>
  <c r="I273" i="12"/>
  <c r="D273" i="12"/>
  <c r="P263" i="20"/>
  <c r="A263" i="20"/>
  <c r="O263" i="20"/>
  <c r="C263" i="20"/>
  <c r="B263" i="20"/>
  <c r="C265" i="12"/>
  <c r="AC265" i="12"/>
  <c r="D265" i="12"/>
  <c r="J265" i="12"/>
  <c r="I265" i="12"/>
  <c r="P255" i="20"/>
  <c r="A255" i="20"/>
  <c r="O255" i="20"/>
  <c r="C255" i="20"/>
  <c r="B255" i="20"/>
  <c r="C257" i="12"/>
  <c r="AC257" i="12"/>
  <c r="D257" i="12"/>
  <c r="J257" i="12"/>
  <c r="I257" i="12"/>
  <c r="P247" i="20"/>
  <c r="A247" i="20"/>
  <c r="O247" i="20"/>
  <c r="C247" i="20"/>
  <c r="B247" i="20"/>
  <c r="C249" i="12"/>
  <c r="AC249" i="12"/>
  <c r="D249" i="12"/>
  <c r="J249" i="12"/>
  <c r="I249" i="12"/>
  <c r="P239" i="20"/>
  <c r="A239" i="20"/>
  <c r="O239" i="20"/>
  <c r="C239" i="20"/>
  <c r="B239" i="20"/>
  <c r="C241" i="12"/>
  <c r="AC241" i="12"/>
  <c r="D241" i="12"/>
  <c r="J241" i="12"/>
  <c r="I241" i="12"/>
  <c r="P231" i="20"/>
  <c r="A231" i="20"/>
  <c r="O231" i="20"/>
  <c r="C231" i="20"/>
  <c r="B231" i="20"/>
  <c r="C233" i="12"/>
  <c r="AC233" i="12"/>
  <c r="D233" i="12"/>
  <c r="J233" i="12"/>
  <c r="I233" i="12"/>
  <c r="P223" i="20"/>
  <c r="A223" i="20"/>
  <c r="O223" i="20"/>
  <c r="C223" i="20"/>
  <c r="B223" i="20"/>
  <c r="C225" i="12"/>
  <c r="AC225" i="12"/>
  <c r="D225" i="12"/>
  <c r="J225" i="12"/>
  <c r="I225" i="12"/>
  <c r="O215" i="20"/>
  <c r="C215" i="20"/>
  <c r="B215" i="20"/>
  <c r="A215" i="20"/>
  <c r="P215" i="20"/>
  <c r="C217" i="12"/>
  <c r="AC217" i="12"/>
  <c r="D217" i="12"/>
  <c r="J217" i="12"/>
  <c r="I217" i="12"/>
  <c r="O207" i="20"/>
  <c r="C207" i="20"/>
  <c r="B207" i="20"/>
  <c r="A207" i="20"/>
  <c r="P207" i="20"/>
  <c r="C209" i="12"/>
  <c r="AC209" i="12"/>
  <c r="D209" i="12"/>
  <c r="J209" i="12"/>
  <c r="I209" i="12"/>
  <c r="O199" i="20"/>
  <c r="C199" i="20"/>
  <c r="B199" i="20"/>
  <c r="A199" i="20"/>
  <c r="P199" i="20"/>
  <c r="C201" i="12"/>
  <c r="AC201" i="12"/>
  <c r="D201" i="12"/>
  <c r="J201" i="12"/>
  <c r="I201" i="12"/>
  <c r="O191" i="20"/>
  <c r="C191" i="20"/>
  <c r="B191" i="20"/>
  <c r="A191" i="20"/>
  <c r="P191" i="20"/>
  <c r="C193" i="12"/>
  <c r="AC193" i="12"/>
  <c r="D193" i="12"/>
  <c r="J193" i="12"/>
  <c r="I193" i="12"/>
  <c r="O183" i="20"/>
  <c r="C183" i="20"/>
  <c r="B183" i="20"/>
  <c r="A183" i="20"/>
  <c r="P183" i="20"/>
  <c r="C185" i="12"/>
  <c r="AC185" i="12"/>
  <c r="D185" i="12"/>
  <c r="J185" i="12"/>
  <c r="I185" i="12"/>
  <c r="O175" i="20"/>
  <c r="C175" i="20"/>
  <c r="B175" i="20"/>
  <c r="P175" i="20"/>
  <c r="A175" i="20"/>
  <c r="C177" i="12"/>
  <c r="AC177" i="12"/>
  <c r="D177" i="12"/>
  <c r="J177" i="12"/>
  <c r="I177" i="12"/>
  <c r="O167" i="20"/>
  <c r="C167" i="20"/>
  <c r="B167" i="20"/>
  <c r="P167" i="20"/>
  <c r="A167" i="20"/>
  <c r="C169" i="12"/>
  <c r="AC169" i="12"/>
  <c r="D169" i="12"/>
  <c r="J169" i="12"/>
  <c r="I169" i="12"/>
  <c r="O159" i="20"/>
  <c r="C159" i="20"/>
  <c r="B159" i="20"/>
  <c r="P159" i="20"/>
  <c r="A159" i="20"/>
  <c r="AC161" i="12"/>
  <c r="J161" i="12"/>
  <c r="I161" i="12"/>
  <c r="D161" i="12"/>
  <c r="C161" i="12"/>
  <c r="O151" i="20"/>
  <c r="C151" i="20"/>
  <c r="B151" i="20"/>
  <c r="P151" i="20"/>
  <c r="A151" i="20"/>
  <c r="AC153" i="12"/>
  <c r="J153" i="12"/>
  <c r="I153" i="12"/>
  <c r="D153" i="12"/>
  <c r="C153" i="12"/>
  <c r="O143" i="20"/>
  <c r="C143" i="20"/>
  <c r="B143" i="20"/>
  <c r="A143" i="20"/>
  <c r="P143" i="20"/>
  <c r="AC145" i="12"/>
  <c r="J145" i="12"/>
  <c r="I145" i="12"/>
  <c r="D145" i="12"/>
  <c r="C145" i="12"/>
  <c r="O135" i="20"/>
  <c r="C135" i="20"/>
  <c r="B135" i="20"/>
  <c r="A135" i="20"/>
  <c r="P135" i="20"/>
  <c r="AC137" i="12"/>
  <c r="J137" i="12"/>
  <c r="I137" i="12"/>
  <c r="D137" i="12"/>
  <c r="C137" i="12"/>
  <c r="O127" i="20"/>
  <c r="C127" i="20"/>
  <c r="B127" i="20"/>
  <c r="A127" i="20"/>
  <c r="P127" i="20"/>
  <c r="AC129" i="12"/>
  <c r="J129" i="12"/>
  <c r="I129" i="12"/>
  <c r="D129" i="12"/>
  <c r="C129" i="12"/>
  <c r="BE118" i="19"/>
  <c r="O119" i="20"/>
  <c r="C119" i="20"/>
  <c r="B119" i="20"/>
  <c r="A119" i="20"/>
  <c r="P119" i="20"/>
  <c r="AC121" i="12"/>
  <c r="J121" i="12"/>
  <c r="I121" i="12"/>
  <c r="D121" i="12"/>
  <c r="C121" i="12"/>
  <c r="O111" i="20"/>
  <c r="C111" i="20"/>
  <c r="B111" i="20"/>
  <c r="A111" i="20"/>
  <c r="P111" i="20"/>
  <c r="AC113" i="12"/>
  <c r="J113" i="12"/>
  <c r="I113" i="12"/>
  <c r="D113" i="12"/>
  <c r="C113" i="12"/>
  <c r="O103" i="20"/>
  <c r="C103" i="20"/>
  <c r="B103" i="20"/>
  <c r="P103" i="20"/>
  <c r="A103" i="20"/>
  <c r="AC105" i="12"/>
  <c r="J105" i="12"/>
  <c r="I105" i="12"/>
  <c r="D105" i="12"/>
  <c r="C105" i="12"/>
  <c r="BE94" i="19"/>
  <c r="O95" i="20"/>
  <c r="C95" i="20"/>
  <c r="B95" i="20"/>
  <c r="P95" i="20"/>
  <c r="A95" i="20"/>
  <c r="AC97" i="12"/>
  <c r="J97" i="12"/>
  <c r="I97" i="12"/>
  <c r="D97" i="12"/>
  <c r="C97" i="12"/>
  <c r="O87" i="20"/>
  <c r="C87" i="20"/>
  <c r="B87" i="20"/>
  <c r="P87" i="20"/>
  <c r="A87" i="20"/>
  <c r="AC89" i="12"/>
  <c r="J89" i="12"/>
  <c r="I89" i="12"/>
  <c r="D89" i="12"/>
  <c r="C89" i="12"/>
  <c r="BE78" i="19"/>
  <c r="O79" i="20"/>
  <c r="C79" i="20"/>
  <c r="B79" i="20"/>
  <c r="P79" i="20"/>
  <c r="A79" i="20"/>
  <c r="AC81" i="12"/>
  <c r="J81" i="12"/>
  <c r="I81" i="12"/>
  <c r="D81" i="12"/>
  <c r="C81" i="12"/>
  <c r="BE70" i="19"/>
  <c r="O71" i="20"/>
  <c r="C71" i="20"/>
  <c r="B71" i="20"/>
  <c r="P71" i="20"/>
  <c r="A71" i="20"/>
  <c r="C73" i="12"/>
  <c r="AC73" i="12"/>
  <c r="J73" i="12"/>
  <c r="I73" i="12"/>
  <c r="D73" i="12"/>
  <c r="O64" i="20"/>
  <c r="C64" i="20"/>
  <c r="B64" i="20"/>
  <c r="P64" i="20"/>
  <c r="A64" i="20"/>
  <c r="C65" i="12"/>
  <c r="AC65" i="12"/>
  <c r="J65" i="12"/>
  <c r="I65" i="12"/>
  <c r="D65" i="12"/>
  <c r="BE54" i="19"/>
  <c r="O56" i="20"/>
  <c r="C56" i="20"/>
  <c r="B56" i="20"/>
  <c r="P56" i="20"/>
  <c r="A56" i="20"/>
  <c r="C57" i="12"/>
  <c r="AC57" i="12"/>
  <c r="J57" i="12"/>
  <c r="I57" i="12"/>
  <c r="D57" i="12"/>
  <c r="BE46" i="19"/>
  <c r="O48" i="20"/>
  <c r="C48" i="20"/>
  <c r="B48" i="20"/>
  <c r="A48" i="20"/>
  <c r="P48" i="20"/>
  <c r="C49" i="12"/>
  <c r="AC49" i="12"/>
  <c r="J49" i="12"/>
  <c r="I49" i="12"/>
  <c r="D49" i="12"/>
  <c r="BE38" i="19"/>
  <c r="O40" i="20"/>
  <c r="C40" i="20"/>
  <c r="B40" i="20"/>
  <c r="P40" i="20"/>
  <c r="A40" i="20"/>
  <c r="C41" i="12"/>
  <c r="AC41" i="12"/>
  <c r="J41" i="12"/>
  <c r="I41" i="12"/>
  <c r="D41" i="12"/>
  <c r="BV30" i="11"/>
  <c r="O32" i="20"/>
  <c r="C32" i="20"/>
  <c r="B32" i="20"/>
  <c r="P32" i="20"/>
  <c r="A32" i="20"/>
  <c r="C33" i="12"/>
  <c r="AC33" i="12"/>
  <c r="D33" i="12"/>
  <c r="I33" i="12"/>
  <c r="J33" i="12"/>
  <c r="BE22" i="19"/>
  <c r="A25" i="20"/>
  <c r="P25" i="20"/>
  <c r="O25" i="20"/>
  <c r="B25" i="20"/>
  <c r="C25" i="20"/>
  <c r="C25" i="12"/>
  <c r="AC25" i="12"/>
  <c r="D25" i="12"/>
  <c r="I25" i="12"/>
  <c r="J25" i="12"/>
  <c r="BE14" i="19"/>
  <c r="A17" i="20"/>
  <c r="O17" i="20"/>
  <c r="C17" i="20"/>
  <c r="B17" i="20"/>
  <c r="P17" i="20"/>
  <c r="C17" i="12"/>
  <c r="AC17" i="12"/>
  <c r="D17" i="12"/>
  <c r="I17" i="12"/>
  <c r="J17" i="12"/>
  <c r="A9" i="20"/>
  <c r="O9" i="20"/>
  <c r="P9" i="20"/>
  <c r="C9" i="20"/>
  <c r="B9" i="20"/>
  <c r="C9" i="12"/>
  <c r="AC9" i="12"/>
  <c r="D9" i="12"/>
  <c r="I9" i="12"/>
  <c r="J9" i="12"/>
  <c r="P339" i="20"/>
  <c r="O339" i="20"/>
  <c r="B339" i="20"/>
  <c r="A339" i="20"/>
  <c r="C339" i="20"/>
  <c r="C342" i="12"/>
  <c r="AC342" i="12"/>
  <c r="J342" i="12"/>
  <c r="I342" i="12"/>
  <c r="D342" i="12"/>
  <c r="P316" i="20"/>
  <c r="O316" i="20"/>
  <c r="C316" i="20"/>
  <c r="B316" i="20"/>
  <c r="A316" i="20"/>
  <c r="C318" i="12"/>
  <c r="AC318" i="12"/>
  <c r="J318" i="12"/>
  <c r="I318" i="12"/>
  <c r="D318" i="12"/>
  <c r="C140" i="20"/>
  <c r="B140" i="20"/>
  <c r="A140" i="20"/>
  <c r="P140" i="20"/>
  <c r="O140" i="20"/>
  <c r="AC142" i="12"/>
  <c r="J142" i="12"/>
  <c r="I142" i="12"/>
  <c r="D142" i="12"/>
  <c r="C142" i="12"/>
  <c r="B155" i="20"/>
  <c r="A155" i="20"/>
  <c r="P155" i="20"/>
  <c r="O155" i="20"/>
  <c r="C155" i="20"/>
  <c r="AC157" i="12"/>
  <c r="J157" i="12"/>
  <c r="I157" i="12"/>
  <c r="D157" i="12"/>
  <c r="C157" i="12"/>
  <c r="B351" i="20"/>
  <c r="A351" i="20"/>
  <c r="P351" i="20"/>
  <c r="O351" i="20"/>
  <c r="C351" i="20"/>
  <c r="C354" i="12"/>
  <c r="AC354" i="12"/>
  <c r="J354" i="12"/>
  <c r="I354" i="12"/>
  <c r="D354" i="12"/>
  <c r="B336" i="20"/>
  <c r="A336" i="20"/>
  <c r="P336" i="20"/>
  <c r="O336" i="20"/>
  <c r="C336" i="20"/>
  <c r="C338" i="12"/>
  <c r="AC338" i="12"/>
  <c r="J338" i="12"/>
  <c r="I338" i="12"/>
  <c r="D338" i="12"/>
  <c r="B320" i="20"/>
  <c r="A320" i="20"/>
  <c r="O320" i="20"/>
  <c r="P320" i="20"/>
  <c r="C320" i="20"/>
  <c r="C322" i="12"/>
  <c r="AC322" i="12"/>
  <c r="J322" i="12"/>
  <c r="I322" i="12"/>
  <c r="D322" i="12"/>
  <c r="B296" i="20"/>
  <c r="A296" i="20"/>
  <c r="O296" i="20"/>
  <c r="P296" i="20"/>
  <c r="C296" i="20"/>
  <c r="C298" i="12"/>
  <c r="AC298" i="12"/>
  <c r="J298" i="12"/>
  <c r="I298" i="12"/>
  <c r="D298" i="12"/>
  <c r="P144" i="20"/>
  <c r="O144" i="20"/>
  <c r="C144" i="20"/>
  <c r="B144" i="20"/>
  <c r="A144" i="20"/>
  <c r="AC146" i="12"/>
  <c r="I146" i="12"/>
  <c r="D146" i="12"/>
  <c r="C146" i="12"/>
  <c r="J146" i="12"/>
  <c r="C5" i="12"/>
  <c r="D5" i="12"/>
  <c r="J5" i="12"/>
  <c r="I5" i="12"/>
  <c r="AC5" i="12"/>
  <c r="O349" i="20"/>
  <c r="C349" i="20"/>
  <c r="B349" i="20"/>
  <c r="P349" i="20"/>
  <c r="A349" i="20"/>
  <c r="C352" i="12"/>
  <c r="AC352" i="12"/>
  <c r="J352" i="12"/>
  <c r="I352" i="12"/>
  <c r="D352" i="12"/>
  <c r="O341" i="20"/>
  <c r="C341" i="20"/>
  <c r="B341" i="20"/>
  <c r="P341" i="20"/>
  <c r="A341" i="20"/>
  <c r="C344" i="12"/>
  <c r="AC344" i="12"/>
  <c r="J344" i="12"/>
  <c r="I344" i="12"/>
  <c r="D344" i="12"/>
  <c r="C334" i="20"/>
  <c r="B334" i="20"/>
  <c r="A334" i="20"/>
  <c r="P334" i="20"/>
  <c r="C336" i="12"/>
  <c r="AC336" i="12"/>
  <c r="J336" i="12"/>
  <c r="I336" i="12"/>
  <c r="D336" i="12"/>
  <c r="O326" i="20"/>
  <c r="C326" i="20"/>
  <c r="B326" i="20"/>
  <c r="P326" i="20"/>
  <c r="A326" i="20"/>
  <c r="C328" i="12"/>
  <c r="AC328" i="12"/>
  <c r="J328" i="12"/>
  <c r="I328" i="12"/>
  <c r="D328" i="12"/>
  <c r="O318" i="20"/>
  <c r="C318" i="20"/>
  <c r="B318" i="20"/>
  <c r="A318" i="20"/>
  <c r="P318" i="20"/>
  <c r="C320" i="12"/>
  <c r="AC320" i="12"/>
  <c r="J320" i="12"/>
  <c r="I320" i="12"/>
  <c r="D320" i="12"/>
  <c r="O310" i="20"/>
  <c r="C310" i="20"/>
  <c r="B310" i="20"/>
  <c r="P310" i="20"/>
  <c r="A310" i="20"/>
  <c r="C312" i="12"/>
  <c r="AC312" i="12"/>
  <c r="I312" i="12"/>
  <c r="D312" i="12"/>
  <c r="J312" i="12"/>
  <c r="O302" i="20"/>
  <c r="C302" i="20"/>
  <c r="B302" i="20"/>
  <c r="A302" i="20"/>
  <c r="P302" i="20"/>
  <c r="C304" i="12"/>
  <c r="AC304" i="12"/>
  <c r="I304" i="12"/>
  <c r="D304" i="12"/>
  <c r="J304" i="12"/>
  <c r="O294" i="20"/>
  <c r="C294" i="20"/>
  <c r="B294" i="20"/>
  <c r="P294" i="20"/>
  <c r="A294" i="20"/>
  <c r="C296" i="12"/>
  <c r="AC296" i="12"/>
  <c r="I296" i="12"/>
  <c r="D296" i="12"/>
  <c r="J296" i="12"/>
  <c r="O286" i="20"/>
  <c r="C286" i="20"/>
  <c r="B286" i="20"/>
  <c r="A286" i="20"/>
  <c r="P286" i="20"/>
  <c r="C288" i="12"/>
  <c r="AC288" i="12"/>
  <c r="I288" i="12"/>
  <c r="D288" i="12"/>
  <c r="J288" i="12"/>
  <c r="O278" i="20"/>
  <c r="C278" i="20"/>
  <c r="B278" i="20"/>
  <c r="P278" i="20"/>
  <c r="A278" i="20"/>
  <c r="C280" i="12"/>
  <c r="AC280" i="12"/>
  <c r="I280" i="12"/>
  <c r="D280" i="12"/>
  <c r="J280" i="12"/>
  <c r="O270" i="20"/>
  <c r="C270" i="20"/>
  <c r="B270" i="20"/>
  <c r="A270" i="20"/>
  <c r="P270" i="20"/>
  <c r="C272" i="12"/>
  <c r="AC272" i="12"/>
  <c r="I272" i="12"/>
  <c r="D272" i="12"/>
  <c r="J272" i="12"/>
  <c r="O262" i="20"/>
  <c r="C262" i="20"/>
  <c r="B262" i="20"/>
  <c r="P262" i="20"/>
  <c r="A262" i="20"/>
  <c r="C264" i="12"/>
  <c r="AC264" i="12"/>
  <c r="D264" i="12"/>
  <c r="I264" i="12"/>
  <c r="J264" i="12"/>
  <c r="O254" i="20"/>
  <c r="C254" i="20"/>
  <c r="B254" i="20"/>
  <c r="A254" i="20"/>
  <c r="P254" i="20"/>
  <c r="C256" i="12"/>
  <c r="AC256" i="12"/>
  <c r="D256" i="12"/>
  <c r="I256" i="12"/>
  <c r="J256" i="12"/>
  <c r="O246" i="20"/>
  <c r="C246" i="20"/>
  <c r="B246" i="20"/>
  <c r="P246" i="20"/>
  <c r="A246" i="20"/>
  <c r="C248" i="12"/>
  <c r="AC248" i="12"/>
  <c r="D248" i="12"/>
  <c r="I248" i="12"/>
  <c r="J248" i="12"/>
  <c r="O238" i="20"/>
  <c r="C238" i="20"/>
  <c r="B238" i="20"/>
  <c r="A238" i="20"/>
  <c r="P238" i="20"/>
  <c r="C240" i="12"/>
  <c r="AC240" i="12"/>
  <c r="J240" i="12"/>
  <c r="I240" i="12"/>
  <c r="D240" i="12"/>
  <c r="O230" i="20"/>
  <c r="C230" i="20"/>
  <c r="B230" i="20"/>
  <c r="P230" i="20"/>
  <c r="A230" i="20"/>
  <c r="C232" i="12"/>
  <c r="AC232" i="12"/>
  <c r="J232" i="12"/>
  <c r="I232" i="12"/>
  <c r="D232" i="12"/>
  <c r="O222" i="20"/>
  <c r="C222" i="20"/>
  <c r="B222" i="20"/>
  <c r="A222" i="20"/>
  <c r="P222" i="20"/>
  <c r="C224" i="12"/>
  <c r="AC224" i="12"/>
  <c r="J224" i="12"/>
  <c r="I224" i="12"/>
  <c r="D224" i="12"/>
  <c r="A214" i="20"/>
  <c r="P214" i="20"/>
  <c r="O214" i="20"/>
  <c r="C214" i="20"/>
  <c r="B214" i="20"/>
  <c r="C216" i="12"/>
  <c r="AC216" i="12"/>
  <c r="J216" i="12"/>
  <c r="I216" i="12"/>
  <c r="D216" i="12"/>
  <c r="A206" i="20"/>
  <c r="P206" i="20"/>
  <c r="O206" i="20"/>
  <c r="C206" i="20"/>
  <c r="B206" i="20"/>
  <c r="C208" i="12"/>
  <c r="AC208" i="12"/>
  <c r="J208" i="12"/>
  <c r="I208" i="12"/>
  <c r="D208" i="12"/>
  <c r="A198" i="20"/>
  <c r="P198" i="20"/>
  <c r="O198" i="20"/>
  <c r="C198" i="20"/>
  <c r="B198" i="20"/>
  <c r="C200" i="12"/>
  <c r="AC200" i="12"/>
  <c r="J200" i="12"/>
  <c r="I200" i="12"/>
  <c r="D200" i="12"/>
  <c r="A190" i="20"/>
  <c r="P190" i="20"/>
  <c r="O190" i="20"/>
  <c r="C190" i="20"/>
  <c r="B190" i="20"/>
  <c r="C192" i="12"/>
  <c r="AC192" i="12"/>
  <c r="J192" i="12"/>
  <c r="I192" i="12"/>
  <c r="D192" i="12"/>
  <c r="A182" i="20"/>
  <c r="P182" i="20"/>
  <c r="O182" i="20"/>
  <c r="C182" i="20"/>
  <c r="B182" i="20"/>
  <c r="C184" i="12"/>
  <c r="AC184" i="12"/>
  <c r="J184" i="12"/>
  <c r="I184" i="12"/>
  <c r="D184" i="12"/>
  <c r="A174" i="20"/>
  <c r="P174" i="20"/>
  <c r="O174" i="20"/>
  <c r="C174" i="20"/>
  <c r="B174" i="20"/>
  <c r="C176" i="12"/>
  <c r="AC176" i="12"/>
  <c r="J176" i="12"/>
  <c r="I176" i="12"/>
  <c r="D176" i="12"/>
  <c r="A166" i="20"/>
  <c r="P166" i="20"/>
  <c r="O166" i="20"/>
  <c r="C166" i="20"/>
  <c r="B166" i="20"/>
  <c r="C168" i="12"/>
  <c r="AC168" i="12"/>
  <c r="J168" i="12"/>
  <c r="D168" i="12"/>
  <c r="I168" i="12"/>
  <c r="A158" i="20"/>
  <c r="P158" i="20"/>
  <c r="O158" i="20"/>
  <c r="C158" i="20"/>
  <c r="B158" i="20"/>
  <c r="AC160" i="12"/>
  <c r="J160" i="12"/>
  <c r="I160" i="12"/>
  <c r="D160" i="12"/>
  <c r="C160" i="12"/>
  <c r="A150" i="20"/>
  <c r="B150" i="20"/>
  <c r="P150" i="20"/>
  <c r="O150" i="20"/>
  <c r="C150" i="20"/>
  <c r="AC152" i="12"/>
  <c r="J152" i="12"/>
  <c r="I152" i="12"/>
  <c r="D152" i="12"/>
  <c r="C152" i="12"/>
  <c r="A142" i="20"/>
  <c r="P142" i="20"/>
  <c r="O142" i="20"/>
  <c r="C142" i="20"/>
  <c r="B142" i="20"/>
  <c r="AC144" i="12"/>
  <c r="J144" i="12"/>
  <c r="I144" i="12"/>
  <c r="D144" i="12"/>
  <c r="C144" i="12"/>
  <c r="A134" i="20"/>
  <c r="P134" i="20"/>
  <c r="O134" i="20"/>
  <c r="C134" i="20"/>
  <c r="B134" i="20"/>
  <c r="AC136" i="12"/>
  <c r="J136" i="12"/>
  <c r="I136" i="12"/>
  <c r="D136" i="12"/>
  <c r="C136" i="12"/>
  <c r="A126" i="20"/>
  <c r="P126" i="20"/>
  <c r="O126" i="20"/>
  <c r="C126" i="20"/>
  <c r="B126" i="20"/>
  <c r="AC128" i="12"/>
  <c r="J128" i="12"/>
  <c r="I128" i="12"/>
  <c r="D128" i="12"/>
  <c r="C128" i="12"/>
  <c r="A118" i="20"/>
  <c r="O118" i="20"/>
  <c r="C118" i="20"/>
  <c r="B118" i="20"/>
  <c r="P118" i="20"/>
  <c r="AC120" i="12"/>
  <c r="J120" i="12"/>
  <c r="I120" i="12"/>
  <c r="D120" i="12"/>
  <c r="C120" i="12"/>
  <c r="A110" i="20"/>
  <c r="O110" i="20"/>
  <c r="C110" i="20"/>
  <c r="B110" i="20"/>
  <c r="P110" i="20"/>
  <c r="AC112" i="12"/>
  <c r="J112" i="12"/>
  <c r="I112" i="12"/>
  <c r="D112" i="12"/>
  <c r="C112" i="12"/>
  <c r="A102" i="20"/>
  <c r="C102" i="20"/>
  <c r="B102" i="20"/>
  <c r="P102" i="20"/>
  <c r="O102" i="20"/>
  <c r="AC104" i="12"/>
  <c r="J104" i="12"/>
  <c r="I104" i="12"/>
  <c r="D104" i="12"/>
  <c r="C104" i="12"/>
  <c r="A94" i="20"/>
  <c r="B94" i="20"/>
  <c r="P94" i="20"/>
  <c r="O94" i="20"/>
  <c r="C94" i="20"/>
  <c r="AC96" i="12"/>
  <c r="J96" i="12"/>
  <c r="I96" i="12"/>
  <c r="D96" i="12"/>
  <c r="C96" i="12"/>
  <c r="A86" i="20"/>
  <c r="P86" i="20"/>
  <c r="O86" i="20"/>
  <c r="C86" i="20"/>
  <c r="B86" i="20"/>
  <c r="AC88" i="12"/>
  <c r="J88" i="12"/>
  <c r="I88" i="12"/>
  <c r="D88" i="12"/>
  <c r="C88" i="12"/>
  <c r="A78" i="20"/>
  <c r="B78" i="20"/>
  <c r="P78" i="20"/>
  <c r="O78" i="20"/>
  <c r="C78" i="20"/>
  <c r="AC80" i="12"/>
  <c r="I80" i="12"/>
  <c r="D80" i="12"/>
  <c r="C80" i="12"/>
  <c r="J80" i="12"/>
  <c r="A70" i="20"/>
  <c r="C70" i="20"/>
  <c r="B70" i="20"/>
  <c r="P70" i="20"/>
  <c r="O70" i="20"/>
  <c r="C72" i="12"/>
  <c r="AC72" i="12"/>
  <c r="J72" i="12"/>
  <c r="I72" i="12"/>
  <c r="D72" i="12"/>
  <c r="A63" i="20"/>
  <c r="O63" i="20"/>
  <c r="C63" i="20"/>
  <c r="B63" i="20"/>
  <c r="P63" i="20"/>
  <c r="C64" i="12"/>
  <c r="AC64" i="12"/>
  <c r="J64" i="12"/>
  <c r="I64" i="12"/>
  <c r="D64" i="12"/>
  <c r="A55" i="20"/>
  <c r="P55" i="20"/>
  <c r="C55" i="20"/>
  <c r="B55" i="20"/>
  <c r="C56" i="12"/>
  <c r="AC56" i="12"/>
  <c r="J56" i="12"/>
  <c r="I56" i="12"/>
  <c r="D56" i="12"/>
  <c r="A47" i="20"/>
  <c r="P47" i="20"/>
  <c r="O47" i="20"/>
  <c r="C47" i="20"/>
  <c r="B47" i="20"/>
  <c r="C48" i="12"/>
  <c r="AC48" i="12"/>
  <c r="J48" i="12"/>
  <c r="I48" i="12"/>
  <c r="D48" i="12"/>
  <c r="A39" i="20"/>
  <c r="P39" i="20"/>
  <c r="O39" i="20"/>
  <c r="C39" i="20"/>
  <c r="B39" i="20"/>
  <c r="C40" i="12"/>
  <c r="AC40" i="12"/>
  <c r="J40" i="12"/>
  <c r="I40" i="12"/>
  <c r="D40" i="12"/>
  <c r="C32" i="12"/>
  <c r="AC32" i="12"/>
  <c r="D32" i="12"/>
  <c r="J32" i="12"/>
  <c r="I32" i="12"/>
  <c r="P24" i="20"/>
  <c r="O24" i="20"/>
  <c r="C24" i="20"/>
  <c r="B24" i="20"/>
  <c r="A24" i="20"/>
  <c r="C24" i="12"/>
  <c r="AC24" i="12"/>
  <c r="D24" i="12"/>
  <c r="J24" i="12"/>
  <c r="I24" i="12"/>
  <c r="P16" i="20"/>
  <c r="O16" i="20"/>
  <c r="A16" i="20"/>
  <c r="C16" i="20"/>
  <c r="B16" i="20"/>
  <c r="C16" i="12"/>
  <c r="AC16" i="12"/>
  <c r="D16" i="12"/>
  <c r="J16" i="12"/>
  <c r="I16" i="12"/>
  <c r="P8" i="20"/>
  <c r="O8" i="20"/>
  <c r="A8" i="20"/>
  <c r="C8" i="20"/>
  <c r="B8" i="20"/>
  <c r="C8" i="12"/>
  <c r="AC8" i="12"/>
  <c r="D8" i="12"/>
  <c r="J8" i="12"/>
  <c r="I8" i="12"/>
  <c r="C156" i="20"/>
  <c r="B156" i="20"/>
  <c r="A156" i="20"/>
  <c r="P156" i="20"/>
  <c r="O156" i="20"/>
  <c r="AC158" i="12"/>
  <c r="J158" i="12"/>
  <c r="I158" i="12"/>
  <c r="D158" i="12"/>
  <c r="C158" i="12"/>
  <c r="C346" i="20"/>
  <c r="B346" i="20"/>
  <c r="A346" i="20"/>
  <c r="P346" i="20"/>
  <c r="O346" i="20"/>
  <c r="C349" i="12"/>
  <c r="AC349" i="12"/>
  <c r="J349" i="12"/>
  <c r="I349" i="12"/>
  <c r="D349" i="12"/>
  <c r="C331" i="20"/>
  <c r="B331" i="20"/>
  <c r="A331" i="20"/>
  <c r="P331" i="20"/>
  <c r="O331" i="20"/>
  <c r="C333" i="12"/>
  <c r="AC333" i="12"/>
  <c r="J333" i="12"/>
  <c r="I333" i="12"/>
  <c r="D333" i="12"/>
  <c r="C323" i="20"/>
  <c r="B323" i="20"/>
  <c r="A323" i="20"/>
  <c r="P323" i="20"/>
  <c r="O323" i="20"/>
  <c r="C325" i="12"/>
  <c r="AC325" i="12"/>
  <c r="J325" i="12"/>
  <c r="I325" i="12"/>
  <c r="D325" i="12"/>
  <c r="C307" i="20"/>
  <c r="B307" i="20"/>
  <c r="A307" i="20"/>
  <c r="P307" i="20"/>
  <c r="O307" i="20"/>
  <c r="C309" i="12"/>
  <c r="AC309" i="12"/>
  <c r="J309" i="12"/>
  <c r="I309" i="12"/>
  <c r="D309" i="12"/>
  <c r="C299" i="20"/>
  <c r="B299" i="20"/>
  <c r="A299" i="20"/>
  <c r="P299" i="20"/>
  <c r="O299" i="20"/>
  <c r="C301" i="12"/>
  <c r="AC301" i="12"/>
  <c r="J301" i="12"/>
  <c r="I301" i="12"/>
  <c r="D301" i="12"/>
  <c r="C291" i="20"/>
  <c r="B291" i="20"/>
  <c r="A291" i="20"/>
  <c r="P291" i="20"/>
  <c r="O291" i="20"/>
  <c r="C293" i="12"/>
  <c r="AC293" i="12"/>
  <c r="J293" i="12"/>
  <c r="I293" i="12"/>
  <c r="D293" i="12"/>
  <c r="C283" i="20"/>
  <c r="B283" i="20"/>
  <c r="A283" i="20"/>
  <c r="P283" i="20"/>
  <c r="O283" i="20"/>
  <c r="C285" i="12"/>
  <c r="AC285" i="12"/>
  <c r="J285" i="12"/>
  <c r="I285" i="12"/>
  <c r="D285" i="12"/>
  <c r="C275" i="20"/>
  <c r="B275" i="20"/>
  <c r="A275" i="20"/>
  <c r="P275" i="20"/>
  <c r="O275" i="20"/>
  <c r="C277" i="12"/>
  <c r="AC277" i="12"/>
  <c r="J277" i="12"/>
  <c r="I277" i="12"/>
  <c r="D277" i="12"/>
  <c r="C267" i="20"/>
  <c r="B267" i="20"/>
  <c r="A267" i="20"/>
  <c r="P267" i="20"/>
  <c r="O267" i="20"/>
  <c r="C269" i="12"/>
  <c r="AC269" i="12"/>
  <c r="D269" i="12"/>
  <c r="J269" i="12"/>
  <c r="I269" i="12"/>
  <c r="C259" i="20"/>
  <c r="B259" i="20"/>
  <c r="A259" i="20"/>
  <c r="P259" i="20"/>
  <c r="O259" i="20"/>
  <c r="C261" i="12"/>
  <c r="AC261" i="12"/>
  <c r="D261" i="12"/>
  <c r="J261" i="12"/>
  <c r="I261" i="12"/>
  <c r="C251" i="20"/>
  <c r="B251" i="20"/>
  <c r="A251" i="20"/>
  <c r="P251" i="20"/>
  <c r="O251" i="20"/>
  <c r="C253" i="12"/>
  <c r="AC253" i="12"/>
  <c r="D253" i="12"/>
  <c r="J253" i="12"/>
  <c r="I253" i="12"/>
  <c r="C243" i="20"/>
  <c r="B243" i="20"/>
  <c r="A243" i="20"/>
  <c r="P243" i="20"/>
  <c r="O243" i="20"/>
  <c r="C245" i="12"/>
  <c r="AC245" i="12"/>
  <c r="D245" i="12"/>
  <c r="J245" i="12"/>
  <c r="I245" i="12"/>
  <c r="C235" i="20"/>
  <c r="B235" i="20"/>
  <c r="A235" i="20"/>
  <c r="P235" i="20"/>
  <c r="O235" i="20"/>
  <c r="C237" i="12"/>
  <c r="AC237" i="12"/>
  <c r="D237" i="12"/>
  <c r="J237" i="12"/>
  <c r="I237" i="12"/>
  <c r="C227" i="20"/>
  <c r="B227" i="20"/>
  <c r="A227" i="20"/>
  <c r="P227" i="20"/>
  <c r="O227" i="20"/>
  <c r="C229" i="12"/>
  <c r="AC229" i="12"/>
  <c r="D229" i="12"/>
  <c r="J229" i="12"/>
  <c r="I229" i="12"/>
  <c r="C219" i="20"/>
  <c r="B219" i="20"/>
  <c r="A219" i="20"/>
  <c r="P219" i="20"/>
  <c r="O219" i="20"/>
  <c r="C221" i="12"/>
  <c r="AC221" i="12"/>
  <c r="D221" i="12"/>
  <c r="J221" i="12"/>
  <c r="I221" i="12"/>
  <c r="P211" i="20"/>
  <c r="O211" i="20"/>
  <c r="C211" i="20"/>
  <c r="B211" i="20"/>
  <c r="A211" i="20"/>
  <c r="C213" i="12"/>
  <c r="AC213" i="12"/>
  <c r="D213" i="12"/>
  <c r="J213" i="12"/>
  <c r="I213" i="12"/>
  <c r="P203" i="20"/>
  <c r="O203" i="20"/>
  <c r="C203" i="20"/>
  <c r="B203" i="20"/>
  <c r="A203" i="20"/>
  <c r="C205" i="12"/>
  <c r="AC205" i="12"/>
  <c r="D205" i="12"/>
  <c r="J205" i="12"/>
  <c r="I205" i="12"/>
  <c r="P195" i="20"/>
  <c r="O195" i="20"/>
  <c r="C195" i="20"/>
  <c r="B195" i="20"/>
  <c r="A195" i="20"/>
  <c r="C197" i="12"/>
  <c r="AC197" i="12"/>
  <c r="D197" i="12"/>
  <c r="J197" i="12"/>
  <c r="I197" i="12"/>
  <c r="P187" i="20"/>
  <c r="O187" i="20"/>
  <c r="C187" i="20"/>
  <c r="B187" i="20"/>
  <c r="A187" i="20"/>
  <c r="C189" i="12"/>
  <c r="AC189" i="12"/>
  <c r="D189" i="12"/>
  <c r="J189" i="12"/>
  <c r="I189" i="12"/>
  <c r="P179" i="20"/>
  <c r="O179" i="20"/>
  <c r="C179" i="20"/>
  <c r="B179" i="20"/>
  <c r="A179" i="20"/>
  <c r="C181" i="12"/>
  <c r="AC181" i="12"/>
  <c r="D181" i="12"/>
  <c r="J181" i="12"/>
  <c r="I181" i="12"/>
  <c r="P171" i="20"/>
  <c r="O171" i="20"/>
  <c r="C171" i="20"/>
  <c r="B171" i="20"/>
  <c r="A171" i="20"/>
  <c r="C173" i="12"/>
  <c r="AC173" i="12"/>
  <c r="D173" i="12"/>
  <c r="J173" i="12"/>
  <c r="I173" i="12"/>
  <c r="P139" i="20"/>
  <c r="O139" i="20"/>
  <c r="C139" i="20"/>
  <c r="B139" i="20"/>
  <c r="A139" i="20"/>
  <c r="AC141" i="12"/>
  <c r="J141" i="12"/>
  <c r="I141" i="12"/>
  <c r="D141" i="12"/>
  <c r="C141" i="12"/>
  <c r="P152" i="20"/>
  <c r="C152" i="20"/>
  <c r="B152" i="20"/>
  <c r="A152" i="20"/>
  <c r="O152" i="20"/>
  <c r="AC154" i="12"/>
  <c r="I154" i="12"/>
  <c r="D154" i="12"/>
  <c r="C154" i="12"/>
  <c r="J154" i="12"/>
  <c r="A348" i="20"/>
  <c r="P348" i="20"/>
  <c r="O348" i="20"/>
  <c r="C348" i="20"/>
  <c r="B348" i="20"/>
  <c r="C351" i="12"/>
  <c r="AC351" i="12"/>
  <c r="J351" i="12"/>
  <c r="I351" i="12"/>
  <c r="D351" i="12"/>
  <c r="A340" i="20"/>
  <c r="P340" i="20"/>
  <c r="O340" i="20"/>
  <c r="C340" i="20"/>
  <c r="B340" i="20"/>
  <c r="C343" i="12"/>
  <c r="AC343" i="12"/>
  <c r="J343" i="12"/>
  <c r="I343" i="12"/>
  <c r="D343" i="12"/>
  <c r="A333" i="20"/>
  <c r="C333" i="20"/>
  <c r="P333" i="20"/>
  <c r="O333" i="20"/>
  <c r="B333" i="20"/>
  <c r="C335" i="12"/>
  <c r="AC335" i="12"/>
  <c r="J335" i="12"/>
  <c r="I335" i="12"/>
  <c r="D335" i="12"/>
  <c r="A325" i="20"/>
  <c r="C325" i="20"/>
  <c r="P325" i="20"/>
  <c r="O325" i="20"/>
  <c r="B325" i="20"/>
  <c r="C327" i="12"/>
  <c r="AC327" i="12"/>
  <c r="J327" i="12"/>
  <c r="I327" i="12"/>
  <c r="D327" i="12"/>
  <c r="A317" i="20"/>
  <c r="C317" i="20"/>
  <c r="P317" i="20"/>
  <c r="O317" i="20"/>
  <c r="B317" i="20"/>
  <c r="C319" i="12"/>
  <c r="AC319" i="12"/>
  <c r="J319" i="12"/>
  <c r="I319" i="12"/>
  <c r="D319" i="12"/>
  <c r="A309" i="20"/>
  <c r="C309" i="20"/>
  <c r="P309" i="20"/>
  <c r="O309" i="20"/>
  <c r="B309" i="20"/>
  <c r="C311" i="12"/>
  <c r="AC311" i="12"/>
  <c r="D311" i="12"/>
  <c r="J311" i="12"/>
  <c r="I311" i="12"/>
  <c r="A301" i="20"/>
  <c r="C301" i="20"/>
  <c r="P301" i="20"/>
  <c r="O301" i="20"/>
  <c r="B301" i="20"/>
  <c r="C303" i="12"/>
  <c r="AC303" i="12"/>
  <c r="D303" i="12"/>
  <c r="J303" i="12"/>
  <c r="I303" i="12"/>
  <c r="A293" i="20"/>
  <c r="C293" i="20"/>
  <c r="P293" i="20"/>
  <c r="O293" i="20"/>
  <c r="B293" i="20"/>
  <c r="C295" i="12"/>
  <c r="AC295" i="12"/>
  <c r="D295" i="12"/>
  <c r="J295" i="12"/>
  <c r="I295" i="12"/>
  <c r="A285" i="20"/>
  <c r="C285" i="20"/>
  <c r="P285" i="20"/>
  <c r="O285" i="20"/>
  <c r="B285" i="20"/>
  <c r="C287" i="12"/>
  <c r="AC287" i="12"/>
  <c r="D287" i="12"/>
  <c r="J287" i="12"/>
  <c r="I287" i="12"/>
  <c r="A277" i="20"/>
  <c r="C277" i="20"/>
  <c r="P277" i="20"/>
  <c r="O277" i="20"/>
  <c r="B277" i="20"/>
  <c r="C279" i="12"/>
  <c r="AC279" i="12"/>
  <c r="D279" i="12"/>
  <c r="J279" i="12"/>
  <c r="I279" i="12"/>
  <c r="A269" i="20"/>
  <c r="C269" i="20"/>
  <c r="P269" i="20"/>
  <c r="O269" i="20"/>
  <c r="B269" i="20"/>
  <c r="AC271" i="12"/>
  <c r="C271" i="12"/>
  <c r="D271" i="12"/>
  <c r="J271" i="12"/>
  <c r="I271" i="12"/>
  <c r="A261" i="20"/>
  <c r="C261" i="20"/>
  <c r="P261" i="20"/>
  <c r="O261" i="20"/>
  <c r="B261" i="20"/>
  <c r="C263" i="12"/>
  <c r="AC263" i="12"/>
  <c r="D263" i="12"/>
  <c r="J263" i="12"/>
  <c r="I263" i="12"/>
  <c r="A253" i="20"/>
  <c r="C253" i="20"/>
  <c r="P253" i="20"/>
  <c r="O253" i="20"/>
  <c r="B253" i="20"/>
  <c r="C255" i="12"/>
  <c r="AC255" i="12"/>
  <c r="D255" i="12"/>
  <c r="J255" i="12"/>
  <c r="I255" i="12"/>
  <c r="A245" i="20"/>
  <c r="C245" i="20"/>
  <c r="P245" i="20"/>
  <c r="O245" i="20"/>
  <c r="B245" i="20"/>
  <c r="C247" i="12"/>
  <c r="AC247" i="12"/>
  <c r="D247" i="12"/>
  <c r="J247" i="12"/>
  <c r="I247" i="12"/>
  <c r="A237" i="20"/>
  <c r="C237" i="20"/>
  <c r="P237" i="20"/>
  <c r="O237" i="20"/>
  <c r="B237" i="20"/>
  <c r="C239" i="12"/>
  <c r="AC239" i="12"/>
  <c r="J239" i="12"/>
  <c r="I239" i="12"/>
  <c r="D239" i="12"/>
  <c r="A229" i="20"/>
  <c r="C229" i="20"/>
  <c r="P229" i="20"/>
  <c r="O229" i="20"/>
  <c r="B229" i="20"/>
  <c r="C231" i="12"/>
  <c r="AC231" i="12"/>
  <c r="J231" i="12"/>
  <c r="I231" i="12"/>
  <c r="D231" i="12"/>
  <c r="A221" i="20"/>
  <c r="C221" i="20"/>
  <c r="P221" i="20"/>
  <c r="O221" i="20"/>
  <c r="B221" i="20"/>
  <c r="C223" i="12"/>
  <c r="AC223" i="12"/>
  <c r="J223" i="12"/>
  <c r="I223" i="12"/>
  <c r="D223" i="12"/>
  <c r="P213" i="20"/>
  <c r="O213" i="20"/>
  <c r="C213" i="20"/>
  <c r="B213" i="20"/>
  <c r="A213" i="20"/>
  <c r="C215" i="12"/>
  <c r="AC215" i="12"/>
  <c r="J215" i="12"/>
  <c r="I215" i="12"/>
  <c r="D215" i="12"/>
  <c r="P205" i="20"/>
  <c r="O205" i="20"/>
  <c r="C205" i="20"/>
  <c r="B205" i="20"/>
  <c r="A205" i="20"/>
  <c r="C207" i="12"/>
  <c r="AC207" i="12"/>
  <c r="J207" i="12"/>
  <c r="I207" i="12"/>
  <c r="D207" i="12"/>
  <c r="P197" i="20"/>
  <c r="O197" i="20"/>
  <c r="C197" i="20"/>
  <c r="B197" i="20"/>
  <c r="A197" i="20"/>
  <c r="C199" i="12"/>
  <c r="AC199" i="12"/>
  <c r="J199" i="12"/>
  <c r="I199" i="12"/>
  <c r="D199" i="12"/>
  <c r="P189" i="20"/>
  <c r="O189" i="20"/>
  <c r="C189" i="20"/>
  <c r="B189" i="20"/>
  <c r="A189" i="20"/>
  <c r="C191" i="12"/>
  <c r="AC191" i="12"/>
  <c r="J191" i="12"/>
  <c r="I191" i="12"/>
  <c r="D191" i="12"/>
  <c r="P181" i="20"/>
  <c r="O181" i="20"/>
  <c r="C181" i="20"/>
  <c r="B181" i="20"/>
  <c r="A181" i="20"/>
  <c r="C183" i="12"/>
  <c r="AC183" i="12"/>
  <c r="J183" i="12"/>
  <c r="I183" i="12"/>
  <c r="D183" i="12"/>
  <c r="P173" i="20"/>
  <c r="O173" i="20"/>
  <c r="A173" i="20"/>
  <c r="C173" i="20"/>
  <c r="B173" i="20"/>
  <c r="C175" i="12"/>
  <c r="AC175" i="12"/>
  <c r="J175" i="12"/>
  <c r="D175" i="12"/>
  <c r="I175" i="12"/>
  <c r="P165" i="20"/>
  <c r="O165" i="20"/>
  <c r="B165" i="20"/>
  <c r="A165" i="20"/>
  <c r="C165" i="20"/>
  <c r="C167" i="12"/>
  <c r="AC167" i="12"/>
  <c r="J167" i="12"/>
  <c r="D167" i="12"/>
  <c r="I167" i="12"/>
  <c r="P157" i="20"/>
  <c r="O157" i="20"/>
  <c r="C157" i="20"/>
  <c r="B157" i="20"/>
  <c r="A157" i="20"/>
  <c r="AC159" i="12"/>
  <c r="D159" i="12"/>
  <c r="C159" i="12"/>
  <c r="J159" i="12"/>
  <c r="I159" i="12"/>
  <c r="P149" i="20"/>
  <c r="O149" i="20"/>
  <c r="C149" i="20"/>
  <c r="B149" i="20"/>
  <c r="A149" i="20"/>
  <c r="AC151" i="12"/>
  <c r="D151" i="12"/>
  <c r="C151" i="12"/>
  <c r="J151" i="12"/>
  <c r="I151" i="12"/>
  <c r="P141" i="20"/>
  <c r="O141" i="20"/>
  <c r="C141" i="20"/>
  <c r="B141" i="20"/>
  <c r="A141" i="20"/>
  <c r="AC143" i="12"/>
  <c r="D143" i="12"/>
  <c r="C143" i="12"/>
  <c r="J143" i="12"/>
  <c r="I143" i="12"/>
  <c r="P133" i="20"/>
  <c r="O133" i="20"/>
  <c r="C133" i="20"/>
  <c r="B133" i="20"/>
  <c r="A133" i="20"/>
  <c r="AC135" i="12"/>
  <c r="D135" i="12"/>
  <c r="C135" i="12"/>
  <c r="J135" i="12"/>
  <c r="I135" i="12"/>
  <c r="P125" i="20"/>
  <c r="O125" i="20"/>
  <c r="C125" i="20"/>
  <c r="B125" i="20"/>
  <c r="A125" i="20"/>
  <c r="AC127" i="12"/>
  <c r="D127" i="12"/>
  <c r="C127" i="12"/>
  <c r="J127" i="12"/>
  <c r="I127" i="12"/>
  <c r="P117" i="20"/>
  <c r="O117" i="20"/>
  <c r="C117" i="20"/>
  <c r="A117" i="20"/>
  <c r="B117" i="20"/>
  <c r="AC119" i="12"/>
  <c r="D119" i="12"/>
  <c r="C119" i="12"/>
  <c r="J119" i="12"/>
  <c r="I119" i="12"/>
  <c r="P109" i="20"/>
  <c r="O109" i="20"/>
  <c r="C109" i="20"/>
  <c r="A109" i="20"/>
  <c r="B109" i="20"/>
  <c r="AC111" i="12"/>
  <c r="D111" i="12"/>
  <c r="C111" i="12"/>
  <c r="J111" i="12"/>
  <c r="I111" i="12"/>
  <c r="P101" i="20"/>
  <c r="O101" i="20"/>
  <c r="C101" i="20"/>
  <c r="B101" i="20"/>
  <c r="A101" i="20"/>
  <c r="AC103" i="12"/>
  <c r="D103" i="12"/>
  <c r="C103" i="12"/>
  <c r="J103" i="12"/>
  <c r="I103" i="12"/>
  <c r="P93" i="20"/>
  <c r="O93" i="20"/>
  <c r="C93" i="20"/>
  <c r="B93" i="20"/>
  <c r="A93" i="20"/>
  <c r="AC95" i="12"/>
  <c r="D95" i="12"/>
  <c r="C95" i="12"/>
  <c r="J95" i="12"/>
  <c r="I95" i="12"/>
  <c r="P85" i="20"/>
  <c r="O85" i="20"/>
  <c r="C85" i="20"/>
  <c r="B85" i="20"/>
  <c r="A85" i="20"/>
  <c r="AC87" i="12"/>
  <c r="D87" i="12"/>
  <c r="C87" i="12"/>
  <c r="J87" i="12"/>
  <c r="I87" i="12"/>
  <c r="P77" i="20"/>
  <c r="O77" i="20"/>
  <c r="C77" i="20"/>
  <c r="B77" i="20"/>
  <c r="A77" i="20"/>
  <c r="AC79" i="12"/>
  <c r="D79" i="12"/>
  <c r="C79" i="12"/>
  <c r="J79" i="12"/>
  <c r="I79" i="12"/>
  <c r="P69" i="20"/>
  <c r="O69" i="20"/>
  <c r="C69" i="20"/>
  <c r="B69" i="20"/>
  <c r="A69" i="20"/>
  <c r="C71" i="12"/>
  <c r="AC71" i="12"/>
  <c r="J71" i="12"/>
  <c r="I71" i="12"/>
  <c r="D71" i="12"/>
  <c r="P62" i="20"/>
  <c r="O62" i="20"/>
  <c r="C62" i="20"/>
  <c r="B62" i="20"/>
  <c r="A62" i="20"/>
  <c r="C63" i="12"/>
  <c r="AC63" i="12"/>
  <c r="J63" i="12"/>
  <c r="I63" i="12"/>
  <c r="D63" i="12"/>
  <c r="P54" i="20"/>
  <c r="O54" i="20"/>
  <c r="C54" i="20"/>
  <c r="B54" i="20"/>
  <c r="A54" i="20"/>
  <c r="C55" i="12"/>
  <c r="AC55" i="12"/>
  <c r="J55" i="12"/>
  <c r="I55" i="12"/>
  <c r="D55" i="12"/>
  <c r="P46" i="20"/>
  <c r="O46" i="20"/>
  <c r="C46" i="20"/>
  <c r="B46" i="20"/>
  <c r="A46" i="20"/>
  <c r="C47" i="12"/>
  <c r="AC47" i="12"/>
  <c r="J47" i="12"/>
  <c r="I47" i="12"/>
  <c r="D47" i="12"/>
  <c r="P38" i="20"/>
  <c r="O38" i="20"/>
  <c r="A38" i="20"/>
  <c r="C38" i="20"/>
  <c r="B38" i="20"/>
  <c r="C39" i="12"/>
  <c r="AC39" i="12"/>
  <c r="J39" i="12"/>
  <c r="I39" i="12"/>
  <c r="D39" i="12"/>
  <c r="P31" i="20"/>
  <c r="O31" i="20"/>
  <c r="C31" i="20"/>
  <c r="B31" i="20"/>
  <c r="A31" i="20"/>
  <c r="C31" i="12"/>
  <c r="AC31" i="12"/>
  <c r="D31" i="12"/>
  <c r="J31" i="12"/>
  <c r="I31" i="12"/>
  <c r="C23" i="20"/>
  <c r="B23" i="20"/>
  <c r="A23" i="20"/>
  <c r="P23" i="20"/>
  <c r="C23" i="12"/>
  <c r="AC23" i="12"/>
  <c r="D23" i="12"/>
  <c r="J23" i="12"/>
  <c r="I23" i="12"/>
  <c r="C15" i="20"/>
  <c r="B15" i="20"/>
  <c r="A15" i="20"/>
  <c r="P15" i="20"/>
  <c r="O15" i="20"/>
  <c r="C15" i="12"/>
  <c r="AC15" i="12"/>
  <c r="D15" i="12"/>
  <c r="J15" i="12"/>
  <c r="I15" i="12"/>
  <c r="C7" i="20"/>
  <c r="B7" i="20"/>
  <c r="A7" i="20"/>
  <c r="P7" i="20"/>
  <c r="O7" i="20"/>
  <c r="C7" i="12"/>
  <c r="AC7" i="12"/>
  <c r="D7" i="12"/>
  <c r="J7" i="12"/>
  <c r="I7" i="12"/>
  <c r="BE30" i="19"/>
  <c r="BE353" i="19"/>
  <c r="BU353" i="11"/>
  <c r="BV353" i="11"/>
  <c r="BE345" i="19"/>
  <c r="BV345" i="11"/>
  <c r="BU345" i="11"/>
  <c r="BE337" i="19"/>
  <c r="BU337" i="11"/>
  <c r="BV337" i="11"/>
  <c r="BE329" i="19"/>
  <c r="BU329" i="11"/>
  <c r="BV329" i="11"/>
  <c r="BE321" i="19"/>
  <c r="BV321" i="11"/>
  <c r="BU321" i="11"/>
  <c r="BE313" i="19"/>
  <c r="BV313" i="11"/>
  <c r="BU313" i="11"/>
  <c r="BE305" i="19"/>
  <c r="BU305" i="11"/>
  <c r="BV305" i="11"/>
  <c r="BE297" i="19"/>
  <c r="BV297" i="11"/>
  <c r="BU297" i="11"/>
  <c r="BE289" i="19"/>
  <c r="BV289" i="11"/>
  <c r="BU289" i="11"/>
  <c r="BE281" i="19"/>
  <c r="BV281" i="11"/>
  <c r="BU281" i="11"/>
  <c r="BE273" i="19"/>
  <c r="BV273" i="11"/>
  <c r="BU273" i="11"/>
  <c r="BE265" i="19"/>
  <c r="BV265" i="11"/>
  <c r="BU265" i="11"/>
  <c r="BE257" i="19"/>
  <c r="BV257" i="11"/>
  <c r="BU257" i="11"/>
  <c r="BE249" i="19"/>
  <c r="BU249" i="11"/>
  <c r="BV249" i="11"/>
  <c r="BE241" i="19"/>
  <c r="BV241" i="11"/>
  <c r="BU241" i="11"/>
  <c r="BE233" i="19"/>
  <c r="BV233" i="11"/>
  <c r="BU233" i="11"/>
  <c r="BE225" i="19"/>
  <c r="BU225" i="11"/>
  <c r="BV225" i="11"/>
  <c r="BE217" i="19"/>
  <c r="BV217" i="11"/>
  <c r="BU217" i="11"/>
  <c r="BE209" i="19"/>
  <c r="BV209" i="11"/>
  <c r="BU209" i="11"/>
  <c r="BE201" i="19"/>
  <c r="BV201" i="11"/>
  <c r="BU201" i="11"/>
  <c r="BE193" i="19"/>
  <c r="BV193" i="11"/>
  <c r="BU193" i="11"/>
  <c r="BE185" i="19"/>
  <c r="BV185" i="11"/>
  <c r="BU185" i="11"/>
  <c r="BE177" i="19"/>
  <c r="BV177" i="11"/>
  <c r="BU177" i="11"/>
  <c r="BE169" i="19"/>
  <c r="BV169" i="11"/>
  <c r="BU169" i="11"/>
  <c r="BE161" i="19"/>
  <c r="BU161" i="11"/>
  <c r="BV161" i="11"/>
  <c r="BE153" i="19"/>
  <c r="BV153" i="11"/>
  <c r="BU153" i="11"/>
  <c r="BE145" i="19"/>
  <c r="BU145" i="11"/>
  <c r="BV145" i="11"/>
  <c r="BE137" i="19"/>
  <c r="BV137" i="11"/>
  <c r="BU137" i="11"/>
  <c r="BE129" i="19"/>
  <c r="BU129" i="11"/>
  <c r="BV129" i="11"/>
  <c r="BE121" i="19"/>
  <c r="BV121" i="11"/>
  <c r="BU121" i="11"/>
  <c r="BE113" i="19"/>
  <c r="BU113" i="11"/>
  <c r="BV113" i="11"/>
  <c r="BE105" i="19"/>
  <c r="BV105" i="11"/>
  <c r="BU105" i="11"/>
  <c r="BE97" i="19"/>
  <c r="BU97" i="11"/>
  <c r="BV97" i="11"/>
  <c r="BE89" i="19"/>
  <c r="BV89" i="11"/>
  <c r="BU89" i="11"/>
  <c r="BE81" i="19"/>
  <c r="BV81" i="11"/>
  <c r="BU81" i="11"/>
  <c r="BE73" i="19"/>
  <c r="BU73" i="11"/>
  <c r="BV73" i="11"/>
  <c r="BE65" i="19"/>
  <c r="BU65" i="11"/>
  <c r="BV65" i="11"/>
  <c r="BE57" i="19"/>
  <c r="BU57" i="11"/>
  <c r="BV57" i="11"/>
  <c r="J87" i="6"/>
  <c r="I87" i="6"/>
  <c r="D87" i="6"/>
  <c r="C87" i="6"/>
  <c r="A87" i="18"/>
  <c r="C87" i="18"/>
  <c r="BE352" i="19"/>
  <c r="BV352" i="11"/>
  <c r="BU352" i="11"/>
  <c r="BE344" i="19"/>
  <c r="BV344" i="11"/>
  <c r="BU344" i="11"/>
  <c r="BE336" i="19"/>
  <c r="BU336" i="11"/>
  <c r="BV336" i="11"/>
  <c r="BE328" i="19"/>
  <c r="BU328" i="11"/>
  <c r="BV328" i="11"/>
  <c r="BE320" i="19"/>
  <c r="BV320" i="11"/>
  <c r="BU320" i="11"/>
  <c r="BE312" i="19"/>
  <c r="BV312" i="11"/>
  <c r="BU312" i="11"/>
  <c r="BE304" i="19"/>
  <c r="BU304" i="11"/>
  <c r="BV304" i="11"/>
  <c r="BE296" i="19"/>
  <c r="BV296" i="11"/>
  <c r="BU296" i="11"/>
  <c r="BE288" i="19"/>
  <c r="BV288" i="11"/>
  <c r="BU288" i="11"/>
  <c r="BE280" i="19"/>
  <c r="BV280" i="11"/>
  <c r="BU280" i="11"/>
  <c r="BE272" i="19"/>
  <c r="BV272" i="11"/>
  <c r="BU272" i="11"/>
  <c r="BE264" i="19"/>
  <c r="BV264" i="11"/>
  <c r="BU264" i="11"/>
  <c r="BE256" i="19"/>
  <c r="BU256" i="11"/>
  <c r="BV256" i="11"/>
  <c r="BE248" i="19"/>
  <c r="BU248" i="11"/>
  <c r="BV248" i="11"/>
  <c r="BE240" i="19"/>
  <c r="BU240" i="11"/>
  <c r="BV240" i="11"/>
  <c r="BE232" i="19"/>
  <c r="BV232" i="11"/>
  <c r="BU232" i="11"/>
  <c r="BE224" i="19"/>
  <c r="BU224" i="11"/>
  <c r="BV224" i="11"/>
  <c r="BE216" i="19"/>
  <c r="BU216" i="11"/>
  <c r="BV216" i="11"/>
  <c r="BE208" i="19"/>
  <c r="BV208" i="11"/>
  <c r="BU208" i="11"/>
  <c r="BE200" i="19"/>
  <c r="BV200" i="11"/>
  <c r="BU200" i="11"/>
  <c r="BE192" i="19"/>
  <c r="BV192" i="11"/>
  <c r="BU192" i="11"/>
  <c r="BE184" i="19"/>
  <c r="BV184" i="11"/>
  <c r="BU184" i="11"/>
  <c r="BE176" i="19"/>
  <c r="BV176" i="11"/>
  <c r="BU176" i="11"/>
  <c r="BE168" i="19"/>
  <c r="BV168" i="11"/>
  <c r="BU168" i="11"/>
  <c r="C6" i="6"/>
  <c r="I6" i="6"/>
  <c r="P6" i="18"/>
  <c r="O6" i="18"/>
  <c r="C6" i="18"/>
  <c r="A6" i="18"/>
  <c r="J6" i="6"/>
  <c r="D6" i="6"/>
  <c r="BE351" i="19"/>
  <c r="BU351" i="11"/>
  <c r="BV351" i="11"/>
  <c r="BE343" i="19"/>
  <c r="BV343" i="11"/>
  <c r="BU343" i="11"/>
  <c r="BE335" i="19"/>
  <c r="BV335" i="11"/>
  <c r="BU335" i="11"/>
  <c r="BE327" i="19"/>
  <c r="BV327" i="11"/>
  <c r="BU327" i="11"/>
  <c r="BE319" i="19"/>
  <c r="BV319" i="11"/>
  <c r="BU319" i="11"/>
  <c r="BE311" i="19"/>
  <c r="BU311" i="11"/>
  <c r="BV311" i="11"/>
  <c r="BE303" i="19"/>
  <c r="BV303" i="11"/>
  <c r="BU303" i="11"/>
  <c r="BE295" i="19"/>
  <c r="BV295" i="11"/>
  <c r="BU295" i="11"/>
  <c r="BE287" i="19"/>
  <c r="BV287" i="11"/>
  <c r="BU287" i="11"/>
  <c r="BE279" i="19"/>
  <c r="BV279" i="11"/>
  <c r="BU279" i="11"/>
  <c r="BE271" i="19"/>
  <c r="BV271" i="11"/>
  <c r="BU271" i="11"/>
  <c r="BE263" i="19"/>
  <c r="BU263" i="11"/>
  <c r="BV263" i="11"/>
  <c r="BE255" i="19"/>
  <c r="BU255" i="11"/>
  <c r="BV255" i="11"/>
  <c r="BE247" i="19"/>
  <c r="BV247" i="11"/>
  <c r="BU247" i="11"/>
  <c r="BE239" i="19"/>
  <c r="BU239" i="11"/>
  <c r="BV239" i="11"/>
  <c r="BE231" i="19"/>
  <c r="BV231" i="11"/>
  <c r="BU231" i="11"/>
  <c r="BE223" i="19"/>
  <c r="BU223" i="11"/>
  <c r="BV223" i="11"/>
  <c r="BE215" i="19"/>
  <c r="BU215" i="11"/>
  <c r="BV215" i="11"/>
  <c r="BE207" i="19"/>
  <c r="BU207" i="11"/>
  <c r="BV207" i="11"/>
  <c r="BE199" i="19"/>
  <c r="BU199" i="11"/>
  <c r="BV199" i="11"/>
  <c r="BE191" i="19"/>
  <c r="O192" i="20" s="1"/>
  <c r="BV191" i="11"/>
  <c r="BU191" i="11"/>
  <c r="BE183" i="19"/>
  <c r="BV183" i="11"/>
  <c r="BU183" i="11"/>
  <c r="BE175" i="19"/>
  <c r="BU175" i="11"/>
  <c r="BV175" i="11"/>
  <c r="BE167" i="19"/>
  <c r="BV167" i="11"/>
  <c r="BU167" i="11"/>
  <c r="BE159" i="19"/>
  <c r="BV159" i="11"/>
  <c r="BU159" i="11"/>
  <c r="BE151" i="19"/>
  <c r="BV151" i="11"/>
  <c r="BU151" i="11"/>
  <c r="BE143" i="19"/>
  <c r="BV143" i="11"/>
  <c r="BU143" i="11"/>
  <c r="BE135" i="19"/>
  <c r="BV135" i="11"/>
  <c r="BU135" i="11"/>
  <c r="BE350" i="19"/>
  <c r="BU350" i="11"/>
  <c r="BV350" i="11"/>
  <c r="BE342" i="19"/>
  <c r="BV342" i="11"/>
  <c r="BU342" i="11"/>
  <c r="BE334" i="19"/>
  <c r="BU334" i="11"/>
  <c r="BV334" i="11"/>
  <c r="BE326" i="19"/>
  <c r="BU326" i="11"/>
  <c r="BV326" i="11"/>
  <c r="BE318" i="19"/>
  <c r="BV318" i="11"/>
  <c r="BU318" i="11"/>
  <c r="BE310" i="19"/>
  <c r="BV310" i="11"/>
  <c r="BU310" i="11"/>
  <c r="BE302" i="19"/>
  <c r="BU302" i="11"/>
  <c r="BV302" i="11"/>
  <c r="BE294" i="19"/>
  <c r="BU294" i="11"/>
  <c r="BV294" i="11"/>
  <c r="BE286" i="19"/>
  <c r="BV286" i="11"/>
  <c r="BU286" i="11"/>
  <c r="BE278" i="19"/>
  <c r="BV278" i="11"/>
  <c r="BU278" i="11"/>
  <c r="BE270" i="19"/>
  <c r="BV270" i="11"/>
  <c r="BU270" i="11"/>
  <c r="BE262" i="19"/>
  <c r="BU262" i="11"/>
  <c r="BV262" i="11"/>
  <c r="BE254" i="19"/>
  <c r="BU254" i="11"/>
  <c r="BV254" i="11"/>
  <c r="BE246" i="19"/>
  <c r="BV246" i="11"/>
  <c r="BU246" i="11"/>
  <c r="BE238" i="19"/>
  <c r="BU238" i="11"/>
  <c r="BV238" i="11"/>
  <c r="BE230" i="19"/>
  <c r="BV230" i="11"/>
  <c r="BU230" i="11"/>
  <c r="BE222" i="19"/>
  <c r="BU222" i="11"/>
  <c r="BV222" i="11"/>
  <c r="BE214" i="19"/>
  <c r="BV214" i="11"/>
  <c r="BU214" i="11"/>
  <c r="BE2" i="19"/>
  <c r="BV2" i="11"/>
  <c r="BU2" i="11"/>
  <c r="BE349" i="19"/>
  <c r="BV349" i="11"/>
  <c r="BU349" i="11"/>
  <c r="BE341" i="19"/>
  <c r="BU341" i="11"/>
  <c r="BV341" i="11"/>
  <c r="BE333" i="19"/>
  <c r="O334" i="20" s="1"/>
  <c r="BU333" i="11"/>
  <c r="BV333" i="11"/>
  <c r="BE325" i="19"/>
  <c r="BV325" i="11"/>
  <c r="BU325" i="11"/>
  <c r="BE317" i="19"/>
  <c r="BV317" i="11"/>
  <c r="BU317" i="11"/>
  <c r="BE309" i="19"/>
  <c r="BU309" i="11"/>
  <c r="BV309" i="11"/>
  <c r="BE301" i="19"/>
  <c r="BV301" i="11"/>
  <c r="BU301" i="11"/>
  <c r="BE293" i="19"/>
  <c r="BV293" i="11"/>
  <c r="BU293" i="11"/>
  <c r="BE285" i="19"/>
  <c r="BU285" i="11"/>
  <c r="BV285" i="11"/>
  <c r="BE277" i="19"/>
  <c r="BV277" i="11"/>
  <c r="BU277" i="11"/>
  <c r="BE269" i="19"/>
  <c r="BU269" i="11"/>
  <c r="BV269" i="11"/>
  <c r="BE261" i="19"/>
  <c r="BV261" i="11"/>
  <c r="BU261" i="11"/>
  <c r="BE253" i="19"/>
  <c r="BV253" i="11"/>
  <c r="BU253" i="11"/>
  <c r="BE245" i="19"/>
  <c r="BU245" i="11"/>
  <c r="BV245" i="11"/>
  <c r="BE237" i="19"/>
  <c r="BU237" i="11"/>
  <c r="BV237" i="11"/>
  <c r="BE229" i="19"/>
  <c r="BV229" i="11"/>
  <c r="BU229" i="11"/>
  <c r="BE221" i="19"/>
  <c r="BV221" i="11"/>
  <c r="BU221" i="11"/>
  <c r="BE213" i="19"/>
  <c r="BV213" i="11"/>
  <c r="BU213" i="11"/>
  <c r="BE205" i="19"/>
  <c r="BV205" i="11"/>
  <c r="BU205" i="11"/>
  <c r="BE197" i="19"/>
  <c r="BU197" i="11"/>
  <c r="BV197" i="11"/>
  <c r="BE189" i="19"/>
  <c r="BV189" i="11"/>
  <c r="BU189" i="11"/>
  <c r="BE181" i="19"/>
  <c r="BV181" i="11"/>
  <c r="BU181" i="11"/>
  <c r="BE173" i="19"/>
  <c r="BV173" i="11"/>
  <c r="BU173" i="11"/>
  <c r="BE165" i="19"/>
  <c r="BU165" i="11"/>
  <c r="BV165" i="11"/>
  <c r="BE157" i="19"/>
  <c r="BV157" i="11"/>
  <c r="BU157" i="11"/>
  <c r="BE149" i="19"/>
  <c r="BV149" i="11"/>
  <c r="BU149" i="11"/>
  <c r="BE141" i="19"/>
  <c r="BV141" i="11"/>
  <c r="BU141" i="11"/>
  <c r="BE133" i="19"/>
  <c r="BV133" i="11"/>
  <c r="BU133" i="11"/>
  <c r="BE356" i="19"/>
  <c r="BV356" i="11"/>
  <c r="BU356" i="11"/>
  <c r="BE348" i="19"/>
  <c r="BV348" i="11"/>
  <c r="BU348" i="11"/>
  <c r="BE340" i="19"/>
  <c r="BV340" i="11"/>
  <c r="BU340" i="11"/>
  <c r="BE332" i="19"/>
  <c r="BV332" i="11"/>
  <c r="BU332" i="11"/>
  <c r="BE324" i="19"/>
  <c r="BV324" i="11"/>
  <c r="BU324" i="11"/>
  <c r="BE316" i="19"/>
  <c r="BU316" i="11"/>
  <c r="BV316" i="11"/>
  <c r="BE308" i="19"/>
  <c r="BU308" i="11"/>
  <c r="BV308" i="11"/>
  <c r="BE300" i="19"/>
  <c r="BV300" i="11"/>
  <c r="BU300" i="11"/>
  <c r="BE292" i="19"/>
  <c r="BV292" i="11"/>
  <c r="BU292" i="11"/>
  <c r="BE284" i="19"/>
  <c r="BV284" i="11"/>
  <c r="BU284" i="11"/>
  <c r="BE276" i="19"/>
  <c r="BU276" i="11"/>
  <c r="BV276" i="11"/>
  <c r="BE268" i="19"/>
  <c r="BV268" i="11"/>
  <c r="BU268" i="11"/>
  <c r="BE260" i="19"/>
  <c r="BV260" i="11"/>
  <c r="BU260" i="11"/>
  <c r="BE252" i="19"/>
  <c r="BV252" i="11"/>
  <c r="BU252" i="11"/>
  <c r="BE244" i="19"/>
  <c r="BV244" i="11"/>
  <c r="BU244" i="11"/>
  <c r="BE236" i="19"/>
  <c r="BV236" i="11"/>
  <c r="BU236" i="11"/>
  <c r="BE228" i="19"/>
  <c r="BU228" i="11"/>
  <c r="BV228" i="11"/>
  <c r="BE220" i="19"/>
  <c r="BV220" i="11"/>
  <c r="BU220" i="11"/>
  <c r="BE212" i="19"/>
  <c r="BV212" i="11"/>
  <c r="BU212" i="11"/>
  <c r="BE204" i="19"/>
  <c r="BV204" i="11"/>
  <c r="BU204" i="11"/>
  <c r="BE196" i="19"/>
  <c r="BV196" i="11"/>
  <c r="BU196" i="11"/>
  <c r="BE188" i="19"/>
  <c r="BU188" i="11"/>
  <c r="BV188" i="11"/>
  <c r="BE180" i="19"/>
  <c r="BV180" i="11"/>
  <c r="BU180" i="11"/>
  <c r="BE172" i="19"/>
  <c r="BV172" i="11"/>
  <c r="BU172" i="11"/>
  <c r="BE164" i="19"/>
  <c r="BV164" i="11"/>
  <c r="BU164" i="11"/>
  <c r="BE156" i="19"/>
  <c r="BV156" i="11"/>
  <c r="BU156" i="11"/>
  <c r="BE148" i="19"/>
  <c r="BV148" i="11"/>
  <c r="BU148" i="11"/>
  <c r="BE140" i="19"/>
  <c r="BV140" i="11"/>
  <c r="BU140" i="11"/>
  <c r="BE132" i="19"/>
  <c r="BV132" i="11"/>
  <c r="BU132" i="11"/>
  <c r="BE355" i="19"/>
  <c r="BV355" i="11"/>
  <c r="BU355" i="11"/>
  <c r="BE347" i="19"/>
  <c r="BV347" i="11"/>
  <c r="BU347" i="11"/>
  <c r="BE339" i="19"/>
  <c r="BU339" i="11"/>
  <c r="BV339" i="11"/>
  <c r="BE331" i="19"/>
  <c r="BU331" i="11"/>
  <c r="BV331" i="11"/>
  <c r="BE323" i="19"/>
  <c r="BV323" i="11"/>
  <c r="BU323" i="11"/>
  <c r="BE315" i="19"/>
  <c r="BV315" i="11"/>
  <c r="BU315" i="11"/>
  <c r="BE307" i="19"/>
  <c r="BU307" i="11"/>
  <c r="BV307" i="11"/>
  <c r="BE299" i="19"/>
  <c r="BV299" i="11"/>
  <c r="BU299" i="11"/>
  <c r="BE291" i="19"/>
  <c r="BV291" i="11"/>
  <c r="BU291" i="11"/>
  <c r="BE283" i="19"/>
  <c r="BV283" i="11"/>
  <c r="BU283" i="11"/>
  <c r="BE275" i="19"/>
  <c r="BU275" i="11"/>
  <c r="BV275" i="11"/>
  <c r="BE267" i="19"/>
  <c r="BV267" i="11"/>
  <c r="BU267" i="11"/>
  <c r="BE259" i="19"/>
  <c r="BV259" i="11"/>
  <c r="BU259" i="11"/>
  <c r="BE251" i="19"/>
  <c r="BV251" i="11"/>
  <c r="BU251" i="11"/>
  <c r="BE243" i="19"/>
  <c r="BV243" i="11"/>
  <c r="BU243" i="11"/>
  <c r="BE235" i="19"/>
  <c r="BV235" i="11"/>
  <c r="BU235" i="11"/>
  <c r="BE227" i="19"/>
  <c r="BU227" i="11"/>
  <c r="BV227" i="11"/>
  <c r="BE219" i="19"/>
  <c r="BV219" i="11"/>
  <c r="BU219" i="11"/>
  <c r="BE211" i="19"/>
  <c r="BV211" i="11"/>
  <c r="BU211" i="11"/>
  <c r="BE203" i="19"/>
  <c r="BV203" i="11"/>
  <c r="BU203" i="11"/>
  <c r="BE195" i="19"/>
  <c r="BU195" i="11"/>
  <c r="BV195" i="11"/>
  <c r="BE187" i="19"/>
  <c r="BU187" i="11"/>
  <c r="BV187" i="11"/>
  <c r="BE179" i="19"/>
  <c r="BV179" i="11"/>
  <c r="BU179" i="11"/>
  <c r="BE171" i="19"/>
  <c r="BV171" i="11"/>
  <c r="BU171" i="11"/>
  <c r="BE163" i="19"/>
  <c r="BV163" i="11"/>
  <c r="BU163" i="11"/>
  <c r="BE155" i="19"/>
  <c r="BV155" i="11"/>
  <c r="BU155" i="11"/>
  <c r="BE147" i="19"/>
  <c r="BV147" i="11"/>
  <c r="BU147" i="11"/>
  <c r="BE139" i="19"/>
  <c r="BV139" i="11"/>
  <c r="BU139" i="11"/>
  <c r="BE131" i="19"/>
  <c r="BV131" i="11"/>
  <c r="BU131" i="11"/>
  <c r="BV354" i="11"/>
  <c r="BU354" i="11"/>
  <c r="BE354" i="19"/>
  <c r="BV346" i="11"/>
  <c r="BU346" i="11"/>
  <c r="BE346" i="19"/>
  <c r="BV338" i="11"/>
  <c r="BU338" i="11"/>
  <c r="BE338" i="19"/>
  <c r="O341" i="29" s="1"/>
  <c r="BV330" i="11"/>
  <c r="BU330" i="11"/>
  <c r="BE330" i="19"/>
  <c r="BV322" i="11"/>
  <c r="BU322" i="11"/>
  <c r="BE322" i="19"/>
  <c r="BU314" i="11"/>
  <c r="BV314" i="11"/>
  <c r="BE314" i="19"/>
  <c r="BV306" i="11"/>
  <c r="BU306" i="11"/>
  <c r="BE306" i="19"/>
  <c r="BV298" i="11"/>
  <c r="BU298" i="11"/>
  <c r="BE298" i="19"/>
  <c r="BV290" i="11"/>
  <c r="BU290" i="11"/>
  <c r="BE290" i="19"/>
  <c r="BV282" i="11"/>
  <c r="BU282" i="11"/>
  <c r="BE282" i="19"/>
  <c r="BU274" i="11"/>
  <c r="BV274" i="11"/>
  <c r="BE274" i="19"/>
  <c r="BV266" i="11"/>
  <c r="BU266" i="11"/>
  <c r="BE266" i="19"/>
  <c r="BU258" i="11"/>
  <c r="BE258" i="19"/>
  <c r="BV258" i="11"/>
  <c r="BV250" i="11"/>
  <c r="BU250" i="11"/>
  <c r="BE250" i="19"/>
  <c r="BV242" i="11"/>
  <c r="BU242" i="11"/>
  <c r="BE242" i="19"/>
  <c r="BV234" i="11"/>
  <c r="BU234" i="11"/>
  <c r="BE234" i="19"/>
  <c r="BV226" i="11"/>
  <c r="BU226" i="11"/>
  <c r="BE226" i="19"/>
  <c r="BV218" i="11"/>
  <c r="BU218" i="11"/>
  <c r="BE218" i="19"/>
  <c r="BU210" i="11"/>
  <c r="BV210" i="11"/>
  <c r="BE210" i="19"/>
  <c r="BU202" i="11"/>
  <c r="BV202" i="11"/>
  <c r="BE202" i="19"/>
  <c r="BV194" i="11"/>
  <c r="BE194" i="19"/>
  <c r="BU194" i="11"/>
  <c r="BU186" i="11"/>
  <c r="BV186" i="11"/>
  <c r="BE186" i="19"/>
  <c r="BV178" i="11"/>
  <c r="BU178" i="11"/>
  <c r="BE178" i="19"/>
  <c r="BV170" i="11"/>
  <c r="BU170" i="11"/>
  <c r="BE170" i="19"/>
  <c r="BU162" i="11"/>
  <c r="BV162" i="11"/>
  <c r="BE162" i="19"/>
  <c r="BV154" i="11"/>
  <c r="BU154" i="11"/>
  <c r="BE154" i="19"/>
  <c r="BV146" i="11"/>
  <c r="BU146" i="11"/>
  <c r="BE146" i="19"/>
  <c r="BU138" i="11"/>
  <c r="BV138" i="11"/>
  <c r="BE138" i="19"/>
  <c r="BE160" i="19"/>
  <c r="BU160" i="11"/>
  <c r="BV160" i="11"/>
  <c r="BE152" i="19"/>
  <c r="BU152" i="11"/>
  <c r="BV152" i="11"/>
  <c r="BE144" i="19"/>
  <c r="BV144" i="11"/>
  <c r="BU144" i="11"/>
  <c r="BE136" i="19"/>
  <c r="BU136" i="11"/>
  <c r="BV136" i="11"/>
  <c r="BE128" i="19"/>
  <c r="BU128" i="11"/>
  <c r="BV128" i="11"/>
  <c r="BV120" i="11"/>
  <c r="BU120" i="11"/>
  <c r="BU112" i="11"/>
  <c r="BV112" i="11"/>
  <c r="BV104" i="11"/>
  <c r="BU104" i="11"/>
  <c r="BE104" i="19"/>
  <c r="BU96" i="11"/>
  <c r="BV96" i="11"/>
  <c r="BV88" i="11"/>
  <c r="BU88" i="11"/>
  <c r="BV80" i="11"/>
  <c r="BU80" i="11"/>
  <c r="BU72" i="11"/>
  <c r="BV72" i="11"/>
  <c r="BU64" i="11"/>
  <c r="BV64" i="11"/>
  <c r="BU56" i="11"/>
  <c r="BV56" i="11"/>
  <c r="BV48" i="11"/>
  <c r="BU48" i="11"/>
  <c r="BV40" i="11"/>
  <c r="BU40" i="11"/>
  <c r="BE40" i="19"/>
  <c r="BV32" i="11"/>
  <c r="BU32" i="11"/>
  <c r="BV24" i="11"/>
  <c r="BU24" i="11"/>
  <c r="BV16" i="11"/>
  <c r="BU16" i="11"/>
  <c r="BV8" i="11"/>
  <c r="BU8" i="11"/>
  <c r="BE120" i="19"/>
  <c r="BE96" i="19"/>
  <c r="BE72" i="19"/>
  <c r="BE48" i="19"/>
  <c r="BE24" i="19"/>
  <c r="BE127" i="19"/>
  <c r="BV127" i="11"/>
  <c r="BU127" i="11"/>
  <c r="BE119" i="19"/>
  <c r="BV119" i="11"/>
  <c r="BU119" i="11"/>
  <c r="BE111" i="19"/>
  <c r="BV111" i="11"/>
  <c r="BU111" i="11"/>
  <c r="BE103" i="19"/>
  <c r="BV103" i="11"/>
  <c r="BU103" i="11"/>
  <c r="BE95" i="19"/>
  <c r="BV95" i="11"/>
  <c r="BU95" i="11"/>
  <c r="BE87" i="19"/>
  <c r="BV87" i="11"/>
  <c r="BU87" i="11"/>
  <c r="BE79" i="19"/>
  <c r="BV79" i="11"/>
  <c r="BU79" i="11"/>
  <c r="BE71" i="19"/>
  <c r="BV71" i="11"/>
  <c r="BU71" i="11"/>
  <c r="BE63" i="19"/>
  <c r="O66" i="29" s="1"/>
  <c r="BU63" i="11"/>
  <c r="BV63" i="11"/>
  <c r="BE55" i="19"/>
  <c r="BU55" i="11"/>
  <c r="BV55" i="11"/>
  <c r="BE47" i="19"/>
  <c r="BV47" i="11"/>
  <c r="BU47" i="11"/>
  <c r="BE39" i="19"/>
  <c r="BV39" i="11"/>
  <c r="BU39" i="11"/>
  <c r="BE31" i="19"/>
  <c r="O33" i="20" s="1"/>
  <c r="BV31" i="11"/>
  <c r="BU31" i="11"/>
  <c r="BE23" i="19"/>
  <c r="BV23" i="11"/>
  <c r="BU23" i="11"/>
  <c r="BE15" i="19"/>
  <c r="BV15" i="11"/>
  <c r="BU15" i="11"/>
  <c r="BE7" i="19"/>
  <c r="BV7" i="11"/>
  <c r="BU7" i="11"/>
  <c r="BE206" i="19"/>
  <c r="BV206" i="11"/>
  <c r="BU206" i="11"/>
  <c r="BE198" i="19"/>
  <c r="BV198" i="11"/>
  <c r="BU198" i="11"/>
  <c r="BE190" i="19"/>
  <c r="BV190" i="11"/>
  <c r="BU190" i="11"/>
  <c r="BE182" i="19"/>
  <c r="BV182" i="11"/>
  <c r="BU182" i="11"/>
  <c r="BE174" i="19"/>
  <c r="BU174" i="11"/>
  <c r="BV174" i="11"/>
  <c r="BE166" i="19"/>
  <c r="BV166" i="11"/>
  <c r="BU166" i="11"/>
  <c r="BE158" i="19"/>
  <c r="BV158" i="11"/>
  <c r="BU158" i="11"/>
  <c r="BE150" i="19"/>
  <c r="BV150" i="11"/>
  <c r="BU150" i="11"/>
  <c r="BE142" i="19"/>
  <c r="BV142" i="11"/>
  <c r="BU142" i="11"/>
  <c r="BE134" i="19"/>
  <c r="BU134" i="11"/>
  <c r="BV134" i="11"/>
  <c r="BE126" i="19"/>
  <c r="BV126" i="11"/>
  <c r="BU126" i="11"/>
  <c r="BU118" i="11"/>
  <c r="BV118" i="11"/>
  <c r="BV110" i="11"/>
  <c r="BU110" i="11"/>
  <c r="BU102" i="11"/>
  <c r="BV102" i="11"/>
  <c r="BV94" i="11"/>
  <c r="BU94" i="11"/>
  <c r="BU86" i="11"/>
  <c r="BV86" i="11"/>
  <c r="BE16" i="19"/>
  <c r="BE125" i="19"/>
  <c r="BU125" i="11"/>
  <c r="BV125" i="11"/>
  <c r="BE117" i="19"/>
  <c r="BV117" i="11"/>
  <c r="BU117" i="11"/>
  <c r="BE109" i="19"/>
  <c r="BU109" i="11"/>
  <c r="BV109" i="11"/>
  <c r="BE101" i="19"/>
  <c r="BV101" i="11"/>
  <c r="BU101" i="11"/>
  <c r="BE93" i="19"/>
  <c r="BU93" i="11"/>
  <c r="BV93" i="11"/>
  <c r="BE85" i="19"/>
  <c r="BV85" i="11"/>
  <c r="BU85" i="11"/>
  <c r="BE77" i="19"/>
  <c r="BV77" i="11"/>
  <c r="BU77" i="11"/>
  <c r="BE69" i="19"/>
  <c r="BU69" i="11"/>
  <c r="BV69" i="11"/>
  <c r="BE61" i="19"/>
  <c r="BU61" i="11"/>
  <c r="BV61" i="11"/>
  <c r="BE53" i="19"/>
  <c r="O55" i="20" s="1"/>
  <c r="BU53" i="11"/>
  <c r="BV53" i="11"/>
  <c r="BE45" i="19"/>
  <c r="BV45" i="11"/>
  <c r="BU45" i="11"/>
  <c r="BE37" i="19"/>
  <c r="BV37" i="11"/>
  <c r="BU37" i="11"/>
  <c r="BE29" i="19"/>
  <c r="O32" i="29" s="1"/>
  <c r="BV29" i="11"/>
  <c r="BU29" i="11"/>
  <c r="BE21" i="19"/>
  <c r="BV21" i="11"/>
  <c r="BU21" i="11"/>
  <c r="BE13" i="19"/>
  <c r="BV13" i="11"/>
  <c r="BU13" i="11"/>
  <c r="BE5" i="19"/>
  <c r="BV5" i="11"/>
  <c r="BU5" i="11"/>
  <c r="BE112" i="19"/>
  <c r="BE88" i="19"/>
  <c r="BE64" i="19"/>
  <c r="BE124" i="19"/>
  <c r="BV124" i="11"/>
  <c r="BU124" i="11"/>
  <c r="BE116" i="19"/>
  <c r="BV116" i="11"/>
  <c r="BU116" i="11"/>
  <c r="BE108" i="19"/>
  <c r="BV108" i="11"/>
  <c r="BU108" i="11"/>
  <c r="BE100" i="19"/>
  <c r="BV100" i="11"/>
  <c r="BU100" i="11"/>
  <c r="BE92" i="19"/>
  <c r="BV92" i="11"/>
  <c r="BU92" i="11"/>
  <c r="BE84" i="19"/>
  <c r="BU84" i="11"/>
  <c r="BV84" i="11"/>
  <c r="BE76" i="19"/>
  <c r="BV76" i="11"/>
  <c r="BU76" i="11"/>
  <c r="BE68" i="19"/>
  <c r="BU68" i="11"/>
  <c r="BV68" i="11"/>
  <c r="BE60" i="19"/>
  <c r="BU60" i="11"/>
  <c r="BV60" i="11"/>
  <c r="BE52" i="19"/>
  <c r="BU52" i="11"/>
  <c r="BV52" i="11"/>
  <c r="BE44" i="19"/>
  <c r="BV44" i="11"/>
  <c r="BU44" i="11"/>
  <c r="BE36" i="19"/>
  <c r="BV36" i="11"/>
  <c r="BU36" i="11"/>
  <c r="BE28" i="19"/>
  <c r="BV28" i="11"/>
  <c r="BU28" i="11"/>
  <c r="BE20" i="19"/>
  <c r="O23" i="20" s="1"/>
  <c r="BV20" i="11"/>
  <c r="BU20" i="11"/>
  <c r="BE12" i="19"/>
  <c r="BV12" i="11"/>
  <c r="BU12" i="11"/>
  <c r="BE4" i="19"/>
  <c r="BV4" i="11"/>
  <c r="BU4" i="11"/>
  <c r="BE110" i="19"/>
  <c r="BE86" i="19"/>
  <c r="BE123" i="19"/>
  <c r="BV123" i="11"/>
  <c r="BU123" i="11"/>
  <c r="BE115" i="19"/>
  <c r="BV115" i="11"/>
  <c r="BU115" i="11"/>
  <c r="BE107" i="19"/>
  <c r="BV107" i="11"/>
  <c r="BU107" i="11"/>
  <c r="BE99" i="19"/>
  <c r="BV99" i="11"/>
  <c r="BU99" i="11"/>
  <c r="BE91" i="19"/>
  <c r="O92" i="20" s="1"/>
  <c r="BV91" i="11"/>
  <c r="BU91" i="11"/>
  <c r="BE83" i="19"/>
  <c r="BU83" i="11"/>
  <c r="BV83" i="11"/>
  <c r="BE75" i="19"/>
  <c r="BV75" i="11"/>
  <c r="BU75" i="11"/>
  <c r="BE67" i="19"/>
  <c r="BU67" i="11"/>
  <c r="BV67" i="11"/>
  <c r="BE59" i="19"/>
  <c r="BU59" i="11"/>
  <c r="BV59" i="11"/>
  <c r="BE51" i="19"/>
  <c r="BU51" i="11"/>
  <c r="BV51" i="11"/>
  <c r="BE43" i="19"/>
  <c r="BV43" i="11"/>
  <c r="BU43" i="11"/>
  <c r="BE35" i="19"/>
  <c r="BV35" i="11"/>
  <c r="BU35" i="11"/>
  <c r="BE27" i="19"/>
  <c r="BU27" i="11"/>
  <c r="BV27" i="11"/>
  <c r="BE19" i="19"/>
  <c r="BV19" i="11"/>
  <c r="BU19" i="11"/>
  <c r="BE11" i="19"/>
  <c r="BV11" i="11"/>
  <c r="BU11" i="11"/>
  <c r="BE3" i="19"/>
  <c r="BV3" i="11"/>
  <c r="BU3" i="11"/>
  <c r="BE80" i="19"/>
  <c r="BE56" i="19"/>
  <c r="BE32" i="19"/>
  <c r="BE8" i="19"/>
  <c r="BU130" i="11"/>
  <c r="BV130" i="11"/>
  <c r="BE130" i="19"/>
  <c r="O131" i="20" s="1"/>
  <c r="BV122" i="11"/>
  <c r="BU122" i="11"/>
  <c r="BU114" i="11"/>
  <c r="BV114" i="11"/>
  <c r="BV106" i="11"/>
  <c r="BU106" i="11"/>
  <c r="BU98" i="11"/>
  <c r="BV98" i="11"/>
  <c r="BV90" i="11"/>
  <c r="BU90" i="11"/>
  <c r="BU82" i="11"/>
  <c r="BV82" i="11"/>
  <c r="BE82" i="19"/>
  <c r="BV74" i="11"/>
  <c r="BU74" i="11"/>
  <c r="BU66" i="11"/>
  <c r="BV66" i="11"/>
  <c r="BU58" i="11"/>
  <c r="BV58" i="11"/>
  <c r="BU50" i="11"/>
  <c r="BV50" i="11"/>
  <c r="BV42" i="11"/>
  <c r="BU42" i="11"/>
  <c r="BV34" i="11"/>
  <c r="BU34" i="11"/>
  <c r="BU26" i="11"/>
  <c r="BV26" i="11"/>
  <c r="BV18" i="11"/>
  <c r="BE18" i="19"/>
  <c r="BU18" i="11"/>
  <c r="BV10" i="11"/>
  <c r="BU10" i="11"/>
  <c r="BE102" i="19"/>
  <c r="BE49" i="19"/>
  <c r="BV49" i="11"/>
  <c r="BU49" i="11"/>
  <c r="BE41" i="19"/>
  <c r="BV41" i="11"/>
  <c r="BU41" i="11"/>
  <c r="BE33" i="19"/>
  <c r="BV33" i="11"/>
  <c r="BU33" i="11"/>
  <c r="BE25" i="19"/>
  <c r="BV25" i="11"/>
  <c r="BU25" i="11"/>
  <c r="BE17" i="19"/>
  <c r="BV17" i="11"/>
  <c r="BU17" i="11"/>
  <c r="BE9" i="19"/>
  <c r="BV9" i="11"/>
  <c r="BU9" i="11"/>
  <c r="BE122" i="19"/>
  <c r="BE98" i="19"/>
  <c r="BE74" i="19"/>
  <c r="BE50" i="19"/>
  <c r="BE26" i="19"/>
  <c r="BU30" i="11"/>
  <c r="BV78" i="11"/>
  <c r="BU78" i="11"/>
  <c r="BV70" i="11"/>
  <c r="BU70" i="11"/>
  <c r="BU62" i="11"/>
  <c r="BV62" i="11"/>
  <c r="BU54" i="11"/>
  <c r="BV54" i="11"/>
  <c r="BV46" i="11"/>
  <c r="BU46" i="11"/>
  <c r="BV38" i="11"/>
  <c r="BU38" i="11"/>
  <c r="BV22" i="11"/>
  <c r="BU22" i="11"/>
  <c r="BV14" i="11"/>
  <c r="BU14" i="11"/>
  <c r="BE6" i="19"/>
  <c r="BV6" i="11"/>
  <c r="BU6" i="11"/>
  <c r="BE62" i="19"/>
  <c r="BM58" i="19"/>
  <c r="BO58" i="19" s="1"/>
  <c r="B58" i="11" s="1"/>
  <c r="O58" i="11"/>
  <c r="BH58" i="19"/>
  <c r="M58" i="11" s="1"/>
  <c r="BF58" i="19"/>
  <c r="J58" i="11" s="1"/>
  <c r="I58" i="11" s="1"/>
  <c r="BD58" i="19"/>
  <c r="BC58" i="19"/>
  <c r="X58" i="11" s="1"/>
  <c r="BA58" i="19"/>
  <c r="AZ58" i="19"/>
  <c r="BM57" i="19"/>
  <c r="BO57" i="19" s="1"/>
  <c r="B57" i="11" s="1"/>
  <c r="O57" i="11"/>
  <c r="BH57" i="19"/>
  <c r="M57" i="11" s="1"/>
  <c r="BF57" i="19"/>
  <c r="J57" i="11" s="1"/>
  <c r="I57" i="11" s="1"/>
  <c r="BD57" i="19"/>
  <c r="BC57" i="19"/>
  <c r="X57" i="11" s="1"/>
  <c r="BA57" i="19"/>
  <c r="AZ57" i="19"/>
  <c r="BM56" i="19"/>
  <c r="BN56" i="19" s="1"/>
  <c r="D56" i="11" s="1"/>
  <c r="O56" i="11"/>
  <c r="BH56" i="19"/>
  <c r="M56" i="11" s="1"/>
  <c r="BF56" i="19"/>
  <c r="J56" i="11" s="1"/>
  <c r="I56" i="11" s="1"/>
  <c r="BD56" i="19"/>
  <c r="BC56" i="19"/>
  <c r="X56" i="11" s="1"/>
  <c r="BA56" i="19"/>
  <c r="AZ56" i="19"/>
  <c r="BM55" i="19"/>
  <c r="BO55" i="19" s="1"/>
  <c r="B55" i="11" s="1"/>
  <c r="O55" i="11"/>
  <c r="BH55" i="19"/>
  <c r="M55" i="11" s="1"/>
  <c r="BF55" i="19"/>
  <c r="J55" i="11" s="1"/>
  <c r="I55" i="11" s="1"/>
  <c r="BD55" i="19"/>
  <c r="BC55" i="19"/>
  <c r="X55" i="11" s="1"/>
  <c r="BA55" i="19"/>
  <c r="AZ55" i="19"/>
  <c r="BM54" i="19"/>
  <c r="BN54" i="19" s="1"/>
  <c r="D54" i="11" s="1"/>
  <c r="O54" i="11"/>
  <c r="BH54" i="19"/>
  <c r="M54" i="11" s="1"/>
  <c r="BF54" i="19"/>
  <c r="J54" i="11" s="1"/>
  <c r="I54" i="11" s="1"/>
  <c r="BD54" i="19"/>
  <c r="BC54" i="19"/>
  <c r="X54" i="11" s="1"/>
  <c r="BA54" i="19"/>
  <c r="AZ54" i="19"/>
  <c r="BM53" i="19"/>
  <c r="BO53" i="19" s="1"/>
  <c r="B53" i="11" s="1"/>
  <c r="O53" i="11"/>
  <c r="BH53" i="19"/>
  <c r="M53" i="11" s="1"/>
  <c r="BF53" i="19"/>
  <c r="J53" i="11" s="1"/>
  <c r="I53" i="11" s="1"/>
  <c r="BD53" i="19"/>
  <c r="BC53" i="19"/>
  <c r="X53" i="11" s="1"/>
  <c r="BA53" i="19"/>
  <c r="AZ53" i="19"/>
  <c r="BM52" i="19"/>
  <c r="BN52" i="19" s="1"/>
  <c r="D52" i="11" s="1"/>
  <c r="O52" i="11"/>
  <c r="BH52" i="19"/>
  <c r="M52" i="11" s="1"/>
  <c r="BF52" i="19"/>
  <c r="J52" i="11" s="1"/>
  <c r="I52" i="11" s="1"/>
  <c r="BD52" i="19"/>
  <c r="BC52" i="19"/>
  <c r="X52" i="11" s="1"/>
  <c r="BA52" i="19"/>
  <c r="AZ52" i="19"/>
  <c r="BM51" i="19"/>
  <c r="BO51" i="19" s="1"/>
  <c r="B51" i="11" s="1"/>
  <c r="O51" i="11"/>
  <c r="BH51" i="19"/>
  <c r="M51" i="11" s="1"/>
  <c r="BF51" i="19"/>
  <c r="J51" i="11" s="1"/>
  <c r="I51" i="11" s="1"/>
  <c r="BD51" i="19"/>
  <c r="BC51" i="19"/>
  <c r="X51" i="11" s="1"/>
  <c r="BA51" i="19"/>
  <c r="AZ51" i="19"/>
  <c r="BM50" i="19"/>
  <c r="BN50" i="19" s="1"/>
  <c r="D50" i="11" s="1"/>
  <c r="O50" i="11"/>
  <c r="BH50" i="19"/>
  <c r="M50" i="11" s="1"/>
  <c r="BF50" i="19"/>
  <c r="J50" i="11" s="1"/>
  <c r="I50" i="11" s="1"/>
  <c r="BD50" i="19"/>
  <c r="BC50" i="19"/>
  <c r="X50" i="11" s="1"/>
  <c r="BA50" i="19"/>
  <c r="AZ50" i="19"/>
  <c r="BM49" i="19"/>
  <c r="BN49" i="19" s="1"/>
  <c r="D49" i="11" s="1"/>
  <c r="O49" i="11"/>
  <c r="BH49" i="19"/>
  <c r="M49" i="11" s="1"/>
  <c r="BF49" i="19"/>
  <c r="J49" i="11" s="1"/>
  <c r="I49" i="11" s="1"/>
  <c r="BD49" i="19"/>
  <c r="BC49" i="19"/>
  <c r="X49" i="11" s="1"/>
  <c r="BA49" i="19"/>
  <c r="AZ49" i="19"/>
  <c r="BM48" i="19"/>
  <c r="BN48" i="19" s="1"/>
  <c r="D48" i="11" s="1"/>
  <c r="O48" i="11"/>
  <c r="BH48" i="19"/>
  <c r="M48" i="11" s="1"/>
  <c r="BF48" i="19"/>
  <c r="J48" i="11" s="1"/>
  <c r="I48" i="11" s="1"/>
  <c r="BD48" i="19"/>
  <c r="BC48" i="19"/>
  <c r="X48" i="11" s="1"/>
  <c r="BA48" i="19"/>
  <c r="AZ48" i="19"/>
  <c r="BM47" i="19"/>
  <c r="BO47" i="19" s="1"/>
  <c r="B47" i="11" s="1"/>
  <c r="O47" i="11"/>
  <c r="BH47" i="19"/>
  <c r="M47" i="11" s="1"/>
  <c r="BF47" i="19"/>
  <c r="J47" i="11" s="1"/>
  <c r="I47" i="11" s="1"/>
  <c r="BD47" i="19"/>
  <c r="BC47" i="19"/>
  <c r="X47" i="11" s="1"/>
  <c r="BA47" i="19"/>
  <c r="AZ47" i="19"/>
  <c r="BM46" i="19"/>
  <c r="BN46" i="19" s="1"/>
  <c r="D46" i="11" s="1"/>
  <c r="O46" i="11"/>
  <c r="BH46" i="19"/>
  <c r="M46" i="11" s="1"/>
  <c r="BF46" i="19"/>
  <c r="J46" i="11" s="1"/>
  <c r="I46" i="11" s="1"/>
  <c r="BD46" i="19"/>
  <c r="BC46" i="19"/>
  <c r="X46" i="11" s="1"/>
  <c r="BA46" i="19"/>
  <c r="AZ46" i="19"/>
  <c r="BM45" i="19"/>
  <c r="BN45" i="19" s="1"/>
  <c r="D45" i="11" s="1"/>
  <c r="O45" i="11"/>
  <c r="BH45" i="19"/>
  <c r="M45" i="11" s="1"/>
  <c r="BF45" i="19"/>
  <c r="J45" i="11" s="1"/>
  <c r="I45" i="11" s="1"/>
  <c r="BD45" i="19"/>
  <c r="BC45" i="19"/>
  <c r="X45" i="11" s="1"/>
  <c r="BA45" i="19"/>
  <c r="AZ45" i="19"/>
  <c r="BM44" i="19"/>
  <c r="BN44" i="19" s="1"/>
  <c r="D44" i="11" s="1"/>
  <c r="O44" i="11"/>
  <c r="BH44" i="19"/>
  <c r="M44" i="11" s="1"/>
  <c r="BF44" i="19"/>
  <c r="J44" i="11" s="1"/>
  <c r="I44" i="11" s="1"/>
  <c r="BD44" i="19"/>
  <c r="BC44" i="19"/>
  <c r="X44" i="11" s="1"/>
  <c r="BA44" i="19"/>
  <c r="AZ44" i="19"/>
  <c r="BM43" i="19"/>
  <c r="BO43" i="19" s="1"/>
  <c r="B43" i="11" s="1"/>
  <c r="O43" i="11"/>
  <c r="BH43" i="19"/>
  <c r="M43" i="11" s="1"/>
  <c r="BF43" i="19"/>
  <c r="J43" i="11" s="1"/>
  <c r="I43" i="11" s="1"/>
  <c r="BD43" i="19"/>
  <c r="BC43" i="19"/>
  <c r="X43" i="11" s="1"/>
  <c r="BA43" i="19"/>
  <c r="AZ43" i="19"/>
  <c r="BM42" i="19"/>
  <c r="BN42" i="19" s="1"/>
  <c r="D42" i="11" s="1"/>
  <c r="O42" i="11"/>
  <c r="BH42" i="19"/>
  <c r="M42" i="11" s="1"/>
  <c r="BF42" i="19"/>
  <c r="J42" i="11" s="1"/>
  <c r="I42" i="11" s="1"/>
  <c r="BD42" i="19"/>
  <c r="BC42" i="19"/>
  <c r="X42" i="11" s="1"/>
  <c r="BA42" i="19"/>
  <c r="AZ42" i="19"/>
  <c r="BM41" i="19"/>
  <c r="BO41" i="19" s="1"/>
  <c r="B41" i="11" s="1"/>
  <c r="O41" i="11"/>
  <c r="BH41" i="19"/>
  <c r="M41" i="11" s="1"/>
  <c r="BF41" i="19"/>
  <c r="J41" i="11" s="1"/>
  <c r="I41" i="11" s="1"/>
  <c r="BD41" i="19"/>
  <c r="BC41" i="19"/>
  <c r="X41" i="11" s="1"/>
  <c r="BA41" i="19"/>
  <c r="AZ41" i="19"/>
  <c r="BM40" i="19"/>
  <c r="BN40" i="19" s="1"/>
  <c r="D40" i="11" s="1"/>
  <c r="O40" i="11"/>
  <c r="BH40" i="19"/>
  <c r="M40" i="11" s="1"/>
  <c r="BF40" i="19"/>
  <c r="J40" i="11" s="1"/>
  <c r="I40" i="11" s="1"/>
  <c r="BD40" i="19"/>
  <c r="BC40" i="19"/>
  <c r="X40" i="11" s="1"/>
  <c r="BA40" i="19"/>
  <c r="AZ40" i="19"/>
  <c r="BM39" i="19"/>
  <c r="BO39" i="19" s="1"/>
  <c r="B39" i="11" s="1"/>
  <c r="O39" i="11"/>
  <c r="BH39" i="19"/>
  <c r="M39" i="11" s="1"/>
  <c r="BF39" i="19"/>
  <c r="J39" i="11" s="1"/>
  <c r="I39" i="11" s="1"/>
  <c r="BD39" i="19"/>
  <c r="BC39" i="19"/>
  <c r="X39" i="11" s="1"/>
  <c r="BA39" i="19"/>
  <c r="AZ39" i="19"/>
  <c r="BM38" i="19"/>
  <c r="BN38" i="19" s="1"/>
  <c r="D38" i="11" s="1"/>
  <c r="O38" i="11"/>
  <c r="BH38" i="19"/>
  <c r="M38" i="11" s="1"/>
  <c r="BF38" i="19"/>
  <c r="J38" i="11" s="1"/>
  <c r="I38" i="11" s="1"/>
  <c r="BD38" i="19"/>
  <c r="BC38" i="19"/>
  <c r="X38" i="11" s="1"/>
  <c r="BA38" i="19"/>
  <c r="AZ38" i="19"/>
  <c r="BM37" i="19"/>
  <c r="BN37" i="19" s="1"/>
  <c r="D37" i="11" s="1"/>
  <c r="O37" i="11"/>
  <c r="BH37" i="19"/>
  <c r="M37" i="11" s="1"/>
  <c r="BF37" i="19"/>
  <c r="J37" i="11" s="1"/>
  <c r="I37" i="11" s="1"/>
  <c r="BD37" i="19"/>
  <c r="BC37" i="19"/>
  <c r="X37" i="11" s="1"/>
  <c r="BA37" i="19"/>
  <c r="AZ37" i="19"/>
  <c r="BM36" i="19"/>
  <c r="BN36" i="19" s="1"/>
  <c r="D36" i="11" s="1"/>
  <c r="O36" i="11"/>
  <c r="BH36" i="19"/>
  <c r="M36" i="11" s="1"/>
  <c r="BF36" i="19"/>
  <c r="J36" i="11" s="1"/>
  <c r="I36" i="11" s="1"/>
  <c r="BD36" i="19"/>
  <c r="BC36" i="19"/>
  <c r="X36" i="11" s="1"/>
  <c r="BA36" i="19"/>
  <c r="AZ36" i="19"/>
  <c r="BM35" i="19"/>
  <c r="BN35" i="19" s="1"/>
  <c r="D35" i="11" s="1"/>
  <c r="O35" i="11"/>
  <c r="BH35" i="19"/>
  <c r="M35" i="11" s="1"/>
  <c r="BF35" i="19"/>
  <c r="J35" i="11" s="1"/>
  <c r="I35" i="11" s="1"/>
  <c r="BD35" i="19"/>
  <c r="BC35" i="19"/>
  <c r="X35" i="11" s="1"/>
  <c r="BA35" i="19"/>
  <c r="AZ35" i="19"/>
  <c r="BM34" i="19"/>
  <c r="BN34" i="19" s="1"/>
  <c r="D34" i="11" s="1"/>
  <c r="O34" i="11"/>
  <c r="BH34" i="19"/>
  <c r="M34" i="11" s="1"/>
  <c r="BF34" i="19"/>
  <c r="J34" i="11" s="1"/>
  <c r="I34" i="11" s="1"/>
  <c r="BD34" i="19"/>
  <c r="BC34" i="19"/>
  <c r="X34" i="11" s="1"/>
  <c r="BA34" i="19"/>
  <c r="AZ34" i="19"/>
  <c r="BM33" i="19"/>
  <c r="BO33" i="19" s="1"/>
  <c r="B33" i="11" s="1"/>
  <c r="O33" i="11"/>
  <c r="BH33" i="19"/>
  <c r="M33" i="11" s="1"/>
  <c r="BF33" i="19"/>
  <c r="J33" i="11" s="1"/>
  <c r="I33" i="11" s="1"/>
  <c r="BD33" i="19"/>
  <c r="BC33" i="19"/>
  <c r="X33" i="11" s="1"/>
  <c r="BA33" i="19"/>
  <c r="AZ33" i="19"/>
  <c r="BM32" i="19"/>
  <c r="BN32" i="19" s="1"/>
  <c r="D32" i="11" s="1"/>
  <c r="O32" i="11"/>
  <c r="BH32" i="19"/>
  <c r="M32" i="11" s="1"/>
  <c r="BF32" i="19"/>
  <c r="J32" i="11" s="1"/>
  <c r="I32" i="11" s="1"/>
  <c r="BD32" i="19"/>
  <c r="BC32" i="19"/>
  <c r="X32" i="11" s="1"/>
  <c r="BA32" i="19"/>
  <c r="AZ32" i="19"/>
  <c r="BM31" i="19"/>
  <c r="BO31" i="19" s="1"/>
  <c r="B31" i="11" s="1"/>
  <c r="O31" i="11"/>
  <c r="BH31" i="19"/>
  <c r="M31" i="11" s="1"/>
  <c r="BF31" i="19"/>
  <c r="J31" i="11" s="1"/>
  <c r="I31" i="11" s="1"/>
  <c r="BD31" i="19"/>
  <c r="BC31" i="19"/>
  <c r="X31" i="11" s="1"/>
  <c r="BA31" i="19"/>
  <c r="AZ31" i="19"/>
  <c r="BM30" i="19"/>
  <c r="BN30" i="19" s="1"/>
  <c r="D30" i="11" s="1"/>
  <c r="O30" i="11"/>
  <c r="BH30" i="19"/>
  <c r="M30" i="11" s="1"/>
  <c r="BF30" i="19"/>
  <c r="J30" i="11" s="1"/>
  <c r="I30" i="11" s="1"/>
  <c r="BD30" i="19"/>
  <c r="BC30" i="19"/>
  <c r="X30" i="11" s="1"/>
  <c r="BA30" i="19"/>
  <c r="AZ30" i="19"/>
  <c r="BM29" i="19"/>
  <c r="BO29" i="19" s="1"/>
  <c r="B29" i="11" s="1"/>
  <c r="O29" i="11"/>
  <c r="BH29" i="19"/>
  <c r="M29" i="11" s="1"/>
  <c r="BF29" i="19"/>
  <c r="J29" i="11" s="1"/>
  <c r="I29" i="11" s="1"/>
  <c r="BD29" i="19"/>
  <c r="BC29" i="19"/>
  <c r="X29" i="11" s="1"/>
  <c r="BA29" i="19"/>
  <c r="AZ29" i="19"/>
  <c r="BM28" i="19"/>
  <c r="BN28" i="19" s="1"/>
  <c r="D28" i="11" s="1"/>
  <c r="O28" i="11"/>
  <c r="BH28" i="19"/>
  <c r="M28" i="11" s="1"/>
  <c r="BF28" i="19"/>
  <c r="J28" i="11" s="1"/>
  <c r="I28" i="11" s="1"/>
  <c r="BD28" i="19"/>
  <c r="BC28" i="19"/>
  <c r="X28" i="11" s="1"/>
  <c r="BA28" i="19"/>
  <c r="AZ28" i="19"/>
  <c r="BM27" i="19"/>
  <c r="BN27" i="19" s="1"/>
  <c r="D27" i="11" s="1"/>
  <c r="O27" i="11"/>
  <c r="BH27" i="19"/>
  <c r="M27" i="11" s="1"/>
  <c r="BF27" i="19"/>
  <c r="J27" i="11" s="1"/>
  <c r="I27" i="11" s="1"/>
  <c r="BD27" i="19"/>
  <c r="BC27" i="19"/>
  <c r="X27" i="11" s="1"/>
  <c r="BA27" i="19"/>
  <c r="AZ27" i="19"/>
  <c r="BM26" i="19"/>
  <c r="BO26" i="19" s="1"/>
  <c r="B26" i="11" s="1"/>
  <c r="O26" i="11"/>
  <c r="BH26" i="19"/>
  <c r="M26" i="11" s="1"/>
  <c r="BF26" i="19"/>
  <c r="J26" i="11" s="1"/>
  <c r="I26" i="11" s="1"/>
  <c r="BD26" i="19"/>
  <c r="BC26" i="19"/>
  <c r="X26" i="11" s="1"/>
  <c r="BA26" i="19"/>
  <c r="AZ26" i="19"/>
  <c r="BM25" i="19"/>
  <c r="BN25" i="19" s="1"/>
  <c r="D25" i="11" s="1"/>
  <c r="O25" i="11"/>
  <c r="BH25" i="19"/>
  <c r="M25" i="11" s="1"/>
  <c r="BF25" i="19"/>
  <c r="J25" i="11" s="1"/>
  <c r="I25" i="11" s="1"/>
  <c r="BD25" i="19"/>
  <c r="BC25" i="19"/>
  <c r="X25" i="11" s="1"/>
  <c r="BA25" i="19"/>
  <c r="AZ25" i="19"/>
  <c r="BM24" i="19"/>
  <c r="BO24" i="19" s="1"/>
  <c r="B24" i="11" s="1"/>
  <c r="O24" i="11"/>
  <c r="BH24" i="19"/>
  <c r="M24" i="11" s="1"/>
  <c r="BF24" i="19"/>
  <c r="J24" i="11" s="1"/>
  <c r="I24" i="11" s="1"/>
  <c r="BD24" i="19"/>
  <c r="BC24" i="19"/>
  <c r="X24" i="11" s="1"/>
  <c r="BA24" i="19"/>
  <c r="AZ24" i="19"/>
  <c r="BM23" i="19"/>
  <c r="BN23" i="19" s="1"/>
  <c r="D23" i="11" s="1"/>
  <c r="O23" i="11"/>
  <c r="BH23" i="19"/>
  <c r="M23" i="11" s="1"/>
  <c r="BF23" i="19"/>
  <c r="J23" i="11" s="1"/>
  <c r="I23" i="11" s="1"/>
  <c r="BD23" i="19"/>
  <c r="BC23" i="19"/>
  <c r="X23" i="11" s="1"/>
  <c r="BA23" i="19"/>
  <c r="AZ23" i="19"/>
  <c r="BM22" i="19"/>
  <c r="BO22" i="19" s="1"/>
  <c r="B22" i="11" s="1"/>
  <c r="O22" i="11"/>
  <c r="BH22" i="19"/>
  <c r="M22" i="11" s="1"/>
  <c r="BF22" i="19"/>
  <c r="J22" i="11" s="1"/>
  <c r="I22" i="11" s="1"/>
  <c r="BD22" i="19"/>
  <c r="BC22" i="19"/>
  <c r="X22" i="11" s="1"/>
  <c r="BA22" i="19"/>
  <c r="AZ22" i="19"/>
  <c r="BM21" i="19"/>
  <c r="BN21" i="19" s="1"/>
  <c r="D21" i="11" s="1"/>
  <c r="O21" i="11"/>
  <c r="BH21" i="19"/>
  <c r="M21" i="11" s="1"/>
  <c r="BF21" i="19"/>
  <c r="J21" i="11" s="1"/>
  <c r="I21" i="11" s="1"/>
  <c r="BD21" i="19"/>
  <c r="BC21" i="19"/>
  <c r="X21" i="11" s="1"/>
  <c r="BA21" i="19"/>
  <c r="AZ21" i="19"/>
  <c r="BM20" i="19"/>
  <c r="BO20" i="19" s="1"/>
  <c r="B20" i="11" s="1"/>
  <c r="O20" i="11"/>
  <c r="BH20" i="19"/>
  <c r="M20" i="11" s="1"/>
  <c r="BF20" i="19"/>
  <c r="J20" i="11" s="1"/>
  <c r="I20" i="11" s="1"/>
  <c r="BD20" i="19"/>
  <c r="BC20" i="19"/>
  <c r="X20" i="11" s="1"/>
  <c r="BA20" i="19"/>
  <c r="AZ20" i="19"/>
  <c r="BM19" i="19"/>
  <c r="BN19" i="19" s="1"/>
  <c r="D19" i="11" s="1"/>
  <c r="O19" i="11"/>
  <c r="BH19" i="19"/>
  <c r="M19" i="11" s="1"/>
  <c r="BF19" i="19"/>
  <c r="J19" i="11" s="1"/>
  <c r="I19" i="11" s="1"/>
  <c r="BD19" i="19"/>
  <c r="BC19" i="19"/>
  <c r="X19" i="11" s="1"/>
  <c r="BA19" i="19"/>
  <c r="AZ19" i="19"/>
  <c r="BM18" i="19"/>
  <c r="BO18" i="19" s="1"/>
  <c r="B18" i="11" s="1"/>
  <c r="O18" i="11"/>
  <c r="BH18" i="19"/>
  <c r="M18" i="11" s="1"/>
  <c r="BF18" i="19"/>
  <c r="J18" i="11" s="1"/>
  <c r="I18" i="11" s="1"/>
  <c r="BD18" i="19"/>
  <c r="BC18" i="19"/>
  <c r="X18" i="11" s="1"/>
  <c r="BA18" i="19"/>
  <c r="AZ18" i="19"/>
  <c r="BM17" i="19"/>
  <c r="BN17" i="19" s="1"/>
  <c r="D17" i="11" s="1"/>
  <c r="O17" i="11"/>
  <c r="BH17" i="19"/>
  <c r="M17" i="11" s="1"/>
  <c r="BF17" i="19"/>
  <c r="J17" i="11" s="1"/>
  <c r="I17" i="11" s="1"/>
  <c r="BD17" i="19"/>
  <c r="BC17" i="19"/>
  <c r="X17" i="11" s="1"/>
  <c r="BA17" i="19"/>
  <c r="AZ17" i="19"/>
  <c r="BM16" i="19"/>
  <c r="BO16" i="19" s="1"/>
  <c r="B16" i="11" s="1"/>
  <c r="O16" i="11"/>
  <c r="BH16" i="19"/>
  <c r="M16" i="11" s="1"/>
  <c r="BF16" i="19"/>
  <c r="J16" i="11" s="1"/>
  <c r="I16" i="11" s="1"/>
  <c r="BD16" i="19"/>
  <c r="BC16" i="19"/>
  <c r="X16" i="11" s="1"/>
  <c r="BA16" i="19"/>
  <c r="AZ16" i="19"/>
  <c r="BM15" i="19"/>
  <c r="BN15" i="19" s="1"/>
  <c r="D15" i="11" s="1"/>
  <c r="O15" i="11"/>
  <c r="BH15" i="19"/>
  <c r="M15" i="11" s="1"/>
  <c r="BF15" i="19"/>
  <c r="J15" i="11" s="1"/>
  <c r="I15" i="11" s="1"/>
  <c r="BD15" i="19"/>
  <c r="BC15" i="19"/>
  <c r="X15" i="11" s="1"/>
  <c r="BA15" i="19"/>
  <c r="AZ15" i="19"/>
  <c r="BM14" i="19"/>
  <c r="BO14" i="19" s="1"/>
  <c r="B14" i="11" s="1"/>
  <c r="O14" i="11"/>
  <c r="BH14" i="19"/>
  <c r="M14" i="11" s="1"/>
  <c r="BF14" i="19"/>
  <c r="J14" i="11" s="1"/>
  <c r="I14" i="11" s="1"/>
  <c r="BD14" i="19"/>
  <c r="BC14" i="19"/>
  <c r="X14" i="11" s="1"/>
  <c r="BA14" i="19"/>
  <c r="AZ14" i="19"/>
  <c r="BM13" i="19"/>
  <c r="BN13" i="19" s="1"/>
  <c r="D13" i="11" s="1"/>
  <c r="O13" i="11"/>
  <c r="BH13" i="19"/>
  <c r="M13" i="11" s="1"/>
  <c r="BF13" i="19"/>
  <c r="J13" i="11" s="1"/>
  <c r="I13" i="11" s="1"/>
  <c r="BD13" i="19"/>
  <c r="BC13" i="19"/>
  <c r="X13" i="11" s="1"/>
  <c r="BA13" i="19"/>
  <c r="AZ13" i="19"/>
  <c r="BM12" i="19"/>
  <c r="BO12" i="19" s="1"/>
  <c r="B12" i="11" s="1"/>
  <c r="O12" i="11"/>
  <c r="BH12" i="19"/>
  <c r="M12" i="11" s="1"/>
  <c r="BF12" i="19"/>
  <c r="J12" i="11" s="1"/>
  <c r="I12" i="11" s="1"/>
  <c r="BD12" i="19"/>
  <c r="BC12" i="19"/>
  <c r="X12" i="11" s="1"/>
  <c r="BA12" i="19"/>
  <c r="AZ12" i="19"/>
  <c r="BM11" i="19"/>
  <c r="BN11" i="19" s="1"/>
  <c r="D11" i="11" s="1"/>
  <c r="O11" i="11"/>
  <c r="BH11" i="19"/>
  <c r="M11" i="11" s="1"/>
  <c r="BF11" i="19"/>
  <c r="J11" i="11" s="1"/>
  <c r="I11" i="11" s="1"/>
  <c r="BD11" i="19"/>
  <c r="BC11" i="19"/>
  <c r="X11" i="11" s="1"/>
  <c r="BA11" i="19"/>
  <c r="AZ11" i="19"/>
  <c r="BM10" i="19"/>
  <c r="BO10" i="19" s="1"/>
  <c r="B10" i="11" s="1"/>
  <c r="O10" i="11"/>
  <c r="BH10" i="19"/>
  <c r="M10" i="11" s="1"/>
  <c r="BF10" i="19"/>
  <c r="J10" i="11" s="1"/>
  <c r="I10" i="11" s="1"/>
  <c r="BD10" i="19"/>
  <c r="BC10" i="19"/>
  <c r="X10" i="11" s="1"/>
  <c r="BA10" i="19"/>
  <c r="AZ10" i="19"/>
  <c r="BM9" i="19"/>
  <c r="BN9" i="19" s="1"/>
  <c r="D9" i="11" s="1"/>
  <c r="O9" i="11"/>
  <c r="BH9" i="19"/>
  <c r="M9" i="11" s="1"/>
  <c r="BF9" i="19"/>
  <c r="J9" i="11" s="1"/>
  <c r="I9" i="11" s="1"/>
  <c r="BD9" i="19"/>
  <c r="BC9" i="19"/>
  <c r="X9" i="11" s="1"/>
  <c r="BA9" i="19"/>
  <c r="AZ9" i="19"/>
  <c r="BM8" i="19"/>
  <c r="BO8" i="19" s="1"/>
  <c r="B8" i="11" s="1"/>
  <c r="O8" i="11"/>
  <c r="BH8" i="19"/>
  <c r="M8" i="11" s="1"/>
  <c r="BF8" i="19"/>
  <c r="J8" i="11" s="1"/>
  <c r="I8" i="11" s="1"/>
  <c r="BD8" i="19"/>
  <c r="BC8" i="19"/>
  <c r="X8" i="11" s="1"/>
  <c r="BA8" i="19"/>
  <c r="AZ8" i="19"/>
  <c r="BM7" i="19"/>
  <c r="BN7" i="19" s="1"/>
  <c r="D7" i="11" s="1"/>
  <c r="O7" i="11"/>
  <c r="BH7" i="19"/>
  <c r="M7" i="11" s="1"/>
  <c r="BF7" i="19"/>
  <c r="J7" i="11" s="1"/>
  <c r="I7" i="11" s="1"/>
  <c r="BD7" i="19"/>
  <c r="BC7" i="19"/>
  <c r="X7" i="11" s="1"/>
  <c r="BA7" i="19"/>
  <c r="AZ7" i="19"/>
  <c r="BM6" i="19"/>
  <c r="BO6" i="19" s="1"/>
  <c r="B6" i="11" s="1"/>
  <c r="O6" i="11"/>
  <c r="BH6" i="19"/>
  <c r="M6" i="11" s="1"/>
  <c r="BF6" i="19"/>
  <c r="J6" i="11" s="1"/>
  <c r="I6" i="11" s="1"/>
  <c r="BD6" i="19"/>
  <c r="BC6" i="19"/>
  <c r="X6" i="11" s="1"/>
  <c r="BA6" i="19"/>
  <c r="AZ6" i="19"/>
  <c r="BM5" i="19"/>
  <c r="BN5" i="19" s="1"/>
  <c r="D5" i="11" s="1"/>
  <c r="O5" i="11"/>
  <c r="BH5" i="19"/>
  <c r="M5" i="11" s="1"/>
  <c r="BF5" i="19"/>
  <c r="J5" i="11" s="1"/>
  <c r="I5" i="11" s="1"/>
  <c r="BD5" i="19"/>
  <c r="BC5" i="19"/>
  <c r="X5" i="11" s="1"/>
  <c r="BA5" i="19"/>
  <c r="AZ5" i="19"/>
  <c r="BM4" i="19"/>
  <c r="BO4" i="19" s="1"/>
  <c r="B4" i="11" s="1"/>
  <c r="O4" i="11"/>
  <c r="BH4" i="19"/>
  <c r="M4" i="11" s="1"/>
  <c r="BF4" i="19"/>
  <c r="J4" i="11" s="1"/>
  <c r="I4" i="11" s="1"/>
  <c r="BD4" i="19"/>
  <c r="BC4" i="19"/>
  <c r="X4" i="11" s="1"/>
  <c r="BA4" i="19"/>
  <c r="AZ4" i="19"/>
  <c r="BM3" i="19"/>
  <c r="BN3" i="19" s="1"/>
  <c r="D3" i="11" s="1"/>
  <c r="O3" i="11"/>
  <c r="BH3" i="19"/>
  <c r="M3" i="11" s="1"/>
  <c r="BF3" i="19"/>
  <c r="J3" i="11" s="1"/>
  <c r="I3" i="11" s="1"/>
  <c r="BD3" i="19"/>
  <c r="BC3" i="19"/>
  <c r="X3" i="11" s="1"/>
  <c r="BA3" i="19"/>
  <c r="AZ3" i="19"/>
  <c r="BM355" i="19"/>
  <c r="BO355" i="19" s="1"/>
  <c r="B355" i="11" s="1"/>
  <c r="O355" i="11"/>
  <c r="BH355" i="19"/>
  <c r="M355" i="11" s="1"/>
  <c r="BF355" i="19"/>
  <c r="J355" i="11" s="1"/>
  <c r="I355" i="11" s="1"/>
  <c r="BD355" i="19"/>
  <c r="BC355" i="19"/>
  <c r="X355" i="11" s="1"/>
  <c r="BA355" i="19"/>
  <c r="AZ355" i="19"/>
  <c r="BG355" i="11" s="1"/>
  <c r="BM354" i="19"/>
  <c r="BO354" i="19" s="1"/>
  <c r="B354" i="11" s="1"/>
  <c r="O354" i="11"/>
  <c r="BH354" i="19"/>
  <c r="M354" i="11" s="1"/>
  <c r="BF354" i="19"/>
  <c r="J354" i="11" s="1"/>
  <c r="I354" i="11" s="1"/>
  <c r="BD354" i="19"/>
  <c r="BC354" i="19"/>
  <c r="X354" i="11" s="1"/>
  <c r="BA354" i="19"/>
  <c r="AZ354" i="19"/>
  <c r="BM353" i="19"/>
  <c r="BN353" i="19" s="1"/>
  <c r="D353" i="11" s="1"/>
  <c r="O353" i="11"/>
  <c r="BH353" i="19"/>
  <c r="M353" i="11" s="1"/>
  <c r="BF353" i="19"/>
  <c r="J353" i="11" s="1"/>
  <c r="I353" i="11" s="1"/>
  <c r="BD353" i="19"/>
  <c r="BC353" i="19"/>
  <c r="X353" i="11" s="1"/>
  <c r="BA353" i="19"/>
  <c r="AZ353" i="19"/>
  <c r="BM352" i="19"/>
  <c r="BN352" i="19" s="1"/>
  <c r="D352" i="11" s="1"/>
  <c r="O352" i="11"/>
  <c r="BH352" i="19"/>
  <c r="M352" i="11" s="1"/>
  <c r="BF352" i="19"/>
  <c r="J352" i="11" s="1"/>
  <c r="I352" i="11" s="1"/>
  <c r="BD352" i="19"/>
  <c r="BC352" i="19"/>
  <c r="X352" i="11" s="1"/>
  <c r="BA352" i="19"/>
  <c r="AZ352" i="19"/>
  <c r="BM351" i="19"/>
  <c r="BN351" i="19" s="1"/>
  <c r="D351" i="11" s="1"/>
  <c r="O351" i="11"/>
  <c r="BH351" i="19"/>
  <c r="M351" i="11" s="1"/>
  <c r="BF351" i="19"/>
  <c r="J351" i="11" s="1"/>
  <c r="I351" i="11" s="1"/>
  <c r="BD351" i="19"/>
  <c r="BC351" i="19"/>
  <c r="X351" i="11" s="1"/>
  <c r="BA351" i="19"/>
  <c r="AZ351" i="19"/>
  <c r="BM350" i="19"/>
  <c r="BN350" i="19" s="1"/>
  <c r="D350" i="11" s="1"/>
  <c r="O350" i="11"/>
  <c r="BH350" i="19"/>
  <c r="M350" i="11" s="1"/>
  <c r="BF350" i="19"/>
  <c r="J350" i="11" s="1"/>
  <c r="I350" i="11" s="1"/>
  <c r="BD350" i="19"/>
  <c r="BC350" i="19"/>
  <c r="X350" i="11" s="1"/>
  <c r="BA350" i="19"/>
  <c r="AZ350" i="19"/>
  <c r="BM349" i="19"/>
  <c r="BN349" i="19" s="1"/>
  <c r="D349" i="11" s="1"/>
  <c r="O349" i="11"/>
  <c r="BH349" i="19"/>
  <c r="M349" i="11" s="1"/>
  <c r="BF349" i="19"/>
  <c r="J349" i="11" s="1"/>
  <c r="I349" i="11" s="1"/>
  <c r="BD349" i="19"/>
  <c r="BC349" i="19"/>
  <c r="X349" i="11" s="1"/>
  <c r="BA349" i="19"/>
  <c r="AZ349" i="19"/>
  <c r="BM348" i="19"/>
  <c r="BN348" i="19" s="1"/>
  <c r="D348" i="11" s="1"/>
  <c r="O348" i="11"/>
  <c r="BH348" i="19"/>
  <c r="M348" i="11" s="1"/>
  <c r="BF348" i="19"/>
  <c r="J348" i="11" s="1"/>
  <c r="I348" i="11" s="1"/>
  <c r="BD348" i="19"/>
  <c r="BC348" i="19"/>
  <c r="X348" i="11" s="1"/>
  <c r="BA348" i="19"/>
  <c r="AZ348" i="19"/>
  <c r="BM347" i="19"/>
  <c r="BN347" i="19" s="1"/>
  <c r="D347" i="11" s="1"/>
  <c r="O347" i="11"/>
  <c r="BH347" i="19"/>
  <c r="M347" i="11" s="1"/>
  <c r="BF347" i="19"/>
  <c r="J347" i="11" s="1"/>
  <c r="I347" i="11" s="1"/>
  <c r="BD347" i="19"/>
  <c r="BC347" i="19"/>
  <c r="X347" i="11" s="1"/>
  <c r="BA347" i="19"/>
  <c r="AZ347" i="19"/>
  <c r="BM346" i="19"/>
  <c r="BN346" i="19" s="1"/>
  <c r="D346" i="11" s="1"/>
  <c r="O346" i="11"/>
  <c r="BH346" i="19"/>
  <c r="M346" i="11" s="1"/>
  <c r="BF346" i="19"/>
  <c r="J346" i="11" s="1"/>
  <c r="I346" i="11" s="1"/>
  <c r="BD346" i="19"/>
  <c r="BC346" i="19"/>
  <c r="X346" i="11" s="1"/>
  <c r="BA346" i="19"/>
  <c r="AZ346" i="19"/>
  <c r="BM345" i="19"/>
  <c r="BN345" i="19" s="1"/>
  <c r="D345" i="11" s="1"/>
  <c r="O345" i="11"/>
  <c r="BH345" i="19"/>
  <c r="M345" i="11" s="1"/>
  <c r="BF345" i="19"/>
  <c r="J345" i="11" s="1"/>
  <c r="I345" i="11" s="1"/>
  <c r="BD345" i="19"/>
  <c r="BC345" i="19"/>
  <c r="X345" i="11" s="1"/>
  <c r="BA345" i="19"/>
  <c r="AZ345" i="19"/>
  <c r="BM344" i="19"/>
  <c r="BN344" i="19" s="1"/>
  <c r="D344" i="11" s="1"/>
  <c r="O344" i="11"/>
  <c r="BH344" i="19"/>
  <c r="M344" i="11" s="1"/>
  <c r="BF344" i="19"/>
  <c r="J344" i="11" s="1"/>
  <c r="I344" i="11" s="1"/>
  <c r="BD344" i="19"/>
  <c r="BC344" i="19"/>
  <c r="X344" i="11" s="1"/>
  <c r="BA344" i="19"/>
  <c r="AZ344" i="19"/>
  <c r="BM343" i="19"/>
  <c r="BN343" i="19" s="1"/>
  <c r="D343" i="11" s="1"/>
  <c r="O343" i="11"/>
  <c r="BH343" i="19"/>
  <c r="M343" i="11" s="1"/>
  <c r="BF343" i="19"/>
  <c r="J343" i="11" s="1"/>
  <c r="I343" i="11" s="1"/>
  <c r="BD343" i="19"/>
  <c r="BC343" i="19"/>
  <c r="X343" i="11" s="1"/>
  <c r="BA343" i="19"/>
  <c r="AZ343" i="19"/>
  <c r="BM342" i="19"/>
  <c r="BN342" i="19" s="1"/>
  <c r="D342" i="11" s="1"/>
  <c r="O342" i="11"/>
  <c r="BH342" i="19"/>
  <c r="M342" i="11" s="1"/>
  <c r="BF342" i="19"/>
  <c r="J342" i="11" s="1"/>
  <c r="I342" i="11" s="1"/>
  <c r="BD342" i="19"/>
  <c r="BC342" i="19"/>
  <c r="X342" i="11" s="1"/>
  <c r="BA342" i="19"/>
  <c r="AZ342" i="19"/>
  <c r="BM341" i="19"/>
  <c r="BN341" i="19" s="1"/>
  <c r="D341" i="11" s="1"/>
  <c r="O341" i="11"/>
  <c r="BH341" i="19"/>
  <c r="M341" i="11" s="1"/>
  <c r="BF341" i="19"/>
  <c r="J341" i="11" s="1"/>
  <c r="I341" i="11" s="1"/>
  <c r="BD341" i="19"/>
  <c r="BC341" i="19"/>
  <c r="X341" i="11" s="1"/>
  <c r="BA341" i="19"/>
  <c r="AZ341" i="19"/>
  <c r="BM340" i="19"/>
  <c r="BO340" i="19" s="1"/>
  <c r="B340" i="11" s="1"/>
  <c r="O340" i="11"/>
  <c r="BH340" i="19"/>
  <c r="M340" i="11" s="1"/>
  <c r="BF340" i="19"/>
  <c r="J340" i="11" s="1"/>
  <c r="I340" i="11" s="1"/>
  <c r="BD340" i="19"/>
  <c r="BC340" i="19"/>
  <c r="X340" i="11" s="1"/>
  <c r="BA340" i="19"/>
  <c r="AZ340" i="19"/>
  <c r="BM339" i="19"/>
  <c r="BN339" i="19" s="1"/>
  <c r="D339" i="11" s="1"/>
  <c r="O339" i="11"/>
  <c r="BH339" i="19"/>
  <c r="M339" i="11" s="1"/>
  <c r="BF339" i="19"/>
  <c r="J339" i="11" s="1"/>
  <c r="I339" i="11" s="1"/>
  <c r="BD339" i="19"/>
  <c r="BC339" i="19"/>
  <c r="X339" i="11" s="1"/>
  <c r="BA339" i="19"/>
  <c r="AZ339" i="19"/>
  <c r="BM338" i="19"/>
  <c r="BO338" i="19" s="1"/>
  <c r="B338" i="11" s="1"/>
  <c r="O338" i="11"/>
  <c r="BH338" i="19"/>
  <c r="M338" i="11" s="1"/>
  <c r="BF338" i="19"/>
  <c r="J338" i="11" s="1"/>
  <c r="I338" i="11" s="1"/>
  <c r="BD338" i="19"/>
  <c r="BC338" i="19"/>
  <c r="X338" i="11" s="1"/>
  <c r="BA338" i="19"/>
  <c r="AZ338" i="19"/>
  <c r="BM337" i="19"/>
  <c r="BN337" i="19" s="1"/>
  <c r="D337" i="11" s="1"/>
  <c r="O337" i="11"/>
  <c r="BH337" i="19"/>
  <c r="M337" i="11" s="1"/>
  <c r="BF337" i="19"/>
  <c r="J337" i="11" s="1"/>
  <c r="I337" i="11" s="1"/>
  <c r="BD337" i="19"/>
  <c r="BC337" i="19"/>
  <c r="X337" i="11" s="1"/>
  <c r="BA337" i="19"/>
  <c r="AZ337" i="19"/>
  <c r="BM336" i="19"/>
  <c r="BN336" i="19" s="1"/>
  <c r="D336" i="11" s="1"/>
  <c r="O336" i="11"/>
  <c r="BH336" i="19"/>
  <c r="M336" i="11" s="1"/>
  <c r="BF336" i="19"/>
  <c r="J336" i="11" s="1"/>
  <c r="I336" i="11" s="1"/>
  <c r="BD336" i="19"/>
  <c r="BC336" i="19"/>
  <c r="X336" i="11" s="1"/>
  <c r="BA336" i="19"/>
  <c r="AZ336" i="19"/>
  <c r="BM335" i="19"/>
  <c r="BN335" i="19" s="1"/>
  <c r="D335" i="11" s="1"/>
  <c r="O335" i="11"/>
  <c r="BH335" i="19"/>
  <c r="M335" i="11" s="1"/>
  <c r="BF335" i="19"/>
  <c r="J335" i="11" s="1"/>
  <c r="I335" i="11" s="1"/>
  <c r="BD335" i="19"/>
  <c r="BC335" i="19"/>
  <c r="X335" i="11" s="1"/>
  <c r="BA335" i="19"/>
  <c r="AZ335" i="19"/>
  <c r="BM334" i="19"/>
  <c r="BO334" i="19" s="1"/>
  <c r="B334" i="11" s="1"/>
  <c r="O334" i="11"/>
  <c r="BH334" i="19"/>
  <c r="M334" i="11" s="1"/>
  <c r="BF334" i="19"/>
  <c r="J334" i="11" s="1"/>
  <c r="I334" i="11" s="1"/>
  <c r="BD334" i="19"/>
  <c r="BC334" i="19"/>
  <c r="X334" i="11" s="1"/>
  <c r="BA334" i="19"/>
  <c r="AZ334" i="19"/>
  <c r="BM333" i="19"/>
  <c r="BN333" i="19" s="1"/>
  <c r="D333" i="11" s="1"/>
  <c r="O333" i="11"/>
  <c r="BH333" i="19"/>
  <c r="M333" i="11" s="1"/>
  <c r="BF333" i="19"/>
  <c r="J333" i="11" s="1"/>
  <c r="I333" i="11" s="1"/>
  <c r="BD333" i="19"/>
  <c r="BC333" i="19"/>
  <c r="X333" i="11" s="1"/>
  <c r="BA333" i="19"/>
  <c r="AZ333" i="19"/>
  <c r="BM332" i="19"/>
  <c r="BO332" i="19" s="1"/>
  <c r="B332" i="11" s="1"/>
  <c r="O332" i="11"/>
  <c r="BH332" i="19"/>
  <c r="M332" i="11" s="1"/>
  <c r="BF332" i="19"/>
  <c r="J332" i="11" s="1"/>
  <c r="I332" i="11" s="1"/>
  <c r="BD332" i="19"/>
  <c r="BC332" i="19"/>
  <c r="X332" i="11" s="1"/>
  <c r="BA332" i="19"/>
  <c r="AZ332" i="19"/>
  <c r="BM331" i="19"/>
  <c r="BN331" i="19" s="1"/>
  <c r="D331" i="11" s="1"/>
  <c r="O331" i="11"/>
  <c r="BH331" i="19"/>
  <c r="M331" i="11" s="1"/>
  <c r="BF331" i="19"/>
  <c r="J331" i="11" s="1"/>
  <c r="I331" i="11" s="1"/>
  <c r="BD331" i="19"/>
  <c r="BC331" i="19"/>
  <c r="X331" i="11" s="1"/>
  <c r="BA331" i="19"/>
  <c r="AZ331" i="19"/>
  <c r="BM330" i="19"/>
  <c r="BN330" i="19" s="1"/>
  <c r="D330" i="11" s="1"/>
  <c r="O330" i="11"/>
  <c r="BH330" i="19"/>
  <c r="M330" i="11" s="1"/>
  <c r="BF330" i="19"/>
  <c r="J330" i="11" s="1"/>
  <c r="I330" i="11" s="1"/>
  <c r="BD330" i="19"/>
  <c r="BC330" i="19"/>
  <c r="X330" i="11" s="1"/>
  <c r="BA330" i="19"/>
  <c r="AZ330" i="19"/>
  <c r="BM329" i="19"/>
  <c r="BN329" i="19" s="1"/>
  <c r="D329" i="11" s="1"/>
  <c r="O329" i="11"/>
  <c r="BH329" i="19"/>
  <c r="M329" i="11" s="1"/>
  <c r="BF329" i="19"/>
  <c r="J329" i="11" s="1"/>
  <c r="I329" i="11" s="1"/>
  <c r="BD329" i="19"/>
  <c r="BC329" i="19"/>
  <c r="X329" i="11" s="1"/>
  <c r="BA329" i="19"/>
  <c r="AZ329" i="19"/>
  <c r="BM328" i="19"/>
  <c r="BO328" i="19" s="1"/>
  <c r="B328" i="11" s="1"/>
  <c r="O328" i="11"/>
  <c r="BH328" i="19"/>
  <c r="M328" i="11" s="1"/>
  <c r="BF328" i="19"/>
  <c r="J328" i="11" s="1"/>
  <c r="I328" i="11" s="1"/>
  <c r="BD328" i="19"/>
  <c r="BC328" i="19"/>
  <c r="X328" i="11" s="1"/>
  <c r="BA328" i="19"/>
  <c r="AZ328" i="19"/>
  <c r="BM327" i="19"/>
  <c r="BN327" i="19" s="1"/>
  <c r="D327" i="11" s="1"/>
  <c r="O327" i="11"/>
  <c r="BH327" i="19"/>
  <c r="M327" i="11" s="1"/>
  <c r="BF327" i="19"/>
  <c r="J327" i="11" s="1"/>
  <c r="I327" i="11" s="1"/>
  <c r="BD327" i="19"/>
  <c r="BC327" i="19"/>
  <c r="X327" i="11" s="1"/>
  <c r="BA327" i="19"/>
  <c r="AZ327" i="19"/>
  <c r="BM326" i="19"/>
  <c r="BN326" i="19" s="1"/>
  <c r="D326" i="11" s="1"/>
  <c r="O326" i="11"/>
  <c r="BH326" i="19"/>
  <c r="M326" i="11" s="1"/>
  <c r="BF326" i="19"/>
  <c r="J326" i="11" s="1"/>
  <c r="I326" i="11" s="1"/>
  <c r="BD326" i="19"/>
  <c r="BC326" i="19"/>
  <c r="X326" i="11" s="1"/>
  <c r="BA326" i="19"/>
  <c r="AZ326" i="19"/>
  <c r="BM325" i="19"/>
  <c r="BN325" i="19" s="1"/>
  <c r="D325" i="11" s="1"/>
  <c r="O325" i="11"/>
  <c r="BH325" i="19"/>
  <c r="M325" i="11" s="1"/>
  <c r="BF325" i="19"/>
  <c r="J325" i="11" s="1"/>
  <c r="I325" i="11" s="1"/>
  <c r="BD325" i="19"/>
  <c r="BC325" i="19"/>
  <c r="X325" i="11" s="1"/>
  <c r="BA325" i="19"/>
  <c r="AZ325" i="19"/>
  <c r="BM324" i="19"/>
  <c r="O324" i="11"/>
  <c r="BH324" i="19"/>
  <c r="M324" i="11" s="1"/>
  <c r="BF324" i="19"/>
  <c r="J324" i="11" s="1"/>
  <c r="I324" i="11" s="1"/>
  <c r="BD324" i="19"/>
  <c r="BC324" i="19"/>
  <c r="X324" i="11" s="1"/>
  <c r="BA324" i="19"/>
  <c r="AZ324" i="19"/>
  <c r="BM323" i="19"/>
  <c r="BN323" i="19" s="1"/>
  <c r="D323" i="11" s="1"/>
  <c r="O323" i="11"/>
  <c r="BH323" i="19"/>
  <c r="M323" i="11" s="1"/>
  <c r="BF323" i="19"/>
  <c r="J323" i="11" s="1"/>
  <c r="I323" i="11" s="1"/>
  <c r="BD323" i="19"/>
  <c r="BC323" i="19"/>
  <c r="X323" i="11" s="1"/>
  <c r="BA323" i="19"/>
  <c r="AZ323" i="19"/>
  <c r="BM322" i="19"/>
  <c r="BN322" i="19" s="1"/>
  <c r="D322" i="11" s="1"/>
  <c r="O322" i="11"/>
  <c r="BH322" i="19"/>
  <c r="M322" i="11" s="1"/>
  <c r="BF322" i="19"/>
  <c r="J322" i="11" s="1"/>
  <c r="I322" i="11" s="1"/>
  <c r="BD322" i="19"/>
  <c r="BC322" i="19"/>
  <c r="X322" i="11" s="1"/>
  <c r="BA322" i="19"/>
  <c r="AZ322" i="19"/>
  <c r="BM321" i="19"/>
  <c r="BN321" i="19" s="1"/>
  <c r="D321" i="11" s="1"/>
  <c r="O321" i="11"/>
  <c r="BH321" i="19"/>
  <c r="M321" i="11" s="1"/>
  <c r="BF321" i="19"/>
  <c r="J321" i="11" s="1"/>
  <c r="I321" i="11" s="1"/>
  <c r="BD321" i="19"/>
  <c r="BC321" i="19"/>
  <c r="X321" i="11" s="1"/>
  <c r="BA321" i="19"/>
  <c r="AZ321" i="19"/>
  <c r="BM320" i="19"/>
  <c r="BN320" i="19" s="1"/>
  <c r="D320" i="11" s="1"/>
  <c r="O320" i="11"/>
  <c r="BH320" i="19"/>
  <c r="M320" i="11" s="1"/>
  <c r="BF320" i="19"/>
  <c r="J320" i="11" s="1"/>
  <c r="I320" i="11" s="1"/>
  <c r="BD320" i="19"/>
  <c r="BC320" i="19"/>
  <c r="X320" i="11" s="1"/>
  <c r="BA320" i="19"/>
  <c r="AZ320" i="19"/>
  <c r="BM319" i="19"/>
  <c r="BN319" i="19" s="1"/>
  <c r="D319" i="11" s="1"/>
  <c r="O319" i="11"/>
  <c r="BH319" i="19"/>
  <c r="M319" i="11" s="1"/>
  <c r="BF319" i="19"/>
  <c r="J319" i="11" s="1"/>
  <c r="I319" i="11" s="1"/>
  <c r="BD319" i="19"/>
  <c r="BC319" i="19"/>
  <c r="X319" i="11" s="1"/>
  <c r="BA319" i="19"/>
  <c r="AZ319" i="19"/>
  <c r="BM318" i="19"/>
  <c r="BN318" i="19" s="1"/>
  <c r="D318" i="11" s="1"/>
  <c r="O318" i="11"/>
  <c r="BH318" i="19"/>
  <c r="M318" i="11" s="1"/>
  <c r="BF318" i="19"/>
  <c r="J318" i="11" s="1"/>
  <c r="I318" i="11" s="1"/>
  <c r="BD318" i="19"/>
  <c r="BC318" i="19"/>
  <c r="X318" i="11" s="1"/>
  <c r="BA318" i="19"/>
  <c r="AZ318" i="19"/>
  <c r="BM317" i="19"/>
  <c r="BN317" i="19" s="1"/>
  <c r="D317" i="11" s="1"/>
  <c r="O317" i="11"/>
  <c r="BH317" i="19"/>
  <c r="M317" i="11" s="1"/>
  <c r="BF317" i="19"/>
  <c r="J317" i="11" s="1"/>
  <c r="I317" i="11" s="1"/>
  <c r="BD317" i="19"/>
  <c r="BC317" i="19"/>
  <c r="X317" i="11" s="1"/>
  <c r="BA317" i="19"/>
  <c r="AZ317" i="19"/>
  <c r="BM316" i="19"/>
  <c r="BN316" i="19" s="1"/>
  <c r="D316" i="11" s="1"/>
  <c r="O316" i="11"/>
  <c r="BH316" i="19"/>
  <c r="M316" i="11" s="1"/>
  <c r="BF316" i="19"/>
  <c r="J316" i="11" s="1"/>
  <c r="I316" i="11" s="1"/>
  <c r="BD316" i="19"/>
  <c r="BC316" i="19"/>
  <c r="X316" i="11" s="1"/>
  <c r="BA316" i="19"/>
  <c r="AZ316" i="19"/>
  <c r="BM315" i="19"/>
  <c r="BN315" i="19" s="1"/>
  <c r="D315" i="11" s="1"/>
  <c r="O315" i="11"/>
  <c r="BH315" i="19"/>
  <c r="M315" i="11" s="1"/>
  <c r="BF315" i="19"/>
  <c r="J315" i="11" s="1"/>
  <c r="I315" i="11" s="1"/>
  <c r="BD315" i="19"/>
  <c r="BC315" i="19"/>
  <c r="X315" i="11" s="1"/>
  <c r="BA315" i="19"/>
  <c r="AZ315" i="19"/>
  <c r="BM314" i="19"/>
  <c r="BN314" i="19" s="1"/>
  <c r="D314" i="11" s="1"/>
  <c r="O314" i="11"/>
  <c r="BH314" i="19"/>
  <c r="M314" i="11" s="1"/>
  <c r="BF314" i="19"/>
  <c r="J314" i="11" s="1"/>
  <c r="I314" i="11" s="1"/>
  <c r="BD314" i="19"/>
  <c r="BC314" i="19"/>
  <c r="X314" i="11" s="1"/>
  <c r="BA314" i="19"/>
  <c r="AZ314" i="19"/>
  <c r="BM313" i="19"/>
  <c r="BN313" i="19" s="1"/>
  <c r="D313" i="11" s="1"/>
  <c r="O313" i="11"/>
  <c r="BH313" i="19"/>
  <c r="M313" i="11" s="1"/>
  <c r="BF313" i="19"/>
  <c r="J313" i="11" s="1"/>
  <c r="I313" i="11" s="1"/>
  <c r="BD313" i="19"/>
  <c r="BC313" i="19"/>
  <c r="X313" i="11" s="1"/>
  <c r="BA313" i="19"/>
  <c r="AZ313" i="19"/>
  <c r="BM312" i="19"/>
  <c r="BN312" i="19" s="1"/>
  <c r="D312" i="11" s="1"/>
  <c r="O312" i="11"/>
  <c r="BH312" i="19"/>
  <c r="M312" i="11" s="1"/>
  <c r="BF312" i="19"/>
  <c r="J312" i="11" s="1"/>
  <c r="I312" i="11" s="1"/>
  <c r="BD312" i="19"/>
  <c r="BC312" i="19"/>
  <c r="X312" i="11" s="1"/>
  <c r="BA312" i="19"/>
  <c r="AZ312" i="19"/>
  <c r="BM311" i="19"/>
  <c r="BN311" i="19" s="1"/>
  <c r="D311" i="11" s="1"/>
  <c r="O311" i="11"/>
  <c r="BH311" i="19"/>
  <c r="M311" i="11" s="1"/>
  <c r="BF311" i="19"/>
  <c r="J311" i="11" s="1"/>
  <c r="I311" i="11" s="1"/>
  <c r="BD311" i="19"/>
  <c r="BC311" i="19"/>
  <c r="X311" i="11" s="1"/>
  <c r="BA311" i="19"/>
  <c r="AZ311" i="19"/>
  <c r="BM310" i="19"/>
  <c r="BN310" i="19" s="1"/>
  <c r="D310" i="11" s="1"/>
  <c r="O310" i="11"/>
  <c r="BH310" i="19"/>
  <c r="M310" i="11" s="1"/>
  <c r="BF310" i="19"/>
  <c r="J310" i="11" s="1"/>
  <c r="I310" i="11" s="1"/>
  <c r="BD310" i="19"/>
  <c r="BC310" i="19"/>
  <c r="X310" i="11" s="1"/>
  <c r="BA310" i="19"/>
  <c r="AZ310" i="19"/>
  <c r="BM309" i="19"/>
  <c r="BN309" i="19" s="1"/>
  <c r="D309" i="11" s="1"/>
  <c r="O309" i="11"/>
  <c r="BH309" i="19"/>
  <c r="M309" i="11" s="1"/>
  <c r="BF309" i="19"/>
  <c r="J309" i="11" s="1"/>
  <c r="I309" i="11" s="1"/>
  <c r="BD309" i="19"/>
  <c r="BC309" i="19"/>
  <c r="X309" i="11" s="1"/>
  <c r="BA309" i="19"/>
  <c r="AZ309" i="19"/>
  <c r="BM308" i="19"/>
  <c r="BN308" i="19" s="1"/>
  <c r="D308" i="11" s="1"/>
  <c r="O308" i="11"/>
  <c r="BH308" i="19"/>
  <c r="M308" i="11" s="1"/>
  <c r="BF308" i="19"/>
  <c r="J308" i="11" s="1"/>
  <c r="I308" i="11" s="1"/>
  <c r="BD308" i="19"/>
  <c r="BC308" i="19"/>
  <c r="X308" i="11" s="1"/>
  <c r="BA308" i="19"/>
  <c r="AZ308" i="19"/>
  <c r="BM307" i="19"/>
  <c r="BN307" i="19" s="1"/>
  <c r="D307" i="11" s="1"/>
  <c r="O307" i="11"/>
  <c r="BH307" i="19"/>
  <c r="M307" i="11" s="1"/>
  <c r="BF307" i="19"/>
  <c r="J307" i="11" s="1"/>
  <c r="I307" i="11" s="1"/>
  <c r="BD307" i="19"/>
  <c r="BC307" i="19"/>
  <c r="X307" i="11" s="1"/>
  <c r="BA307" i="19"/>
  <c r="AZ307" i="19"/>
  <c r="BM306" i="19"/>
  <c r="BN306" i="19" s="1"/>
  <c r="D306" i="11" s="1"/>
  <c r="O306" i="11"/>
  <c r="BH306" i="19"/>
  <c r="M306" i="11" s="1"/>
  <c r="BF306" i="19"/>
  <c r="J306" i="11" s="1"/>
  <c r="I306" i="11" s="1"/>
  <c r="BD306" i="19"/>
  <c r="BC306" i="19"/>
  <c r="X306" i="11" s="1"/>
  <c r="BA306" i="19"/>
  <c r="AZ306" i="19"/>
  <c r="BM305" i="19"/>
  <c r="BN305" i="19" s="1"/>
  <c r="D305" i="11" s="1"/>
  <c r="O305" i="11"/>
  <c r="BH305" i="19"/>
  <c r="M305" i="11" s="1"/>
  <c r="BF305" i="19"/>
  <c r="J305" i="11" s="1"/>
  <c r="I305" i="11" s="1"/>
  <c r="BD305" i="19"/>
  <c r="BC305" i="19"/>
  <c r="X305" i="11" s="1"/>
  <c r="BA305" i="19"/>
  <c r="AZ305" i="19"/>
  <c r="BM304" i="19"/>
  <c r="BN304" i="19" s="1"/>
  <c r="D304" i="11" s="1"/>
  <c r="O304" i="11"/>
  <c r="BH304" i="19"/>
  <c r="M304" i="11" s="1"/>
  <c r="BF304" i="19"/>
  <c r="J304" i="11" s="1"/>
  <c r="I304" i="11" s="1"/>
  <c r="BD304" i="19"/>
  <c r="BC304" i="19"/>
  <c r="X304" i="11" s="1"/>
  <c r="BA304" i="19"/>
  <c r="AZ304" i="19"/>
  <c r="BM303" i="19"/>
  <c r="BN303" i="19" s="1"/>
  <c r="D303" i="11" s="1"/>
  <c r="O303" i="11"/>
  <c r="BH303" i="19"/>
  <c r="M303" i="11" s="1"/>
  <c r="BF303" i="19"/>
  <c r="J303" i="11" s="1"/>
  <c r="I303" i="11" s="1"/>
  <c r="BD303" i="19"/>
  <c r="BC303" i="19"/>
  <c r="X303" i="11" s="1"/>
  <c r="BA303" i="19"/>
  <c r="AZ303" i="19"/>
  <c r="BM302" i="19"/>
  <c r="BN302" i="19" s="1"/>
  <c r="D302" i="11" s="1"/>
  <c r="O302" i="11"/>
  <c r="BH302" i="19"/>
  <c r="M302" i="11" s="1"/>
  <c r="BF302" i="19"/>
  <c r="J302" i="11" s="1"/>
  <c r="I302" i="11" s="1"/>
  <c r="BD302" i="19"/>
  <c r="BC302" i="19"/>
  <c r="X302" i="11" s="1"/>
  <c r="BA302" i="19"/>
  <c r="AZ302" i="19"/>
  <c r="BM301" i="19"/>
  <c r="BN301" i="19" s="1"/>
  <c r="D301" i="11" s="1"/>
  <c r="O301" i="11"/>
  <c r="BH301" i="19"/>
  <c r="M301" i="11" s="1"/>
  <c r="BF301" i="19"/>
  <c r="J301" i="11" s="1"/>
  <c r="I301" i="11" s="1"/>
  <c r="BD301" i="19"/>
  <c r="BC301" i="19"/>
  <c r="X301" i="11" s="1"/>
  <c r="BA301" i="19"/>
  <c r="AZ301" i="19"/>
  <c r="BM300" i="19"/>
  <c r="BN300" i="19" s="1"/>
  <c r="D300" i="11" s="1"/>
  <c r="O300" i="11"/>
  <c r="BH300" i="19"/>
  <c r="M300" i="11" s="1"/>
  <c r="BF300" i="19"/>
  <c r="J300" i="11" s="1"/>
  <c r="I300" i="11" s="1"/>
  <c r="BD300" i="19"/>
  <c r="BC300" i="19"/>
  <c r="X300" i="11" s="1"/>
  <c r="BA300" i="19"/>
  <c r="AZ300" i="19"/>
  <c r="BM299" i="19"/>
  <c r="BN299" i="19" s="1"/>
  <c r="D299" i="11" s="1"/>
  <c r="O299" i="11"/>
  <c r="BH299" i="19"/>
  <c r="M299" i="11" s="1"/>
  <c r="BF299" i="19"/>
  <c r="J299" i="11" s="1"/>
  <c r="I299" i="11" s="1"/>
  <c r="BD299" i="19"/>
  <c r="BC299" i="19"/>
  <c r="X299" i="11" s="1"/>
  <c r="BA299" i="19"/>
  <c r="AZ299" i="19"/>
  <c r="BM298" i="19"/>
  <c r="BN298" i="19" s="1"/>
  <c r="D298" i="11" s="1"/>
  <c r="O298" i="11"/>
  <c r="BH298" i="19"/>
  <c r="M298" i="11" s="1"/>
  <c r="BF298" i="19"/>
  <c r="J298" i="11" s="1"/>
  <c r="I298" i="11" s="1"/>
  <c r="BD298" i="19"/>
  <c r="BC298" i="19"/>
  <c r="X298" i="11" s="1"/>
  <c r="BA298" i="19"/>
  <c r="AZ298" i="19"/>
  <c r="BM297" i="19"/>
  <c r="BN297" i="19" s="1"/>
  <c r="D297" i="11" s="1"/>
  <c r="O297" i="11"/>
  <c r="BH297" i="19"/>
  <c r="M297" i="11" s="1"/>
  <c r="BF297" i="19"/>
  <c r="J297" i="11" s="1"/>
  <c r="I297" i="11" s="1"/>
  <c r="BD297" i="19"/>
  <c r="BC297" i="19"/>
  <c r="X297" i="11" s="1"/>
  <c r="BA297" i="19"/>
  <c r="AZ297" i="19"/>
  <c r="BM296" i="19"/>
  <c r="BN296" i="19" s="1"/>
  <c r="D296" i="11" s="1"/>
  <c r="O296" i="11"/>
  <c r="BH296" i="19"/>
  <c r="M296" i="11" s="1"/>
  <c r="BF296" i="19"/>
  <c r="J296" i="11" s="1"/>
  <c r="I296" i="11" s="1"/>
  <c r="BD296" i="19"/>
  <c r="BC296" i="19"/>
  <c r="X296" i="11" s="1"/>
  <c r="BA296" i="19"/>
  <c r="AZ296" i="19"/>
  <c r="BM295" i="19"/>
  <c r="BN295" i="19" s="1"/>
  <c r="D295" i="11" s="1"/>
  <c r="O295" i="11"/>
  <c r="BH295" i="19"/>
  <c r="M295" i="11" s="1"/>
  <c r="BF295" i="19"/>
  <c r="J295" i="11" s="1"/>
  <c r="I295" i="11" s="1"/>
  <c r="BD295" i="19"/>
  <c r="BC295" i="19"/>
  <c r="X295" i="11" s="1"/>
  <c r="BA295" i="19"/>
  <c r="AZ295" i="19"/>
  <c r="BM294" i="19"/>
  <c r="BN294" i="19" s="1"/>
  <c r="D294" i="11" s="1"/>
  <c r="O294" i="11"/>
  <c r="BH294" i="19"/>
  <c r="M294" i="11" s="1"/>
  <c r="BF294" i="19"/>
  <c r="J294" i="11" s="1"/>
  <c r="I294" i="11" s="1"/>
  <c r="BD294" i="19"/>
  <c r="BC294" i="19"/>
  <c r="X294" i="11" s="1"/>
  <c r="BA294" i="19"/>
  <c r="AZ294" i="19"/>
  <c r="BM293" i="19"/>
  <c r="BN293" i="19" s="1"/>
  <c r="D293" i="11" s="1"/>
  <c r="O293" i="11"/>
  <c r="BH293" i="19"/>
  <c r="M293" i="11" s="1"/>
  <c r="BF293" i="19"/>
  <c r="J293" i="11" s="1"/>
  <c r="I293" i="11" s="1"/>
  <c r="BD293" i="19"/>
  <c r="BC293" i="19"/>
  <c r="X293" i="11" s="1"/>
  <c r="BA293" i="19"/>
  <c r="AZ293" i="19"/>
  <c r="BM292" i="19"/>
  <c r="BN292" i="19" s="1"/>
  <c r="D292" i="11" s="1"/>
  <c r="O292" i="11"/>
  <c r="BH292" i="19"/>
  <c r="M292" i="11" s="1"/>
  <c r="BF292" i="19"/>
  <c r="J292" i="11" s="1"/>
  <c r="I292" i="11" s="1"/>
  <c r="BD292" i="19"/>
  <c r="BC292" i="19"/>
  <c r="X292" i="11" s="1"/>
  <c r="BA292" i="19"/>
  <c r="AZ292" i="19"/>
  <c r="BM291" i="19"/>
  <c r="BN291" i="19" s="1"/>
  <c r="D291" i="11" s="1"/>
  <c r="O291" i="11"/>
  <c r="BH291" i="19"/>
  <c r="M291" i="11" s="1"/>
  <c r="BF291" i="19"/>
  <c r="J291" i="11" s="1"/>
  <c r="I291" i="11" s="1"/>
  <c r="BD291" i="19"/>
  <c r="BC291" i="19"/>
  <c r="X291" i="11" s="1"/>
  <c r="BA291" i="19"/>
  <c r="AZ291" i="19"/>
  <c r="BM290" i="19"/>
  <c r="BN290" i="19" s="1"/>
  <c r="D290" i="11" s="1"/>
  <c r="O290" i="11"/>
  <c r="BH290" i="19"/>
  <c r="M290" i="11" s="1"/>
  <c r="BF290" i="19"/>
  <c r="J290" i="11" s="1"/>
  <c r="I290" i="11" s="1"/>
  <c r="BD290" i="19"/>
  <c r="BC290" i="19"/>
  <c r="X290" i="11" s="1"/>
  <c r="BA290" i="19"/>
  <c r="AZ290" i="19"/>
  <c r="BM289" i="19"/>
  <c r="BN289" i="19" s="1"/>
  <c r="D289" i="11" s="1"/>
  <c r="O289" i="11"/>
  <c r="BH289" i="19"/>
  <c r="M289" i="11" s="1"/>
  <c r="BF289" i="19"/>
  <c r="J289" i="11" s="1"/>
  <c r="I289" i="11" s="1"/>
  <c r="BD289" i="19"/>
  <c r="BC289" i="19"/>
  <c r="X289" i="11" s="1"/>
  <c r="BA289" i="19"/>
  <c r="AZ289" i="19"/>
  <c r="BM288" i="19"/>
  <c r="BN288" i="19" s="1"/>
  <c r="D288" i="11" s="1"/>
  <c r="O288" i="11"/>
  <c r="BH288" i="19"/>
  <c r="M288" i="11" s="1"/>
  <c r="BF288" i="19"/>
  <c r="J288" i="11" s="1"/>
  <c r="I288" i="11" s="1"/>
  <c r="BD288" i="19"/>
  <c r="BC288" i="19"/>
  <c r="X288" i="11" s="1"/>
  <c r="BA288" i="19"/>
  <c r="AZ288" i="19"/>
  <c r="BM287" i="19"/>
  <c r="BN287" i="19" s="1"/>
  <c r="D287" i="11" s="1"/>
  <c r="O287" i="11"/>
  <c r="BH287" i="19"/>
  <c r="M287" i="11" s="1"/>
  <c r="BF287" i="19"/>
  <c r="J287" i="11" s="1"/>
  <c r="I287" i="11" s="1"/>
  <c r="BD287" i="19"/>
  <c r="BC287" i="19"/>
  <c r="X287" i="11" s="1"/>
  <c r="BA287" i="19"/>
  <c r="AZ287" i="19"/>
  <c r="BM286" i="19"/>
  <c r="BN286" i="19" s="1"/>
  <c r="D286" i="11" s="1"/>
  <c r="O286" i="11"/>
  <c r="BH286" i="19"/>
  <c r="M286" i="11" s="1"/>
  <c r="BF286" i="19"/>
  <c r="J286" i="11" s="1"/>
  <c r="I286" i="11" s="1"/>
  <c r="BD286" i="19"/>
  <c r="BC286" i="19"/>
  <c r="X286" i="11" s="1"/>
  <c r="BA286" i="19"/>
  <c r="AZ286" i="19"/>
  <c r="BM285" i="19"/>
  <c r="BN285" i="19" s="1"/>
  <c r="D285" i="11" s="1"/>
  <c r="O285" i="11"/>
  <c r="BH285" i="19"/>
  <c r="M285" i="11" s="1"/>
  <c r="BF285" i="19"/>
  <c r="J285" i="11" s="1"/>
  <c r="I285" i="11" s="1"/>
  <c r="BD285" i="19"/>
  <c r="BC285" i="19"/>
  <c r="X285" i="11" s="1"/>
  <c r="BA285" i="19"/>
  <c r="AZ285" i="19"/>
  <c r="BM284" i="19"/>
  <c r="BN284" i="19" s="1"/>
  <c r="D284" i="11" s="1"/>
  <c r="O284" i="11"/>
  <c r="BH284" i="19"/>
  <c r="M284" i="11" s="1"/>
  <c r="BF284" i="19"/>
  <c r="J284" i="11" s="1"/>
  <c r="I284" i="11" s="1"/>
  <c r="BD284" i="19"/>
  <c r="BC284" i="19"/>
  <c r="X284" i="11" s="1"/>
  <c r="BA284" i="19"/>
  <c r="AZ284" i="19"/>
  <c r="BM283" i="19"/>
  <c r="BN283" i="19" s="1"/>
  <c r="D283" i="11" s="1"/>
  <c r="O283" i="11"/>
  <c r="BH283" i="19"/>
  <c r="M283" i="11" s="1"/>
  <c r="BF283" i="19"/>
  <c r="J283" i="11" s="1"/>
  <c r="I283" i="11" s="1"/>
  <c r="BD283" i="19"/>
  <c r="BC283" i="19"/>
  <c r="X283" i="11" s="1"/>
  <c r="BA283" i="19"/>
  <c r="AZ283" i="19"/>
  <c r="BM282" i="19"/>
  <c r="BN282" i="19" s="1"/>
  <c r="D282" i="11" s="1"/>
  <c r="O282" i="11"/>
  <c r="BH282" i="19"/>
  <c r="M282" i="11" s="1"/>
  <c r="BF282" i="19"/>
  <c r="J282" i="11" s="1"/>
  <c r="I282" i="11" s="1"/>
  <c r="BD282" i="19"/>
  <c r="BC282" i="19"/>
  <c r="X282" i="11" s="1"/>
  <c r="BA282" i="19"/>
  <c r="AZ282" i="19"/>
  <c r="BM281" i="19"/>
  <c r="BN281" i="19" s="1"/>
  <c r="D281" i="11" s="1"/>
  <c r="O281" i="11"/>
  <c r="BH281" i="19"/>
  <c r="M281" i="11" s="1"/>
  <c r="BF281" i="19"/>
  <c r="J281" i="11" s="1"/>
  <c r="I281" i="11" s="1"/>
  <c r="BD281" i="19"/>
  <c r="BC281" i="19"/>
  <c r="X281" i="11" s="1"/>
  <c r="BA281" i="19"/>
  <c r="AZ281" i="19"/>
  <c r="BM280" i="19"/>
  <c r="BN280" i="19" s="1"/>
  <c r="D280" i="11" s="1"/>
  <c r="O280" i="11"/>
  <c r="BH280" i="19"/>
  <c r="M280" i="11" s="1"/>
  <c r="BF280" i="19"/>
  <c r="J280" i="11" s="1"/>
  <c r="I280" i="11" s="1"/>
  <c r="BD280" i="19"/>
  <c r="BC280" i="19"/>
  <c r="X280" i="11" s="1"/>
  <c r="BA280" i="19"/>
  <c r="AZ280" i="19"/>
  <c r="BM279" i="19"/>
  <c r="BN279" i="19" s="1"/>
  <c r="D279" i="11" s="1"/>
  <c r="O279" i="11"/>
  <c r="BH279" i="19"/>
  <c r="M279" i="11" s="1"/>
  <c r="BF279" i="19"/>
  <c r="J279" i="11" s="1"/>
  <c r="I279" i="11" s="1"/>
  <c r="BD279" i="19"/>
  <c r="BC279" i="19"/>
  <c r="X279" i="11" s="1"/>
  <c r="BA279" i="19"/>
  <c r="AZ279" i="19"/>
  <c r="BM278" i="19"/>
  <c r="BO278" i="19" s="1"/>
  <c r="B278" i="11" s="1"/>
  <c r="O278" i="11"/>
  <c r="BH278" i="19"/>
  <c r="M278" i="11" s="1"/>
  <c r="BF278" i="19"/>
  <c r="J278" i="11" s="1"/>
  <c r="I278" i="11" s="1"/>
  <c r="BD278" i="19"/>
  <c r="BC278" i="19"/>
  <c r="X278" i="11" s="1"/>
  <c r="BA278" i="19"/>
  <c r="AZ278" i="19"/>
  <c r="BM277" i="19"/>
  <c r="BN277" i="19" s="1"/>
  <c r="D277" i="11" s="1"/>
  <c r="O277" i="11"/>
  <c r="BH277" i="19"/>
  <c r="M277" i="11" s="1"/>
  <c r="BF277" i="19"/>
  <c r="J277" i="11" s="1"/>
  <c r="I277" i="11" s="1"/>
  <c r="BD277" i="19"/>
  <c r="BC277" i="19"/>
  <c r="X277" i="11" s="1"/>
  <c r="BA277" i="19"/>
  <c r="AZ277" i="19"/>
  <c r="BM276" i="19"/>
  <c r="BN276" i="19" s="1"/>
  <c r="D276" i="11" s="1"/>
  <c r="O276" i="11"/>
  <c r="BH276" i="19"/>
  <c r="M276" i="11" s="1"/>
  <c r="BF276" i="19"/>
  <c r="J276" i="11" s="1"/>
  <c r="I276" i="11" s="1"/>
  <c r="BD276" i="19"/>
  <c r="BC276" i="19"/>
  <c r="X276" i="11" s="1"/>
  <c r="BA276" i="19"/>
  <c r="AZ276" i="19"/>
  <c r="BM275" i="19"/>
  <c r="BN275" i="19" s="1"/>
  <c r="D275" i="11" s="1"/>
  <c r="O275" i="11"/>
  <c r="BH275" i="19"/>
  <c r="M275" i="11" s="1"/>
  <c r="BF275" i="19"/>
  <c r="J275" i="11" s="1"/>
  <c r="I275" i="11" s="1"/>
  <c r="BD275" i="19"/>
  <c r="BC275" i="19"/>
  <c r="X275" i="11" s="1"/>
  <c r="BA275" i="19"/>
  <c r="AZ275" i="19"/>
  <c r="BM274" i="19"/>
  <c r="BO274" i="19" s="1"/>
  <c r="B274" i="11" s="1"/>
  <c r="O274" i="11"/>
  <c r="BH274" i="19"/>
  <c r="M274" i="11" s="1"/>
  <c r="BF274" i="19"/>
  <c r="J274" i="11" s="1"/>
  <c r="I274" i="11" s="1"/>
  <c r="BD274" i="19"/>
  <c r="BC274" i="19"/>
  <c r="X274" i="11" s="1"/>
  <c r="BA274" i="19"/>
  <c r="AZ274" i="19"/>
  <c r="BM273" i="19"/>
  <c r="BN273" i="19" s="1"/>
  <c r="D273" i="11" s="1"/>
  <c r="O273" i="11"/>
  <c r="BH273" i="19"/>
  <c r="M273" i="11" s="1"/>
  <c r="BF273" i="19"/>
  <c r="J273" i="11" s="1"/>
  <c r="I273" i="11" s="1"/>
  <c r="BD273" i="19"/>
  <c r="BC273" i="19"/>
  <c r="X273" i="11" s="1"/>
  <c r="BA273" i="19"/>
  <c r="AZ273" i="19"/>
  <c r="BM272" i="19"/>
  <c r="BO272" i="19" s="1"/>
  <c r="B272" i="11" s="1"/>
  <c r="O272" i="11"/>
  <c r="BH272" i="19"/>
  <c r="M272" i="11" s="1"/>
  <c r="BF272" i="19"/>
  <c r="J272" i="11" s="1"/>
  <c r="I272" i="11" s="1"/>
  <c r="BD272" i="19"/>
  <c r="BC272" i="19"/>
  <c r="X272" i="11" s="1"/>
  <c r="BA272" i="19"/>
  <c r="AZ272" i="19"/>
  <c r="BM271" i="19"/>
  <c r="BN271" i="19" s="1"/>
  <c r="D271" i="11" s="1"/>
  <c r="O271" i="11"/>
  <c r="BH271" i="19"/>
  <c r="M271" i="11" s="1"/>
  <c r="BF271" i="19"/>
  <c r="J271" i="11" s="1"/>
  <c r="I271" i="11" s="1"/>
  <c r="BD271" i="19"/>
  <c r="BC271" i="19"/>
  <c r="X271" i="11" s="1"/>
  <c r="BA271" i="19"/>
  <c r="AZ271" i="19"/>
  <c r="BM270" i="19"/>
  <c r="BO270" i="19" s="1"/>
  <c r="B270" i="11" s="1"/>
  <c r="O270" i="11"/>
  <c r="BH270" i="19"/>
  <c r="M270" i="11" s="1"/>
  <c r="BF270" i="19"/>
  <c r="J270" i="11" s="1"/>
  <c r="I270" i="11" s="1"/>
  <c r="BD270" i="19"/>
  <c r="BC270" i="19"/>
  <c r="X270" i="11" s="1"/>
  <c r="BA270" i="19"/>
  <c r="AZ270" i="19"/>
  <c r="BM269" i="19"/>
  <c r="BN269" i="19" s="1"/>
  <c r="D269" i="11" s="1"/>
  <c r="O269" i="11"/>
  <c r="BH269" i="19"/>
  <c r="M269" i="11" s="1"/>
  <c r="BF269" i="19"/>
  <c r="J269" i="11" s="1"/>
  <c r="I269" i="11" s="1"/>
  <c r="BD269" i="19"/>
  <c r="BC269" i="19"/>
  <c r="X269" i="11" s="1"/>
  <c r="BA269" i="19"/>
  <c r="AZ269" i="19"/>
  <c r="BM268" i="19"/>
  <c r="BO268" i="19" s="1"/>
  <c r="B268" i="11" s="1"/>
  <c r="O268" i="11"/>
  <c r="BH268" i="19"/>
  <c r="M268" i="11" s="1"/>
  <c r="BF268" i="19"/>
  <c r="J268" i="11" s="1"/>
  <c r="I268" i="11" s="1"/>
  <c r="BD268" i="19"/>
  <c r="BC268" i="19"/>
  <c r="X268" i="11" s="1"/>
  <c r="BA268" i="19"/>
  <c r="AZ268" i="19"/>
  <c r="BM267" i="19"/>
  <c r="BN267" i="19" s="1"/>
  <c r="D267" i="11" s="1"/>
  <c r="O267" i="11"/>
  <c r="BH267" i="19"/>
  <c r="M267" i="11" s="1"/>
  <c r="BF267" i="19"/>
  <c r="J267" i="11" s="1"/>
  <c r="I267" i="11" s="1"/>
  <c r="BD267" i="19"/>
  <c r="BC267" i="19"/>
  <c r="X267" i="11" s="1"/>
  <c r="BA267" i="19"/>
  <c r="AZ267" i="19"/>
  <c r="BM266" i="19"/>
  <c r="BO266" i="19" s="1"/>
  <c r="B266" i="11" s="1"/>
  <c r="O266" i="11"/>
  <c r="BH266" i="19"/>
  <c r="M266" i="11" s="1"/>
  <c r="BF266" i="19"/>
  <c r="J266" i="11" s="1"/>
  <c r="I266" i="11" s="1"/>
  <c r="BD266" i="19"/>
  <c r="BC266" i="19"/>
  <c r="X266" i="11" s="1"/>
  <c r="BA266" i="19"/>
  <c r="AZ266" i="19"/>
  <c r="BM265" i="19"/>
  <c r="BN265" i="19" s="1"/>
  <c r="D265" i="11" s="1"/>
  <c r="O265" i="11"/>
  <c r="BH265" i="19"/>
  <c r="M265" i="11" s="1"/>
  <c r="BF265" i="19"/>
  <c r="J265" i="11" s="1"/>
  <c r="I265" i="11" s="1"/>
  <c r="BD265" i="19"/>
  <c r="BC265" i="19"/>
  <c r="X265" i="11" s="1"/>
  <c r="BA265" i="19"/>
  <c r="AZ265" i="19"/>
  <c r="BM264" i="19"/>
  <c r="BN264" i="19" s="1"/>
  <c r="D264" i="11" s="1"/>
  <c r="O264" i="11"/>
  <c r="BH264" i="19"/>
  <c r="M264" i="11" s="1"/>
  <c r="BF264" i="19"/>
  <c r="J264" i="11" s="1"/>
  <c r="I264" i="11" s="1"/>
  <c r="BD264" i="19"/>
  <c r="BC264" i="19"/>
  <c r="X264" i="11" s="1"/>
  <c r="BA264" i="19"/>
  <c r="AZ264" i="19"/>
  <c r="BM263" i="19"/>
  <c r="BN263" i="19" s="1"/>
  <c r="D263" i="11" s="1"/>
  <c r="O263" i="11"/>
  <c r="BH263" i="19"/>
  <c r="M263" i="11" s="1"/>
  <c r="BF263" i="19"/>
  <c r="J263" i="11" s="1"/>
  <c r="I263" i="11" s="1"/>
  <c r="BD263" i="19"/>
  <c r="BC263" i="19"/>
  <c r="X263" i="11" s="1"/>
  <c r="BA263" i="19"/>
  <c r="AZ263" i="19"/>
  <c r="BM262" i="19"/>
  <c r="BN262" i="19" s="1"/>
  <c r="D262" i="11" s="1"/>
  <c r="O262" i="11"/>
  <c r="BH262" i="19"/>
  <c r="M262" i="11" s="1"/>
  <c r="BF262" i="19"/>
  <c r="J262" i="11" s="1"/>
  <c r="I262" i="11" s="1"/>
  <c r="BD262" i="19"/>
  <c r="BC262" i="19"/>
  <c r="X262" i="11" s="1"/>
  <c r="BA262" i="19"/>
  <c r="AZ262" i="19"/>
  <c r="BM261" i="19"/>
  <c r="BN261" i="19" s="1"/>
  <c r="D261" i="11" s="1"/>
  <c r="O261" i="11"/>
  <c r="BH261" i="19"/>
  <c r="M261" i="11" s="1"/>
  <c r="BF261" i="19"/>
  <c r="J261" i="11" s="1"/>
  <c r="I261" i="11" s="1"/>
  <c r="BD261" i="19"/>
  <c r="BC261" i="19"/>
  <c r="X261" i="11" s="1"/>
  <c r="BA261" i="19"/>
  <c r="AZ261" i="19"/>
  <c r="BM260" i="19"/>
  <c r="BN260" i="19" s="1"/>
  <c r="D260" i="11" s="1"/>
  <c r="O260" i="11"/>
  <c r="BH260" i="19"/>
  <c r="M260" i="11" s="1"/>
  <c r="BF260" i="19"/>
  <c r="J260" i="11" s="1"/>
  <c r="I260" i="11" s="1"/>
  <c r="BD260" i="19"/>
  <c r="BC260" i="19"/>
  <c r="X260" i="11" s="1"/>
  <c r="BA260" i="19"/>
  <c r="AZ260" i="19"/>
  <c r="BM259" i="19"/>
  <c r="BN259" i="19" s="1"/>
  <c r="D259" i="11" s="1"/>
  <c r="O259" i="11"/>
  <c r="BH259" i="19"/>
  <c r="M259" i="11" s="1"/>
  <c r="BF259" i="19"/>
  <c r="J259" i="11" s="1"/>
  <c r="I259" i="11" s="1"/>
  <c r="BD259" i="19"/>
  <c r="BC259" i="19"/>
  <c r="X259" i="11" s="1"/>
  <c r="BA259" i="19"/>
  <c r="AZ259" i="19"/>
  <c r="BM258" i="19"/>
  <c r="BO258" i="19" s="1"/>
  <c r="B258" i="11" s="1"/>
  <c r="O258" i="11"/>
  <c r="BH258" i="19"/>
  <c r="M258" i="11" s="1"/>
  <c r="BF258" i="19"/>
  <c r="J258" i="11" s="1"/>
  <c r="I258" i="11" s="1"/>
  <c r="BD258" i="19"/>
  <c r="BC258" i="19"/>
  <c r="X258" i="11" s="1"/>
  <c r="BA258" i="19"/>
  <c r="AZ258" i="19"/>
  <c r="BM257" i="19"/>
  <c r="BN257" i="19" s="1"/>
  <c r="D257" i="11" s="1"/>
  <c r="O257" i="11"/>
  <c r="BH257" i="19"/>
  <c r="M257" i="11" s="1"/>
  <c r="BF257" i="19"/>
  <c r="J257" i="11" s="1"/>
  <c r="I257" i="11" s="1"/>
  <c r="BD257" i="19"/>
  <c r="BC257" i="19"/>
  <c r="X257" i="11" s="1"/>
  <c r="BA257" i="19"/>
  <c r="AZ257" i="19"/>
  <c r="BM256" i="19"/>
  <c r="BO256" i="19" s="1"/>
  <c r="B256" i="11" s="1"/>
  <c r="O256" i="11"/>
  <c r="BH256" i="19"/>
  <c r="M256" i="11" s="1"/>
  <c r="BF256" i="19"/>
  <c r="J256" i="11" s="1"/>
  <c r="I256" i="11" s="1"/>
  <c r="BD256" i="19"/>
  <c r="BC256" i="19"/>
  <c r="X256" i="11" s="1"/>
  <c r="BA256" i="19"/>
  <c r="AZ256" i="19"/>
  <c r="BM255" i="19"/>
  <c r="BN255" i="19" s="1"/>
  <c r="D255" i="11" s="1"/>
  <c r="O255" i="11"/>
  <c r="BH255" i="19"/>
  <c r="M255" i="11" s="1"/>
  <c r="BF255" i="19"/>
  <c r="J255" i="11" s="1"/>
  <c r="I255" i="11" s="1"/>
  <c r="BD255" i="19"/>
  <c r="BC255" i="19"/>
  <c r="X255" i="11" s="1"/>
  <c r="BA255" i="19"/>
  <c r="AZ255" i="19"/>
  <c r="BM254" i="19"/>
  <c r="BO254" i="19" s="1"/>
  <c r="B254" i="11" s="1"/>
  <c r="O254" i="11"/>
  <c r="BH254" i="19"/>
  <c r="M254" i="11" s="1"/>
  <c r="BF254" i="19"/>
  <c r="J254" i="11" s="1"/>
  <c r="I254" i="11" s="1"/>
  <c r="BD254" i="19"/>
  <c r="BC254" i="19"/>
  <c r="X254" i="11" s="1"/>
  <c r="BA254" i="19"/>
  <c r="AZ254" i="19"/>
  <c r="BM253" i="19"/>
  <c r="BN253" i="19" s="1"/>
  <c r="D253" i="11" s="1"/>
  <c r="O253" i="11"/>
  <c r="BH253" i="19"/>
  <c r="M253" i="11" s="1"/>
  <c r="BF253" i="19"/>
  <c r="J253" i="11" s="1"/>
  <c r="I253" i="11" s="1"/>
  <c r="BD253" i="19"/>
  <c r="BC253" i="19"/>
  <c r="X253" i="11" s="1"/>
  <c r="BA253" i="19"/>
  <c r="AZ253" i="19"/>
  <c r="BM252" i="19"/>
  <c r="BN252" i="19" s="1"/>
  <c r="D252" i="11" s="1"/>
  <c r="O252" i="11"/>
  <c r="BH252" i="19"/>
  <c r="M252" i="11" s="1"/>
  <c r="BF252" i="19"/>
  <c r="J252" i="11" s="1"/>
  <c r="I252" i="11" s="1"/>
  <c r="BD252" i="19"/>
  <c r="BC252" i="19"/>
  <c r="X252" i="11" s="1"/>
  <c r="BA252" i="19"/>
  <c r="AZ252" i="19"/>
  <c r="BM251" i="19"/>
  <c r="BN251" i="19" s="1"/>
  <c r="D251" i="11" s="1"/>
  <c r="O251" i="11"/>
  <c r="BH251" i="19"/>
  <c r="M251" i="11" s="1"/>
  <c r="BF251" i="19"/>
  <c r="J251" i="11" s="1"/>
  <c r="I251" i="11" s="1"/>
  <c r="BD251" i="19"/>
  <c r="BC251" i="19"/>
  <c r="X251" i="11" s="1"/>
  <c r="BA251" i="19"/>
  <c r="AZ251" i="19"/>
  <c r="BM250" i="19"/>
  <c r="BO250" i="19" s="1"/>
  <c r="B250" i="11" s="1"/>
  <c r="O250" i="11"/>
  <c r="BH250" i="19"/>
  <c r="M250" i="11" s="1"/>
  <c r="BF250" i="19"/>
  <c r="J250" i="11" s="1"/>
  <c r="I250" i="11" s="1"/>
  <c r="BD250" i="19"/>
  <c r="BC250" i="19"/>
  <c r="X250" i="11" s="1"/>
  <c r="BA250" i="19"/>
  <c r="AZ250" i="19"/>
  <c r="BM249" i="19"/>
  <c r="BN249" i="19" s="1"/>
  <c r="D249" i="11" s="1"/>
  <c r="O249" i="11"/>
  <c r="BH249" i="19"/>
  <c r="M249" i="11" s="1"/>
  <c r="BF249" i="19"/>
  <c r="J249" i="11" s="1"/>
  <c r="I249" i="11" s="1"/>
  <c r="BD249" i="19"/>
  <c r="BC249" i="19"/>
  <c r="X249" i="11" s="1"/>
  <c r="BA249" i="19"/>
  <c r="AZ249" i="19"/>
  <c r="BM248" i="19"/>
  <c r="BN248" i="19" s="1"/>
  <c r="D248" i="11" s="1"/>
  <c r="O248" i="11"/>
  <c r="BH248" i="19"/>
  <c r="M248" i="11" s="1"/>
  <c r="BF248" i="19"/>
  <c r="J248" i="11" s="1"/>
  <c r="I248" i="11" s="1"/>
  <c r="BD248" i="19"/>
  <c r="BC248" i="19"/>
  <c r="X248" i="11" s="1"/>
  <c r="BA248" i="19"/>
  <c r="AZ248" i="19"/>
  <c r="BM247" i="19"/>
  <c r="BN247" i="19" s="1"/>
  <c r="D247" i="11" s="1"/>
  <c r="O247" i="11"/>
  <c r="BH247" i="19"/>
  <c r="M247" i="11" s="1"/>
  <c r="BF247" i="19"/>
  <c r="J247" i="11" s="1"/>
  <c r="I247" i="11" s="1"/>
  <c r="BD247" i="19"/>
  <c r="BC247" i="19"/>
  <c r="X247" i="11" s="1"/>
  <c r="BA247" i="19"/>
  <c r="AZ247" i="19"/>
  <c r="BM246" i="19"/>
  <c r="BN246" i="19" s="1"/>
  <c r="D246" i="11" s="1"/>
  <c r="O246" i="11"/>
  <c r="BH246" i="19"/>
  <c r="M246" i="11" s="1"/>
  <c r="BF246" i="19"/>
  <c r="J246" i="11" s="1"/>
  <c r="I246" i="11" s="1"/>
  <c r="BD246" i="19"/>
  <c r="BC246" i="19"/>
  <c r="X246" i="11" s="1"/>
  <c r="BA246" i="19"/>
  <c r="AZ246" i="19"/>
  <c r="BM245" i="19"/>
  <c r="BN245" i="19" s="1"/>
  <c r="D245" i="11" s="1"/>
  <c r="O245" i="11"/>
  <c r="BH245" i="19"/>
  <c r="M245" i="11" s="1"/>
  <c r="BF245" i="19"/>
  <c r="J245" i="11" s="1"/>
  <c r="I245" i="11" s="1"/>
  <c r="BD245" i="19"/>
  <c r="BC245" i="19"/>
  <c r="X245" i="11" s="1"/>
  <c r="BA245" i="19"/>
  <c r="AZ245" i="19"/>
  <c r="BM244" i="19"/>
  <c r="BN244" i="19" s="1"/>
  <c r="D244" i="11" s="1"/>
  <c r="O244" i="11"/>
  <c r="BH244" i="19"/>
  <c r="M244" i="11" s="1"/>
  <c r="BF244" i="19"/>
  <c r="J244" i="11" s="1"/>
  <c r="I244" i="11" s="1"/>
  <c r="BD244" i="19"/>
  <c r="BC244" i="19"/>
  <c r="X244" i="11" s="1"/>
  <c r="BA244" i="19"/>
  <c r="AZ244" i="19"/>
  <c r="BM243" i="19"/>
  <c r="BN243" i="19" s="1"/>
  <c r="D243" i="11" s="1"/>
  <c r="O243" i="11"/>
  <c r="BH243" i="19"/>
  <c r="M243" i="11" s="1"/>
  <c r="BF243" i="19"/>
  <c r="J243" i="11" s="1"/>
  <c r="I243" i="11" s="1"/>
  <c r="BD243" i="19"/>
  <c r="BC243" i="19"/>
  <c r="X243" i="11" s="1"/>
  <c r="BA243" i="19"/>
  <c r="AZ243" i="19"/>
  <c r="BM242" i="19"/>
  <c r="BO242" i="19" s="1"/>
  <c r="B242" i="11" s="1"/>
  <c r="O242" i="11"/>
  <c r="BH242" i="19"/>
  <c r="M242" i="11" s="1"/>
  <c r="BF242" i="19"/>
  <c r="J242" i="11" s="1"/>
  <c r="I242" i="11" s="1"/>
  <c r="BD242" i="19"/>
  <c r="BC242" i="19"/>
  <c r="X242" i="11" s="1"/>
  <c r="BA242" i="19"/>
  <c r="AZ242" i="19"/>
  <c r="BM241" i="19"/>
  <c r="BN241" i="19" s="1"/>
  <c r="D241" i="11" s="1"/>
  <c r="O241" i="11"/>
  <c r="BH241" i="19"/>
  <c r="M241" i="11" s="1"/>
  <c r="BF241" i="19"/>
  <c r="J241" i="11" s="1"/>
  <c r="I241" i="11" s="1"/>
  <c r="BD241" i="19"/>
  <c r="BC241" i="19"/>
  <c r="X241" i="11" s="1"/>
  <c r="BA241" i="19"/>
  <c r="AZ241" i="19"/>
  <c r="BM240" i="19"/>
  <c r="BO240" i="19" s="1"/>
  <c r="B240" i="11" s="1"/>
  <c r="O240" i="11"/>
  <c r="BH240" i="19"/>
  <c r="M240" i="11" s="1"/>
  <c r="BF240" i="19"/>
  <c r="J240" i="11" s="1"/>
  <c r="I240" i="11" s="1"/>
  <c r="BD240" i="19"/>
  <c r="BC240" i="19"/>
  <c r="X240" i="11" s="1"/>
  <c r="BA240" i="19"/>
  <c r="AZ240" i="19"/>
  <c r="BM239" i="19"/>
  <c r="BN239" i="19" s="1"/>
  <c r="D239" i="11" s="1"/>
  <c r="O239" i="11"/>
  <c r="BH239" i="19"/>
  <c r="M239" i="11" s="1"/>
  <c r="BF239" i="19"/>
  <c r="J239" i="11" s="1"/>
  <c r="I239" i="11" s="1"/>
  <c r="BD239" i="19"/>
  <c r="BC239" i="19"/>
  <c r="X239" i="11" s="1"/>
  <c r="BA239" i="19"/>
  <c r="AZ239" i="19"/>
  <c r="BM238" i="19"/>
  <c r="BO238" i="19" s="1"/>
  <c r="B238" i="11" s="1"/>
  <c r="O238" i="11"/>
  <c r="BH238" i="19"/>
  <c r="M238" i="11" s="1"/>
  <c r="BF238" i="19"/>
  <c r="J238" i="11" s="1"/>
  <c r="I238" i="11" s="1"/>
  <c r="BD238" i="19"/>
  <c r="BC238" i="19"/>
  <c r="X238" i="11" s="1"/>
  <c r="BA238" i="19"/>
  <c r="AZ238" i="19"/>
  <c r="BM237" i="19"/>
  <c r="BN237" i="19" s="1"/>
  <c r="D237" i="11" s="1"/>
  <c r="O237" i="11"/>
  <c r="BH237" i="19"/>
  <c r="M237" i="11" s="1"/>
  <c r="BF237" i="19"/>
  <c r="J237" i="11" s="1"/>
  <c r="I237" i="11" s="1"/>
  <c r="BD237" i="19"/>
  <c r="BC237" i="19"/>
  <c r="X237" i="11" s="1"/>
  <c r="BA237" i="19"/>
  <c r="AZ237" i="19"/>
  <c r="BM236" i="19"/>
  <c r="BO236" i="19" s="1"/>
  <c r="B236" i="11" s="1"/>
  <c r="O236" i="11"/>
  <c r="BH236" i="19"/>
  <c r="M236" i="11" s="1"/>
  <c r="BF236" i="19"/>
  <c r="J236" i="11" s="1"/>
  <c r="I236" i="11" s="1"/>
  <c r="BD236" i="19"/>
  <c r="BC236" i="19"/>
  <c r="X236" i="11" s="1"/>
  <c r="BA236" i="19"/>
  <c r="AZ236" i="19"/>
  <c r="BM235" i="19"/>
  <c r="BN235" i="19" s="1"/>
  <c r="D235" i="11" s="1"/>
  <c r="O235" i="11"/>
  <c r="BH235" i="19"/>
  <c r="M235" i="11" s="1"/>
  <c r="BF235" i="19"/>
  <c r="J235" i="11" s="1"/>
  <c r="I235" i="11" s="1"/>
  <c r="BD235" i="19"/>
  <c r="BC235" i="19"/>
  <c r="X235" i="11" s="1"/>
  <c r="BA235" i="19"/>
  <c r="AZ235" i="19"/>
  <c r="BM234" i="19"/>
  <c r="BO234" i="19" s="1"/>
  <c r="B234" i="11" s="1"/>
  <c r="O234" i="11"/>
  <c r="BH234" i="19"/>
  <c r="M234" i="11" s="1"/>
  <c r="BF234" i="19"/>
  <c r="J234" i="11" s="1"/>
  <c r="I234" i="11" s="1"/>
  <c r="BD234" i="19"/>
  <c r="BC234" i="19"/>
  <c r="X234" i="11" s="1"/>
  <c r="BA234" i="19"/>
  <c r="AZ234" i="19"/>
  <c r="BM233" i="19"/>
  <c r="BN233" i="19" s="1"/>
  <c r="D233" i="11" s="1"/>
  <c r="O233" i="11"/>
  <c r="BH233" i="19"/>
  <c r="M233" i="11" s="1"/>
  <c r="BF233" i="19"/>
  <c r="J233" i="11" s="1"/>
  <c r="I233" i="11" s="1"/>
  <c r="BD233" i="19"/>
  <c r="BC233" i="19"/>
  <c r="X233" i="11" s="1"/>
  <c r="BA233" i="19"/>
  <c r="AZ233" i="19"/>
  <c r="BM232" i="19"/>
  <c r="BN232" i="19" s="1"/>
  <c r="D232" i="11" s="1"/>
  <c r="O232" i="11"/>
  <c r="BH232" i="19"/>
  <c r="M232" i="11" s="1"/>
  <c r="BF232" i="19"/>
  <c r="J232" i="11" s="1"/>
  <c r="I232" i="11" s="1"/>
  <c r="BD232" i="19"/>
  <c r="BC232" i="19"/>
  <c r="X232" i="11" s="1"/>
  <c r="BA232" i="19"/>
  <c r="AZ232" i="19"/>
  <c r="BM231" i="19"/>
  <c r="BN231" i="19" s="1"/>
  <c r="D231" i="11" s="1"/>
  <c r="O231" i="11"/>
  <c r="BH231" i="19"/>
  <c r="M231" i="11" s="1"/>
  <c r="BF231" i="19"/>
  <c r="J231" i="11" s="1"/>
  <c r="I231" i="11" s="1"/>
  <c r="BD231" i="19"/>
  <c r="BC231" i="19"/>
  <c r="X231" i="11" s="1"/>
  <c r="BA231" i="19"/>
  <c r="AZ231" i="19"/>
  <c r="BM230" i="19"/>
  <c r="BO230" i="19" s="1"/>
  <c r="B230" i="11" s="1"/>
  <c r="O230" i="11"/>
  <c r="BH230" i="19"/>
  <c r="M230" i="11" s="1"/>
  <c r="BF230" i="19"/>
  <c r="J230" i="11" s="1"/>
  <c r="I230" i="11" s="1"/>
  <c r="BD230" i="19"/>
  <c r="BC230" i="19"/>
  <c r="X230" i="11" s="1"/>
  <c r="BA230" i="19"/>
  <c r="AZ230" i="19"/>
  <c r="BM229" i="19"/>
  <c r="BN229" i="19" s="1"/>
  <c r="D229" i="11" s="1"/>
  <c r="O229" i="11"/>
  <c r="BH229" i="19"/>
  <c r="M229" i="11" s="1"/>
  <c r="BF229" i="19"/>
  <c r="J229" i="11" s="1"/>
  <c r="I229" i="11" s="1"/>
  <c r="BD229" i="19"/>
  <c r="BC229" i="19"/>
  <c r="X229" i="11" s="1"/>
  <c r="BA229" i="19"/>
  <c r="AZ229" i="19"/>
  <c r="BM228" i="19"/>
  <c r="BN228" i="19" s="1"/>
  <c r="D228" i="11" s="1"/>
  <c r="O228" i="11"/>
  <c r="BH228" i="19"/>
  <c r="M228" i="11" s="1"/>
  <c r="BF228" i="19"/>
  <c r="J228" i="11" s="1"/>
  <c r="I228" i="11" s="1"/>
  <c r="BD228" i="19"/>
  <c r="BC228" i="19"/>
  <c r="X228" i="11" s="1"/>
  <c r="BA228" i="19"/>
  <c r="AZ228" i="19"/>
  <c r="BM227" i="19"/>
  <c r="BN227" i="19" s="1"/>
  <c r="D227" i="11" s="1"/>
  <c r="O227" i="11"/>
  <c r="BH227" i="19"/>
  <c r="M227" i="11" s="1"/>
  <c r="BF227" i="19"/>
  <c r="J227" i="11" s="1"/>
  <c r="I227" i="11" s="1"/>
  <c r="BD227" i="19"/>
  <c r="BC227" i="19"/>
  <c r="X227" i="11" s="1"/>
  <c r="BA227" i="19"/>
  <c r="AZ227" i="19"/>
  <c r="BM226" i="19"/>
  <c r="BO226" i="19" s="1"/>
  <c r="B226" i="11" s="1"/>
  <c r="O226" i="11"/>
  <c r="BH226" i="19"/>
  <c r="M226" i="11" s="1"/>
  <c r="BF226" i="19"/>
  <c r="J226" i="11" s="1"/>
  <c r="I226" i="11" s="1"/>
  <c r="BD226" i="19"/>
  <c r="BC226" i="19"/>
  <c r="X226" i="11" s="1"/>
  <c r="BA226" i="19"/>
  <c r="AZ226" i="19"/>
  <c r="BM225" i="19"/>
  <c r="BN225" i="19" s="1"/>
  <c r="D225" i="11" s="1"/>
  <c r="O225" i="11"/>
  <c r="BH225" i="19"/>
  <c r="M225" i="11" s="1"/>
  <c r="BF225" i="19"/>
  <c r="J225" i="11" s="1"/>
  <c r="I225" i="11" s="1"/>
  <c r="BD225" i="19"/>
  <c r="BC225" i="19"/>
  <c r="X225" i="11" s="1"/>
  <c r="BA225" i="19"/>
  <c r="AZ225" i="19"/>
  <c r="BM224" i="19"/>
  <c r="BO224" i="19" s="1"/>
  <c r="B224" i="11" s="1"/>
  <c r="O224" i="11"/>
  <c r="BH224" i="19"/>
  <c r="M224" i="11" s="1"/>
  <c r="BF224" i="19"/>
  <c r="J224" i="11" s="1"/>
  <c r="I224" i="11" s="1"/>
  <c r="BD224" i="19"/>
  <c r="BC224" i="19"/>
  <c r="X224" i="11" s="1"/>
  <c r="BA224" i="19"/>
  <c r="AZ224" i="19"/>
  <c r="BM223" i="19"/>
  <c r="BN223" i="19" s="1"/>
  <c r="D223" i="11" s="1"/>
  <c r="O223" i="11"/>
  <c r="BH223" i="19"/>
  <c r="M223" i="11" s="1"/>
  <c r="BF223" i="19"/>
  <c r="J223" i="11" s="1"/>
  <c r="I223" i="11" s="1"/>
  <c r="BD223" i="19"/>
  <c r="BC223" i="19"/>
  <c r="X223" i="11" s="1"/>
  <c r="BA223" i="19"/>
  <c r="AZ223" i="19"/>
  <c r="BM222" i="19"/>
  <c r="BO222" i="19" s="1"/>
  <c r="B222" i="11" s="1"/>
  <c r="O222" i="11"/>
  <c r="BH222" i="19"/>
  <c r="M222" i="11" s="1"/>
  <c r="BF222" i="19"/>
  <c r="J222" i="11" s="1"/>
  <c r="I222" i="11" s="1"/>
  <c r="BD222" i="19"/>
  <c r="BC222" i="19"/>
  <c r="X222" i="11" s="1"/>
  <c r="BA222" i="19"/>
  <c r="AZ222" i="19"/>
  <c r="BM221" i="19"/>
  <c r="BN221" i="19" s="1"/>
  <c r="D221" i="11" s="1"/>
  <c r="O221" i="11"/>
  <c r="BH221" i="19"/>
  <c r="M221" i="11" s="1"/>
  <c r="BF221" i="19"/>
  <c r="J221" i="11" s="1"/>
  <c r="I221" i="11" s="1"/>
  <c r="BD221" i="19"/>
  <c r="BC221" i="19"/>
  <c r="X221" i="11" s="1"/>
  <c r="BA221" i="19"/>
  <c r="AZ221" i="19"/>
  <c r="BM220" i="19"/>
  <c r="BN220" i="19" s="1"/>
  <c r="D220" i="11" s="1"/>
  <c r="O220" i="11"/>
  <c r="BH220" i="19"/>
  <c r="M220" i="11" s="1"/>
  <c r="BF220" i="19"/>
  <c r="J220" i="11" s="1"/>
  <c r="I220" i="11" s="1"/>
  <c r="BD220" i="19"/>
  <c r="BC220" i="19"/>
  <c r="X220" i="11" s="1"/>
  <c r="BA220" i="19"/>
  <c r="AZ220" i="19"/>
  <c r="BM219" i="19"/>
  <c r="BN219" i="19" s="1"/>
  <c r="D219" i="11" s="1"/>
  <c r="O219" i="11"/>
  <c r="BH219" i="19"/>
  <c r="M219" i="11" s="1"/>
  <c r="BF219" i="19"/>
  <c r="J219" i="11" s="1"/>
  <c r="I219" i="11" s="1"/>
  <c r="BD219" i="19"/>
  <c r="BC219" i="19"/>
  <c r="X219" i="11" s="1"/>
  <c r="BA219" i="19"/>
  <c r="AZ219" i="19"/>
  <c r="BM218" i="19"/>
  <c r="BO218" i="19" s="1"/>
  <c r="B218" i="11" s="1"/>
  <c r="O218" i="11"/>
  <c r="BH218" i="19"/>
  <c r="M218" i="11" s="1"/>
  <c r="BF218" i="19"/>
  <c r="J218" i="11" s="1"/>
  <c r="I218" i="11" s="1"/>
  <c r="BD218" i="19"/>
  <c r="BC218" i="19"/>
  <c r="X218" i="11" s="1"/>
  <c r="BA218" i="19"/>
  <c r="AZ218" i="19"/>
  <c r="BM217" i="19"/>
  <c r="BN217" i="19" s="1"/>
  <c r="D217" i="11" s="1"/>
  <c r="O217" i="11"/>
  <c r="BH217" i="19"/>
  <c r="M217" i="11" s="1"/>
  <c r="BF217" i="19"/>
  <c r="J217" i="11" s="1"/>
  <c r="I217" i="11" s="1"/>
  <c r="BD217" i="19"/>
  <c r="BC217" i="19"/>
  <c r="X217" i="11" s="1"/>
  <c r="BA217" i="19"/>
  <c r="AZ217" i="19"/>
  <c r="BM216" i="19"/>
  <c r="BN216" i="19" s="1"/>
  <c r="D216" i="11" s="1"/>
  <c r="O216" i="11"/>
  <c r="BH216" i="19"/>
  <c r="M216" i="11" s="1"/>
  <c r="BF216" i="19"/>
  <c r="J216" i="11" s="1"/>
  <c r="I216" i="11" s="1"/>
  <c r="BD216" i="19"/>
  <c r="BC216" i="19"/>
  <c r="X216" i="11" s="1"/>
  <c r="BA216" i="19"/>
  <c r="AZ216" i="19"/>
  <c r="BM215" i="19"/>
  <c r="BN215" i="19" s="1"/>
  <c r="D215" i="11" s="1"/>
  <c r="O215" i="11"/>
  <c r="BH215" i="19"/>
  <c r="M215" i="11" s="1"/>
  <c r="BF215" i="19"/>
  <c r="J215" i="11" s="1"/>
  <c r="I215" i="11" s="1"/>
  <c r="BD215" i="19"/>
  <c r="BC215" i="19"/>
  <c r="X215" i="11" s="1"/>
  <c r="BA215" i="19"/>
  <c r="AZ215" i="19"/>
  <c r="BM214" i="19"/>
  <c r="BN214" i="19" s="1"/>
  <c r="D214" i="11" s="1"/>
  <c r="O214" i="11"/>
  <c r="BH214" i="19"/>
  <c r="M214" i="11" s="1"/>
  <c r="BF214" i="19"/>
  <c r="J214" i="11" s="1"/>
  <c r="I214" i="11" s="1"/>
  <c r="BD214" i="19"/>
  <c r="BC214" i="19"/>
  <c r="X214" i="11" s="1"/>
  <c r="BA214" i="19"/>
  <c r="AZ214" i="19"/>
  <c r="BM213" i="19"/>
  <c r="BN213" i="19" s="1"/>
  <c r="D213" i="11" s="1"/>
  <c r="O213" i="11"/>
  <c r="BH213" i="19"/>
  <c r="M213" i="11" s="1"/>
  <c r="BF213" i="19"/>
  <c r="J213" i="11" s="1"/>
  <c r="I213" i="11" s="1"/>
  <c r="BD213" i="19"/>
  <c r="BC213" i="19"/>
  <c r="X213" i="11" s="1"/>
  <c r="BA213" i="19"/>
  <c r="AZ213" i="19"/>
  <c r="BM212" i="19"/>
  <c r="BN212" i="19" s="1"/>
  <c r="D212" i="11" s="1"/>
  <c r="O212" i="11"/>
  <c r="BH212" i="19"/>
  <c r="M212" i="11" s="1"/>
  <c r="BF212" i="19"/>
  <c r="J212" i="11" s="1"/>
  <c r="I212" i="11" s="1"/>
  <c r="BD212" i="19"/>
  <c r="BC212" i="19"/>
  <c r="X212" i="11" s="1"/>
  <c r="BA212" i="19"/>
  <c r="AZ212" i="19"/>
  <c r="BM211" i="19"/>
  <c r="BN211" i="19" s="1"/>
  <c r="D211" i="11" s="1"/>
  <c r="O211" i="11"/>
  <c r="BH211" i="19"/>
  <c r="M211" i="11" s="1"/>
  <c r="BF211" i="19"/>
  <c r="J211" i="11" s="1"/>
  <c r="I211" i="11" s="1"/>
  <c r="BD211" i="19"/>
  <c r="BC211" i="19"/>
  <c r="X211" i="11" s="1"/>
  <c r="BA211" i="19"/>
  <c r="AZ211" i="19"/>
  <c r="BM210" i="19"/>
  <c r="BO210" i="19" s="1"/>
  <c r="B210" i="11" s="1"/>
  <c r="O210" i="11"/>
  <c r="BH210" i="19"/>
  <c r="M210" i="11" s="1"/>
  <c r="BF210" i="19"/>
  <c r="J210" i="11" s="1"/>
  <c r="I210" i="11" s="1"/>
  <c r="BD210" i="19"/>
  <c r="BC210" i="19"/>
  <c r="X210" i="11" s="1"/>
  <c r="BA210" i="19"/>
  <c r="AZ210" i="19"/>
  <c r="BM209" i="19"/>
  <c r="BN209" i="19" s="1"/>
  <c r="D209" i="11" s="1"/>
  <c r="O209" i="11"/>
  <c r="BH209" i="19"/>
  <c r="M209" i="11" s="1"/>
  <c r="BF209" i="19"/>
  <c r="J209" i="11" s="1"/>
  <c r="I209" i="11" s="1"/>
  <c r="BD209" i="19"/>
  <c r="BC209" i="19"/>
  <c r="X209" i="11" s="1"/>
  <c r="BA209" i="19"/>
  <c r="AZ209" i="19"/>
  <c r="BM208" i="19"/>
  <c r="BO208" i="19" s="1"/>
  <c r="B208" i="11" s="1"/>
  <c r="O208" i="11"/>
  <c r="BH208" i="19"/>
  <c r="M208" i="11" s="1"/>
  <c r="BF208" i="19"/>
  <c r="J208" i="11" s="1"/>
  <c r="I208" i="11" s="1"/>
  <c r="BD208" i="19"/>
  <c r="BC208" i="19"/>
  <c r="X208" i="11" s="1"/>
  <c r="BA208" i="19"/>
  <c r="AZ208" i="19"/>
  <c r="BM207" i="19"/>
  <c r="BN207" i="19" s="1"/>
  <c r="D207" i="11" s="1"/>
  <c r="O207" i="11"/>
  <c r="BH207" i="19"/>
  <c r="M207" i="11" s="1"/>
  <c r="BF207" i="19"/>
  <c r="J207" i="11" s="1"/>
  <c r="I207" i="11" s="1"/>
  <c r="BD207" i="19"/>
  <c r="BC207" i="19"/>
  <c r="X207" i="11" s="1"/>
  <c r="BA207" i="19"/>
  <c r="AZ207" i="19"/>
  <c r="BM206" i="19"/>
  <c r="BO206" i="19" s="1"/>
  <c r="B206" i="11" s="1"/>
  <c r="O206" i="11"/>
  <c r="BH206" i="19"/>
  <c r="M206" i="11" s="1"/>
  <c r="BF206" i="19"/>
  <c r="J206" i="11" s="1"/>
  <c r="I206" i="11" s="1"/>
  <c r="BD206" i="19"/>
  <c r="BC206" i="19"/>
  <c r="X206" i="11" s="1"/>
  <c r="BA206" i="19"/>
  <c r="AZ206" i="19"/>
  <c r="BM205" i="19"/>
  <c r="BN205" i="19" s="1"/>
  <c r="D205" i="11" s="1"/>
  <c r="O205" i="11"/>
  <c r="BH205" i="19"/>
  <c r="M205" i="11" s="1"/>
  <c r="BF205" i="19"/>
  <c r="J205" i="11" s="1"/>
  <c r="I205" i="11" s="1"/>
  <c r="BD205" i="19"/>
  <c r="BC205" i="19"/>
  <c r="X205" i="11" s="1"/>
  <c r="BA205" i="19"/>
  <c r="AZ205" i="19"/>
  <c r="BM204" i="19"/>
  <c r="BN204" i="19" s="1"/>
  <c r="D204" i="11" s="1"/>
  <c r="O204" i="11"/>
  <c r="BH204" i="19"/>
  <c r="M204" i="11" s="1"/>
  <c r="BF204" i="19"/>
  <c r="J204" i="11" s="1"/>
  <c r="I204" i="11" s="1"/>
  <c r="BD204" i="19"/>
  <c r="BC204" i="19"/>
  <c r="X204" i="11" s="1"/>
  <c r="BA204" i="19"/>
  <c r="AZ204" i="19"/>
  <c r="BM203" i="19"/>
  <c r="BN203" i="19" s="1"/>
  <c r="D203" i="11" s="1"/>
  <c r="O203" i="11"/>
  <c r="BH203" i="19"/>
  <c r="M203" i="11" s="1"/>
  <c r="BF203" i="19"/>
  <c r="J203" i="11" s="1"/>
  <c r="I203" i="11" s="1"/>
  <c r="BD203" i="19"/>
  <c r="BC203" i="19"/>
  <c r="X203" i="11" s="1"/>
  <c r="BA203" i="19"/>
  <c r="AZ203" i="19"/>
  <c r="BM202" i="19"/>
  <c r="BO202" i="19" s="1"/>
  <c r="B202" i="11" s="1"/>
  <c r="O202" i="11"/>
  <c r="BH202" i="19"/>
  <c r="M202" i="11" s="1"/>
  <c r="BF202" i="19"/>
  <c r="J202" i="11" s="1"/>
  <c r="I202" i="11" s="1"/>
  <c r="BD202" i="19"/>
  <c r="BC202" i="19"/>
  <c r="X202" i="11" s="1"/>
  <c r="BA202" i="19"/>
  <c r="AZ202" i="19"/>
  <c r="BM201" i="19"/>
  <c r="BN201" i="19" s="1"/>
  <c r="D201" i="11" s="1"/>
  <c r="O201" i="11"/>
  <c r="BH201" i="19"/>
  <c r="M201" i="11" s="1"/>
  <c r="BF201" i="19"/>
  <c r="J201" i="11" s="1"/>
  <c r="I201" i="11" s="1"/>
  <c r="BD201" i="19"/>
  <c r="BC201" i="19"/>
  <c r="X201" i="11" s="1"/>
  <c r="BA201" i="19"/>
  <c r="AZ201" i="19"/>
  <c r="BM200" i="19"/>
  <c r="BN200" i="19" s="1"/>
  <c r="D200" i="11" s="1"/>
  <c r="O200" i="11"/>
  <c r="BH200" i="19"/>
  <c r="M200" i="11" s="1"/>
  <c r="BF200" i="19"/>
  <c r="J200" i="11" s="1"/>
  <c r="I200" i="11" s="1"/>
  <c r="BD200" i="19"/>
  <c r="BC200" i="19"/>
  <c r="X200" i="11" s="1"/>
  <c r="BA200" i="19"/>
  <c r="AZ200" i="19"/>
  <c r="BM199" i="19"/>
  <c r="BN199" i="19" s="1"/>
  <c r="D199" i="11" s="1"/>
  <c r="O199" i="11"/>
  <c r="BH199" i="19"/>
  <c r="M199" i="11" s="1"/>
  <c r="BF199" i="19"/>
  <c r="J199" i="11" s="1"/>
  <c r="I199" i="11" s="1"/>
  <c r="BD199" i="19"/>
  <c r="BC199" i="19"/>
  <c r="X199" i="11" s="1"/>
  <c r="BA199" i="19"/>
  <c r="AZ199" i="19"/>
  <c r="BM198" i="19"/>
  <c r="BO198" i="19" s="1"/>
  <c r="B198" i="11" s="1"/>
  <c r="O198" i="11"/>
  <c r="BH198" i="19"/>
  <c r="M198" i="11" s="1"/>
  <c r="BF198" i="19"/>
  <c r="J198" i="11" s="1"/>
  <c r="I198" i="11" s="1"/>
  <c r="BD198" i="19"/>
  <c r="BC198" i="19"/>
  <c r="X198" i="11" s="1"/>
  <c r="BA198" i="19"/>
  <c r="AZ198" i="19"/>
  <c r="BM197" i="19"/>
  <c r="BN197" i="19" s="1"/>
  <c r="D197" i="11" s="1"/>
  <c r="O197" i="11"/>
  <c r="BH197" i="19"/>
  <c r="M197" i="11" s="1"/>
  <c r="BF197" i="19"/>
  <c r="J197" i="11" s="1"/>
  <c r="I197" i="11" s="1"/>
  <c r="BD197" i="19"/>
  <c r="BC197" i="19"/>
  <c r="X197" i="11" s="1"/>
  <c r="BA197" i="19"/>
  <c r="AZ197" i="19"/>
  <c r="BM196" i="19"/>
  <c r="BN196" i="19" s="1"/>
  <c r="D196" i="11" s="1"/>
  <c r="O196" i="11"/>
  <c r="BH196" i="19"/>
  <c r="M196" i="11" s="1"/>
  <c r="BF196" i="19"/>
  <c r="J196" i="11" s="1"/>
  <c r="I196" i="11" s="1"/>
  <c r="BD196" i="19"/>
  <c r="BC196" i="19"/>
  <c r="X196" i="11" s="1"/>
  <c r="BA196" i="19"/>
  <c r="AZ196" i="19"/>
  <c r="BM195" i="19"/>
  <c r="BN195" i="19" s="1"/>
  <c r="D195" i="11" s="1"/>
  <c r="O195" i="11"/>
  <c r="BH195" i="19"/>
  <c r="M195" i="11" s="1"/>
  <c r="BF195" i="19"/>
  <c r="J195" i="11" s="1"/>
  <c r="I195" i="11" s="1"/>
  <c r="BD195" i="19"/>
  <c r="BC195" i="19"/>
  <c r="X195" i="11" s="1"/>
  <c r="BA195" i="19"/>
  <c r="AZ195" i="19"/>
  <c r="BM194" i="19"/>
  <c r="BO194" i="19" s="1"/>
  <c r="B194" i="11" s="1"/>
  <c r="O194" i="11"/>
  <c r="BH194" i="19"/>
  <c r="M194" i="11" s="1"/>
  <c r="BF194" i="19"/>
  <c r="J194" i="11" s="1"/>
  <c r="I194" i="11" s="1"/>
  <c r="BD194" i="19"/>
  <c r="BC194" i="19"/>
  <c r="X194" i="11" s="1"/>
  <c r="BA194" i="19"/>
  <c r="AZ194" i="19"/>
  <c r="BM193" i="19"/>
  <c r="BN193" i="19" s="1"/>
  <c r="D193" i="11" s="1"/>
  <c r="O193" i="11"/>
  <c r="BH193" i="19"/>
  <c r="M193" i="11" s="1"/>
  <c r="BF193" i="19"/>
  <c r="J193" i="11" s="1"/>
  <c r="I193" i="11" s="1"/>
  <c r="BD193" i="19"/>
  <c r="BC193" i="19"/>
  <c r="X193" i="11" s="1"/>
  <c r="BA193" i="19"/>
  <c r="AZ193" i="19"/>
  <c r="BM192" i="19"/>
  <c r="BO192" i="19" s="1"/>
  <c r="B192" i="11" s="1"/>
  <c r="O192" i="11"/>
  <c r="BH192" i="19"/>
  <c r="M192" i="11" s="1"/>
  <c r="BF192" i="19"/>
  <c r="J192" i="11" s="1"/>
  <c r="I192" i="11" s="1"/>
  <c r="BD192" i="19"/>
  <c r="BC192" i="19"/>
  <c r="X192" i="11" s="1"/>
  <c r="BA192" i="19"/>
  <c r="AZ192" i="19"/>
  <c r="BM191" i="19"/>
  <c r="BN191" i="19" s="1"/>
  <c r="D191" i="11" s="1"/>
  <c r="O191" i="11"/>
  <c r="BH191" i="19"/>
  <c r="M191" i="11" s="1"/>
  <c r="BF191" i="19"/>
  <c r="J191" i="11" s="1"/>
  <c r="I191" i="11" s="1"/>
  <c r="BD191" i="19"/>
  <c r="BC191" i="19"/>
  <c r="X191" i="11" s="1"/>
  <c r="BA191" i="19"/>
  <c r="AZ191" i="19"/>
  <c r="BM190" i="19"/>
  <c r="BO190" i="19" s="1"/>
  <c r="B190" i="11" s="1"/>
  <c r="O190" i="11"/>
  <c r="BH190" i="19"/>
  <c r="M190" i="11" s="1"/>
  <c r="BF190" i="19"/>
  <c r="J190" i="11" s="1"/>
  <c r="I190" i="11" s="1"/>
  <c r="BD190" i="19"/>
  <c r="BC190" i="19"/>
  <c r="X190" i="11" s="1"/>
  <c r="BA190" i="19"/>
  <c r="AZ190" i="19"/>
  <c r="BM189" i="19"/>
  <c r="BN189" i="19" s="1"/>
  <c r="D189" i="11" s="1"/>
  <c r="O189" i="11"/>
  <c r="BH189" i="19"/>
  <c r="M189" i="11" s="1"/>
  <c r="BF189" i="19"/>
  <c r="J189" i="11" s="1"/>
  <c r="I189" i="11" s="1"/>
  <c r="BD189" i="19"/>
  <c r="BC189" i="19"/>
  <c r="X189" i="11" s="1"/>
  <c r="BA189" i="19"/>
  <c r="AZ189" i="19"/>
  <c r="BM188" i="19"/>
  <c r="BN188" i="19" s="1"/>
  <c r="D188" i="11" s="1"/>
  <c r="O188" i="11"/>
  <c r="BH188" i="19"/>
  <c r="M188" i="11" s="1"/>
  <c r="BF188" i="19"/>
  <c r="J188" i="11" s="1"/>
  <c r="I188" i="11" s="1"/>
  <c r="BD188" i="19"/>
  <c r="BC188" i="19"/>
  <c r="X188" i="11" s="1"/>
  <c r="BA188" i="19"/>
  <c r="AZ188" i="19"/>
  <c r="BM187" i="19"/>
  <c r="BN187" i="19" s="1"/>
  <c r="D187" i="11" s="1"/>
  <c r="O187" i="11"/>
  <c r="BH187" i="19"/>
  <c r="M187" i="11" s="1"/>
  <c r="BF187" i="19"/>
  <c r="J187" i="11" s="1"/>
  <c r="I187" i="11" s="1"/>
  <c r="BD187" i="19"/>
  <c r="BC187" i="19"/>
  <c r="X187" i="11" s="1"/>
  <c r="BA187" i="19"/>
  <c r="AZ187" i="19"/>
  <c r="BM186" i="19"/>
  <c r="BO186" i="19" s="1"/>
  <c r="B186" i="11" s="1"/>
  <c r="O186" i="11"/>
  <c r="BH186" i="19"/>
  <c r="M186" i="11" s="1"/>
  <c r="BF186" i="19"/>
  <c r="J186" i="11" s="1"/>
  <c r="I186" i="11" s="1"/>
  <c r="BD186" i="19"/>
  <c r="BC186" i="19"/>
  <c r="X186" i="11" s="1"/>
  <c r="BA186" i="19"/>
  <c r="AZ186" i="19"/>
  <c r="BM185" i="19"/>
  <c r="BO185" i="19" s="1"/>
  <c r="B185" i="11" s="1"/>
  <c r="O185" i="11"/>
  <c r="BH185" i="19"/>
  <c r="M185" i="11" s="1"/>
  <c r="BF185" i="19"/>
  <c r="J185" i="11" s="1"/>
  <c r="I185" i="11" s="1"/>
  <c r="BD185" i="19"/>
  <c r="BC185" i="19"/>
  <c r="X185" i="11" s="1"/>
  <c r="BA185" i="19"/>
  <c r="AZ185" i="19"/>
  <c r="BM184" i="19"/>
  <c r="BO184" i="19" s="1"/>
  <c r="B184" i="11" s="1"/>
  <c r="O184" i="11"/>
  <c r="BH184" i="19"/>
  <c r="M184" i="11" s="1"/>
  <c r="BF184" i="19"/>
  <c r="J184" i="11" s="1"/>
  <c r="I184" i="11" s="1"/>
  <c r="BD184" i="19"/>
  <c r="BC184" i="19"/>
  <c r="X184" i="11" s="1"/>
  <c r="BA184" i="19"/>
  <c r="AZ184" i="19"/>
  <c r="BM183" i="19"/>
  <c r="BO183" i="19" s="1"/>
  <c r="B183" i="11" s="1"/>
  <c r="O183" i="11"/>
  <c r="BH183" i="19"/>
  <c r="M183" i="11" s="1"/>
  <c r="BF183" i="19"/>
  <c r="J183" i="11" s="1"/>
  <c r="I183" i="11" s="1"/>
  <c r="BD183" i="19"/>
  <c r="BC183" i="19"/>
  <c r="X183" i="11" s="1"/>
  <c r="BA183" i="19"/>
  <c r="AZ183" i="19"/>
  <c r="BM182" i="19"/>
  <c r="BO182" i="19" s="1"/>
  <c r="B182" i="11" s="1"/>
  <c r="O182" i="11"/>
  <c r="BH182" i="19"/>
  <c r="M182" i="11" s="1"/>
  <c r="BF182" i="19"/>
  <c r="J182" i="11" s="1"/>
  <c r="I182" i="11" s="1"/>
  <c r="BD182" i="19"/>
  <c r="BC182" i="19"/>
  <c r="X182" i="11" s="1"/>
  <c r="BA182" i="19"/>
  <c r="AZ182" i="19"/>
  <c r="BM181" i="19"/>
  <c r="BO181" i="19" s="1"/>
  <c r="B181" i="11" s="1"/>
  <c r="O181" i="11"/>
  <c r="BH181" i="19"/>
  <c r="M181" i="11" s="1"/>
  <c r="BF181" i="19"/>
  <c r="J181" i="11" s="1"/>
  <c r="I181" i="11" s="1"/>
  <c r="BD181" i="19"/>
  <c r="BC181" i="19"/>
  <c r="X181" i="11" s="1"/>
  <c r="BA181" i="19"/>
  <c r="AZ181" i="19"/>
  <c r="BM180" i="19"/>
  <c r="BO180" i="19" s="1"/>
  <c r="B180" i="11" s="1"/>
  <c r="O180" i="11"/>
  <c r="BH180" i="19"/>
  <c r="M180" i="11" s="1"/>
  <c r="BF180" i="19"/>
  <c r="J180" i="11" s="1"/>
  <c r="I180" i="11" s="1"/>
  <c r="BD180" i="19"/>
  <c r="BC180" i="19"/>
  <c r="X180" i="11" s="1"/>
  <c r="BA180" i="19"/>
  <c r="AZ180" i="19"/>
  <c r="BM179" i="19"/>
  <c r="BO179" i="19" s="1"/>
  <c r="B179" i="11" s="1"/>
  <c r="O179" i="11"/>
  <c r="BH179" i="19"/>
  <c r="M179" i="11" s="1"/>
  <c r="BF179" i="19"/>
  <c r="J179" i="11" s="1"/>
  <c r="I179" i="11" s="1"/>
  <c r="BD179" i="19"/>
  <c r="BC179" i="19"/>
  <c r="X179" i="11" s="1"/>
  <c r="BA179" i="19"/>
  <c r="AZ179" i="19"/>
  <c r="BM178" i="19"/>
  <c r="BO178" i="19" s="1"/>
  <c r="B178" i="11" s="1"/>
  <c r="O178" i="11"/>
  <c r="BH178" i="19"/>
  <c r="M178" i="11" s="1"/>
  <c r="BF178" i="19"/>
  <c r="J178" i="11" s="1"/>
  <c r="I178" i="11" s="1"/>
  <c r="BD178" i="19"/>
  <c r="BC178" i="19"/>
  <c r="X178" i="11" s="1"/>
  <c r="BA178" i="19"/>
  <c r="AZ178" i="19"/>
  <c r="BM177" i="19"/>
  <c r="BO177" i="19" s="1"/>
  <c r="B177" i="11" s="1"/>
  <c r="O177" i="11"/>
  <c r="BH177" i="19"/>
  <c r="M177" i="11" s="1"/>
  <c r="BF177" i="19"/>
  <c r="J177" i="11" s="1"/>
  <c r="I177" i="11" s="1"/>
  <c r="BD177" i="19"/>
  <c r="BC177" i="19"/>
  <c r="X177" i="11" s="1"/>
  <c r="BA177" i="19"/>
  <c r="AZ177" i="19"/>
  <c r="BM176" i="19"/>
  <c r="BO176" i="19" s="1"/>
  <c r="B176" i="11" s="1"/>
  <c r="O176" i="11"/>
  <c r="BH176" i="19"/>
  <c r="M176" i="11" s="1"/>
  <c r="BF176" i="19"/>
  <c r="J176" i="11" s="1"/>
  <c r="I176" i="11" s="1"/>
  <c r="BD176" i="19"/>
  <c r="BC176" i="19"/>
  <c r="X176" i="11" s="1"/>
  <c r="BA176" i="19"/>
  <c r="AZ176" i="19"/>
  <c r="BM175" i="19"/>
  <c r="BO175" i="19" s="1"/>
  <c r="B175" i="11" s="1"/>
  <c r="O175" i="11"/>
  <c r="BH175" i="19"/>
  <c r="M175" i="11" s="1"/>
  <c r="BF175" i="19"/>
  <c r="J175" i="11" s="1"/>
  <c r="I175" i="11" s="1"/>
  <c r="BD175" i="19"/>
  <c r="BC175" i="19"/>
  <c r="X175" i="11" s="1"/>
  <c r="BA175" i="19"/>
  <c r="AZ175" i="19"/>
  <c r="BM174" i="19"/>
  <c r="BO174" i="19" s="1"/>
  <c r="B174" i="11" s="1"/>
  <c r="O174" i="11"/>
  <c r="BH174" i="19"/>
  <c r="M174" i="11" s="1"/>
  <c r="BF174" i="19"/>
  <c r="J174" i="11" s="1"/>
  <c r="I174" i="11" s="1"/>
  <c r="BD174" i="19"/>
  <c r="BC174" i="19"/>
  <c r="X174" i="11" s="1"/>
  <c r="BA174" i="19"/>
  <c r="AZ174" i="19"/>
  <c r="BM173" i="19"/>
  <c r="BO173" i="19" s="1"/>
  <c r="B173" i="11" s="1"/>
  <c r="O173" i="11"/>
  <c r="BH173" i="19"/>
  <c r="M173" i="11" s="1"/>
  <c r="BF173" i="19"/>
  <c r="J173" i="11" s="1"/>
  <c r="I173" i="11" s="1"/>
  <c r="BD173" i="19"/>
  <c r="BC173" i="19"/>
  <c r="X173" i="11" s="1"/>
  <c r="BA173" i="19"/>
  <c r="AZ173" i="19"/>
  <c r="BM172" i="19"/>
  <c r="BO172" i="19" s="1"/>
  <c r="B172" i="11" s="1"/>
  <c r="O172" i="11"/>
  <c r="BH172" i="19"/>
  <c r="M172" i="11" s="1"/>
  <c r="BF172" i="19"/>
  <c r="J172" i="11" s="1"/>
  <c r="I172" i="11" s="1"/>
  <c r="BD172" i="19"/>
  <c r="BC172" i="19"/>
  <c r="X172" i="11" s="1"/>
  <c r="BA172" i="19"/>
  <c r="AZ172" i="19"/>
  <c r="BM171" i="19"/>
  <c r="BO171" i="19" s="1"/>
  <c r="B171" i="11" s="1"/>
  <c r="O171" i="11"/>
  <c r="BH171" i="19"/>
  <c r="M171" i="11" s="1"/>
  <c r="BF171" i="19"/>
  <c r="J171" i="11" s="1"/>
  <c r="I171" i="11" s="1"/>
  <c r="BD171" i="19"/>
  <c r="BC171" i="19"/>
  <c r="X171" i="11" s="1"/>
  <c r="BA171" i="19"/>
  <c r="AZ171" i="19"/>
  <c r="BM170" i="19"/>
  <c r="BO170" i="19" s="1"/>
  <c r="B170" i="11" s="1"/>
  <c r="O170" i="11"/>
  <c r="BH170" i="19"/>
  <c r="M170" i="11" s="1"/>
  <c r="BF170" i="19"/>
  <c r="J170" i="11" s="1"/>
  <c r="I170" i="11" s="1"/>
  <c r="BD170" i="19"/>
  <c r="BC170" i="19"/>
  <c r="X170" i="11" s="1"/>
  <c r="BA170" i="19"/>
  <c r="AZ170" i="19"/>
  <c r="BM169" i="19"/>
  <c r="BO169" i="19" s="1"/>
  <c r="B169" i="11" s="1"/>
  <c r="O169" i="11"/>
  <c r="BH169" i="19"/>
  <c r="M169" i="11" s="1"/>
  <c r="BF169" i="19"/>
  <c r="J169" i="11" s="1"/>
  <c r="I169" i="11" s="1"/>
  <c r="BD169" i="19"/>
  <c r="BC169" i="19"/>
  <c r="X169" i="11" s="1"/>
  <c r="BA169" i="19"/>
  <c r="AZ169" i="19"/>
  <c r="BM168" i="19"/>
  <c r="BO168" i="19" s="1"/>
  <c r="B168" i="11" s="1"/>
  <c r="O168" i="11"/>
  <c r="BH168" i="19"/>
  <c r="M168" i="11" s="1"/>
  <c r="BF168" i="19"/>
  <c r="J168" i="11" s="1"/>
  <c r="I168" i="11" s="1"/>
  <c r="BD168" i="19"/>
  <c r="BC168" i="19"/>
  <c r="X168" i="11" s="1"/>
  <c r="BA168" i="19"/>
  <c r="AZ168" i="19"/>
  <c r="BM167" i="19"/>
  <c r="BO167" i="19" s="1"/>
  <c r="B167" i="11" s="1"/>
  <c r="O167" i="11"/>
  <c r="BH167" i="19"/>
  <c r="M167" i="11" s="1"/>
  <c r="BF167" i="19"/>
  <c r="J167" i="11" s="1"/>
  <c r="I167" i="11" s="1"/>
  <c r="BD167" i="19"/>
  <c r="BC167" i="19"/>
  <c r="X167" i="11" s="1"/>
  <c r="BA167" i="19"/>
  <c r="AZ167" i="19"/>
  <c r="BM166" i="19"/>
  <c r="BO166" i="19" s="1"/>
  <c r="B166" i="11" s="1"/>
  <c r="O166" i="11"/>
  <c r="BH166" i="19"/>
  <c r="M166" i="11" s="1"/>
  <c r="BF166" i="19"/>
  <c r="J166" i="11" s="1"/>
  <c r="I166" i="11" s="1"/>
  <c r="BD166" i="19"/>
  <c r="BC166" i="19"/>
  <c r="X166" i="11" s="1"/>
  <c r="BA166" i="19"/>
  <c r="AZ166" i="19"/>
  <c r="BM165" i="19"/>
  <c r="BO165" i="19" s="1"/>
  <c r="B165" i="11" s="1"/>
  <c r="O165" i="11"/>
  <c r="BH165" i="19"/>
  <c r="M165" i="11" s="1"/>
  <c r="BF165" i="19"/>
  <c r="J165" i="11" s="1"/>
  <c r="I165" i="11" s="1"/>
  <c r="BD165" i="19"/>
  <c r="BC165" i="19"/>
  <c r="X165" i="11" s="1"/>
  <c r="BA165" i="19"/>
  <c r="AZ165" i="19"/>
  <c r="BM164" i="19"/>
  <c r="BO164" i="19" s="1"/>
  <c r="B164" i="11" s="1"/>
  <c r="O164" i="11"/>
  <c r="BH164" i="19"/>
  <c r="M164" i="11" s="1"/>
  <c r="BF164" i="19"/>
  <c r="J164" i="11" s="1"/>
  <c r="I164" i="11" s="1"/>
  <c r="BD164" i="19"/>
  <c r="BC164" i="19"/>
  <c r="X164" i="11" s="1"/>
  <c r="BA164" i="19"/>
  <c r="AZ164" i="19"/>
  <c r="BM163" i="19"/>
  <c r="BO163" i="19" s="1"/>
  <c r="B163" i="11" s="1"/>
  <c r="O163" i="11"/>
  <c r="BH163" i="19"/>
  <c r="M163" i="11" s="1"/>
  <c r="BF163" i="19"/>
  <c r="J163" i="11" s="1"/>
  <c r="I163" i="11" s="1"/>
  <c r="BD163" i="19"/>
  <c r="BC163" i="19"/>
  <c r="X163" i="11" s="1"/>
  <c r="BA163" i="19"/>
  <c r="AZ163" i="19"/>
  <c r="BM162" i="19"/>
  <c r="BN162" i="19" s="1"/>
  <c r="D162" i="11" s="1"/>
  <c r="O162" i="11"/>
  <c r="BH162" i="19"/>
  <c r="M162" i="11" s="1"/>
  <c r="BF162" i="19"/>
  <c r="J162" i="11" s="1"/>
  <c r="I162" i="11" s="1"/>
  <c r="BD162" i="19"/>
  <c r="BC162" i="19"/>
  <c r="X162" i="11" s="1"/>
  <c r="BA162" i="19"/>
  <c r="AZ162" i="19"/>
  <c r="BM161" i="19"/>
  <c r="BO161" i="19" s="1"/>
  <c r="B161" i="11" s="1"/>
  <c r="O161" i="11"/>
  <c r="BH161" i="19"/>
  <c r="M161" i="11" s="1"/>
  <c r="BF161" i="19"/>
  <c r="J161" i="11" s="1"/>
  <c r="I161" i="11" s="1"/>
  <c r="BD161" i="19"/>
  <c r="BC161" i="19"/>
  <c r="X161" i="11" s="1"/>
  <c r="BA161" i="19"/>
  <c r="AZ161" i="19"/>
  <c r="BM160" i="19"/>
  <c r="BO160" i="19" s="1"/>
  <c r="B160" i="11" s="1"/>
  <c r="O160" i="11"/>
  <c r="BH160" i="19"/>
  <c r="M160" i="11" s="1"/>
  <c r="BF160" i="19"/>
  <c r="J160" i="11" s="1"/>
  <c r="I160" i="11" s="1"/>
  <c r="BD160" i="19"/>
  <c r="BC160" i="19"/>
  <c r="X160" i="11" s="1"/>
  <c r="BA160" i="19"/>
  <c r="AZ160" i="19"/>
  <c r="BM159" i="19"/>
  <c r="BO159" i="19" s="1"/>
  <c r="B159" i="11" s="1"/>
  <c r="O159" i="11"/>
  <c r="BH159" i="19"/>
  <c r="M159" i="11" s="1"/>
  <c r="BF159" i="19"/>
  <c r="J159" i="11" s="1"/>
  <c r="I159" i="11" s="1"/>
  <c r="BD159" i="19"/>
  <c r="BC159" i="19"/>
  <c r="X159" i="11" s="1"/>
  <c r="BA159" i="19"/>
  <c r="AZ159" i="19"/>
  <c r="BM158" i="19"/>
  <c r="BO158" i="19" s="1"/>
  <c r="B158" i="11" s="1"/>
  <c r="O158" i="11"/>
  <c r="BH158" i="19"/>
  <c r="M158" i="11" s="1"/>
  <c r="BF158" i="19"/>
  <c r="J158" i="11" s="1"/>
  <c r="I158" i="11" s="1"/>
  <c r="BD158" i="19"/>
  <c r="BC158" i="19"/>
  <c r="X158" i="11" s="1"/>
  <c r="BA158" i="19"/>
  <c r="AZ158" i="19"/>
  <c r="BM157" i="19"/>
  <c r="BO157" i="19" s="1"/>
  <c r="B157" i="11" s="1"/>
  <c r="O157" i="11"/>
  <c r="BH157" i="19"/>
  <c r="M157" i="11" s="1"/>
  <c r="BF157" i="19"/>
  <c r="J157" i="11" s="1"/>
  <c r="I157" i="11" s="1"/>
  <c r="BD157" i="19"/>
  <c r="BC157" i="19"/>
  <c r="X157" i="11" s="1"/>
  <c r="BA157" i="19"/>
  <c r="AZ157" i="19"/>
  <c r="BM156" i="19"/>
  <c r="BO156" i="19" s="1"/>
  <c r="B156" i="11" s="1"/>
  <c r="O156" i="11"/>
  <c r="BH156" i="19"/>
  <c r="M156" i="11" s="1"/>
  <c r="BF156" i="19"/>
  <c r="J156" i="11" s="1"/>
  <c r="I156" i="11" s="1"/>
  <c r="BD156" i="19"/>
  <c r="BC156" i="19"/>
  <c r="X156" i="11" s="1"/>
  <c r="BA156" i="19"/>
  <c r="AZ156" i="19"/>
  <c r="BM155" i="19"/>
  <c r="BO155" i="19" s="1"/>
  <c r="B155" i="11" s="1"/>
  <c r="O155" i="11"/>
  <c r="BH155" i="19"/>
  <c r="M155" i="11" s="1"/>
  <c r="BF155" i="19"/>
  <c r="J155" i="11" s="1"/>
  <c r="I155" i="11" s="1"/>
  <c r="BD155" i="19"/>
  <c r="BC155" i="19"/>
  <c r="X155" i="11" s="1"/>
  <c r="BA155" i="19"/>
  <c r="AZ155" i="19"/>
  <c r="BM154" i="19"/>
  <c r="BN154" i="19" s="1"/>
  <c r="D154" i="11" s="1"/>
  <c r="O154" i="11"/>
  <c r="BH154" i="19"/>
  <c r="M154" i="11" s="1"/>
  <c r="BF154" i="19"/>
  <c r="J154" i="11" s="1"/>
  <c r="I154" i="11" s="1"/>
  <c r="BD154" i="19"/>
  <c r="BC154" i="19"/>
  <c r="X154" i="11" s="1"/>
  <c r="BA154" i="19"/>
  <c r="AZ154" i="19"/>
  <c r="BM153" i="19"/>
  <c r="BO153" i="19" s="1"/>
  <c r="B153" i="11" s="1"/>
  <c r="O153" i="11"/>
  <c r="BH153" i="19"/>
  <c r="M153" i="11" s="1"/>
  <c r="BF153" i="19"/>
  <c r="J153" i="11" s="1"/>
  <c r="I153" i="11" s="1"/>
  <c r="BD153" i="19"/>
  <c r="BC153" i="19"/>
  <c r="X153" i="11" s="1"/>
  <c r="BA153" i="19"/>
  <c r="AZ153" i="19"/>
  <c r="BM152" i="19"/>
  <c r="BO152" i="19" s="1"/>
  <c r="B152" i="11" s="1"/>
  <c r="O152" i="11"/>
  <c r="BH152" i="19"/>
  <c r="M152" i="11" s="1"/>
  <c r="BF152" i="19"/>
  <c r="J152" i="11" s="1"/>
  <c r="I152" i="11" s="1"/>
  <c r="BD152" i="19"/>
  <c r="BC152" i="19"/>
  <c r="X152" i="11" s="1"/>
  <c r="BA152" i="19"/>
  <c r="AZ152" i="19"/>
  <c r="BM151" i="19"/>
  <c r="BO151" i="19" s="1"/>
  <c r="B151" i="11" s="1"/>
  <c r="O151" i="11"/>
  <c r="BH151" i="19"/>
  <c r="M151" i="11" s="1"/>
  <c r="BF151" i="19"/>
  <c r="J151" i="11" s="1"/>
  <c r="I151" i="11" s="1"/>
  <c r="BD151" i="19"/>
  <c r="BC151" i="19"/>
  <c r="X151" i="11" s="1"/>
  <c r="BA151" i="19"/>
  <c r="AZ151" i="19"/>
  <c r="BM150" i="19"/>
  <c r="BN150" i="19" s="1"/>
  <c r="D150" i="11" s="1"/>
  <c r="O150" i="11"/>
  <c r="BH150" i="19"/>
  <c r="M150" i="11" s="1"/>
  <c r="BF150" i="19"/>
  <c r="J150" i="11" s="1"/>
  <c r="I150" i="11" s="1"/>
  <c r="BD150" i="19"/>
  <c r="BC150" i="19"/>
  <c r="X150" i="11" s="1"/>
  <c r="BA150" i="19"/>
  <c r="AZ150" i="19"/>
  <c r="BM149" i="19"/>
  <c r="BO149" i="19" s="1"/>
  <c r="B149" i="11" s="1"/>
  <c r="O149" i="11"/>
  <c r="BH149" i="19"/>
  <c r="M149" i="11" s="1"/>
  <c r="BF149" i="19"/>
  <c r="J149" i="11" s="1"/>
  <c r="I149" i="11" s="1"/>
  <c r="BD149" i="19"/>
  <c r="BC149" i="19"/>
  <c r="X149" i="11" s="1"/>
  <c r="BA149" i="19"/>
  <c r="AZ149" i="19"/>
  <c r="BM148" i="19"/>
  <c r="BO148" i="19" s="1"/>
  <c r="B148" i="11" s="1"/>
  <c r="O148" i="11"/>
  <c r="BH148" i="19"/>
  <c r="M148" i="11" s="1"/>
  <c r="BF148" i="19"/>
  <c r="J148" i="11" s="1"/>
  <c r="I148" i="11" s="1"/>
  <c r="BD148" i="19"/>
  <c r="BC148" i="19"/>
  <c r="X148" i="11" s="1"/>
  <c r="BA148" i="19"/>
  <c r="AZ148" i="19"/>
  <c r="BM147" i="19"/>
  <c r="BO147" i="19" s="1"/>
  <c r="B147" i="11" s="1"/>
  <c r="O147" i="11"/>
  <c r="BH147" i="19"/>
  <c r="M147" i="11" s="1"/>
  <c r="BF147" i="19"/>
  <c r="J147" i="11" s="1"/>
  <c r="I147" i="11" s="1"/>
  <c r="BD147" i="19"/>
  <c r="BC147" i="19"/>
  <c r="X147" i="11" s="1"/>
  <c r="BA147" i="19"/>
  <c r="AZ147" i="19"/>
  <c r="BM146" i="19"/>
  <c r="BO146" i="19" s="1"/>
  <c r="B146" i="11" s="1"/>
  <c r="O146" i="11"/>
  <c r="BH146" i="19"/>
  <c r="M146" i="11" s="1"/>
  <c r="BF146" i="19"/>
  <c r="J146" i="11" s="1"/>
  <c r="I146" i="11" s="1"/>
  <c r="BD146" i="19"/>
  <c r="BC146" i="19"/>
  <c r="X146" i="11" s="1"/>
  <c r="BA146" i="19"/>
  <c r="AZ146" i="19"/>
  <c r="BM145" i="19"/>
  <c r="BO145" i="19" s="1"/>
  <c r="B145" i="11" s="1"/>
  <c r="O145" i="11"/>
  <c r="BH145" i="19"/>
  <c r="M145" i="11" s="1"/>
  <c r="BF145" i="19"/>
  <c r="J145" i="11" s="1"/>
  <c r="I145" i="11" s="1"/>
  <c r="BD145" i="19"/>
  <c r="BC145" i="19"/>
  <c r="X145" i="11" s="1"/>
  <c r="BA145" i="19"/>
  <c r="AZ145" i="19"/>
  <c r="BM144" i="19"/>
  <c r="BN144" i="19" s="1"/>
  <c r="D144" i="11" s="1"/>
  <c r="O144" i="11"/>
  <c r="BH144" i="19"/>
  <c r="M144" i="11" s="1"/>
  <c r="BF144" i="19"/>
  <c r="J144" i="11" s="1"/>
  <c r="I144" i="11" s="1"/>
  <c r="BD144" i="19"/>
  <c r="BC144" i="19"/>
  <c r="X144" i="11" s="1"/>
  <c r="BA144" i="19"/>
  <c r="AZ144" i="19"/>
  <c r="BM143" i="19"/>
  <c r="BO143" i="19" s="1"/>
  <c r="B143" i="11" s="1"/>
  <c r="O143" i="11"/>
  <c r="BH143" i="19"/>
  <c r="M143" i="11" s="1"/>
  <c r="BF143" i="19"/>
  <c r="J143" i="11" s="1"/>
  <c r="I143" i="11" s="1"/>
  <c r="BD143" i="19"/>
  <c r="BC143" i="19"/>
  <c r="X143" i="11" s="1"/>
  <c r="BA143" i="19"/>
  <c r="AZ143" i="19"/>
  <c r="BM142" i="19"/>
  <c r="BN142" i="19" s="1"/>
  <c r="D142" i="11" s="1"/>
  <c r="O142" i="11"/>
  <c r="BH142" i="19"/>
  <c r="M142" i="11" s="1"/>
  <c r="BF142" i="19"/>
  <c r="J142" i="11" s="1"/>
  <c r="I142" i="11" s="1"/>
  <c r="BD142" i="19"/>
  <c r="BC142" i="19"/>
  <c r="X142" i="11" s="1"/>
  <c r="BA142" i="19"/>
  <c r="AZ142" i="19"/>
  <c r="BM141" i="19"/>
  <c r="BO141" i="19" s="1"/>
  <c r="B141" i="11" s="1"/>
  <c r="O141" i="11"/>
  <c r="BH141" i="19"/>
  <c r="M141" i="11" s="1"/>
  <c r="BF141" i="19"/>
  <c r="J141" i="11" s="1"/>
  <c r="I141" i="11" s="1"/>
  <c r="BD141" i="19"/>
  <c r="BC141" i="19"/>
  <c r="X141" i="11" s="1"/>
  <c r="BA141" i="19"/>
  <c r="AZ141" i="19"/>
  <c r="BM140" i="19"/>
  <c r="BN140" i="19" s="1"/>
  <c r="D140" i="11" s="1"/>
  <c r="O140" i="11"/>
  <c r="BH140" i="19"/>
  <c r="M140" i="11" s="1"/>
  <c r="BF140" i="19"/>
  <c r="J140" i="11" s="1"/>
  <c r="I140" i="11" s="1"/>
  <c r="BD140" i="19"/>
  <c r="BC140" i="19"/>
  <c r="X140" i="11" s="1"/>
  <c r="BA140" i="19"/>
  <c r="AZ140" i="19"/>
  <c r="BM139" i="19"/>
  <c r="BO139" i="19" s="1"/>
  <c r="B139" i="11" s="1"/>
  <c r="O139" i="11"/>
  <c r="BH139" i="19"/>
  <c r="M139" i="11" s="1"/>
  <c r="BF139" i="19"/>
  <c r="J139" i="11" s="1"/>
  <c r="I139" i="11" s="1"/>
  <c r="BD139" i="19"/>
  <c r="BC139" i="19"/>
  <c r="X139" i="11" s="1"/>
  <c r="BA139" i="19"/>
  <c r="AZ139" i="19"/>
  <c r="BM138" i="19"/>
  <c r="BN138" i="19" s="1"/>
  <c r="D138" i="11" s="1"/>
  <c r="O138" i="11"/>
  <c r="BH138" i="19"/>
  <c r="M138" i="11" s="1"/>
  <c r="BF138" i="19"/>
  <c r="J138" i="11" s="1"/>
  <c r="I138" i="11" s="1"/>
  <c r="BD138" i="19"/>
  <c r="BC138" i="19"/>
  <c r="X138" i="11" s="1"/>
  <c r="BA138" i="19"/>
  <c r="AZ138" i="19"/>
  <c r="BM137" i="19"/>
  <c r="BO137" i="19" s="1"/>
  <c r="B137" i="11" s="1"/>
  <c r="O137" i="11"/>
  <c r="BH137" i="19"/>
  <c r="M137" i="11" s="1"/>
  <c r="BF137" i="19"/>
  <c r="J137" i="11" s="1"/>
  <c r="I137" i="11" s="1"/>
  <c r="BD137" i="19"/>
  <c r="BC137" i="19"/>
  <c r="X137" i="11" s="1"/>
  <c r="BA137" i="19"/>
  <c r="AZ137" i="19"/>
  <c r="BM136" i="19"/>
  <c r="BO136" i="19" s="1"/>
  <c r="B136" i="11" s="1"/>
  <c r="O136" i="11"/>
  <c r="BH136" i="19"/>
  <c r="M136" i="11" s="1"/>
  <c r="BF136" i="19"/>
  <c r="J136" i="11" s="1"/>
  <c r="I136" i="11" s="1"/>
  <c r="BD136" i="19"/>
  <c r="BC136" i="19"/>
  <c r="X136" i="11" s="1"/>
  <c r="BA136" i="19"/>
  <c r="AZ136" i="19"/>
  <c r="BM135" i="19"/>
  <c r="BO135" i="19" s="1"/>
  <c r="B135" i="11" s="1"/>
  <c r="O135" i="11"/>
  <c r="BH135" i="19"/>
  <c r="M135" i="11" s="1"/>
  <c r="BF135" i="19"/>
  <c r="J135" i="11" s="1"/>
  <c r="I135" i="11" s="1"/>
  <c r="BD135" i="19"/>
  <c r="BC135" i="19"/>
  <c r="X135" i="11" s="1"/>
  <c r="BA135" i="19"/>
  <c r="AZ135" i="19"/>
  <c r="BM134" i="19"/>
  <c r="BN134" i="19" s="1"/>
  <c r="D134" i="11" s="1"/>
  <c r="O134" i="11"/>
  <c r="BH134" i="19"/>
  <c r="M134" i="11" s="1"/>
  <c r="BF134" i="19"/>
  <c r="J134" i="11" s="1"/>
  <c r="I134" i="11" s="1"/>
  <c r="BD134" i="19"/>
  <c r="BC134" i="19"/>
  <c r="X134" i="11" s="1"/>
  <c r="BA134" i="19"/>
  <c r="AZ134" i="19"/>
  <c r="BM133" i="19"/>
  <c r="BO133" i="19" s="1"/>
  <c r="B133" i="11" s="1"/>
  <c r="O133" i="11"/>
  <c r="BH133" i="19"/>
  <c r="M133" i="11" s="1"/>
  <c r="BF133" i="19"/>
  <c r="J133" i="11" s="1"/>
  <c r="I133" i="11" s="1"/>
  <c r="BD133" i="19"/>
  <c r="BC133" i="19"/>
  <c r="X133" i="11" s="1"/>
  <c r="BA133" i="19"/>
  <c r="AZ133" i="19"/>
  <c r="BM132" i="19"/>
  <c r="BO132" i="19" s="1"/>
  <c r="B132" i="11" s="1"/>
  <c r="O132" i="11"/>
  <c r="BH132" i="19"/>
  <c r="M132" i="11" s="1"/>
  <c r="BF132" i="19"/>
  <c r="J132" i="11" s="1"/>
  <c r="I132" i="11" s="1"/>
  <c r="BD132" i="19"/>
  <c r="BC132" i="19"/>
  <c r="X132" i="11" s="1"/>
  <c r="BA132" i="19"/>
  <c r="AZ132" i="19"/>
  <c r="BM131" i="19"/>
  <c r="BO131" i="19" s="1"/>
  <c r="B131" i="11" s="1"/>
  <c r="O131" i="11"/>
  <c r="BH131" i="19"/>
  <c r="M131" i="11" s="1"/>
  <c r="BF131" i="19"/>
  <c r="J131" i="11" s="1"/>
  <c r="I131" i="11" s="1"/>
  <c r="BD131" i="19"/>
  <c r="BC131" i="19"/>
  <c r="X131" i="11" s="1"/>
  <c r="BA131" i="19"/>
  <c r="AZ131" i="19"/>
  <c r="BM130" i="19"/>
  <c r="BO130" i="19" s="1"/>
  <c r="B130" i="11" s="1"/>
  <c r="O130" i="11"/>
  <c r="BH130" i="19"/>
  <c r="M130" i="11" s="1"/>
  <c r="BF130" i="19"/>
  <c r="J130" i="11" s="1"/>
  <c r="I130" i="11" s="1"/>
  <c r="BD130" i="19"/>
  <c r="BC130" i="19"/>
  <c r="X130" i="11" s="1"/>
  <c r="BA130" i="19"/>
  <c r="AZ130" i="19"/>
  <c r="BM129" i="19"/>
  <c r="BO129" i="19" s="1"/>
  <c r="B129" i="11" s="1"/>
  <c r="O129" i="11"/>
  <c r="BH129" i="19"/>
  <c r="M129" i="11" s="1"/>
  <c r="BF129" i="19"/>
  <c r="J129" i="11" s="1"/>
  <c r="I129" i="11" s="1"/>
  <c r="BD129" i="19"/>
  <c r="BC129" i="19"/>
  <c r="X129" i="11" s="1"/>
  <c r="BA129" i="19"/>
  <c r="AZ129" i="19"/>
  <c r="BM128" i="19"/>
  <c r="BO128" i="19" s="1"/>
  <c r="B128" i="11" s="1"/>
  <c r="O128" i="11"/>
  <c r="BH128" i="19"/>
  <c r="M128" i="11" s="1"/>
  <c r="BF128" i="19"/>
  <c r="J128" i="11" s="1"/>
  <c r="I128" i="11" s="1"/>
  <c r="BD128" i="19"/>
  <c r="BC128" i="19"/>
  <c r="X128" i="11" s="1"/>
  <c r="BA128" i="19"/>
  <c r="AZ128" i="19"/>
  <c r="BM127" i="19"/>
  <c r="BO127" i="19" s="1"/>
  <c r="B127" i="11" s="1"/>
  <c r="O127" i="11"/>
  <c r="BH127" i="19"/>
  <c r="M127" i="11" s="1"/>
  <c r="BF127" i="19"/>
  <c r="J127" i="11" s="1"/>
  <c r="I127" i="11" s="1"/>
  <c r="BD127" i="19"/>
  <c r="BC127" i="19"/>
  <c r="X127" i="11" s="1"/>
  <c r="BA127" i="19"/>
  <c r="AZ127" i="19"/>
  <c r="BM126" i="19"/>
  <c r="BN126" i="19" s="1"/>
  <c r="D126" i="11" s="1"/>
  <c r="O126" i="11"/>
  <c r="BH126" i="19"/>
  <c r="M126" i="11" s="1"/>
  <c r="BF126" i="19"/>
  <c r="J126" i="11" s="1"/>
  <c r="I126" i="11" s="1"/>
  <c r="BD126" i="19"/>
  <c r="BC126" i="19"/>
  <c r="X126" i="11" s="1"/>
  <c r="BA126" i="19"/>
  <c r="AZ126" i="19"/>
  <c r="BM125" i="19"/>
  <c r="BO125" i="19" s="1"/>
  <c r="B125" i="11" s="1"/>
  <c r="O125" i="11"/>
  <c r="BH125" i="19"/>
  <c r="M125" i="11" s="1"/>
  <c r="BF125" i="19"/>
  <c r="J125" i="11" s="1"/>
  <c r="I125" i="11" s="1"/>
  <c r="BD125" i="19"/>
  <c r="BC125" i="19"/>
  <c r="X125" i="11" s="1"/>
  <c r="BA125" i="19"/>
  <c r="AZ125" i="19"/>
  <c r="BM124" i="19"/>
  <c r="BN124" i="19" s="1"/>
  <c r="D124" i="11" s="1"/>
  <c r="O124" i="11"/>
  <c r="BH124" i="19"/>
  <c r="M124" i="11" s="1"/>
  <c r="BF124" i="19"/>
  <c r="J124" i="11" s="1"/>
  <c r="I124" i="11" s="1"/>
  <c r="BD124" i="19"/>
  <c r="BC124" i="19"/>
  <c r="X124" i="11" s="1"/>
  <c r="BA124" i="19"/>
  <c r="AZ124" i="19"/>
  <c r="BM123" i="19"/>
  <c r="BO123" i="19" s="1"/>
  <c r="B123" i="11" s="1"/>
  <c r="O123" i="11"/>
  <c r="BH123" i="19"/>
  <c r="M123" i="11" s="1"/>
  <c r="BF123" i="19"/>
  <c r="J123" i="11" s="1"/>
  <c r="I123" i="11" s="1"/>
  <c r="BD123" i="19"/>
  <c r="BC123" i="19"/>
  <c r="X123" i="11" s="1"/>
  <c r="BA123" i="19"/>
  <c r="AZ123" i="19"/>
  <c r="BM122" i="19"/>
  <c r="BN122" i="19" s="1"/>
  <c r="D122" i="11" s="1"/>
  <c r="O122" i="11"/>
  <c r="BH122" i="19"/>
  <c r="M122" i="11" s="1"/>
  <c r="BF122" i="19"/>
  <c r="J122" i="11" s="1"/>
  <c r="I122" i="11" s="1"/>
  <c r="BD122" i="19"/>
  <c r="BC122" i="19"/>
  <c r="X122" i="11" s="1"/>
  <c r="BA122" i="19"/>
  <c r="AZ122" i="19"/>
  <c r="BM121" i="19"/>
  <c r="BO121" i="19" s="1"/>
  <c r="B121" i="11" s="1"/>
  <c r="O121" i="11"/>
  <c r="BH121" i="19"/>
  <c r="M121" i="11" s="1"/>
  <c r="BF121" i="19"/>
  <c r="J121" i="11" s="1"/>
  <c r="I121" i="11" s="1"/>
  <c r="BD121" i="19"/>
  <c r="BC121" i="19"/>
  <c r="X121" i="11" s="1"/>
  <c r="BA121" i="19"/>
  <c r="AZ121" i="19"/>
  <c r="BM120" i="19"/>
  <c r="BO120" i="19" s="1"/>
  <c r="B120" i="11" s="1"/>
  <c r="O120" i="11"/>
  <c r="BH120" i="19"/>
  <c r="M120" i="11" s="1"/>
  <c r="BF120" i="19"/>
  <c r="J120" i="11" s="1"/>
  <c r="I120" i="11" s="1"/>
  <c r="BD120" i="19"/>
  <c r="BC120" i="19"/>
  <c r="X120" i="11" s="1"/>
  <c r="BA120" i="19"/>
  <c r="AZ120" i="19"/>
  <c r="BM119" i="19"/>
  <c r="BO119" i="19" s="1"/>
  <c r="B119" i="11" s="1"/>
  <c r="O119" i="11"/>
  <c r="BH119" i="19"/>
  <c r="M119" i="11" s="1"/>
  <c r="BF119" i="19"/>
  <c r="J119" i="11" s="1"/>
  <c r="I119" i="11" s="1"/>
  <c r="BD119" i="19"/>
  <c r="BC119" i="19"/>
  <c r="X119" i="11" s="1"/>
  <c r="BA119" i="19"/>
  <c r="AZ119" i="19"/>
  <c r="BM118" i="19"/>
  <c r="BN118" i="19" s="1"/>
  <c r="D118" i="11" s="1"/>
  <c r="O118" i="11"/>
  <c r="BH118" i="19"/>
  <c r="M118" i="11" s="1"/>
  <c r="BF118" i="19"/>
  <c r="J118" i="11" s="1"/>
  <c r="I118" i="11" s="1"/>
  <c r="BD118" i="19"/>
  <c r="BC118" i="19"/>
  <c r="X118" i="11" s="1"/>
  <c r="BA118" i="19"/>
  <c r="AZ118" i="19"/>
  <c r="BM117" i="19"/>
  <c r="BO117" i="19" s="1"/>
  <c r="B117" i="11" s="1"/>
  <c r="O117" i="11"/>
  <c r="BH117" i="19"/>
  <c r="M117" i="11" s="1"/>
  <c r="BF117" i="19"/>
  <c r="J117" i="11" s="1"/>
  <c r="I117" i="11" s="1"/>
  <c r="BD117" i="19"/>
  <c r="BC117" i="19"/>
  <c r="X117" i="11" s="1"/>
  <c r="BA117" i="19"/>
  <c r="AZ117" i="19"/>
  <c r="BM116" i="19"/>
  <c r="BN116" i="19" s="1"/>
  <c r="D116" i="11" s="1"/>
  <c r="O116" i="11"/>
  <c r="BH116" i="19"/>
  <c r="M116" i="11" s="1"/>
  <c r="BF116" i="19"/>
  <c r="J116" i="11" s="1"/>
  <c r="I116" i="11" s="1"/>
  <c r="BD116" i="19"/>
  <c r="BC116" i="19"/>
  <c r="X116" i="11" s="1"/>
  <c r="BA116" i="19"/>
  <c r="AZ116" i="19"/>
  <c r="BM115" i="19"/>
  <c r="BO115" i="19" s="1"/>
  <c r="B115" i="11" s="1"/>
  <c r="O115" i="11"/>
  <c r="BH115" i="19"/>
  <c r="M115" i="11" s="1"/>
  <c r="BF115" i="19"/>
  <c r="J115" i="11" s="1"/>
  <c r="I115" i="11" s="1"/>
  <c r="BD115" i="19"/>
  <c r="BC115" i="19"/>
  <c r="X115" i="11" s="1"/>
  <c r="BA115" i="19"/>
  <c r="AZ115" i="19"/>
  <c r="BM114" i="19"/>
  <c r="BO114" i="19" s="1"/>
  <c r="B114" i="11" s="1"/>
  <c r="O114" i="11"/>
  <c r="BH114" i="19"/>
  <c r="M114" i="11" s="1"/>
  <c r="BF114" i="19"/>
  <c r="J114" i="11" s="1"/>
  <c r="I114" i="11" s="1"/>
  <c r="BD114" i="19"/>
  <c r="BC114" i="19"/>
  <c r="X114" i="11" s="1"/>
  <c r="BA114" i="19"/>
  <c r="AZ114" i="19"/>
  <c r="BM113" i="19"/>
  <c r="BO113" i="19" s="1"/>
  <c r="B113" i="11" s="1"/>
  <c r="O113" i="11"/>
  <c r="BH113" i="19"/>
  <c r="M113" i="11" s="1"/>
  <c r="BF113" i="19"/>
  <c r="J113" i="11" s="1"/>
  <c r="I113" i="11" s="1"/>
  <c r="BD113" i="19"/>
  <c r="BC113" i="19"/>
  <c r="X113" i="11" s="1"/>
  <c r="BA113" i="19"/>
  <c r="AZ113" i="19"/>
  <c r="BM112" i="19"/>
  <c r="BO112" i="19" s="1"/>
  <c r="B112" i="11" s="1"/>
  <c r="O112" i="11"/>
  <c r="BH112" i="19"/>
  <c r="M112" i="11" s="1"/>
  <c r="BF112" i="19"/>
  <c r="J112" i="11" s="1"/>
  <c r="I112" i="11" s="1"/>
  <c r="BD112" i="19"/>
  <c r="BC112" i="19"/>
  <c r="X112" i="11" s="1"/>
  <c r="BA112" i="19"/>
  <c r="AZ112" i="19"/>
  <c r="BM111" i="19"/>
  <c r="BO111" i="19" s="1"/>
  <c r="B111" i="11" s="1"/>
  <c r="O111" i="11"/>
  <c r="BH111" i="19"/>
  <c r="M111" i="11" s="1"/>
  <c r="BF111" i="19"/>
  <c r="J111" i="11" s="1"/>
  <c r="I111" i="11" s="1"/>
  <c r="BD111" i="19"/>
  <c r="BC111" i="19"/>
  <c r="X111" i="11" s="1"/>
  <c r="BA111" i="19"/>
  <c r="AZ111" i="19"/>
  <c r="BM110" i="19"/>
  <c r="BO110" i="19" s="1"/>
  <c r="B110" i="11" s="1"/>
  <c r="O110" i="11"/>
  <c r="BH110" i="19"/>
  <c r="M110" i="11" s="1"/>
  <c r="BF110" i="19"/>
  <c r="J110" i="11" s="1"/>
  <c r="I110" i="11" s="1"/>
  <c r="BD110" i="19"/>
  <c r="BC110" i="19"/>
  <c r="X110" i="11" s="1"/>
  <c r="BA110" i="19"/>
  <c r="AZ110" i="19"/>
  <c r="BM109" i="19"/>
  <c r="BO109" i="19" s="1"/>
  <c r="B109" i="11" s="1"/>
  <c r="O109" i="11"/>
  <c r="BH109" i="19"/>
  <c r="M109" i="11" s="1"/>
  <c r="BF109" i="19"/>
  <c r="J109" i="11" s="1"/>
  <c r="I109" i="11" s="1"/>
  <c r="BD109" i="19"/>
  <c r="BC109" i="19"/>
  <c r="X109" i="11" s="1"/>
  <c r="BA109" i="19"/>
  <c r="AZ109" i="19"/>
  <c r="BM108" i="19"/>
  <c r="BO108" i="19" s="1"/>
  <c r="B108" i="11" s="1"/>
  <c r="O108" i="11"/>
  <c r="BH108" i="19"/>
  <c r="M108" i="11" s="1"/>
  <c r="BF108" i="19"/>
  <c r="J108" i="11" s="1"/>
  <c r="I108" i="11" s="1"/>
  <c r="BD108" i="19"/>
  <c r="BC108" i="19"/>
  <c r="X108" i="11" s="1"/>
  <c r="BA108" i="19"/>
  <c r="AZ108" i="19"/>
  <c r="BM107" i="19"/>
  <c r="BO107" i="19" s="1"/>
  <c r="B107" i="11" s="1"/>
  <c r="O107" i="11"/>
  <c r="BH107" i="19"/>
  <c r="M107" i="11" s="1"/>
  <c r="BF107" i="19"/>
  <c r="J107" i="11" s="1"/>
  <c r="I107" i="11" s="1"/>
  <c r="BD107" i="19"/>
  <c r="BC107" i="19"/>
  <c r="X107" i="11" s="1"/>
  <c r="BA107" i="19"/>
  <c r="AZ107" i="19"/>
  <c r="BM106" i="19"/>
  <c r="BO106" i="19" s="1"/>
  <c r="B106" i="11" s="1"/>
  <c r="O106" i="11"/>
  <c r="BH106" i="19"/>
  <c r="M106" i="11" s="1"/>
  <c r="BF106" i="19"/>
  <c r="J106" i="11" s="1"/>
  <c r="I106" i="11" s="1"/>
  <c r="BD106" i="19"/>
  <c r="BC106" i="19"/>
  <c r="X106" i="11" s="1"/>
  <c r="BA106" i="19"/>
  <c r="AZ106" i="19"/>
  <c r="BM105" i="19"/>
  <c r="BO105" i="19" s="1"/>
  <c r="B105" i="11" s="1"/>
  <c r="O105" i="11"/>
  <c r="BH105" i="19"/>
  <c r="M105" i="11" s="1"/>
  <c r="BF105" i="19"/>
  <c r="J105" i="11" s="1"/>
  <c r="I105" i="11" s="1"/>
  <c r="BD105" i="19"/>
  <c r="BC105" i="19"/>
  <c r="X105" i="11" s="1"/>
  <c r="BA105" i="19"/>
  <c r="AZ105" i="19"/>
  <c r="BM104" i="19"/>
  <c r="BO104" i="19" s="1"/>
  <c r="B104" i="11" s="1"/>
  <c r="O104" i="11"/>
  <c r="BH104" i="19"/>
  <c r="M104" i="11" s="1"/>
  <c r="BF104" i="19"/>
  <c r="J104" i="11" s="1"/>
  <c r="I104" i="11" s="1"/>
  <c r="BD104" i="19"/>
  <c r="BC104" i="19"/>
  <c r="X104" i="11" s="1"/>
  <c r="BA104" i="19"/>
  <c r="AZ104" i="19"/>
  <c r="BM103" i="19"/>
  <c r="BO103" i="19" s="1"/>
  <c r="B103" i="11" s="1"/>
  <c r="O103" i="11"/>
  <c r="BH103" i="19"/>
  <c r="M103" i="11" s="1"/>
  <c r="BF103" i="19"/>
  <c r="J103" i="11" s="1"/>
  <c r="I103" i="11" s="1"/>
  <c r="BD103" i="19"/>
  <c r="BC103" i="19"/>
  <c r="X103" i="11" s="1"/>
  <c r="BA103" i="19"/>
  <c r="AZ103" i="19"/>
  <c r="BM102" i="19"/>
  <c r="BN102" i="19" s="1"/>
  <c r="D102" i="11" s="1"/>
  <c r="O102" i="11"/>
  <c r="BH102" i="19"/>
  <c r="M102" i="11" s="1"/>
  <c r="BF102" i="19"/>
  <c r="J102" i="11" s="1"/>
  <c r="I102" i="11" s="1"/>
  <c r="BD102" i="19"/>
  <c r="BC102" i="19"/>
  <c r="X102" i="11" s="1"/>
  <c r="BA102" i="19"/>
  <c r="AZ102" i="19"/>
  <c r="BM101" i="19"/>
  <c r="BO101" i="19" s="1"/>
  <c r="B101" i="11" s="1"/>
  <c r="O101" i="11"/>
  <c r="BH101" i="19"/>
  <c r="M101" i="11" s="1"/>
  <c r="BF101" i="19"/>
  <c r="J101" i="11" s="1"/>
  <c r="I101" i="11" s="1"/>
  <c r="BD101" i="19"/>
  <c r="BC101" i="19"/>
  <c r="X101" i="11" s="1"/>
  <c r="BA101" i="19"/>
  <c r="AZ101" i="19"/>
  <c r="BM100" i="19"/>
  <c r="BO100" i="19" s="1"/>
  <c r="B100" i="11" s="1"/>
  <c r="O100" i="11"/>
  <c r="BH100" i="19"/>
  <c r="M100" i="11" s="1"/>
  <c r="BF100" i="19"/>
  <c r="J100" i="11" s="1"/>
  <c r="I100" i="11" s="1"/>
  <c r="BD100" i="19"/>
  <c r="BC100" i="19"/>
  <c r="X100" i="11" s="1"/>
  <c r="BA100" i="19"/>
  <c r="AZ100" i="19"/>
  <c r="BM99" i="19"/>
  <c r="BO99" i="19" s="1"/>
  <c r="B99" i="11" s="1"/>
  <c r="O99" i="11"/>
  <c r="BH99" i="19"/>
  <c r="M99" i="11" s="1"/>
  <c r="BF99" i="19"/>
  <c r="J99" i="11" s="1"/>
  <c r="I99" i="11" s="1"/>
  <c r="BD99" i="19"/>
  <c r="BC99" i="19"/>
  <c r="X99" i="11" s="1"/>
  <c r="BA99" i="19"/>
  <c r="AZ99" i="19"/>
  <c r="BM98" i="19"/>
  <c r="BN98" i="19" s="1"/>
  <c r="D98" i="11" s="1"/>
  <c r="O98" i="11"/>
  <c r="BH98" i="19"/>
  <c r="M98" i="11" s="1"/>
  <c r="BF98" i="19"/>
  <c r="J98" i="11" s="1"/>
  <c r="I98" i="11" s="1"/>
  <c r="BD98" i="19"/>
  <c r="BC98" i="19"/>
  <c r="X98" i="11" s="1"/>
  <c r="BA98" i="19"/>
  <c r="AZ98" i="19"/>
  <c r="BM97" i="19"/>
  <c r="BO97" i="19" s="1"/>
  <c r="B97" i="11" s="1"/>
  <c r="O97" i="11"/>
  <c r="BH97" i="19"/>
  <c r="M97" i="11" s="1"/>
  <c r="BF97" i="19"/>
  <c r="J97" i="11" s="1"/>
  <c r="I97" i="11" s="1"/>
  <c r="BD97" i="19"/>
  <c r="BC97" i="19"/>
  <c r="X97" i="11" s="1"/>
  <c r="BA97" i="19"/>
  <c r="AZ97" i="19"/>
  <c r="BM96" i="19"/>
  <c r="BO96" i="19" s="1"/>
  <c r="B96" i="11" s="1"/>
  <c r="O96" i="11"/>
  <c r="BH96" i="19"/>
  <c r="M96" i="11" s="1"/>
  <c r="BF96" i="19"/>
  <c r="J96" i="11" s="1"/>
  <c r="I96" i="11" s="1"/>
  <c r="BD96" i="19"/>
  <c r="BC96" i="19"/>
  <c r="X96" i="11" s="1"/>
  <c r="BA96" i="19"/>
  <c r="AZ96" i="19"/>
  <c r="BM95" i="19"/>
  <c r="BO95" i="19" s="1"/>
  <c r="B95" i="11" s="1"/>
  <c r="O95" i="11"/>
  <c r="BH95" i="19"/>
  <c r="M95" i="11" s="1"/>
  <c r="BF95" i="19"/>
  <c r="J95" i="11" s="1"/>
  <c r="I95" i="11" s="1"/>
  <c r="BD95" i="19"/>
  <c r="BC95" i="19"/>
  <c r="X95" i="11" s="1"/>
  <c r="BA95" i="19"/>
  <c r="AZ95" i="19"/>
  <c r="BM94" i="19"/>
  <c r="BO94" i="19" s="1"/>
  <c r="B94" i="11" s="1"/>
  <c r="O94" i="11"/>
  <c r="BH94" i="19"/>
  <c r="M94" i="11" s="1"/>
  <c r="BF94" i="19"/>
  <c r="J94" i="11" s="1"/>
  <c r="I94" i="11" s="1"/>
  <c r="BD94" i="19"/>
  <c r="BC94" i="19"/>
  <c r="X94" i="11" s="1"/>
  <c r="BA94" i="19"/>
  <c r="AZ94" i="19"/>
  <c r="BM93" i="19"/>
  <c r="BO93" i="19" s="1"/>
  <c r="B93" i="11" s="1"/>
  <c r="O93" i="11"/>
  <c r="BH93" i="19"/>
  <c r="M93" i="11" s="1"/>
  <c r="BF93" i="19"/>
  <c r="J93" i="11" s="1"/>
  <c r="I93" i="11" s="1"/>
  <c r="BD93" i="19"/>
  <c r="BC93" i="19"/>
  <c r="X93" i="11" s="1"/>
  <c r="BA93" i="19"/>
  <c r="AZ93" i="19"/>
  <c r="BM92" i="19"/>
  <c r="BO92" i="19" s="1"/>
  <c r="B92" i="11" s="1"/>
  <c r="O92" i="11"/>
  <c r="BH92" i="19"/>
  <c r="M92" i="11" s="1"/>
  <c r="BF92" i="19"/>
  <c r="J92" i="11" s="1"/>
  <c r="I92" i="11" s="1"/>
  <c r="BD92" i="19"/>
  <c r="BC92" i="19"/>
  <c r="X92" i="11" s="1"/>
  <c r="BA92" i="19"/>
  <c r="AZ92" i="19"/>
  <c r="BM91" i="19"/>
  <c r="BO91" i="19" s="1"/>
  <c r="B91" i="11" s="1"/>
  <c r="O91" i="11"/>
  <c r="BH91" i="19"/>
  <c r="M91" i="11" s="1"/>
  <c r="BF91" i="19"/>
  <c r="J91" i="11" s="1"/>
  <c r="I91" i="11" s="1"/>
  <c r="BD91" i="19"/>
  <c r="BC91" i="19"/>
  <c r="X91" i="11" s="1"/>
  <c r="BA91" i="19"/>
  <c r="AZ91" i="19"/>
  <c r="BM90" i="19"/>
  <c r="BN90" i="19" s="1"/>
  <c r="D90" i="11" s="1"/>
  <c r="O90" i="11"/>
  <c r="BH90" i="19"/>
  <c r="M90" i="11" s="1"/>
  <c r="BF90" i="19"/>
  <c r="J90" i="11" s="1"/>
  <c r="I90" i="11" s="1"/>
  <c r="BD90" i="19"/>
  <c r="BC90" i="19"/>
  <c r="X90" i="11" s="1"/>
  <c r="BA90" i="19"/>
  <c r="AZ90" i="19"/>
  <c r="BM89" i="19"/>
  <c r="BO89" i="19" s="1"/>
  <c r="B89" i="11" s="1"/>
  <c r="O89" i="11"/>
  <c r="BH89" i="19"/>
  <c r="M89" i="11" s="1"/>
  <c r="BF89" i="19"/>
  <c r="J89" i="11" s="1"/>
  <c r="I89" i="11" s="1"/>
  <c r="BD89" i="19"/>
  <c r="BC89" i="19"/>
  <c r="X89" i="11" s="1"/>
  <c r="BA89" i="19"/>
  <c r="AZ89" i="19"/>
  <c r="BM88" i="19"/>
  <c r="BO88" i="19" s="1"/>
  <c r="B88" i="11" s="1"/>
  <c r="O88" i="11"/>
  <c r="BH88" i="19"/>
  <c r="M88" i="11" s="1"/>
  <c r="BF88" i="19"/>
  <c r="J88" i="11" s="1"/>
  <c r="I88" i="11" s="1"/>
  <c r="BD88" i="19"/>
  <c r="BC88" i="19"/>
  <c r="X88" i="11" s="1"/>
  <c r="BA88" i="19"/>
  <c r="AZ88" i="19"/>
  <c r="BM87" i="19"/>
  <c r="BO87" i="19" s="1"/>
  <c r="B87" i="11" s="1"/>
  <c r="O87" i="11"/>
  <c r="BH87" i="19"/>
  <c r="M87" i="11" s="1"/>
  <c r="BF87" i="19"/>
  <c r="J87" i="11" s="1"/>
  <c r="I87" i="11" s="1"/>
  <c r="BD87" i="19"/>
  <c r="BC87" i="19"/>
  <c r="X87" i="11" s="1"/>
  <c r="BA87" i="19"/>
  <c r="AZ87" i="19"/>
  <c r="BM86" i="19"/>
  <c r="BN86" i="19" s="1"/>
  <c r="D86" i="11" s="1"/>
  <c r="O86" i="11"/>
  <c r="BH86" i="19"/>
  <c r="M86" i="11" s="1"/>
  <c r="BF86" i="19"/>
  <c r="J86" i="11" s="1"/>
  <c r="I86" i="11" s="1"/>
  <c r="BD86" i="19"/>
  <c r="BC86" i="19"/>
  <c r="X86" i="11" s="1"/>
  <c r="BA86" i="19"/>
  <c r="AZ86" i="19"/>
  <c r="BM85" i="19"/>
  <c r="BO85" i="19" s="1"/>
  <c r="B85" i="11" s="1"/>
  <c r="O85" i="11"/>
  <c r="BH85" i="19"/>
  <c r="M85" i="11" s="1"/>
  <c r="BF85" i="19"/>
  <c r="J85" i="11" s="1"/>
  <c r="I85" i="11" s="1"/>
  <c r="BD85" i="19"/>
  <c r="BC85" i="19"/>
  <c r="X85" i="11" s="1"/>
  <c r="BA85" i="19"/>
  <c r="AZ85" i="19"/>
  <c r="BM84" i="19"/>
  <c r="BO84" i="19" s="1"/>
  <c r="B84" i="11" s="1"/>
  <c r="O84" i="11"/>
  <c r="BH84" i="19"/>
  <c r="M84" i="11" s="1"/>
  <c r="BF84" i="19"/>
  <c r="J84" i="11" s="1"/>
  <c r="I84" i="11" s="1"/>
  <c r="BD84" i="19"/>
  <c r="BC84" i="19"/>
  <c r="X84" i="11" s="1"/>
  <c r="BA84" i="19"/>
  <c r="AZ84" i="19"/>
  <c r="BM83" i="19"/>
  <c r="BO83" i="19" s="1"/>
  <c r="B83" i="11" s="1"/>
  <c r="O83" i="11"/>
  <c r="BH83" i="19"/>
  <c r="M83" i="11" s="1"/>
  <c r="BF83" i="19"/>
  <c r="J83" i="11" s="1"/>
  <c r="I83" i="11" s="1"/>
  <c r="BD83" i="19"/>
  <c r="BC83" i="19"/>
  <c r="X83" i="11" s="1"/>
  <c r="BA83" i="19"/>
  <c r="AZ83" i="19"/>
  <c r="BM82" i="19"/>
  <c r="BO82" i="19" s="1"/>
  <c r="B82" i="11" s="1"/>
  <c r="O82" i="11"/>
  <c r="BH82" i="19"/>
  <c r="M82" i="11" s="1"/>
  <c r="BF82" i="19"/>
  <c r="J82" i="11" s="1"/>
  <c r="I82" i="11" s="1"/>
  <c r="BD82" i="19"/>
  <c r="BC82" i="19"/>
  <c r="X82" i="11" s="1"/>
  <c r="BA82" i="19"/>
  <c r="AZ82" i="19"/>
  <c r="BM81" i="19"/>
  <c r="BO81" i="19" s="1"/>
  <c r="B81" i="11" s="1"/>
  <c r="O81" i="11"/>
  <c r="BH81" i="19"/>
  <c r="M81" i="11" s="1"/>
  <c r="BF81" i="19"/>
  <c r="J81" i="11" s="1"/>
  <c r="I81" i="11" s="1"/>
  <c r="BD81" i="19"/>
  <c r="BC81" i="19"/>
  <c r="X81" i="11" s="1"/>
  <c r="BA81" i="19"/>
  <c r="AZ81" i="19"/>
  <c r="BM80" i="19"/>
  <c r="BN80" i="19" s="1"/>
  <c r="D80" i="11" s="1"/>
  <c r="O80" i="11"/>
  <c r="BH80" i="19"/>
  <c r="M80" i="11" s="1"/>
  <c r="BF80" i="19"/>
  <c r="J80" i="11" s="1"/>
  <c r="I80" i="11" s="1"/>
  <c r="BD80" i="19"/>
  <c r="BC80" i="19"/>
  <c r="X80" i="11" s="1"/>
  <c r="BA80" i="19"/>
  <c r="AZ80" i="19"/>
  <c r="BM79" i="19"/>
  <c r="BO79" i="19" s="1"/>
  <c r="B79" i="11" s="1"/>
  <c r="O79" i="11"/>
  <c r="BH79" i="19"/>
  <c r="M79" i="11" s="1"/>
  <c r="BF79" i="19"/>
  <c r="J79" i="11" s="1"/>
  <c r="I79" i="11" s="1"/>
  <c r="BD79" i="19"/>
  <c r="BC79" i="19"/>
  <c r="X79" i="11" s="1"/>
  <c r="BA79" i="19"/>
  <c r="AZ79" i="19"/>
  <c r="BM78" i="19"/>
  <c r="BN78" i="19" s="1"/>
  <c r="D78" i="11" s="1"/>
  <c r="O78" i="11"/>
  <c r="BH78" i="19"/>
  <c r="M78" i="11" s="1"/>
  <c r="BF78" i="19"/>
  <c r="J78" i="11" s="1"/>
  <c r="I78" i="11" s="1"/>
  <c r="BD78" i="19"/>
  <c r="BC78" i="19"/>
  <c r="X78" i="11" s="1"/>
  <c r="BA78" i="19"/>
  <c r="AZ78" i="19"/>
  <c r="BM77" i="19"/>
  <c r="BO77" i="19" s="1"/>
  <c r="B77" i="11" s="1"/>
  <c r="O77" i="11"/>
  <c r="BH77" i="19"/>
  <c r="M77" i="11" s="1"/>
  <c r="BF77" i="19"/>
  <c r="J77" i="11" s="1"/>
  <c r="I77" i="11" s="1"/>
  <c r="BD77" i="19"/>
  <c r="BC77" i="19"/>
  <c r="X77" i="11" s="1"/>
  <c r="BA77" i="19"/>
  <c r="AZ77" i="19"/>
  <c r="BM76" i="19"/>
  <c r="BN76" i="19" s="1"/>
  <c r="D76" i="11" s="1"/>
  <c r="O76" i="11"/>
  <c r="BH76" i="19"/>
  <c r="M76" i="11" s="1"/>
  <c r="BF76" i="19"/>
  <c r="J76" i="11" s="1"/>
  <c r="I76" i="11" s="1"/>
  <c r="BD76" i="19"/>
  <c r="BC76" i="19"/>
  <c r="X76" i="11" s="1"/>
  <c r="BA76" i="19"/>
  <c r="AZ76" i="19"/>
  <c r="BM75" i="19"/>
  <c r="BO75" i="19" s="1"/>
  <c r="B75" i="11" s="1"/>
  <c r="O75" i="11"/>
  <c r="BH75" i="19"/>
  <c r="M75" i="11" s="1"/>
  <c r="BF75" i="19"/>
  <c r="J75" i="11" s="1"/>
  <c r="I75" i="11" s="1"/>
  <c r="BD75" i="19"/>
  <c r="BC75" i="19"/>
  <c r="X75" i="11" s="1"/>
  <c r="BA75" i="19"/>
  <c r="AZ75" i="19"/>
  <c r="BM74" i="19"/>
  <c r="BN74" i="19" s="1"/>
  <c r="D74" i="11" s="1"/>
  <c r="O74" i="11"/>
  <c r="BH74" i="19"/>
  <c r="M74" i="11" s="1"/>
  <c r="BF74" i="19"/>
  <c r="J74" i="11" s="1"/>
  <c r="I74" i="11" s="1"/>
  <c r="BD74" i="19"/>
  <c r="BC74" i="19"/>
  <c r="X74" i="11" s="1"/>
  <c r="BA74" i="19"/>
  <c r="AZ74" i="19"/>
  <c r="BM73" i="19"/>
  <c r="BO73" i="19" s="1"/>
  <c r="B73" i="11" s="1"/>
  <c r="O73" i="11"/>
  <c r="BH73" i="19"/>
  <c r="M73" i="11" s="1"/>
  <c r="BF73" i="19"/>
  <c r="J73" i="11" s="1"/>
  <c r="I73" i="11" s="1"/>
  <c r="BD73" i="19"/>
  <c r="BC73" i="19"/>
  <c r="X73" i="11" s="1"/>
  <c r="BA73" i="19"/>
  <c r="AZ73" i="19"/>
  <c r="BM72" i="19"/>
  <c r="BO72" i="19" s="1"/>
  <c r="B72" i="11" s="1"/>
  <c r="O72" i="11"/>
  <c r="BH72" i="19"/>
  <c r="M72" i="11" s="1"/>
  <c r="BF72" i="19"/>
  <c r="J72" i="11" s="1"/>
  <c r="I72" i="11" s="1"/>
  <c r="BD72" i="19"/>
  <c r="BC72" i="19"/>
  <c r="X72" i="11" s="1"/>
  <c r="BA72" i="19"/>
  <c r="AZ72" i="19"/>
  <c r="BM71" i="19"/>
  <c r="BO71" i="19" s="1"/>
  <c r="B71" i="11" s="1"/>
  <c r="O71" i="11"/>
  <c r="BH71" i="19"/>
  <c r="M71" i="11" s="1"/>
  <c r="BF71" i="19"/>
  <c r="J71" i="11" s="1"/>
  <c r="I71" i="11" s="1"/>
  <c r="BD71" i="19"/>
  <c r="BC71" i="19"/>
  <c r="X71" i="11" s="1"/>
  <c r="BA71" i="19"/>
  <c r="AZ71" i="19"/>
  <c r="BM70" i="19"/>
  <c r="BN70" i="19" s="1"/>
  <c r="D70" i="11" s="1"/>
  <c r="O70" i="11"/>
  <c r="BH70" i="19"/>
  <c r="M70" i="11" s="1"/>
  <c r="BF70" i="19"/>
  <c r="J70" i="11" s="1"/>
  <c r="I70" i="11" s="1"/>
  <c r="BD70" i="19"/>
  <c r="BC70" i="19"/>
  <c r="X70" i="11" s="1"/>
  <c r="BA70" i="19"/>
  <c r="AZ70" i="19"/>
  <c r="BM69" i="19"/>
  <c r="BO69" i="19" s="1"/>
  <c r="B69" i="11" s="1"/>
  <c r="O69" i="11"/>
  <c r="BH69" i="19"/>
  <c r="M69" i="11" s="1"/>
  <c r="BF69" i="19"/>
  <c r="J69" i="11" s="1"/>
  <c r="I69" i="11" s="1"/>
  <c r="BD69" i="19"/>
  <c r="BC69" i="19"/>
  <c r="X69" i="11" s="1"/>
  <c r="BA69" i="19"/>
  <c r="AZ69" i="19"/>
  <c r="BM68" i="19"/>
  <c r="BO68" i="19" s="1"/>
  <c r="B68" i="11" s="1"/>
  <c r="O68" i="11"/>
  <c r="BH68" i="19"/>
  <c r="M68" i="11" s="1"/>
  <c r="BF68" i="19"/>
  <c r="J68" i="11" s="1"/>
  <c r="I68" i="11" s="1"/>
  <c r="BD68" i="19"/>
  <c r="BC68" i="19"/>
  <c r="X68" i="11" s="1"/>
  <c r="BA68" i="19"/>
  <c r="AZ68" i="19"/>
  <c r="BM67" i="19"/>
  <c r="BO67" i="19" s="1"/>
  <c r="B67" i="11" s="1"/>
  <c r="O67" i="11"/>
  <c r="BH67" i="19"/>
  <c r="M67" i="11" s="1"/>
  <c r="BF67" i="19"/>
  <c r="J67" i="11" s="1"/>
  <c r="I67" i="11" s="1"/>
  <c r="BD67" i="19"/>
  <c r="BC67" i="19"/>
  <c r="X67" i="11" s="1"/>
  <c r="BA67" i="19"/>
  <c r="AZ67" i="19"/>
  <c r="BM66" i="19"/>
  <c r="BO66" i="19" s="1"/>
  <c r="B66" i="11" s="1"/>
  <c r="O66" i="11"/>
  <c r="BH66" i="19"/>
  <c r="M66" i="11" s="1"/>
  <c r="BF66" i="19"/>
  <c r="J66" i="11" s="1"/>
  <c r="I66" i="11" s="1"/>
  <c r="BD66" i="19"/>
  <c r="BC66" i="19"/>
  <c r="X66" i="11" s="1"/>
  <c r="BA66" i="19"/>
  <c r="AZ66" i="19"/>
  <c r="BM65" i="19"/>
  <c r="BO65" i="19" s="1"/>
  <c r="B65" i="11" s="1"/>
  <c r="O65" i="11"/>
  <c r="BH65" i="19"/>
  <c r="M65" i="11" s="1"/>
  <c r="BF65" i="19"/>
  <c r="J65" i="11" s="1"/>
  <c r="I65" i="11" s="1"/>
  <c r="BD65" i="19"/>
  <c r="BC65" i="19"/>
  <c r="X65" i="11" s="1"/>
  <c r="BA65" i="19"/>
  <c r="AZ65" i="19"/>
  <c r="BM64" i="19"/>
  <c r="BO64" i="19" s="1"/>
  <c r="B64" i="11" s="1"/>
  <c r="O64" i="11"/>
  <c r="BH64" i="19"/>
  <c r="M64" i="11" s="1"/>
  <c r="BF64" i="19"/>
  <c r="J64" i="11" s="1"/>
  <c r="I64" i="11" s="1"/>
  <c r="BD64" i="19"/>
  <c r="BC64" i="19"/>
  <c r="X64" i="11" s="1"/>
  <c r="BA64" i="19"/>
  <c r="AZ64" i="19"/>
  <c r="BM63" i="19"/>
  <c r="BO63" i="19" s="1"/>
  <c r="B63" i="11" s="1"/>
  <c r="O63" i="11"/>
  <c r="BH63" i="19"/>
  <c r="M63" i="11" s="1"/>
  <c r="BF63" i="19"/>
  <c r="J63" i="11" s="1"/>
  <c r="I63" i="11" s="1"/>
  <c r="BD63" i="19"/>
  <c r="BC63" i="19"/>
  <c r="X63" i="11" s="1"/>
  <c r="BA63" i="19"/>
  <c r="AZ63" i="19"/>
  <c r="BM62" i="19"/>
  <c r="BN62" i="19" s="1"/>
  <c r="D62" i="11" s="1"/>
  <c r="O62" i="11"/>
  <c r="BH62" i="19"/>
  <c r="M62" i="11" s="1"/>
  <c r="BF62" i="19"/>
  <c r="J62" i="11" s="1"/>
  <c r="I62" i="11" s="1"/>
  <c r="BD62" i="19"/>
  <c r="BC62" i="19"/>
  <c r="X62" i="11" s="1"/>
  <c r="BA62" i="19"/>
  <c r="AZ62" i="19"/>
  <c r="BM61" i="19"/>
  <c r="BO61" i="19" s="1"/>
  <c r="B61" i="11" s="1"/>
  <c r="O61" i="11"/>
  <c r="BH61" i="19"/>
  <c r="M61" i="11" s="1"/>
  <c r="BF61" i="19"/>
  <c r="J61" i="11" s="1"/>
  <c r="I61" i="11" s="1"/>
  <c r="BD61" i="19"/>
  <c r="BC61" i="19"/>
  <c r="X61" i="11" s="1"/>
  <c r="BA61" i="19"/>
  <c r="AZ61" i="19"/>
  <c r="BM60" i="19"/>
  <c r="BN60" i="19" s="1"/>
  <c r="D60" i="11" s="1"/>
  <c r="O60" i="11"/>
  <c r="BH60" i="19"/>
  <c r="M60" i="11" s="1"/>
  <c r="BF60" i="19"/>
  <c r="J60" i="11" s="1"/>
  <c r="I60" i="11" s="1"/>
  <c r="BD60" i="19"/>
  <c r="BC60" i="19"/>
  <c r="X60" i="11" s="1"/>
  <c r="BA60" i="19"/>
  <c r="AZ60" i="19"/>
  <c r="BM356" i="19"/>
  <c r="BO356" i="19" s="1"/>
  <c r="B356" i="11" s="1"/>
  <c r="O356" i="11"/>
  <c r="BH356" i="19"/>
  <c r="M356" i="11" s="1"/>
  <c r="BF356" i="19"/>
  <c r="J356" i="11" s="1"/>
  <c r="I356" i="11" s="1"/>
  <c r="BD356" i="19"/>
  <c r="BC356" i="19"/>
  <c r="X356" i="11" s="1"/>
  <c r="BA356" i="19"/>
  <c r="AZ356" i="19"/>
  <c r="BG356" i="11" s="1"/>
  <c r="BM59" i="19"/>
  <c r="BO59" i="19" s="1"/>
  <c r="B59" i="11" s="1"/>
  <c r="O59" i="11"/>
  <c r="BH59" i="19"/>
  <c r="M59" i="11" s="1"/>
  <c r="BF59" i="19"/>
  <c r="J59" i="11" s="1"/>
  <c r="I59" i="11" s="1"/>
  <c r="BD59" i="19"/>
  <c r="BC59" i="19"/>
  <c r="X59" i="11" s="1"/>
  <c r="BA59" i="19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BG107" i="4" s="1"/>
  <c r="AC106" i="1"/>
  <c r="AC105" i="1"/>
  <c r="AC104" i="1"/>
  <c r="BG104" i="4" s="1"/>
  <c r="AC103" i="1"/>
  <c r="AC102" i="1"/>
  <c r="AC101" i="1"/>
  <c r="S101" i="6" s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BG75" i="4" s="1"/>
  <c r="AC74" i="1"/>
  <c r="S74" i="6" s="1"/>
  <c r="AC73" i="1"/>
  <c r="AC72" i="1"/>
  <c r="BG72" i="4" s="1"/>
  <c r="AC71" i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BG45" i="4" s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BG8" i="4" s="1"/>
  <c r="AC7" i="1"/>
  <c r="AC6" i="1"/>
  <c r="BG6" i="4" s="1"/>
  <c r="AC5" i="1"/>
  <c r="BM2" i="19"/>
  <c r="BO2" i="19" s="1"/>
  <c r="B2" i="11" s="1"/>
  <c r="BH2" i="19"/>
  <c r="M2" i="11" s="1"/>
  <c r="BF2" i="19"/>
  <c r="J2" i="11" s="1"/>
  <c r="I2" i="11" s="1"/>
  <c r="BD2" i="19"/>
  <c r="BC2" i="19"/>
  <c r="BA2" i="19"/>
  <c r="AZ2" i="19"/>
  <c r="AH6" i="1"/>
  <c r="AH7" i="1"/>
  <c r="AO7" i="1" s="1"/>
  <c r="AH8" i="1"/>
  <c r="AO8" i="1" s="1"/>
  <c r="AH147" i="1"/>
  <c r="AH9" i="1"/>
  <c r="AO9" i="1" s="1"/>
  <c r="AH10" i="1"/>
  <c r="AO10" i="1" s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O34" i="1" s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O45" i="1" s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O71" i="1" s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O77" i="1" s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O88" i="1" s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O101" i="1" s="1"/>
  <c r="AH102" i="1"/>
  <c r="AO102" i="1" s="1"/>
  <c r="AH103" i="1"/>
  <c r="AO103" i="1" s="1"/>
  <c r="AH104" i="1"/>
  <c r="AO104" i="1" s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O114" i="1" s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Q34" i="4" s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Q45" i="4" s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AE70" i="1"/>
  <c r="AE72" i="1"/>
  <c r="AE73" i="1"/>
  <c r="AE74" i="1"/>
  <c r="Q74" i="4" s="1"/>
  <c r="AE75" i="1"/>
  <c r="AE76" i="1"/>
  <c r="Q76" i="4" s="1"/>
  <c r="AE77" i="1"/>
  <c r="Q77" i="4" s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AE102" i="1"/>
  <c r="AE103" i="1"/>
  <c r="AE104" i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Q7" i="4" s="1"/>
  <c r="AE8" i="1"/>
  <c r="AE147" i="1"/>
  <c r="AE9" i="1"/>
  <c r="AE10" i="1"/>
  <c r="Q10" i="4" s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C6" i="4" s="1"/>
  <c r="AM6" i="1"/>
  <c r="AL7" i="1"/>
  <c r="AC7" i="4" s="1"/>
  <c r="AM7" i="1"/>
  <c r="AL8" i="1"/>
  <c r="AC8" i="4" s="1"/>
  <c r="AM8" i="1"/>
  <c r="AL147" i="1"/>
  <c r="AM147" i="1"/>
  <c r="AN147" i="1" s="1"/>
  <c r="AL9" i="1"/>
  <c r="AM9" i="1"/>
  <c r="AN9" i="1" s="1"/>
  <c r="AL10" i="1"/>
  <c r="AM10" i="1"/>
  <c r="AN10" i="1" s="1"/>
  <c r="AL11" i="1"/>
  <c r="AM11" i="1"/>
  <c r="AN11" i="1" s="1"/>
  <c r="AL12" i="1"/>
  <c r="AM12" i="1"/>
  <c r="AN12" i="1" s="1"/>
  <c r="AL13" i="1"/>
  <c r="AM13" i="1"/>
  <c r="AN13" i="1" s="1"/>
  <c r="AL14" i="1"/>
  <c r="AM14" i="1"/>
  <c r="AN14" i="1" s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69" i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N5" i="1" s="1"/>
  <c r="AB5" i="4" s="1"/>
  <c r="AL5" i="1"/>
  <c r="AC5" i="4" s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J143" i="1" s="1"/>
  <c r="AG143" i="1"/>
  <c r="T143" i="24" s="1"/>
  <c r="AF143" i="1"/>
  <c r="AD143" i="1"/>
  <c r="V143" i="24" s="1"/>
  <c r="AI142" i="1"/>
  <c r="AJ142" i="1" s="1"/>
  <c r="AG142" i="1"/>
  <c r="T142" i="24" s="1"/>
  <c r="AF142" i="1"/>
  <c r="AD142" i="1"/>
  <c r="V142" i="24" s="1"/>
  <c r="AI141" i="1"/>
  <c r="AJ141" i="1" s="1"/>
  <c r="AG141" i="1"/>
  <c r="T141" i="24" s="1"/>
  <c r="AF141" i="1"/>
  <c r="AD141" i="1"/>
  <c r="V141" i="24" s="1"/>
  <c r="AI140" i="1"/>
  <c r="AJ140" i="1" s="1"/>
  <c r="AG140" i="1"/>
  <c r="T140" i="24" s="1"/>
  <c r="AF140" i="1"/>
  <c r="AD140" i="1"/>
  <c r="V140" i="24" s="1"/>
  <c r="AI139" i="1"/>
  <c r="AJ139" i="1" s="1"/>
  <c r="AG139" i="1"/>
  <c r="T139" i="24" s="1"/>
  <c r="AF139" i="1"/>
  <c r="AD139" i="1"/>
  <c r="V139" i="24" s="1"/>
  <c r="AI138" i="1"/>
  <c r="AJ138" i="1" s="1"/>
  <c r="AG138" i="1"/>
  <c r="T138" i="24" s="1"/>
  <c r="AF138" i="1"/>
  <c r="AD138" i="1"/>
  <c r="V138" i="24" s="1"/>
  <c r="AI137" i="1"/>
  <c r="AJ137" i="1" s="1"/>
  <c r="AG137" i="1"/>
  <c r="T137" i="24" s="1"/>
  <c r="AF137" i="1"/>
  <c r="AD137" i="1"/>
  <c r="V137" i="24" s="1"/>
  <c r="AI136" i="1"/>
  <c r="AJ136" i="1" s="1"/>
  <c r="AG136" i="1"/>
  <c r="T136" i="24" s="1"/>
  <c r="AF136" i="1"/>
  <c r="AD136" i="1"/>
  <c r="V136" i="24" s="1"/>
  <c r="AI135" i="1"/>
  <c r="AJ135" i="1" s="1"/>
  <c r="AG135" i="1"/>
  <c r="T135" i="24" s="1"/>
  <c r="AF135" i="1"/>
  <c r="AD135" i="1"/>
  <c r="V135" i="24" s="1"/>
  <c r="AI169" i="1"/>
  <c r="AJ169" i="1" s="1"/>
  <c r="AG169" i="1"/>
  <c r="T169" i="24" s="1"/>
  <c r="AF169" i="1"/>
  <c r="AD169" i="1"/>
  <c r="V169" i="24" s="1"/>
  <c r="AI134" i="1"/>
  <c r="AJ134" i="1" s="1"/>
  <c r="AG134" i="1"/>
  <c r="T134" i="24" s="1"/>
  <c r="AF134" i="1"/>
  <c r="AD134" i="1"/>
  <c r="V134" i="24" s="1"/>
  <c r="AI133" i="1"/>
  <c r="AJ133" i="1" s="1"/>
  <c r="AG133" i="1"/>
  <c r="T133" i="24" s="1"/>
  <c r="AF133" i="1"/>
  <c r="AD133" i="1"/>
  <c r="V133" i="24" s="1"/>
  <c r="AI132" i="1"/>
  <c r="AJ132" i="1" s="1"/>
  <c r="AG132" i="1"/>
  <c r="T132" i="24" s="1"/>
  <c r="AF132" i="1"/>
  <c r="AD132" i="1"/>
  <c r="V132" i="24" s="1"/>
  <c r="AI131" i="1"/>
  <c r="AJ131" i="1" s="1"/>
  <c r="AG131" i="1"/>
  <c r="T131" i="24" s="1"/>
  <c r="AF131" i="1"/>
  <c r="AD131" i="1"/>
  <c r="V131" i="24" s="1"/>
  <c r="AI130" i="1"/>
  <c r="AJ130" i="1" s="1"/>
  <c r="AG130" i="1"/>
  <c r="T130" i="24" s="1"/>
  <c r="AF130" i="1"/>
  <c r="AD130" i="1"/>
  <c r="V130" i="24" s="1"/>
  <c r="AI168" i="1"/>
  <c r="AJ168" i="1" s="1"/>
  <c r="AG168" i="1"/>
  <c r="T168" i="24" s="1"/>
  <c r="AF168" i="1"/>
  <c r="AD168" i="1"/>
  <c r="V168" i="24" s="1"/>
  <c r="AI129" i="1"/>
  <c r="AJ129" i="1" s="1"/>
  <c r="AG129" i="1"/>
  <c r="T129" i="24" s="1"/>
  <c r="AF129" i="1"/>
  <c r="AD129" i="1"/>
  <c r="V129" i="24" s="1"/>
  <c r="AI128" i="1"/>
  <c r="AJ128" i="1" s="1"/>
  <c r="AG128" i="1"/>
  <c r="T128" i="24" s="1"/>
  <c r="AF128" i="1"/>
  <c r="AD128" i="1"/>
  <c r="V128" i="24" s="1"/>
  <c r="AI127" i="1"/>
  <c r="AJ127" i="1" s="1"/>
  <c r="AG127" i="1"/>
  <c r="T127" i="24" s="1"/>
  <c r="AF127" i="1"/>
  <c r="AD127" i="1"/>
  <c r="V127" i="24" s="1"/>
  <c r="AI126" i="1"/>
  <c r="AJ126" i="1" s="1"/>
  <c r="AG126" i="1"/>
  <c r="T126" i="24" s="1"/>
  <c r="AF126" i="1"/>
  <c r="AD126" i="1"/>
  <c r="V126" i="24" s="1"/>
  <c r="AI167" i="1"/>
  <c r="AJ167" i="1" s="1"/>
  <c r="AG167" i="1"/>
  <c r="T167" i="24" s="1"/>
  <c r="AF167" i="1"/>
  <c r="AD167" i="1"/>
  <c r="V167" i="24" s="1"/>
  <c r="AI125" i="1"/>
  <c r="AJ125" i="1" s="1"/>
  <c r="AG125" i="1"/>
  <c r="T125" i="24" s="1"/>
  <c r="AF125" i="1"/>
  <c r="AD125" i="1"/>
  <c r="V125" i="24" s="1"/>
  <c r="AI124" i="1"/>
  <c r="AJ124" i="1" s="1"/>
  <c r="AG124" i="1"/>
  <c r="T124" i="24" s="1"/>
  <c r="AF124" i="1"/>
  <c r="AD124" i="1"/>
  <c r="V124" i="24" s="1"/>
  <c r="AI123" i="1"/>
  <c r="AJ123" i="1" s="1"/>
  <c r="AG123" i="1"/>
  <c r="T123" i="24" s="1"/>
  <c r="AF123" i="1"/>
  <c r="AD123" i="1"/>
  <c r="V123" i="24" s="1"/>
  <c r="AI122" i="1"/>
  <c r="AJ122" i="1" s="1"/>
  <c r="AG122" i="1"/>
  <c r="T122" i="24" s="1"/>
  <c r="AF122" i="1"/>
  <c r="AD122" i="1"/>
  <c r="V122" i="24" s="1"/>
  <c r="AI121" i="1"/>
  <c r="AJ121" i="1" s="1"/>
  <c r="AG121" i="1"/>
  <c r="T121" i="24" s="1"/>
  <c r="AF121" i="1"/>
  <c r="AD121" i="1"/>
  <c r="V121" i="24" s="1"/>
  <c r="AI166" i="1"/>
  <c r="AJ166" i="1" s="1"/>
  <c r="AG166" i="1"/>
  <c r="T166" i="24" s="1"/>
  <c r="AF166" i="1"/>
  <c r="AD166" i="1"/>
  <c r="V166" i="24" s="1"/>
  <c r="AI120" i="1"/>
  <c r="AJ120" i="1" s="1"/>
  <c r="AG120" i="1"/>
  <c r="T120" i="24" s="1"/>
  <c r="AF120" i="1"/>
  <c r="AD120" i="1"/>
  <c r="V120" i="24" s="1"/>
  <c r="AI119" i="1"/>
  <c r="AJ119" i="1" s="1"/>
  <c r="AG119" i="1"/>
  <c r="T119" i="24" s="1"/>
  <c r="AF119" i="1"/>
  <c r="AD119" i="1"/>
  <c r="V119" i="24" s="1"/>
  <c r="AI118" i="1"/>
  <c r="AJ118" i="1" s="1"/>
  <c r="AG118" i="1"/>
  <c r="T118" i="24" s="1"/>
  <c r="AF118" i="1"/>
  <c r="AD118" i="1"/>
  <c r="V118" i="24" s="1"/>
  <c r="AI117" i="1"/>
  <c r="AJ117" i="1" s="1"/>
  <c r="AG117" i="1"/>
  <c r="T117" i="24" s="1"/>
  <c r="AF117" i="1"/>
  <c r="AD117" i="1"/>
  <c r="V117" i="24" s="1"/>
  <c r="AI116" i="1"/>
  <c r="AJ116" i="1" s="1"/>
  <c r="AG116" i="1"/>
  <c r="T116" i="24" s="1"/>
  <c r="AF116" i="1"/>
  <c r="AD116" i="1"/>
  <c r="V116" i="24" s="1"/>
  <c r="AI115" i="1"/>
  <c r="AJ115" i="1" s="1"/>
  <c r="AG115" i="1"/>
  <c r="T115" i="24" s="1"/>
  <c r="AF115" i="1"/>
  <c r="AD115" i="1"/>
  <c r="V115" i="24" s="1"/>
  <c r="AI146" i="1"/>
  <c r="AJ146" i="1" s="1"/>
  <c r="AG146" i="1"/>
  <c r="T146" i="24" s="1"/>
  <c r="AF146" i="1"/>
  <c r="AD146" i="1"/>
  <c r="V146" i="24" s="1"/>
  <c r="AI165" i="1"/>
  <c r="AJ165" i="1" s="1"/>
  <c r="AG165" i="1"/>
  <c r="T165" i="24" s="1"/>
  <c r="AF165" i="1"/>
  <c r="AD165" i="1"/>
  <c r="V165" i="24" s="1"/>
  <c r="AI164" i="1"/>
  <c r="AJ164" i="1" s="1"/>
  <c r="AG164" i="1"/>
  <c r="T164" i="24" s="1"/>
  <c r="AF164" i="1"/>
  <c r="AD164" i="1"/>
  <c r="V164" i="24" s="1"/>
  <c r="AI114" i="1"/>
  <c r="AJ114" i="1" s="1"/>
  <c r="AG114" i="1"/>
  <c r="T114" i="24" s="1"/>
  <c r="AF114" i="1"/>
  <c r="AD114" i="1"/>
  <c r="V114" i="24" s="1"/>
  <c r="AI113" i="1"/>
  <c r="AJ113" i="1" s="1"/>
  <c r="AG113" i="1"/>
  <c r="T113" i="24" s="1"/>
  <c r="AF113" i="1"/>
  <c r="AD113" i="1"/>
  <c r="V113" i="24" s="1"/>
  <c r="AI112" i="1"/>
  <c r="AG112" i="1"/>
  <c r="T112" i="24" s="1"/>
  <c r="AF112" i="1"/>
  <c r="AD112" i="1"/>
  <c r="V112" i="24" s="1"/>
  <c r="AI111" i="1"/>
  <c r="AJ111" i="1" s="1"/>
  <c r="AG111" i="1"/>
  <c r="T111" i="24" s="1"/>
  <c r="AF111" i="1"/>
  <c r="AD111" i="1"/>
  <c r="V111" i="24" s="1"/>
  <c r="AI110" i="1"/>
  <c r="AJ110" i="1" s="1"/>
  <c r="I129" i="4" s="1"/>
  <c r="AG110" i="1"/>
  <c r="AF110" i="1"/>
  <c r="AD110" i="1"/>
  <c r="AI163" i="1"/>
  <c r="AJ163" i="1" s="1"/>
  <c r="AG163" i="1"/>
  <c r="AF163" i="1"/>
  <c r="AD163" i="1"/>
  <c r="AI109" i="1"/>
  <c r="AJ109" i="1" s="1"/>
  <c r="AG109" i="1"/>
  <c r="T109" i="24" s="1"/>
  <c r="AF109" i="1"/>
  <c r="AD109" i="1"/>
  <c r="AI108" i="1"/>
  <c r="AJ108" i="1" s="1"/>
  <c r="AG108" i="1"/>
  <c r="T108" i="24" s="1"/>
  <c r="AF108" i="1"/>
  <c r="AD108" i="1"/>
  <c r="V108" i="24" s="1"/>
  <c r="AI145" i="1"/>
  <c r="AJ145" i="1" s="1"/>
  <c r="AG145" i="1"/>
  <c r="T145" i="24" s="1"/>
  <c r="AF145" i="1"/>
  <c r="AD145" i="1"/>
  <c r="V145" i="24" s="1"/>
  <c r="AI162" i="1"/>
  <c r="AJ162" i="1" s="1"/>
  <c r="AG162" i="1"/>
  <c r="T162" i="24" s="1"/>
  <c r="AF162" i="1"/>
  <c r="AD162" i="1"/>
  <c r="V162" i="24" s="1"/>
  <c r="AI107" i="1"/>
  <c r="AJ107" i="1" s="1"/>
  <c r="AG107" i="1"/>
  <c r="T107" i="24" s="1"/>
  <c r="AF107" i="1"/>
  <c r="AD107" i="1"/>
  <c r="V107" i="24" s="1"/>
  <c r="AI106" i="1"/>
  <c r="AJ106" i="1" s="1"/>
  <c r="AG106" i="1"/>
  <c r="T106" i="24" s="1"/>
  <c r="AF106" i="1"/>
  <c r="AD106" i="1"/>
  <c r="V106" i="24" s="1"/>
  <c r="AI105" i="1"/>
  <c r="AJ105" i="1" s="1"/>
  <c r="AG105" i="1"/>
  <c r="T105" i="24" s="1"/>
  <c r="AF105" i="1"/>
  <c r="AD105" i="1"/>
  <c r="V105" i="24" s="1"/>
  <c r="AI104" i="1"/>
  <c r="AJ104" i="1" s="1"/>
  <c r="AG104" i="1"/>
  <c r="T104" i="24" s="1"/>
  <c r="AF104" i="1"/>
  <c r="AD104" i="1"/>
  <c r="V104" i="24" s="1"/>
  <c r="AI103" i="1"/>
  <c r="AJ103" i="1" s="1"/>
  <c r="AG103" i="1"/>
  <c r="T103" i="24" s="1"/>
  <c r="AF103" i="1"/>
  <c r="AD103" i="1"/>
  <c r="V103" i="24" s="1"/>
  <c r="AI102" i="1"/>
  <c r="AJ102" i="1" s="1"/>
  <c r="AG102" i="1"/>
  <c r="T102" i="24" s="1"/>
  <c r="AF102" i="1"/>
  <c r="AD102" i="1"/>
  <c r="V102" i="24" s="1"/>
  <c r="AI101" i="1"/>
  <c r="AJ101" i="1" s="1"/>
  <c r="AG101" i="1"/>
  <c r="T101" i="24" s="1"/>
  <c r="AF101" i="1"/>
  <c r="AD101" i="1"/>
  <c r="V101" i="24" s="1"/>
  <c r="AI161" i="1"/>
  <c r="AJ161" i="1" s="1"/>
  <c r="AG161" i="1"/>
  <c r="T161" i="24" s="1"/>
  <c r="AF161" i="1"/>
  <c r="AD161" i="1"/>
  <c r="V161" i="24" s="1"/>
  <c r="AI100" i="1"/>
  <c r="AJ100" i="1" s="1"/>
  <c r="AG100" i="1"/>
  <c r="T100" i="24" s="1"/>
  <c r="AF100" i="1"/>
  <c r="AD100" i="1"/>
  <c r="V100" i="24" s="1"/>
  <c r="AI99" i="1"/>
  <c r="AJ99" i="1" s="1"/>
  <c r="AG99" i="1"/>
  <c r="T99" i="24" s="1"/>
  <c r="AF99" i="1"/>
  <c r="AD99" i="1"/>
  <c r="V99" i="24" s="1"/>
  <c r="AI98" i="1"/>
  <c r="AJ98" i="1" s="1"/>
  <c r="AG98" i="1"/>
  <c r="T98" i="24" s="1"/>
  <c r="AF98" i="1"/>
  <c r="AD98" i="1"/>
  <c r="V98" i="24" s="1"/>
  <c r="AI97" i="1"/>
  <c r="AJ97" i="1" s="1"/>
  <c r="AG97" i="1"/>
  <c r="T97" i="24" s="1"/>
  <c r="AF97" i="1"/>
  <c r="AD97" i="1"/>
  <c r="V97" i="24" s="1"/>
  <c r="AI96" i="1"/>
  <c r="AJ96" i="1" s="1"/>
  <c r="AG96" i="1"/>
  <c r="T96" i="24" s="1"/>
  <c r="AF96" i="1"/>
  <c r="AD96" i="1"/>
  <c r="V96" i="24" s="1"/>
  <c r="AI95" i="1"/>
  <c r="AJ95" i="1" s="1"/>
  <c r="AG95" i="1"/>
  <c r="T95" i="24" s="1"/>
  <c r="AF95" i="1"/>
  <c r="AD95" i="1"/>
  <c r="V95" i="24" s="1"/>
  <c r="AI94" i="1"/>
  <c r="AJ94" i="1" s="1"/>
  <c r="AG94" i="1"/>
  <c r="T94" i="24" s="1"/>
  <c r="AF94" i="1"/>
  <c r="AD94" i="1"/>
  <c r="V94" i="24" s="1"/>
  <c r="AI160" i="1"/>
  <c r="AJ160" i="1" s="1"/>
  <c r="AG160" i="1"/>
  <c r="T160" i="24" s="1"/>
  <c r="AF160" i="1"/>
  <c r="AD160" i="1"/>
  <c r="V160" i="24" s="1"/>
  <c r="AI93" i="1"/>
  <c r="AJ93" i="1" s="1"/>
  <c r="AG93" i="1"/>
  <c r="AF93" i="1"/>
  <c r="AD93" i="1"/>
  <c r="AI92" i="1"/>
  <c r="AJ92" i="1" s="1"/>
  <c r="AG92" i="1"/>
  <c r="T92" i="24" s="1"/>
  <c r="AF92" i="1"/>
  <c r="AD92" i="1"/>
  <c r="V92" i="24" s="1"/>
  <c r="AI91" i="1"/>
  <c r="AJ91" i="1" s="1"/>
  <c r="AG91" i="1"/>
  <c r="T91" i="24" s="1"/>
  <c r="AF91" i="1"/>
  <c r="AD91" i="1"/>
  <c r="V91" i="24" s="1"/>
  <c r="AI90" i="1"/>
  <c r="AJ90" i="1" s="1"/>
  <c r="AG90" i="1"/>
  <c r="T90" i="24" s="1"/>
  <c r="AF90" i="1"/>
  <c r="AD90" i="1"/>
  <c r="V90" i="24" s="1"/>
  <c r="AI89" i="1"/>
  <c r="AJ89" i="1" s="1"/>
  <c r="AG89" i="1"/>
  <c r="T89" i="24" s="1"/>
  <c r="AF89" i="1"/>
  <c r="AD89" i="1"/>
  <c r="V89" i="24" s="1"/>
  <c r="AI88" i="1"/>
  <c r="AJ88" i="1" s="1"/>
  <c r="AG88" i="1"/>
  <c r="T88" i="24" s="1"/>
  <c r="AF88" i="1"/>
  <c r="AD88" i="1"/>
  <c r="V88" i="24" s="1"/>
  <c r="AI87" i="1"/>
  <c r="AJ87" i="1" s="1"/>
  <c r="AG87" i="1"/>
  <c r="T87" i="24" s="1"/>
  <c r="AF87" i="1"/>
  <c r="AD87" i="1"/>
  <c r="AI86" i="1"/>
  <c r="AJ86" i="1" s="1"/>
  <c r="AG86" i="1"/>
  <c r="T86" i="24" s="1"/>
  <c r="AF86" i="1"/>
  <c r="AD86" i="1"/>
  <c r="V86" i="24" s="1"/>
  <c r="AI159" i="1"/>
  <c r="AJ159" i="1" s="1"/>
  <c r="AG159" i="1"/>
  <c r="T159" i="24" s="1"/>
  <c r="AF159" i="1"/>
  <c r="AD159" i="1"/>
  <c r="V159" i="24" s="1"/>
  <c r="AI158" i="1"/>
  <c r="AJ158" i="1" s="1"/>
  <c r="AG158" i="1"/>
  <c r="T158" i="24" s="1"/>
  <c r="AF158" i="1"/>
  <c r="AD158" i="1"/>
  <c r="V158" i="24" s="1"/>
  <c r="AI155" i="1"/>
  <c r="AJ155" i="1" s="1"/>
  <c r="AG155" i="1"/>
  <c r="T155" i="24" s="1"/>
  <c r="AF155" i="1"/>
  <c r="AD155" i="1"/>
  <c r="V155" i="24" s="1"/>
  <c r="AI157" i="1"/>
  <c r="AJ157" i="1" s="1"/>
  <c r="AG157" i="1"/>
  <c r="T157" i="24" s="1"/>
  <c r="AF157" i="1"/>
  <c r="AD157" i="1"/>
  <c r="V157" i="24" s="1"/>
  <c r="AI156" i="1"/>
  <c r="AJ156" i="1" s="1"/>
  <c r="AG156" i="1"/>
  <c r="T156" i="24" s="1"/>
  <c r="AF156" i="1"/>
  <c r="AD156" i="1"/>
  <c r="V156" i="24" s="1"/>
  <c r="AI85" i="1"/>
  <c r="AJ85" i="1" s="1"/>
  <c r="AG85" i="1"/>
  <c r="T85" i="24" s="1"/>
  <c r="AF85" i="1"/>
  <c r="AD85" i="1"/>
  <c r="V85" i="24" s="1"/>
  <c r="AI84" i="1"/>
  <c r="AJ84" i="1" s="1"/>
  <c r="AG84" i="1"/>
  <c r="T84" i="24" s="1"/>
  <c r="AF84" i="1"/>
  <c r="AD84" i="1"/>
  <c r="V84" i="24" s="1"/>
  <c r="AI83" i="1"/>
  <c r="AJ83" i="1" s="1"/>
  <c r="AG83" i="1"/>
  <c r="T83" i="24" s="1"/>
  <c r="AF83" i="1"/>
  <c r="AD83" i="1"/>
  <c r="V83" i="24" s="1"/>
  <c r="AI82" i="1"/>
  <c r="AJ82" i="1" s="1"/>
  <c r="AG82" i="1"/>
  <c r="T82" i="24" s="1"/>
  <c r="AF82" i="1"/>
  <c r="AD82" i="1"/>
  <c r="V82" i="24" s="1"/>
  <c r="AI81" i="1"/>
  <c r="AJ81" i="1" s="1"/>
  <c r="AG81" i="1"/>
  <c r="T81" i="24" s="1"/>
  <c r="AF81" i="1"/>
  <c r="AD81" i="1"/>
  <c r="V81" i="24" s="1"/>
  <c r="AI80" i="1"/>
  <c r="AJ80" i="1" s="1"/>
  <c r="AG80" i="1"/>
  <c r="T80" i="24" s="1"/>
  <c r="AF80" i="1"/>
  <c r="AD80" i="1"/>
  <c r="V80" i="24" s="1"/>
  <c r="AI79" i="1"/>
  <c r="AJ79" i="1" s="1"/>
  <c r="AG79" i="1"/>
  <c r="T79" i="24" s="1"/>
  <c r="AF79" i="1"/>
  <c r="AD79" i="1"/>
  <c r="V79" i="24" s="1"/>
  <c r="AI78" i="1"/>
  <c r="AG78" i="1"/>
  <c r="T78" i="24" s="1"/>
  <c r="AF78" i="1"/>
  <c r="AD78" i="1"/>
  <c r="V78" i="24" s="1"/>
  <c r="AI77" i="1"/>
  <c r="AJ77" i="1" s="1"/>
  <c r="AG77" i="1"/>
  <c r="T77" i="24" s="1"/>
  <c r="AF77" i="1"/>
  <c r="AD77" i="1"/>
  <c r="V77" i="24" s="1"/>
  <c r="AI76" i="1"/>
  <c r="AJ76" i="1" s="1"/>
  <c r="AG76" i="1"/>
  <c r="T76" i="24" s="1"/>
  <c r="AF76" i="1"/>
  <c r="AD76" i="1"/>
  <c r="V76" i="24" s="1"/>
  <c r="AI75" i="1"/>
  <c r="AJ75" i="1" s="1"/>
  <c r="AG75" i="1"/>
  <c r="T75" i="24" s="1"/>
  <c r="AF75" i="1"/>
  <c r="AD75" i="1"/>
  <c r="V75" i="24" s="1"/>
  <c r="AI74" i="1"/>
  <c r="AJ74" i="1" s="1"/>
  <c r="AG74" i="1"/>
  <c r="T74" i="24" s="1"/>
  <c r="AF74" i="1"/>
  <c r="AD74" i="1"/>
  <c r="V74" i="24" s="1"/>
  <c r="AI73" i="1"/>
  <c r="AJ73" i="1" s="1"/>
  <c r="AG73" i="1"/>
  <c r="T73" i="24" s="1"/>
  <c r="AF73" i="1"/>
  <c r="AD73" i="1"/>
  <c r="V73" i="24" s="1"/>
  <c r="AI72" i="1"/>
  <c r="AJ72" i="1" s="1"/>
  <c r="AG72" i="1"/>
  <c r="T72" i="24" s="1"/>
  <c r="AF72" i="1"/>
  <c r="AD72" i="1"/>
  <c r="V72" i="24" s="1"/>
  <c r="AI70" i="1"/>
  <c r="AJ70" i="1" s="1"/>
  <c r="AG70" i="1"/>
  <c r="T70" i="24" s="1"/>
  <c r="AF70" i="1"/>
  <c r="AD70" i="1"/>
  <c r="V70" i="24" s="1"/>
  <c r="AI71" i="1"/>
  <c r="AG71" i="1"/>
  <c r="T71" i="24" s="1"/>
  <c r="AF71" i="1"/>
  <c r="AD71" i="1"/>
  <c r="V71" i="24" s="1"/>
  <c r="AI69" i="1"/>
  <c r="AJ69" i="1" s="1"/>
  <c r="AG69" i="1"/>
  <c r="T69" i="24" s="1"/>
  <c r="AF69" i="1"/>
  <c r="AD69" i="1"/>
  <c r="V69" i="24" s="1"/>
  <c r="AI68" i="1"/>
  <c r="AJ68" i="1" s="1"/>
  <c r="AG68" i="1"/>
  <c r="T68" i="24" s="1"/>
  <c r="AF68" i="1"/>
  <c r="AD68" i="1"/>
  <c r="V68" i="24" s="1"/>
  <c r="AI67" i="1"/>
  <c r="AJ67" i="1" s="1"/>
  <c r="AG67" i="1"/>
  <c r="T67" i="24" s="1"/>
  <c r="AF67" i="1"/>
  <c r="AD67" i="1"/>
  <c r="V67" i="24" s="1"/>
  <c r="AI144" i="1"/>
  <c r="AJ144" i="1" s="1"/>
  <c r="AG144" i="1"/>
  <c r="T144" i="24" s="1"/>
  <c r="AF144" i="1"/>
  <c r="AD144" i="1"/>
  <c r="V144" i="24" s="1"/>
  <c r="AI154" i="1"/>
  <c r="AJ154" i="1" s="1"/>
  <c r="AG154" i="1"/>
  <c r="T154" i="24" s="1"/>
  <c r="AF154" i="1"/>
  <c r="AD154" i="1"/>
  <c r="V154" i="24" s="1"/>
  <c r="AI66" i="1"/>
  <c r="AJ66" i="1" s="1"/>
  <c r="AG66" i="1"/>
  <c r="T66" i="24" s="1"/>
  <c r="AF66" i="1"/>
  <c r="AD66" i="1"/>
  <c r="V66" i="24" s="1"/>
  <c r="AI65" i="1"/>
  <c r="AJ65" i="1" s="1"/>
  <c r="AG65" i="1"/>
  <c r="T65" i="24" s="1"/>
  <c r="AF65" i="1"/>
  <c r="AD65" i="1"/>
  <c r="V65" i="24" s="1"/>
  <c r="AI153" i="1"/>
  <c r="AG153" i="1"/>
  <c r="T153" i="24" s="1"/>
  <c r="AF153" i="1"/>
  <c r="AD153" i="1"/>
  <c r="V153" i="24" s="1"/>
  <c r="AI64" i="1"/>
  <c r="AJ64" i="1" s="1"/>
  <c r="AG64" i="1"/>
  <c r="T64" i="24" s="1"/>
  <c r="AF64" i="1"/>
  <c r="AD64" i="1"/>
  <c r="V64" i="24" s="1"/>
  <c r="AI63" i="1"/>
  <c r="AJ63" i="1" s="1"/>
  <c r="AG63" i="1"/>
  <c r="T63" i="24" s="1"/>
  <c r="AF63" i="1"/>
  <c r="AD63" i="1"/>
  <c r="V63" i="24" s="1"/>
  <c r="AI62" i="1"/>
  <c r="AJ62" i="1" s="1"/>
  <c r="AG62" i="1"/>
  <c r="T62" i="24" s="1"/>
  <c r="AF62" i="1"/>
  <c r="AD62" i="1"/>
  <c r="V62" i="24" s="1"/>
  <c r="AI61" i="1"/>
  <c r="AJ61" i="1" s="1"/>
  <c r="AG61" i="1"/>
  <c r="T61" i="24" s="1"/>
  <c r="AF61" i="1"/>
  <c r="AD61" i="1"/>
  <c r="V61" i="24" s="1"/>
  <c r="AI60" i="1"/>
  <c r="AJ60" i="1" s="1"/>
  <c r="AG60" i="1"/>
  <c r="T60" i="24" s="1"/>
  <c r="AF60" i="1"/>
  <c r="AD60" i="1"/>
  <c r="V60" i="24" s="1"/>
  <c r="AI59" i="1"/>
  <c r="AJ59" i="1" s="1"/>
  <c r="AG59" i="1"/>
  <c r="T59" i="24" s="1"/>
  <c r="AF59" i="1"/>
  <c r="AD59" i="1"/>
  <c r="V59" i="24" s="1"/>
  <c r="AI58" i="1"/>
  <c r="AJ58" i="1" s="1"/>
  <c r="AG58" i="1"/>
  <c r="T58" i="24" s="1"/>
  <c r="AF58" i="1"/>
  <c r="AD58" i="1"/>
  <c r="V58" i="24" s="1"/>
  <c r="AI152" i="1"/>
  <c r="AG152" i="1"/>
  <c r="T152" i="24" s="1"/>
  <c r="AF152" i="1"/>
  <c r="AD152" i="1"/>
  <c r="V152" i="24" s="1"/>
  <c r="AI57" i="1"/>
  <c r="AJ57" i="1" s="1"/>
  <c r="AG57" i="1"/>
  <c r="T57" i="24" s="1"/>
  <c r="AF57" i="1"/>
  <c r="AD57" i="1"/>
  <c r="V57" i="24" s="1"/>
  <c r="AI56" i="1"/>
  <c r="AJ56" i="1" s="1"/>
  <c r="AG56" i="1"/>
  <c r="T56" i="24" s="1"/>
  <c r="AF56" i="1"/>
  <c r="AD56" i="1"/>
  <c r="V56" i="24" s="1"/>
  <c r="AI55" i="1"/>
  <c r="AJ55" i="1" s="1"/>
  <c r="AG55" i="1"/>
  <c r="T55" i="24" s="1"/>
  <c r="AF55" i="1"/>
  <c r="AD55" i="1"/>
  <c r="V55" i="24" s="1"/>
  <c r="AI54" i="1"/>
  <c r="AJ54" i="1" s="1"/>
  <c r="AG54" i="1"/>
  <c r="T54" i="24" s="1"/>
  <c r="AF54" i="1"/>
  <c r="AD54" i="1"/>
  <c r="V54" i="24" s="1"/>
  <c r="AI53" i="1"/>
  <c r="AJ53" i="1" s="1"/>
  <c r="AG53" i="1"/>
  <c r="T53" i="24" s="1"/>
  <c r="AF53" i="1"/>
  <c r="AD53" i="1"/>
  <c r="V53" i="24" s="1"/>
  <c r="AI151" i="1"/>
  <c r="AJ151" i="1" s="1"/>
  <c r="AG151" i="1"/>
  <c r="T151" i="24" s="1"/>
  <c r="AF151" i="1"/>
  <c r="AD151" i="1"/>
  <c r="V151" i="24" s="1"/>
  <c r="AI52" i="1"/>
  <c r="AJ52" i="1" s="1"/>
  <c r="AG52" i="1"/>
  <c r="T52" i="24" s="1"/>
  <c r="AF52" i="1"/>
  <c r="AD52" i="1"/>
  <c r="V52" i="24" s="1"/>
  <c r="AI51" i="1"/>
  <c r="AG51" i="1"/>
  <c r="T51" i="24" s="1"/>
  <c r="AF51" i="1"/>
  <c r="AD51" i="1"/>
  <c r="V51" i="24" s="1"/>
  <c r="AI50" i="1"/>
  <c r="AJ50" i="1" s="1"/>
  <c r="AG50" i="1"/>
  <c r="T50" i="24" s="1"/>
  <c r="AF50" i="1"/>
  <c r="AD50" i="1"/>
  <c r="V50" i="24" s="1"/>
  <c r="AI49" i="1"/>
  <c r="AJ49" i="1" s="1"/>
  <c r="AG49" i="1"/>
  <c r="T49" i="24" s="1"/>
  <c r="AF49" i="1"/>
  <c r="AD49" i="1"/>
  <c r="V49" i="24" s="1"/>
  <c r="AI48" i="1"/>
  <c r="AJ48" i="1" s="1"/>
  <c r="AG48" i="1"/>
  <c r="T48" i="24" s="1"/>
  <c r="AF48" i="1"/>
  <c r="AD48" i="1"/>
  <c r="V48" i="24" s="1"/>
  <c r="AI47" i="1"/>
  <c r="AJ47" i="1" s="1"/>
  <c r="AG47" i="1"/>
  <c r="T47" i="24" s="1"/>
  <c r="AF47" i="1"/>
  <c r="AD47" i="1"/>
  <c r="V47" i="24" s="1"/>
  <c r="AI46" i="1"/>
  <c r="AJ46" i="1" s="1"/>
  <c r="AG46" i="1"/>
  <c r="T46" i="24" s="1"/>
  <c r="AF46" i="1"/>
  <c r="AD46" i="1"/>
  <c r="V46" i="24" s="1"/>
  <c r="AI150" i="1"/>
  <c r="AJ150" i="1" s="1"/>
  <c r="AG150" i="1"/>
  <c r="T150" i="24" s="1"/>
  <c r="AF150" i="1"/>
  <c r="AD150" i="1"/>
  <c r="V150" i="24" s="1"/>
  <c r="AI45" i="1"/>
  <c r="AJ45" i="1" s="1"/>
  <c r="AG45" i="1"/>
  <c r="T45" i="24" s="1"/>
  <c r="AF45" i="1"/>
  <c r="AD45" i="1"/>
  <c r="V45" i="24" s="1"/>
  <c r="AI44" i="1"/>
  <c r="AG44" i="1"/>
  <c r="T44" i="24" s="1"/>
  <c r="AF44" i="1"/>
  <c r="AD44" i="1"/>
  <c r="V44" i="24" s="1"/>
  <c r="AI43" i="1"/>
  <c r="AJ43" i="1" s="1"/>
  <c r="AG43" i="1"/>
  <c r="T43" i="24" s="1"/>
  <c r="AF43" i="1"/>
  <c r="AD43" i="1"/>
  <c r="V43" i="24" s="1"/>
  <c r="AI42" i="1"/>
  <c r="AJ42" i="1" s="1"/>
  <c r="AG42" i="1"/>
  <c r="T42" i="24" s="1"/>
  <c r="AF42" i="1"/>
  <c r="AD42" i="1"/>
  <c r="V42" i="24" s="1"/>
  <c r="AI41" i="1"/>
  <c r="AJ41" i="1" s="1"/>
  <c r="AG41" i="1"/>
  <c r="T41" i="24" s="1"/>
  <c r="AF41" i="1"/>
  <c r="AD41" i="1"/>
  <c r="V41" i="24" s="1"/>
  <c r="AI40" i="1"/>
  <c r="AJ40" i="1" s="1"/>
  <c r="AG40" i="1"/>
  <c r="T40" i="24" s="1"/>
  <c r="AF40" i="1"/>
  <c r="AD40" i="1"/>
  <c r="V40" i="24" s="1"/>
  <c r="AI39" i="1"/>
  <c r="AJ39" i="1" s="1"/>
  <c r="AG39" i="1"/>
  <c r="T39" i="24" s="1"/>
  <c r="AF39" i="1"/>
  <c r="AD39" i="1"/>
  <c r="V39" i="24" s="1"/>
  <c r="AI38" i="1"/>
  <c r="AJ38" i="1" s="1"/>
  <c r="AG38" i="1"/>
  <c r="T38" i="24" s="1"/>
  <c r="AF38" i="1"/>
  <c r="AD38" i="1"/>
  <c r="V38" i="24" s="1"/>
  <c r="AI37" i="1"/>
  <c r="AJ37" i="1" s="1"/>
  <c r="AG37" i="1"/>
  <c r="T37" i="24" s="1"/>
  <c r="AF37" i="1"/>
  <c r="AD37" i="1"/>
  <c r="V37" i="24" s="1"/>
  <c r="AI36" i="1"/>
  <c r="AG36" i="1"/>
  <c r="T36" i="24" s="1"/>
  <c r="AF36" i="1"/>
  <c r="AD36" i="1"/>
  <c r="V36" i="24" s="1"/>
  <c r="AI35" i="1"/>
  <c r="AJ35" i="1" s="1"/>
  <c r="AG35" i="1"/>
  <c r="T35" i="24" s="1"/>
  <c r="AF35" i="1"/>
  <c r="AD35" i="1"/>
  <c r="V35" i="24" s="1"/>
  <c r="AI34" i="1"/>
  <c r="AJ34" i="1" s="1"/>
  <c r="AG34" i="1"/>
  <c r="T34" i="24" s="1"/>
  <c r="AF34" i="1"/>
  <c r="AD34" i="1"/>
  <c r="V34" i="24" s="1"/>
  <c r="AI33" i="1"/>
  <c r="AJ33" i="1" s="1"/>
  <c r="AG33" i="1"/>
  <c r="T33" i="24" s="1"/>
  <c r="AF33" i="1"/>
  <c r="AD33" i="1"/>
  <c r="V33" i="24" s="1"/>
  <c r="AI32" i="1"/>
  <c r="AJ32" i="1" s="1"/>
  <c r="AG32" i="1"/>
  <c r="T32" i="24" s="1"/>
  <c r="AF32" i="1"/>
  <c r="AD32" i="1"/>
  <c r="V32" i="24" s="1"/>
  <c r="AI149" i="1"/>
  <c r="AJ149" i="1" s="1"/>
  <c r="AG149" i="1"/>
  <c r="T149" i="24" s="1"/>
  <c r="AF149" i="1"/>
  <c r="AD149" i="1"/>
  <c r="V149" i="24" s="1"/>
  <c r="AI31" i="1"/>
  <c r="AJ31" i="1" s="1"/>
  <c r="AG31" i="1"/>
  <c r="T31" i="24" s="1"/>
  <c r="AF31" i="1"/>
  <c r="AD31" i="1"/>
  <c r="V31" i="24" s="1"/>
  <c r="AI30" i="1"/>
  <c r="AJ30" i="1" s="1"/>
  <c r="AG30" i="1"/>
  <c r="T30" i="24" s="1"/>
  <c r="AF30" i="1"/>
  <c r="AD30" i="1"/>
  <c r="V30" i="24" s="1"/>
  <c r="AI29" i="1"/>
  <c r="AG29" i="1"/>
  <c r="T29" i="24" s="1"/>
  <c r="AF29" i="1"/>
  <c r="AD29" i="1"/>
  <c r="V29" i="24" s="1"/>
  <c r="AI28" i="1"/>
  <c r="AJ28" i="1" s="1"/>
  <c r="AG28" i="1"/>
  <c r="T28" i="24" s="1"/>
  <c r="AF28" i="1"/>
  <c r="AD28" i="1"/>
  <c r="V28" i="24" s="1"/>
  <c r="AI27" i="1"/>
  <c r="AG27" i="1"/>
  <c r="T27" i="24" s="1"/>
  <c r="AF27" i="1"/>
  <c r="AD27" i="1"/>
  <c r="V27" i="24" s="1"/>
  <c r="AI26" i="1"/>
  <c r="AJ26" i="1" s="1"/>
  <c r="AG26" i="1"/>
  <c r="T26" i="24" s="1"/>
  <c r="AF26" i="1"/>
  <c r="AD26" i="1"/>
  <c r="V26" i="24" s="1"/>
  <c r="AI25" i="1"/>
  <c r="AJ25" i="1" s="1"/>
  <c r="AG25" i="1"/>
  <c r="T25" i="24" s="1"/>
  <c r="AF25" i="1"/>
  <c r="AD25" i="1"/>
  <c r="V25" i="24" s="1"/>
  <c r="AI24" i="1"/>
  <c r="AJ24" i="1" s="1"/>
  <c r="AG24" i="1"/>
  <c r="T24" i="24" s="1"/>
  <c r="AF24" i="1"/>
  <c r="AD24" i="1"/>
  <c r="V24" i="24" s="1"/>
  <c r="AI23" i="1"/>
  <c r="AJ23" i="1" s="1"/>
  <c r="AG23" i="1"/>
  <c r="T23" i="24" s="1"/>
  <c r="AF23" i="1"/>
  <c r="AD23" i="1"/>
  <c r="V23" i="24" s="1"/>
  <c r="AI148" i="1"/>
  <c r="AJ148" i="1" s="1"/>
  <c r="AG148" i="1"/>
  <c r="T148" i="24" s="1"/>
  <c r="AF148" i="1"/>
  <c r="AD148" i="1"/>
  <c r="V148" i="24" s="1"/>
  <c r="AI22" i="1"/>
  <c r="AG22" i="1"/>
  <c r="T22" i="24" s="1"/>
  <c r="AF22" i="1"/>
  <c r="AD22" i="1"/>
  <c r="V22" i="24" s="1"/>
  <c r="AI21" i="1"/>
  <c r="AJ21" i="1" s="1"/>
  <c r="AG21" i="1"/>
  <c r="T21" i="24" s="1"/>
  <c r="AF21" i="1"/>
  <c r="AD21" i="1"/>
  <c r="V21" i="24" s="1"/>
  <c r="AI20" i="1"/>
  <c r="AG20" i="1"/>
  <c r="T20" i="24" s="1"/>
  <c r="AF20" i="1"/>
  <c r="AD20" i="1"/>
  <c r="V20" i="24" s="1"/>
  <c r="AI19" i="1"/>
  <c r="AJ19" i="1" s="1"/>
  <c r="AG19" i="1"/>
  <c r="T19" i="24" s="1"/>
  <c r="AF19" i="1"/>
  <c r="AD19" i="1"/>
  <c r="V19" i="24" s="1"/>
  <c r="AI18" i="1"/>
  <c r="AJ18" i="1" s="1"/>
  <c r="AG18" i="1"/>
  <c r="T18" i="24" s="1"/>
  <c r="AF18" i="1"/>
  <c r="AD18" i="1"/>
  <c r="V18" i="24" s="1"/>
  <c r="AI17" i="1"/>
  <c r="AJ17" i="1" s="1"/>
  <c r="AG17" i="1"/>
  <c r="T17" i="24" s="1"/>
  <c r="AF17" i="1"/>
  <c r="AD17" i="1"/>
  <c r="V17" i="24" s="1"/>
  <c r="AI16" i="1"/>
  <c r="AJ16" i="1" s="1"/>
  <c r="AG16" i="1"/>
  <c r="T16" i="24" s="1"/>
  <c r="AF16" i="1"/>
  <c r="AD16" i="1"/>
  <c r="V16" i="24" s="1"/>
  <c r="AI15" i="1"/>
  <c r="AJ15" i="1" s="1"/>
  <c r="AG15" i="1"/>
  <c r="T15" i="24" s="1"/>
  <c r="AF15" i="1"/>
  <c r="AD15" i="1"/>
  <c r="V15" i="24" s="1"/>
  <c r="AI14" i="1"/>
  <c r="AG14" i="1"/>
  <c r="T14" i="24" s="1"/>
  <c r="AF14" i="1"/>
  <c r="AD14" i="1"/>
  <c r="V14" i="24" s="1"/>
  <c r="AI13" i="1"/>
  <c r="AJ13" i="1" s="1"/>
  <c r="AG13" i="1"/>
  <c r="T13" i="24" s="1"/>
  <c r="AF13" i="1"/>
  <c r="AD13" i="1"/>
  <c r="V13" i="24" s="1"/>
  <c r="AI12" i="1"/>
  <c r="AG12" i="1"/>
  <c r="T12" i="24" s="1"/>
  <c r="AF12" i="1"/>
  <c r="AD12" i="1"/>
  <c r="V12" i="24" s="1"/>
  <c r="AI11" i="1"/>
  <c r="AJ11" i="1" s="1"/>
  <c r="AG11" i="1"/>
  <c r="T11" i="24" s="1"/>
  <c r="AF11" i="1"/>
  <c r="AD11" i="1"/>
  <c r="V11" i="24" s="1"/>
  <c r="AI10" i="1"/>
  <c r="AJ10" i="1" s="1"/>
  <c r="AG10" i="1"/>
  <c r="T10" i="24" s="1"/>
  <c r="AF10" i="1"/>
  <c r="AD10" i="1"/>
  <c r="V10" i="24" s="1"/>
  <c r="AI9" i="1"/>
  <c r="AJ9" i="1" s="1"/>
  <c r="AG9" i="1"/>
  <c r="T9" i="24" s="1"/>
  <c r="AF9" i="1"/>
  <c r="AD9" i="1"/>
  <c r="V9" i="24" s="1"/>
  <c r="AI147" i="1"/>
  <c r="AJ147" i="1" s="1"/>
  <c r="AG147" i="1"/>
  <c r="T147" i="24" s="1"/>
  <c r="AF147" i="1"/>
  <c r="AD147" i="1"/>
  <c r="V147" i="24" s="1"/>
  <c r="AI8" i="1"/>
  <c r="AJ8" i="1" s="1"/>
  <c r="I8" i="4" s="1"/>
  <c r="AG8" i="1"/>
  <c r="AF8" i="1"/>
  <c r="AD8" i="1"/>
  <c r="AI7" i="1"/>
  <c r="AG7" i="1"/>
  <c r="AF7" i="1"/>
  <c r="AD7" i="1"/>
  <c r="AI6" i="1"/>
  <c r="AJ6" i="1" s="1"/>
  <c r="I6" i="4" s="1"/>
  <c r="AG6" i="1"/>
  <c r="AF6" i="1"/>
  <c r="AD6" i="1"/>
  <c r="I203" i="4"/>
  <c r="X203" i="4"/>
  <c r="T203" i="5"/>
  <c r="BG203" i="4"/>
  <c r="AD5" i="1"/>
  <c r="AI5" i="1"/>
  <c r="AJ5" i="1" s="1"/>
  <c r="I5" i="4" s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P59" i="11" l="1"/>
  <c r="Z59" i="11"/>
  <c r="L59" i="11"/>
  <c r="AP59" i="11"/>
  <c r="BB59" i="19"/>
  <c r="Q59" i="11" s="1"/>
  <c r="P356" i="11"/>
  <c r="Z356" i="11"/>
  <c r="L356" i="11"/>
  <c r="AP356" i="11"/>
  <c r="BB356" i="19"/>
  <c r="Q356" i="11" s="1"/>
  <c r="P60" i="11"/>
  <c r="Z60" i="11"/>
  <c r="L60" i="11"/>
  <c r="AP60" i="11"/>
  <c r="BB60" i="19"/>
  <c r="Q60" i="11" s="1"/>
  <c r="P61" i="11"/>
  <c r="L61" i="11"/>
  <c r="Z61" i="11"/>
  <c r="BB61" i="19"/>
  <c r="Q61" i="11" s="1"/>
  <c r="AP61" i="11"/>
  <c r="P62" i="11"/>
  <c r="Z62" i="11"/>
  <c r="L62" i="11"/>
  <c r="AP62" i="11"/>
  <c r="BB62" i="19"/>
  <c r="Q62" i="11" s="1"/>
  <c r="Z63" i="11"/>
  <c r="P63" i="11"/>
  <c r="BB63" i="19"/>
  <c r="Q63" i="11" s="1"/>
  <c r="L63" i="11"/>
  <c r="AP63" i="11"/>
  <c r="Z64" i="11"/>
  <c r="P64" i="11"/>
  <c r="BB64" i="19"/>
  <c r="Q64" i="11" s="1"/>
  <c r="AP64" i="11"/>
  <c r="L64" i="11"/>
  <c r="Z65" i="11"/>
  <c r="P65" i="11"/>
  <c r="AP65" i="11"/>
  <c r="BB65" i="19"/>
  <c r="Q65" i="11" s="1"/>
  <c r="L65" i="11"/>
  <c r="P66" i="11"/>
  <c r="Z66" i="11"/>
  <c r="L66" i="11"/>
  <c r="AP66" i="11"/>
  <c r="BB66" i="19"/>
  <c r="Q66" i="11" s="1"/>
  <c r="P67" i="11"/>
  <c r="Z67" i="11"/>
  <c r="L67" i="11"/>
  <c r="AP67" i="11"/>
  <c r="BB67" i="19"/>
  <c r="Q67" i="11" s="1"/>
  <c r="P68" i="11"/>
  <c r="Z68" i="11"/>
  <c r="L68" i="11"/>
  <c r="AP68" i="11"/>
  <c r="BB68" i="19"/>
  <c r="Q68" i="11" s="1"/>
  <c r="P69" i="11"/>
  <c r="Z69" i="11"/>
  <c r="L69" i="11"/>
  <c r="AP69" i="11"/>
  <c r="BB69" i="19"/>
  <c r="Q69" i="11" s="1"/>
  <c r="P70" i="11"/>
  <c r="L70" i="11"/>
  <c r="Z70" i="11"/>
  <c r="AP70" i="11"/>
  <c r="BB70" i="19"/>
  <c r="Q70" i="11" s="1"/>
  <c r="P71" i="11"/>
  <c r="BB71" i="19"/>
  <c r="Q71" i="11" s="1"/>
  <c r="L71" i="11"/>
  <c r="Z71" i="11"/>
  <c r="AP71" i="11"/>
  <c r="P72" i="11"/>
  <c r="BB72" i="19"/>
  <c r="Q72" i="11" s="1"/>
  <c r="L72" i="11"/>
  <c r="AP72" i="11"/>
  <c r="Z72" i="11"/>
  <c r="P73" i="11"/>
  <c r="Z73" i="11"/>
  <c r="AP73" i="11"/>
  <c r="BB73" i="19"/>
  <c r="Q73" i="11" s="1"/>
  <c r="L73" i="11"/>
  <c r="P74" i="11"/>
  <c r="Z74" i="11"/>
  <c r="L74" i="11"/>
  <c r="AP74" i="11"/>
  <c r="BB74" i="19"/>
  <c r="Q74" i="11" s="1"/>
  <c r="P75" i="11"/>
  <c r="Z75" i="11"/>
  <c r="L75" i="11"/>
  <c r="AP75" i="11"/>
  <c r="BB75" i="19"/>
  <c r="Q75" i="11" s="1"/>
  <c r="P76" i="11"/>
  <c r="Z76" i="11"/>
  <c r="L76" i="11"/>
  <c r="AP76" i="11"/>
  <c r="BB76" i="19"/>
  <c r="Q76" i="11" s="1"/>
  <c r="P77" i="11"/>
  <c r="Z77" i="11"/>
  <c r="BB77" i="19"/>
  <c r="Q77" i="11" s="1"/>
  <c r="L77" i="11"/>
  <c r="AP77" i="11"/>
  <c r="Z78" i="11"/>
  <c r="P78" i="11"/>
  <c r="BB78" i="19"/>
  <c r="Q78" i="11" s="1"/>
  <c r="L78" i="11"/>
  <c r="AP78" i="11"/>
  <c r="Z79" i="11"/>
  <c r="BB79" i="19"/>
  <c r="Q79" i="11" s="1"/>
  <c r="P79" i="11"/>
  <c r="L79" i="11"/>
  <c r="AP79" i="11"/>
  <c r="BB80" i="19"/>
  <c r="Q80" i="11" s="1"/>
  <c r="L80" i="11"/>
  <c r="AP80" i="11"/>
  <c r="Z80" i="11"/>
  <c r="P80" i="11"/>
  <c r="P81" i="11"/>
  <c r="L81" i="11"/>
  <c r="AP81" i="11"/>
  <c r="BB81" i="19"/>
  <c r="Q81" i="11" s="1"/>
  <c r="Z81" i="11"/>
  <c r="P82" i="11"/>
  <c r="Z82" i="11"/>
  <c r="L82" i="11"/>
  <c r="AP82" i="11"/>
  <c r="BB82" i="19"/>
  <c r="Q82" i="11" s="1"/>
  <c r="P83" i="11"/>
  <c r="Z83" i="11"/>
  <c r="L83" i="11"/>
  <c r="AP83" i="11"/>
  <c r="BB83" i="19"/>
  <c r="Q83" i="11" s="1"/>
  <c r="P84" i="11"/>
  <c r="Z84" i="11"/>
  <c r="L84" i="11"/>
  <c r="AP84" i="11"/>
  <c r="BB84" i="19"/>
  <c r="Q84" i="11" s="1"/>
  <c r="P85" i="11"/>
  <c r="L85" i="11"/>
  <c r="AP85" i="11"/>
  <c r="Z85" i="11"/>
  <c r="BB85" i="19"/>
  <c r="Q85" i="11" s="1"/>
  <c r="P86" i="11"/>
  <c r="L86" i="11"/>
  <c r="Z86" i="11"/>
  <c r="AP86" i="11"/>
  <c r="BB86" i="19"/>
  <c r="Q86" i="11" s="1"/>
  <c r="P87" i="11"/>
  <c r="Z87" i="11"/>
  <c r="BB87" i="19"/>
  <c r="Q87" i="11" s="1"/>
  <c r="L87" i="11"/>
  <c r="AP87" i="11"/>
  <c r="P88" i="11"/>
  <c r="Z88" i="11"/>
  <c r="BB88" i="19"/>
  <c r="Q88" i="11" s="1"/>
  <c r="AP88" i="11"/>
  <c r="L88" i="11"/>
  <c r="P89" i="11"/>
  <c r="Z89" i="11"/>
  <c r="AP89" i="11"/>
  <c r="L89" i="11"/>
  <c r="BB89" i="19"/>
  <c r="Q89" i="11" s="1"/>
  <c r="P90" i="11"/>
  <c r="Z90" i="11"/>
  <c r="L90" i="11"/>
  <c r="AP90" i="11"/>
  <c r="BB90" i="19"/>
  <c r="Q90" i="11" s="1"/>
  <c r="P91" i="11"/>
  <c r="Z91" i="11"/>
  <c r="L91" i="11"/>
  <c r="AP91" i="11"/>
  <c r="BB91" i="19"/>
  <c r="Q91" i="11" s="1"/>
  <c r="P92" i="11"/>
  <c r="Z92" i="11"/>
  <c r="L92" i="11"/>
  <c r="BB92" i="19"/>
  <c r="Q92" i="11" s="1"/>
  <c r="AP92" i="11"/>
  <c r="P93" i="11"/>
  <c r="Z93" i="11"/>
  <c r="BB93" i="19"/>
  <c r="Q93" i="11" s="1"/>
  <c r="L93" i="11"/>
  <c r="AP93" i="11"/>
  <c r="P94" i="11"/>
  <c r="Z94" i="11"/>
  <c r="L94" i="11"/>
  <c r="AP94" i="11"/>
  <c r="BB94" i="19"/>
  <c r="Q94" i="11" s="1"/>
  <c r="P95" i="11"/>
  <c r="L95" i="11"/>
  <c r="BB95" i="19"/>
  <c r="Q95" i="11" s="1"/>
  <c r="Z95" i="11"/>
  <c r="AP95" i="11"/>
  <c r="P96" i="11"/>
  <c r="L96" i="11"/>
  <c r="Z96" i="11"/>
  <c r="AP96" i="11"/>
  <c r="BB96" i="19"/>
  <c r="Q96" i="11" s="1"/>
  <c r="AP97" i="11"/>
  <c r="L97" i="11"/>
  <c r="Z97" i="11"/>
  <c r="BB97" i="19"/>
  <c r="Q97" i="11" s="1"/>
  <c r="P97" i="11"/>
  <c r="P98" i="11"/>
  <c r="Z98" i="11"/>
  <c r="L98" i="11"/>
  <c r="AP98" i="11"/>
  <c r="BB98" i="19"/>
  <c r="Q98" i="11" s="1"/>
  <c r="P99" i="11"/>
  <c r="Z99" i="11"/>
  <c r="L99" i="11"/>
  <c r="AP99" i="11"/>
  <c r="BB99" i="19"/>
  <c r="Q99" i="11" s="1"/>
  <c r="P100" i="11"/>
  <c r="Z100" i="11"/>
  <c r="L100" i="11"/>
  <c r="AP100" i="11"/>
  <c r="BB100" i="19"/>
  <c r="Q100" i="11" s="1"/>
  <c r="P101" i="11"/>
  <c r="Z101" i="11"/>
  <c r="AP101" i="11"/>
  <c r="BB101" i="19"/>
  <c r="Q101" i="11" s="1"/>
  <c r="L101" i="11"/>
  <c r="P102" i="11"/>
  <c r="Z102" i="11"/>
  <c r="AP102" i="11"/>
  <c r="BB102" i="19"/>
  <c r="Q102" i="11" s="1"/>
  <c r="L102" i="11"/>
  <c r="P103" i="11"/>
  <c r="Z103" i="11"/>
  <c r="BB103" i="19"/>
  <c r="Q103" i="11" s="1"/>
  <c r="L103" i="11"/>
  <c r="AP103" i="11"/>
  <c r="P104" i="11"/>
  <c r="Z104" i="11"/>
  <c r="AP104" i="11"/>
  <c r="L104" i="11"/>
  <c r="BB104" i="19"/>
  <c r="Q104" i="11" s="1"/>
  <c r="P105" i="11"/>
  <c r="AP105" i="11"/>
  <c r="L105" i="11"/>
  <c r="Z105" i="11"/>
  <c r="BB105" i="19"/>
  <c r="Q105" i="11" s="1"/>
  <c r="P106" i="11"/>
  <c r="Z106" i="11"/>
  <c r="L106" i="11"/>
  <c r="AP106" i="11"/>
  <c r="BB106" i="19"/>
  <c r="Q106" i="11" s="1"/>
  <c r="P107" i="11"/>
  <c r="Z107" i="11"/>
  <c r="L107" i="11"/>
  <c r="AP107" i="11"/>
  <c r="BB107" i="19"/>
  <c r="Q107" i="11" s="1"/>
  <c r="P108" i="11"/>
  <c r="Z108" i="11"/>
  <c r="L108" i="11"/>
  <c r="BB108" i="19"/>
  <c r="Q108" i="11" s="1"/>
  <c r="AP108" i="11"/>
  <c r="P109" i="11"/>
  <c r="L109" i="11"/>
  <c r="BB109" i="19"/>
  <c r="Q109" i="11" s="1"/>
  <c r="Z109" i="11"/>
  <c r="AP109" i="11"/>
  <c r="L110" i="11"/>
  <c r="BB110" i="19"/>
  <c r="Q110" i="11" s="1"/>
  <c r="P110" i="11"/>
  <c r="AP110" i="11"/>
  <c r="Z110" i="11"/>
  <c r="BB111" i="19"/>
  <c r="Q111" i="11" s="1"/>
  <c r="L111" i="11"/>
  <c r="Z111" i="11"/>
  <c r="P111" i="11"/>
  <c r="AP111" i="11"/>
  <c r="Z112" i="11"/>
  <c r="P112" i="11"/>
  <c r="AP112" i="11"/>
  <c r="L112" i="11"/>
  <c r="BB112" i="19"/>
  <c r="Q112" i="11" s="1"/>
  <c r="Z113" i="11"/>
  <c r="P113" i="11"/>
  <c r="AP113" i="11"/>
  <c r="L113" i="11"/>
  <c r="BB113" i="19"/>
  <c r="Q113" i="11" s="1"/>
  <c r="P114" i="11"/>
  <c r="Z114" i="11"/>
  <c r="L114" i="11"/>
  <c r="AP114" i="11"/>
  <c r="BB114" i="19"/>
  <c r="Q114" i="11" s="1"/>
  <c r="P115" i="11"/>
  <c r="Z115" i="11"/>
  <c r="L115" i="11"/>
  <c r="AP115" i="11"/>
  <c r="BB115" i="19"/>
  <c r="Q115" i="11" s="1"/>
  <c r="P116" i="11"/>
  <c r="Z116" i="11"/>
  <c r="L116" i="11"/>
  <c r="AP116" i="11"/>
  <c r="BB116" i="19"/>
  <c r="Q116" i="11" s="1"/>
  <c r="P117" i="11"/>
  <c r="Z117" i="11"/>
  <c r="BB117" i="19"/>
  <c r="Q117" i="11" s="1"/>
  <c r="AP117" i="11"/>
  <c r="L117" i="11"/>
  <c r="P118" i="11"/>
  <c r="Z118" i="11"/>
  <c r="BB118" i="19"/>
  <c r="Q118" i="11" s="1"/>
  <c r="AP118" i="11"/>
  <c r="L118" i="11"/>
  <c r="P119" i="11"/>
  <c r="Z119" i="11"/>
  <c r="BB119" i="19"/>
  <c r="Q119" i="11" s="1"/>
  <c r="L119" i="11"/>
  <c r="AP119" i="11"/>
  <c r="P120" i="11"/>
  <c r="L120" i="11"/>
  <c r="Z120" i="11"/>
  <c r="AP120" i="11"/>
  <c r="BB120" i="19"/>
  <c r="Q120" i="11" s="1"/>
  <c r="P121" i="11"/>
  <c r="AP121" i="11"/>
  <c r="L121" i="11"/>
  <c r="Z121" i="11"/>
  <c r="BB121" i="19"/>
  <c r="Q121" i="11" s="1"/>
  <c r="P122" i="11"/>
  <c r="Z122" i="11"/>
  <c r="L122" i="11"/>
  <c r="AP122" i="11"/>
  <c r="BB122" i="19"/>
  <c r="Q122" i="11" s="1"/>
  <c r="P123" i="11"/>
  <c r="Z123" i="11"/>
  <c r="L123" i="11"/>
  <c r="AP123" i="11"/>
  <c r="BB123" i="19"/>
  <c r="Q123" i="11" s="1"/>
  <c r="P124" i="11"/>
  <c r="Z124" i="11"/>
  <c r="L124" i="11"/>
  <c r="BB124" i="19"/>
  <c r="Q124" i="11" s="1"/>
  <c r="AP124" i="11"/>
  <c r="P125" i="11"/>
  <c r="L125" i="11"/>
  <c r="BB125" i="19"/>
  <c r="Q125" i="11" s="1"/>
  <c r="Z125" i="11"/>
  <c r="AP125" i="11"/>
  <c r="P126" i="11"/>
  <c r="Z126" i="11"/>
  <c r="BB126" i="19"/>
  <c r="Q126" i="11" s="1"/>
  <c r="AP126" i="11"/>
  <c r="L126" i="11"/>
  <c r="Z127" i="11"/>
  <c r="P127" i="11"/>
  <c r="BB127" i="19"/>
  <c r="Q127" i="11" s="1"/>
  <c r="AP127" i="11"/>
  <c r="L127" i="11"/>
  <c r="Z128" i="11"/>
  <c r="P128" i="11"/>
  <c r="AP128" i="11"/>
  <c r="BB128" i="19"/>
  <c r="Q128" i="11" s="1"/>
  <c r="L128" i="11"/>
  <c r="Z129" i="11"/>
  <c r="P129" i="11"/>
  <c r="AP129" i="11"/>
  <c r="BB129" i="19"/>
  <c r="Q129" i="11" s="1"/>
  <c r="L129" i="11"/>
  <c r="P130" i="11"/>
  <c r="Z130" i="11"/>
  <c r="L130" i="11"/>
  <c r="AP130" i="11"/>
  <c r="BB130" i="19"/>
  <c r="Q130" i="11" s="1"/>
  <c r="P131" i="11"/>
  <c r="Z131" i="11"/>
  <c r="L131" i="11"/>
  <c r="AP131" i="11"/>
  <c r="BB131" i="19"/>
  <c r="Q131" i="11" s="1"/>
  <c r="P132" i="11"/>
  <c r="Z132" i="11"/>
  <c r="L132" i="11"/>
  <c r="AP132" i="11"/>
  <c r="BB132" i="19"/>
  <c r="Q132" i="11" s="1"/>
  <c r="P133" i="11"/>
  <c r="L133" i="11"/>
  <c r="AP133" i="11"/>
  <c r="BB133" i="19"/>
  <c r="Q133" i="11" s="1"/>
  <c r="Z133" i="11"/>
  <c r="P134" i="11"/>
  <c r="L134" i="11"/>
  <c r="AP134" i="11"/>
  <c r="Z134" i="11"/>
  <c r="BB134" i="19"/>
  <c r="Q134" i="11" s="1"/>
  <c r="P135" i="11"/>
  <c r="BB135" i="19"/>
  <c r="Q135" i="11" s="1"/>
  <c r="L135" i="11"/>
  <c r="Z135" i="11"/>
  <c r="AP135" i="11"/>
  <c r="P136" i="11"/>
  <c r="L136" i="11"/>
  <c r="Z136" i="11"/>
  <c r="AP136" i="11"/>
  <c r="BB136" i="19"/>
  <c r="Q136" i="11" s="1"/>
  <c r="P137" i="11"/>
  <c r="Z137" i="11"/>
  <c r="AP137" i="11"/>
  <c r="L137" i="11"/>
  <c r="BB137" i="19"/>
  <c r="Q137" i="11" s="1"/>
  <c r="P138" i="11"/>
  <c r="Z138" i="11"/>
  <c r="L138" i="11"/>
  <c r="AP138" i="11"/>
  <c r="BB138" i="19"/>
  <c r="Q138" i="11" s="1"/>
  <c r="P139" i="11"/>
  <c r="Z139" i="11"/>
  <c r="L139" i="11"/>
  <c r="AP139" i="11"/>
  <c r="BB139" i="19"/>
  <c r="Q139" i="11" s="1"/>
  <c r="P140" i="11"/>
  <c r="Z140" i="11"/>
  <c r="L140" i="11"/>
  <c r="AP140" i="11"/>
  <c r="BB140" i="19"/>
  <c r="Q140" i="11" s="1"/>
  <c r="P141" i="11"/>
  <c r="Z141" i="11"/>
  <c r="L141" i="11"/>
  <c r="AP141" i="11"/>
  <c r="BB141" i="19"/>
  <c r="Q141" i="11" s="1"/>
  <c r="Z142" i="11"/>
  <c r="P142" i="11"/>
  <c r="L142" i="11"/>
  <c r="AP142" i="11"/>
  <c r="BB142" i="19"/>
  <c r="Q142" i="11" s="1"/>
  <c r="Z143" i="11"/>
  <c r="BB143" i="19"/>
  <c r="Q143" i="11" s="1"/>
  <c r="P143" i="11"/>
  <c r="AP143" i="11"/>
  <c r="L143" i="11"/>
  <c r="Z144" i="11"/>
  <c r="L144" i="11"/>
  <c r="AP144" i="11"/>
  <c r="P144" i="11"/>
  <c r="BB144" i="19"/>
  <c r="Q144" i="11" s="1"/>
  <c r="P145" i="11"/>
  <c r="L145" i="11"/>
  <c r="AP145" i="11"/>
  <c r="Z145" i="11"/>
  <c r="BB145" i="19"/>
  <c r="Q145" i="11" s="1"/>
  <c r="P146" i="11"/>
  <c r="Z146" i="11"/>
  <c r="L146" i="11"/>
  <c r="AP146" i="11"/>
  <c r="BB146" i="19"/>
  <c r="Q146" i="11" s="1"/>
  <c r="P147" i="11"/>
  <c r="Z147" i="11"/>
  <c r="L147" i="11"/>
  <c r="AP147" i="11"/>
  <c r="BB147" i="19"/>
  <c r="Q147" i="11" s="1"/>
  <c r="P148" i="11"/>
  <c r="Z148" i="11"/>
  <c r="L148" i="11"/>
  <c r="AP148" i="11"/>
  <c r="BB148" i="19"/>
  <c r="Q148" i="11" s="1"/>
  <c r="P149" i="11"/>
  <c r="L149" i="11"/>
  <c r="Z149" i="11"/>
  <c r="AP149" i="11"/>
  <c r="BB149" i="19"/>
  <c r="Q149" i="11" s="1"/>
  <c r="P150" i="11"/>
  <c r="L150" i="11"/>
  <c r="Z150" i="11"/>
  <c r="AP150" i="11"/>
  <c r="BB150" i="19"/>
  <c r="Q150" i="11" s="1"/>
  <c r="P151" i="11"/>
  <c r="Z151" i="11"/>
  <c r="BB151" i="19"/>
  <c r="Q151" i="11" s="1"/>
  <c r="AP151" i="11"/>
  <c r="L151" i="11"/>
  <c r="P152" i="11"/>
  <c r="Z152" i="11"/>
  <c r="AP152" i="11"/>
  <c r="BB152" i="19"/>
  <c r="Q152" i="11" s="1"/>
  <c r="L152" i="11"/>
  <c r="P153" i="11"/>
  <c r="Z153" i="11"/>
  <c r="AP153" i="11"/>
  <c r="L153" i="11"/>
  <c r="BB153" i="19"/>
  <c r="Q153" i="11" s="1"/>
  <c r="P154" i="11"/>
  <c r="Z154" i="11"/>
  <c r="L154" i="11"/>
  <c r="AP154" i="11"/>
  <c r="BB154" i="19"/>
  <c r="Q154" i="11" s="1"/>
  <c r="P155" i="11"/>
  <c r="Z155" i="11"/>
  <c r="L155" i="11"/>
  <c r="AP155" i="11"/>
  <c r="BB155" i="19"/>
  <c r="Q155" i="11" s="1"/>
  <c r="P156" i="11"/>
  <c r="Z156" i="11"/>
  <c r="L156" i="11"/>
  <c r="BB156" i="19"/>
  <c r="Q156" i="11" s="1"/>
  <c r="AP156" i="11"/>
  <c r="P157" i="11"/>
  <c r="Z157" i="11"/>
  <c r="L157" i="11"/>
  <c r="BB157" i="19"/>
  <c r="Q157" i="11" s="1"/>
  <c r="AP157" i="11"/>
  <c r="P158" i="11"/>
  <c r="L158" i="11"/>
  <c r="Z158" i="11"/>
  <c r="AP158" i="11"/>
  <c r="BB158" i="19"/>
  <c r="Q158" i="11" s="1"/>
  <c r="P159" i="11"/>
  <c r="L159" i="11"/>
  <c r="BB159" i="19"/>
  <c r="Q159" i="11" s="1"/>
  <c r="Z159" i="11"/>
  <c r="AP159" i="11"/>
  <c r="P160" i="11"/>
  <c r="L160" i="11"/>
  <c r="AP160" i="11"/>
  <c r="Z160" i="11"/>
  <c r="BB160" i="19"/>
  <c r="Q160" i="11" s="1"/>
  <c r="AP161" i="11"/>
  <c r="L161" i="11"/>
  <c r="Z161" i="11"/>
  <c r="P161" i="11"/>
  <c r="BB161" i="19"/>
  <c r="Q161" i="11" s="1"/>
  <c r="P162" i="11"/>
  <c r="Z162" i="11"/>
  <c r="L162" i="11"/>
  <c r="AP162" i="11"/>
  <c r="BB162" i="19"/>
  <c r="Q162" i="11" s="1"/>
  <c r="P163" i="11"/>
  <c r="Z163" i="11"/>
  <c r="L163" i="11"/>
  <c r="AP163" i="11"/>
  <c r="BB163" i="19"/>
  <c r="Q163" i="11" s="1"/>
  <c r="P164" i="11"/>
  <c r="Z164" i="11"/>
  <c r="L164" i="11"/>
  <c r="AP164" i="11"/>
  <c r="BB164" i="19"/>
  <c r="Q164" i="11" s="1"/>
  <c r="P165" i="11"/>
  <c r="Z165" i="11"/>
  <c r="L165" i="11"/>
  <c r="AP165" i="11"/>
  <c r="BB165" i="19"/>
  <c r="Q165" i="11" s="1"/>
  <c r="P166" i="11"/>
  <c r="Z166" i="11"/>
  <c r="L166" i="11"/>
  <c r="AP166" i="11"/>
  <c r="BB166" i="19"/>
  <c r="Q166" i="11" s="1"/>
  <c r="P167" i="11"/>
  <c r="Z167" i="11"/>
  <c r="BB167" i="19"/>
  <c r="Q167" i="11" s="1"/>
  <c r="L167" i="11"/>
  <c r="AP167" i="11"/>
  <c r="P168" i="11"/>
  <c r="Z168" i="11"/>
  <c r="AP168" i="11"/>
  <c r="L168" i="11"/>
  <c r="BB168" i="19"/>
  <c r="Q168" i="11" s="1"/>
  <c r="P169" i="11"/>
  <c r="Z169" i="11"/>
  <c r="AP169" i="11"/>
  <c r="L169" i="11"/>
  <c r="BB169" i="19"/>
  <c r="Q169" i="11" s="1"/>
  <c r="P170" i="11"/>
  <c r="Z170" i="11"/>
  <c r="L170" i="11"/>
  <c r="AP170" i="11"/>
  <c r="BB170" i="19"/>
  <c r="Q170" i="11" s="1"/>
  <c r="P171" i="11"/>
  <c r="Z171" i="11"/>
  <c r="L171" i="11"/>
  <c r="AP171" i="11"/>
  <c r="BB171" i="19"/>
  <c r="Q171" i="11" s="1"/>
  <c r="P172" i="11"/>
  <c r="Z172" i="11"/>
  <c r="L172" i="11"/>
  <c r="BB172" i="19"/>
  <c r="Q172" i="11" s="1"/>
  <c r="AP172" i="11"/>
  <c r="P173" i="11"/>
  <c r="L173" i="11"/>
  <c r="Z173" i="11"/>
  <c r="BB173" i="19"/>
  <c r="Q173" i="11" s="1"/>
  <c r="AP173" i="11"/>
  <c r="L174" i="11"/>
  <c r="Z174" i="11"/>
  <c r="P174" i="11"/>
  <c r="BB174" i="19"/>
  <c r="Q174" i="11" s="1"/>
  <c r="AP174" i="11"/>
  <c r="BB175" i="19"/>
  <c r="Q175" i="11" s="1"/>
  <c r="L175" i="11"/>
  <c r="P175" i="11"/>
  <c r="Z175" i="11"/>
  <c r="AP175" i="11"/>
  <c r="Z176" i="11"/>
  <c r="P176" i="11"/>
  <c r="AP176" i="11"/>
  <c r="L176" i="11"/>
  <c r="BB176" i="19"/>
  <c r="Q176" i="11" s="1"/>
  <c r="Z177" i="11"/>
  <c r="P177" i="11"/>
  <c r="AP177" i="11"/>
  <c r="L177" i="11"/>
  <c r="BB177" i="19"/>
  <c r="Q177" i="11" s="1"/>
  <c r="P178" i="11"/>
  <c r="Z178" i="11"/>
  <c r="L178" i="11"/>
  <c r="AP178" i="11"/>
  <c r="BB178" i="19"/>
  <c r="Q178" i="11" s="1"/>
  <c r="P179" i="11"/>
  <c r="Z179" i="11"/>
  <c r="L179" i="11"/>
  <c r="AP179" i="11"/>
  <c r="BB179" i="19"/>
  <c r="Q179" i="11" s="1"/>
  <c r="P180" i="11"/>
  <c r="Z180" i="11"/>
  <c r="L180" i="11"/>
  <c r="AP180" i="11"/>
  <c r="BB180" i="19"/>
  <c r="Q180" i="11" s="1"/>
  <c r="P181" i="11"/>
  <c r="Z181" i="11"/>
  <c r="BB181" i="19"/>
  <c r="Q181" i="11" s="1"/>
  <c r="AP181" i="11"/>
  <c r="L181" i="11"/>
  <c r="P182" i="11"/>
  <c r="Z182" i="11"/>
  <c r="BB182" i="19"/>
  <c r="Q182" i="11" s="1"/>
  <c r="AP182" i="11"/>
  <c r="L182" i="11"/>
  <c r="P2" i="11"/>
  <c r="L2" i="11"/>
  <c r="AP2" i="11"/>
  <c r="BB2" i="19"/>
  <c r="Q2" i="11" s="1"/>
  <c r="P183" i="11"/>
  <c r="BB183" i="19"/>
  <c r="Q183" i="11" s="1"/>
  <c r="L183" i="11"/>
  <c r="Z183" i="11"/>
  <c r="AP183" i="11"/>
  <c r="P184" i="11"/>
  <c r="L184" i="11"/>
  <c r="AP184" i="11"/>
  <c r="BB184" i="19"/>
  <c r="Q184" i="11" s="1"/>
  <c r="Z184" i="11"/>
  <c r="P185" i="11"/>
  <c r="AP185" i="11"/>
  <c r="L185" i="11"/>
  <c r="BB185" i="19"/>
  <c r="Q185" i="11" s="1"/>
  <c r="Z185" i="11"/>
  <c r="P186" i="11"/>
  <c r="Z186" i="11"/>
  <c r="L186" i="11"/>
  <c r="AP186" i="11"/>
  <c r="BB186" i="19"/>
  <c r="Q186" i="11" s="1"/>
  <c r="P187" i="11"/>
  <c r="Z187" i="11"/>
  <c r="L187" i="11"/>
  <c r="AP187" i="11"/>
  <c r="BB187" i="19"/>
  <c r="Q187" i="11" s="1"/>
  <c r="P188" i="11"/>
  <c r="Z188" i="11"/>
  <c r="L188" i="11"/>
  <c r="BB188" i="19"/>
  <c r="Q188" i="11" s="1"/>
  <c r="AP188" i="11"/>
  <c r="P189" i="11"/>
  <c r="L189" i="11"/>
  <c r="Z189" i="11"/>
  <c r="BB189" i="19"/>
  <c r="Q189" i="11" s="1"/>
  <c r="AP189" i="11"/>
  <c r="P190" i="11"/>
  <c r="Z190" i="11"/>
  <c r="L190" i="11"/>
  <c r="BB190" i="19"/>
  <c r="Q190" i="11" s="1"/>
  <c r="AP190" i="11"/>
  <c r="Z191" i="11"/>
  <c r="P191" i="11"/>
  <c r="BB191" i="19"/>
  <c r="Q191" i="11" s="1"/>
  <c r="L191" i="11"/>
  <c r="AP191" i="11"/>
  <c r="Z192" i="11"/>
  <c r="P192" i="11"/>
  <c r="AP192" i="11"/>
  <c r="BB192" i="19"/>
  <c r="Q192" i="11" s="1"/>
  <c r="L192" i="11"/>
  <c r="Z193" i="11"/>
  <c r="P193" i="11"/>
  <c r="AP193" i="11"/>
  <c r="BB193" i="19"/>
  <c r="Q193" i="11" s="1"/>
  <c r="L193" i="11"/>
  <c r="P194" i="11"/>
  <c r="Z194" i="11"/>
  <c r="L194" i="11"/>
  <c r="AP194" i="11"/>
  <c r="BB194" i="19"/>
  <c r="Q194" i="11" s="1"/>
  <c r="P195" i="11"/>
  <c r="Z195" i="11"/>
  <c r="L195" i="11"/>
  <c r="AP195" i="11"/>
  <c r="BB195" i="19"/>
  <c r="Q195" i="11" s="1"/>
  <c r="P196" i="11"/>
  <c r="Z196" i="11"/>
  <c r="L196" i="11"/>
  <c r="AP196" i="11"/>
  <c r="BB196" i="19"/>
  <c r="Q196" i="11" s="1"/>
  <c r="P197" i="11"/>
  <c r="Z197" i="11"/>
  <c r="L197" i="11"/>
  <c r="AP197" i="11"/>
  <c r="BB197" i="19"/>
  <c r="Q197" i="11" s="1"/>
  <c r="P198" i="11"/>
  <c r="L198" i="11"/>
  <c r="Z198" i="11"/>
  <c r="AP198" i="11"/>
  <c r="BB198" i="19"/>
  <c r="Q198" i="11" s="1"/>
  <c r="P199" i="11"/>
  <c r="BB199" i="19"/>
  <c r="Q199" i="11" s="1"/>
  <c r="L199" i="11"/>
  <c r="Z199" i="11"/>
  <c r="AP199" i="11"/>
  <c r="P200" i="11"/>
  <c r="L200" i="11"/>
  <c r="AP200" i="11"/>
  <c r="Z200" i="11"/>
  <c r="BB200" i="19"/>
  <c r="Q200" i="11" s="1"/>
  <c r="P201" i="11"/>
  <c r="Z201" i="11"/>
  <c r="AP201" i="11"/>
  <c r="BB201" i="19"/>
  <c r="Q201" i="11" s="1"/>
  <c r="L201" i="11"/>
  <c r="P202" i="11"/>
  <c r="Z202" i="11"/>
  <c r="L202" i="11"/>
  <c r="AP202" i="11"/>
  <c r="BB202" i="19"/>
  <c r="Q202" i="11" s="1"/>
  <c r="P203" i="11"/>
  <c r="Z203" i="11"/>
  <c r="L203" i="11"/>
  <c r="AP203" i="11"/>
  <c r="BB203" i="19"/>
  <c r="Q203" i="11" s="1"/>
  <c r="P204" i="11"/>
  <c r="Z204" i="11"/>
  <c r="L204" i="11"/>
  <c r="AP204" i="11"/>
  <c r="BB204" i="19"/>
  <c r="Q204" i="11" s="1"/>
  <c r="P205" i="11"/>
  <c r="Z205" i="11"/>
  <c r="AP205" i="11"/>
  <c r="BB205" i="19"/>
  <c r="Q205" i="11" s="1"/>
  <c r="L205" i="11"/>
  <c r="Z206" i="11"/>
  <c r="P206" i="11"/>
  <c r="L206" i="11"/>
  <c r="AP206" i="11"/>
  <c r="BB206" i="19"/>
  <c r="Q206" i="11" s="1"/>
  <c r="Z207" i="11"/>
  <c r="P207" i="11"/>
  <c r="L207" i="11"/>
  <c r="AP207" i="11"/>
  <c r="BB207" i="19"/>
  <c r="Q207" i="11" s="1"/>
  <c r="L208" i="11"/>
  <c r="AP208" i="11"/>
  <c r="BB208" i="19"/>
  <c r="Q208" i="11" s="1"/>
  <c r="Z208" i="11"/>
  <c r="P208" i="11"/>
  <c r="P209" i="11"/>
  <c r="L209" i="11"/>
  <c r="AP209" i="11"/>
  <c r="BB209" i="19"/>
  <c r="Q209" i="11" s="1"/>
  <c r="Z209" i="11"/>
  <c r="P210" i="11"/>
  <c r="Z210" i="11"/>
  <c r="L210" i="11"/>
  <c r="AP210" i="11"/>
  <c r="BB210" i="19"/>
  <c r="Q210" i="11" s="1"/>
  <c r="P211" i="11"/>
  <c r="Z211" i="11"/>
  <c r="L211" i="11"/>
  <c r="AP211" i="11"/>
  <c r="BB211" i="19"/>
  <c r="Q211" i="11" s="1"/>
  <c r="P212" i="11"/>
  <c r="Z212" i="11"/>
  <c r="L212" i="11"/>
  <c r="AP212" i="11"/>
  <c r="BB212" i="19"/>
  <c r="Q212" i="11" s="1"/>
  <c r="P213" i="11"/>
  <c r="L213" i="11"/>
  <c r="AP213" i="11"/>
  <c r="Z213" i="11"/>
  <c r="BB213" i="19"/>
  <c r="Q213" i="11" s="1"/>
  <c r="P214" i="11"/>
  <c r="L214" i="11"/>
  <c r="Z214" i="11"/>
  <c r="BB214" i="19"/>
  <c r="Q214" i="11" s="1"/>
  <c r="AP214" i="11"/>
  <c r="P215" i="11"/>
  <c r="Z215" i="11"/>
  <c r="L215" i="11"/>
  <c r="BB215" i="19"/>
  <c r="Q215" i="11" s="1"/>
  <c r="AP215" i="11"/>
  <c r="P216" i="11"/>
  <c r="Z216" i="11"/>
  <c r="BB216" i="19"/>
  <c r="Q216" i="11" s="1"/>
  <c r="L216" i="11"/>
  <c r="AP216" i="11"/>
  <c r="P217" i="11"/>
  <c r="Z217" i="11"/>
  <c r="AP217" i="11"/>
  <c r="BB217" i="19"/>
  <c r="Q217" i="11" s="1"/>
  <c r="L217" i="11"/>
  <c r="P218" i="11"/>
  <c r="Z218" i="11"/>
  <c r="L218" i="11"/>
  <c r="AP218" i="11"/>
  <c r="BB218" i="19"/>
  <c r="Q218" i="11" s="1"/>
  <c r="P219" i="11"/>
  <c r="Z219" i="11"/>
  <c r="L219" i="11"/>
  <c r="AP219" i="11"/>
  <c r="BB219" i="19"/>
  <c r="Q219" i="11" s="1"/>
  <c r="P220" i="11"/>
  <c r="Z220" i="11"/>
  <c r="L220" i="11"/>
  <c r="AP220" i="11"/>
  <c r="BB220" i="19"/>
  <c r="Q220" i="11" s="1"/>
  <c r="P221" i="11"/>
  <c r="Z221" i="11"/>
  <c r="AP221" i="11"/>
  <c r="L221" i="11"/>
  <c r="BB221" i="19"/>
  <c r="Q221" i="11" s="1"/>
  <c r="P222" i="11"/>
  <c r="Z222" i="11"/>
  <c r="L222" i="11"/>
  <c r="AP222" i="11"/>
  <c r="BB222" i="19"/>
  <c r="Q222" i="11" s="1"/>
  <c r="P223" i="11"/>
  <c r="L223" i="11"/>
  <c r="Z223" i="11"/>
  <c r="AP223" i="11"/>
  <c r="BB223" i="19"/>
  <c r="Q223" i="11" s="1"/>
  <c r="P224" i="11"/>
  <c r="L224" i="11"/>
  <c r="Z224" i="11"/>
  <c r="BB224" i="19"/>
  <c r="Q224" i="11" s="1"/>
  <c r="AP224" i="11"/>
  <c r="AP225" i="11"/>
  <c r="L225" i="11"/>
  <c r="BB225" i="19"/>
  <c r="Q225" i="11" s="1"/>
  <c r="P225" i="11"/>
  <c r="Z225" i="11"/>
  <c r="P226" i="11"/>
  <c r="Z226" i="11"/>
  <c r="L226" i="11"/>
  <c r="AP226" i="11"/>
  <c r="BB226" i="19"/>
  <c r="Q226" i="11" s="1"/>
  <c r="P227" i="11"/>
  <c r="Z227" i="11"/>
  <c r="L227" i="11"/>
  <c r="AP227" i="11"/>
  <c r="BB227" i="19"/>
  <c r="Q227" i="11" s="1"/>
  <c r="P228" i="11"/>
  <c r="Z228" i="11"/>
  <c r="L228" i="11"/>
  <c r="AP228" i="11"/>
  <c r="BB228" i="19"/>
  <c r="Q228" i="11" s="1"/>
  <c r="P229" i="11"/>
  <c r="Z229" i="11"/>
  <c r="L229" i="11"/>
  <c r="AP229" i="11"/>
  <c r="BB229" i="19"/>
  <c r="Q229" i="11" s="1"/>
  <c r="P230" i="11"/>
  <c r="Z230" i="11"/>
  <c r="BB230" i="19"/>
  <c r="Q230" i="11" s="1"/>
  <c r="L230" i="11"/>
  <c r="AP230" i="11"/>
  <c r="P231" i="11"/>
  <c r="Z231" i="11"/>
  <c r="L231" i="11"/>
  <c r="AP231" i="11"/>
  <c r="BB231" i="19"/>
  <c r="Q231" i="11" s="1"/>
  <c r="P232" i="11"/>
  <c r="Z232" i="11"/>
  <c r="BB232" i="19"/>
  <c r="Q232" i="11" s="1"/>
  <c r="L232" i="11"/>
  <c r="AP232" i="11"/>
  <c r="P233" i="11"/>
  <c r="AP233" i="11"/>
  <c r="L233" i="11"/>
  <c r="BB233" i="19"/>
  <c r="Q233" i="11" s="1"/>
  <c r="Z233" i="11"/>
  <c r="P234" i="11"/>
  <c r="Z234" i="11"/>
  <c r="L234" i="11"/>
  <c r="AP234" i="11"/>
  <c r="BB234" i="19"/>
  <c r="Q234" i="11" s="1"/>
  <c r="P235" i="11"/>
  <c r="Z235" i="11"/>
  <c r="L235" i="11"/>
  <c r="AP235" i="11"/>
  <c r="BB235" i="19"/>
  <c r="Q235" i="11" s="1"/>
  <c r="P236" i="11"/>
  <c r="Z236" i="11"/>
  <c r="L236" i="11"/>
  <c r="AP236" i="11"/>
  <c r="BB236" i="19"/>
  <c r="Q236" i="11" s="1"/>
  <c r="P237" i="11"/>
  <c r="L237" i="11"/>
  <c r="AP237" i="11"/>
  <c r="Z237" i="11"/>
  <c r="BB237" i="19"/>
  <c r="Q237" i="11" s="1"/>
  <c r="L238" i="11"/>
  <c r="AP238" i="11"/>
  <c r="P238" i="11"/>
  <c r="BB238" i="19"/>
  <c r="Q238" i="11" s="1"/>
  <c r="Z238" i="11"/>
  <c r="L239" i="11"/>
  <c r="Z239" i="11"/>
  <c r="P239" i="11"/>
  <c r="BB239" i="19"/>
  <c r="Q239" i="11" s="1"/>
  <c r="AP239" i="11"/>
  <c r="Z240" i="11"/>
  <c r="P240" i="11"/>
  <c r="L240" i="11"/>
  <c r="BB240" i="19"/>
  <c r="Q240" i="11" s="1"/>
  <c r="AP240" i="11"/>
  <c r="Z241" i="11"/>
  <c r="P241" i="11"/>
  <c r="AP241" i="11"/>
  <c r="L241" i="11"/>
  <c r="BB241" i="19"/>
  <c r="Q241" i="11" s="1"/>
  <c r="P242" i="11"/>
  <c r="Z242" i="11"/>
  <c r="L242" i="11"/>
  <c r="AP242" i="11"/>
  <c r="BB242" i="19"/>
  <c r="Q242" i="11" s="1"/>
  <c r="P243" i="11"/>
  <c r="Z243" i="11"/>
  <c r="L243" i="11"/>
  <c r="AP243" i="11"/>
  <c r="BB243" i="19"/>
  <c r="Q243" i="11" s="1"/>
  <c r="P244" i="11"/>
  <c r="Z244" i="11"/>
  <c r="L244" i="11"/>
  <c r="BB244" i="19"/>
  <c r="Q244" i="11" s="1"/>
  <c r="AP244" i="11"/>
  <c r="P245" i="11"/>
  <c r="Z245" i="11"/>
  <c r="AP245" i="11"/>
  <c r="L245" i="11"/>
  <c r="BB245" i="19"/>
  <c r="Q245" i="11" s="1"/>
  <c r="P246" i="11"/>
  <c r="Z246" i="11"/>
  <c r="L246" i="11"/>
  <c r="BB246" i="19"/>
  <c r="Q246" i="11" s="1"/>
  <c r="AP246" i="11"/>
  <c r="P247" i="11"/>
  <c r="Z247" i="11"/>
  <c r="L247" i="11"/>
  <c r="AP247" i="11"/>
  <c r="BB247" i="19"/>
  <c r="Q247" i="11" s="1"/>
  <c r="P248" i="11"/>
  <c r="Z248" i="11"/>
  <c r="L248" i="11"/>
  <c r="BB248" i="19"/>
  <c r="Q248" i="11" s="1"/>
  <c r="AP248" i="11"/>
  <c r="P249" i="11"/>
  <c r="AP249" i="11"/>
  <c r="Z249" i="11"/>
  <c r="L249" i="11"/>
  <c r="BB249" i="19"/>
  <c r="Q249" i="11" s="1"/>
  <c r="P250" i="11"/>
  <c r="Z250" i="11"/>
  <c r="L250" i="11"/>
  <c r="AP250" i="11"/>
  <c r="BB250" i="19"/>
  <c r="Q250" i="11" s="1"/>
  <c r="P251" i="11"/>
  <c r="Z251" i="11"/>
  <c r="L251" i="11"/>
  <c r="AP251" i="11"/>
  <c r="BB251" i="19"/>
  <c r="Q251" i="11" s="1"/>
  <c r="P252" i="11"/>
  <c r="Z252" i="11"/>
  <c r="AP252" i="11"/>
  <c r="BB252" i="19"/>
  <c r="Q252" i="11" s="1"/>
  <c r="L252" i="11"/>
  <c r="P253" i="11"/>
  <c r="Z253" i="11"/>
  <c r="AP253" i="11"/>
  <c r="BB253" i="19"/>
  <c r="Q253" i="11" s="1"/>
  <c r="L253" i="11"/>
  <c r="P254" i="11"/>
  <c r="Z254" i="11"/>
  <c r="L254" i="11"/>
  <c r="BB254" i="19"/>
  <c r="Q254" i="11" s="1"/>
  <c r="AP254" i="11"/>
  <c r="Z255" i="11"/>
  <c r="P255" i="11"/>
  <c r="L255" i="11"/>
  <c r="AP255" i="11"/>
  <c r="BB255" i="19"/>
  <c r="Q255" i="11" s="1"/>
  <c r="Z256" i="11"/>
  <c r="P256" i="11"/>
  <c r="L256" i="11"/>
  <c r="BB256" i="19"/>
  <c r="Q256" i="11" s="1"/>
  <c r="AP256" i="11"/>
  <c r="Z257" i="11"/>
  <c r="P257" i="11"/>
  <c r="L257" i="11"/>
  <c r="AP257" i="11"/>
  <c r="BB257" i="19"/>
  <c r="Q257" i="11" s="1"/>
  <c r="P258" i="11"/>
  <c r="Z258" i="11"/>
  <c r="L258" i="11"/>
  <c r="AP258" i="11"/>
  <c r="BB258" i="19"/>
  <c r="Q258" i="11" s="1"/>
  <c r="P259" i="11"/>
  <c r="Z259" i="11"/>
  <c r="L259" i="11"/>
  <c r="AP259" i="11"/>
  <c r="BB259" i="19"/>
  <c r="Q259" i="11" s="1"/>
  <c r="P260" i="11"/>
  <c r="Z260" i="11"/>
  <c r="L260" i="11"/>
  <c r="AP260" i="11"/>
  <c r="BB260" i="19"/>
  <c r="Q260" i="11" s="1"/>
  <c r="P261" i="11"/>
  <c r="L261" i="11"/>
  <c r="AP261" i="11"/>
  <c r="Z261" i="11"/>
  <c r="BB261" i="19"/>
  <c r="Q261" i="11" s="1"/>
  <c r="P262" i="11"/>
  <c r="L262" i="11"/>
  <c r="AP262" i="11"/>
  <c r="Z262" i="11"/>
  <c r="BB262" i="19"/>
  <c r="Q262" i="11" s="1"/>
  <c r="P263" i="11"/>
  <c r="L263" i="11"/>
  <c r="AP263" i="11"/>
  <c r="BB263" i="19"/>
  <c r="Q263" i="11" s="1"/>
  <c r="Z263" i="11"/>
  <c r="P264" i="11"/>
  <c r="Z264" i="11"/>
  <c r="BB264" i="19"/>
  <c r="Q264" i="11" s="1"/>
  <c r="L264" i="11"/>
  <c r="AP264" i="11"/>
  <c r="P265" i="11"/>
  <c r="Z265" i="11"/>
  <c r="AP265" i="11"/>
  <c r="BB265" i="19"/>
  <c r="Q265" i="11" s="1"/>
  <c r="L265" i="11"/>
  <c r="P266" i="11"/>
  <c r="Z266" i="11"/>
  <c r="L266" i="11"/>
  <c r="AP266" i="11"/>
  <c r="BB266" i="19"/>
  <c r="Q266" i="11" s="1"/>
  <c r="P267" i="11"/>
  <c r="Z267" i="11"/>
  <c r="L267" i="11"/>
  <c r="AP267" i="11"/>
  <c r="BB267" i="19"/>
  <c r="Q267" i="11" s="1"/>
  <c r="P268" i="11"/>
  <c r="Z268" i="11"/>
  <c r="L268" i="11"/>
  <c r="BB268" i="19"/>
  <c r="Q268" i="11" s="1"/>
  <c r="AP268" i="11"/>
  <c r="P269" i="11"/>
  <c r="Z269" i="11"/>
  <c r="L269" i="11"/>
  <c r="BB269" i="19"/>
  <c r="Q269" i="11" s="1"/>
  <c r="AP269" i="11"/>
  <c r="Z270" i="11"/>
  <c r="P270" i="11"/>
  <c r="L270" i="11"/>
  <c r="AP270" i="11"/>
  <c r="BB270" i="19"/>
  <c r="Q270" i="11" s="1"/>
  <c r="Z271" i="11"/>
  <c r="P271" i="11"/>
  <c r="L271" i="11"/>
  <c r="AP271" i="11"/>
  <c r="BB271" i="19"/>
  <c r="Q271" i="11" s="1"/>
  <c r="Z272" i="11"/>
  <c r="P272" i="11"/>
  <c r="AP272" i="11"/>
  <c r="BB272" i="19"/>
  <c r="Q272" i="11" s="1"/>
  <c r="L272" i="11"/>
  <c r="P273" i="11"/>
  <c r="AP273" i="11"/>
  <c r="Z273" i="11"/>
  <c r="BB273" i="19"/>
  <c r="Q273" i="11" s="1"/>
  <c r="L273" i="11"/>
  <c r="P274" i="11"/>
  <c r="Z274" i="11"/>
  <c r="L274" i="11"/>
  <c r="AP274" i="11"/>
  <c r="BB274" i="19"/>
  <c r="Q274" i="11" s="1"/>
  <c r="P275" i="11"/>
  <c r="Z275" i="11"/>
  <c r="AP275" i="11"/>
  <c r="L275" i="11"/>
  <c r="BB275" i="19"/>
  <c r="Q275" i="11" s="1"/>
  <c r="P276" i="11"/>
  <c r="AP276" i="11"/>
  <c r="Z276" i="11"/>
  <c r="L276" i="11"/>
  <c r="BB276" i="19"/>
  <c r="Q276" i="11" s="1"/>
  <c r="P277" i="11"/>
  <c r="L277" i="11"/>
  <c r="AP277" i="11"/>
  <c r="Z277" i="11"/>
  <c r="BB277" i="19"/>
  <c r="Q277" i="11" s="1"/>
  <c r="P278" i="11"/>
  <c r="Z278" i="11"/>
  <c r="L278" i="11"/>
  <c r="BB278" i="19"/>
  <c r="Q278" i="11" s="1"/>
  <c r="AP278" i="11"/>
  <c r="P279" i="11"/>
  <c r="Z279" i="11"/>
  <c r="L279" i="11"/>
  <c r="BB279" i="19"/>
  <c r="Q279" i="11" s="1"/>
  <c r="AP279" i="11"/>
  <c r="P280" i="11"/>
  <c r="Z280" i="11"/>
  <c r="L280" i="11"/>
  <c r="BB280" i="19"/>
  <c r="Q280" i="11" s="1"/>
  <c r="AP280" i="11"/>
  <c r="P281" i="11"/>
  <c r="AP281" i="11"/>
  <c r="L281" i="11"/>
  <c r="BB281" i="19"/>
  <c r="Q281" i="11" s="1"/>
  <c r="Z281" i="11"/>
  <c r="P282" i="11"/>
  <c r="Z282" i="11"/>
  <c r="L282" i="11"/>
  <c r="AP282" i="11"/>
  <c r="BB282" i="19"/>
  <c r="Q282" i="11" s="1"/>
  <c r="P283" i="11"/>
  <c r="Z283" i="11"/>
  <c r="AP283" i="11"/>
  <c r="L283" i="11"/>
  <c r="BB283" i="19"/>
  <c r="Q283" i="11" s="1"/>
  <c r="P284" i="11"/>
  <c r="L284" i="11"/>
  <c r="AP284" i="11"/>
  <c r="BB284" i="19"/>
  <c r="Q284" i="11" s="1"/>
  <c r="Z284" i="11"/>
  <c r="P285" i="11"/>
  <c r="Z285" i="11"/>
  <c r="BB285" i="19"/>
  <c r="Q285" i="11" s="1"/>
  <c r="AP285" i="11"/>
  <c r="L285" i="11"/>
  <c r="P286" i="11"/>
  <c r="Z286" i="11"/>
  <c r="L286" i="11"/>
  <c r="AP286" i="11"/>
  <c r="BB286" i="19"/>
  <c r="Q286" i="11" s="1"/>
  <c r="L287" i="11"/>
  <c r="Z287" i="11"/>
  <c r="P287" i="11"/>
  <c r="AP287" i="11"/>
  <c r="BB287" i="19"/>
  <c r="Q287" i="11" s="1"/>
  <c r="P288" i="11"/>
  <c r="Z288" i="11"/>
  <c r="L288" i="11"/>
  <c r="BB288" i="19"/>
  <c r="Q288" i="11" s="1"/>
  <c r="AP288" i="11"/>
  <c r="P289" i="11"/>
  <c r="Z289" i="11"/>
  <c r="AP289" i="11"/>
  <c r="L289" i="11"/>
  <c r="BB289" i="19"/>
  <c r="Q289" i="11" s="1"/>
  <c r="Z290" i="11"/>
  <c r="P290" i="11"/>
  <c r="L290" i="11"/>
  <c r="AP290" i="11"/>
  <c r="BB290" i="19"/>
  <c r="Q290" i="11" s="1"/>
  <c r="P291" i="11"/>
  <c r="Z291" i="11"/>
  <c r="AP291" i="11"/>
  <c r="BB291" i="19"/>
  <c r="Q291" i="11" s="1"/>
  <c r="L291" i="11"/>
  <c r="P292" i="11"/>
  <c r="Z292" i="11"/>
  <c r="AP292" i="11"/>
  <c r="BB292" i="19"/>
  <c r="Q292" i="11" s="1"/>
  <c r="L292" i="11"/>
  <c r="P293" i="11"/>
  <c r="Z293" i="11"/>
  <c r="L293" i="11"/>
  <c r="AP293" i="11"/>
  <c r="BB293" i="19"/>
  <c r="Q293" i="11" s="1"/>
  <c r="Z294" i="11"/>
  <c r="P294" i="11"/>
  <c r="L294" i="11"/>
  <c r="BB294" i="19"/>
  <c r="Q294" i="11" s="1"/>
  <c r="AP294" i="11"/>
  <c r="L295" i="11"/>
  <c r="Z295" i="11"/>
  <c r="P295" i="11"/>
  <c r="AP295" i="11"/>
  <c r="BB295" i="19"/>
  <c r="Q295" i="11" s="1"/>
  <c r="L296" i="11"/>
  <c r="P296" i="11"/>
  <c r="BB296" i="19"/>
  <c r="Q296" i="11" s="1"/>
  <c r="Z296" i="11"/>
  <c r="AP296" i="11"/>
  <c r="P297" i="11"/>
  <c r="AP297" i="11"/>
  <c r="L297" i="11"/>
  <c r="BB297" i="19"/>
  <c r="Q297" i="11" s="1"/>
  <c r="Z297" i="11"/>
  <c r="P298" i="11"/>
  <c r="Z298" i="11"/>
  <c r="L298" i="11"/>
  <c r="AP298" i="11"/>
  <c r="BB298" i="19"/>
  <c r="Q298" i="11" s="1"/>
  <c r="P299" i="11"/>
  <c r="Z299" i="11"/>
  <c r="L299" i="11"/>
  <c r="AP299" i="11"/>
  <c r="BB299" i="19"/>
  <c r="Q299" i="11" s="1"/>
  <c r="P300" i="11"/>
  <c r="Z300" i="11"/>
  <c r="L300" i="11"/>
  <c r="AP300" i="11"/>
  <c r="BB300" i="19"/>
  <c r="Q300" i="11" s="1"/>
  <c r="P301" i="11"/>
  <c r="Z301" i="11"/>
  <c r="L301" i="11"/>
  <c r="AP301" i="11"/>
  <c r="BB301" i="19"/>
  <c r="Q301" i="11" s="1"/>
  <c r="P302" i="11"/>
  <c r="Z302" i="11"/>
  <c r="L302" i="11"/>
  <c r="AP302" i="11"/>
  <c r="BB302" i="19"/>
  <c r="Q302" i="11" s="1"/>
  <c r="P303" i="11"/>
  <c r="Z303" i="11"/>
  <c r="L303" i="11"/>
  <c r="AP303" i="11"/>
  <c r="BB303" i="19"/>
  <c r="Q303" i="11" s="1"/>
  <c r="P304" i="11"/>
  <c r="Z304" i="11"/>
  <c r="L304" i="11"/>
  <c r="BB304" i="19"/>
  <c r="Q304" i="11" s="1"/>
  <c r="AP304" i="11"/>
  <c r="P305" i="11"/>
  <c r="L305" i="11"/>
  <c r="AP305" i="11"/>
  <c r="Z305" i="11"/>
  <c r="BB305" i="19"/>
  <c r="Q305" i="11" s="1"/>
  <c r="L306" i="11"/>
  <c r="P306" i="11"/>
  <c r="AP306" i="11"/>
  <c r="BB306" i="19"/>
  <c r="Q306" i="11" s="1"/>
  <c r="Z306" i="11"/>
  <c r="P307" i="11"/>
  <c r="Z307" i="11"/>
  <c r="L307" i="11"/>
  <c r="AP307" i="11"/>
  <c r="BB307" i="19"/>
  <c r="Q307" i="11" s="1"/>
  <c r="P308" i="11"/>
  <c r="Z308" i="11"/>
  <c r="L308" i="11"/>
  <c r="BB308" i="19"/>
  <c r="Q308" i="11" s="1"/>
  <c r="AP308" i="11"/>
  <c r="Z309" i="11"/>
  <c r="P309" i="11"/>
  <c r="AP309" i="11"/>
  <c r="BB309" i="19"/>
  <c r="Q309" i="11" s="1"/>
  <c r="L309" i="11"/>
  <c r="P310" i="11"/>
  <c r="Z310" i="11"/>
  <c r="BB310" i="19"/>
  <c r="Q310" i="11" s="1"/>
  <c r="L310" i="11"/>
  <c r="AP310" i="11"/>
  <c r="P311" i="11"/>
  <c r="AP311" i="11"/>
  <c r="L311" i="11"/>
  <c r="BB311" i="19"/>
  <c r="Q311" i="11" s="1"/>
  <c r="Z311" i="11"/>
  <c r="P312" i="11"/>
  <c r="BB312" i="19"/>
  <c r="Q312" i="11" s="1"/>
  <c r="AP312" i="11"/>
  <c r="Z312" i="11"/>
  <c r="L312" i="11"/>
  <c r="P313" i="11"/>
  <c r="AP313" i="11"/>
  <c r="L313" i="11"/>
  <c r="BB313" i="19"/>
  <c r="Q313" i="11" s="1"/>
  <c r="Z313" i="11"/>
  <c r="L314" i="11"/>
  <c r="P314" i="11"/>
  <c r="AP314" i="11"/>
  <c r="Z314" i="11"/>
  <c r="BB314" i="19"/>
  <c r="Q314" i="11" s="1"/>
  <c r="P315" i="11"/>
  <c r="Z315" i="11"/>
  <c r="L315" i="11"/>
  <c r="AP315" i="11"/>
  <c r="BB315" i="19"/>
  <c r="Q315" i="11" s="1"/>
  <c r="P316" i="11"/>
  <c r="Z316" i="11"/>
  <c r="L316" i="11"/>
  <c r="AP316" i="11"/>
  <c r="BB316" i="19"/>
  <c r="Q316" i="11" s="1"/>
  <c r="Z317" i="11"/>
  <c r="P317" i="11"/>
  <c r="L317" i="11"/>
  <c r="AP317" i="11"/>
  <c r="BB317" i="19"/>
  <c r="Q317" i="11" s="1"/>
  <c r="Z318" i="11"/>
  <c r="L318" i="11"/>
  <c r="P318" i="11"/>
  <c r="AP318" i="11"/>
  <c r="BB318" i="19"/>
  <c r="Q318" i="11" s="1"/>
  <c r="Z319" i="11"/>
  <c r="P319" i="11"/>
  <c r="L319" i="11"/>
  <c r="BB319" i="19"/>
  <c r="Q319" i="11" s="1"/>
  <c r="AP319" i="11"/>
  <c r="P320" i="11"/>
  <c r="Z320" i="11"/>
  <c r="BB320" i="19"/>
  <c r="Q320" i="11" s="1"/>
  <c r="L320" i="11"/>
  <c r="AP320" i="11"/>
  <c r="P321" i="11"/>
  <c r="AP321" i="11"/>
  <c r="Z321" i="11"/>
  <c r="BB321" i="19"/>
  <c r="Q321" i="11" s="1"/>
  <c r="L321" i="11"/>
  <c r="P322" i="11"/>
  <c r="AP322" i="11"/>
  <c r="L322" i="11"/>
  <c r="Z322" i="11"/>
  <c r="BB322" i="19"/>
  <c r="Q322" i="11" s="1"/>
  <c r="P323" i="11"/>
  <c r="L323" i="11"/>
  <c r="AP323" i="11"/>
  <c r="Z323" i="11"/>
  <c r="BB323" i="19"/>
  <c r="Q323" i="11" s="1"/>
  <c r="P324" i="11"/>
  <c r="L324" i="11"/>
  <c r="Z324" i="11"/>
  <c r="AP324" i="11"/>
  <c r="BB324" i="19"/>
  <c r="Q324" i="11" s="1"/>
  <c r="P325" i="11"/>
  <c r="Z325" i="11"/>
  <c r="L325" i="11"/>
  <c r="AP325" i="11"/>
  <c r="BB325" i="19"/>
  <c r="Q325" i="11" s="1"/>
  <c r="P326" i="11"/>
  <c r="Z326" i="11"/>
  <c r="AP326" i="11"/>
  <c r="BB326" i="19"/>
  <c r="Q326" i="11" s="1"/>
  <c r="L326" i="11"/>
  <c r="P327" i="11"/>
  <c r="Z327" i="11"/>
  <c r="AP327" i="11"/>
  <c r="BB327" i="19"/>
  <c r="Q327" i="11" s="1"/>
  <c r="L327" i="11"/>
  <c r="P328" i="11"/>
  <c r="BB328" i="19"/>
  <c r="Q328" i="11" s="1"/>
  <c r="L328" i="11"/>
  <c r="Z328" i="11"/>
  <c r="AP328" i="11"/>
  <c r="AP329" i="11"/>
  <c r="Z329" i="11"/>
  <c r="BB329" i="19"/>
  <c r="Q329" i="11" s="1"/>
  <c r="L329" i="11"/>
  <c r="P329" i="11"/>
  <c r="P330" i="11"/>
  <c r="Z330" i="11"/>
  <c r="AP330" i="11"/>
  <c r="L330" i="11"/>
  <c r="BB330" i="19"/>
  <c r="Q330" i="11" s="1"/>
  <c r="P331" i="11"/>
  <c r="L331" i="11"/>
  <c r="Z331" i="11"/>
  <c r="AP331" i="11"/>
  <c r="BB331" i="19"/>
  <c r="Q331" i="11" s="1"/>
  <c r="P332" i="11"/>
  <c r="L332" i="11"/>
  <c r="Z332" i="11"/>
  <c r="AP332" i="11"/>
  <c r="BB332" i="19"/>
  <c r="Q332" i="11" s="1"/>
  <c r="P333" i="11"/>
  <c r="Z333" i="11"/>
  <c r="L333" i="11"/>
  <c r="BB333" i="19"/>
  <c r="Q333" i="11" s="1"/>
  <c r="AP333" i="11"/>
  <c r="Z334" i="11"/>
  <c r="L334" i="11"/>
  <c r="P334" i="11"/>
  <c r="AP334" i="11"/>
  <c r="BB334" i="19"/>
  <c r="Q334" i="11" s="1"/>
  <c r="Z335" i="11"/>
  <c r="L335" i="11"/>
  <c r="BB335" i="19"/>
  <c r="Q335" i="11" s="1"/>
  <c r="AP335" i="11"/>
  <c r="P335" i="11"/>
  <c r="P336" i="11"/>
  <c r="AP336" i="11"/>
  <c r="BB336" i="19"/>
  <c r="Q336" i="11" s="1"/>
  <c r="L336" i="11"/>
  <c r="Z336" i="11"/>
  <c r="P337" i="11"/>
  <c r="AP337" i="11"/>
  <c r="BB337" i="19"/>
  <c r="Q337" i="11" s="1"/>
  <c r="L337" i="11"/>
  <c r="Z337" i="11"/>
  <c r="P338" i="11"/>
  <c r="AP338" i="11"/>
  <c r="L338" i="11"/>
  <c r="BB338" i="19"/>
  <c r="Q338" i="11" s="1"/>
  <c r="Z338" i="11"/>
  <c r="P339" i="11"/>
  <c r="L339" i="11"/>
  <c r="AP339" i="11"/>
  <c r="BB339" i="19"/>
  <c r="Q339" i="11" s="1"/>
  <c r="Z339" i="11"/>
  <c r="P340" i="11"/>
  <c r="L340" i="11"/>
  <c r="Z340" i="11"/>
  <c r="AP340" i="11"/>
  <c r="BB340" i="19"/>
  <c r="Q340" i="11" s="1"/>
  <c r="P341" i="11"/>
  <c r="Z341" i="11"/>
  <c r="L341" i="11"/>
  <c r="AP341" i="11"/>
  <c r="BB341" i="19"/>
  <c r="Q341" i="11" s="1"/>
  <c r="P342" i="11"/>
  <c r="Z342" i="11"/>
  <c r="L342" i="11"/>
  <c r="AP342" i="11"/>
  <c r="BB342" i="19"/>
  <c r="Q342" i="11" s="1"/>
  <c r="P343" i="11"/>
  <c r="Z343" i="11"/>
  <c r="L343" i="11"/>
  <c r="AP343" i="11"/>
  <c r="BB343" i="19"/>
  <c r="Q343" i="11" s="1"/>
  <c r="P344" i="11"/>
  <c r="Z344" i="11"/>
  <c r="BB344" i="19"/>
  <c r="Q344" i="11" s="1"/>
  <c r="L344" i="11"/>
  <c r="AP344" i="11"/>
  <c r="P345" i="11"/>
  <c r="AP345" i="11"/>
  <c r="Z345" i="11"/>
  <c r="BB345" i="19"/>
  <c r="Q345" i="11" s="1"/>
  <c r="L345" i="11"/>
  <c r="P346" i="11"/>
  <c r="AP346" i="11"/>
  <c r="Z346" i="11"/>
  <c r="L346" i="11"/>
  <c r="BB346" i="19"/>
  <c r="Q346" i="11" s="1"/>
  <c r="P347" i="11"/>
  <c r="L347" i="11"/>
  <c r="AP347" i="11"/>
  <c r="Z347" i="11"/>
  <c r="BB347" i="19"/>
  <c r="Q347" i="11" s="1"/>
  <c r="P348" i="11"/>
  <c r="L348" i="11"/>
  <c r="Z348" i="11"/>
  <c r="AP348" i="11"/>
  <c r="BB348" i="19"/>
  <c r="Q348" i="11" s="1"/>
  <c r="P349" i="11"/>
  <c r="Z349" i="11"/>
  <c r="L349" i="11"/>
  <c r="AP349" i="11"/>
  <c r="BB349" i="19"/>
  <c r="Q349" i="11" s="1"/>
  <c r="Z350" i="11"/>
  <c r="P350" i="11"/>
  <c r="L350" i="11"/>
  <c r="AP350" i="11"/>
  <c r="BB350" i="19"/>
  <c r="Q350" i="11" s="1"/>
  <c r="Z351" i="11"/>
  <c r="P351" i="11"/>
  <c r="L351" i="11"/>
  <c r="AP351" i="11"/>
  <c r="BB351" i="19"/>
  <c r="Q351" i="11" s="1"/>
  <c r="P352" i="11"/>
  <c r="BB352" i="19"/>
  <c r="Q352" i="11" s="1"/>
  <c r="Z352" i="11"/>
  <c r="L352" i="11"/>
  <c r="AP352" i="11"/>
  <c r="P353" i="11"/>
  <c r="AP353" i="11"/>
  <c r="BB353" i="19"/>
  <c r="Q353" i="11" s="1"/>
  <c r="Z353" i="11"/>
  <c r="L353" i="11"/>
  <c r="P354" i="11"/>
  <c r="AP354" i="11"/>
  <c r="Z354" i="11"/>
  <c r="L354" i="11"/>
  <c r="BB354" i="19"/>
  <c r="Q354" i="11" s="1"/>
  <c r="P355" i="11"/>
  <c r="Z355" i="11"/>
  <c r="L355" i="11"/>
  <c r="AP355" i="11"/>
  <c r="BB355" i="19"/>
  <c r="Q355" i="11" s="1"/>
  <c r="P3" i="11"/>
  <c r="Z3" i="11"/>
  <c r="L3" i="11"/>
  <c r="AP3" i="11"/>
  <c r="BB3" i="19"/>
  <c r="Q3" i="11" s="1"/>
  <c r="P4" i="11"/>
  <c r="Z4" i="11"/>
  <c r="L4" i="11"/>
  <c r="AP4" i="11"/>
  <c r="BB4" i="19"/>
  <c r="Q4" i="11" s="1"/>
  <c r="P5" i="11"/>
  <c r="L5" i="11"/>
  <c r="AP5" i="11"/>
  <c r="Z5" i="11"/>
  <c r="BB5" i="19"/>
  <c r="Q5" i="11" s="1"/>
  <c r="P6" i="11"/>
  <c r="L6" i="11"/>
  <c r="AP6" i="11"/>
  <c r="Z6" i="11"/>
  <c r="BB6" i="19"/>
  <c r="Q6" i="11" s="1"/>
  <c r="P7" i="11"/>
  <c r="BB7" i="19"/>
  <c r="Q7" i="11" s="1"/>
  <c r="L7" i="11"/>
  <c r="Z7" i="11"/>
  <c r="AP7" i="11"/>
  <c r="P8" i="11"/>
  <c r="Z8" i="11"/>
  <c r="BB8" i="19"/>
  <c r="Q8" i="11" s="1"/>
  <c r="L8" i="11"/>
  <c r="AP8" i="11"/>
  <c r="P9" i="11"/>
  <c r="Z9" i="11"/>
  <c r="AP9" i="11"/>
  <c r="BB9" i="19"/>
  <c r="Q9" i="11" s="1"/>
  <c r="L9" i="11"/>
  <c r="P10" i="11"/>
  <c r="Z10" i="11"/>
  <c r="L10" i="11"/>
  <c r="AP10" i="11"/>
  <c r="BB10" i="19"/>
  <c r="Q10" i="11" s="1"/>
  <c r="P11" i="11"/>
  <c r="Z11" i="11"/>
  <c r="L11" i="11"/>
  <c r="AP11" i="11"/>
  <c r="BB11" i="19"/>
  <c r="Q11" i="11" s="1"/>
  <c r="P12" i="11"/>
  <c r="Z12" i="11"/>
  <c r="L12" i="11"/>
  <c r="BB12" i="19"/>
  <c r="Q12" i="11" s="1"/>
  <c r="AP12" i="11"/>
  <c r="P13" i="11"/>
  <c r="Z13" i="11"/>
  <c r="BB13" i="19"/>
  <c r="Q13" i="11" s="1"/>
  <c r="L13" i="11"/>
  <c r="AP13" i="11"/>
  <c r="Z14" i="11"/>
  <c r="P14" i="11"/>
  <c r="BB14" i="19"/>
  <c r="Q14" i="11" s="1"/>
  <c r="L14" i="11"/>
  <c r="AP14" i="11"/>
  <c r="Z15" i="11"/>
  <c r="BB15" i="19"/>
  <c r="Q15" i="11" s="1"/>
  <c r="P15" i="11"/>
  <c r="L15" i="11"/>
  <c r="AP15" i="11"/>
  <c r="Z16" i="11"/>
  <c r="BB16" i="19"/>
  <c r="Q16" i="11" s="1"/>
  <c r="L16" i="11"/>
  <c r="AP16" i="11"/>
  <c r="P16" i="11"/>
  <c r="P17" i="11"/>
  <c r="L17" i="11"/>
  <c r="AP17" i="11"/>
  <c r="Z17" i="11"/>
  <c r="BB17" i="19"/>
  <c r="Q17" i="11" s="1"/>
  <c r="P18" i="11"/>
  <c r="Z18" i="11"/>
  <c r="L18" i="11"/>
  <c r="AP18" i="11"/>
  <c r="BB18" i="19"/>
  <c r="Q18" i="11" s="1"/>
  <c r="P19" i="11"/>
  <c r="Z19" i="11"/>
  <c r="L19" i="11"/>
  <c r="AP19" i="11"/>
  <c r="BB19" i="19"/>
  <c r="Q19" i="11" s="1"/>
  <c r="P20" i="11"/>
  <c r="Z20" i="11"/>
  <c r="L20" i="11"/>
  <c r="AP20" i="11"/>
  <c r="BB20" i="19"/>
  <c r="Q20" i="11" s="1"/>
  <c r="P21" i="11"/>
  <c r="L21" i="11"/>
  <c r="Z21" i="11"/>
  <c r="AP21" i="11"/>
  <c r="BB21" i="19"/>
  <c r="Q21" i="11" s="1"/>
  <c r="P22" i="11"/>
  <c r="L22" i="11"/>
  <c r="AP22" i="11"/>
  <c r="BB22" i="19"/>
  <c r="Q22" i="11" s="1"/>
  <c r="Z22" i="11"/>
  <c r="P23" i="11"/>
  <c r="Z23" i="11"/>
  <c r="BB23" i="19"/>
  <c r="Q23" i="11" s="1"/>
  <c r="L23" i="11"/>
  <c r="AP23" i="11"/>
  <c r="P24" i="11"/>
  <c r="Z24" i="11"/>
  <c r="BB24" i="19"/>
  <c r="Q24" i="11" s="1"/>
  <c r="AP24" i="11"/>
  <c r="L24" i="11"/>
  <c r="P25" i="11"/>
  <c r="Z25" i="11"/>
  <c r="AP25" i="11"/>
  <c r="BB25" i="19"/>
  <c r="Q25" i="11" s="1"/>
  <c r="L25" i="11"/>
  <c r="P26" i="11"/>
  <c r="Z26" i="11"/>
  <c r="L26" i="11"/>
  <c r="AP26" i="11"/>
  <c r="BB26" i="19"/>
  <c r="Q26" i="11" s="1"/>
  <c r="P27" i="11"/>
  <c r="Z27" i="11"/>
  <c r="L27" i="11"/>
  <c r="AP27" i="11"/>
  <c r="BB27" i="19"/>
  <c r="Q27" i="11" s="1"/>
  <c r="P28" i="11"/>
  <c r="Z28" i="11"/>
  <c r="L28" i="11"/>
  <c r="BB28" i="19"/>
  <c r="Q28" i="11" s="1"/>
  <c r="AP28" i="11"/>
  <c r="P29" i="11"/>
  <c r="Z29" i="11"/>
  <c r="BB29" i="19"/>
  <c r="Q29" i="11" s="1"/>
  <c r="L29" i="11"/>
  <c r="AP29" i="11"/>
  <c r="P30" i="11"/>
  <c r="L30" i="11"/>
  <c r="AP30" i="11"/>
  <c r="Z30" i="11"/>
  <c r="BB30" i="19"/>
  <c r="Q30" i="11" s="1"/>
  <c r="P31" i="11"/>
  <c r="L31" i="11"/>
  <c r="BB31" i="19"/>
  <c r="Q31" i="11" s="1"/>
  <c r="Z31" i="11"/>
  <c r="AP31" i="11"/>
  <c r="P32" i="11"/>
  <c r="L32" i="11"/>
  <c r="BB32" i="19"/>
  <c r="Q32" i="11" s="1"/>
  <c r="AP32" i="11"/>
  <c r="Z32" i="11"/>
  <c r="AP33" i="11"/>
  <c r="L33" i="11"/>
  <c r="BB33" i="19"/>
  <c r="Q33" i="11" s="1"/>
  <c r="Z33" i="11"/>
  <c r="P33" i="11"/>
  <c r="P34" i="11"/>
  <c r="Z34" i="11"/>
  <c r="L34" i="11"/>
  <c r="AP34" i="11"/>
  <c r="BB34" i="19"/>
  <c r="Q34" i="11" s="1"/>
  <c r="P35" i="11"/>
  <c r="Z35" i="11"/>
  <c r="L35" i="11"/>
  <c r="AP35" i="11"/>
  <c r="BB35" i="19"/>
  <c r="Q35" i="11" s="1"/>
  <c r="P36" i="11"/>
  <c r="Z36" i="11"/>
  <c r="L36" i="11"/>
  <c r="AP36" i="11"/>
  <c r="BB36" i="19"/>
  <c r="Q36" i="11" s="1"/>
  <c r="P37" i="11"/>
  <c r="Z37" i="11"/>
  <c r="L37" i="11"/>
  <c r="AP37" i="11"/>
  <c r="BB37" i="19"/>
  <c r="Q37" i="11" s="1"/>
  <c r="P38" i="11"/>
  <c r="Z38" i="11"/>
  <c r="BB38" i="19"/>
  <c r="Q38" i="11" s="1"/>
  <c r="L38" i="11"/>
  <c r="AP38" i="11"/>
  <c r="P39" i="11"/>
  <c r="Z39" i="11"/>
  <c r="BB39" i="19"/>
  <c r="Q39" i="11" s="1"/>
  <c r="L39" i="11"/>
  <c r="AP39" i="11"/>
  <c r="P40" i="11"/>
  <c r="Z40" i="11"/>
  <c r="BB40" i="19"/>
  <c r="Q40" i="11" s="1"/>
  <c r="AP40" i="11"/>
  <c r="L40" i="11"/>
  <c r="P41" i="11"/>
  <c r="Z41" i="11"/>
  <c r="AP41" i="11"/>
  <c r="BB41" i="19"/>
  <c r="Q41" i="11" s="1"/>
  <c r="L41" i="11"/>
  <c r="P42" i="11"/>
  <c r="Z42" i="11"/>
  <c r="L42" i="11"/>
  <c r="AP42" i="11"/>
  <c r="BB42" i="19"/>
  <c r="Q42" i="11" s="1"/>
  <c r="P43" i="11"/>
  <c r="Z43" i="11"/>
  <c r="L43" i="11"/>
  <c r="AP43" i="11"/>
  <c r="BB43" i="19"/>
  <c r="Q43" i="11" s="1"/>
  <c r="P44" i="11"/>
  <c r="Z44" i="11"/>
  <c r="L44" i="11"/>
  <c r="BB44" i="19"/>
  <c r="Q44" i="11" s="1"/>
  <c r="AP44" i="11"/>
  <c r="P45" i="11"/>
  <c r="L45" i="11"/>
  <c r="Z45" i="11"/>
  <c r="BB45" i="19"/>
  <c r="Q45" i="11" s="1"/>
  <c r="AP45" i="11"/>
  <c r="L46" i="11"/>
  <c r="Z46" i="11"/>
  <c r="P46" i="11"/>
  <c r="AP46" i="11"/>
  <c r="BB46" i="19"/>
  <c r="Q46" i="11" s="1"/>
  <c r="BB47" i="19"/>
  <c r="Q47" i="11" s="1"/>
  <c r="L47" i="11"/>
  <c r="Z47" i="11"/>
  <c r="P47" i="11"/>
  <c r="AP47" i="11"/>
  <c r="Z48" i="11"/>
  <c r="BB48" i="19"/>
  <c r="Q48" i="11" s="1"/>
  <c r="P48" i="11"/>
  <c r="AP48" i="11"/>
  <c r="L48" i="11"/>
  <c r="Z49" i="11"/>
  <c r="P49" i="11"/>
  <c r="AP49" i="11"/>
  <c r="BB49" i="19"/>
  <c r="Q49" i="11" s="1"/>
  <c r="L49" i="11"/>
  <c r="P50" i="11"/>
  <c r="Z50" i="11"/>
  <c r="L50" i="11"/>
  <c r="AP50" i="11"/>
  <c r="BB50" i="19"/>
  <c r="Q50" i="11" s="1"/>
  <c r="P51" i="11"/>
  <c r="Z51" i="11"/>
  <c r="L51" i="11"/>
  <c r="AP51" i="11"/>
  <c r="BB51" i="19"/>
  <c r="Q51" i="11" s="1"/>
  <c r="P52" i="11"/>
  <c r="Z52" i="11"/>
  <c r="L52" i="11"/>
  <c r="AP52" i="11"/>
  <c r="BB52" i="19"/>
  <c r="Q52" i="11" s="1"/>
  <c r="P53" i="11"/>
  <c r="Z53" i="11"/>
  <c r="AP53" i="11"/>
  <c r="BB53" i="19"/>
  <c r="Q53" i="11" s="1"/>
  <c r="L53" i="11"/>
  <c r="P54" i="11"/>
  <c r="Z54" i="11"/>
  <c r="AP54" i="11"/>
  <c r="BB54" i="19"/>
  <c r="Q54" i="11" s="1"/>
  <c r="L54" i="11"/>
  <c r="P55" i="11"/>
  <c r="BB55" i="19"/>
  <c r="Q55" i="11" s="1"/>
  <c r="L55" i="11"/>
  <c r="Z55" i="11"/>
  <c r="AP55" i="11"/>
  <c r="P56" i="11"/>
  <c r="L56" i="11"/>
  <c r="BB56" i="19"/>
  <c r="Q56" i="11" s="1"/>
  <c r="AP56" i="11"/>
  <c r="Z56" i="11"/>
  <c r="P57" i="11"/>
  <c r="AP57" i="11"/>
  <c r="L57" i="11"/>
  <c r="BB57" i="19"/>
  <c r="Q57" i="11" s="1"/>
  <c r="Z57" i="11"/>
  <c r="P58" i="11"/>
  <c r="Z58" i="11"/>
  <c r="L58" i="11"/>
  <c r="AP58" i="11"/>
  <c r="BB58" i="19"/>
  <c r="Q58" i="11" s="1"/>
  <c r="AC160" i="4"/>
  <c r="I127" i="4"/>
  <c r="AC159" i="4"/>
  <c r="AC145" i="4"/>
  <c r="AC158" i="4"/>
  <c r="I128" i="4"/>
  <c r="I107" i="4"/>
  <c r="BG354" i="11"/>
  <c r="R357" i="12"/>
  <c r="S357" i="12"/>
  <c r="X2" i="11"/>
  <c r="X2" i="26"/>
  <c r="O2" i="11"/>
  <c r="O2" i="26"/>
  <c r="P7" i="4"/>
  <c r="Z7" i="4" s="1"/>
  <c r="V7" i="24"/>
  <c r="V87" i="24"/>
  <c r="T107" i="5"/>
  <c r="V93" i="24"/>
  <c r="T127" i="5"/>
  <c r="V109" i="24"/>
  <c r="T129" i="5"/>
  <c r="V110" i="24"/>
  <c r="P5" i="4"/>
  <c r="Z5" i="4" s="1"/>
  <c r="V5" i="24"/>
  <c r="L6" i="4"/>
  <c r="V6" i="24"/>
  <c r="L8" i="4"/>
  <c r="V8" i="24"/>
  <c r="T128" i="5"/>
  <c r="V163" i="24"/>
  <c r="X7" i="4"/>
  <c r="T7" i="24"/>
  <c r="X107" i="4"/>
  <c r="T93" i="24"/>
  <c r="X129" i="4"/>
  <c r="T110" i="24"/>
  <c r="X5" i="4"/>
  <c r="T5" i="24"/>
  <c r="X6" i="4"/>
  <c r="T6" i="24"/>
  <c r="X8" i="4"/>
  <c r="T8" i="24"/>
  <c r="X128" i="4"/>
  <c r="T163" i="24"/>
  <c r="S128" i="12"/>
  <c r="R128" i="12"/>
  <c r="BG125" i="11"/>
  <c r="S168" i="12"/>
  <c r="R168" i="12"/>
  <c r="BG165" i="11"/>
  <c r="S121" i="12"/>
  <c r="R121" i="12"/>
  <c r="BG118" i="11"/>
  <c r="S185" i="12"/>
  <c r="R185" i="12"/>
  <c r="BG182" i="11"/>
  <c r="S193" i="12"/>
  <c r="R193" i="12"/>
  <c r="BG190" i="11"/>
  <c r="S201" i="12"/>
  <c r="R201" i="12"/>
  <c r="BG198" i="1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S64" i="12"/>
  <c r="R64" i="12"/>
  <c r="BG61" i="11"/>
  <c r="S120" i="12"/>
  <c r="R120" i="12"/>
  <c r="BG117" i="11"/>
  <c r="S113" i="12"/>
  <c r="R113" i="12"/>
  <c r="BG110" i="11"/>
  <c r="S137" i="12"/>
  <c r="R137" i="12"/>
  <c r="BG134" i="11"/>
  <c r="S169" i="12"/>
  <c r="R169" i="12"/>
  <c r="BG166" i="11"/>
  <c r="S177" i="12"/>
  <c r="R177" i="12"/>
  <c r="BG174" i="1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S91" i="12"/>
  <c r="R91" i="12"/>
  <c r="BG88" i="11"/>
  <c r="S99" i="12"/>
  <c r="R99" i="12"/>
  <c r="BG96" i="11"/>
  <c r="S107" i="12"/>
  <c r="R107" i="12"/>
  <c r="BG104" i="11"/>
  <c r="S115" i="12"/>
  <c r="R115" i="12"/>
  <c r="BG112" i="11"/>
  <c r="S123" i="12"/>
  <c r="R123" i="12"/>
  <c r="BG120" i="11"/>
  <c r="S131" i="12"/>
  <c r="R131" i="12"/>
  <c r="BG128" i="11"/>
  <c r="S139" i="12"/>
  <c r="R139" i="12"/>
  <c r="BG136" i="11"/>
  <c r="S147" i="12"/>
  <c r="R147" i="12"/>
  <c r="BG144" i="11"/>
  <c r="S155" i="12"/>
  <c r="R155" i="12"/>
  <c r="BG152" i="11"/>
  <c r="S163" i="12"/>
  <c r="R163" i="12"/>
  <c r="BG160" i="11"/>
  <c r="S171" i="12"/>
  <c r="R171" i="12"/>
  <c r="BG168" i="11"/>
  <c r="S179" i="12"/>
  <c r="R179" i="12"/>
  <c r="BG176" i="11"/>
  <c r="S187" i="12"/>
  <c r="R187" i="12"/>
  <c r="BG184" i="11"/>
  <c r="S195" i="12"/>
  <c r="R195" i="12"/>
  <c r="BG192" i="11"/>
  <c r="S203" i="12"/>
  <c r="R203" i="12"/>
  <c r="BG200" i="11"/>
  <c r="S211" i="12"/>
  <c r="R211" i="12"/>
  <c r="BG208" i="11"/>
  <c r="S219" i="12"/>
  <c r="R219" i="12"/>
  <c r="BG216" i="11"/>
  <c r="S227" i="12"/>
  <c r="R227" i="12"/>
  <c r="BG224" i="11"/>
  <c r="S235" i="12"/>
  <c r="R235" i="12"/>
  <c r="BG232" i="11"/>
  <c r="S243" i="12"/>
  <c r="R243" i="12"/>
  <c r="BG240" i="11"/>
  <c r="S251" i="12"/>
  <c r="R251" i="12"/>
  <c r="BG248" i="11"/>
  <c r="S259" i="12"/>
  <c r="R259" i="12"/>
  <c r="BG256" i="11"/>
  <c r="S267" i="12"/>
  <c r="R267" i="12"/>
  <c r="BG264" i="11"/>
  <c r="S275" i="12"/>
  <c r="R275" i="12"/>
  <c r="BG272" i="11"/>
  <c r="R283" i="12"/>
  <c r="S283" i="12"/>
  <c r="BG280" i="11"/>
  <c r="S291" i="12"/>
  <c r="R291" i="12"/>
  <c r="BG288" i="11"/>
  <c r="S299" i="12"/>
  <c r="R299" i="12"/>
  <c r="BG296" i="11"/>
  <c r="S307" i="12"/>
  <c r="R307" i="12"/>
  <c r="BG304" i="11"/>
  <c r="S315" i="12"/>
  <c r="R315" i="12"/>
  <c r="BG312" i="11"/>
  <c r="S323" i="12"/>
  <c r="R323" i="12"/>
  <c r="BG320" i="11"/>
  <c r="S331" i="12"/>
  <c r="R331" i="12"/>
  <c r="BG328" i="11"/>
  <c r="S339" i="12"/>
  <c r="R339" i="12"/>
  <c r="BG336" i="11"/>
  <c r="S347" i="12"/>
  <c r="R347" i="12"/>
  <c r="BG344" i="11"/>
  <c r="S355" i="12"/>
  <c r="R355" i="12"/>
  <c r="BG352" i="11"/>
  <c r="S10" i="12"/>
  <c r="R10" i="12"/>
  <c r="BG7" i="11"/>
  <c r="S18" i="12"/>
  <c r="R18" i="12"/>
  <c r="BG15" i="11"/>
  <c r="S26" i="12"/>
  <c r="R26" i="12"/>
  <c r="BG23" i="11"/>
  <c r="S34" i="12"/>
  <c r="R34" i="12"/>
  <c r="BG31" i="11"/>
  <c r="S42" i="12"/>
  <c r="R42" i="12"/>
  <c r="BG39" i="11"/>
  <c r="S50" i="12"/>
  <c r="R50" i="12"/>
  <c r="BG47" i="11"/>
  <c r="S58" i="12"/>
  <c r="R58" i="12"/>
  <c r="BG55" i="11"/>
  <c r="S152" i="12"/>
  <c r="R152" i="12"/>
  <c r="BG149" i="1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S76" i="12"/>
  <c r="R76" i="12"/>
  <c r="BG73" i="1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S140" i="12"/>
  <c r="R140" i="12"/>
  <c r="BG137" i="11"/>
  <c r="S148" i="12"/>
  <c r="R148" i="12"/>
  <c r="BG145" i="11"/>
  <c r="S156" i="12"/>
  <c r="R156" i="12"/>
  <c r="BG153" i="11"/>
  <c r="R164" i="12"/>
  <c r="S164" i="12"/>
  <c r="BG161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S204" i="12"/>
  <c r="R204" i="12"/>
  <c r="BG201" i="11"/>
  <c r="S212" i="12"/>
  <c r="R212" i="12"/>
  <c r="BG209" i="11"/>
  <c r="S220" i="12"/>
  <c r="R220" i="12"/>
  <c r="BG217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S260" i="12"/>
  <c r="R260" i="12"/>
  <c r="BG257" i="11"/>
  <c r="S268" i="12"/>
  <c r="R268" i="12"/>
  <c r="BG265" i="11"/>
  <c r="S276" i="12"/>
  <c r="R276" i="12"/>
  <c r="BG273" i="11"/>
  <c r="S284" i="12"/>
  <c r="R284" i="12"/>
  <c r="BG281" i="11"/>
  <c r="S292" i="12"/>
  <c r="R292" i="12"/>
  <c r="BG289" i="11"/>
  <c r="S300" i="12"/>
  <c r="R300" i="12"/>
  <c r="BG297" i="11"/>
  <c r="S308" i="12"/>
  <c r="R308" i="12"/>
  <c r="BG305" i="11"/>
  <c r="S316" i="12"/>
  <c r="R316" i="12"/>
  <c r="BG313" i="11"/>
  <c r="R324" i="12"/>
  <c r="S324" i="12"/>
  <c r="BG321" i="11"/>
  <c r="S332" i="12"/>
  <c r="R332" i="12"/>
  <c r="BG329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S104" i="12"/>
  <c r="R104" i="12"/>
  <c r="BG101" i="1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S161" i="12"/>
  <c r="R161" i="12"/>
  <c r="BG158" i="11"/>
  <c r="S217" i="12"/>
  <c r="R217" i="12"/>
  <c r="BG214" i="11"/>
  <c r="S66" i="12"/>
  <c r="R66" i="12"/>
  <c r="BG63" i="1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S85" i="12"/>
  <c r="R85" i="12"/>
  <c r="BG82" i="11"/>
  <c r="S341" i="12"/>
  <c r="R341" i="12"/>
  <c r="BG338" i="11"/>
  <c r="S349" i="12"/>
  <c r="R349" i="12"/>
  <c r="BG346" i="11"/>
  <c r="S12" i="12"/>
  <c r="R12" i="12"/>
  <c r="BG9" i="11"/>
  <c r="S20" i="12"/>
  <c r="R20" i="12"/>
  <c r="BG17" i="11"/>
  <c r="S28" i="12"/>
  <c r="R28" i="12"/>
  <c r="BG25" i="11"/>
  <c r="S36" i="12"/>
  <c r="R36" i="12"/>
  <c r="BG33" i="11"/>
  <c r="S44" i="12"/>
  <c r="R44" i="12"/>
  <c r="BG41" i="11"/>
  <c r="S52" i="12"/>
  <c r="R52" i="12"/>
  <c r="BG49" i="11"/>
  <c r="S60" i="12"/>
  <c r="R60" i="12"/>
  <c r="BG57" i="11"/>
  <c r="S160" i="12"/>
  <c r="R160" i="12"/>
  <c r="BG157" i="11"/>
  <c r="S184" i="12"/>
  <c r="R184" i="12"/>
  <c r="BG181" i="11"/>
  <c r="S97" i="12"/>
  <c r="R97" i="12"/>
  <c r="BG94" i="11"/>
  <c r="S90" i="12"/>
  <c r="R90" i="12"/>
  <c r="BG87" i="11"/>
  <c r="S98" i="12"/>
  <c r="R98" i="12"/>
  <c r="BG95" i="11"/>
  <c r="S210" i="12"/>
  <c r="R210" i="12"/>
  <c r="BG207" i="11"/>
  <c r="S266" i="12"/>
  <c r="R266" i="12"/>
  <c r="BG263" i="11"/>
  <c r="R330" i="12"/>
  <c r="S330" i="12"/>
  <c r="BG327" i="11"/>
  <c r="S69" i="12"/>
  <c r="R69" i="12"/>
  <c r="BG66" i="11"/>
  <c r="S77" i="12"/>
  <c r="R77" i="12"/>
  <c r="BG74" i="11"/>
  <c r="S93" i="12"/>
  <c r="R93" i="12"/>
  <c r="BG90" i="1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S165" i="12"/>
  <c r="R165" i="12"/>
  <c r="BG162" i="11"/>
  <c r="S181" i="12"/>
  <c r="R181" i="12"/>
  <c r="BG178" i="11"/>
  <c r="S189" i="12"/>
  <c r="R189" i="12"/>
  <c r="BG186" i="11"/>
  <c r="S213" i="12"/>
  <c r="R213" i="12"/>
  <c r="BG210" i="11"/>
  <c r="S229" i="12"/>
  <c r="R229" i="12"/>
  <c r="BG226" i="11"/>
  <c r="S261" i="12"/>
  <c r="R261" i="12"/>
  <c r="BG258" i="11"/>
  <c r="S269" i="12"/>
  <c r="R269" i="12"/>
  <c r="BG266" i="11"/>
  <c r="R285" i="12"/>
  <c r="S285" i="12"/>
  <c r="BG282" i="11"/>
  <c r="R293" i="12"/>
  <c r="S293" i="12"/>
  <c r="BG290" i="11"/>
  <c r="R301" i="12"/>
  <c r="S301" i="12"/>
  <c r="BG298" i="11"/>
  <c r="R309" i="12"/>
  <c r="S309" i="12"/>
  <c r="BG306" i="11"/>
  <c r="S317" i="12"/>
  <c r="R317" i="12"/>
  <c r="BG314" i="11"/>
  <c r="S325" i="12"/>
  <c r="R325" i="12"/>
  <c r="BG322" i="11"/>
  <c r="S333" i="12"/>
  <c r="R333" i="12"/>
  <c r="BG330" i="11"/>
  <c r="S70" i="12"/>
  <c r="R70" i="12"/>
  <c r="BG67" i="11"/>
  <c r="S78" i="12"/>
  <c r="R78" i="12"/>
  <c r="BG75" i="11"/>
  <c r="S86" i="12"/>
  <c r="R86" i="12"/>
  <c r="BG83" i="11"/>
  <c r="S94" i="12"/>
  <c r="R94" i="12"/>
  <c r="BG91" i="11"/>
  <c r="S102" i="12"/>
  <c r="R102" i="12"/>
  <c r="BG99" i="11"/>
  <c r="S110" i="12"/>
  <c r="R110" i="12"/>
  <c r="BG107" i="11"/>
  <c r="S118" i="12"/>
  <c r="R118" i="12"/>
  <c r="BG115" i="11"/>
  <c r="S126" i="12"/>
  <c r="R126" i="12"/>
  <c r="BG123" i="11"/>
  <c r="S134" i="12"/>
  <c r="R134" i="12"/>
  <c r="BG131" i="11"/>
  <c r="S142" i="12"/>
  <c r="R142" i="12"/>
  <c r="BG139" i="11"/>
  <c r="S150" i="12"/>
  <c r="R150" i="12"/>
  <c r="BG147" i="11"/>
  <c r="S158" i="12"/>
  <c r="R158" i="12"/>
  <c r="BG155" i="11"/>
  <c r="S166" i="12"/>
  <c r="R166" i="12"/>
  <c r="BG163" i="11"/>
  <c r="S174" i="12"/>
  <c r="R174" i="12"/>
  <c r="BG171" i="11"/>
  <c r="S182" i="12"/>
  <c r="R182" i="12"/>
  <c r="BG179" i="11"/>
  <c r="S190" i="12"/>
  <c r="R190" i="12"/>
  <c r="BG187" i="11"/>
  <c r="S198" i="12"/>
  <c r="R198" i="12"/>
  <c r="BG195" i="11"/>
  <c r="S206" i="12"/>
  <c r="R206" i="12"/>
  <c r="BG203" i="11"/>
  <c r="S214" i="12"/>
  <c r="R214" i="12"/>
  <c r="BG211" i="11"/>
  <c r="S222" i="12"/>
  <c r="R222" i="12"/>
  <c r="BG219" i="11"/>
  <c r="S230" i="12"/>
  <c r="R230" i="12"/>
  <c r="BG227" i="11"/>
  <c r="S238" i="12"/>
  <c r="R238" i="12"/>
  <c r="BG235" i="11"/>
  <c r="R246" i="12"/>
  <c r="S246" i="12"/>
  <c r="BG243" i="11"/>
  <c r="R254" i="12"/>
  <c r="S254" i="12"/>
  <c r="BG251" i="11"/>
  <c r="R262" i="12"/>
  <c r="S262" i="12"/>
  <c r="BG259" i="11"/>
  <c r="R270" i="12"/>
  <c r="S270" i="12"/>
  <c r="BG267" i="11"/>
  <c r="S278" i="12"/>
  <c r="R278" i="12"/>
  <c r="BG275" i="11"/>
  <c r="S286" i="12"/>
  <c r="R286" i="12"/>
  <c r="BG283" i="11"/>
  <c r="S294" i="12"/>
  <c r="R294" i="12"/>
  <c r="BG291" i="11"/>
  <c r="S302" i="12"/>
  <c r="R302" i="12"/>
  <c r="BG299" i="11"/>
  <c r="S310" i="12"/>
  <c r="R310" i="12"/>
  <c r="BG307" i="11"/>
  <c r="S318" i="12"/>
  <c r="R318" i="12"/>
  <c r="BG315" i="11"/>
  <c r="S326" i="12"/>
  <c r="R326" i="12"/>
  <c r="BG323" i="11"/>
  <c r="S334" i="12"/>
  <c r="R334" i="12"/>
  <c r="BG331" i="11"/>
  <c r="S342" i="12"/>
  <c r="R342" i="12"/>
  <c r="BG339" i="11"/>
  <c r="S350" i="12"/>
  <c r="R350" i="12"/>
  <c r="BG347" i="1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S68" i="12"/>
  <c r="R68" i="12"/>
  <c r="BG65" i="11"/>
  <c r="S62" i="12"/>
  <c r="R62" i="12"/>
  <c r="BG59" i="11"/>
  <c r="S125" i="12"/>
  <c r="R125" i="12"/>
  <c r="BG122" i="1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S237" i="12"/>
  <c r="R237" i="12"/>
  <c r="BG234" i="11"/>
  <c r="S245" i="12"/>
  <c r="R245" i="12"/>
  <c r="BG242" i="11"/>
  <c r="S253" i="12"/>
  <c r="R253" i="12"/>
  <c r="BG250" i="11"/>
  <c r="R277" i="12"/>
  <c r="S277" i="12"/>
  <c r="BG274" i="11"/>
  <c r="S63" i="12"/>
  <c r="R63" i="12"/>
  <c r="BG60" i="11"/>
  <c r="S71" i="12"/>
  <c r="R71" i="12"/>
  <c r="BG68" i="11"/>
  <c r="S79" i="12"/>
  <c r="R79" i="12"/>
  <c r="BG76" i="1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S143" i="12"/>
  <c r="R143" i="12"/>
  <c r="BG140" i="11"/>
  <c r="S151" i="12"/>
  <c r="R151" i="12"/>
  <c r="BG148" i="11"/>
  <c r="S159" i="12"/>
  <c r="R159" i="12"/>
  <c r="BG156" i="11"/>
  <c r="S167" i="12"/>
  <c r="R167" i="12"/>
  <c r="BG164" i="11"/>
  <c r="S175" i="12"/>
  <c r="R175" i="12"/>
  <c r="BG172" i="11"/>
  <c r="S183" i="12"/>
  <c r="R183" i="12"/>
  <c r="BG180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S231" i="12"/>
  <c r="R231" i="12"/>
  <c r="BG228" i="11"/>
  <c r="S239" i="12"/>
  <c r="R239" i="12"/>
  <c r="BG236" i="11"/>
  <c r="S247" i="12"/>
  <c r="R247" i="12"/>
  <c r="BG244" i="11"/>
  <c r="S255" i="12"/>
  <c r="R255" i="12"/>
  <c r="BG252" i="11"/>
  <c r="S263" i="12"/>
  <c r="R263" i="12"/>
  <c r="BG260" i="11"/>
  <c r="S271" i="12"/>
  <c r="R271" i="12"/>
  <c r="BG268" i="11"/>
  <c r="R279" i="12"/>
  <c r="S279" i="12"/>
  <c r="BG276" i="11"/>
  <c r="R287" i="12"/>
  <c r="S287" i="12"/>
  <c r="BG284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S14" i="12"/>
  <c r="R14" i="12"/>
  <c r="BG11" i="11"/>
  <c r="S22" i="12"/>
  <c r="R22" i="12"/>
  <c r="BG19" i="11"/>
  <c r="S30" i="12"/>
  <c r="R30" i="12"/>
  <c r="BG27" i="11"/>
  <c r="S38" i="12"/>
  <c r="R38" i="12"/>
  <c r="BG35" i="11"/>
  <c r="S46" i="12"/>
  <c r="R46" i="12"/>
  <c r="BG43" i="11"/>
  <c r="S54" i="12"/>
  <c r="R54" i="12"/>
  <c r="BG51" i="11"/>
  <c r="S80" i="12"/>
  <c r="R80" i="12"/>
  <c r="BG77" i="11"/>
  <c r="S96" i="12"/>
  <c r="R96" i="12"/>
  <c r="BG93" i="11"/>
  <c r="S192" i="12"/>
  <c r="R192" i="12"/>
  <c r="BG189" i="11"/>
  <c r="S200" i="12"/>
  <c r="R200" i="12"/>
  <c r="BG197" i="11"/>
  <c r="S208" i="12"/>
  <c r="R208" i="12"/>
  <c r="BG205" i="11"/>
  <c r="S216" i="12"/>
  <c r="R216" i="12"/>
  <c r="BG213" i="11"/>
  <c r="S224" i="12"/>
  <c r="R224" i="12"/>
  <c r="BG221" i="11"/>
  <c r="S232" i="12"/>
  <c r="R232" i="12"/>
  <c r="BG229" i="11"/>
  <c r="S240" i="12"/>
  <c r="R240" i="12"/>
  <c r="BG237" i="11"/>
  <c r="S248" i="12"/>
  <c r="R248" i="12"/>
  <c r="BG245" i="11"/>
  <c r="S256" i="12"/>
  <c r="R256" i="12"/>
  <c r="BG253" i="11"/>
  <c r="S264" i="12"/>
  <c r="R264" i="12"/>
  <c r="BG261" i="11"/>
  <c r="R272" i="12"/>
  <c r="S272" i="12"/>
  <c r="BG269" i="11"/>
  <c r="S280" i="12"/>
  <c r="R280" i="12"/>
  <c r="BG277" i="11"/>
  <c r="S288" i="12"/>
  <c r="R288" i="12"/>
  <c r="BG285" i="11"/>
  <c r="S296" i="12"/>
  <c r="R296" i="12"/>
  <c r="BG293" i="11"/>
  <c r="S304" i="12"/>
  <c r="R304" i="12"/>
  <c r="BG301" i="11"/>
  <c r="R312" i="12"/>
  <c r="S312" i="12"/>
  <c r="BG309" i="11"/>
  <c r="S320" i="12"/>
  <c r="R320" i="12"/>
  <c r="BG317" i="11"/>
  <c r="S328" i="12"/>
  <c r="R328" i="12"/>
  <c r="BG325" i="11"/>
  <c r="S336" i="12"/>
  <c r="R336" i="12"/>
  <c r="BG333" i="11"/>
  <c r="S344" i="12"/>
  <c r="R344" i="12"/>
  <c r="BG341" i="1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S72" i="12"/>
  <c r="R72" i="12"/>
  <c r="BG69" i="1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S345" i="12"/>
  <c r="R345" i="12"/>
  <c r="BG342" i="11"/>
  <c r="S353" i="12"/>
  <c r="R353" i="12"/>
  <c r="BG350" i="11"/>
  <c r="S8" i="12"/>
  <c r="R8" i="12"/>
  <c r="BG5" i="11"/>
  <c r="S16" i="12"/>
  <c r="R16" i="12"/>
  <c r="BG13" i="11"/>
  <c r="S24" i="12"/>
  <c r="R24" i="12"/>
  <c r="BG21" i="11"/>
  <c r="S32" i="12"/>
  <c r="R32" i="12"/>
  <c r="BG29" i="11"/>
  <c r="R40" i="12"/>
  <c r="S40" i="12"/>
  <c r="BG37" i="11"/>
  <c r="R48" i="12"/>
  <c r="S48" i="12"/>
  <c r="BG45" i="11"/>
  <c r="S56" i="12"/>
  <c r="R56" i="12"/>
  <c r="BG53" i="11"/>
  <c r="J5" i="6"/>
  <c r="O5" i="18"/>
  <c r="I5" i="6"/>
  <c r="D5" i="6"/>
  <c r="C5" i="6"/>
  <c r="A5" i="18"/>
  <c r="P5" i="18"/>
  <c r="C5" i="18"/>
  <c r="C136" i="18"/>
  <c r="D136" i="6"/>
  <c r="J136" i="6"/>
  <c r="P136" i="18"/>
  <c r="I136" i="6"/>
  <c r="C136" i="6"/>
  <c r="O136" i="18"/>
  <c r="A136" i="18"/>
  <c r="C168" i="6"/>
  <c r="C168" i="18"/>
  <c r="J168" i="6"/>
  <c r="I168" i="6"/>
  <c r="D168" i="6"/>
  <c r="O168" i="18"/>
  <c r="A168" i="18"/>
  <c r="P168" i="18"/>
  <c r="I123" i="6"/>
  <c r="J123" i="6"/>
  <c r="D123" i="6"/>
  <c r="A123" i="18"/>
  <c r="C123" i="18"/>
  <c r="C123" i="6"/>
  <c r="P123" i="18"/>
  <c r="O123" i="18"/>
  <c r="I116" i="6"/>
  <c r="J116" i="6"/>
  <c r="A116" i="18"/>
  <c r="D116" i="6"/>
  <c r="C116" i="6"/>
  <c r="O116" i="18"/>
  <c r="C116" i="18"/>
  <c r="P116" i="18"/>
  <c r="J111" i="6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P106" i="18"/>
  <c r="O106" i="18"/>
  <c r="A106" i="18"/>
  <c r="I99" i="6"/>
  <c r="J99" i="6"/>
  <c r="D99" i="6"/>
  <c r="A99" i="18"/>
  <c r="C99" i="18"/>
  <c r="P99" i="18"/>
  <c r="C99" i="6"/>
  <c r="O99" i="18"/>
  <c r="I92" i="6"/>
  <c r="J92" i="6"/>
  <c r="A92" i="18"/>
  <c r="D92" i="6"/>
  <c r="C92" i="6"/>
  <c r="O92" i="18"/>
  <c r="P92" i="18"/>
  <c r="C92" i="18"/>
  <c r="I158" i="6"/>
  <c r="J158" i="6"/>
  <c r="P158" i="18"/>
  <c r="D158" i="6"/>
  <c r="C158" i="6"/>
  <c r="O158" i="18"/>
  <c r="C158" i="18"/>
  <c r="A158" i="18"/>
  <c r="D81" i="6"/>
  <c r="J81" i="6"/>
  <c r="C81" i="18"/>
  <c r="C81" i="6"/>
  <c r="A81" i="18"/>
  <c r="P81" i="18"/>
  <c r="O81" i="18"/>
  <c r="I81" i="6"/>
  <c r="D73" i="6"/>
  <c r="J73" i="6"/>
  <c r="C73" i="18"/>
  <c r="P73" i="18"/>
  <c r="O73" i="18"/>
  <c r="A73" i="18"/>
  <c r="I73" i="6"/>
  <c r="C73" i="6"/>
  <c r="A154" i="18"/>
  <c r="J154" i="6"/>
  <c r="C154" i="6"/>
  <c r="I154" i="6"/>
  <c r="D154" i="6"/>
  <c r="C154" i="18"/>
  <c r="P154" i="18"/>
  <c r="O154" i="18"/>
  <c r="I60" i="6"/>
  <c r="J60" i="6"/>
  <c r="A60" i="18"/>
  <c r="D60" i="6"/>
  <c r="C60" i="6"/>
  <c r="O60" i="18"/>
  <c r="P60" i="18"/>
  <c r="C60" i="18"/>
  <c r="C53" i="6"/>
  <c r="O53" i="18"/>
  <c r="J53" i="6"/>
  <c r="I53" i="6"/>
  <c r="C53" i="18"/>
  <c r="D53" i="6"/>
  <c r="P53" i="18"/>
  <c r="A53" i="18"/>
  <c r="C46" i="6"/>
  <c r="J46" i="6"/>
  <c r="I46" i="6"/>
  <c r="D46" i="6"/>
  <c r="P46" i="18"/>
  <c r="O46" i="18"/>
  <c r="C46" i="18"/>
  <c r="A46" i="18"/>
  <c r="J39" i="6"/>
  <c r="I39" i="6"/>
  <c r="D39" i="6"/>
  <c r="C39" i="6"/>
  <c r="C39" i="18"/>
  <c r="A39" i="18"/>
  <c r="P39" i="18"/>
  <c r="O39" i="18"/>
  <c r="J149" i="6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A24" i="18"/>
  <c r="D17" i="6"/>
  <c r="C17" i="6"/>
  <c r="I17" i="6"/>
  <c r="J17" i="6"/>
  <c r="P17" i="18"/>
  <c r="O17" i="18"/>
  <c r="C17" i="18"/>
  <c r="A17" i="18"/>
  <c r="D9" i="6"/>
  <c r="I9" i="6"/>
  <c r="C9" i="6"/>
  <c r="A9" i="18"/>
  <c r="J9" i="6"/>
  <c r="P9" i="18"/>
  <c r="O9" i="18"/>
  <c r="C9" i="18"/>
  <c r="D143" i="6"/>
  <c r="J143" i="6"/>
  <c r="I143" i="6"/>
  <c r="A143" i="18"/>
  <c r="P143" i="18"/>
  <c r="O143" i="18"/>
  <c r="C143" i="18"/>
  <c r="C143" i="6"/>
  <c r="J135" i="6"/>
  <c r="D135" i="6"/>
  <c r="A135" i="18"/>
  <c r="I135" i="6"/>
  <c r="C135" i="6"/>
  <c r="O135" i="18"/>
  <c r="C135" i="18"/>
  <c r="P135" i="18"/>
  <c r="D129" i="6"/>
  <c r="J129" i="6"/>
  <c r="C129" i="18"/>
  <c r="I129" i="6"/>
  <c r="C129" i="6"/>
  <c r="P129" i="18"/>
  <c r="O129" i="18"/>
  <c r="A129" i="18"/>
  <c r="J122" i="6"/>
  <c r="C122" i="18"/>
  <c r="I122" i="6"/>
  <c r="D122" i="6"/>
  <c r="P122" i="18"/>
  <c r="C122" i="6"/>
  <c r="O122" i="18"/>
  <c r="A122" i="18"/>
  <c r="I115" i="6"/>
  <c r="J115" i="6"/>
  <c r="D115" i="6"/>
  <c r="A115" i="18"/>
  <c r="C115" i="6"/>
  <c r="P115" i="18"/>
  <c r="O115" i="18"/>
  <c r="C115" i="18"/>
  <c r="C110" i="6"/>
  <c r="J110" i="6"/>
  <c r="I110" i="6"/>
  <c r="D110" i="6"/>
  <c r="A110" i="18"/>
  <c r="O110" i="18"/>
  <c r="P110" i="18"/>
  <c r="C110" i="18"/>
  <c r="D105" i="6"/>
  <c r="J105" i="6"/>
  <c r="C105" i="18"/>
  <c r="P105" i="18"/>
  <c r="O105" i="18"/>
  <c r="I105" i="6"/>
  <c r="C105" i="6"/>
  <c r="A105" i="18"/>
  <c r="J98" i="6"/>
  <c r="C98" i="18"/>
  <c r="I98" i="6"/>
  <c r="D98" i="6"/>
  <c r="C98" i="6"/>
  <c r="A98" i="18"/>
  <c r="P98" i="18"/>
  <c r="O98" i="18"/>
  <c r="I91" i="6"/>
  <c r="J91" i="6"/>
  <c r="D91" i="6"/>
  <c r="A91" i="18"/>
  <c r="C91" i="18"/>
  <c r="C91" i="6"/>
  <c r="P91" i="18"/>
  <c r="O91" i="18"/>
  <c r="D80" i="6"/>
  <c r="P80" i="18"/>
  <c r="J80" i="6"/>
  <c r="I80" i="6"/>
  <c r="A80" i="18"/>
  <c r="C80" i="6"/>
  <c r="O80" i="18"/>
  <c r="C80" i="18"/>
  <c r="D72" i="6"/>
  <c r="P72" i="18"/>
  <c r="J72" i="6"/>
  <c r="I72" i="6"/>
  <c r="C72" i="6"/>
  <c r="O72" i="18"/>
  <c r="C72" i="18"/>
  <c r="A72" i="18"/>
  <c r="J66" i="6"/>
  <c r="C66" i="18"/>
  <c r="I66" i="6"/>
  <c r="D66" i="6"/>
  <c r="C66" i="6"/>
  <c r="P66" i="18"/>
  <c r="O66" i="18"/>
  <c r="A66" i="18"/>
  <c r="I59" i="6"/>
  <c r="J59" i="6"/>
  <c r="D59" i="6"/>
  <c r="A59" i="18"/>
  <c r="C59" i="18"/>
  <c r="C59" i="6"/>
  <c r="P59" i="18"/>
  <c r="O59" i="18"/>
  <c r="I151" i="6"/>
  <c r="D151" i="6"/>
  <c r="C151" i="6"/>
  <c r="C151" i="18"/>
  <c r="J151" i="6"/>
  <c r="P151" i="18"/>
  <c r="O151" i="18"/>
  <c r="A151" i="18"/>
  <c r="I150" i="6"/>
  <c r="P150" i="18"/>
  <c r="D150" i="6"/>
  <c r="J150" i="6"/>
  <c r="C150" i="6"/>
  <c r="A150" i="18"/>
  <c r="O150" i="18"/>
  <c r="C150" i="18"/>
  <c r="C38" i="6"/>
  <c r="J38" i="6"/>
  <c r="I38" i="6"/>
  <c r="P38" i="18"/>
  <c r="D38" i="6"/>
  <c r="O38" i="18"/>
  <c r="C38" i="18"/>
  <c r="A38" i="18"/>
  <c r="J31" i="6"/>
  <c r="I31" i="6"/>
  <c r="D31" i="6"/>
  <c r="O31" i="18"/>
  <c r="C31" i="6"/>
  <c r="P31" i="18"/>
  <c r="C31" i="18"/>
  <c r="A31" i="18"/>
  <c r="J23" i="6"/>
  <c r="I23" i="6"/>
  <c r="D23" i="6"/>
  <c r="C23" i="6"/>
  <c r="O23" i="18"/>
  <c r="C23" i="18"/>
  <c r="A23" i="18"/>
  <c r="P23" i="18"/>
  <c r="I16" i="6"/>
  <c r="P16" i="18"/>
  <c r="D16" i="6"/>
  <c r="C16" i="6"/>
  <c r="A16" i="18"/>
  <c r="J16" i="6"/>
  <c r="O16" i="18"/>
  <c r="C16" i="18"/>
  <c r="I142" i="6"/>
  <c r="J142" i="6"/>
  <c r="P142" i="18"/>
  <c r="C142" i="6"/>
  <c r="D142" i="6"/>
  <c r="A142" i="18"/>
  <c r="O142" i="18"/>
  <c r="C142" i="18"/>
  <c r="J169" i="6"/>
  <c r="D169" i="6"/>
  <c r="C169" i="6"/>
  <c r="O169" i="18"/>
  <c r="C169" i="18"/>
  <c r="I169" i="6"/>
  <c r="P169" i="18"/>
  <c r="A169" i="18"/>
  <c r="C128" i="18"/>
  <c r="D128" i="6"/>
  <c r="J128" i="6"/>
  <c r="I128" i="6"/>
  <c r="C128" i="6"/>
  <c r="A128" i="18"/>
  <c r="P128" i="18"/>
  <c r="O128" i="18"/>
  <c r="D121" i="6"/>
  <c r="J121" i="6"/>
  <c r="C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D104" i="6"/>
  <c r="P104" i="18"/>
  <c r="J104" i="6"/>
  <c r="I104" i="6"/>
  <c r="C104" i="6"/>
  <c r="O104" i="18"/>
  <c r="C104" i="18"/>
  <c r="A104" i="18"/>
  <c r="D97" i="6"/>
  <c r="J97" i="6"/>
  <c r="C97" i="18"/>
  <c r="A97" i="18"/>
  <c r="P97" i="18"/>
  <c r="C97" i="6"/>
  <c r="O97" i="18"/>
  <c r="I97" i="6"/>
  <c r="J90" i="6"/>
  <c r="C90" i="18"/>
  <c r="I90" i="6"/>
  <c r="D90" i="6"/>
  <c r="P90" i="18"/>
  <c r="C90" i="6"/>
  <c r="O90" i="18"/>
  <c r="A90" i="18"/>
  <c r="I157" i="6"/>
  <c r="J157" i="6"/>
  <c r="C157" i="6"/>
  <c r="O157" i="18"/>
  <c r="C157" i="18"/>
  <c r="D157" i="6"/>
  <c r="P157" i="18"/>
  <c r="A157" i="18"/>
  <c r="J79" i="6"/>
  <c r="I79" i="6"/>
  <c r="P79" i="18"/>
  <c r="D79" i="6"/>
  <c r="C79" i="6"/>
  <c r="O79" i="18"/>
  <c r="C79" i="18"/>
  <c r="A79" i="18"/>
  <c r="C70" i="6"/>
  <c r="J70" i="6"/>
  <c r="I70" i="6"/>
  <c r="D70" i="6"/>
  <c r="A70" i="18"/>
  <c r="O70" i="18"/>
  <c r="C70" i="18"/>
  <c r="P70" i="18"/>
  <c r="D65" i="6"/>
  <c r="J65" i="6"/>
  <c r="C65" i="18"/>
  <c r="A65" i="18"/>
  <c r="P65" i="18"/>
  <c r="C65" i="6"/>
  <c r="O65" i="18"/>
  <c r="I65" i="6"/>
  <c r="J58" i="6"/>
  <c r="C58" i="18"/>
  <c r="I58" i="6"/>
  <c r="D58" i="6"/>
  <c r="C58" i="6"/>
  <c r="A58" i="18"/>
  <c r="P58" i="18"/>
  <c r="O58" i="18"/>
  <c r="I52" i="6"/>
  <c r="J52" i="6"/>
  <c r="A52" i="18"/>
  <c r="D52" i="6"/>
  <c r="C52" i="6"/>
  <c r="P52" i="18"/>
  <c r="O52" i="18"/>
  <c r="C52" i="18"/>
  <c r="O45" i="18"/>
  <c r="J45" i="6"/>
  <c r="I45" i="6"/>
  <c r="C45" i="18"/>
  <c r="A45" i="18"/>
  <c r="D45" i="6"/>
  <c r="C45" i="6"/>
  <c r="P45" i="18"/>
  <c r="J37" i="6"/>
  <c r="O37" i="18"/>
  <c r="I37" i="6"/>
  <c r="D37" i="6"/>
  <c r="C37" i="6"/>
  <c r="A37" i="18"/>
  <c r="P37" i="18"/>
  <c r="C37" i="18"/>
  <c r="C30" i="6"/>
  <c r="J30" i="6"/>
  <c r="I30" i="6"/>
  <c r="D30" i="6"/>
  <c r="P30" i="18"/>
  <c r="O30" i="18"/>
  <c r="C30" i="18"/>
  <c r="A30" i="18"/>
  <c r="C148" i="6"/>
  <c r="J148" i="6"/>
  <c r="D148" i="6"/>
  <c r="C148" i="18"/>
  <c r="O148" i="18"/>
  <c r="A148" i="18"/>
  <c r="I148" i="6"/>
  <c r="P148" i="18"/>
  <c r="J15" i="6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A8" i="18"/>
  <c r="C134" i="6"/>
  <c r="P134" i="18"/>
  <c r="J134" i="6"/>
  <c r="D134" i="6"/>
  <c r="O134" i="18"/>
  <c r="C134" i="18"/>
  <c r="I134" i="6"/>
  <c r="A134" i="18"/>
  <c r="J165" i="6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A96" i="18"/>
  <c r="C78" i="6"/>
  <c r="J78" i="6"/>
  <c r="I78" i="6"/>
  <c r="D78" i="6"/>
  <c r="A78" i="18"/>
  <c r="O78" i="18"/>
  <c r="P78" i="18"/>
  <c r="C78" i="18"/>
  <c r="I51" i="6"/>
  <c r="J51" i="6"/>
  <c r="D51" i="6"/>
  <c r="O51" i="18"/>
  <c r="P51" i="18"/>
  <c r="C51" i="18"/>
  <c r="A51" i="18"/>
  <c r="C51" i="6"/>
  <c r="I36" i="6"/>
  <c r="A36" i="18"/>
  <c r="J36" i="6"/>
  <c r="D36" i="6"/>
  <c r="C36" i="6"/>
  <c r="P36" i="18"/>
  <c r="O36" i="18"/>
  <c r="C36" i="18"/>
  <c r="C22" i="6"/>
  <c r="I22" i="6"/>
  <c r="J22" i="6"/>
  <c r="P22" i="18"/>
  <c r="O22" i="18"/>
  <c r="C22" i="18"/>
  <c r="D22" i="6"/>
  <c r="A22" i="18"/>
  <c r="C14" i="6"/>
  <c r="J14" i="6"/>
  <c r="I14" i="6"/>
  <c r="D14" i="6"/>
  <c r="C14" i="18"/>
  <c r="A14" i="18"/>
  <c r="P14" i="18"/>
  <c r="O14" i="18"/>
  <c r="J7" i="6"/>
  <c r="I7" i="6"/>
  <c r="D7" i="6"/>
  <c r="C7" i="6"/>
  <c r="A7" i="18"/>
  <c r="P7" i="18"/>
  <c r="O7" i="18"/>
  <c r="C7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P127" i="18"/>
  <c r="A127" i="18"/>
  <c r="C109" i="6"/>
  <c r="O109" i="18"/>
  <c r="J109" i="6"/>
  <c r="I109" i="6"/>
  <c r="P109" i="18"/>
  <c r="C109" i="18"/>
  <c r="D109" i="6"/>
  <c r="A109" i="18"/>
  <c r="J103" i="6"/>
  <c r="I103" i="6"/>
  <c r="P103" i="18"/>
  <c r="D103" i="6"/>
  <c r="O103" i="18"/>
  <c r="C103" i="6"/>
  <c r="C103" i="18"/>
  <c r="A103" i="18"/>
  <c r="D89" i="6"/>
  <c r="J89" i="6"/>
  <c r="C89" i="18"/>
  <c r="I89" i="6"/>
  <c r="P89" i="18"/>
  <c r="C89" i="6"/>
  <c r="O89" i="18"/>
  <c r="A89" i="18"/>
  <c r="J156" i="6"/>
  <c r="I156" i="6"/>
  <c r="P156" i="18"/>
  <c r="C156" i="6"/>
  <c r="O156" i="18"/>
  <c r="C156" i="18"/>
  <c r="A156" i="18"/>
  <c r="D156" i="6"/>
  <c r="J71" i="6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I44" i="6"/>
  <c r="A44" i="18"/>
  <c r="J44" i="6"/>
  <c r="D44" i="6"/>
  <c r="C44" i="18"/>
  <c r="C44" i="6"/>
  <c r="P44" i="18"/>
  <c r="O44" i="18"/>
  <c r="O29" i="18"/>
  <c r="J29" i="6"/>
  <c r="I29" i="6"/>
  <c r="C29" i="6"/>
  <c r="A29" i="18"/>
  <c r="P29" i="18"/>
  <c r="C29" i="18"/>
  <c r="D29" i="6"/>
  <c r="I140" i="6"/>
  <c r="C140" i="18"/>
  <c r="D140" i="6"/>
  <c r="C140" i="6"/>
  <c r="P140" i="18"/>
  <c r="J140" i="6"/>
  <c r="O140" i="18"/>
  <c r="A140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A126" i="18"/>
  <c r="D120" i="6"/>
  <c r="P120" i="18"/>
  <c r="J120" i="6"/>
  <c r="I120" i="6"/>
  <c r="O120" i="18"/>
  <c r="C120" i="18"/>
  <c r="C120" i="6"/>
  <c r="A120" i="18"/>
  <c r="C164" i="6"/>
  <c r="J164" i="6"/>
  <c r="D164" i="6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P108" i="18"/>
  <c r="C102" i="6"/>
  <c r="J102" i="6"/>
  <c r="I102" i="6"/>
  <c r="D102" i="6"/>
  <c r="A102" i="18"/>
  <c r="P102" i="18"/>
  <c r="O102" i="18"/>
  <c r="C102" i="18"/>
  <c r="J95" i="6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A88" i="18"/>
  <c r="C85" i="6"/>
  <c r="O85" i="18"/>
  <c r="J85" i="6"/>
  <c r="I85" i="6"/>
  <c r="A85" i="18"/>
  <c r="D85" i="6"/>
  <c r="P85" i="18"/>
  <c r="C85" i="18"/>
  <c r="C77" i="6"/>
  <c r="O77" i="18"/>
  <c r="J77" i="6"/>
  <c r="I77" i="6"/>
  <c r="P77" i="18"/>
  <c r="A77" i="18"/>
  <c r="D77" i="6"/>
  <c r="C77" i="18"/>
  <c r="C69" i="6"/>
  <c r="O69" i="18"/>
  <c r="J69" i="6"/>
  <c r="I69" i="6"/>
  <c r="C69" i="18"/>
  <c r="D69" i="6"/>
  <c r="P69" i="18"/>
  <c r="A69" i="18"/>
  <c r="D64" i="6"/>
  <c r="P64" i="18"/>
  <c r="J64" i="6"/>
  <c r="I64" i="6"/>
  <c r="C64" i="6"/>
  <c r="A64" i="18"/>
  <c r="O64" i="18"/>
  <c r="C64" i="18"/>
  <c r="D57" i="6"/>
  <c r="J57" i="6"/>
  <c r="C57" i="18"/>
  <c r="P57" i="18"/>
  <c r="I57" i="6"/>
  <c r="O57" i="18"/>
  <c r="C57" i="6"/>
  <c r="A57" i="18"/>
  <c r="J50" i="6"/>
  <c r="C50" i="18"/>
  <c r="I50" i="6"/>
  <c r="D50" i="6"/>
  <c r="C50" i="6"/>
  <c r="P50" i="18"/>
  <c r="O50" i="18"/>
  <c r="A50" i="18"/>
  <c r="C43" i="6"/>
  <c r="J43" i="6"/>
  <c r="I43" i="6"/>
  <c r="C43" i="18"/>
  <c r="D43" i="6"/>
  <c r="A43" i="18"/>
  <c r="P43" i="18"/>
  <c r="O43" i="18"/>
  <c r="J35" i="6"/>
  <c r="I35" i="6"/>
  <c r="C35" i="6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J21" i="6"/>
  <c r="O21" i="18"/>
  <c r="I21" i="6"/>
  <c r="D21" i="6"/>
  <c r="C21" i="6"/>
  <c r="P21" i="18"/>
  <c r="C21" i="18"/>
  <c r="A21" i="18"/>
  <c r="O13" i="18"/>
  <c r="I13" i="6"/>
  <c r="J13" i="6"/>
  <c r="D13" i="6"/>
  <c r="C13" i="6"/>
  <c r="P13" i="18"/>
  <c r="C13" i="18"/>
  <c r="A13" i="18"/>
  <c r="I167" i="6"/>
  <c r="D167" i="6"/>
  <c r="C167" i="6"/>
  <c r="J167" i="6"/>
  <c r="P167" i="18"/>
  <c r="O167" i="18"/>
  <c r="C167" i="18"/>
  <c r="A167" i="18"/>
  <c r="J114" i="6"/>
  <c r="C114" i="18"/>
  <c r="I114" i="6"/>
  <c r="D114" i="6"/>
  <c r="C114" i="6"/>
  <c r="A114" i="18"/>
  <c r="P114" i="18"/>
  <c r="O114" i="18"/>
  <c r="C101" i="6"/>
  <c r="O101" i="18"/>
  <c r="J101" i="6"/>
  <c r="I101" i="6"/>
  <c r="C101" i="18"/>
  <c r="A101" i="18"/>
  <c r="D101" i="6"/>
  <c r="P101" i="18"/>
  <c r="I84" i="6"/>
  <c r="J84" i="6"/>
  <c r="A84" i="18"/>
  <c r="D84" i="6"/>
  <c r="C84" i="6"/>
  <c r="O84" i="18"/>
  <c r="C84" i="18"/>
  <c r="P84" i="18"/>
  <c r="J63" i="6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A49" i="18"/>
  <c r="I49" i="6"/>
  <c r="D34" i="6"/>
  <c r="C34" i="18"/>
  <c r="C34" i="6"/>
  <c r="I34" i="6"/>
  <c r="P34" i="18"/>
  <c r="O34" i="18"/>
  <c r="A34" i="18"/>
  <c r="J34" i="6"/>
  <c r="I12" i="6"/>
  <c r="A12" i="18"/>
  <c r="J12" i="6"/>
  <c r="D12" i="6"/>
  <c r="O12" i="18"/>
  <c r="C12" i="18"/>
  <c r="C12" i="6"/>
  <c r="P12" i="18"/>
  <c r="A138" i="18"/>
  <c r="J138" i="6"/>
  <c r="C138" i="6"/>
  <c r="O138" i="18"/>
  <c r="I138" i="6"/>
  <c r="D138" i="6"/>
  <c r="P138" i="18"/>
  <c r="C138" i="18"/>
  <c r="O131" i="18"/>
  <c r="I131" i="6"/>
  <c r="J131" i="6"/>
  <c r="D131" i="6"/>
  <c r="C131" i="6"/>
  <c r="P131" i="18"/>
  <c r="C131" i="18"/>
  <c r="A131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O118" i="18"/>
  <c r="C118" i="18"/>
  <c r="A118" i="18"/>
  <c r="P118" i="18"/>
  <c r="D113" i="6"/>
  <c r="J113" i="6"/>
  <c r="C113" i="18"/>
  <c r="C113" i="6"/>
  <c r="P113" i="18"/>
  <c r="O113" i="18"/>
  <c r="A113" i="18"/>
  <c r="I113" i="6"/>
  <c r="C160" i="6"/>
  <c r="I160" i="6"/>
  <c r="C160" i="18"/>
  <c r="D160" i="6"/>
  <c r="O160" i="18"/>
  <c r="A160" i="18"/>
  <c r="P160" i="18"/>
  <c r="J160" i="6"/>
  <c r="C86" i="6"/>
  <c r="J86" i="6"/>
  <c r="I86" i="6"/>
  <c r="D86" i="6"/>
  <c r="O86" i="18"/>
  <c r="C86" i="18"/>
  <c r="P86" i="18"/>
  <c r="A86" i="18"/>
  <c r="I83" i="6"/>
  <c r="J83" i="6"/>
  <c r="D83" i="6"/>
  <c r="A83" i="18"/>
  <c r="P83" i="18"/>
  <c r="O83" i="18"/>
  <c r="C83" i="18"/>
  <c r="C83" i="6"/>
  <c r="I75" i="6"/>
  <c r="J75" i="6"/>
  <c r="D75" i="6"/>
  <c r="A75" i="18"/>
  <c r="P75" i="18"/>
  <c r="O75" i="18"/>
  <c r="C75" i="6"/>
  <c r="C75" i="18"/>
  <c r="I67" i="6"/>
  <c r="J67" i="6"/>
  <c r="D67" i="6"/>
  <c r="A67" i="18"/>
  <c r="C67" i="18"/>
  <c r="P67" i="18"/>
  <c r="C67" i="6"/>
  <c r="O67" i="18"/>
  <c r="C62" i="6"/>
  <c r="J62" i="6"/>
  <c r="I62" i="6"/>
  <c r="D62" i="6"/>
  <c r="P62" i="18"/>
  <c r="O62" i="18"/>
  <c r="C62" i="18"/>
  <c r="A62" i="18"/>
  <c r="J55" i="6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D41" i="6"/>
  <c r="I41" i="6"/>
  <c r="C41" i="6"/>
  <c r="J41" i="6"/>
  <c r="C41" i="18"/>
  <c r="A41" i="18"/>
  <c r="P41" i="18"/>
  <c r="O41" i="18"/>
  <c r="D33" i="6"/>
  <c r="I33" i="6"/>
  <c r="C33" i="6"/>
  <c r="J33" i="6"/>
  <c r="C33" i="18"/>
  <c r="A33" i="18"/>
  <c r="P33" i="18"/>
  <c r="O33" i="18"/>
  <c r="C26" i="18"/>
  <c r="J26" i="6"/>
  <c r="C26" i="6"/>
  <c r="D26" i="6"/>
  <c r="P26" i="18"/>
  <c r="O26" i="18"/>
  <c r="A26" i="18"/>
  <c r="I26" i="6"/>
  <c r="J19" i="6"/>
  <c r="I19" i="6"/>
  <c r="D19" i="6"/>
  <c r="P19" i="18"/>
  <c r="O19" i="18"/>
  <c r="C19" i="18"/>
  <c r="C19" i="6"/>
  <c r="A19" i="18"/>
  <c r="C11" i="6"/>
  <c r="J11" i="6"/>
  <c r="I11" i="6"/>
  <c r="P11" i="18"/>
  <c r="O11" i="18"/>
  <c r="D11" i="6"/>
  <c r="C11" i="18"/>
  <c r="A11" i="18"/>
  <c r="I132" i="6"/>
  <c r="C132" i="6"/>
  <c r="J132" i="6"/>
  <c r="A132" i="18"/>
  <c r="D132" i="6"/>
  <c r="C132" i="18"/>
  <c r="P132" i="18"/>
  <c r="O132" i="18"/>
  <c r="J119" i="6"/>
  <c r="I119" i="6"/>
  <c r="P119" i="18"/>
  <c r="D119" i="6"/>
  <c r="C119" i="6"/>
  <c r="A119" i="18"/>
  <c r="O119" i="18"/>
  <c r="C119" i="18"/>
  <c r="C94" i="6"/>
  <c r="J94" i="6"/>
  <c r="I94" i="6"/>
  <c r="D94" i="6"/>
  <c r="P94" i="18"/>
  <c r="C94" i="18"/>
  <c r="A94" i="18"/>
  <c r="O94" i="18"/>
  <c r="I76" i="6"/>
  <c r="J76" i="6"/>
  <c r="A76" i="18"/>
  <c r="D76" i="6"/>
  <c r="C76" i="6"/>
  <c r="O76" i="18"/>
  <c r="C76" i="18"/>
  <c r="P76" i="18"/>
  <c r="I68" i="6"/>
  <c r="J68" i="6"/>
  <c r="A68" i="18"/>
  <c r="D68" i="6"/>
  <c r="C68" i="6"/>
  <c r="O68" i="18"/>
  <c r="P68" i="18"/>
  <c r="C68" i="18"/>
  <c r="D56" i="6"/>
  <c r="P56" i="18"/>
  <c r="J56" i="6"/>
  <c r="I56" i="6"/>
  <c r="C56" i="6"/>
  <c r="A56" i="18"/>
  <c r="O56" i="18"/>
  <c r="C56" i="18"/>
  <c r="C42" i="18"/>
  <c r="J42" i="6"/>
  <c r="D42" i="6"/>
  <c r="C42" i="6"/>
  <c r="O42" i="18"/>
  <c r="P42" i="18"/>
  <c r="I42" i="6"/>
  <c r="A42" i="18"/>
  <c r="C27" i="6"/>
  <c r="J27" i="6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J137" i="6"/>
  <c r="D137" i="6"/>
  <c r="I137" i="6"/>
  <c r="C137" i="18"/>
  <c r="C137" i="6"/>
  <c r="A137" i="18"/>
  <c r="P137" i="18"/>
  <c r="O137" i="18"/>
  <c r="A130" i="18"/>
  <c r="I130" i="6"/>
  <c r="J130" i="6"/>
  <c r="D130" i="6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C117" i="6"/>
  <c r="O117" i="18"/>
  <c r="J117" i="6"/>
  <c r="I117" i="6"/>
  <c r="A117" i="18"/>
  <c r="D117" i="6"/>
  <c r="P117" i="18"/>
  <c r="C117" i="18"/>
  <c r="D112" i="6"/>
  <c r="P112" i="18"/>
  <c r="J112" i="6"/>
  <c r="I112" i="6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I100" i="6"/>
  <c r="J100" i="6"/>
  <c r="A100" i="18"/>
  <c r="D100" i="6"/>
  <c r="C100" i="6"/>
  <c r="O100" i="18"/>
  <c r="P100" i="18"/>
  <c r="C100" i="18"/>
  <c r="C93" i="6"/>
  <c r="O93" i="18"/>
  <c r="J93" i="6"/>
  <c r="I93" i="6"/>
  <c r="A93" i="18"/>
  <c r="C93" i="18"/>
  <c r="P93" i="18"/>
  <c r="D93" i="6"/>
  <c r="D159" i="6"/>
  <c r="J159" i="6"/>
  <c r="C159" i="18"/>
  <c r="O159" i="18"/>
  <c r="I159" i="6"/>
  <c r="P159" i="18"/>
  <c r="A159" i="18"/>
  <c r="C159" i="6"/>
  <c r="J82" i="6"/>
  <c r="C82" i="18"/>
  <c r="I82" i="6"/>
  <c r="D82" i="6"/>
  <c r="C82" i="6"/>
  <c r="A82" i="18"/>
  <c r="P82" i="18"/>
  <c r="O82" i="18"/>
  <c r="J74" i="6"/>
  <c r="C74" i="18"/>
  <c r="I74" i="6"/>
  <c r="D74" i="6"/>
  <c r="C74" i="6"/>
  <c r="A74" i="18"/>
  <c r="P74" i="18"/>
  <c r="O74" i="18"/>
  <c r="C144" i="6"/>
  <c r="I144" i="6"/>
  <c r="C144" i="18"/>
  <c r="D144" i="6"/>
  <c r="A144" i="18"/>
  <c r="P144" i="18"/>
  <c r="O144" i="18"/>
  <c r="J144" i="6"/>
  <c r="C61" i="6"/>
  <c r="O61" i="18"/>
  <c r="J61" i="6"/>
  <c r="I61" i="6"/>
  <c r="A61" i="18"/>
  <c r="C61" i="18"/>
  <c r="D61" i="6"/>
  <c r="P61" i="18"/>
  <c r="C54" i="6"/>
  <c r="J54" i="6"/>
  <c r="I54" i="6"/>
  <c r="D54" i="6"/>
  <c r="A54" i="18"/>
  <c r="P54" i="18"/>
  <c r="O54" i="18"/>
  <c r="C54" i="18"/>
  <c r="J47" i="6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A40" i="18"/>
  <c r="I32" i="6"/>
  <c r="P32" i="18"/>
  <c r="D32" i="6"/>
  <c r="C32" i="6"/>
  <c r="O32" i="18"/>
  <c r="J32" i="6"/>
  <c r="C32" i="18"/>
  <c r="A32" i="18"/>
  <c r="D25" i="6"/>
  <c r="I25" i="6"/>
  <c r="C25" i="6"/>
  <c r="J25" i="6"/>
  <c r="C25" i="18"/>
  <c r="A25" i="18"/>
  <c r="P25" i="18"/>
  <c r="O25" i="18"/>
  <c r="D18" i="6"/>
  <c r="C18" i="18"/>
  <c r="C18" i="6"/>
  <c r="A18" i="18"/>
  <c r="P18" i="18"/>
  <c r="J18" i="6"/>
  <c r="O18" i="18"/>
  <c r="I18" i="6"/>
  <c r="C10" i="18"/>
  <c r="J10" i="6"/>
  <c r="C10" i="6"/>
  <c r="I10" i="6"/>
  <c r="P10" i="18"/>
  <c r="O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BV119" i="4"/>
  <c r="BV114" i="4"/>
  <c r="BU114" i="4"/>
  <c r="BV101" i="4"/>
  <c r="BU101" i="4"/>
  <c r="BU94" i="4"/>
  <c r="BV94" i="4"/>
  <c r="BU87" i="4"/>
  <c r="BV87" i="4"/>
  <c r="BV84" i="4"/>
  <c r="BU84" i="4"/>
  <c r="BU76" i="4"/>
  <c r="BV76" i="4"/>
  <c r="BU68" i="4"/>
  <c r="BV68" i="4"/>
  <c r="BU63" i="4"/>
  <c r="BV63" i="4"/>
  <c r="BU56" i="4"/>
  <c r="BV56" i="4"/>
  <c r="BU49" i="4"/>
  <c r="BV49" i="4"/>
  <c r="BU42" i="4"/>
  <c r="BV42" i="4"/>
  <c r="BU34" i="4"/>
  <c r="BV34" i="4"/>
  <c r="BU27" i="4"/>
  <c r="BV27" i="4"/>
  <c r="BV20" i="4"/>
  <c r="BU20" i="4"/>
  <c r="BU12" i="4"/>
  <c r="BV12" i="4"/>
  <c r="BU138" i="4"/>
  <c r="BV138" i="4"/>
  <c r="BV131" i="4"/>
  <c r="BU131" i="4"/>
  <c r="BU125" i="4"/>
  <c r="BV125" i="4"/>
  <c r="BV118" i="4"/>
  <c r="BU118" i="4"/>
  <c r="BU113" i="4"/>
  <c r="BV113" i="4"/>
  <c r="BU160" i="4"/>
  <c r="BV160" i="4"/>
  <c r="BU86" i="4"/>
  <c r="BV86" i="4"/>
  <c r="BU83" i="4"/>
  <c r="BV83" i="4"/>
  <c r="BU75" i="4"/>
  <c r="BV75" i="4"/>
  <c r="BV67" i="4"/>
  <c r="BU67" i="4"/>
  <c r="BU62" i="4"/>
  <c r="BV62" i="4"/>
  <c r="BU55" i="4"/>
  <c r="BV55" i="4"/>
  <c r="BU48" i="4"/>
  <c r="BV48" i="4"/>
  <c r="BU41" i="4"/>
  <c r="BV41" i="4"/>
  <c r="BV33" i="4"/>
  <c r="BU33" i="4"/>
  <c r="BU26" i="4"/>
  <c r="BV26" i="4"/>
  <c r="BU19" i="4"/>
  <c r="BV19" i="4"/>
  <c r="BU11" i="4"/>
  <c r="BV11" i="4"/>
  <c r="BU137" i="4"/>
  <c r="BV137" i="4"/>
  <c r="BU130" i="4"/>
  <c r="BV130" i="4"/>
  <c r="BU124" i="4"/>
  <c r="BV124" i="4"/>
  <c r="BU117" i="4"/>
  <c r="BV117" i="4"/>
  <c r="BU112" i="4"/>
  <c r="BV112" i="4"/>
  <c r="BU107" i="4"/>
  <c r="BV107" i="4"/>
  <c r="BU100" i="4"/>
  <c r="BV100" i="4"/>
  <c r="BU93" i="4"/>
  <c r="BV93" i="4"/>
  <c r="BU159" i="4"/>
  <c r="BV159" i="4"/>
  <c r="BU82" i="4"/>
  <c r="BV82" i="4"/>
  <c r="BU74" i="4"/>
  <c r="BV74" i="4"/>
  <c r="BU144" i="4"/>
  <c r="BV144" i="4"/>
  <c r="BU61" i="4"/>
  <c r="BV61" i="4"/>
  <c r="BV54" i="4"/>
  <c r="BU54" i="4"/>
  <c r="BU47" i="4"/>
  <c r="BV47" i="4"/>
  <c r="BU40" i="4"/>
  <c r="BV40" i="4"/>
  <c r="BU32" i="4"/>
  <c r="BV32" i="4"/>
  <c r="BU25" i="4"/>
  <c r="BV25" i="4"/>
  <c r="BU18" i="4"/>
  <c r="BV18" i="4"/>
  <c r="BU10" i="4"/>
  <c r="BV10" i="4"/>
  <c r="BU123" i="4"/>
  <c r="BV123" i="4"/>
  <c r="BU116" i="4"/>
  <c r="BV116" i="4"/>
  <c r="BU111" i="4"/>
  <c r="BV111" i="4"/>
  <c r="BU106" i="4"/>
  <c r="BV106" i="4"/>
  <c r="BU99" i="4"/>
  <c r="BV99" i="4"/>
  <c r="BU92" i="4"/>
  <c r="BV92" i="4"/>
  <c r="BV158" i="4"/>
  <c r="BU158" i="4"/>
  <c r="BU81" i="4"/>
  <c r="BV81" i="4"/>
  <c r="BU73" i="4"/>
  <c r="BV73" i="4"/>
  <c r="BV154" i="4"/>
  <c r="BU154" i="4"/>
  <c r="BU60" i="4"/>
  <c r="BV60" i="4"/>
  <c r="BU53" i="4"/>
  <c r="BV53" i="4"/>
  <c r="BU46" i="4"/>
  <c r="BV46" i="4"/>
  <c r="BU39" i="4"/>
  <c r="BV39" i="4"/>
  <c r="BU149" i="4"/>
  <c r="BV149" i="4"/>
  <c r="BU24" i="4"/>
  <c r="BV24" i="4"/>
  <c r="BU17" i="4"/>
  <c r="BV17" i="4"/>
  <c r="BU9" i="4"/>
  <c r="BV9" i="4"/>
  <c r="X67" i="4"/>
  <c r="BU136" i="4"/>
  <c r="BV136" i="4"/>
  <c r="BU168" i="4"/>
  <c r="BV168" i="4"/>
  <c r="BV5" i="4"/>
  <c r="BU5" i="4"/>
  <c r="BU143" i="4"/>
  <c r="BV143" i="4"/>
  <c r="BV135" i="4"/>
  <c r="BU135" i="4"/>
  <c r="BU129" i="4"/>
  <c r="BV129" i="4"/>
  <c r="BU122" i="4"/>
  <c r="BV122" i="4"/>
  <c r="BU115" i="4"/>
  <c r="BV115" i="4"/>
  <c r="BU110" i="4"/>
  <c r="BV110" i="4"/>
  <c r="BU105" i="4"/>
  <c r="BV105" i="4"/>
  <c r="BU98" i="4"/>
  <c r="BV98" i="4"/>
  <c r="BU91" i="4"/>
  <c r="BV91" i="4"/>
  <c r="BU80" i="4"/>
  <c r="BV80" i="4"/>
  <c r="BU72" i="4"/>
  <c r="BV72" i="4"/>
  <c r="BU66" i="4"/>
  <c r="BV66" i="4"/>
  <c r="BU59" i="4"/>
  <c r="BV59" i="4"/>
  <c r="BU151" i="4"/>
  <c r="BV151" i="4"/>
  <c r="BV150" i="4"/>
  <c r="BU150" i="4"/>
  <c r="BU38" i="4"/>
  <c r="BV38" i="4"/>
  <c r="BU31" i="4"/>
  <c r="BV31" i="4"/>
  <c r="BU23" i="4"/>
  <c r="BV23" i="4"/>
  <c r="BU16" i="4"/>
  <c r="BV16" i="4"/>
  <c r="M154" i="4"/>
  <c r="BV142" i="4"/>
  <c r="BU142" i="4"/>
  <c r="BU169" i="4"/>
  <c r="BV169" i="4"/>
  <c r="BU128" i="4"/>
  <c r="BV128" i="4"/>
  <c r="BU121" i="4"/>
  <c r="BV121" i="4"/>
  <c r="BU146" i="4"/>
  <c r="BV146" i="4"/>
  <c r="BU104" i="4"/>
  <c r="BV104" i="4"/>
  <c r="BV97" i="4"/>
  <c r="BU97" i="4"/>
  <c r="BU90" i="4"/>
  <c r="BV90" i="4"/>
  <c r="BU157" i="4"/>
  <c r="BV157" i="4"/>
  <c r="BU79" i="4"/>
  <c r="BV79" i="4"/>
  <c r="BU70" i="4"/>
  <c r="BV70" i="4"/>
  <c r="BU65" i="4"/>
  <c r="BV65" i="4"/>
  <c r="BU58" i="4"/>
  <c r="BV58" i="4"/>
  <c r="BU52" i="4"/>
  <c r="BV52" i="4"/>
  <c r="BU45" i="4"/>
  <c r="BV45" i="4"/>
  <c r="BV37" i="4"/>
  <c r="BU37" i="4"/>
  <c r="BU30" i="4"/>
  <c r="BV30" i="4"/>
  <c r="BU148" i="4"/>
  <c r="BV148" i="4"/>
  <c r="BU15" i="4"/>
  <c r="BV15" i="4"/>
  <c r="BU8" i="4"/>
  <c r="BV8" i="4"/>
  <c r="BU141" i="4"/>
  <c r="BV141" i="4"/>
  <c r="BU134" i="4"/>
  <c r="BV134" i="4"/>
  <c r="BU127" i="4"/>
  <c r="BV127" i="4"/>
  <c r="BU165" i="4"/>
  <c r="BV165" i="4"/>
  <c r="BU109" i="4"/>
  <c r="BV109" i="4"/>
  <c r="BU103" i="4"/>
  <c r="BV103" i="4"/>
  <c r="BU96" i="4"/>
  <c r="BV96" i="4"/>
  <c r="BU89" i="4"/>
  <c r="BV89" i="4"/>
  <c r="BU156" i="4"/>
  <c r="BV156" i="4"/>
  <c r="BU78" i="4"/>
  <c r="BV78" i="4"/>
  <c r="BV71" i="4"/>
  <c r="BU71" i="4"/>
  <c r="BU152" i="4"/>
  <c r="BV152" i="4"/>
  <c r="BU51" i="4"/>
  <c r="BV51" i="4"/>
  <c r="BU44" i="4"/>
  <c r="BV44" i="4"/>
  <c r="BU36" i="4"/>
  <c r="BV36" i="4"/>
  <c r="BU29" i="4"/>
  <c r="BV29" i="4"/>
  <c r="BU22" i="4"/>
  <c r="BV22" i="4"/>
  <c r="BU14" i="4"/>
  <c r="BV14" i="4"/>
  <c r="BV7" i="4"/>
  <c r="BU7" i="4"/>
  <c r="X33" i="4"/>
  <c r="BU140" i="4"/>
  <c r="BV140" i="4"/>
  <c r="BU133" i="4"/>
  <c r="BV133" i="4"/>
  <c r="BU126" i="4"/>
  <c r="BV126" i="4"/>
  <c r="BU120" i="4"/>
  <c r="BV120" i="4"/>
  <c r="BU164" i="4"/>
  <c r="BV164" i="4"/>
  <c r="BU108" i="4"/>
  <c r="BV108" i="4"/>
  <c r="BU102" i="4"/>
  <c r="BV102" i="4"/>
  <c r="BU95" i="4"/>
  <c r="BV95" i="4"/>
  <c r="BU88" i="4"/>
  <c r="BV88" i="4"/>
  <c r="BU85" i="4"/>
  <c r="BV85" i="4"/>
  <c r="BU77" i="4"/>
  <c r="BV77" i="4"/>
  <c r="BU69" i="4"/>
  <c r="BV69" i="4"/>
  <c r="BU64" i="4"/>
  <c r="BV64" i="4"/>
  <c r="BU57" i="4"/>
  <c r="BV57" i="4"/>
  <c r="BV50" i="4"/>
  <c r="BU50" i="4"/>
  <c r="BU43" i="4"/>
  <c r="BV43" i="4"/>
  <c r="BU35" i="4"/>
  <c r="BV35" i="4"/>
  <c r="BU28" i="4"/>
  <c r="BV28" i="4"/>
  <c r="BU21" i="4"/>
  <c r="BV21" i="4"/>
  <c r="BU13" i="4"/>
  <c r="BV13" i="4"/>
  <c r="BU6" i="4"/>
  <c r="BV6" i="4"/>
  <c r="X101" i="4"/>
  <c r="X103" i="4"/>
  <c r="M124" i="4"/>
  <c r="M100" i="4"/>
  <c r="AN7" i="1"/>
  <c r="AB7" i="4" s="1"/>
  <c r="I43" i="4"/>
  <c r="X65" i="4"/>
  <c r="AN6" i="1"/>
  <c r="AB6" i="4" s="1"/>
  <c r="T43" i="5"/>
  <c r="X68" i="4"/>
  <c r="T35" i="5"/>
  <c r="P37" i="4"/>
  <c r="Z37" i="4" s="1"/>
  <c r="X44" i="4"/>
  <c r="X32" i="4"/>
  <c r="L36" i="4"/>
  <c r="I37" i="4"/>
  <c r="I126" i="4"/>
  <c r="AN8" i="1"/>
  <c r="AB8" i="4" s="1"/>
  <c r="X75" i="4"/>
  <c r="X79" i="4"/>
  <c r="X58" i="4"/>
  <c r="X74" i="4"/>
  <c r="I101" i="4"/>
  <c r="I103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I75" i="4"/>
  <c r="P81" i="4"/>
  <c r="Z81" i="4" s="1"/>
  <c r="P95" i="4"/>
  <c r="Z95" i="4" s="1"/>
  <c r="I102" i="4"/>
  <c r="X104" i="4"/>
  <c r="X106" i="4"/>
  <c r="L33" i="4"/>
  <c r="I34" i="4"/>
  <c r="X36" i="4"/>
  <c r="P45" i="4"/>
  <c r="Z45" i="4" s="1"/>
  <c r="T101" i="5"/>
  <c r="T103" i="5"/>
  <c r="I104" i="4"/>
  <c r="I106" i="4"/>
  <c r="T69" i="5"/>
  <c r="P71" i="4"/>
  <c r="Z71" i="4" s="1"/>
  <c r="T105" i="5"/>
  <c r="I33" i="4"/>
  <c r="X60" i="4"/>
  <c r="I74" i="4"/>
  <c r="X35" i="4"/>
  <c r="I45" i="4"/>
  <c r="I69" i="4"/>
  <c r="X73" i="4"/>
  <c r="AP75" i="4"/>
  <c r="I76" i="4"/>
  <c r="T102" i="5"/>
  <c r="I105" i="4"/>
  <c r="X125" i="4"/>
  <c r="X127" i="4"/>
  <c r="T104" i="5"/>
  <c r="T106" i="5"/>
  <c r="X133" i="4"/>
  <c r="M156" i="4"/>
  <c r="M44" i="4"/>
  <c r="M36" i="4"/>
  <c r="I35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38" i="4"/>
  <c r="I110" i="4"/>
  <c r="I122" i="4"/>
  <c r="I135" i="4"/>
  <c r="I143" i="4"/>
  <c r="I42" i="4"/>
  <c r="I68" i="4"/>
  <c r="I90" i="4"/>
  <c r="I130" i="4"/>
  <c r="I94" i="4"/>
  <c r="I98" i="4"/>
  <c r="I114" i="4"/>
  <c r="I146" i="4"/>
  <c r="I65" i="4"/>
  <c r="I40" i="4"/>
  <c r="I58" i="4"/>
  <c r="I119" i="4"/>
  <c r="I84" i="4"/>
  <c r="I100" i="4"/>
  <c r="I124" i="4"/>
  <c r="I132" i="4"/>
  <c r="I167" i="4"/>
  <c r="I25" i="4"/>
  <c r="I28" i="4"/>
  <c r="I38" i="4"/>
  <c r="I66" i="4"/>
  <c r="I134" i="4"/>
  <c r="I166" i="4"/>
  <c r="I72" i="4"/>
  <c r="I11" i="4"/>
  <c r="I17" i="4"/>
  <c r="I41" i="4"/>
  <c r="I56" i="4"/>
  <c r="I59" i="4"/>
  <c r="I96" i="4"/>
  <c r="I154" i="4"/>
  <c r="I162" i="4"/>
  <c r="I156" i="4"/>
  <c r="X9" i="4"/>
  <c r="X15" i="4"/>
  <c r="BG48" i="4"/>
  <c r="I70" i="4"/>
  <c r="L25" i="4"/>
  <c r="X26" i="4"/>
  <c r="R28" i="6"/>
  <c r="X51" i="4"/>
  <c r="I54" i="4"/>
  <c r="S58" i="6"/>
  <c r="I60" i="4"/>
  <c r="P65" i="4"/>
  <c r="Z65" i="4" s="1"/>
  <c r="X29" i="4"/>
  <c r="P31" i="4"/>
  <c r="Z31" i="4" s="1"/>
  <c r="P40" i="4"/>
  <c r="Z40" i="4" s="1"/>
  <c r="X41" i="4"/>
  <c r="BG43" i="4"/>
  <c r="I48" i="4"/>
  <c r="BG67" i="4"/>
  <c r="T70" i="5"/>
  <c r="X77" i="4"/>
  <c r="T79" i="5"/>
  <c r="X88" i="4"/>
  <c r="T90" i="5"/>
  <c r="I91" i="4"/>
  <c r="I115" i="4"/>
  <c r="X120" i="4"/>
  <c r="X136" i="4"/>
  <c r="T138" i="5"/>
  <c r="I139" i="4"/>
  <c r="T146" i="5"/>
  <c r="I155" i="4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I46" i="4"/>
  <c r="I92" i="4"/>
  <c r="BG70" i="4"/>
  <c r="X71" i="4"/>
  <c r="I86" i="4"/>
  <c r="X91" i="4"/>
  <c r="T93" i="5"/>
  <c r="T109" i="5"/>
  <c r="X115" i="4"/>
  <c r="T117" i="5"/>
  <c r="I118" i="4"/>
  <c r="X139" i="4"/>
  <c r="T141" i="5"/>
  <c r="I142" i="4"/>
  <c r="X147" i="4"/>
  <c r="T149" i="5"/>
  <c r="I150" i="4"/>
  <c r="X155" i="4"/>
  <c r="I158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I50" i="4"/>
  <c r="L57" i="4"/>
  <c r="L23" i="4"/>
  <c r="X24" i="4"/>
  <c r="P26" i="4"/>
  <c r="Z26" i="4" s="1"/>
  <c r="BG29" i="4"/>
  <c r="BG32" i="4"/>
  <c r="T87" i="5"/>
  <c r="I88" i="4"/>
  <c r="X93" i="4"/>
  <c r="X109" i="4"/>
  <c r="X117" i="4"/>
  <c r="T119" i="5"/>
  <c r="I120" i="4"/>
  <c r="T135" i="5"/>
  <c r="I136" i="4"/>
  <c r="X141" i="4"/>
  <c r="T143" i="5"/>
  <c r="I144" i="4"/>
  <c r="X149" i="4"/>
  <c r="T151" i="5"/>
  <c r="T159" i="5"/>
  <c r="I160" i="4"/>
  <c r="X165" i="4"/>
  <c r="T167" i="5"/>
  <c r="I168" i="4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77" i="4"/>
  <c r="I10" i="4"/>
  <c r="I16" i="4"/>
  <c r="I19" i="4"/>
  <c r="T27" i="5"/>
  <c r="X28" i="4"/>
  <c r="BG30" i="4"/>
  <c r="X31" i="4"/>
  <c r="S42" i="6"/>
  <c r="L46" i="4"/>
  <c r="L49" i="4"/>
  <c r="I53" i="4"/>
  <c r="R60" i="6"/>
  <c r="I62" i="4"/>
  <c r="L72" i="4"/>
  <c r="I73" i="4"/>
  <c r="X76" i="4"/>
  <c r="BG78" i="4"/>
  <c r="R81" i="6"/>
  <c r="X82" i="4"/>
  <c r="L84" i="4"/>
  <c r="I85" i="4"/>
  <c r="R89" i="6"/>
  <c r="X90" i="4"/>
  <c r="P92" i="4"/>
  <c r="Z92" i="4" s="1"/>
  <c r="I93" i="4"/>
  <c r="R97" i="6"/>
  <c r="X98" i="4"/>
  <c r="T100" i="5"/>
  <c r="T108" i="5"/>
  <c r="I109" i="4"/>
  <c r="X114" i="4"/>
  <c r="T116" i="5"/>
  <c r="I117" i="4"/>
  <c r="X122" i="4"/>
  <c r="T124" i="5"/>
  <c r="I125" i="4"/>
  <c r="X130" i="4"/>
  <c r="T132" i="5"/>
  <c r="I133" i="4"/>
  <c r="X138" i="4"/>
  <c r="T140" i="5"/>
  <c r="I141" i="4"/>
  <c r="X146" i="4"/>
  <c r="T148" i="5"/>
  <c r="I149" i="4"/>
  <c r="X154" i="4"/>
  <c r="T156" i="5"/>
  <c r="I157" i="4"/>
  <c r="X162" i="4"/>
  <c r="T164" i="5"/>
  <c r="I165" i="4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I67" i="4"/>
  <c r="S77" i="6"/>
  <c r="BG83" i="4"/>
  <c r="X84" i="4"/>
  <c r="T94" i="5"/>
  <c r="I95" i="4"/>
  <c r="BG99" i="4"/>
  <c r="X100" i="4"/>
  <c r="T110" i="5"/>
  <c r="I111" i="4"/>
  <c r="BG123" i="4"/>
  <c r="X124" i="4"/>
  <c r="BG131" i="4"/>
  <c r="X132" i="4"/>
  <c r="T134" i="5"/>
  <c r="BG147" i="4"/>
  <c r="X148" i="4"/>
  <c r="T150" i="5"/>
  <c r="X156" i="4"/>
  <c r="T158" i="5"/>
  <c r="I159" i="4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I52" i="4"/>
  <c r="X57" i="4"/>
  <c r="I61" i="4"/>
  <c r="I64" i="4"/>
  <c r="BG88" i="4"/>
  <c r="X89" i="4"/>
  <c r="T91" i="5"/>
  <c r="T115" i="5"/>
  <c r="BG120" i="4"/>
  <c r="BG136" i="4"/>
  <c r="I140" i="4"/>
  <c r="T147" i="5"/>
  <c r="X153" i="4"/>
  <c r="T155" i="5"/>
  <c r="I164" i="4"/>
  <c r="AB54" i="4"/>
  <c r="AB50" i="4"/>
  <c r="AB10" i="4"/>
  <c r="I108" i="4"/>
  <c r="I116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I57" i="4"/>
  <c r="L59" i="4"/>
  <c r="BG62" i="4"/>
  <c r="BG65" i="4"/>
  <c r="X66" i="4"/>
  <c r="P68" i="4"/>
  <c r="Z68" i="4" s="1"/>
  <c r="R73" i="6"/>
  <c r="T80" i="5"/>
  <c r="I81" i="4"/>
  <c r="S85" i="6"/>
  <c r="T88" i="5"/>
  <c r="I89" i="4"/>
  <c r="S93" i="6"/>
  <c r="M158" i="4"/>
  <c r="M126" i="4"/>
  <c r="M102" i="4"/>
  <c r="M46" i="4"/>
  <c r="X56" i="4"/>
  <c r="T58" i="5"/>
  <c r="X59" i="4"/>
  <c r="X80" i="4"/>
  <c r="P82" i="4"/>
  <c r="Z82" i="4" s="1"/>
  <c r="I83" i="4"/>
  <c r="X96" i="4"/>
  <c r="T98" i="5"/>
  <c r="I99" i="4"/>
  <c r="X112" i="4"/>
  <c r="T114" i="5"/>
  <c r="T122" i="5"/>
  <c r="I123" i="4"/>
  <c r="T130" i="5"/>
  <c r="J131" i="4"/>
  <c r="X144" i="4"/>
  <c r="I147" i="4"/>
  <c r="X152" i="4"/>
  <c r="T154" i="5"/>
  <c r="X160" i="4"/>
  <c r="I163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I97" i="4"/>
  <c r="T112" i="5"/>
  <c r="I113" i="4"/>
  <c r="T120" i="5"/>
  <c r="I121" i="4"/>
  <c r="S125" i="6"/>
  <c r="S133" i="6"/>
  <c r="T136" i="5"/>
  <c r="I137" i="4"/>
  <c r="T144" i="5"/>
  <c r="I145" i="4"/>
  <c r="T152" i="5"/>
  <c r="S157" i="6"/>
  <c r="T160" i="5"/>
  <c r="I161" i="4"/>
  <c r="S165" i="6"/>
  <c r="T168" i="5"/>
  <c r="I169" i="4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I131" i="4" s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I39" i="4" s="1"/>
  <c r="J39" i="4"/>
  <c r="AJ44" i="1"/>
  <c r="I47" i="4" s="1"/>
  <c r="J47" i="4"/>
  <c r="AJ51" i="1"/>
  <c r="I55" i="4" s="1"/>
  <c r="J55" i="4"/>
  <c r="AJ152" i="1"/>
  <c r="I63" i="4" s="1"/>
  <c r="J63" i="4"/>
  <c r="AJ153" i="1"/>
  <c r="J71" i="4"/>
  <c r="AJ71" i="1"/>
  <c r="I79" i="4" s="1"/>
  <c r="J79" i="4"/>
  <c r="AJ78" i="1"/>
  <c r="I87" i="4" s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BU153" i="4" l="1"/>
  <c r="BU139" i="4"/>
  <c r="BU162" i="4"/>
  <c r="D162" i="6"/>
  <c r="A162" i="18"/>
  <c r="C162" i="6"/>
  <c r="C162" i="18"/>
  <c r="J162" i="6"/>
  <c r="I162" i="6"/>
  <c r="P162" i="18"/>
  <c r="O162" i="18"/>
  <c r="BV145" i="4"/>
  <c r="J145" i="6"/>
  <c r="C145" i="6"/>
  <c r="P145" i="18"/>
  <c r="I145" i="6"/>
  <c r="D145" i="6"/>
  <c r="A145" i="18"/>
  <c r="O145" i="18"/>
  <c r="C145" i="18"/>
  <c r="BV153" i="4"/>
  <c r="J153" i="6"/>
  <c r="D153" i="6"/>
  <c r="C153" i="6"/>
  <c r="P153" i="18"/>
  <c r="O153" i="18"/>
  <c r="C153" i="18"/>
  <c r="I153" i="6"/>
  <c r="A153" i="18"/>
  <c r="BV139" i="4"/>
  <c r="D139" i="6"/>
  <c r="C139" i="6"/>
  <c r="O139" i="18"/>
  <c r="I139" i="6"/>
  <c r="P139" i="18"/>
  <c r="C139" i="18"/>
  <c r="J139" i="6"/>
  <c r="A139" i="18"/>
  <c r="BU166" i="4"/>
  <c r="I166" i="6"/>
  <c r="P166" i="18"/>
  <c r="D166" i="6"/>
  <c r="A166" i="18"/>
  <c r="J166" i="6"/>
  <c r="C166" i="6"/>
  <c r="O166" i="18"/>
  <c r="C166" i="18"/>
  <c r="BV163" i="4"/>
  <c r="D163" i="6"/>
  <c r="O163" i="18"/>
  <c r="J163" i="6"/>
  <c r="I163" i="6"/>
  <c r="P163" i="18"/>
  <c r="A163" i="18"/>
  <c r="C163" i="6"/>
  <c r="C163" i="18"/>
  <c r="BV147" i="4"/>
  <c r="D147" i="6"/>
  <c r="O147" i="18"/>
  <c r="J147" i="6"/>
  <c r="P147" i="18"/>
  <c r="A147" i="18"/>
  <c r="I147" i="6"/>
  <c r="C147" i="18"/>
  <c r="C147" i="6"/>
  <c r="BV155" i="4"/>
  <c r="D155" i="6"/>
  <c r="C155" i="6"/>
  <c r="O155" i="18"/>
  <c r="A155" i="18"/>
  <c r="J155" i="6"/>
  <c r="I155" i="6"/>
  <c r="P155" i="18"/>
  <c r="C155" i="18"/>
  <c r="BU155" i="4"/>
  <c r="BU161" i="4"/>
  <c r="J161" i="6"/>
  <c r="C161" i="6"/>
  <c r="I161" i="6"/>
  <c r="D161" i="6"/>
  <c r="P161" i="18"/>
  <c r="C161" i="18"/>
  <c r="A161" i="18"/>
  <c r="O161" i="18"/>
  <c r="BV162" i="4"/>
  <c r="BV166" i="4"/>
  <c r="BU163" i="4"/>
  <c r="BV161" i="4"/>
  <c r="BU145" i="4"/>
  <c r="BU147" i="4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</calcChain>
</file>

<file path=xl/sharedStrings.xml><?xml version="1.0" encoding="utf-8"?>
<sst xmlns="http://schemas.openxmlformats.org/spreadsheetml/2006/main" count="31920" uniqueCount="4178">
  <si>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</si>
  <si>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</si>
  <si>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</si>
  <si>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</si>
  <si>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</si>
  <si>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</si>
  <si>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</si>
  <si>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</si>
  <si>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</si>
  <si>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</si>
  <si>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</si>
  <si>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</si>
  <si>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</si>
  <si>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</si>
  <si>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</si>
  <si>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</si>
  <si>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</si>
  <si>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</si>
  <si>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</si>
  <si>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</si>
  <si>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</si>
  <si>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</si>
  <si>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</si>
  <si>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</si>
  <si>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</si>
  <si>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</si>
  <si>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</si>
  <si>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</si>
  <si>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</si>
  <si>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</si>
  <si>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</si>
  <si>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</si>
  <si>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</si>
  <si>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</si>
  <si>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</si>
  <si>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</si>
  <si>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</si>
  <si>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</si>
  <si>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</si>
  <si>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</si>
  <si>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</si>
  <si>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</si>
  <si>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</si>
  <si>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</si>
  <si>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</si>
  <si>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</si>
  <si>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</si>
  <si>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</si>
  <si>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</si>
  <si>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</si>
  <si>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</si>
  <si>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</si>
  <si>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</si>
  <si>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</si>
  <si>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</si>
  <si>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</si>
  <si>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</si>
  <si>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</si>
  <si>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</si>
  <si>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</si>
  <si>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</si>
  <si>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</si>
  <si>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</si>
  <si>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</si>
  <si>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</si>
  <si>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</si>
  <si>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</si>
  <si>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</si>
  <si>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</si>
  <si>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</si>
  <si>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</si>
  <si>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</si>
  <si>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</si>
  <si>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</si>
  <si>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</si>
  <si>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</si>
  <si>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</si>
  <si>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</si>
  <si>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</si>
  <si>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</si>
  <si>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</si>
  <si>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</si>
  <si>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</si>
  <si>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</si>
  <si>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</si>
  <si>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</si>
  <si>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</si>
  <si>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</si>
  <si>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</si>
  <si>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</si>
  <si>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</si>
  <si>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</si>
  <si>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</si>
  <si>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</si>
  <si>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</si>
  <si>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</si>
  <si>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</si>
  <si>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</si>
  <si>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</si>
  <si>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</si>
  <si>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</si>
  <si>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</si>
  <si>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</si>
  <si>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</si>
  <si>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</si>
  <si>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</si>
  <si>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</si>
  <si>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</si>
  <si>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</si>
  <si>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</si>
  <si>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</si>
  <si>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</si>
  <si>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</si>
  <si>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</si>
  <si>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</si>
  <si>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</si>
  <si>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</si>
  <si>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</si>
  <si>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</si>
  <si>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</si>
  <si>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</si>
  <si>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</si>
  <si>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</si>
  <si>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</si>
  <si>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</si>
  <si>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</si>
  <si>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</si>
  <si>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</si>
  <si>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</si>
  <si>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</si>
  <si>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</si>
  <si>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</si>
  <si>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</si>
  <si>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</si>
  <si>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</si>
  <si>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</si>
  <si>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</si>
  <si>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</si>
  <si>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</si>
  <si>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</si>
  <si>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</si>
  <si>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</si>
  <si>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</si>
  <si>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</si>
  <si>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</si>
  <si>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</si>
  <si>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</si>
  <si>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</si>
  <si>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</si>
  <si>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</si>
  <si>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</si>
  <si>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</si>
  <si>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</si>
  <si>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</si>
  <si>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</si>
  <si>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</si>
  <si>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</si>
  <si>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</si>
  <si>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</si>
  <si>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</si>
  <si>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</si>
  <si>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</si>
  <si>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</si>
  <si>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</si>
  <si>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</si>
  <si>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</si>
  <si>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</si>
  <si>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</si>
  <si>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</si>
  <si>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</si>
  <si>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</si>
  <si>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</si>
  <si>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</si>
  <si>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</si>
  <si>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</si>
  <si>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</si>
  <si>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</si>
  <si>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</si>
  <si>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</si>
  <si>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</si>
  <si>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</si>
  <si>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</si>
  <si>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</si>
  <si>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</si>
  <si>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</si>
  <si>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</si>
  <si>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</si>
  <si>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</si>
  <si>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</si>
  <si>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</si>
  <si>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</si>
  <si>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</si>
  <si>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</si>
  <si>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</si>
  <si>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</si>
  <si>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</si>
  <si>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</si>
  <si>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</si>
  <si>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</si>
  <si>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</si>
  <si>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</si>
  <si>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</si>
  <si>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</si>
  <si>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</si>
  <si>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</si>
  <si>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</si>
  <si>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</si>
  <si>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</si>
  <si>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</si>
  <si>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</si>
  <si>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</si>
  <si>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</si>
  <si>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</si>
  <si>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</si>
  <si>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</si>
  <si>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</si>
  <si>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</si>
  <si>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</si>
  <si>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</si>
  <si>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</si>
  <si>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</si>
  <si>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</si>
  <si>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</si>
  <si>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</si>
  <si>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</si>
  <si>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</si>
  <si>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</si>
  <si>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</si>
  <si>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</si>
  <si>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</si>
  <si>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</si>
  <si>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</si>
  <si>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</si>
  <si>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</si>
  <si>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</si>
  <si>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</si>
  <si>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</si>
  <si>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</si>
  <si>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</si>
  <si>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</si>
  <si>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</si>
  <si>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</si>
  <si>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</si>
  <si>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</si>
  <si>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</si>
  <si>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</si>
  <si>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</si>
  <si>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</si>
  <si>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</si>
  <si>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</si>
  <si>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</si>
  <si>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</si>
  <si>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</si>
  <si>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</si>
  <si>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</si>
  <si>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</si>
  <si>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</si>
  <si>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</si>
  <si>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</si>
  <si>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</si>
  <si>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</si>
  <si>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</si>
  <si>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</si>
  <si>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</si>
  <si>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</si>
  <si>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</si>
  <si>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</si>
  <si>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</si>
  <si>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</si>
  <si>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</si>
  <si>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</si>
  <si>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</si>
  <si>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</si>
  <si>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</si>
  <si>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</si>
  <si>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</si>
  <si>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</si>
  <si>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</si>
  <si>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</si>
  <si>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</si>
  <si>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</si>
  <si>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</si>
  <si>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</si>
  <si>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</si>
  <si>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</si>
  <si>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</si>
  <si>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</si>
  <si>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</si>
  <si>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</si>
  <si>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</si>
  <si>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</si>
  <si>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</si>
  <si>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</si>
  <si>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</si>
  <si>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</si>
  <si>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</si>
  <si>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</si>
  <si>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</si>
  <si>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</si>
  <si>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</si>
  <si>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</si>
  <si>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</si>
  <si>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</si>
  <si>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</si>
  <si>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</si>
  <si>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</si>
  <si>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</si>
  <si>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</si>
  <si>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</si>
  <si>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</si>
  <si>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</si>
  <si>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</si>
  <si>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</si>
  <si>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</si>
  <si>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</si>
  <si>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</si>
  <si>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</si>
  <si>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</si>
  <si>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</si>
  <si>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</si>
  <si>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</si>
  <si>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</si>
  <si>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</si>
  <si>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</si>
  <si>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</si>
  <si>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</si>
  <si>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</si>
  <si>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</si>
  <si>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</si>
  <si>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</si>
  <si>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</si>
  <si>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</si>
  <si>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</si>
  <si>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</si>
  <si>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</si>
  <si>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</si>
  <si>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</si>
  <si>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</si>
  <si>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</si>
  <si>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</si>
  <si>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</si>
  <si>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</si>
  <si>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</si>
  <si>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</si>
  <si>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</si>
  <si>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</si>
  <si>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</si>
  <si>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</si>
  <si>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</si>
  <si>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</si>
  <si>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</si>
  <si>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</si>
  <si>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</si>
  <si>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</si>
  <si>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</si>
  <si>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</si>
  <si>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</si>
  <si>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</si>
  <si>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</si>
  <si>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</si>
  <si>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</si>
  <si>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</si>
  <si>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</si>
  <si>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</si>
  <si>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</si>
  <si>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</si>
  <si>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</si>
  <si>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</si>
  <si>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</si>
  <si>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</si>
  <si>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</si>
  <si>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</si>
  <si>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</si>
  <si>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</si>
  <si>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</si>
  <si>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</si>
  <si>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</si>
  <si>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</si>
  <si>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</si>
  <si>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</si>
  <si>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</si>
  <si>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</si>
  <si>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</si>
  <si>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</si>
  <si>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</si>
  <si>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</si>
  <si>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</si>
  <si>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</si>
  <si>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</si>
  <si>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</si>
  <si>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</si>
  <si>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</si>
  <si>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</si>
  <si>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</si>
  <si>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</si>
  <si>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</si>
  <si>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</si>
  <si>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</si>
  <si>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</si>
  <si>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</si>
  <si>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</si>
  <si>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</si>
  <si>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</si>
  <si>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</si>
  <si>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</si>
  <si>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</si>
  <si>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</si>
  <si>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</si>
  <si>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</si>
  <si>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</si>
  <si>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</si>
  <si>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</si>
  <si>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</si>
  <si>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</si>
  <si>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</si>
  <si>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</si>
  <si>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</si>
  <si>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</si>
  <si>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</si>
  <si>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</si>
  <si>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</si>
  <si>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</si>
  <si>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</si>
  <si>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</si>
  <si>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</si>
  <si>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</si>
  <si>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</si>
  <si>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</si>
  <si>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</si>
  <si>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</si>
  <si>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</si>
  <si>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</si>
  <si>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</si>
  <si>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</si>
  <si>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</si>
  <si>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</si>
  <si>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</si>
  <si>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</si>
  <si>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</si>
  <si>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</si>
  <si>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</si>
  <si>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</si>
  <si>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</si>
  <si>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</si>
  <si>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</si>
  <si>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</si>
  <si>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</si>
  <si>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</si>
  <si>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</si>
  <si>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</si>
  <si>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</si>
  <si>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</si>
  <si>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</si>
  <si>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</si>
  <si>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</si>
  <si>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</si>
  <si>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</si>
  <si>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</si>
  <si>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</si>
  <si>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</si>
  <si>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</si>
  <si>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</si>
  <si>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</si>
  <si>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</si>
  <si>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</si>
  <si>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</si>
  <si>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</si>
  <si>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</si>
  <si>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</si>
  <si>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</si>
  <si>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</si>
  <si>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</si>
  <si>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</si>
  <si>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</si>
  <si>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</si>
  <si>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</si>
  <si>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</si>
  <si>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</si>
  <si>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</si>
  <si>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</si>
  <si>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</si>
  <si>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</si>
  <si>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</si>
  <si>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</si>
  <si>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</si>
  <si>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</si>
  <si>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</si>
  <si>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</si>
  <si>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</si>
  <si>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</si>
  <si>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</si>
  <si>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</si>
  <si>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</si>
  <si>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</si>
  <si>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</si>
  <si>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</si>
  <si>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</si>
  <si>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</si>
  <si>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</si>
  <si>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</si>
  <si>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</si>
  <si>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</si>
  <si>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</si>
  <si>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</si>
  <si>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</si>
  <si>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</si>
  <si>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</si>
  <si>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</si>
  <si>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</si>
  <si>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</si>
  <si>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</si>
  <si>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</si>
  <si>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</si>
  <si>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</si>
  <si>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</si>
  <si>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</si>
  <si>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</si>
  <si>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</si>
  <si>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</si>
  <si>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</si>
  <si>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</si>
  <si>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</si>
  <si>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</si>
  <si>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</si>
  <si>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</si>
  <si>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</si>
  <si>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</si>
  <si>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</si>
  <si>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</si>
  <si>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</si>
  <si>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</si>
  <si>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</si>
  <si>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</si>
  <si>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</si>
  <si>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</si>
  <si>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</si>
  <si>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</si>
  <si>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</si>
  <si>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</si>
  <si>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</si>
  <si>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</si>
  <si>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</si>
  <si>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</si>
  <si>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</si>
  <si>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</si>
  <si>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</si>
  <si>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</si>
  <si>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</si>
  <si>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</si>
  <si>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</si>
  <si>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</si>
  <si>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</si>
  <si>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</si>
  <si>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</si>
  <si>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</si>
  <si>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</si>
  <si>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</si>
  <si>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</si>
  <si>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</si>
  <si>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</si>
  <si>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</si>
  <si>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</si>
  <si>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</si>
  <si>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</si>
  <si>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</si>
  <si>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</si>
  <si>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</si>
  <si>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</si>
  <si>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</si>
  <si>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</si>
  <si>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</si>
  <si>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</si>
  <si>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</si>
  <si>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</si>
  <si>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</si>
  <si>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</si>
  <si>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</si>
  <si>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</si>
  <si>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</si>
  <si>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</si>
  <si>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</si>
  <si>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</si>
  <si>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</si>
  <si>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</si>
  <si>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</si>
  <si>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</si>
  <si>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</si>
  <si>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</si>
  <si>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</si>
  <si>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</si>
  <si>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</si>
  <si>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</si>
  <si>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</si>
  <si>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</si>
  <si>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</si>
  <si>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</si>
  <si>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</si>
  <si>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</si>
  <si>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</si>
  <si>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</si>
  <si>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</si>
  <si>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</si>
  <si>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</si>
  <si>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</si>
  <si>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</si>
  <si>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</si>
  <si>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</si>
  <si>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</si>
  <si>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</si>
  <si>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</si>
  <si>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</si>
  <si>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</si>
  <si>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</si>
  <si>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</si>
  <si>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</si>
  <si>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</si>
  <si>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</si>
  <si>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</si>
  <si>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</si>
  <si>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</si>
  <si>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</si>
  <si>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</si>
  <si>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</si>
  <si>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</si>
  <si>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</si>
  <si>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</si>
  <si>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</si>
  <si>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</si>
  <si>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</si>
  <si>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</si>
  <si>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</si>
  <si>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</si>
  <si>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</si>
  <si>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</si>
  <si>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</si>
  <si>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</si>
  <si>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</si>
  <si>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</si>
  <si>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</si>
  <si>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</si>
  <si>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</si>
  <si>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</si>
  <si>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</si>
  <si>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</si>
  <si>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</si>
  <si>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</si>
  <si>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</si>
  <si>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</si>
  <si>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</si>
  <si>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</si>
  <si>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</si>
  <si>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</si>
  <si>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</si>
  <si>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</si>
  <si>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</si>
  <si>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</si>
  <si>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</si>
  <si>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</si>
  <si>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</si>
  <si>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</si>
  <si>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</si>
  <si>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</si>
  <si>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</si>
  <si>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</si>
  <si>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</si>
  <si>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</si>
  <si>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</si>
  <si>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</si>
  <si>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</si>
  <si>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</si>
  <si>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</si>
  <si>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</si>
  <si>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</si>
  <si>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</si>
  <si>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</si>
  <si>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</si>
  <si>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</si>
  <si>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</si>
  <si>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</si>
  <si>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</si>
  <si>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</si>
  <si>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</si>
  <si>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</si>
  <si>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</si>
  <si>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</si>
  <si>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</si>
  <si>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</si>
  <si>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</si>
  <si>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</si>
  <si>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</si>
  <si>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</si>
  <si>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</si>
  <si>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</si>
  <si>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</si>
  <si>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</si>
  <si>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</si>
  <si>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</si>
  <si>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</si>
  <si>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</si>
  <si>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</si>
  <si>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</si>
  <si>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</si>
  <si>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</si>
  <si>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</si>
  <si>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</si>
  <si>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</si>
  <si>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</si>
  <si>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</si>
  <si>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</si>
  <si>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</si>
  <si>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</si>
  <si>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</si>
  <si>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</si>
  <si>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</si>
  <si>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</si>
  <si>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</si>
  <si>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</si>
  <si>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</si>
  <si>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</si>
  <si>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</si>
  <si>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</si>
  <si>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</si>
  <si>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</si>
  <si>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</si>
  <si>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</si>
  <si>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</si>
  <si>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</si>
  <si>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</si>
  <si>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</si>
  <si>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</si>
  <si>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</si>
  <si>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</si>
  <si>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</si>
  <si>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</si>
  <si>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</si>
  <si>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</si>
  <si>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</si>
  <si>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</si>
  <si>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</si>
  <si>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</si>
  <si>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</si>
  <si>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</si>
  <si>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</si>
  <si>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</si>
  <si>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</si>
  <si>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</si>
  <si>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</si>
  <si>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</si>
  <si>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</si>
  <si>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</si>
  <si>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</si>
  <si>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</si>
  <si>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</si>
  <si>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</si>
  <si>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</si>
  <si>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</si>
  <si>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</si>
  <si>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</si>
  <si>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</si>
  <si>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</si>
  <si>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</si>
  <si>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</si>
  <si>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</si>
  <si>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</si>
  <si>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</si>
  <si>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</si>
  <si>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</si>
  <si>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</si>
  <si>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</si>
  <si>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</si>
  <si>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</si>
  <si>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</si>
  <si>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</si>
  <si>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</si>
  <si>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</si>
  <si>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</si>
  <si>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</si>
  <si>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</si>
  <si>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</si>
  <si>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</si>
  <si>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</si>
  <si>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</si>
  <si>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</si>
  <si>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</si>
  <si>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</si>
  <si>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</si>
  <si>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</si>
  <si>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</si>
  <si>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</si>
  <si>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</si>
  <si>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</si>
  <si>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</si>
  <si>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</si>
  <si>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</si>
  <si>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</si>
  <si>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</si>
  <si>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</si>
  <si>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</si>
  <si>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</si>
  <si>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</si>
  <si>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</si>
  <si>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</si>
  <si>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</si>
  <si>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</si>
  <si>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</si>
  <si>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</si>
  <si>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</si>
  <si>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</si>
  <si>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</si>
  <si>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</si>
  <si>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</si>
  <si>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</si>
  <si>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</si>
  <si>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</si>
  <si>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</si>
  <si>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</si>
  <si>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</si>
  <si>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</si>
  <si>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</si>
  <si>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</si>
  <si>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</si>
  <si>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</si>
  <si>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</si>
  <si>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</si>
  <si>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</si>
  <si>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</si>
  <si>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</si>
  <si>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</si>
  <si>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</si>
  <si>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</si>
  <si>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</si>
  <si>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</si>
  <si>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</si>
  <si>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</si>
  <si>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</si>
  <si>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</si>
  <si>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</si>
  <si>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</si>
  <si>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</si>
  <si>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</si>
  <si>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</si>
  <si>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</si>
  <si>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</si>
  <si>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</si>
  <si>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</si>
  <si>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</si>
  <si>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</si>
  <si>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</si>
  <si>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</si>
  <si>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</si>
  <si>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</si>
  <si>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</si>
  <si>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</si>
  <si>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</si>
  <si>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</si>
  <si>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</si>
  <si>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</si>
  <si>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</si>
  <si>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</si>
  <si>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</si>
  <si>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</si>
  <si>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</si>
  <si>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</si>
  <si>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</si>
  <si>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</si>
  <si>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</si>
  <si>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</si>
  <si>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</si>
  <si>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</si>
  <si>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</si>
  <si>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</si>
  <si>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</si>
  <si>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</si>
  <si>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</si>
  <si>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</si>
  <si>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</si>
  <si>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</si>
  <si>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</si>
  <si>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</si>
  <si>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</si>
  <si>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</si>
  <si>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</si>
  <si>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</si>
  <si>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</si>
  <si>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</si>
  <si>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</si>
  <si>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</si>
  <si>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</si>
  <si>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</si>
  <si>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</si>
  <si>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</si>
  <si>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</si>
  <si>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</si>
  <si>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</si>
  <si>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</si>
  <si>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</si>
  <si>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</si>
  <si>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</si>
  <si>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</si>
  <si>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</si>
  <si>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</si>
  <si>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</si>
  <si>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</si>
  <si>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</si>
  <si>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</si>
  <si>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</si>
  <si>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</si>
  <si>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</si>
  <si>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</si>
  <si>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</si>
  <si>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</si>
  <si>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</si>
  <si>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</si>
  <si>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</si>
  <si>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</si>
  <si>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</si>
  <si>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</si>
  <si>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</si>
  <si>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</si>
  <si>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</si>
  <si>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</si>
  <si>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</si>
  <si>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</si>
  <si>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</si>
  <si>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</si>
  <si>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</si>
  <si>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</si>
  <si>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</si>
  <si>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</si>
  <si>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</si>
  <si>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</si>
  <si>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</si>
  <si>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</si>
  <si>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</si>
  <si>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</si>
  <si>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</si>
  <si>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</si>
  <si>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</si>
  <si>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</si>
  <si>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</si>
  <si>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</si>
  <si>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</si>
  <si>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</si>
  <si>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</si>
  <si>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</si>
  <si>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</si>
  <si>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</si>
  <si>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</si>
  <si>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</si>
  <si>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</si>
  <si>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</si>
  <si>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</si>
  <si>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</si>
  <si>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</si>
  <si>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</si>
  <si>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</si>
  <si>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</si>
  <si>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</si>
  <si>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</si>
  <si>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</si>
  <si>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</si>
  <si>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</si>
  <si>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</si>
  <si>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</si>
  <si>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</si>
  <si>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</si>
  <si>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</si>
  <si>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</si>
  <si>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</si>
  <si>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</si>
  <si>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</si>
  <si>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</si>
  <si>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</si>
  <si>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</si>
  <si>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</si>
  <si>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</si>
  <si>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</si>
  <si>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</si>
  <si>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</si>
  <si>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</si>
  <si>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</si>
  <si>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</si>
  <si>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</si>
  <si>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</si>
  <si>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</si>
  <si>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</si>
  <si>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</si>
  <si>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</si>
  <si>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</si>
  <si>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</si>
  <si>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</si>
  <si>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</si>
  <si>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</si>
  <si>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</si>
  <si>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</si>
  <si>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</si>
  <si>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</si>
  <si>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</si>
  <si>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</si>
  <si>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</si>
  <si>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</si>
  <si>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</si>
  <si>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</si>
  <si>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</si>
  <si>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</si>
  <si>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</si>
  <si>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</si>
  <si>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</si>
  <si>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</si>
  <si>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</si>
  <si>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</si>
  <si>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</si>
  <si>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</si>
  <si>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</si>
  <si>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</si>
  <si>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</si>
  <si>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</si>
  <si>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</si>
  <si>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</si>
  <si>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</si>
  <si>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</si>
  <si>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</si>
  <si>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</si>
  <si>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</si>
  <si>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</si>
  <si>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</si>
  <si>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</si>
  <si>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</si>
  <si>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</si>
  <si>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</si>
  <si>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</si>
  <si>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</si>
  <si>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</si>
  <si>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</si>
  <si>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</si>
  <si>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</si>
  <si>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</si>
  <si>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</si>
  <si>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</si>
  <si>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</si>
  <si>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</si>
  <si>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</si>
  <si>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</si>
  <si>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</si>
  <si>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</si>
  <si>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</si>
  <si>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</si>
  <si>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</si>
  <si>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</si>
  <si>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</si>
  <si>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</si>
  <si>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</si>
  <si>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</si>
  <si>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</si>
  <si>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</si>
  <si>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</si>
  <si>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</si>
  <si>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</si>
  <si>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</si>
  <si>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</si>
  <si>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</si>
  <si>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</si>
  <si>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</si>
  <si>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</si>
  <si>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</si>
  <si>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</si>
  <si>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</si>
  <si>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</si>
  <si>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</si>
  <si>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</si>
  <si>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</si>
  <si>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</si>
  <si>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</si>
  <si>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</si>
  <si>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</si>
  <si>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</si>
  <si>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</si>
  <si>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</si>
  <si>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</si>
  <si>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</si>
  <si>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</si>
  <si>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</si>
  <si>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</si>
  <si>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</si>
  <si>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</si>
  <si>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</si>
  <si>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</si>
  <si>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</si>
  <si>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</si>
  <si>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</si>
  <si>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</si>
  <si>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</si>
  <si>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</si>
  <si>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</si>
  <si>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</si>
  <si>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r>
      <t>Custom 10</t>
    </r>
    <r>
      <rPr>
        <b/>
        <sz val="8"/>
        <rFont val="Arial"/>
        <family val="2"/>
      </rPr>
      <t xml:space="preserve"> </t>
    </r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</si>
  <si>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</si>
  <si>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</si>
  <si>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</si>
  <si>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</si>
  <si>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</si>
  <si>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</si>
  <si>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</si>
  <si>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</si>
  <si>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</si>
  <si>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</si>
  <si>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</si>
  <si>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</si>
  <si>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</si>
  <si>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</si>
  <si>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</si>
  <si>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</si>
  <si>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</si>
  <si>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</si>
  <si>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</si>
  <si>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</si>
  <si>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</si>
  <si>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</si>
  <si>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</si>
  <si>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</si>
  <si>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</si>
  <si>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</si>
  <si>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</si>
  <si>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</si>
  <si>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</si>
  <si>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</si>
  <si>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</si>
  <si>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</si>
  <si>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</si>
  <si>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</si>
  <si>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</si>
  <si>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</si>
  <si>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</si>
  <si>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</si>
  <si>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</si>
  <si>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</si>
  <si>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</si>
  <si>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</si>
  <si>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</si>
  <si>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</si>
  <si>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</si>
  <si>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</si>
  <si>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</si>
  <si>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</si>
  <si>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</si>
  <si>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</si>
  <si>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</si>
  <si>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</si>
  <si>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</si>
  <si>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</si>
  <si>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Custom 22 Concur Invoice Group Hierarchy</t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</si>
  <si>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</si>
  <si>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</si>
  <si>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</si>
  <si>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</si>
  <si>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</si>
  <si>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</si>
  <si>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</si>
  <si>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</si>
  <si>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</si>
  <si>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</si>
  <si>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</si>
  <si>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</si>
  <si>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</si>
  <si>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</si>
  <si>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</si>
  <si>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</si>
  <si>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</si>
  <si>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</si>
  <si>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</si>
  <si>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</si>
  <si>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</si>
  <si>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</si>
  <si>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</si>
  <si>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</si>
  <si>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</si>
  <si>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</si>
  <si>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</si>
  <si>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</si>
  <si>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</si>
  <si>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</si>
  <si>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</si>
  <si>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</si>
  <si>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</si>
  <si>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</si>
  <si>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</si>
  <si>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</si>
  <si>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</si>
  <si>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</si>
  <si>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</si>
  <si>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</si>
  <si>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</si>
  <si>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</si>
  <si>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</si>
  <si>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</si>
  <si>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</si>
  <si>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</si>
  <si>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</si>
  <si>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</si>
  <si>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</si>
  <si>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</si>
  <si>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</si>
  <si>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</si>
  <si>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</si>
  <si>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</si>
  <si>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</si>
  <si>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</si>
  <si>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</si>
  <si>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</si>
  <si>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</si>
  <si>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</si>
  <si>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</si>
  <si>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</si>
  <si>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</si>
  <si>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</si>
  <si>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</si>
  <si>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</si>
  <si>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</si>
  <si>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</si>
  <si>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</si>
  <si>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</si>
  <si>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</si>
  <si>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</si>
  <si>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</si>
  <si>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</si>
  <si>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</si>
  <si>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</si>
  <si>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</si>
  <si>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</si>
  <si>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</si>
  <si>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</si>
  <si>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</si>
  <si>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</si>
  <si>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</si>
  <si>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</si>
  <si>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</si>
  <si>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</si>
  <si>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</si>
  <si>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</si>
  <si>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</si>
  <si>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</si>
  <si>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</si>
  <si>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</si>
  <si>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</si>
  <si>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</si>
  <si>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</si>
  <si>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</si>
  <si>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</si>
  <si>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</si>
  <si>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</si>
  <si>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</si>
  <si>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</si>
  <si>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</si>
  <si>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</si>
  <si>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</si>
  <si>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</si>
  <si>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</si>
  <si>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</si>
  <si>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</si>
  <si>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</si>
  <si>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</si>
  <si>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</si>
  <si>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</si>
  <si>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</si>
  <si>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</si>
  <si>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</si>
  <si>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</si>
  <si>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</si>
  <si>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</si>
  <si>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</si>
  <si>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</si>
  <si>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</si>
  <si>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</si>
  <si>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</si>
  <si>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</si>
  <si>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</si>
  <si>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</si>
  <si>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</si>
  <si>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</si>
  <si>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</si>
  <si>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</si>
  <si>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</si>
  <si>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</si>
  <si>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</si>
  <si>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</si>
  <si>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</si>
  <si>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</si>
  <si>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</si>
  <si>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</si>
  <si>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</si>
  <si>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</si>
  <si>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</si>
  <si>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</si>
  <si>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</si>
  <si>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</si>
  <si>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</si>
  <si>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</si>
  <si>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</si>
  <si>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</si>
  <si>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</si>
  <si>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</si>
  <si>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</si>
  <si>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</si>
  <si>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</si>
  <si>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</si>
  <si>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</si>
  <si>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</si>
  <si>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</si>
  <si>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</si>
  <si>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</si>
  <si>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</si>
  <si>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</si>
  <si>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</si>
  <si>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</si>
  <si>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</si>
  <si>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</si>
  <si>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</si>
  <si>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</si>
  <si>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</si>
  <si>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</si>
  <si>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</si>
  <si>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</si>
  <si>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</si>
  <si>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</si>
  <si>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</si>
  <si>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</si>
  <si>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</si>
  <si>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</si>
  <si>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</si>
  <si>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</si>
  <si>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</si>
  <si>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</si>
  <si>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</si>
  <si>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</si>
  <si>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</si>
  <si>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</si>
  <si>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</si>
  <si>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</si>
  <si>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</si>
  <si>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</si>
  <si>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</si>
  <si>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</si>
  <si>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</si>
  <si>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</si>
  <si>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</si>
  <si>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</si>
  <si>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</si>
  <si>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</si>
  <si>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</si>
  <si>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</si>
  <si>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</si>
  <si>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</si>
  <si>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</si>
  <si>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</si>
  <si>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</si>
  <si>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</si>
  <si>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</si>
  <si>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</si>
  <si>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</si>
  <si>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</si>
  <si>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</si>
  <si>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</si>
  <si>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</si>
  <si>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</si>
  <si>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</si>
  <si>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</si>
  <si>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</si>
  <si>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</si>
  <si>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</si>
  <si>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</si>
  <si>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</si>
  <si>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</si>
  <si>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</si>
  <si>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</si>
  <si>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</si>
  <si>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</si>
  <si>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</si>
  <si>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</si>
  <si>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</si>
  <si>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</si>
  <si>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</si>
  <si>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</si>
  <si>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</si>
  <si>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</si>
  <si>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</si>
  <si>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</si>
  <si>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</si>
  <si>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</si>
  <si>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</si>
  <si>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</si>
  <si>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</si>
  <si>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</si>
  <si>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</si>
  <si>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</si>
  <si>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</si>
  <si>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</si>
  <si>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</si>
  <si>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</si>
  <si>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</si>
  <si>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</si>
  <si>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</si>
  <si>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</si>
  <si>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</si>
  <si>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</si>
  <si>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</si>
  <si>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</si>
  <si>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</si>
  <si>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</si>
  <si>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</si>
  <si>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</si>
  <si>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</si>
  <si>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</si>
  <si>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</si>
  <si>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</si>
  <si>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</si>
  <si>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</si>
  <si>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</si>
  <si>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</si>
  <si>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</si>
  <si>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</si>
  <si>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</si>
  <si>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</si>
  <si>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</si>
  <si>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</si>
  <si>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</si>
  <si>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</si>
  <si>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</si>
  <si>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</si>
  <si>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</si>
  <si>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</si>
  <si>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</si>
  <si>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</si>
  <si>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</si>
  <si>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</si>
  <si>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</si>
  <si>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</si>
  <si>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</si>
  <si>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</si>
  <si>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</si>
  <si>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</si>
  <si>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</si>
  <si>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</si>
  <si>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</si>
  <si>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</si>
  <si>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</si>
  <si>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</si>
  <si>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</si>
  <si>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</si>
  <si>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</si>
  <si>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</si>
  <si>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</si>
  <si>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</si>
  <si>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</si>
  <si>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</si>
  <si>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</si>
  <si>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</si>
  <si>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</si>
  <si>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</si>
  <si>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</si>
  <si>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</si>
  <si>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</si>
  <si>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</si>
  <si>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</si>
  <si>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</si>
  <si>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</si>
  <si>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</si>
  <si>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</si>
  <si>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</si>
  <si>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</si>
  <si>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</si>
  <si>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</si>
  <si>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</si>
  <si>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</si>
  <si>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</si>
  <si>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</si>
  <si>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</si>
  <si>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</si>
  <si>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</si>
  <si>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</si>
  <si>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</si>
  <si>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</si>
  <si>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</si>
  <si>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</si>
  <si>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</si>
  <si>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</si>
  <si>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</si>
  <si>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</si>
  <si>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</si>
  <si>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</si>
  <si>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</si>
  <si>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</si>
  <si>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</si>
  <si>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</si>
  <si>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</si>
  <si>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</si>
  <si>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</si>
  <si>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</si>
  <si>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</si>
  <si>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</si>
  <si>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</si>
  <si>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</si>
  <si>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</si>
  <si>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</si>
  <si>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</si>
  <si>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</si>
  <si>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</si>
  <si>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</si>
  <si>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</si>
  <si>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</si>
  <si>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</si>
  <si>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</si>
  <si>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</si>
  <si>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</si>
  <si>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</si>
  <si>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</si>
  <si>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</si>
  <si>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</si>
  <si>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</si>
  <si>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</si>
  <si>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</si>
  <si>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</si>
  <si>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</si>
  <si>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</si>
  <si>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</si>
  <si>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</si>
  <si>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</si>
  <si>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</si>
  <si>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</si>
  <si>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</si>
  <si>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</si>
  <si>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</si>
  <si>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</si>
  <si>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</si>
  <si>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</si>
  <si>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</si>
  <si>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</si>
  <si>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</si>
  <si>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</si>
  <si>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</si>
  <si>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</si>
  <si>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</si>
  <si>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</si>
  <si>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</si>
  <si>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</si>
  <si>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</si>
  <si>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</si>
  <si>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</si>
  <si>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</si>
  <si>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</si>
  <si>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</si>
  <si>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</si>
  <si>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</si>
  <si>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</si>
  <si>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</si>
  <si>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</si>
  <si>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</si>
  <si>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</si>
  <si>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</si>
  <si>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</si>
  <si>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</si>
  <si>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</si>
  <si>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</si>
  <si>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</si>
  <si>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</si>
  <si>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</si>
  <si>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</si>
  <si>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</si>
  <si>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</si>
  <si>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</si>
  <si>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</si>
  <si>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</si>
  <si>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</si>
  <si>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</si>
  <si>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</si>
  <si>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</si>
  <si>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</si>
  <si>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</si>
  <si>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</si>
  <si>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</si>
  <si>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</si>
  <si>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</si>
  <si>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</si>
  <si>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</si>
  <si>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</si>
  <si>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</si>
  <si>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</si>
  <si>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</si>
  <si>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</si>
  <si>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</si>
  <si>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</si>
  <si>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</si>
  <si>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</si>
  <si>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</si>
  <si>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</si>
  <si>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</si>
  <si>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</si>
  <si>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</si>
  <si>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</si>
  <si>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</si>
  <si>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</si>
  <si>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</si>
  <si>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</si>
  <si>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</si>
  <si>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</si>
  <si>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</si>
  <si>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</si>
  <si>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</si>
  <si>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</si>
  <si>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</si>
  <si>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</si>
  <si>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</si>
  <si>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</si>
  <si>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</si>
  <si>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</si>
  <si>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</si>
  <si>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</si>
  <si>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</si>
  <si>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</si>
  <si>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</si>
  <si>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</si>
  <si>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</si>
  <si>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</si>
  <si>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</si>
  <si>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</si>
  <si>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</si>
  <si>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</si>
  <si>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</si>
  <si>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</si>
  <si>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</si>
  <si>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</si>
  <si>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</si>
  <si>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</si>
  <si>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</si>
  <si>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</si>
  <si>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</si>
  <si>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</si>
  <si>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</si>
  <si>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</si>
  <si>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</si>
  <si>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</si>
  <si>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</si>
  <si>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</si>
  <si>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</si>
  <si>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</si>
  <si>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</si>
  <si>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</si>
  <si>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</si>
  <si>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</si>
  <si>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</si>
  <si>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</si>
  <si>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</si>
  <si>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</si>
  <si>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</si>
  <si>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</si>
  <si>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</si>
  <si>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</si>
  <si>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</si>
  <si>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</si>
  <si>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</si>
  <si>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</si>
  <si>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</si>
  <si>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</si>
  <si>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</si>
  <si>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</si>
  <si>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</si>
  <si>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</si>
  <si>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</si>
  <si>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</si>
  <si>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</si>
  <si>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</si>
  <si>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</si>
  <si>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</si>
  <si>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</si>
  <si>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</si>
  <si>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</si>
  <si>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</si>
  <si>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</si>
  <si>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</si>
  <si>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</si>
  <si>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</si>
  <si>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</si>
  <si>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</si>
  <si>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</si>
  <si>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</si>
  <si>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</si>
  <si>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</si>
  <si>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</si>
  <si>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</si>
  <si>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</si>
  <si>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</si>
  <si>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</si>
  <si>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</si>
  <si>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</si>
  <si>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</si>
  <si>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</si>
  <si>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</si>
  <si>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</si>
  <si>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</si>
  <si>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</si>
  <si>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</si>
  <si>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</si>
  <si>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</si>
  <si>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</si>
  <si>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</si>
  <si>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</si>
  <si>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</si>
  <si>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</si>
  <si>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</si>
  <si>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</si>
  <si>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</si>
  <si>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</si>
  <si>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</si>
  <si>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</si>
  <si>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</si>
  <si>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</si>
  <si>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</si>
  <si>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</si>
  <si>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</si>
  <si>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</si>
  <si>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</si>
  <si>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</si>
  <si>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</si>
  <si>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</si>
  <si>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</si>
  <si>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</si>
  <si>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</si>
  <si>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</si>
  <si>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</si>
  <si>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</si>
  <si>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</si>
  <si>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</si>
  <si>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</si>
  <si>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</si>
  <si>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</si>
  <si>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</si>
  <si>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</si>
  <si>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</si>
  <si>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</si>
  <si>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</si>
  <si>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</si>
  <si>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</si>
  <si>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</si>
  <si>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</si>
  <si>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</si>
  <si>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</si>
  <si>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</si>
  <si>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</si>
  <si>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</si>
  <si>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</si>
  <si>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</si>
  <si>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</si>
  <si>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</si>
  <si>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</si>
  <si>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</si>
  <si>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</si>
  <si>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</si>
  <si>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</si>
  <si>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</si>
  <si>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</si>
  <si>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</si>
  <si>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</si>
  <si>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</si>
  <si>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</si>
  <si>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</si>
  <si>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</si>
  <si>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</si>
  <si>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</si>
  <si>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</si>
  <si>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</si>
  <si>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</si>
  <si>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</si>
  <si>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</si>
  <si>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</si>
  <si>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</si>
  <si>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</si>
  <si>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</si>
  <si>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</si>
  <si>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</si>
  <si>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</si>
  <si>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</si>
  <si>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</si>
  <si>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</si>
  <si>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</si>
  <si>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</si>
  <si>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</si>
  <si>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</si>
  <si>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</si>
  <si>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</si>
  <si>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</si>
  <si>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</si>
  <si>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</si>
  <si>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</si>
  <si>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</si>
  <si>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</si>
  <si>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</si>
  <si>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</si>
  <si>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</si>
  <si>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</si>
  <si>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</si>
  <si>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</si>
  <si>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</si>
  <si>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</si>
  <si>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</si>
  <si>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</si>
  <si>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</si>
  <si>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</si>
  <si>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</si>
  <si>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</si>
  <si>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</si>
  <si>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</si>
  <si>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</si>
  <si>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</si>
  <si>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</si>
  <si>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</si>
  <si>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</si>
  <si>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</si>
  <si>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</si>
  <si>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</si>
  <si>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</si>
  <si>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</si>
  <si>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</si>
  <si>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</si>
  <si>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</si>
  <si>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</si>
  <si>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</si>
  <si>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</si>
  <si>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</si>
  <si>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</si>
  <si>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</si>
  <si>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</si>
  <si>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</si>
  <si>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</si>
  <si>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</si>
  <si>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</si>
  <si>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</si>
  <si>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</si>
  <si>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</si>
  <si>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</si>
  <si>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</si>
  <si>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</si>
  <si>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</si>
  <si>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</si>
  <si>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</si>
  <si>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</si>
  <si>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</si>
  <si>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</si>
  <si>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</si>
  <si>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</si>
  <si>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</si>
  <si>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</si>
  <si>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</si>
  <si>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</si>
  <si>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</si>
  <si>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</si>
  <si>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</si>
  <si>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</si>
  <si>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</si>
  <si>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</si>
  <si>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</si>
  <si>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</si>
  <si>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</si>
  <si>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</si>
  <si>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</si>
  <si>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</si>
  <si>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</si>
  <si>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</si>
  <si>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</si>
  <si>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</si>
  <si>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</si>
  <si>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</si>
  <si>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</si>
  <si>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</si>
  <si>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</si>
  <si>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</si>
  <si>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</si>
  <si>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</si>
  <si>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</si>
  <si>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</si>
  <si>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</si>
  <si>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</si>
  <si>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</si>
  <si>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</si>
  <si>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</si>
  <si>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</si>
  <si>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</si>
  <si>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</si>
  <si>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</si>
  <si>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</si>
  <si>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</si>
  <si>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</si>
  <si>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</si>
  <si>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</si>
  <si>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</si>
  <si>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</si>
  <si>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</si>
  <si>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</si>
  <si>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</si>
  <si>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</si>
  <si>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</si>
  <si>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</si>
  <si>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</si>
  <si>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</si>
  <si>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</si>
  <si>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</si>
  <si>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</si>
  <si>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</si>
  <si>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</si>
  <si>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</si>
  <si>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</si>
  <si>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</si>
  <si>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</si>
  <si>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</si>
  <si>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</si>
  <si>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</si>
  <si>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</si>
  <si>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</si>
  <si>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</si>
  <si>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</si>
  <si>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</si>
  <si>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</si>
  <si>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</si>
  <si>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</si>
  <si>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</si>
  <si>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</si>
  <si>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</si>
  <si>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</si>
  <si>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</si>
  <si>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</si>
  <si>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</si>
  <si>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</si>
  <si>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</si>
  <si>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</si>
  <si>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</si>
  <si>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</si>
  <si>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</si>
  <si>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</si>
  <si>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</si>
  <si>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</si>
  <si>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</si>
  <si>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</si>
  <si>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</si>
  <si>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</si>
  <si>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</si>
  <si>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</si>
  <si>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</si>
  <si>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</si>
  <si>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</si>
  <si>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</si>
  <si>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</si>
  <si>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</si>
  <si>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</si>
  <si>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</si>
  <si>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</si>
  <si>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</si>
  <si>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</si>
  <si>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</si>
  <si>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</si>
  <si>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</si>
  <si>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</si>
  <si>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</si>
  <si>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</si>
  <si>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</si>
  <si>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</si>
  <si>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</si>
  <si>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</si>
  <si>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</si>
  <si>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</si>
  <si>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</si>
  <si>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</si>
  <si>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</si>
  <si>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</si>
  <si>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</si>
  <si>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</si>
  <si>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</si>
  <si>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</si>
  <si>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</si>
  <si>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</si>
  <si>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</si>
  <si>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</si>
  <si>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</si>
  <si>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</si>
  <si>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</si>
  <si>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</si>
  <si>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</si>
  <si>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</si>
  <si>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</si>
  <si>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</si>
  <si>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</si>
  <si>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</si>
  <si>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</si>
  <si>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</si>
  <si>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</si>
  <si>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</si>
  <si>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</si>
  <si>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</si>
  <si>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</si>
  <si>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</si>
  <si>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</si>
  <si>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</si>
  <si>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</si>
  <si>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</si>
  <si>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</si>
  <si>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</si>
  <si>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</si>
  <si>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</si>
  <si>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</si>
  <si>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</si>
  <si>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</si>
  <si>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</si>
  <si>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</si>
  <si>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</si>
  <si>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</si>
  <si>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</si>
  <si>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</si>
  <si>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</si>
  <si>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</si>
  <si>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</si>
  <si>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</si>
  <si>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</si>
  <si>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</si>
  <si>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</si>
  <si>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</si>
  <si>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</si>
  <si>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</si>
  <si>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</si>
  <si>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</si>
  <si>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</si>
  <si>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</si>
  <si>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</si>
  <si>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</si>
  <si>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</si>
  <si>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</si>
  <si>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</si>
  <si>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</si>
  <si>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</si>
  <si>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</si>
  <si>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</si>
  <si>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</si>
  <si>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</si>
  <si>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</si>
  <si>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</si>
  <si>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</si>
  <si>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</si>
  <si>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</si>
  <si>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</si>
  <si>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</si>
  <si>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</si>
  <si>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</si>
  <si>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</si>
  <si>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</si>
  <si>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</si>
  <si>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</si>
  <si>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</si>
  <si>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</si>
  <si>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</si>
  <si>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</si>
  <si>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</si>
  <si>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</si>
  <si>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</si>
  <si>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</si>
  <si>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</si>
  <si>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</si>
  <si>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</si>
  <si>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</si>
  <si>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</si>
  <si>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</si>
  <si>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</si>
  <si>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</si>
  <si>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</si>
  <si>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</si>
  <si>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</si>
  <si>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</si>
  <si>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</si>
  <si>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</si>
  <si>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</si>
  <si>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</si>
  <si>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</si>
  <si>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</si>
  <si>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</si>
  <si>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</si>
  <si>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</si>
  <si>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</si>
  <si>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</si>
  <si>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</si>
  <si>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</si>
  <si>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</si>
  <si>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</si>
  <si>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</si>
  <si>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</si>
  <si>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</si>
  <si>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</si>
  <si>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</si>
  <si>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</si>
  <si>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</si>
  <si>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</si>
  <si>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</si>
  <si>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</si>
  <si>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</si>
  <si>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</si>
  <si>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</si>
  <si>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</si>
  <si>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</si>
  <si>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</si>
  <si>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</si>
  <si>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</si>
  <si>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</si>
  <si>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</si>
  <si>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</si>
  <si>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</si>
  <si>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</si>
  <si>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</si>
  <si>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</si>
  <si>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</si>
  <si>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</si>
  <si>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</si>
  <si>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</si>
  <si>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</si>
  <si>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</si>
  <si>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</si>
  <si>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</si>
  <si>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</si>
  <si>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</si>
  <si>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</si>
  <si>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</si>
  <si>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</si>
  <si>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</si>
  <si>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</si>
  <si>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</si>
  <si>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</si>
  <si>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</si>
  <si>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</si>
  <si>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</si>
  <si>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</si>
  <si>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</si>
  <si>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</si>
  <si>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</si>
  <si>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</si>
  <si>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</si>
  <si>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</si>
  <si>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</si>
  <si>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</si>
  <si>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</si>
  <si>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</si>
  <si>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</si>
  <si>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</si>
  <si>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</si>
  <si>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</si>
  <si>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</si>
  <si>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</si>
  <si>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</si>
  <si>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</si>
  <si>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</si>
  <si>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</si>
  <si>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</si>
  <si>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</si>
  <si>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</si>
  <si>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</si>
  <si>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</si>
  <si>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</si>
  <si>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</si>
  <si>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</si>
  <si>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</si>
  <si>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</si>
  <si>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</si>
  <si>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</si>
  <si>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</si>
  <si>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</si>
  <si>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</si>
  <si>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</si>
  <si>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</si>
  <si>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</si>
  <si>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</si>
  <si>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</si>
  <si>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</si>
  <si>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</si>
  <si>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</si>
  <si>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</si>
  <si>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</si>
  <si>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</si>
  <si>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</si>
  <si>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</si>
  <si>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</si>
  <si>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</si>
  <si>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</si>
  <si>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</si>
  <si>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</si>
  <si>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</si>
  <si>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</si>
  <si>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</si>
  <si>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</si>
  <si>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</si>
  <si>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</si>
  <si>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</si>
  <si>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</si>
  <si>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</si>
  <si>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</si>
  <si>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</si>
  <si>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</si>
  <si>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</si>
  <si>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</si>
  <si>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</si>
  <si>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</si>
  <si>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</si>
  <si>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</si>
  <si>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</si>
  <si>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</si>
  <si>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</si>
  <si>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</si>
  <si>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</si>
  <si>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</si>
  <si>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</si>
  <si>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</si>
  <si>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</si>
  <si>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</si>
  <si>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</si>
  <si>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</si>
  <si>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</si>
  <si>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</si>
  <si>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</si>
  <si>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</si>
  <si>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</si>
  <si>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</si>
  <si>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</si>
  <si>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</si>
  <si>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</si>
  <si>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</si>
  <si>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</si>
  <si>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</si>
  <si>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</si>
  <si>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</si>
  <si>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</si>
  <si>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</si>
  <si>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</si>
  <si>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</si>
  <si>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</si>
  <si>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</si>
  <si>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</si>
  <si>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</si>
  <si>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</si>
  <si>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</si>
  <si>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</si>
  <si>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</si>
  <si>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</si>
  <si>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</si>
  <si>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</si>
  <si>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</si>
  <si>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</si>
  <si>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</si>
  <si>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</si>
  <si>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</si>
  <si>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</si>
  <si>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</si>
  <si>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</si>
  <si>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</si>
  <si>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</si>
  <si>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</si>
  <si>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</si>
  <si>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</si>
  <si>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</si>
  <si>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</si>
  <si>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</si>
  <si>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</si>
  <si>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</si>
  <si>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</si>
  <si>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</si>
  <si>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</si>
  <si>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</si>
  <si>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</si>
  <si>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</si>
  <si>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</si>
  <si>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</si>
  <si>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</si>
  <si>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</si>
  <si>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</si>
  <si>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</si>
  <si>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</si>
  <si>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</si>
  <si>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</si>
  <si>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</si>
  <si>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</si>
  <si>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</si>
  <si>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</si>
  <si>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</si>
  <si>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</si>
  <si>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</si>
  <si>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</si>
  <si>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</si>
  <si>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</si>
  <si>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</si>
  <si>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</si>
  <si>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</si>
  <si>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</si>
  <si>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</si>
  <si>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</si>
  <si>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</si>
  <si>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</si>
  <si>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</si>
  <si>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</si>
  <si>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</si>
  <si>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</si>
  <si>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</si>
  <si>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</si>
  <si>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</si>
  <si>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</si>
  <si>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</si>
  <si>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</si>
  <si>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</si>
  <si>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</si>
  <si>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</si>
  <si>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</si>
  <si>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</si>
  <si>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</si>
  <si>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</si>
  <si>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</si>
  <si>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</si>
  <si>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</si>
  <si>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</si>
  <si>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</si>
  <si>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</si>
  <si>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</si>
  <si>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</si>
  <si>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</si>
  <si>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</si>
  <si>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</si>
  <si>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</si>
  <si>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</si>
  <si>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</si>
  <si>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</si>
  <si>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</si>
  <si>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</si>
  <si>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</si>
  <si>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</si>
  <si>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</si>
  <si>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</si>
  <si>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</si>
  <si>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</si>
  <si>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</si>
  <si>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</si>
  <si>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</si>
  <si>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</si>
  <si>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</si>
  <si>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</si>
  <si>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</si>
  <si>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</si>
  <si>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</si>
  <si>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</si>
  <si>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</si>
  <si>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</si>
  <si>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</si>
  <si>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</si>
  <si>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</si>
  <si>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</si>
  <si>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</si>
  <si>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</si>
  <si>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</si>
  <si>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</si>
  <si>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</si>
  <si>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</si>
  <si>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</si>
  <si>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</si>
  <si>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</si>
  <si>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</si>
  <si>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</si>
  <si>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</si>
  <si>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</si>
  <si>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</si>
  <si>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</si>
  <si>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</si>
  <si>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</si>
  <si>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</si>
  <si>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</si>
  <si>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</si>
  <si>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</si>
  <si>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</si>
  <si>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</si>
  <si>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</si>
  <si>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</si>
  <si>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</si>
  <si>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</si>
  <si>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</si>
  <si>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</si>
  <si>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</si>
  <si>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</si>
  <si>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</si>
  <si>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</si>
  <si>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</si>
  <si>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</si>
  <si>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</si>
  <si>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</si>
  <si>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</si>
  <si>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</si>
  <si>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</si>
  <si>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</si>
  <si>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</si>
  <si>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</si>
  <si>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</si>
  <si>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</si>
  <si>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</si>
  <si>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</si>
  <si>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</si>
  <si>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</si>
  <si>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</si>
  <si>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</si>
  <si>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</si>
  <si>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</si>
  <si>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</si>
  <si>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</si>
  <si>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</si>
  <si>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</si>
  <si>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</si>
  <si>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</si>
  <si>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</si>
  <si>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</si>
  <si>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</si>
  <si>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</si>
  <si>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</si>
  <si>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</si>
  <si>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</si>
  <si>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</si>
  <si>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</si>
  <si>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</si>
  <si>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</si>
  <si>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</si>
  <si>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</si>
  <si>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</si>
  <si>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</si>
  <si>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</si>
  <si>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</si>
  <si>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</si>
  <si>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</si>
  <si>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</si>
  <si>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</si>
  <si>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</si>
  <si>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</si>
  <si>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</si>
  <si>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</si>
  <si>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</si>
  <si>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</si>
  <si>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</si>
  <si>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</si>
  <si>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</si>
  <si>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</si>
  <si>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</si>
  <si>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</si>
  <si>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</si>
  <si>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</si>
  <si>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</si>
  <si>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</si>
  <si>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</si>
  <si>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</si>
  <si>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</si>
  <si>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</si>
  <si>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</si>
  <si>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</si>
  <si>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</si>
  <si>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</si>
  <si>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</si>
  <si>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</si>
  <si>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</si>
  <si>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</si>
  <si>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</si>
  <si>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</si>
  <si>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</si>
  <si>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</si>
  <si>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</si>
  <si>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</si>
  <si>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</si>
  <si>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</si>
  <si>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</si>
  <si>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</si>
  <si>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</si>
  <si>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</si>
  <si>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</si>
  <si>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</si>
  <si>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</si>
  <si>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</si>
  <si>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</si>
  <si>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</si>
  <si>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</si>
  <si>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</si>
  <si>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</si>
  <si>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</si>
  <si>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</si>
  <si>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</si>
  <si>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</si>
  <si>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</si>
  <si>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</si>
  <si>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</si>
  <si>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</si>
  <si>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</si>
  <si>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</si>
  <si>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</si>
  <si>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</si>
  <si>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</si>
  <si>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</si>
  <si>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</si>
  <si>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</si>
  <si>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</si>
  <si>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</si>
  <si>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</si>
  <si>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</si>
  <si>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</si>
  <si>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</si>
  <si>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</si>
  <si>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</si>
  <si>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</si>
  <si>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</si>
  <si>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</si>
  <si>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</si>
  <si>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</si>
  <si>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</si>
  <si>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</si>
  <si>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</si>
  <si>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</si>
  <si>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</si>
  <si>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</si>
  <si>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</si>
  <si>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</si>
  <si>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</si>
  <si>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</si>
  <si>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</si>
  <si>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</si>
  <si>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</si>
  <si>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</si>
  <si>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</si>
  <si>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</si>
  <si>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</si>
  <si>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</si>
  <si>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</si>
  <si>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</si>
  <si>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</si>
  <si>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</si>
  <si>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</si>
  <si>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</si>
  <si>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</si>
  <si>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</si>
  <si>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</si>
  <si>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</si>
  <si>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</si>
  <si>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</si>
  <si>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</si>
  <si>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</si>
  <si>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</si>
  <si>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</si>
  <si>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</si>
  <si>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</si>
  <si>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</si>
  <si>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</si>
  <si>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</si>
  <si>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</si>
  <si>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</si>
  <si>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</si>
  <si>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</si>
  <si>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</si>
  <si>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</si>
  <si>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</si>
  <si>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</si>
  <si>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</si>
  <si>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</si>
  <si>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</si>
  <si>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</si>
  <si>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</si>
  <si>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</si>
  <si>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</si>
  <si>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</si>
  <si>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</si>
  <si>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</si>
  <si>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</si>
  <si>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</si>
  <si>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</si>
  <si>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</si>
  <si>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</si>
  <si>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</si>
  <si>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</si>
  <si>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</si>
  <si>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</si>
  <si>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</si>
  <si>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</si>
  <si>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</si>
  <si>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</si>
  <si>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</si>
  <si>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</si>
  <si>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</si>
  <si>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</si>
  <si>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</si>
  <si>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</si>
  <si>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</si>
  <si>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</si>
  <si>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</si>
  <si>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</si>
  <si>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</si>
  <si>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</si>
  <si>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</si>
  <si>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</si>
  <si>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</si>
  <si>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</si>
  <si>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</si>
  <si>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</si>
  <si>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</si>
  <si>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</si>
  <si>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</si>
  <si>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</si>
  <si>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</si>
  <si>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</si>
  <si>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</si>
  <si>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</si>
  <si>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</si>
  <si>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</si>
  <si>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</si>
  <si>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</si>
  <si>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</si>
  <si>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</si>
  <si>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</si>
  <si>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</si>
  <si>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</si>
  <si>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</si>
  <si>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</si>
  <si>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</si>
  <si>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</si>
  <si>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</si>
  <si>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</si>
  <si>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</si>
  <si>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</si>
  <si>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</si>
  <si>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</si>
  <si>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</si>
  <si>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</si>
  <si>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</si>
  <si>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</si>
  <si>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</si>
  <si>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</si>
  <si>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</si>
  <si>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</si>
  <si>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</si>
  <si>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</si>
  <si>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</si>
  <si>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</si>
  <si>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</si>
  <si>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</si>
  <si>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</si>
  <si>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</si>
  <si>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</si>
  <si>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</si>
  <si>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</si>
  <si>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</si>
  <si>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</si>
  <si>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</si>
  <si>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</si>
  <si>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</si>
  <si>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</si>
  <si>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</si>
  <si>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</si>
  <si>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</si>
  <si>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</si>
  <si>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</si>
  <si>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</si>
  <si>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</si>
  <si>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</si>
  <si>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</si>
  <si>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</si>
  <si>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</si>
  <si>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</si>
  <si>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</si>
  <si>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</si>
  <si>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</si>
  <si>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</si>
  <si>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</si>
  <si>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</si>
  <si>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</si>
  <si>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</si>
  <si>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</si>
  <si>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</si>
  <si>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</si>
  <si>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</si>
  <si>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</si>
  <si>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</si>
  <si>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</si>
  <si>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</si>
  <si>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</si>
  <si>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</si>
  <si>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</si>
  <si>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</si>
  <si>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</si>
  <si>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</si>
  <si>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</si>
  <si>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</si>
  <si>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</si>
  <si>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</si>
  <si>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</si>
  <si>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</si>
  <si>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</si>
  <si>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</si>
  <si>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</si>
  <si>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</si>
  <si>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</si>
  <si>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</si>
  <si>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</si>
  <si>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</si>
  <si>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</si>
  <si>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</si>
  <si>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</si>
  <si>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</si>
  <si>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</si>
  <si>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</si>
  <si>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</si>
  <si>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</si>
  <si>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</si>
  <si>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</si>
  <si>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</si>
  <si>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</si>
  <si>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</si>
  <si>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</si>
  <si>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</si>
  <si>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</si>
  <si>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</si>
  <si>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</si>
  <si>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</si>
  <si>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</si>
  <si>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</si>
  <si>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</si>
  <si>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</si>
  <si>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</si>
  <si>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</si>
  <si>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</si>
  <si>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</si>
  <si>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</si>
  <si>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</si>
  <si>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</si>
  <si>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</si>
  <si>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</si>
  <si>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</si>
  <si>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</si>
  <si>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</si>
  <si>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</si>
  <si>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</si>
  <si>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</si>
  <si>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</si>
  <si>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</si>
  <si>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</si>
  <si>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</si>
  <si>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</si>
  <si>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</si>
  <si>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</si>
  <si>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</si>
  <si>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</si>
  <si>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</si>
  <si>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</si>
  <si>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</si>
  <si>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</si>
  <si>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</si>
  <si>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</si>
  <si>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</si>
  <si>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</si>
  <si>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</si>
  <si>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</si>
  <si>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</si>
  <si>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</si>
  <si>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</si>
  <si>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</si>
  <si>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</si>
  <si>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</si>
  <si>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</si>
  <si>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</si>
  <si>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</si>
  <si>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</si>
  <si>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</si>
  <si>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</si>
  <si>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</si>
  <si>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</si>
  <si>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</si>
  <si>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</si>
  <si>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</si>
  <si>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</si>
  <si>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</si>
  <si>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</si>
  <si>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</si>
  <si>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</si>
  <si>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</si>
  <si>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</si>
  <si>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</si>
  <si>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</si>
  <si>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</si>
  <si>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</si>
  <si>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</si>
  <si>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</si>
  <si>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</si>
  <si>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</si>
  <si>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</si>
  <si>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</si>
  <si>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</si>
  <si>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</si>
  <si>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</si>
  <si>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</si>
  <si>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</si>
  <si>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</si>
  <si>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</si>
  <si>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</si>
  <si>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</si>
  <si>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</si>
  <si>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</si>
  <si>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</si>
  <si>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</si>
  <si>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</si>
  <si>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</si>
  <si>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</si>
  <si>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</si>
  <si>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</si>
  <si>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</si>
  <si>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</si>
  <si>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</si>
  <si>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</si>
  <si>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</si>
  <si>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</si>
  <si>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</si>
  <si>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</si>
  <si>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</si>
  <si>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</si>
  <si>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</si>
  <si>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</si>
  <si>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</si>
  <si>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</si>
  <si>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</si>
  <si>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</si>
  <si>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</si>
  <si>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</si>
  <si>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</si>
  <si>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</si>
  <si>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</si>
  <si>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</si>
  <si>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</si>
  <si>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</si>
  <si>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</si>
  <si>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</si>
  <si>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</si>
  <si>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</si>
  <si>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</si>
  <si>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</si>
  <si>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</si>
  <si>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</si>
  <si>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</si>
  <si>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</si>
  <si>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</si>
  <si>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</si>
  <si>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</si>
  <si>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</si>
  <si>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</si>
  <si>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</si>
  <si>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</si>
  <si>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</si>
  <si>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</si>
  <si>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</si>
  <si>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</si>
  <si>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</si>
  <si>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</si>
  <si>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</si>
  <si>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</si>
  <si>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</si>
  <si>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</si>
  <si>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</si>
  <si>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</si>
  <si>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</si>
  <si>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</si>
  <si>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</si>
  <si>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</si>
  <si>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</si>
  <si>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</si>
  <si>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</si>
  <si>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</si>
  <si>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</si>
  <si>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</si>
  <si>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</si>
  <si>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</si>
  <si>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</si>
  <si>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</si>
  <si>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</si>
  <si>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</si>
  <si>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</si>
  <si>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</si>
  <si>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</si>
  <si>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</si>
  <si>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</si>
  <si>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</si>
  <si>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</si>
  <si>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</si>
  <si>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</si>
  <si>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</si>
  <si>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</si>
  <si>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</si>
  <si>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</si>
  <si>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</si>
  <si>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</si>
  <si>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</si>
  <si>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</si>
  <si>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</si>
  <si>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</si>
  <si>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</si>
  <si>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</si>
  <si>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</si>
  <si>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</si>
  <si>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</si>
  <si>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</si>
  <si>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</si>
  <si>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</si>
  <si>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</si>
  <si>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</si>
  <si>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</si>
  <si>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</si>
  <si>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</si>
  <si>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</si>
  <si>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</si>
  <si>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</si>
  <si>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</si>
  <si>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</si>
  <si>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</si>
  <si>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</si>
  <si>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</si>
  <si>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</si>
  <si>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</si>
  <si>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</si>
  <si>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</si>
  <si>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</si>
  <si>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</si>
  <si>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</si>
  <si>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</si>
  <si>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</si>
  <si>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</si>
  <si>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</si>
  <si>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</si>
  <si>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</si>
  <si>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</si>
  <si>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</si>
  <si>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</si>
  <si>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</si>
  <si>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</si>
  <si>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</si>
  <si>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</si>
  <si>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</si>
  <si>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</si>
  <si>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</si>
  <si>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</si>
  <si>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</si>
  <si>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</si>
  <si>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</si>
  <si>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</si>
  <si>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</si>
  <si>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</si>
  <si>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</si>
  <si>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</si>
  <si>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</si>
  <si>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</si>
  <si>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</si>
  <si>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</si>
  <si>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</si>
  <si>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</si>
  <si>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</si>
  <si>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</si>
  <si>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</si>
  <si>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</si>
  <si>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</si>
  <si>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</si>
  <si>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</si>
  <si>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</si>
  <si>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</si>
  <si>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</si>
  <si>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</si>
  <si>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</si>
  <si>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</si>
  <si>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</si>
  <si>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</si>
  <si>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</si>
  <si>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</si>
  <si>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</si>
  <si>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</si>
  <si>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</si>
  <si>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</si>
  <si>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</si>
  <si>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</si>
  <si>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</si>
  <si>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</si>
  <si>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</si>
  <si>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</si>
  <si>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</si>
  <si>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</si>
  <si>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</si>
  <si>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</si>
  <si>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</si>
  <si>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</si>
  <si>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</si>
  <si>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</si>
  <si>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</si>
  <si>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</si>
  <si>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</si>
  <si>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</si>
  <si>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</si>
  <si>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</si>
  <si>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</si>
  <si>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</si>
  <si>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</si>
  <si>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</si>
  <si>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</si>
  <si>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</si>
  <si>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</si>
  <si>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</si>
  <si>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</si>
  <si>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</si>
  <si>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</si>
  <si>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</si>
  <si>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</si>
  <si>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</si>
  <si>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</si>
  <si>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</si>
  <si>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</si>
  <si>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</si>
  <si>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</si>
  <si>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</si>
  <si>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</si>
  <si>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</si>
  <si>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</si>
  <si>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</si>
  <si>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</si>
  <si>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</si>
  <si>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</si>
  <si>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</si>
  <si>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</si>
  <si>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</si>
  <si>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</si>
  <si>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</si>
  <si>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</si>
  <si>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</si>
  <si>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</si>
  <si>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t xml:space="preserve">Custom 10 </t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</si>
  <si>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</si>
  <si>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</si>
  <si>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</si>
  <si>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</si>
  <si>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</si>
  <si>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</si>
  <si>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</si>
  <si>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</si>
  <si>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</si>
  <si>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</si>
  <si>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</si>
  <si>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</si>
  <si>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</si>
  <si>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</si>
  <si>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</si>
  <si>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</si>
  <si>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</si>
  <si>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</si>
  <si>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</si>
  <si>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</si>
  <si>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</si>
  <si>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</si>
  <si>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</si>
  <si>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</si>
  <si>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</si>
  <si>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</si>
  <si>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</si>
  <si>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</si>
  <si>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</si>
  <si>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</si>
  <si>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</si>
  <si>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</si>
  <si>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</si>
  <si>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</si>
  <si>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</si>
  <si>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</si>
  <si>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</si>
  <si>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</si>
  <si>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</si>
  <si>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</si>
  <si>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</si>
  <si>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</si>
  <si>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</si>
  <si>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</si>
  <si>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</si>
  <si>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</si>
  <si>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</si>
  <si>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</si>
  <si>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</si>
  <si>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</si>
  <si>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</si>
  <si>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</si>
  <si>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</si>
  <si>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</si>
  <si>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</si>
  <si>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</si>
  <si>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</si>
  <si>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</si>
  <si>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</si>
  <si>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</si>
  <si>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</si>
  <si>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</si>
  <si>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</si>
  <si>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</si>
  <si>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</si>
  <si>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</si>
  <si>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</si>
  <si>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</si>
  <si>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</si>
  <si>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</si>
  <si>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</si>
  <si>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</si>
  <si>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</si>
  <si>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</si>
  <si>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</si>
  <si>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</si>
  <si>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</si>
  <si>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</si>
  <si>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</si>
  <si>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</si>
  <si>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</si>
  <si>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</si>
  <si>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</si>
  <si>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</si>
  <si>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</si>
  <si>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</si>
  <si>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</si>
  <si>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</si>
  <si>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</si>
  <si>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</si>
  <si>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</si>
  <si>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</si>
  <si>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</si>
  <si>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TKlohn@spectrix.com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</si>
  <si>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</si>
  <si>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</si>
  <si>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</si>
  <si>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</si>
  <si>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</si>
  <si>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</si>
  <si>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</si>
  <si>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</si>
  <si>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</si>
  <si>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</si>
  <si>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</si>
  <si>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</si>
  <si>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</si>
  <si>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</si>
  <si>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</si>
  <si>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</si>
  <si>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</si>
  <si>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</si>
  <si>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</si>
  <si>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</si>
  <si>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</si>
  <si>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</si>
  <si>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</si>
  <si>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</si>
  <si>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</si>
  <si>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</si>
  <si>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</si>
  <si>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</si>
  <si>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</si>
  <si>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</si>
  <si>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</si>
  <si>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</si>
  <si>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</si>
  <si>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</si>
  <si>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</si>
  <si>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</si>
  <si>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</si>
  <si>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</si>
  <si>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</si>
  <si>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</si>
  <si>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</si>
  <si>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</si>
  <si>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</si>
  <si>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</si>
  <si>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</si>
  <si>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</si>
  <si>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</si>
  <si>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</si>
  <si>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</si>
  <si>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</si>
  <si>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</si>
  <si>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</si>
  <si>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</si>
  <si>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</si>
  <si>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</si>
  <si>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</si>
  <si>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</si>
  <si>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</si>
  <si>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</si>
  <si>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</si>
  <si>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</si>
  <si>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</si>
  <si>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</si>
  <si>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</si>
  <si>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</si>
  <si>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</si>
  <si>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</si>
  <si>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</si>
  <si>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</si>
  <si>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</si>
  <si>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</si>
  <si>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</si>
  <si>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</si>
  <si>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</si>
  <si>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</si>
  <si>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</si>
  <si>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</si>
  <si>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</si>
  <si>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</si>
  <si>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</si>
  <si>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</si>
  <si>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</si>
  <si>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</si>
  <si>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</si>
  <si>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</si>
  <si>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</si>
  <si>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</si>
  <si>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</si>
  <si>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</si>
  <si>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</si>
  <si>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</si>
  <si>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</si>
  <si>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</si>
  <si>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</si>
  <si>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</si>
  <si>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</si>
  <si>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</si>
  <si>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</si>
  <si>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</si>
  <si>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</si>
  <si>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</si>
  <si>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</si>
  <si>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</si>
  <si>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</si>
  <si>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</si>
  <si>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</si>
  <si>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</si>
  <si>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</si>
  <si>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</si>
  <si>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</si>
  <si>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</si>
  <si>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</si>
  <si>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</si>
  <si>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</si>
  <si>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</si>
  <si>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</si>
  <si>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</si>
  <si>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</si>
  <si>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</si>
  <si>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</si>
  <si>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</si>
  <si>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</si>
  <si>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</si>
  <si>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</si>
  <si>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</si>
  <si>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</si>
  <si>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</si>
  <si>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</si>
  <si>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</si>
  <si>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</si>
  <si>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</si>
  <si>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</si>
  <si>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</si>
  <si>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</si>
  <si>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</si>
  <si>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</si>
  <si>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</si>
  <si>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</si>
  <si>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</si>
  <si>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</si>
  <si>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</si>
  <si>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</si>
  <si>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</si>
  <si>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</si>
  <si>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</si>
  <si>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</si>
  <si>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</si>
  <si>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</si>
  <si>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</si>
  <si>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</si>
  <si>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</si>
  <si>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</si>
  <si>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</si>
  <si>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</si>
  <si>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</si>
  <si>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</si>
  <si>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</si>
  <si>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</si>
  <si>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</si>
  <si>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</si>
  <si>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</si>
  <si>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</si>
  <si>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</si>
  <si>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</si>
  <si>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</si>
  <si>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</si>
  <si>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</si>
  <si>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</si>
  <si>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</si>
  <si>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</si>
  <si>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</si>
  <si>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</si>
  <si>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</si>
  <si>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</si>
  <si>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</si>
  <si>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</si>
  <si>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</si>
  <si>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</si>
  <si>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</si>
  <si>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</si>
  <si>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</si>
  <si>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</si>
  <si>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</si>
  <si>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</si>
  <si>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</si>
  <si>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</si>
  <si>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</si>
  <si>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</si>
  <si>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</si>
  <si>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</si>
  <si>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</si>
  <si>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</si>
  <si>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</si>
  <si>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</si>
  <si>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</si>
  <si>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</si>
  <si>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</si>
  <si>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</si>
  <si>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</si>
  <si>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</si>
  <si>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</si>
  <si>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</si>
  <si>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</si>
  <si>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</si>
  <si>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</si>
  <si>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</si>
  <si>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</si>
  <si>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</si>
  <si>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</si>
  <si>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</si>
  <si>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</si>
  <si>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</si>
  <si>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</si>
  <si>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</si>
  <si>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</si>
  <si>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</si>
  <si>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</si>
  <si>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</si>
  <si>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</si>
  <si>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</si>
  <si>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</si>
  <si>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</si>
  <si>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</si>
  <si>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</si>
  <si>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</si>
  <si>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</si>
  <si>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</si>
  <si>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</si>
  <si>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</si>
  <si>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</si>
  <si>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</si>
  <si>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</si>
  <si>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</si>
  <si>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</si>
  <si>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</si>
  <si>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</si>
  <si>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</si>
  <si>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</si>
  <si>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</si>
  <si>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</si>
  <si>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</si>
  <si>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</si>
  <si>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</si>
  <si>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</si>
  <si>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</si>
  <si>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</si>
  <si>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</si>
  <si>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</si>
  <si>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</si>
  <si>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</si>
  <si>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</si>
  <si>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</si>
  <si>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</si>
  <si>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</si>
  <si>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</si>
  <si>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</si>
  <si>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</si>
  <si>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</si>
  <si>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</si>
  <si>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</si>
  <si>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</si>
  <si>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</si>
  <si>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</si>
  <si>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</si>
  <si>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</si>
  <si>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</si>
  <si>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</si>
  <si>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</si>
  <si>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</si>
  <si>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</si>
  <si>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</si>
  <si>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</si>
  <si>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</si>
  <si>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</si>
  <si>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</si>
  <si>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</si>
  <si>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</si>
  <si>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</si>
  <si>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</si>
  <si>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</si>
  <si>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</si>
  <si>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</si>
  <si>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</si>
  <si>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</si>
  <si>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</si>
  <si>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</si>
  <si>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</si>
  <si>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</si>
  <si>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</si>
  <si>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</si>
  <si>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</si>
  <si>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</si>
  <si>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</si>
  <si>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</si>
  <si>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</si>
  <si>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</si>
  <si>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</si>
  <si>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</si>
  <si>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</si>
  <si>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</si>
  <si>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</si>
  <si>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</si>
  <si>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</si>
  <si>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</si>
  <si>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</si>
  <si>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</si>
  <si>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</si>
  <si>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</si>
  <si>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</si>
  <si>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</si>
  <si>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</si>
  <si>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</si>
  <si>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</si>
  <si>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</si>
  <si>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</si>
  <si>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</si>
  <si>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</si>
  <si>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</si>
  <si>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</si>
  <si>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</si>
  <si>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</si>
  <si>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</si>
  <si>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</si>
  <si>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</si>
  <si>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</si>
  <si>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</si>
  <si>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</si>
  <si>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</si>
  <si>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</si>
  <si>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</si>
  <si>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</si>
  <si>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</si>
  <si>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</si>
  <si>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</si>
  <si>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</si>
  <si>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</si>
  <si>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</si>
  <si>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</si>
  <si>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</si>
  <si>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</si>
  <si>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</si>
  <si>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</si>
  <si>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</si>
  <si>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</si>
  <si>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</si>
  <si>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</si>
  <si>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</si>
  <si>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</si>
  <si>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</si>
  <si>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</si>
  <si>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</si>
  <si>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</si>
  <si>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</si>
  <si>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</si>
  <si>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</si>
  <si>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</si>
  <si>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</si>
  <si>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</si>
  <si>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</si>
  <si>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</si>
  <si>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</si>
  <si>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</si>
  <si>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</si>
  <si>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</si>
  <si>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</si>
  <si>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</si>
  <si>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</si>
  <si>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</si>
  <si>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</si>
  <si>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</si>
  <si>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</si>
  <si>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</si>
  <si>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</si>
  <si>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</si>
  <si>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</si>
  <si>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</si>
  <si>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</si>
  <si>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</si>
  <si>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</si>
  <si>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</si>
  <si>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</si>
  <si>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</si>
  <si>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</si>
  <si>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</si>
  <si>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</si>
  <si>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</si>
  <si>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</si>
  <si>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</si>
  <si>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</si>
  <si>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</si>
  <si>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</si>
  <si>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</si>
  <si>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</si>
  <si>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</si>
  <si>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</si>
  <si>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</si>
  <si>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</si>
  <si>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</si>
  <si>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</si>
  <si>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</si>
  <si>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</si>
  <si>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</si>
  <si>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</si>
  <si>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</si>
  <si>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</si>
  <si>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</si>
  <si>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</si>
  <si>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</si>
  <si>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</si>
  <si>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</si>
  <si>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</si>
  <si>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</si>
  <si>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</si>
  <si>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</si>
  <si>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</si>
  <si>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</si>
  <si>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</si>
  <si>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</si>
  <si>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</si>
  <si>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</si>
  <si>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</si>
  <si>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</si>
  <si>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</si>
  <si>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</si>
  <si>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</si>
  <si>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</si>
  <si>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</si>
  <si>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</si>
  <si>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</si>
  <si>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</si>
  <si>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</si>
  <si>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</si>
  <si>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</si>
  <si>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</si>
  <si>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</si>
  <si>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</si>
  <si>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</si>
  <si>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</si>
  <si>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</si>
  <si>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</si>
  <si>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</si>
  <si>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</si>
  <si>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</si>
  <si>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</si>
  <si>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</si>
  <si>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</si>
  <si>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</si>
  <si>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</si>
  <si>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</si>
  <si>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</si>
  <si>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</si>
  <si>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</si>
  <si>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</si>
  <si>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</si>
  <si>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</si>
  <si>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</si>
  <si>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</si>
  <si>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</si>
  <si>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</si>
  <si>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</si>
  <si>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</si>
  <si>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</si>
  <si>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</si>
  <si>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</si>
  <si>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</si>
  <si>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</si>
  <si>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</si>
  <si>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</si>
  <si>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</si>
  <si>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</si>
  <si>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</si>
  <si>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</si>
  <si>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</si>
  <si>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</si>
  <si>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</si>
  <si>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</si>
  <si>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</si>
  <si>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</si>
  <si>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</si>
  <si>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</si>
  <si>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</si>
  <si>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</si>
  <si>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</si>
  <si>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</si>
  <si>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</si>
  <si>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</si>
  <si>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</si>
  <si>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</si>
  <si>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</si>
  <si>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</si>
  <si>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</si>
  <si>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</si>
  <si>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</si>
  <si>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</si>
  <si>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</si>
  <si>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</si>
  <si>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</si>
  <si>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</si>
  <si>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</si>
  <si>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</si>
  <si>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</si>
  <si>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</si>
  <si>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</si>
  <si>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</si>
  <si>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</si>
  <si>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</si>
  <si>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</si>
  <si>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</si>
  <si>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</si>
  <si>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</si>
  <si>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</si>
  <si>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</si>
  <si>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</si>
  <si>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</si>
  <si>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</si>
  <si>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</si>
  <si>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</si>
  <si>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</si>
  <si>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</si>
  <si>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</si>
  <si>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</si>
  <si>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</si>
  <si>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</si>
  <si>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</si>
  <si>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</si>
  <si>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</si>
  <si>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</si>
  <si>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</si>
  <si>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</si>
  <si>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</si>
  <si>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</si>
  <si>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</si>
  <si>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</si>
  <si>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</si>
  <si>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</si>
  <si>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</si>
  <si>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</si>
  <si>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</si>
  <si>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</si>
  <si>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</si>
  <si>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</si>
  <si>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</si>
  <si>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</si>
  <si>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</si>
  <si>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</si>
  <si>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</si>
  <si>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</si>
  <si>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</si>
  <si>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</si>
  <si>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</si>
  <si>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</si>
  <si>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</si>
  <si>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</si>
  <si>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</si>
  <si>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</si>
  <si>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</si>
  <si>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</si>
  <si>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</si>
  <si>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</si>
  <si>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</si>
  <si>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</si>
  <si>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</si>
  <si>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</si>
  <si>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</si>
  <si>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</si>
  <si>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</si>
  <si>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</si>
  <si>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</si>
  <si>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</si>
  <si>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</si>
  <si>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</si>
  <si>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</si>
  <si>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</si>
  <si>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</si>
  <si>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</si>
  <si>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</si>
  <si>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</si>
  <si>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</si>
  <si>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</si>
  <si>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</si>
  <si>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</si>
  <si>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</si>
  <si>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</si>
  <si>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</si>
  <si>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</si>
  <si>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</si>
  <si>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</si>
  <si>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</si>
  <si>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</si>
  <si>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</si>
  <si>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</si>
  <si>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</si>
  <si>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</si>
  <si>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</si>
  <si>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</si>
  <si>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</si>
  <si>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</si>
  <si>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</si>
  <si>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</si>
  <si>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</si>
  <si>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</si>
  <si>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</si>
  <si>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</si>
  <si>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</si>
  <si>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</si>
  <si>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</si>
  <si>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</si>
  <si>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</si>
  <si>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</si>
  <si>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</si>
  <si>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</si>
  <si>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</si>
  <si>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</si>
  <si>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</si>
  <si>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</si>
  <si>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</si>
  <si>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</si>
  <si>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</si>
  <si>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</si>
  <si>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</si>
  <si>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</si>
  <si>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</si>
  <si>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</si>
  <si>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</si>
  <si>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</si>
  <si>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</si>
  <si>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</si>
  <si>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</si>
  <si>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</si>
  <si>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</si>
  <si>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</si>
  <si>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</si>
  <si>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Welcome02</t>
  </si>
  <si>
    <t>Welcome03</t>
  </si>
  <si>
    <t>Welcome04</t>
  </si>
  <si>
    <t>Welcome05</t>
  </si>
  <si>
    <t>Welcome06</t>
  </si>
  <si>
    <t>Welcome07</t>
  </si>
  <si>
    <t>REQ</t>
  </si>
  <si>
    <t>Mehmet</t>
  </si>
  <si>
    <t>merdogan@onebarnes.com</t>
  </si>
  <si>
    <t>merdogan@onebarnes.com.new.uat</t>
  </si>
  <si>
    <t>Timo</t>
  </si>
  <si>
    <t>Klohn</t>
  </si>
  <si>
    <t>TKlohn@spectrix.com.new.uat</t>
  </si>
  <si>
    <t>0089</t>
  </si>
  <si>
    <t>Welcome08</t>
  </si>
  <si>
    <t>361</t>
  </si>
  <si>
    <t>Expense Group Code</t>
  </si>
  <si>
    <t>Expense Group ID</t>
  </si>
  <si>
    <t>Description</t>
  </si>
  <si>
    <t>ISG</t>
  </si>
  <si>
    <t>(00) ISG</t>
  </si>
  <si>
    <t>(0035) Raymond UK</t>
  </si>
  <si>
    <t>0041</t>
  </si>
  <si>
    <t>(0041) Singapore MRO</t>
  </si>
  <si>
    <t>0055</t>
  </si>
  <si>
    <t>(0055) Raymond France</t>
  </si>
  <si>
    <t>(0057) Raymond Singapore</t>
  </si>
  <si>
    <t>(0075) NGP Mexico</t>
  </si>
  <si>
    <t>(0077) Stromsholmen</t>
  </si>
  <si>
    <t>(0079) NP China</t>
  </si>
  <si>
    <t>(0083) Raymond China</t>
  </si>
  <si>
    <t>(0084) Raymond Mexico</t>
  </si>
  <si>
    <t>0094</t>
  </si>
  <si>
    <t>(0094) Raymond Spain</t>
  </si>
  <si>
    <t>(0096) NGP Brecksville</t>
  </si>
  <si>
    <t>0097</t>
  </si>
  <si>
    <t>(0097) Raymond Germany</t>
  </si>
  <si>
    <t>0114</t>
  </si>
  <si>
    <t>(0114) NGP UK</t>
  </si>
  <si>
    <t>0143</t>
  </si>
  <si>
    <t>(0143) Newton Abbot</t>
  </si>
  <si>
    <t>0146</t>
  </si>
  <si>
    <t>(0146) Singapore OEM Division</t>
  </si>
  <si>
    <t>0148</t>
  </si>
  <si>
    <t>(0148) East Granby (MB)</t>
  </si>
  <si>
    <t>0150</t>
  </si>
  <si>
    <t>(0150) Rzeszow</t>
  </si>
  <si>
    <t>0151</t>
  </si>
  <si>
    <t>(0151) Technologies</t>
  </si>
  <si>
    <t>0153</t>
  </si>
  <si>
    <t>(0153) Motherwell</t>
  </si>
  <si>
    <t>0155</t>
  </si>
  <si>
    <t>(0155) Taoyuan (MB Taiwan)</t>
  </si>
  <si>
    <t>0169</t>
  </si>
  <si>
    <t>(0169) European Sales Force</t>
  </si>
  <si>
    <t>0170</t>
  </si>
  <si>
    <t>(0170) Holdings (MB)</t>
  </si>
  <si>
    <t>0173</t>
  </si>
  <si>
    <t>(0173) AS Thailand</t>
  </si>
  <si>
    <t>0175</t>
  </si>
  <si>
    <t>(0175) Burnley</t>
  </si>
  <si>
    <t>0177</t>
  </si>
  <si>
    <t>(0177) East Hartford</t>
  </si>
  <si>
    <t>(0218) Industrial Gas Springs Ltd (UK)</t>
  </si>
  <si>
    <t>(0400) BG Germany Acq GmbH</t>
  </si>
  <si>
    <t>0401</t>
  </si>
  <si>
    <t>(0401) Manner Germany</t>
  </si>
  <si>
    <t>0404</t>
  </si>
  <si>
    <t>(0404) Manner US</t>
  </si>
  <si>
    <t>0406</t>
  </si>
  <si>
    <t>(0406) Männer Japan</t>
  </si>
  <si>
    <t>0420</t>
  </si>
  <si>
    <t>(0420) Priamus Switzerland</t>
  </si>
  <si>
    <t>0421</t>
  </si>
  <si>
    <t>(0421) Priamus Germany</t>
  </si>
  <si>
    <t>0426</t>
  </si>
  <si>
    <t>(0426) Gammaflux Germany</t>
  </si>
  <si>
    <t>(0430) SMS Inc (US)</t>
  </si>
  <si>
    <t>(0431) SMS Canada</t>
  </si>
  <si>
    <t>0436</t>
  </si>
  <si>
    <t>(0436) SMS GmbH (Germany)</t>
  </si>
  <si>
    <t>0439</t>
  </si>
  <si>
    <t>(0439) SMS SRO (Czech)</t>
  </si>
  <si>
    <t>0440</t>
  </si>
  <si>
    <t>(0440) Synventive Acquisition GmbH (Germany)</t>
  </si>
  <si>
    <t>0443</t>
  </si>
  <si>
    <t>(0443) SMS BV (Holland)</t>
  </si>
  <si>
    <t>0448</t>
  </si>
  <si>
    <t>(0448) SMS Spain</t>
  </si>
  <si>
    <t>0451</t>
  </si>
  <si>
    <t>(0451) SMS - Portugal</t>
  </si>
  <si>
    <t>0453</t>
  </si>
  <si>
    <t>(0453) SMS - United Kingdom</t>
  </si>
  <si>
    <t>0460</t>
  </si>
  <si>
    <t>(0460) SMS China</t>
  </si>
  <si>
    <t>(0463) SMS Japan</t>
  </si>
  <si>
    <t>0464</t>
  </si>
  <si>
    <t>(0464) SMS India (JV)</t>
  </si>
  <si>
    <t>0470</t>
  </si>
  <si>
    <t>(0470) BMS Korea</t>
  </si>
  <si>
    <t>0473</t>
  </si>
  <si>
    <t>(0473) Synventive Thailand</t>
  </si>
  <si>
    <t>0475</t>
  </si>
  <si>
    <t>(0475) SMS Singapore</t>
  </si>
  <si>
    <t>0480</t>
  </si>
  <si>
    <t>(0480) Thermoplay Italy S.p.A</t>
  </si>
  <si>
    <t>0481</t>
  </si>
  <si>
    <t>(0481) Thermoplay France</t>
  </si>
  <si>
    <t>0483</t>
  </si>
  <si>
    <t>(0483) Thermoplay UK</t>
  </si>
  <si>
    <t>0486</t>
  </si>
  <si>
    <t>(0486) Thermoplay India</t>
  </si>
  <si>
    <t>0501</t>
  </si>
  <si>
    <t>(0501) FOBOHA Germany</t>
  </si>
  <si>
    <t>0502</t>
  </si>
  <si>
    <t>(0502) FOBOHA China</t>
  </si>
  <si>
    <t>06</t>
  </si>
  <si>
    <t>(06) Aerospace HQ</t>
  </si>
  <si>
    <t>0602</t>
  </si>
  <si>
    <t>(0602) Gimatic S. r. l.</t>
  </si>
  <si>
    <t>0603</t>
  </si>
  <si>
    <t>(0603) Gimatrade S.r.l.</t>
  </si>
  <si>
    <t>0604</t>
  </si>
  <si>
    <t>(0604) M.T.M. S.r.l.</t>
  </si>
  <si>
    <t>607</t>
  </si>
  <si>
    <t>(0607) Gimatic Spain S.L.</t>
  </si>
  <si>
    <t>0609</t>
  </si>
  <si>
    <t>(0609) Gimatic Nordic A.B.</t>
  </si>
  <si>
    <t>0610</t>
  </si>
  <si>
    <t>(0610) Gimatic France S.a.r.l.</t>
  </si>
  <si>
    <t>0611</t>
  </si>
  <si>
    <t>(0611) Gimatic Polska sp. z.o.o</t>
  </si>
  <si>
    <t>0613</t>
  </si>
  <si>
    <t>(0613) Gimatic Sisteme Ro srl</t>
  </si>
  <si>
    <t>129</t>
  </si>
  <si>
    <t>(129) AS Raymond - UK</t>
  </si>
  <si>
    <t>140</t>
  </si>
  <si>
    <t>(140) West Chester OEM</t>
  </si>
  <si>
    <t>144</t>
  </si>
  <si>
    <t>(144) West Chester MRO</t>
  </si>
  <si>
    <t>0147</t>
  </si>
  <si>
    <t>(147) Malaysia OEM</t>
  </si>
  <si>
    <t>(177) NGP Sweden</t>
  </si>
  <si>
    <t>203</t>
  </si>
  <si>
    <t>(203) SMS Brazil</t>
  </si>
  <si>
    <t>209</t>
  </si>
  <si>
    <t>(209) SMS Germany</t>
  </si>
  <si>
    <t>215</t>
  </si>
  <si>
    <t>(215) SMS Mexico</t>
  </si>
  <si>
    <t>217</t>
  </si>
  <si>
    <t>(217) SMS - Poland</t>
  </si>
  <si>
    <t>26</t>
  </si>
  <si>
    <t>(26) NP India</t>
  </si>
  <si>
    <t>27</t>
  </si>
  <si>
    <t>(27) NGP Canada</t>
  </si>
  <si>
    <t>34</t>
  </si>
  <si>
    <t>(34) NP Korea</t>
  </si>
  <si>
    <t>405</t>
  </si>
  <si>
    <t>(405) Männer Switzerland</t>
  </si>
  <si>
    <t>437</t>
  </si>
  <si>
    <t>(437) SFT (Germany)</t>
  </si>
  <si>
    <t>439</t>
  </si>
  <si>
    <t>(439) SMS SRO (Czech)</t>
  </si>
  <si>
    <t>443</t>
  </si>
  <si>
    <t>(443) SMS BV (Holland)</t>
  </si>
  <si>
    <t>453</t>
  </si>
  <si>
    <t>(453) SMS Limited (UK Operations)</t>
  </si>
  <si>
    <t>481</t>
  </si>
  <si>
    <t>(481) Thermoplay France</t>
  </si>
  <si>
    <t>482</t>
  </si>
  <si>
    <t>(482) Thermoplay Germany</t>
  </si>
  <si>
    <t>484</t>
  </si>
  <si>
    <t>(484) Thermoplay Portugal</t>
  </si>
  <si>
    <t>58</t>
  </si>
  <si>
    <t>(58) Ogden</t>
  </si>
  <si>
    <t>59</t>
  </si>
  <si>
    <t>(59) Lansing</t>
  </si>
  <si>
    <t>61</t>
  </si>
  <si>
    <t>(61) Associated Springs HQ</t>
  </si>
  <si>
    <t>611</t>
  </si>
  <si>
    <t>(611) SMS Hong Kong</t>
  </si>
  <si>
    <t>66</t>
  </si>
  <si>
    <t>(66) Windsor</t>
  </si>
  <si>
    <t>67</t>
  </si>
  <si>
    <t>(67) WAM East Granby</t>
  </si>
  <si>
    <t>(710) Synventive HQ</t>
  </si>
  <si>
    <t>Ghost Card</t>
  </si>
  <si>
    <t>GuestTravel</t>
  </si>
  <si>
    <t>Guest Traveler</t>
  </si>
  <si>
    <t>INACTIVE</t>
  </si>
  <si>
    <t>0088T</t>
  </si>
  <si>
    <t>Raymond Test</t>
  </si>
  <si>
    <t>Raymond US</t>
  </si>
  <si>
    <t>0146T</t>
  </si>
  <si>
    <t>Singapore OEM Test</t>
  </si>
  <si>
    <t>110T</t>
  </si>
  <si>
    <t>SMS Inc TEST</t>
  </si>
  <si>
    <t>Test</t>
  </si>
  <si>
    <t>0149</t>
  </si>
  <si>
    <t>Warren (MB)</t>
  </si>
  <si>
    <t>Barnes Group</t>
  </si>
  <si>
    <t>z(00) Barnes Group</t>
  </si>
  <si>
    <t>07</t>
  </si>
  <si>
    <t>z(0007) AS Corry</t>
  </si>
  <si>
    <t>12</t>
  </si>
  <si>
    <t>z(0012) AS Milwaukee</t>
  </si>
  <si>
    <t>0048</t>
  </si>
  <si>
    <t>z(0048) AS Brazil</t>
  </si>
  <si>
    <t>0068</t>
  </si>
  <si>
    <t>z(0068) Seeger China</t>
  </si>
  <si>
    <t>0196</t>
  </si>
  <si>
    <t>z(0196) Heinz Hänggi</t>
  </si>
  <si>
    <t>04</t>
  </si>
  <si>
    <t>z(04) AS Tianjin</t>
  </si>
  <si>
    <t>0418</t>
  </si>
  <si>
    <t>z(0418) Automation HQ</t>
  </si>
  <si>
    <t>208</t>
  </si>
  <si>
    <t>z(208) SMS - France</t>
  </si>
  <si>
    <t>30</t>
  </si>
  <si>
    <t>z(30) AS Asia</t>
  </si>
  <si>
    <t>318</t>
  </si>
  <si>
    <t>z(318) IGS - United Kingdom</t>
  </si>
  <si>
    <t>36</t>
  </si>
  <si>
    <t>z(36) AS Mexico</t>
  </si>
  <si>
    <t>487</t>
  </si>
  <si>
    <t>z(487) Thermoplay Brazil</t>
  </si>
  <si>
    <t>605</t>
  </si>
  <si>
    <t>z(605) Gimatic Vertrieb GmbH</t>
  </si>
  <si>
    <t>z(606) Gimatic Otomasyon Dis Ticaret Ltd. STI</t>
  </si>
  <si>
    <t>608</t>
  </si>
  <si>
    <t>z(608) Gimatic Czech Republic s.r.o.</t>
  </si>
  <si>
    <t>609</t>
  </si>
  <si>
    <t>z(609) Gimatic Nordic A.B.</t>
  </si>
  <si>
    <t>623</t>
  </si>
  <si>
    <t>z(623) Gimatic Russia</t>
  </si>
  <si>
    <t>624</t>
  </si>
  <si>
    <t>z(624) Gimatic UK</t>
  </si>
  <si>
    <t>77</t>
  </si>
  <si>
    <t>z(77) Barnes SE</t>
  </si>
  <si>
    <t>488</t>
  </si>
  <si>
    <t>z488</t>
  </si>
  <si>
    <t>602</t>
  </si>
  <si>
    <t>z602</t>
  </si>
  <si>
    <t>0612</t>
  </si>
  <si>
    <t>zGimatic Balkan d.o.o. Beograd – Savski Venac</t>
  </si>
  <si>
    <t>0407</t>
  </si>
  <si>
    <t>zMänner Hong Kong</t>
  </si>
  <si>
    <t>Concur Company Code Description</t>
  </si>
  <si>
    <t>Division</t>
  </si>
  <si>
    <t>(0147) Malaysia OEM</t>
  </si>
  <si>
    <t>(0149) Warren (MB)</t>
  </si>
  <si>
    <t>(0155) Taoyuan (MB)</t>
  </si>
  <si>
    <t>(06) Aerospace Headquarters</t>
  </si>
  <si>
    <t>AS Asia</t>
  </si>
  <si>
    <t>AS Brazil</t>
  </si>
  <si>
    <t>AS Mexico</t>
  </si>
  <si>
    <t>AS Thailand</t>
  </si>
  <si>
    <t>33</t>
  </si>
  <si>
    <t>AS Trading Brazil</t>
  </si>
  <si>
    <t>Automation HQ</t>
  </si>
  <si>
    <t>169</t>
  </si>
  <si>
    <t>Barnes Aerospace - UK</t>
  </si>
  <si>
    <t>Barnes Group - Do Not Use</t>
  </si>
  <si>
    <t>00</t>
  </si>
  <si>
    <t>Barnes Group Corporate Office</t>
  </si>
  <si>
    <t>BG Germany Acq GmbH</t>
  </si>
  <si>
    <t>BMS Korea</t>
  </si>
  <si>
    <t>Burnley (MB)</t>
  </si>
  <si>
    <t>European Sales Force</t>
  </si>
  <si>
    <t>FOBOHA China</t>
  </si>
  <si>
    <t>FOBOHA Germany</t>
  </si>
  <si>
    <t>Gammaflux Germany</t>
  </si>
  <si>
    <t>GhostCard</t>
  </si>
  <si>
    <t>Gimatic S. r. l.</t>
  </si>
  <si>
    <t>Heinz Hänggi</t>
  </si>
  <si>
    <t>Holdings (MB)</t>
  </si>
  <si>
    <t>Industrial Gas Springs Ltd (UK)</t>
  </si>
  <si>
    <t>99</t>
  </si>
  <si>
    <t>Intl</t>
  </si>
  <si>
    <t>Lansing Division</t>
  </si>
  <si>
    <t>M.T.M. S.r.l.</t>
  </si>
  <si>
    <t>Männer GmbH</t>
  </si>
  <si>
    <t>Männer Hong Kong</t>
  </si>
  <si>
    <t>Männer Japan</t>
  </si>
  <si>
    <t>0405</t>
  </si>
  <si>
    <t>Männer Switzerland</t>
  </si>
  <si>
    <t>Manner US</t>
  </si>
  <si>
    <t>0408</t>
  </si>
  <si>
    <t>Männer I/C Eliminations</t>
  </si>
  <si>
    <t>Motherwell (MB)</t>
  </si>
  <si>
    <t>Newton Abbot (MB)</t>
  </si>
  <si>
    <t>76</t>
  </si>
  <si>
    <t>NGP Brecksville</t>
  </si>
  <si>
    <t>NGP Canada</t>
  </si>
  <si>
    <t>78</t>
  </si>
  <si>
    <t>NGP Fraser</t>
  </si>
  <si>
    <t>NGP Mexico</t>
  </si>
  <si>
    <t>NP China</t>
  </si>
  <si>
    <t>NP India</t>
  </si>
  <si>
    <t>NP Korea</t>
  </si>
  <si>
    <t>Ogden Division</t>
  </si>
  <si>
    <t>Priamus Germany</t>
  </si>
  <si>
    <t>Priamus Switzerland</t>
  </si>
  <si>
    <t>422</t>
  </si>
  <si>
    <t>Priamus US</t>
  </si>
  <si>
    <t>Raymond - UK</t>
  </si>
  <si>
    <t>Raymond China</t>
  </si>
  <si>
    <t>119</t>
  </si>
  <si>
    <t>Raymond France</t>
  </si>
  <si>
    <t>Raymond Mexico</t>
  </si>
  <si>
    <t>Raymond Singapore</t>
  </si>
  <si>
    <t>Raymond Spain</t>
  </si>
  <si>
    <t>63</t>
  </si>
  <si>
    <t>Revenue Sharing Program (RSP)</t>
  </si>
  <si>
    <t>0437</t>
  </si>
  <si>
    <t>SFT (Germany)</t>
  </si>
  <si>
    <t>SMS - France</t>
  </si>
  <si>
    <t>SMS - Poland</t>
  </si>
  <si>
    <t>SMS Brazil</t>
  </si>
  <si>
    <t>SMS Canada</t>
  </si>
  <si>
    <t>SMS China</t>
  </si>
  <si>
    <t>SMS GmbH (Germany)</t>
  </si>
  <si>
    <t>SMS Hong Kong</t>
  </si>
  <si>
    <t>SMS Inc (US)</t>
  </si>
  <si>
    <t>SMS Inc Test</t>
  </si>
  <si>
    <t>SMS India (JV)</t>
  </si>
  <si>
    <t>SMS Limited (UK Operations)</t>
  </si>
  <si>
    <t>SMS Mexico</t>
  </si>
  <si>
    <t>SMS Portugal</t>
  </si>
  <si>
    <t>SMS Singapore</t>
  </si>
  <si>
    <t>SMS Spain</t>
  </si>
  <si>
    <t>SMS SRO (Czech)</t>
  </si>
  <si>
    <t>Stromsholmen</t>
  </si>
  <si>
    <t>Synventive Acquisition GmbH (Germany)</t>
  </si>
  <si>
    <t>Synventive HQ</t>
  </si>
  <si>
    <t>Synventive Thailand</t>
  </si>
  <si>
    <t>Thermoplay Brazil</t>
  </si>
  <si>
    <t>Thermoplay France</t>
  </si>
  <si>
    <t>0482</t>
  </si>
  <si>
    <t>Thermoplay Germany</t>
  </si>
  <si>
    <t>Thermoplay India</t>
  </si>
  <si>
    <t>Thermoplay Italy S.p.A</t>
  </si>
  <si>
    <t>0484</t>
  </si>
  <si>
    <t>Thermoplay Portugal</t>
  </si>
  <si>
    <t>Thermoplay UK</t>
  </si>
  <si>
    <t>WAM East Granby</t>
  </si>
  <si>
    <t>WAM West Chester</t>
  </si>
  <si>
    <t>West Chester OEM</t>
  </si>
  <si>
    <t>Windsor</t>
  </si>
  <si>
    <t>z(61) Associated Springs HQ</t>
  </si>
  <si>
    <t>z405</t>
  </si>
  <si>
    <t>420</t>
  </si>
  <si>
    <t>z420</t>
  </si>
  <si>
    <t>01</t>
  </si>
  <si>
    <t>zAS Bristol</t>
  </si>
  <si>
    <t>zAS Corry</t>
  </si>
  <si>
    <t>zAS Milwaukee</t>
  </si>
  <si>
    <t>zAS Saline</t>
  </si>
  <si>
    <t>03</t>
  </si>
  <si>
    <t>zAS Syracuse</t>
  </si>
  <si>
    <t>zAS Tianjin</t>
  </si>
  <si>
    <t>96</t>
  </si>
  <si>
    <t>zBA OEM HQ (Inactive)</t>
  </si>
  <si>
    <t>616</t>
  </si>
  <si>
    <t>zBarnes Molding Solution Korea</t>
  </si>
  <si>
    <t>z70</t>
  </si>
  <si>
    <t>zBDNA</t>
  </si>
  <si>
    <t>113</t>
  </si>
  <si>
    <t>zEngineered Components HQ</t>
  </si>
  <si>
    <t>425</t>
  </si>
  <si>
    <t>zGammaflux US</t>
  </si>
  <si>
    <t>zGimatic Nordic A.B.</t>
  </si>
  <si>
    <t>z219</t>
  </si>
  <si>
    <t>zIGS US</t>
  </si>
  <si>
    <t>11</t>
  </si>
  <si>
    <t>zIndustrial HQ</t>
  </si>
  <si>
    <t>z69</t>
  </si>
  <si>
    <t>zPCHQ</t>
  </si>
  <si>
    <t>88</t>
  </si>
  <si>
    <t>zRaymond</t>
  </si>
  <si>
    <t>225</t>
  </si>
  <si>
    <t>zSynventive Thailand</t>
  </si>
  <si>
    <t>JP</t>
  </si>
  <si>
    <t>Japanese Yen</t>
  </si>
  <si>
    <t>PBjorkegren@onebarnes.com</t>
  </si>
  <si>
    <t>JLagerud@onebarnes.com</t>
  </si>
  <si>
    <t>jhedborg@onebarnes.com</t>
  </si>
  <si>
    <t>DOst@onebarnes.com</t>
  </si>
  <si>
    <t>TGoransson@onebarnes.com</t>
  </si>
  <si>
    <t>Custom 5 Code</t>
  </si>
  <si>
    <t>Custom 2</t>
  </si>
  <si>
    <t>Custom 3</t>
  </si>
  <si>
    <t>Custom 7</t>
  </si>
  <si>
    <t>Custom 8</t>
  </si>
  <si>
    <t>N/A</t>
  </si>
  <si>
    <t>S17 reports to him</t>
  </si>
  <si>
    <t>Department Added</t>
  </si>
  <si>
    <t>Raymond UK</t>
  </si>
  <si>
    <t>Will Wilking</t>
  </si>
  <si>
    <t>Stroms</t>
  </si>
  <si>
    <t xml:space="preserve">Sebastian Lobner </t>
  </si>
  <si>
    <t>Made Leave of Absense</t>
  </si>
  <si>
    <t>Svetlana</t>
  </si>
  <si>
    <t>Robert S.  Bad data in UKG?</t>
  </si>
  <si>
    <t>But 900 existed</t>
  </si>
  <si>
    <t>Concur had 3 zeros</t>
  </si>
  <si>
    <t>Emails changed for ssncharacters</t>
  </si>
  <si>
    <t>Hedborg, Josefine &lt;jhedborg@onebarnes.com&gt;</t>
  </si>
  <si>
    <t>Not in UKG</t>
  </si>
  <si>
    <t>KBD:</t>
  </si>
  <si>
    <t>Custom 5:  UKG Site Location</t>
  </si>
  <si>
    <t>Concur Org Unit</t>
  </si>
  <si>
    <t>List Management (Invoice):</t>
  </si>
  <si>
    <t>List Management (Expense):</t>
  </si>
  <si>
    <t>*Division - Department</t>
  </si>
  <si>
    <t>0026</t>
  </si>
  <si>
    <t>Requires Concur</t>
  </si>
  <si>
    <t>0034</t>
  </si>
  <si>
    <t>*UKG Site Locations (Employee)</t>
  </si>
  <si>
    <t>*Expense Group ID</t>
  </si>
  <si>
    <t>Robert (CFO)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</si>
</sst>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5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C00000"/>
      <name val="Tahoma"/>
      <family val="2"/>
    </font>
    <font>
      <sz val="11"/>
      <color rgb="FFC00000"/>
      <name val="Calibri"/>
      <family val="2"/>
    </font>
    <font>
      <sz val="8"/>
      <color rgb="FFFF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rgb="FF4472C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D9D9D9"/>
      </right>
      <top/>
      <bottom/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13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9" fillId="0" borderId="19" xfId="0" quotePrefix="1" applyFont="1" applyBorder="1" applyAlignment="1">
      <alignment horizontal="left" vertical="top"/>
    </xf>
    <xf numFmtId="0" fontId="47" fillId="0" borderId="19" xfId="3" applyBorder="1" applyAlignment="1">
      <alignment horizontal="left" vertical="top"/>
    </xf>
    <xf numFmtId="0" fontId="38" fillId="2" borderId="19" xfId="0" applyFont="1" applyFill="1" applyBorder="1" applyAlignment="1">
      <alignment horizontal="left" vertical="top"/>
    </xf>
    <xf numFmtId="0" fontId="38" fillId="2" borderId="19" xfId="0" applyFont="1" applyFill="1" applyBorder="1" applyAlignment="1">
      <alignment horizontal="right" vertical="top"/>
    </xf>
    <xf numFmtId="164" fontId="38" fillId="2" borderId="19" xfId="0" applyNumberFormat="1" applyFont="1" applyFill="1" applyBorder="1" applyAlignment="1">
      <alignment horizontal="left" vertical="top"/>
    </xf>
    <xf numFmtId="165" fontId="38" fillId="2" borderId="19" xfId="0" applyNumberFormat="1" applyFont="1" applyFill="1" applyBorder="1" applyAlignment="1">
      <alignment horizontal="right" vertical="top"/>
    </xf>
    <xf numFmtId="0" fontId="0" fillId="2" borderId="19" xfId="0" applyFill="1" applyBorder="1"/>
    <xf numFmtId="166" fontId="38" fillId="2" borderId="19" xfId="0" applyNumberFormat="1" applyFont="1" applyFill="1" applyBorder="1" applyAlignment="1">
      <alignment horizontal="right" vertical="top"/>
    </xf>
    <xf numFmtId="0" fontId="0" fillId="2" borderId="0" xfId="0" applyFill="1"/>
    <xf numFmtId="0" fontId="48" fillId="18" borderId="24" xfId="0" applyFont="1" applyFill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41" fillId="19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left" vertical="top"/>
    </xf>
    <xf numFmtId="0" fontId="39" fillId="11" borderId="19" xfId="0" applyFont="1" applyFill="1" applyBorder="1" applyAlignment="1">
      <alignment horizontal="left" vertical="top"/>
    </xf>
    <xf numFmtId="0" fontId="3" fillId="0" borderId="19" xfId="0" quotePrefix="1" applyFont="1" applyBorder="1"/>
    <xf numFmtId="0" fontId="51" fillId="2" borderId="19" xfId="0" applyFont="1" applyFill="1" applyBorder="1" applyAlignment="1">
      <alignment horizontal="left" vertical="top"/>
    </xf>
    <xf numFmtId="0" fontId="1" fillId="0" borderId="14" xfId="0" applyFont="1" applyBorder="1"/>
    <xf numFmtId="0" fontId="0" fillId="10" borderId="18" xfId="0" applyFill="1" applyBorder="1" applyAlignment="1">
      <alignment horizontal="center" vertical="center" wrapText="1"/>
    </xf>
    <xf numFmtId="0" fontId="36" fillId="10" borderId="18" xfId="0" applyFont="1" applyFill="1" applyBorder="1" applyAlignment="1">
      <alignment horizontal="center" vertical="center" wrapText="1"/>
    </xf>
    <xf numFmtId="49" fontId="51" fillId="2" borderId="19" xfId="0" applyNumberFormat="1" applyFont="1" applyFill="1" applyBorder="1" applyAlignment="1">
      <alignment horizontal="left" vertical="top"/>
    </xf>
    <xf numFmtId="0" fontId="52" fillId="2" borderId="14" xfId="0" applyFont="1" applyFill="1" applyBorder="1" applyAlignment="1">
      <alignment horizontal="left"/>
    </xf>
    <xf numFmtId="0" fontId="52" fillId="2" borderId="19" xfId="0" applyFont="1" applyFill="1" applyBorder="1"/>
    <xf numFmtId="0" fontId="53" fillId="6" borderId="23" xfId="0" applyFont="1" applyFill="1" applyBorder="1" applyAlignment="1">
      <alignment horizontal="center" vertical="top"/>
    </xf>
    <xf numFmtId="0" fontId="53" fillId="2" borderId="19" xfId="0" applyFont="1" applyFill="1" applyBorder="1" applyAlignment="1">
      <alignment horizontal="left" vertical="top"/>
    </xf>
    <xf numFmtId="0" fontId="49" fillId="0" borderId="25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top"/>
    </xf>
    <xf numFmtId="0" fontId="49" fillId="0" borderId="24" xfId="0" quotePrefix="1" applyFont="1" applyBorder="1" applyAlignment="1">
      <alignment horizontal="left" vertical="center"/>
    </xf>
    <xf numFmtId="0" fontId="40" fillId="0" borderId="0" xfId="0" quotePrefix="1" applyFont="1"/>
    <xf numFmtId="0" fontId="49" fillId="0" borderId="14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53" fillId="2" borderId="19" xfId="0" quotePrefix="1" applyFont="1" applyFill="1" applyBorder="1" applyAlignment="1">
      <alignment horizontal="left" vertical="top"/>
    </xf>
    <xf numFmtId="0" fontId="38" fillId="0" borderId="19" xfId="0" quotePrefix="1" applyFont="1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TKlohn@spectrix.com.new.uat" TargetMode="External"/><Relationship Id="rId2" Type="http://schemas.openxmlformats.org/officeDocument/2006/relationships/hyperlink" Target="mailto:merdogan@onebarnes.com" TargetMode="External"/><Relationship Id="rId1" Type="http://schemas.openxmlformats.org/officeDocument/2006/relationships/hyperlink" Target="mailto:merdogan@onebarnes.com.new.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 x14ac:dyDescent="0.2"/>
  <sheetData>
    <row r="1" spans="1:9" x14ac:dyDescent="0.2">
      <c r="A1" s="53" t="s">
        <v>1433</v>
      </c>
      <c r="B1" s="53"/>
      <c r="C1" s="53"/>
      <c r="D1" s="53"/>
      <c r="E1" s="53"/>
      <c r="F1" s="53"/>
      <c r="G1" s="53"/>
      <c r="H1" s="53"/>
      <c r="I1" s="53"/>
    </row>
    <row r="2" spans="1:9" x14ac:dyDescent="0.2">
      <c r="A2" s="54">
        <v>1</v>
      </c>
      <c r="B2" s="55">
        <v>2</v>
      </c>
      <c r="C2" s="56">
        <v>3</v>
      </c>
      <c r="D2" s="56">
        <v>4</v>
      </c>
      <c r="E2" s="56">
        <v>5</v>
      </c>
      <c r="F2" s="56">
        <v>6</v>
      </c>
      <c r="G2" s="56">
        <v>7</v>
      </c>
      <c r="H2" s="56">
        <v>8</v>
      </c>
      <c r="I2" s="56">
        <v>9</v>
      </c>
    </row>
    <row r="3" spans="1:9" ht="26" x14ac:dyDescent="0.2">
      <c r="A3" s="57" t="s">
        <v>1872</v>
      </c>
      <c r="B3" s="58" t="s">
        <v>1873</v>
      </c>
      <c r="C3" s="59" t="s">
        <v>1874</v>
      </c>
      <c r="D3" s="59" t="s">
        <v>1875</v>
      </c>
      <c r="E3" s="59" t="s">
        <v>1145</v>
      </c>
      <c r="F3" s="59" t="s">
        <v>1146</v>
      </c>
      <c r="G3" s="59" t="s">
        <v>1511</v>
      </c>
      <c r="H3" s="59" t="s">
        <v>1512</v>
      </c>
      <c r="I3" s="59" t="s">
        <v>1495</v>
      </c>
    </row>
    <row r="4" spans="1:9" x14ac:dyDescent="0.2">
      <c r="A4" s="60">
        <v>3</v>
      </c>
      <c r="B4" s="61">
        <v>48</v>
      </c>
      <c r="C4" s="61">
        <v>48</v>
      </c>
      <c r="D4" s="61">
        <v>64</v>
      </c>
      <c r="E4" s="61" t="s">
        <v>1130</v>
      </c>
      <c r="F4" s="61" t="s">
        <v>1130</v>
      </c>
      <c r="G4" s="61" t="s">
        <v>1130</v>
      </c>
      <c r="H4" s="61" t="s">
        <v>1130</v>
      </c>
      <c r="I4" s="61" t="s">
        <v>1130</v>
      </c>
    </row>
    <row r="5" spans="1:9" x14ac:dyDescent="0.2">
      <c r="A5" s="39" t="s">
        <v>1876</v>
      </c>
      <c r="B5" t="str">
        <f>ADP!P5</f>
        <v>211837</v>
      </c>
      <c r="D5" t="str">
        <f>'305 ADP Employee (All)'!F5</f>
        <v>tabitua1@onebarnes.com.new.uat</v>
      </c>
    </row>
    <row r="6" spans="1:9" x14ac:dyDescent="0.2">
      <c r="A6" s="39" t="s">
        <v>1876</v>
      </c>
      <c r="B6" t="str">
        <f>ADP!P6</f>
        <v>213331</v>
      </c>
      <c r="D6" t="str">
        <f>'305 ADP Employee (All)'!F6</f>
        <v>gadams@onebarnes.com.new.uat</v>
      </c>
    </row>
    <row r="7" spans="1:9" x14ac:dyDescent="0.2">
      <c r="A7" s="39" t="s">
        <v>1876</v>
      </c>
      <c r="B7" t="str">
        <f>ADP!P7</f>
        <v>213226</v>
      </c>
      <c r="D7" t="str">
        <f>'305 ADP Employee (All)'!F7</f>
        <v>kagler@onebarnes.com.new.uat</v>
      </c>
    </row>
    <row r="8" spans="1:9" x14ac:dyDescent="0.2">
      <c r="A8" s="39" t="s">
        <v>1876</v>
      </c>
      <c r="B8" t="str">
        <f>ADP!P8</f>
        <v>210892</v>
      </c>
      <c r="D8" t="str">
        <f>'305 ADP Employee (All)'!F8</f>
        <v>talexander@onebarnes.com.new.uat</v>
      </c>
    </row>
    <row r="9" spans="1:9" x14ac:dyDescent="0.2">
      <c r="A9" s="39" t="s">
        <v>1876</v>
      </c>
      <c r="B9" t="str">
        <f>ADP!P9</f>
        <v>206848</v>
      </c>
      <c r="D9" t="str">
        <f>'305 ADP Employee (All)'!F9</f>
        <v>TAllen2@onebarnes.com.new.uat</v>
      </c>
    </row>
    <row r="10" spans="1:9" x14ac:dyDescent="0.2">
      <c r="A10" s="39" t="s">
        <v>1876</v>
      </c>
      <c r="B10" t="str">
        <f>ADP!P10</f>
        <v>201688</v>
      </c>
      <c r="D10" t="str">
        <f>'305 ADP Employee (All)'!F10</f>
        <v>KAshley@onebarnes.com.new.uat</v>
      </c>
    </row>
    <row r="11" spans="1:9" x14ac:dyDescent="0.2">
      <c r="A11" s="39" t="s">
        <v>1876</v>
      </c>
      <c r="B11" t="str">
        <f>ADP!P11</f>
        <v>902688</v>
      </c>
      <c r="D11" t="str">
        <f>'305 ADP Employee (All)'!F11</f>
        <v>jbailey@onebarnes.com.new.uat</v>
      </c>
    </row>
    <row r="12" spans="1:9" x14ac:dyDescent="0.2">
      <c r="A12" s="39" t="s">
        <v>1876</v>
      </c>
      <c r="B12" t="str">
        <f>ADP!P12</f>
        <v>207709</v>
      </c>
      <c r="D12" t="str">
        <f>'305 ADP Employee (All)'!F12</f>
        <v>TBair@onebarnes.com.new.uat</v>
      </c>
    </row>
    <row r="13" spans="1:9" x14ac:dyDescent="0.2">
      <c r="A13" s="39" t="s">
        <v>1876</v>
      </c>
      <c r="B13" t="str">
        <f>ADP!P13</f>
        <v>209579</v>
      </c>
      <c r="D13" t="str">
        <f>'305 ADP Employee (All)'!F13</f>
        <v>kbarry@onebarnes.com.new.uat</v>
      </c>
    </row>
    <row r="14" spans="1:9" x14ac:dyDescent="0.2">
      <c r="A14" s="39" t="s">
        <v>1876</v>
      </c>
      <c r="B14" t="str">
        <f>ADP!P14</f>
        <v>213037</v>
      </c>
      <c r="D14" t="str">
        <f>'305 ADP Employee (All)'!F14</f>
        <v>nbate@onebarnes.com.new.uat</v>
      </c>
    </row>
    <row r="15" spans="1:9" x14ac:dyDescent="0.2">
      <c r="A15" s="39" t="s">
        <v>1876</v>
      </c>
      <c r="B15" t="str">
        <f>ADP!P15</f>
        <v>213333</v>
      </c>
      <c r="D15" t="str">
        <f>'305 ADP Employee (All)'!F15</f>
        <v>mbeasley@onebarnes.com.new.uat</v>
      </c>
    </row>
    <row r="16" spans="1:9" x14ac:dyDescent="0.2">
      <c r="A16" s="39" t="s">
        <v>1876</v>
      </c>
      <c r="B16" t="str">
        <f>ADP!P16</f>
        <v>212626</v>
      </c>
      <c r="D16" t="str">
        <f>'305 ADP Employee (All)'!F16</f>
        <v>ebeatrice@onebarnes.com.new.uat</v>
      </c>
    </row>
    <row r="17" spans="1:4" x14ac:dyDescent="0.2">
      <c r="A17" s="39" t="s">
        <v>1876</v>
      </c>
      <c r="B17" t="str">
        <f>ADP!P17</f>
        <v>212639</v>
      </c>
      <c r="D17" t="str">
        <f>'305 ADP Employee (All)'!F17</f>
        <v>jbentz@onebarnes.com.new.uat</v>
      </c>
    </row>
    <row r="18" spans="1:4" x14ac:dyDescent="0.2">
      <c r="A18" s="39" t="s">
        <v>1876</v>
      </c>
      <c r="B18" t="str">
        <f>ADP!P18</f>
        <v>211464</v>
      </c>
      <c r="D18" t="str">
        <f>'305 ADP Employee (All)'!F18</f>
        <v>mbiniecki@onebarnes.com.new.uat</v>
      </c>
    </row>
    <row r="19" spans="1:4" x14ac:dyDescent="0.2">
      <c r="A19" s="39" t="s">
        <v>1876</v>
      </c>
      <c r="B19" t="str">
        <f>ADP!P19</f>
        <v>210102</v>
      </c>
      <c r="D19" t="str">
        <f>'305 ADP Employee (All)'!F19</f>
        <v>nbird@onebarnes.com.new.uat</v>
      </c>
    </row>
    <row r="20" spans="1:4" x14ac:dyDescent="0.2">
      <c r="A20" s="39" t="s">
        <v>1876</v>
      </c>
      <c r="B20" t="str">
        <f>ADP!P20</f>
        <v>211174</v>
      </c>
      <c r="D20" t="str">
        <f>'305 ADP Employee (All)'!F20</f>
        <v>bbixler@onebarnes.com.new.uat</v>
      </c>
    </row>
    <row r="21" spans="1:4" x14ac:dyDescent="0.2">
      <c r="A21" s="39" t="s">
        <v>1876</v>
      </c>
      <c r="B21" t="str">
        <f>ADP!P21</f>
        <v>006769</v>
      </c>
      <c r="D21" t="str">
        <f>'305 ADP Employee (All)'!F21</f>
        <v>JBrower@onebarnes.com.new.uat</v>
      </c>
    </row>
    <row r="22" spans="1:4" x14ac:dyDescent="0.2">
      <c r="A22" s="39" t="s">
        <v>1876</v>
      </c>
      <c r="B22" t="str">
        <f>ADP!P22</f>
        <v>209735</v>
      </c>
      <c r="D22" t="str">
        <f>'305 ADP Employee (All)'!F22</f>
        <v>Tbunch@onebarnes.com.new.uat</v>
      </c>
    </row>
    <row r="23" spans="1:4" x14ac:dyDescent="0.2">
      <c r="A23" s="39" t="s">
        <v>1876</v>
      </c>
      <c r="B23" t="str">
        <f>ADP!P23</f>
        <v>211756</v>
      </c>
      <c r="D23" t="str">
        <f>'305 ADP Employee (All)'!F23</f>
        <v>mburchell@onebarnes.com.new.uat</v>
      </c>
    </row>
    <row r="24" spans="1:4" x14ac:dyDescent="0.2">
      <c r="A24" s="39" t="s">
        <v>1876</v>
      </c>
      <c r="B24" t="str">
        <f>ADP!P24</f>
        <v>206741</v>
      </c>
      <c r="D24" t="str">
        <f>'305 ADP Employee (All)'!F24</f>
        <v>kbutler@onebarnes.com.new.uat</v>
      </c>
    </row>
    <row r="25" spans="1:4" x14ac:dyDescent="0.2">
      <c r="A25" s="39" t="s">
        <v>1876</v>
      </c>
      <c r="B25" t="str">
        <f>ADP!P25</f>
        <v>900826</v>
      </c>
      <c r="D25" t="str">
        <f>'305 ADP Employee (All)'!F25</f>
        <v>TCarmichael@onebarnes.com.new.uat</v>
      </c>
    </row>
    <row r="26" spans="1:4" x14ac:dyDescent="0.2">
      <c r="A26" s="39" t="s">
        <v>1876</v>
      </c>
      <c r="B26" t="str">
        <f>ADP!P26</f>
        <v>212737</v>
      </c>
      <c r="D26" t="str">
        <f>'305 ADP Employee (All)'!F26</f>
        <v>jcarter@onebarnes.com.new.uat</v>
      </c>
    </row>
    <row r="27" spans="1:4" x14ac:dyDescent="0.2">
      <c r="A27" s="39" t="s">
        <v>1876</v>
      </c>
      <c r="B27" t="str">
        <f>ADP!P27</f>
        <v>902435</v>
      </c>
      <c r="D27" t="str">
        <f>'305 ADP Employee (All)'!F27</f>
        <v>tcler@onebarnes.com.new.uat</v>
      </c>
    </row>
    <row r="28" spans="1:4" x14ac:dyDescent="0.2">
      <c r="A28" s="39" t="s">
        <v>1876</v>
      </c>
      <c r="B28" t="str">
        <f>ADP!P28</f>
        <v>213265</v>
      </c>
      <c r="D28" t="str">
        <f>'305 ADP Employee (All)'!F28</f>
        <v>tclifton1@onebarnes.com.new.uat</v>
      </c>
    </row>
    <row r="29" spans="1:4" x14ac:dyDescent="0.2">
      <c r="A29" s="39" t="s">
        <v>1876</v>
      </c>
      <c r="B29" t="str">
        <f>ADP!P29</f>
        <v>212699</v>
      </c>
      <c r="D29" t="str">
        <f>'305 ADP Employee (All)'!F29</f>
        <v>acreager@onebarnes.com.new.uat</v>
      </c>
    </row>
    <row r="30" spans="1:4" x14ac:dyDescent="0.2">
      <c r="A30" s="39" t="s">
        <v>1876</v>
      </c>
      <c r="B30" t="str">
        <f>ADP!P30</f>
        <v>006774</v>
      </c>
      <c r="D30" t="str">
        <f>'305 ADP Employee (All)'!F30</f>
        <v>ddaniels@kaller.com.new.uat</v>
      </c>
    </row>
    <row r="31" spans="1:4" x14ac:dyDescent="0.2">
      <c r="A31" s="39" t="s">
        <v>1876</v>
      </c>
      <c r="B31" t="str">
        <f>ADP!P31</f>
        <v>207391</v>
      </c>
      <c r="D31" t="str">
        <f>'305 ADP Employee (All)'!F31</f>
        <v>cdedes@onebarnes.com.new.uat</v>
      </c>
    </row>
    <row r="32" spans="1:4" x14ac:dyDescent="0.2">
      <c r="A32" s="39" t="s">
        <v>1876</v>
      </c>
      <c r="B32" t="str">
        <f>ADP!P32</f>
        <v>211895</v>
      </c>
      <c r="D32" t="str">
        <f>'305 ADP Employee (All)'!F32</f>
        <v>adillard1@onebarnes.com.new.uat</v>
      </c>
    </row>
    <row r="33" spans="1:4" x14ac:dyDescent="0.2">
      <c r="A33" s="39" t="s">
        <v>1876</v>
      </c>
      <c r="B33" t="str">
        <f>ADP!P33</f>
        <v>201958</v>
      </c>
      <c r="D33" t="str">
        <f>'305 ADP Employee (All)'!F33</f>
        <v>cfelts@onebarnes.com.new.uat</v>
      </c>
    </row>
    <row r="34" spans="1:4" x14ac:dyDescent="0.2">
      <c r="A34" s="39" t="s">
        <v>1876</v>
      </c>
      <c r="B34" t="str">
        <f>ADP!P34</f>
        <v>900848</v>
      </c>
      <c r="D34" t="str">
        <f>'305 ADP Employee (All)'!F34</f>
        <v>Jfinch@onebarnes.com.new.uat</v>
      </c>
    </row>
    <row r="35" spans="1:4" x14ac:dyDescent="0.2">
      <c r="A35" s="39" t="s">
        <v>1876</v>
      </c>
      <c r="B35" t="str">
        <f>ADP!P35</f>
        <v>007863</v>
      </c>
      <c r="D35" t="str">
        <f>'305 ADP Employee (All)'!F35</f>
        <v>jfoisel@onebarnes.com.new.uat</v>
      </c>
    </row>
    <row r="36" spans="1:4" x14ac:dyDescent="0.2">
      <c r="A36" s="39" t="s">
        <v>1876</v>
      </c>
      <c r="B36" t="str">
        <f>ADP!P36</f>
        <v>212151</v>
      </c>
      <c r="D36" t="str">
        <f>'305 ADP Employee (All)'!F36</f>
        <v>cfrankforther@onebarnes.com.new.uat</v>
      </c>
    </row>
    <row r="37" spans="1:4" x14ac:dyDescent="0.2">
      <c r="A37" s="39" t="s">
        <v>1876</v>
      </c>
      <c r="B37" t="str">
        <f>ADP!P37</f>
        <v>211779</v>
      </c>
      <c r="D37" t="str">
        <f>'305 ADP Employee (All)'!F37</f>
        <v>dfrankforther@onebarnes.com.new.uat</v>
      </c>
    </row>
    <row r="38" spans="1:4" x14ac:dyDescent="0.2">
      <c r="A38" s="39" t="s">
        <v>1876</v>
      </c>
      <c r="B38" t="str">
        <f>ADP!P38</f>
        <v>004352</v>
      </c>
      <c r="D38" t="str">
        <f>'305 ADP Employee (All)'!F38</f>
        <v>afrimel@onebarnes.com.new.uat</v>
      </c>
    </row>
    <row r="39" spans="1:4" x14ac:dyDescent="0.2">
      <c r="A39" s="39" t="s">
        <v>1876</v>
      </c>
      <c r="B39" t="str">
        <f>ADP!P39</f>
        <v>006780</v>
      </c>
      <c r="D39" t="str">
        <f>'305 ADP Employee (All)'!F39</f>
        <v>TGang@onebarnes.com.new.uat</v>
      </c>
    </row>
    <row r="40" spans="1:4" x14ac:dyDescent="0.2">
      <c r="A40" s="39" t="s">
        <v>1876</v>
      </c>
      <c r="B40" t="str">
        <f>ADP!P40</f>
        <v>902627</v>
      </c>
      <c r="D40" t="str">
        <f>'305 ADP Employee (All)'!F40</f>
        <v>agarber@onebarnes.com.new.uat</v>
      </c>
    </row>
    <row r="41" spans="1:4" x14ac:dyDescent="0.2">
      <c r="A41" s="39" t="s">
        <v>1876</v>
      </c>
      <c r="B41" t="str">
        <f>ADP!P41</f>
        <v>211991</v>
      </c>
      <c r="D41" t="str">
        <f>'305 ADP Employee (All)'!F41</f>
        <v>cgrandowicz@onebarnes.com.new.uat</v>
      </c>
    </row>
    <row r="42" spans="1:4" x14ac:dyDescent="0.2">
      <c r="A42" s="39" t="s">
        <v>1876</v>
      </c>
      <c r="B42" t="str">
        <f>ADP!P42</f>
        <v>209642</v>
      </c>
      <c r="D42" t="str">
        <f>'305 ADP Employee (All)'!F42</f>
        <v>igrant1@onebarnes.com.new.uat</v>
      </c>
    </row>
    <row r="43" spans="1:4" x14ac:dyDescent="0.2">
      <c r="A43" s="39" t="s">
        <v>1876</v>
      </c>
      <c r="B43" t="str">
        <f>ADP!P43</f>
        <v>213224</v>
      </c>
      <c r="D43" t="str">
        <f>'305 ADP Employee (All)'!F43</f>
        <v>thague@onebarnes.com.new.uat</v>
      </c>
    </row>
    <row r="44" spans="1:4" x14ac:dyDescent="0.2">
      <c r="A44" s="39" t="s">
        <v>1876</v>
      </c>
      <c r="B44" t="str">
        <f>ADP!P44</f>
        <v>206228</v>
      </c>
      <c r="D44" t="str">
        <f>'305 ADP Employee (All)'!F44</f>
        <v>KHall@onebarnes.com.new.uat</v>
      </c>
    </row>
    <row r="45" spans="1:4" x14ac:dyDescent="0.2">
      <c r="A45" s="39" t="s">
        <v>1876</v>
      </c>
      <c r="B45" t="str">
        <f>ADP!P45</f>
        <v>211489</v>
      </c>
      <c r="D45" t="str">
        <f>'305 ADP Employee (All)'!F45</f>
        <v>ehalpin@onebarnes.com.new.uat</v>
      </c>
    </row>
    <row r="46" spans="1:4" x14ac:dyDescent="0.2">
      <c r="A46" s="39" t="s">
        <v>1876</v>
      </c>
      <c r="B46" t="str">
        <f>ADP!P46</f>
        <v>901454</v>
      </c>
      <c r="D46" t="str">
        <f>'305 ADP Employee (All)'!F46</f>
        <v>mhamar@onebarnes.com.new.uat</v>
      </c>
    </row>
    <row r="47" spans="1:4" x14ac:dyDescent="0.2">
      <c r="A47" s="39" t="s">
        <v>1876</v>
      </c>
      <c r="B47" t="str">
        <f>ADP!P47</f>
        <v>209425</v>
      </c>
      <c r="D47" t="str">
        <f>'305 ADP Employee (All)'!F47</f>
        <v>PHamby@onebarnes.com.new.uat</v>
      </c>
    </row>
    <row r="48" spans="1:4" x14ac:dyDescent="0.2">
      <c r="A48" s="39" t="s">
        <v>1876</v>
      </c>
      <c r="B48" t="str">
        <f>ADP!P48</f>
        <v>213144</v>
      </c>
      <c r="D48" t="str">
        <f>'305 ADP Employee (All)'!F48</f>
        <v>chassey@onebarnes.com.new.uat</v>
      </c>
    </row>
    <row r="49" spans="1:4" x14ac:dyDescent="0.2">
      <c r="A49" s="39" t="s">
        <v>1876</v>
      </c>
      <c r="B49" t="str">
        <f>ADP!P49</f>
        <v>209424</v>
      </c>
      <c r="D49" t="str">
        <f>'305 ADP Employee (All)'!F49</f>
        <v>khershberger@onebarnes.com.new.uat</v>
      </c>
    </row>
    <row r="50" spans="1:4" x14ac:dyDescent="0.2">
      <c r="A50" s="39" t="s">
        <v>1876</v>
      </c>
      <c r="B50" t="str">
        <f>ADP!P50</f>
        <v>211181</v>
      </c>
      <c r="D50" t="str">
        <f>'305 ADP Employee (All)'!F50</f>
        <v>bhibbitts@onebarnes.com.new.uat</v>
      </c>
    </row>
    <row r="51" spans="1:4" x14ac:dyDescent="0.2">
      <c r="A51" s="39" t="s">
        <v>1876</v>
      </c>
      <c r="B51" t="str">
        <f>ADP!P51</f>
        <v>211145</v>
      </c>
      <c r="D51" t="str">
        <f>'305 ADP Employee (All)'!F51</f>
        <v>bhicks@onebarnes.com.new.uat</v>
      </c>
    </row>
    <row r="52" spans="1:4" x14ac:dyDescent="0.2">
      <c r="A52" s="39" t="s">
        <v>1876</v>
      </c>
      <c r="B52" t="str">
        <f>ADP!P52</f>
        <v>006792</v>
      </c>
      <c r="D52" t="str">
        <f>'305 ADP Employee (All)'!F52</f>
        <v>DHitti@onebarnes.com.new.uat</v>
      </c>
    </row>
    <row r="53" spans="1:4" x14ac:dyDescent="0.2">
      <c r="A53" s="39" t="s">
        <v>1876</v>
      </c>
      <c r="B53" t="str">
        <f>ADP!P53</f>
        <v>902349</v>
      </c>
      <c r="D53" t="str">
        <f>'305 ADP Employee (All)'!F53</f>
        <v>choffman@onebarnes.com.new.uat</v>
      </c>
    </row>
    <row r="54" spans="1:4" x14ac:dyDescent="0.2">
      <c r="A54" s="39" t="s">
        <v>1876</v>
      </c>
      <c r="B54" t="str">
        <f>ADP!P54</f>
        <v>211932</v>
      </c>
      <c r="D54" t="str">
        <f>'305 ADP Employee (All)'!F54</f>
        <v>rhutt@onebarnes.com.new.uat</v>
      </c>
    </row>
    <row r="55" spans="1:4" x14ac:dyDescent="0.2">
      <c r="A55" s="39" t="s">
        <v>1876</v>
      </c>
      <c r="B55" t="str">
        <f>ADP!P55</f>
        <v>206442</v>
      </c>
      <c r="D55" t="str">
        <f>'305 ADP Employee (All)'!F55</f>
        <v>FIzzo@onebarnes.com.new.uat</v>
      </c>
    </row>
    <row r="56" spans="1:4" x14ac:dyDescent="0.2">
      <c r="A56" s="39" t="s">
        <v>1876</v>
      </c>
      <c r="B56" t="str">
        <f>ADP!P56</f>
        <v>902026</v>
      </c>
      <c r="D56" t="str">
        <f>'305 ADP Employee (All)'!F56</f>
        <v>kjames@onebarnes.com.new.uat</v>
      </c>
    </row>
    <row r="57" spans="1:4" x14ac:dyDescent="0.2">
      <c r="A57" s="39" t="s">
        <v>1876</v>
      </c>
      <c r="B57" t="str">
        <f>ADP!P57</f>
        <v>212418</v>
      </c>
      <c r="D57" t="str">
        <f>'305 ADP Employee (All)'!F57</f>
        <v>mjones@onebarnes.com.new.uat</v>
      </c>
    </row>
    <row r="58" spans="1:4" x14ac:dyDescent="0.2">
      <c r="A58" s="39" t="s">
        <v>1876</v>
      </c>
      <c r="B58" t="str">
        <f>ADP!P58</f>
        <v>211766</v>
      </c>
      <c r="D58" t="str">
        <f>'305 ADP Employee (All)'!F58</f>
        <v>gkemenah@onebarnes.com.new.uat</v>
      </c>
    </row>
    <row r="59" spans="1:4" x14ac:dyDescent="0.2">
      <c r="A59" s="39" t="s">
        <v>1876</v>
      </c>
      <c r="B59" t="str">
        <f>ADP!P59</f>
        <v>213298</v>
      </c>
      <c r="D59" t="str">
        <f>'305 ADP Employee (All)'!F59</f>
        <v>wkozicki@onebarnes.com.new.uat</v>
      </c>
    </row>
    <row r="60" spans="1:4" x14ac:dyDescent="0.2">
      <c r="A60" s="39" t="s">
        <v>1876</v>
      </c>
      <c r="B60" t="str">
        <f>ADP!P60</f>
        <v>211736</v>
      </c>
      <c r="D60" t="str">
        <f>'305 ADP Employee (All)'!F60</f>
        <v>dlaplante@onebarnes.com.new.uat</v>
      </c>
    </row>
    <row r="61" spans="1:4" x14ac:dyDescent="0.2">
      <c r="A61" s="39" t="s">
        <v>1876</v>
      </c>
      <c r="B61" t="str">
        <f>ADP!P61</f>
        <v>210910</v>
      </c>
      <c r="D61" t="str">
        <f>'305 ADP Employee (All)'!F61</f>
        <v>wleftrict@onebarnes.com.new.uat</v>
      </c>
    </row>
    <row r="62" spans="1:4" x14ac:dyDescent="0.2">
      <c r="A62" s="39" t="s">
        <v>1876</v>
      </c>
      <c r="B62" t="str">
        <f>ADP!P62</f>
        <v>212990</v>
      </c>
      <c r="D62" t="str">
        <f>'305 ADP Employee (All)'!F62</f>
        <v>tlipp@onebarnes.com.new.uat</v>
      </c>
    </row>
    <row r="63" spans="1:4" x14ac:dyDescent="0.2">
      <c r="A63" s="39" t="s">
        <v>1876</v>
      </c>
      <c r="B63" t="str">
        <f>ADP!P63</f>
        <v>212598</v>
      </c>
      <c r="D63" t="str">
        <f>'305 ADP Employee (All)'!F63</f>
        <v>Jlorenz@onebarnes.com.new.uat</v>
      </c>
    </row>
    <row r="64" spans="1:4" x14ac:dyDescent="0.2">
      <c r="A64" s="39" t="s">
        <v>1876</v>
      </c>
      <c r="B64" t="str">
        <f>ADP!P64</f>
        <v>006809</v>
      </c>
      <c r="D64" t="str">
        <f>'305 ADP Employee (All)'!F64</f>
        <v>JMajewski@onebarnes.com.new.uat</v>
      </c>
    </row>
    <row r="65" spans="1:4" x14ac:dyDescent="0.2">
      <c r="A65" s="39" t="s">
        <v>1876</v>
      </c>
      <c r="B65" t="str">
        <f>ADP!P65</f>
        <v>202609</v>
      </c>
      <c r="D65" t="str">
        <f>'305 ADP Employee (All)'!F65</f>
        <v>cmartin@onebarnes.com.new.uat</v>
      </c>
    </row>
    <row r="66" spans="1:4" x14ac:dyDescent="0.2">
      <c r="A66" s="39" t="s">
        <v>1876</v>
      </c>
      <c r="B66" t="str">
        <f>ADP!P66</f>
        <v>902563</v>
      </c>
      <c r="D66" t="str">
        <f>'305 ADP Employee (All)'!F66</f>
        <v>martinezmartin161@gmail.com.new.uat</v>
      </c>
    </row>
    <row r="67" spans="1:4" x14ac:dyDescent="0.2">
      <c r="A67" s="39" t="s">
        <v>1876</v>
      </c>
      <c r="B67" t="str">
        <f>ADP!P67</f>
        <v>902437</v>
      </c>
      <c r="D67" t="str">
        <f>'305 ADP Employee (All)'!F67</f>
        <v>bmasters@onebarnes.com.new.uat</v>
      </c>
    </row>
    <row r="68" spans="1:4" x14ac:dyDescent="0.2">
      <c r="A68" s="39" t="s">
        <v>1876</v>
      </c>
      <c r="B68" t="str">
        <f>ADP!P68</f>
        <v>201343</v>
      </c>
      <c r="D68" t="str">
        <f>'305 ADP Employee (All)'!F68</f>
        <v>cmata@onebarnes.com.new.uat</v>
      </c>
    </row>
    <row r="69" spans="1:4" x14ac:dyDescent="0.2">
      <c r="A69" s="39" t="s">
        <v>1876</v>
      </c>
      <c r="B69" t="str">
        <f>ADP!P69</f>
        <v>662995</v>
      </c>
      <c r="D69" t="str">
        <f>'305 ADP Employee (All)'!F69</f>
        <v>SMazzei@onebarnes.com.new.uat</v>
      </c>
    </row>
    <row r="70" spans="1:4" x14ac:dyDescent="0.2">
      <c r="A70" s="39" t="s">
        <v>1876</v>
      </c>
      <c r="B70" t="str">
        <f>ADP!P70</f>
        <v>901213</v>
      </c>
      <c r="D70" t="str">
        <f>'305 ADP Employee (All)'!F70</f>
        <v>jmccoy@onebarnes.com.new.uat</v>
      </c>
    </row>
    <row r="71" spans="1:4" x14ac:dyDescent="0.2">
      <c r="A71" s="39" t="s">
        <v>1876</v>
      </c>
      <c r="B71" t="str">
        <f>ADP!P71</f>
        <v>007861</v>
      </c>
      <c r="D71" t="str">
        <f>'305 ADP Employee (All)'!F71</f>
        <v>AMcGuire@onebarnes.com.new.uat</v>
      </c>
    </row>
    <row r="72" spans="1:4" x14ac:dyDescent="0.2">
      <c r="A72" s="39" t="s">
        <v>1876</v>
      </c>
      <c r="B72" t="str">
        <f>ADP!P72</f>
        <v>209746</v>
      </c>
      <c r="D72" t="str">
        <f>'305 ADP Employee (All)'!F72</f>
        <v>Mmolnar@onebarnes.com.new.uat</v>
      </c>
    </row>
    <row r="73" spans="1:4" x14ac:dyDescent="0.2">
      <c r="A73" s="39" t="s">
        <v>1876</v>
      </c>
      <c r="B73" t="str">
        <f>ADP!P73</f>
        <v>007630</v>
      </c>
      <c r="D73" t="str">
        <f>'305 ADP Employee (All)'!F73</f>
        <v>cburris@onebarnes.com.new.uat</v>
      </c>
    </row>
    <row r="74" spans="1:4" x14ac:dyDescent="0.2">
      <c r="A74" s="39" t="s">
        <v>1876</v>
      </c>
      <c r="B74" t="str">
        <f>ADP!P74</f>
        <v>213225</v>
      </c>
      <c r="D74" t="str">
        <f>'305 ADP Employee (All)'!F74</f>
        <v>pmorgan@onebarnes.com.new.uat</v>
      </c>
    </row>
    <row r="75" spans="1:4" x14ac:dyDescent="0.2">
      <c r="A75" s="39" t="s">
        <v>1876</v>
      </c>
      <c r="B75" t="str">
        <f>ADP!P75</f>
        <v>212129</v>
      </c>
      <c r="D75" t="str">
        <f>'305 ADP Employee (All)'!F75</f>
        <v>rneri@onebarnes.com.new.uat</v>
      </c>
    </row>
    <row r="76" spans="1:4" x14ac:dyDescent="0.2">
      <c r="A76" s="39" t="s">
        <v>1876</v>
      </c>
      <c r="B76" t="str">
        <f>ADP!P76</f>
        <v>212678</v>
      </c>
      <c r="D76" t="str">
        <f>'305 ADP Employee (All)'!F76</f>
        <v>koconnor@onebarnes.com.new.uat</v>
      </c>
    </row>
    <row r="77" spans="1:4" x14ac:dyDescent="0.2">
      <c r="A77" s="39" t="s">
        <v>1876</v>
      </c>
      <c r="B77" t="str">
        <f>ADP!P77</f>
        <v>209181</v>
      </c>
      <c r="D77" t="str">
        <f>'305 ADP Employee (All)'!F77</f>
        <v>LOleksa@onebarnes.com.new.uat</v>
      </c>
    </row>
    <row r="78" spans="1:4" x14ac:dyDescent="0.2">
      <c r="A78" s="39" t="s">
        <v>1876</v>
      </c>
      <c r="B78" t="str">
        <f>ADP!P78</f>
        <v>212725</v>
      </c>
      <c r="D78" t="str">
        <f>'305 ADP Employee (All)'!F78</f>
        <v>dpage@onebarnes.com.new.uat</v>
      </c>
    </row>
    <row r="79" spans="1:4" x14ac:dyDescent="0.2">
      <c r="A79" s="39" t="s">
        <v>1876</v>
      </c>
      <c r="B79" t="str">
        <f>ADP!P79</f>
        <v>212119</v>
      </c>
      <c r="D79" t="str">
        <f>'305 ADP Employee (All)'!F79</f>
        <v>apalicki@onebarnes.com.new.uat</v>
      </c>
    </row>
    <row r="80" spans="1:4" x14ac:dyDescent="0.2">
      <c r="A80" s="39" t="s">
        <v>1876</v>
      </c>
      <c r="B80" t="str">
        <f>ADP!P80</f>
        <v>902690</v>
      </c>
      <c r="D80" t="str">
        <f>'305 ADP Employee (All)'!F80</f>
        <v>Lparks@onebarnes.com.new.uat</v>
      </c>
    </row>
    <row r="81" spans="1:4" x14ac:dyDescent="0.2">
      <c r="A81" s="39" t="s">
        <v>1876</v>
      </c>
      <c r="B81" t="str">
        <f>ADP!P81</f>
        <v>201903</v>
      </c>
      <c r="D81" t="str">
        <f>'305 ADP Employee (All)'!F81</f>
        <v>spatel@onebarnes.com.new.uat</v>
      </c>
    </row>
    <row r="82" spans="1:4" x14ac:dyDescent="0.2">
      <c r="A82" s="39" t="s">
        <v>1876</v>
      </c>
      <c r="B82" t="str">
        <f>ADP!P82</f>
        <v>900851</v>
      </c>
      <c r="D82" t="str">
        <f>'305 ADP Employee (All)'!F82</f>
        <v>jpaulsen@onebarnes.com.new.uat</v>
      </c>
    </row>
    <row r="83" spans="1:4" x14ac:dyDescent="0.2">
      <c r="A83" s="39" t="s">
        <v>1876</v>
      </c>
      <c r="B83" t="str">
        <f>ADP!P83</f>
        <v>212478</v>
      </c>
      <c r="D83" t="str">
        <f>'305 ADP Employee (All)'!F83</f>
        <v>cphillips1@onebarnes.com.new.uat</v>
      </c>
    </row>
    <row r="84" spans="1:4" x14ac:dyDescent="0.2">
      <c r="A84" s="39" t="s">
        <v>1876</v>
      </c>
      <c r="B84" t="str">
        <f>ADP!P84</f>
        <v>211531</v>
      </c>
      <c r="D84" t="str">
        <f>'305 ADP Employee (All)'!F84</f>
        <v>wphoenix1@onebarnes.com.new.uat</v>
      </c>
    </row>
    <row r="85" spans="1:4" x14ac:dyDescent="0.2">
      <c r="A85" s="39" t="s">
        <v>1876</v>
      </c>
      <c r="B85" t="str">
        <f>ADP!P85</f>
        <v>201895</v>
      </c>
      <c r="D85" t="str">
        <f>'305 ADP Employee (All)'!F85</f>
        <v>zplotts@onebarnes.com.new.uat</v>
      </c>
    </row>
    <row r="86" spans="1:4" x14ac:dyDescent="0.2">
      <c r="A86" s="39" t="s">
        <v>1876</v>
      </c>
      <c r="B86" t="str">
        <f>ADP!P86</f>
        <v>206738</v>
      </c>
      <c r="D86" t="str">
        <f>'305 ADP Employee (All)'!F86</f>
        <v>rprosowski@onebarnes.com.new.uat</v>
      </c>
    </row>
    <row r="87" spans="1:4" x14ac:dyDescent="0.2">
      <c r="A87" s="39" t="s">
        <v>1876</v>
      </c>
      <c r="B87" t="str">
        <f>ADP!P87</f>
        <v>210018</v>
      </c>
      <c r="D87" t="str">
        <f>'305 ADP Employee (All)'!F87</f>
        <v>jraese@onebarnes.com.new.uat</v>
      </c>
    </row>
    <row r="88" spans="1:4" x14ac:dyDescent="0.2">
      <c r="A88" s="39" t="s">
        <v>1876</v>
      </c>
      <c r="B88" t="str">
        <f>ADP!P88</f>
        <v>211131</v>
      </c>
      <c r="D88" t="str">
        <f>'305 ADP Employee (All)'!F88</f>
        <v>jrafferty@onebarnes.com.new.uat</v>
      </c>
    </row>
    <row r="89" spans="1:4" x14ac:dyDescent="0.2">
      <c r="A89" s="39" t="s">
        <v>1876</v>
      </c>
      <c r="B89" t="str">
        <f>ADP!P89</f>
        <v>210035</v>
      </c>
      <c r="D89" t="str">
        <f>'305 ADP Employee (All)'!F89</f>
        <v>jfoggyrobinson@onebarnes.com.new.uat</v>
      </c>
    </row>
    <row r="90" spans="1:4" x14ac:dyDescent="0.2">
      <c r="A90" s="39" t="s">
        <v>1876</v>
      </c>
      <c r="B90" t="str">
        <f>ADP!P90</f>
        <v>212074</v>
      </c>
      <c r="D90" t="str">
        <f>'305 ADP Employee (All)'!F90</f>
        <v>jreyes@onebarnes.com.new.uat</v>
      </c>
    </row>
    <row r="91" spans="1:4" x14ac:dyDescent="0.2">
      <c r="A91" s="39" t="s">
        <v>1876</v>
      </c>
      <c r="B91" t="str">
        <f>ADP!P91</f>
        <v>207588</v>
      </c>
      <c r="D91" t="str">
        <f>'305 ADP Employee (All)'!F91</f>
        <v>srodriguez@onebarnes.com.new.uat</v>
      </c>
    </row>
    <row r="92" spans="1:4" x14ac:dyDescent="0.2">
      <c r="A92" s="39" t="s">
        <v>1876</v>
      </c>
      <c r="B92" t="str">
        <f>ADP!P92</f>
        <v>207487</v>
      </c>
      <c r="D92" t="str">
        <f>'305 ADP Employee (All)'!F92</f>
        <v>wrogers@onebarnes.com.new.uat</v>
      </c>
    </row>
    <row r="93" spans="1:4" x14ac:dyDescent="0.2">
      <c r="A93" s="39" t="s">
        <v>1876</v>
      </c>
      <c r="B93" t="str">
        <f>ADP!P93</f>
        <v>007647</v>
      </c>
      <c r="D93" t="str">
        <f>'305 ADP Employee (All)'!F93</f>
        <v>grome@onebarnes.com.new.uat</v>
      </c>
    </row>
    <row r="94" spans="1:4" x14ac:dyDescent="0.2">
      <c r="A94" s="39" t="s">
        <v>1876</v>
      </c>
      <c r="B94" t="str">
        <f>ADP!P94</f>
        <v>213091</v>
      </c>
      <c r="D94" t="str">
        <f>'305 ADP Employee (All)'!F94</f>
        <v>csanderson@onebarnes.com.new.uat</v>
      </c>
    </row>
    <row r="95" spans="1:4" x14ac:dyDescent="0.2">
      <c r="A95" s="39" t="s">
        <v>1876</v>
      </c>
      <c r="B95" t="str">
        <f>ADP!P95</f>
        <v>900439</v>
      </c>
      <c r="D95" t="str">
        <f>'305 ADP Employee (All)'!F95</f>
        <v>RXSasak@onebarnes.com.new.uat</v>
      </c>
    </row>
    <row r="96" spans="1:4" x14ac:dyDescent="0.2">
      <c r="A96" s="39" t="s">
        <v>1876</v>
      </c>
      <c r="B96" t="str">
        <f>ADP!P96</f>
        <v>210127</v>
      </c>
      <c r="D96" t="str">
        <f>'305 ADP Employee (All)'!F96</f>
        <v>hschmidt2@onebarnes.com.new.uat</v>
      </c>
    </row>
    <row r="97" spans="1:4" x14ac:dyDescent="0.2">
      <c r="A97" s="39" t="s">
        <v>1876</v>
      </c>
      <c r="B97" t="str">
        <f>ADP!P97</f>
        <v>210281</v>
      </c>
      <c r="D97" t="str">
        <f>'305 ADP Employee (All)'!F97</f>
        <v>msmith@onebarnes.com.new.uat</v>
      </c>
    </row>
    <row r="98" spans="1:4" x14ac:dyDescent="0.2">
      <c r="A98" s="39" t="s">
        <v>1876</v>
      </c>
      <c r="B98" t="str">
        <f>ADP!P98</f>
        <v>211062</v>
      </c>
      <c r="D98" t="str">
        <f>'305 ADP Employee (All)'!F98</f>
        <v>msteen@onebarnes.com.new.uat</v>
      </c>
    </row>
    <row r="99" spans="1:4" x14ac:dyDescent="0.2">
      <c r="A99" s="39" t="s">
        <v>1876</v>
      </c>
      <c r="B99" t="str">
        <f>ADP!P99</f>
        <v>212191</v>
      </c>
      <c r="D99" t="str">
        <f>'305 ADP Employee (All)'!F99</f>
        <v>jstefancin@onebarnes.com.new.uat</v>
      </c>
    </row>
    <row r="100" spans="1:4" x14ac:dyDescent="0.2">
      <c r="A100" s="39" t="s">
        <v>1876</v>
      </c>
      <c r="B100" t="str">
        <f>ADP!P100</f>
        <v>210103</v>
      </c>
      <c r="D100" t="str">
        <f>'305 ADP Employee (All)'!F100</f>
        <v>bsullivan@onebarnes.com.new.uat</v>
      </c>
    </row>
    <row r="101" spans="1:4" x14ac:dyDescent="0.2">
      <c r="A101" s="39" t="s">
        <v>1876</v>
      </c>
      <c r="B101" t="str">
        <f>ADP!P101</f>
        <v>212146</v>
      </c>
      <c r="D101" t="str">
        <f>'305 ADP Employee (All)'!F101</f>
        <v>jszpila@onebarnes.com.new.uat</v>
      </c>
    </row>
    <row r="102" spans="1:4" x14ac:dyDescent="0.2">
      <c r="A102" s="39" t="s">
        <v>1876</v>
      </c>
      <c r="B102" t="str">
        <f>ADP!P102</f>
        <v>901943</v>
      </c>
      <c r="D102" t="str">
        <f>'305 ADP Employee (All)'!F102</f>
        <v>RTaiclet@onebarnes.com.new.uat</v>
      </c>
    </row>
    <row r="103" spans="1:4" x14ac:dyDescent="0.2">
      <c r="A103" s="39" t="s">
        <v>1876</v>
      </c>
      <c r="B103" t="str">
        <f>ADP!P103</f>
        <v>211521</v>
      </c>
      <c r="D103" t="str">
        <f>'305 ADP Employee (All)'!F103</f>
        <v>kthaboun1@onebarnes.com.new.uat</v>
      </c>
    </row>
    <row r="104" spans="1:4" x14ac:dyDescent="0.2">
      <c r="A104" s="39" t="s">
        <v>1876</v>
      </c>
      <c r="B104" t="str">
        <f>ADP!P104</f>
        <v>902013</v>
      </c>
      <c r="D104" t="str">
        <f>'305 ADP Employee (All)'!F104</f>
        <v>Kthineshkumar@onebarnes.com.new.uat</v>
      </c>
    </row>
    <row r="105" spans="1:4" x14ac:dyDescent="0.2">
      <c r="A105" s="39" t="s">
        <v>1876</v>
      </c>
      <c r="B105" t="str">
        <f>ADP!P105</f>
        <v>213241</v>
      </c>
      <c r="D105" t="str">
        <f>'305 ADP Employee (All)'!F105</f>
        <v>ttoney@onebarnes.com.new.uat</v>
      </c>
    </row>
    <row r="106" spans="1:4" x14ac:dyDescent="0.2">
      <c r="A106" s="39" t="s">
        <v>1876</v>
      </c>
      <c r="B106" t="str">
        <f>ADP!P106</f>
        <v>206638</v>
      </c>
      <c r="D106" t="str">
        <f>'305 ADP Employee (All)'!F106</f>
        <v>mtudor@onebarnes.com.new.uat</v>
      </c>
    </row>
    <row r="107" spans="1:4" x14ac:dyDescent="0.2">
      <c r="A107" s="39" t="s">
        <v>1876</v>
      </c>
      <c r="B107" t="str">
        <f>ADP!P107</f>
        <v>212254</v>
      </c>
      <c r="D107" t="str">
        <f>'305 ADP Employee (All)'!F107</f>
        <v>buncapher@onebarnes.com.new.uat</v>
      </c>
    </row>
    <row r="108" spans="1:4" x14ac:dyDescent="0.2">
      <c r="A108" s="39" t="s">
        <v>1876</v>
      </c>
      <c r="B108" t="str">
        <f>ADP!P108</f>
        <v>211601</v>
      </c>
      <c r="D108" t="str">
        <f>'305 ADP Employee (All)'!F108</f>
        <v>dvaletta@onebarnes.com.new.uat</v>
      </c>
    </row>
    <row r="109" spans="1:4" x14ac:dyDescent="0.2">
      <c r="A109" s="39" t="s">
        <v>1876</v>
      </c>
      <c r="B109" t="str">
        <f>ADP!P109</f>
        <v>206287</v>
      </c>
      <c r="D109" t="str">
        <f>'305 ADP Employee (All)'!F109</f>
        <v>bvalley@onebarnes.com.new.uat</v>
      </c>
    </row>
    <row r="110" spans="1:4" x14ac:dyDescent="0.2">
      <c r="A110" s="39" t="s">
        <v>1876</v>
      </c>
      <c r="B110" t="str">
        <f>ADP!P110</f>
        <v>206272</v>
      </c>
      <c r="D110" t="str">
        <f>'305 ADP Employee (All)'!F110</f>
        <v>cwagner@onebarnes.com.new.uat</v>
      </c>
    </row>
    <row r="111" spans="1:4" x14ac:dyDescent="0.2">
      <c r="A111" s="39" t="s">
        <v>1876</v>
      </c>
      <c r="B111" t="str">
        <f>ADP!P111</f>
        <v>211022</v>
      </c>
      <c r="D111" t="str">
        <f>'305 ADP Employee (All)'!F111</f>
        <v>Twagner@onebarnes.com.new.uat</v>
      </c>
    </row>
    <row r="112" spans="1:4" x14ac:dyDescent="0.2">
      <c r="A112" s="39" t="s">
        <v>1876</v>
      </c>
      <c r="B112" t="str">
        <f>ADP!P112</f>
        <v>211998</v>
      </c>
      <c r="D112" t="str">
        <f>'305 ADP Employee (All)'!F112</f>
        <v>dwallace@onebarnes.com.new.uat</v>
      </c>
    </row>
    <row r="113" spans="1:4" x14ac:dyDescent="0.2">
      <c r="A113" s="39" t="s">
        <v>1876</v>
      </c>
      <c r="B113" t="str">
        <f>ADP!P113</f>
        <v>008750</v>
      </c>
      <c r="D113" t="str">
        <f>'305 ADP Employee (All)'!F113</f>
        <v>DWarner@onebarnes.com.new.uat</v>
      </c>
    </row>
    <row r="114" spans="1:4" x14ac:dyDescent="0.2">
      <c r="A114" s="39" t="s">
        <v>1876</v>
      </c>
      <c r="B114" t="str">
        <f>ADP!P114</f>
        <v>212705</v>
      </c>
      <c r="D114" t="str">
        <f>'305 ADP Employee (All)'!F114</f>
        <v>bwarren@onebarnes.com.new.uat</v>
      </c>
    </row>
    <row r="115" spans="1:4" x14ac:dyDescent="0.2">
      <c r="A115" s="39" t="s">
        <v>1876</v>
      </c>
      <c r="B115" t="str">
        <f>ADP!P115</f>
        <v>901090</v>
      </c>
      <c r="D115" t="str">
        <f>'305 ADP Employee (All)'!F115</f>
        <v>RLWeaver@onebarnes.com.new.uat</v>
      </c>
    </row>
    <row r="116" spans="1:4" x14ac:dyDescent="0.2">
      <c r="A116" s="39" t="s">
        <v>1876</v>
      </c>
      <c r="B116" t="str">
        <f>ADP!P116</f>
        <v>207850</v>
      </c>
      <c r="D116" t="str">
        <f>'305 ADP Employee (All)'!F116</f>
        <v>jwhaley@asraymond.com.new.uat</v>
      </c>
    </row>
    <row r="117" spans="1:4" x14ac:dyDescent="0.2">
      <c r="A117" s="39" t="s">
        <v>1876</v>
      </c>
      <c r="B117" t="str">
        <f>ADP!P117</f>
        <v>211939</v>
      </c>
      <c r="D117" t="str">
        <f>'305 ADP Employee (All)'!F117</f>
        <v>dwhite@onebarnes.com.new.uat</v>
      </c>
    </row>
    <row r="118" spans="1:4" x14ac:dyDescent="0.2">
      <c r="A118" s="39" t="s">
        <v>1876</v>
      </c>
      <c r="B118" t="str">
        <f>ADP!P118</f>
        <v>901934</v>
      </c>
      <c r="D118" t="str">
        <f>'305 ADP Employee (All)'!F118</f>
        <v>wwilkins@onebarnes.com.new.uat</v>
      </c>
    </row>
    <row r="119" spans="1:4" x14ac:dyDescent="0.2">
      <c r="A119" s="39" t="s">
        <v>1876</v>
      </c>
      <c r="B119" t="str">
        <f>ADP!P119</f>
        <v>202533</v>
      </c>
      <c r="D119" t="str">
        <f>'305 ADP Employee (All)'!F119</f>
        <v>rmarchyok@onebarnes.com.new.uat</v>
      </c>
    </row>
    <row r="120" spans="1:4" x14ac:dyDescent="0.2">
      <c r="A120" s="39" t="s">
        <v>1876</v>
      </c>
      <c r="B120" t="str">
        <f>ADP!P120</f>
        <v>206672</v>
      </c>
      <c r="D120" t="str">
        <f>'305 ADP Employee (All)'!F120</f>
        <v>swillis-garza@onebarnes.com.new.uat</v>
      </c>
    </row>
    <row r="121" spans="1:4" x14ac:dyDescent="0.2">
      <c r="A121" s="39" t="s">
        <v>1876</v>
      </c>
      <c r="B121" t="str">
        <f>ADP!P121</f>
        <v>207809</v>
      </c>
      <c r="D121" t="str">
        <f>'305 ADP Employee (All)'!F121</f>
        <v>dwilson@onebarnes.com.new.uat</v>
      </c>
    </row>
    <row r="122" spans="1:4" x14ac:dyDescent="0.2">
      <c r="A122" s="39" t="s">
        <v>1876</v>
      </c>
      <c r="B122" t="str">
        <f>ADP!P122</f>
        <v>212100</v>
      </c>
      <c r="D122" t="str">
        <f>'305 ADP Employee (All)'!F122</f>
        <v>mwright@onebarnes.com.new.uat</v>
      </c>
    </row>
    <row r="123" spans="1:4" x14ac:dyDescent="0.2">
      <c r="A123" s="39" t="s">
        <v>1876</v>
      </c>
      <c r="B123" t="str">
        <f>ADP!P123</f>
        <v>212921</v>
      </c>
      <c r="D123" t="str">
        <f>'305 ADP Employee (All)'!F123</f>
        <v>jeward@onebarnes.com.new.uat</v>
      </c>
    </row>
    <row r="124" spans="1:4" x14ac:dyDescent="0.2">
      <c r="A124" s="39" t="s">
        <v>1876</v>
      </c>
      <c r="B124" t="str">
        <f>ADP!P124</f>
        <v>211085</v>
      </c>
      <c r="D124" t="str">
        <f>'305 ADP Employee (All)'!F124</f>
        <v>skodalii@onebarnes.com.new.uat</v>
      </c>
    </row>
    <row r="125" spans="1:4" x14ac:dyDescent="0.2">
      <c r="A125" s="39" t="s">
        <v>1876</v>
      </c>
      <c r="B125" t="str">
        <f>ADP!P125</f>
        <v>663830</v>
      </c>
      <c r="D125" t="str">
        <f>'305 ADP Employee (All)'!F125</f>
        <v>soday@onebarnes.com.new.uat</v>
      </c>
    </row>
    <row r="126" spans="1:4" x14ac:dyDescent="0.2">
      <c r="A126" s="39" t="s">
        <v>1876</v>
      </c>
      <c r="B126" t="str">
        <f>ADP!P126</f>
        <v>207466</v>
      </c>
      <c r="D126" t="str">
        <f>'305 ADP Employee (All)'!F126</f>
        <v>rshook@onebarnes.com.new.uat</v>
      </c>
    </row>
    <row r="127" spans="1:4" x14ac:dyDescent="0.2">
      <c r="A127" s="39" t="s">
        <v>1876</v>
      </c>
      <c r="B127" t="str">
        <f>ADP!P127</f>
        <v>211456</v>
      </c>
      <c r="D127" t="str">
        <f>'305 ADP Employee (All)'!F127</f>
        <v>smcglory@onebarnes.com.new.uat</v>
      </c>
    </row>
    <row r="128" spans="1:4" x14ac:dyDescent="0.2">
      <c r="A128" s="39" t="s">
        <v>1876</v>
      </c>
      <c r="B128" t="str">
        <f>ADP!P128</f>
        <v>210727</v>
      </c>
      <c r="D128" t="str">
        <f>'305 ADP Employee (All)'!F128</f>
        <v>crichards@onebarnes.com.new.uat</v>
      </c>
    </row>
    <row r="129" spans="1:4" x14ac:dyDescent="0.2">
      <c r="A129" s="39" t="s">
        <v>1876</v>
      </c>
      <c r="B129" t="str">
        <f>ADP!P129</f>
        <v>213227</v>
      </c>
      <c r="D129" t="str">
        <f>'305 ADP Employee (All)'!F129</f>
        <v>itaiclet@onebarnes.com.new.uat</v>
      </c>
    </row>
    <row r="130" spans="1:4" x14ac:dyDescent="0.2">
      <c r="A130" s="39" t="s">
        <v>1876</v>
      </c>
      <c r="B130" t="str">
        <f>ADP!P130</f>
        <v>212052</v>
      </c>
      <c r="D130" t="str">
        <f>'305 ADP Employee (All)'!F130</f>
        <v>amoavero1@onebarnes.com.new.uat</v>
      </c>
    </row>
    <row r="131" spans="1:4" x14ac:dyDescent="0.2">
      <c r="A131" s="39" t="s">
        <v>1876</v>
      </c>
      <c r="B131" t="str">
        <f>ADP!P131</f>
        <v>210402</v>
      </c>
      <c r="D131" t="str">
        <f>'305 ADP Employee (All)'!F131</f>
        <v>cphillips@onebarnes.com.new.uat</v>
      </c>
    </row>
    <row r="132" spans="1:4" x14ac:dyDescent="0.2">
      <c r="A132" s="39" t="s">
        <v>1876</v>
      </c>
      <c r="B132" t="str">
        <f>ADP!P132</f>
        <v>210339</v>
      </c>
      <c r="D132" t="str">
        <f>'305 ADP Employee (All)'!F132</f>
        <v>dtuller@onebarnes.com.new.uat</v>
      </c>
    </row>
    <row r="133" spans="1:4" x14ac:dyDescent="0.2">
      <c r="A133" s="39" t="s">
        <v>1876</v>
      </c>
      <c r="B133" t="str">
        <f>ADP!P133</f>
        <v>209634</v>
      </c>
      <c r="D133" t="str">
        <f>'305 ADP Employee (All)'!F133</f>
        <v>KOuthouse@onebarnes.com.new.uat</v>
      </c>
    </row>
    <row r="134" spans="1:4" x14ac:dyDescent="0.2">
      <c r="A134" s="39" t="s">
        <v>1876</v>
      </c>
      <c r="B134" t="str">
        <f>ADP!P134</f>
        <v>211045</v>
      </c>
      <c r="D134" t="str">
        <f>'305 ADP Employee (All)'!F134</f>
        <v>jhartman@onebarnes.com.new.uat</v>
      </c>
    </row>
    <row r="135" spans="1:4" x14ac:dyDescent="0.2">
      <c r="A135" s="39" t="s">
        <v>1876</v>
      </c>
      <c r="B135" t="str">
        <f>ADP!P135</f>
        <v>212421</v>
      </c>
      <c r="D135" t="str">
        <f>'305 ADP Employee (All)'!F135</f>
        <v>tseksinsky@onebarnes.com.new.uat</v>
      </c>
    </row>
    <row r="136" spans="1:4" x14ac:dyDescent="0.2">
      <c r="A136" s="39" t="s">
        <v>1876</v>
      </c>
      <c r="B136" t="str">
        <f>ADP!P136</f>
        <v>209540</v>
      </c>
      <c r="D136" t="str">
        <f>'305 ADP Employee (All)'!F136</f>
        <v>EGonzalez@onebarnes.com.new.uat</v>
      </c>
    </row>
    <row r="137" spans="1:4" x14ac:dyDescent="0.2">
      <c r="A137" s="39" t="s">
        <v>1876</v>
      </c>
      <c r="B137" t="str">
        <f>ADP!P137</f>
        <v>210134</v>
      </c>
      <c r="D137" t="str">
        <f>'305 ADP Employee (All)'!F137</f>
        <v>kmickens@onebarnes.com.new.uat</v>
      </c>
    </row>
    <row r="138" spans="1:4" x14ac:dyDescent="0.2">
      <c r="A138" s="39" t="s">
        <v>1876</v>
      </c>
      <c r="B138" t="str">
        <f>ADP!P138</f>
        <v>212687</v>
      </c>
      <c r="D138" t="str">
        <f>'305 ADP Employee (All)'!F138</f>
        <v>bvelner@onebarnes.com.new.uat</v>
      </c>
    </row>
    <row r="139" spans="1:4" x14ac:dyDescent="0.2">
      <c r="A139" s="39" t="s">
        <v>1876</v>
      </c>
      <c r="B139">
        <f>ADP!P139</f>
        <v>0</v>
      </c>
      <c r="D139" t="str">
        <f>'305 ADP Employee (All)'!F139</f>
        <v>.new.uat</v>
      </c>
    </row>
    <row r="140" spans="1:4" x14ac:dyDescent="0.2">
      <c r="A140" s="39" t="s">
        <v>1876</v>
      </c>
      <c r="B140">
        <f>ADP!P140</f>
        <v>0</v>
      </c>
      <c r="D140" t="str">
        <f>'305 ADP Employee (All)'!F140</f>
        <v>.new.uat</v>
      </c>
    </row>
    <row r="141" spans="1:4" x14ac:dyDescent="0.2">
      <c r="A141" s="39" t="s">
        <v>1876</v>
      </c>
      <c r="B141">
        <f>ADP!P141</f>
        <v>0</v>
      </c>
      <c r="D141" t="str">
        <f>'305 ADP Employee (All)'!F141</f>
        <v>.new.uat</v>
      </c>
    </row>
    <row r="142" spans="1:4" x14ac:dyDescent="0.2">
      <c r="A142" s="39" t="s">
        <v>1876</v>
      </c>
      <c r="B142">
        <f>ADP!P142</f>
        <v>0</v>
      </c>
      <c r="D142" t="str">
        <f>'305 ADP Employee (All)'!F142</f>
        <v>.new.uat</v>
      </c>
    </row>
    <row r="143" spans="1:4" x14ac:dyDescent="0.2">
      <c r="A143" s="39" t="s">
        <v>1876</v>
      </c>
      <c r="B143">
        <f>ADP!P143</f>
        <v>0</v>
      </c>
      <c r="D143" t="str">
        <f>'305 ADP Employee (All)'!F143</f>
        <v>.new.uat</v>
      </c>
    </row>
    <row r="144" spans="1:4" x14ac:dyDescent="0.2">
      <c r="A144" s="39" t="s">
        <v>1876</v>
      </c>
      <c r="B144">
        <f>ADP!P144</f>
        <v>0</v>
      </c>
      <c r="D144" t="str">
        <f>'305 ADP Employee (All)'!F144</f>
        <v>.new.uat</v>
      </c>
    </row>
    <row r="145" spans="1:4" x14ac:dyDescent="0.2">
      <c r="A145" s="39" t="s">
        <v>1876</v>
      </c>
      <c r="B145">
        <f>ADP!P145</f>
        <v>0</v>
      </c>
      <c r="D145" t="str">
        <f>'305 ADP Employee (All)'!F145</f>
        <v>.new.uat</v>
      </c>
    </row>
    <row r="146" spans="1:4" x14ac:dyDescent="0.2">
      <c r="A146" s="39" t="s">
        <v>1876</v>
      </c>
      <c r="B146">
        <f>ADP!P146</f>
        <v>0</v>
      </c>
      <c r="D146" t="str">
        <f>'305 ADP Employee (All)'!F146</f>
        <v>.new.uat</v>
      </c>
    </row>
    <row r="147" spans="1:4" x14ac:dyDescent="0.2">
      <c r="A147" s="39" t="s">
        <v>1876</v>
      </c>
      <c r="B147">
        <f>ADP!P147</f>
        <v>0</v>
      </c>
      <c r="D147" t="str">
        <f>'305 ADP Employee (All)'!F147</f>
        <v>.new.uat</v>
      </c>
    </row>
    <row r="148" spans="1:4" x14ac:dyDescent="0.2">
      <c r="A148" s="39" t="s">
        <v>1876</v>
      </c>
      <c r="B148">
        <f>ADP!P148</f>
        <v>0</v>
      </c>
      <c r="D148" t="str">
        <f>'305 ADP Employee (All)'!F148</f>
        <v>.new.uat</v>
      </c>
    </row>
    <row r="149" spans="1:4" x14ac:dyDescent="0.2">
      <c r="A149" s="39" t="s">
        <v>1876</v>
      </c>
      <c r="B149">
        <f>ADP!P149</f>
        <v>0</v>
      </c>
      <c r="D149" t="str">
        <f>'305 ADP Employee (All)'!F149</f>
        <v>.new.uat</v>
      </c>
    </row>
    <row r="150" spans="1:4" x14ac:dyDescent="0.2">
      <c r="A150" s="39" t="s">
        <v>1876</v>
      </c>
      <c r="B150">
        <f>ADP!P150</f>
        <v>0</v>
      </c>
      <c r="D150" t="str">
        <f>'305 ADP Employee (All)'!F150</f>
        <v>.new.uat</v>
      </c>
    </row>
    <row r="151" spans="1:4" x14ac:dyDescent="0.2">
      <c r="A151" s="39" t="s">
        <v>1876</v>
      </c>
      <c r="B151">
        <f>ADP!P151</f>
        <v>0</v>
      </c>
      <c r="D151" t="str">
        <f>'305 ADP Employee (All)'!F151</f>
        <v>.new.uat</v>
      </c>
    </row>
    <row r="152" spans="1:4" x14ac:dyDescent="0.2">
      <c r="A152" s="39" t="s">
        <v>1876</v>
      </c>
      <c r="B152">
        <f>ADP!P152</f>
        <v>0</v>
      </c>
      <c r="D152" t="str">
        <f>'305 ADP Employee (All)'!F152</f>
        <v>.new.uat</v>
      </c>
    </row>
    <row r="153" spans="1:4" x14ac:dyDescent="0.2">
      <c r="A153" s="39" t="s">
        <v>1876</v>
      </c>
      <c r="B153">
        <f>ADP!P153</f>
        <v>0</v>
      </c>
      <c r="D153" t="str">
        <f>'305 ADP Employee (All)'!F153</f>
        <v>.new.uat</v>
      </c>
    </row>
    <row r="154" spans="1:4" x14ac:dyDescent="0.2">
      <c r="A154" s="39" t="s">
        <v>1876</v>
      </c>
      <c r="B154">
        <f>ADP!P154</f>
        <v>0</v>
      </c>
      <c r="D154" t="str">
        <f>'305 ADP Employee (All)'!F154</f>
        <v>.new.uat</v>
      </c>
    </row>
    <row r="155" spans="1:4" x14ac:dyDescent="0.2">
      <c r="A155" s="39" t="s">
        <v>1876</v>
      </c>
      <c r="B155">
        <f>ADP!P155</f>
        <v>0</v>
      </c>
      <c r="D155" t="str">
        <f>'305 ADP Employee (All)'!F155</f>
        <v>.new.uat</v>
      </c>
    </row>
    <row r="156" spans="1:4" x14ac:dyDescent="0.2">
      <c r="A156" s="39" t="s">
        <v>1876</v>
      </c>
      <c r="B156">
        <f>ADP!P156</f>
        <v>0</v>
      </c>
      <c r="D156" t="str">
        <f>'305 ADP Employee (All)'!F156</f>
        <v>.new.uat</v>
      </c>
    </row>
    <row r="157" spans="1:4" x14ac:dyDescent="0.2">
      <c r="A157" s="39" t="s">
        <v>1876</v>
      </c>
      <c r="B157">
        <f>ADP!P157</f>
        <v>0</v>
      </c>
      <c r="D157" t="str">
        <f>'305 ADP Employee (All)'!F157</f>
        <v>.new.uat</v>
      </c>
    </row>
    <row r="158" spans="1:4" x14ac:dyDescent="0.2">
      <c r="A158" s="39" t="s">
        <v>1876</v>
      </c>
      <c r="B158">
        <f>ADP!P158</f>
        <v>0</v>
      </c>
      <c r="D158" t="str">
        <f>'305 ADP Employee (All)'!F158</f>
        <v>.new.uat</v>
      </c>
    </row>
    <row r="159" spans="1:4" x14ac:dyDescent="0.2">
      <c r="A159" s="39" t="s">
        <v>1876</v>
      </c>
      <c r="B159">
        <f>ADP!P159</f>
        <v>0</v>
      </c>
      <c r="D159" t="str">
        <f>'305 ADP Employee (All)'!F159</f>
        <v>.new.uat</v>
      </c>
    </row>
    <row r="160" spans="1:4" x14ac:dyDescent="0.2">
      <c r="A160" s="39" t="s">
        <v>1876</v>
      </c>
      <c r="B160">
        <f>ADP!P160</f>
        <v>0</v>
      </c>
      <c r="D160" t="str">
        <f>'305 ADP Employee (All)'!F160</f>
        <v>.new.uat</v>
      </c>
    </row>
    <row r="161" spans="1:4" x14ac:dyDescent="0.2">
      <c r="A161" s="39" t="s">
        <v>1876</v>
      </c>
      <c r="B161">
        <f>ADP!P161</f>
        <v>0</v>
      </c>
      <c r="D161" t="str">
        <f>'305 ADP Employee (All)'!F161</f>
        <v>.new.uat</v>
      </c>
    </row>
    <row r="162" spans="1:4" x14ac:dyDescent="0.2">
      <c r="A162" s="39" t="s">
        <v>1876</v>
      </c>
      <c r="B162">
        <f>ADP!P162</f>
        <v>0</v>
      </c>
      <c r="D162" t="str">
        <f>'305 ADP Employee (All)'!F162</f>
        <v>.new.uat</v>
      </c>
    </row>
    <row r="163" spans="1:4" x14ac:dyDescent="0.2">
      <c r="A163" s="39" t="s">
        <v>1876</v>
      </c>
      <c r="B163">
        <f>ADP!P163</f>
        <v>0</v>
      </c>
      <c r="D163" t="str">
        <f>'305 ADP Employee (All)'!F163</f>
        <v>.new.uat</v>
      </c>
    </row>
    <row r="164" spans="1:4" x14ac:dyDescent="0.2">
      <c r="A164" s="39" t="s">
        <v>1876</v>
      </c>
      <c r="B164">
        <f>ADP!P164</f>
        <v>0</v>
      </c>
      <c r="D164" t="str">
        <f>'305 ADP Employee (All)'!F164</f>
        <v>.new.uat</v>
      </c>
    </row>
    <row r="165" spans="1:4" x14ac:dyDescent="0.2">
      <c r="A165" s="39" t="s">
        <v>1876</v>
      </c>
      <c r="B165">
        <f>ADP!P165</f>
        <v>0</v>
      </c>
      <c r="D165" t="str">
        <f>'305 ADP Employee (All)'!F165</f>
        <v>.new.uat</v>
      </c>
    </row>
    <row r="166" spans="1:4" x14ac:dyDescent="0.2">
      <c r="A166" s="39" t="s">
        <v>1876</v>
      </c>
      <c r="B166">
        <f>ADP!P166</f>
        <v>0</v>
      </c>
      <c r="D166" t="str">
        <f>'305 ADP Employee (All)'!F166</f>
        <v>.new.uat</v>
      </c>
    </row>
    <row r="167" spans="1:4" x14ac:dyDescent="0.2">
      <c r="A167" s="39" t="s">
        <v>1876</v>
      </c>
      <c r="B167">
        <f>ADP!P167</f>
        <v>0</v>
      </c>
      <c r="D167" t="str">
        <f>'305 ADP Employee (All)'!F167</f>
        <v>.new.uat</v>
      </c>
    </row>
    <row r="168" spans="1:4" x14ac:dyDescent="0.2">
      <c r="A168" s="39" t="s">
        <v>1876</v>
      </c>
      <c r="B168">
        <f>ADP!P168</f>
        <v>0</v>
      </c>
      <c r="D168" t="str">
        <f>'305 ADP Employee (All)'!F168</f>
        <v>.new.uat</v>
      </c>
    </row>
    <row r="169" spans="1:4" x14ac:dyDescent="0.2">
      <c r="A169" s="39" t="s">
        <v>1876</v>
      </c>
      <c r="B169">
        <f>ADP!P169</f>
        <v>0</v>
      </c>
      <c r="D169" t="str">
        <f>'305 ADP Employee (All)'!F169</f>
        <v>.new.uat</v>
      </c>
    </row>
    <row r="170" spans="1:4" x14ac:dyDescent="0.2">
      <c r="A170" s="39" t="s">
        <v>1876</v>
      </c>
      <c r="B170" t="e">
        <f>ADP!#REF!</f>
        <v>#REF!</v>
      </c>
      <c r="D170" t="e">
        <f>'305 ADP Employee (All)'!F170</f>
        <v>#REF!</v>
      </c>
    </row>
    <row r="171" spans="1:4" x14ac:dyDescent="0.2">
      <c r="A171" s="39" t="s">
        <v>1876</v>
      </c>
      <c r="B171" t="e">
        <f>ADP!#REF!</f>
        <v>#REF!</v>
      </c>
      <c r="D171" t="e">
        <f>'305 ADP Employee (All)'!F171</f>
        <v>#REF!</v>
      </c>
    </row>
    <row r="172" spans="1:4" x14ac:dyDescent="0.2">
      <c r="A172" s="39" t="s">
        <v>1876</v>
      </c>
      <c r="B172" t="e">
        <f>ADP!#REF!</f>
        <v>#REF!</v>
      </c>
      <c r="D172" t="e">
        <f>'305 ADP Employee (All)'!F172</f>
        <v>#REF!</v>
      </c>
    </row>
    <row r="173" spans="1:4" x14ac:dyDescent="0.2">
      <c r="A173" s="39" t="s">
        <v>1876</v>
      </c>
      <c r="B173" t="e">
        <f>ADP!#REF!</f>
        <v>#REF!</v>
      </c>
      <c r="D173" t="e">
        <f>'305 ADP Employee (All)'!F173</f>
        <v>#REF!</v>
      </c>
    </row>
    <row r="174" spans="1:4" x14ac:dyDescent="0.2">
      <c r="A174" s="39" t="s">
        <v>1876</v>
      </c>
      <c r="B174" t="e">
        <f>ADP!#REF!</f>
        <v>#REF!</v>
      </c>
      <c r="D174" t="e">
        <f>'305 ADP Employee (All)'!F174</f>
        <v>#REF!</v>
      </c>
    </row>
    <row r="175" spans="1:4" x14ac:dyDescent="0.2">
      <c r="A175" s="39" t="s">
        <v>1876</v>
      </c>
      <c r="B175" t="e">
        <f>ADP!#REF!</f>
        <v>#REF!</v>
      </c>
      <c r="D175" t="e">
        <f>'305 ADP Employee (All)'!F175</f>
        <v>#REF!</v>
      </c>
    </row>
    <row r="176" spans="1:4" x14ac:dyDescent="0.2">
      <c r="A176" s="39" t="s">
        <v>1876</v>
      </c>
      <c r="B176" t="e">
        <f>ADP!#REF!</f>
        <v>#REF!</v>
      </c>
      <c r="D176" t="e">
        <f>'305 ADP Employee (All)'!F176</f>
        <v>#REF!</v>
      </c>
    </row>
    <row r="177" spans="1:4" x14ac:dyDescent="0.2">
      <c r="A177" s="39" t="s">
        <v>1876</v>
      </c>
      <c r="B177" t="e">
        <f>ADP!#REF!</f>
        <v>#REF!</v>
      </c>
      <c r="D177" t="e">
        <f>'305 ADP Employee (All)'!F177</f>
        <v>#REF!</v>
      </c>
    </row>
    <row r="178" spans="1:4" x14ac:dyDescent="0.2">
      <c r="A178" s="39" t="s">
        <v>1876</v>
      </c>
      <c r="B178" t="e">
        <f>ADP!#REF!</f>
        <v>#REF!</v>
      </c>
      <c r="D178" t="e">
        <f>'305 ADP Employee (All)'!F178</f>
        <v>#REF!</v>
      </c>
    </row>
    <row r="179" spans="1:4" x14ac:dyDescent="0.2">
      <c r="A179" s="39" t="s">
        <v>1876</v>
      </c>
      <c r="B179" t="e">
        <f>ADP!#REF!</f>
        <v>#REF!</v>
      </c>
      <c r="D179" t="e">
        <f>'305 ADP Employee (All)'!F179</f>
        <v>#REF!</v>
      </c>
    </row>
    <row r="180" spans="1:4" x14ac:dyDescent="0.2">
      <c r="A180" s="39" t="s">
        <v>1876</v>
      </c>
      <c r="B180" t="e">
        <f>ADP!#REF!</f>
        <v>#REF!</v>
      </c>
      <c r="D180" t="e">
        <f>'305 ADP Employee (All)'!F180</f>
        <v>#REF!</v>
      </c>
    </row>
    <row r="181" spans="1:4" x14ac:dyDescent="0.2">
      <c r="A181" s="39" t="s">
        <v>1876</v>
      </c>
      <c r="B181" t="e">
        <f>ADP!#REF!</f>
        <v>#REF!</v>
      </c>
      <c r="D181" t="e">
        <f>'305 ADP Employee (All)'!F181</f>
        <v>#REF!</v>
      </c>
    </row>
    <row r="182" spans="1:4" x14ac:dyDescent="0.2">
      <c r="A182" s="39" t="s">
        <v>1876</v>
      </c>
      <c r="B182" t="e">
        <f>ADP!#REF!</f>
        <v>#REF!</v>
      </c>
      <c r="D182" t="e">
        <f>'305 ADP Employee (All)'!F182</f>
        <v>#REF!</v>
      </c>
    </row>
    <row r="183" spans="1:4" x14ac:dyDescent="0.2">
      <c r="A183" s="39" t="s">
        <v>1876</v>
      </c>
      <c r="B183" t="e">
        <f>ADP!#REF!</f>
        <v>#REF!</v>
      </c>
      <c r="D183" t="e">
        <f>'305 ADP Employee (All)'!F183</f>
        <v>#REF!</v>
      </c>
    </row>
    <row r="184" spans="1:4" x14ac:dyDescent="0.2">
      <c r="A184" s="39" t="s">
        <v>1876</v>
      </c>
      <c r="B184" t="e">
        <f>ADP!#REF!</f>
        <v>#REF!</v>
      </c>
      <c r="D184" t="e">
        <f>'305 ADP Employee (All)'!F184</f>
        <v>#REF!</v>
      </c>
    </row>
    <row r="185" spans="1:4" x14ac:dyDescent="0.2">
      <c r="A185" s="39" t="s">
        <v>1876</v>
      </c>
      <c r="B185" t="e">
        <f>ADP!#REF!</f>
        <v>#REF!</v>
      </c>
      <c r="D185" t="e">
        <f>'305 ADP Employee (All)'!F185</f>
        <v>#REF!</v>
      </c>
    </row>
    <row r="186" spans="1:4" x14ac:dyDescent="0.2">
      <c r="A186" s="39" t="s">
        <v>1876</v>
      </c>
      <c r="B186" t="e">
        <f>ADP!#REF!</f>
        <v>#REF!</v>
      </c>
      <c r="D186" t="e">
        <f>'305 ADP Employee (All)'!F186</f>
        <v>#REF!</v>
      </c>
    </row>
    <row r="187" spans="1:4" x14ac:dyDescent="0.2">
      <c r="A187" s="39" t="s">
        <v>1876</v>
      </c>
      <c r="B187" t="e">
        <f>ADP!#REF!</f>
        <v>#REF!</v>
      </c>
      <c r="D187" t="e">
        <f>'305 ADP Employee (All)'!F187</f>
        <v>#REF!</v>
      </c>
    </row>
    <row r="188" spans="1:4" x14ac:dyDescent="0.2">
      <c r="A188" s="39" t="s">
        <v>1876</v>
      </c>
      <c r="B188" t="e">
        <f>ADP!#REF!</f>
        <v>#REF!</v>
      </c>
      <c r="D188" t="e">
        <f>'305 ADP Employee (All)'!F188</f>
        <v>#REF!</v>
      </c>
    </row>
    <row r="189" spans="1:4" x14ac:dyDescent="0.2">
      <c r="A189" s="39" t="s">
        <v>1876</v>
      </c>
      <c r="B189" t="e">
        <f>ADP!#REF!</f>
        <v>#REF!</v>
      </c>
      <c r="D189" t="e">
        <f>'305 ADP Employee (All)'!F189</f>
        <v>#REF!</v>
      </c>
    </row>
    <row r="190" spans="1:4" x14ac:dyDescent="0.2">
      <c r="A190" s="39" t="s">
        <v>1876</v>
      </c>
      <c r="B190" t="e">
        <f>ADP!#REF!</f>
        <v>#REF!</v>
      </c>
      <c r="D190" t="e">
        <f>'305 ADP Employee (All)'!F190</f>
        <v>#REF!</v>
      </c>
    </row>
    <row r="191" spans="1:4" x14ac:dyDescent="0.2">
      <c r="A191" s="39" t="s">
        <v>1876</v>
      </c>
      <c r="B191" t="e">
        <f>ADP!#REF!</f>
        <v>#REF!</v>
      </c>
      <c r="D191" t="e">
        <f>'305 ADP Employee (All)'!F191</f>
        <v>#REF!</v>
      </c>
    </row>
    <row r="192" spans="1:4" x14ac:dyDescent="0.2">
      <c r="A192" s="39" t="s">
        <v>1876</v>
      </c>
      <c r="B192" t="e">
        <f>ADP!#REF!</f>
        <v>#REF!</v>
      </c>
      <c r="D192" t="e">
        <f>'305 ADP Employee (All)'!F192</f>
        <v>#REF!</v>
      </c>
    </row>
    <row r="193" spans="1:4" x14ac:dyDescent="0.2">
      <c r="A193" s="39" t="s">
        <v>1876</v>
      </c>
      <c r="B193" t="e">
        <f>ADP!#REF!</f>
        <v>#REF!</v>
      </c>
      <c r="D193" t="e">
        <f>'305 ADP Employee (All)'!F193</f>
        <v>#REF!</v>
      </c>
    </row>
    <row r="194" spans="1:4" x14ac:dyDescent="0.2">
      <c r="A194" s="39" t="s">
        <v>1876</v>
      </c>
      <c r="B194" t="e">
        <f>ADP!#REF!</f>
        <v>#REF!</v>
      </c>
      <c r="D194" t="e">
        <f>'305 ADP Employee (All)'!F194</f>
        <v>#REF!</v>
      </c>
    </row>
    <row r="195" spans="1:4" x14ac:dyDescent="0.2">
      <c r="A195" s="39" t="s">
        <v>1876</v>
      </c>
      <c r="B195" t="e">
        <f>ADP!#REF!</f>
        <v>#REF!</v>
      </c>
      <c r="D195" t="e">
        <f>'305 ADP Employee (All)'!F195</f>
        <v>#REF!</v>
      </c>
    </row>
    <row r="196" spans="1:4" x14ac:dyDescent="0.2">
      <c r="A196" s="39" t="s">
        <v>1876</v>
      </c>
      <c r="B196" t="e">
        <f>ADP!#REF!</f>
        <v>#REF!</v>
      </c>
      <c r="D196" t="e">
        <f>'305 ADP Employee (All)'!F196</f>
        <v>#REF!</v>
      </c>
    </row>
    <row r="197" spans="1:4" x14ac:dyDescent="0.2">
      <c r="A197" s="39" t="s">
        <v>1876</v>
      </c>
      <c r="B197" t="e">
        <f>ADP!#REF!</f>
        <v>#REF!</v>
      </c>
      <c r="D197" t="e">
        <f>'305 ADP Employee (All)'!F197</f>
        <v>#REF!</v>
      </c>
    </row>
    <row r="198" spans="1:4" x14ac:dyDescent="0.2">
      <c r="A198" s="39" t="s">
        <v>1876</v>
      </c>
      <c r="B198" t="e">
        <f>ADP!#REF!</f>
        <v>#REF!</v>
      </c>
      <c r="D198" t="e">
        <f>'305 ADP Employee (All)'!F198</f>
        <v>#REF!</v>
      </c>
    </row>
    <row r="199" spans="1:4" x14ac:dyDescent="0.2">
      <c r="A199" s="39" t="s">
        <v>1876</v>
      </c>
      <c r="B199" t="e">
        <f>ADP!#REF!</f>
        <v>#REF!</v>
      </c>
      <c r="D199" t="e">
        <f>'305 ADP Employee (All)'!F199</f>
        <v>#REF!</v>
      </c>
    </row>
    <row r="200" spans="1:4" x14ac:dyDescent="0.2">
      <c r="A200" s="39" t="s">
        <v>1876</v>
      </c>
      <c r="B200" t="e">
        <f>ADP!#REF!</f>
        <v>#REF!</v>
      </c>
      <c r="D200" t="e">
        <f>'305 ADP Employee (All)'!F200</f>
        <v>#REF!</v>
      </c>
    </row>
    <row r="201" spans="1:4" x14ac:dyDescent="0.2">
      <c r="A201" s="39" t="s">
        <v>1876</v>
      </c>
      <c r="B201" t="e">
        <f>ADP!#REF!</f>
        <v>#REF!</v>
      </c>
      <c r="D201" t="e">
        <f>'305 ADP Employee (All)'!F201</f>
        <v>#REF!</v>
      </c>
    </row>
    <row r="202" spans="1:4" x14ac:dyDescent="0.2">
      <c r="A202" s="39" t="s">
        <v>1876</v>
      </c>
      <c r="B202" t="e">
        <f>ADP!#REF!</f>
        <v>#REF!</v>
      </c>
      <c r="D202" t="e">
        <f>'305 ADP Employee (All)'!F202</f>
        <v>#REF!</v>
      </c>
    </row>
    <row r="203" spans="1:4" x14ac:dyDescent="0.2">
      <c r="A203" s="39" t="s">
        <v>1876</v>
      </c>
      <c r="B203" t="e">
        <f>ADP!#REF!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 x14ac:dyDescent="0.2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 x14ac:dyDescent="0.2">
      <c r="A1" s="37" t="s">
        <v>1865</v>
      </c>
    </row>
    <row r="3" spans="1:44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1413</v>
      </c>
      <c r="AH3" t="s">
        <v>1414</v>
      </c>
      <c r="AI3" t="s">
        <v>1415</v>
      </c>
      <c r="AJ3" t="s">
        <v>1428</v>
      </c>
      <c r="AK3" t="s">
        <v>1429</v>
      </c>
      <c r="AL3" t="s">
        <v>1430</v>
      </c>
      <c r="AM3" t="s">
        <v>1432</v>
      </c>
      <c r="AN3" t="s">
        <v>1824</v>
      </c>
      <c r="AO3" t="s">
        <v>1646</v>
      </c>
      <c r="AP3" t="s">
        <v>1647</v>
      </c>
      <c r="AQ3" t="s">
        <v>1648</v>
      </c>
      <c r="AR3" t="s">
        <v>1649</v>
      </c>
    </row>
    <row r="4" spans="1:44" x14ac:dyDescent="0.2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6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1212</v>
      </c>
      <c r="AG4" t="s">
        <v>1418</v>
      </c>
      <c r="AH4" t="s">
        <v>1411</v>
      </c>
      <c r="AI4" t="s">
        <v>1217</v>
      </c>
      <c r="AJ4" t="s">
        <v>1423</v>
      </c>
      <c r="AK4" t="s">
        <v>36</v>
      </c>
      <c r="AL4" t="s">
        <v>1421</v>
      </c>
      <c r="AM4" t="s">
        <v>36</v>
      </c>
      <c r="AO4" t="s">
        <v>1650</v>
      </c>
      <c r="AP4" t="s">
        <v>258</v>
      </c>
      <c r="AQ4" t="s">
        <v>263</v>
      </c>
      <c r="AR4" t="b">
        <v>1</v>
      </c>
    </row>
    <row r="5" spans="1:44" x14ac:dyDescent="0.2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6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1212</v>
      </c>
      <c r="AG5" t="s">
        <v>1418</v>
      </c>
      <c r="AH5" t="s">
        <v>1411</v>
      </c>
      <c r="AI5" t="s">
        <v>1217</v>
      </c>
      <c r="AJ5" t="s">
        <v>1423</v>
      </c>
      <c r="AK5" t="s">
        <v>36</v>
      </c>
      <c r="AL5" t="s">
        <v>1421</v>
      </c>
      <c r="AM5" t="s">
        <v>36</v>
      </c>
      <c r="AO5" t="s">
        <v>1651</v>
      </c>
      <c r="AP5" t="s">
        <v>310</v>
      </c>
      <c r="AQ5" t="s">
        <v>313</v>
      </c>
      <c r="AR5" t="b">
        <v>1</v>
      </c>
    </row>
    <row r="6" spans="1:44" x14ac:dyDescent="0.2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6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1212</v>
      </c>
      <c r="AG6" t="s">
        <v>1418</v>
      </c>
      <c r="AH6" t="s">
        <v>1411</v>
      </c>
      <c r="AI6" t="s">
        <v>1217</v>
      </c>
      <c r="AJ6" t="s">
        <v>1423</v>
      </c>
      <c r="AK6" t="s">
        <v>36</v>
      </c>
      <c r="AL6" t="s">
        <v>1421</v>
      </c>
      <c r="AM6" t="s">
        <v>36</v>
      </c>
      <c r="AO6" t="s">
        <v>1652</v>
      </c>
      <c r="AP6" t="s">
        <v>258</v>
      </c>
      <c r="AQ6" t="s">
        <v>263</v>
      </c>
      <c r="AR6" t="b">
        <v>1</v>
      </c>
    </row>
    <row r="7" spans="1:44" x14ac:dyDescent="0.2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6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1212</v>
      </c>
      <c r="AG7" t="s">
        <v>1418</v>
      </c>
      <c r="AH7" t="s">
        <v>1411</v>
      </c>
      <c r="AI7" t="s">
        <v>1217</v>
      </c>
      <c r="AJ7" t="s">
        <v>1423</v>
      </c>
      <c r="AK7" t="s">
        <v>36</v>
      </c>
      <c r="AL7" t="s">
        <v>1421</v>
      </c>
      <c r="AM7" t="s">
        <v>36</v>
      </c>
      <c r="AO7" t="s">
        <v>1653</v>
      </c>
      <c r="AP7" t="s">
        <v>997</v>
      </c>
      <c r="AQ7" t="s">
        <v>1000</v>
      </c>
      <c r="AR7" t="b">
        <v>1</v>
      </c>
    </row>
    <row r="8" spans="1:44" x14ac:dyDescent="0.2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6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1212</v>
      </c>
      <c r="AG8" t="s">
        <v>1418</v>
      </c>
      <c r="AH8" t="s">
        <v>1411</v>
      </c>
      <c r="AI8" t="s">
        <v>1217</v>
      </c>
      <c r="AJ8" t="s">
        <v>1423</v>
      </c>
      <c r="AK8" t="s">
        <v>36</v>
      </c>
      <c r="AL8" t="s">
        <v>1421</v>
      </c>
      <c r="AM8" t="s">
        <v>36</v>
      </c>
      <c r="AO8" t="s">
        <v>1654</v>
      </c>
      <c r="AP8" t="s">
        <v>122</v>
      </c>
      <c r="AQ8" t="s">
        <v>126</v>
      </c>
      <c r="AR8" t="b">
        <v>0</v>
      </c>
    </row>
    <row r="9" spans="1:44" x14ac:dyDescent="0.2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6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1212</v>
      </c>
      <c r="AG9" t="s">
        <v>1418</v>
      </c>
      <c r="AH9" t="s">
        <v>1411</v>
      </c>
      <c r="AI9" t="s">
        <v>1217</v>
      </c>
      <c r="AJ9" t="s">
        <v>1423</v>
      </c>
      <c r="AK9" t="s">
        <v>36</v>
      </c>
      <c r="AL9" t="s">
        <v>1421</v>
      </c>
      <c r="AM9" t="s">
        <v>36</v>
      </c>
      <c r="AO9" t="s">
        <v>1655</v>
      </c>
      <c r="AP9" t="s">
        <v>258</v>
      </c>
      <c r="AQ9" t="s">
        <v>263</v>
      </c>
      <c r="AR9" t="b">
        <v>1</v>
      </c>
    </row>
    <row r="10" spans="1:44" x14ac:dyDescent="0.2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6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1212</v>
      </c>
      <c r="AG10" t="s">
        <v>1418</v>
      </c>
      <c r="AH10" t="s">
        <v>1411</v>
      </c>
      <c r="AI10" t="s">
        <v>1217</v>
      </c>
      <c r="AJ10" t="s">
        <v>1423</v>
      </c>
      <c r="AK10" t="s">
        <v>36</v>
      </c>
      <c r="AL10" t="s">
        <v>1421</v>
      </c>
      <c r="AM10" t="s">
        <v>36</v>
      </c>
      <c r="AO10" t="s">
        <v>1656</v>
      </c>
      <c r="AP10" t="s">
        <v>154</v>
      </c>
      <c r="AQ10" t="s">
        <v>160</v>
      </c>
      <c r="AR10" t="b">
        <v>0</v>
      </c>
    </row>
    <row r="11" spans="1:44" x14ac:dyDescent="0.2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6">
        <v>45859</v>
      </c>
      <c r="M11" s="46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1212</v>
      </c>
      <c r="AG11" t="s">
        <v>1418</v>
      </c>
      <c r="AH11" t="s">
        <v>1411</v>
      </c>
      <c r="AI11" t="s">
        <v>1217</v>
      </c>
      <c r="AJ11" t="s">
        <v>1423</v>
      </c>
      <c r="AK11" t="s">
        <v>36</v>
      </c>
      <c r="AL11" t="s">
        <v>1201</v>
      </c>
      <c r="AM11" t="s">
        <v>1825</v>
      </c>
      <c r="AN11" t="s">
        <v>1826</v>
      </c>
      <c r="AO11" t="s">
        <v>1657</v>
      </c>
      <c r="AP11" t="e">
        <v>#VALUE!</v>
      </c>
      <c r="AQ11" t="s">
        <v>1827</v>
      </c>
      <c r="AR11" t="b">
        <v>0</v>
      </c>
    </row>
    <row r="12" spans="1:44" x14ac:dyDescent="0.2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6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1212</v>
      </c>
      <c r="AG12" t="s">
        <v>1418</v>
      </c>
      <c r="AH12" t="s">
        <v>1411</v>
      </c>
      <c r="AI12" t="s">
        <v>1217</v>
      </c>
      <c r="AJ12" t="s">
        <v>1423</v>
      </c>
      <c r="AK12" t="s">
        <v>36</v>
      </c>
      <c r="AL12" t="s">
        <v>1421</v>
      </c>
      <c r="AM12" t="s">
        <v>36</v>
      </c>
      <c r="AO12" t="s">
        <v>1658</v>
      </c>
      <c r="AP12" t="s">
        <v>903</v>
      </c>
      <c r="AQ12" t="s">
        <v>907</v>
      </c>
      <c r="AR12" t="b">
        <v>1</v>
      </c>
    </row>
    <row r="13" spans="1:44" x14ac:dyDescent="0.2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6">
        <v>45810</v>
      </c>
      <c r="M13" s="46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1212</v>
      </c>
      <c r="AG13" t="s">
        <v>1418</v>
      </c>
      <c r="AH13" t="s">
        <v>1411</v>
      </c>
      <c r="AI13" t="s">
        <v>1217</v>
      </c>
      <c r="AJ13" t="s">
        <v>1423</v>
      </c>
      <c r="AK13" t="s">
        <v>36</v>
      </c>
      <c r="AL13" t="s">
        <v>1201</v>
      </c>
      <c r="AM13" t="s">
        <v>1828</v>
      </c>
      <c r="AN13" t="s">
        <v>1829</v>
      </c>
      <c r="AO13" t="s">
        <v>1659</v>
      </c>
      <c r="AP13" t="s">
        <v>234</v>
      </c>
      <c r="AQ13" t="s">
        <v>240</v>
      </c>
      <c r="AR13" t="b">
        <v>0</v>
      </c>
    </row>
    <row r="14" spans="1:44" x14ac:dyDescent="0.2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6">
        <v>45810</v>
      </c>
      <c r="M14" s="46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1830</v>
      </c>
      <c r="AE14" t="s">
        <v>1831</v>
      </c>
      <c r="AF14" t="s">
        <v>1832</v>
      </c>
      <c r="AG14" t="s">
        <v>1832</v>
      </c>
      <c r="AH14" t="s">
        <v>1411</v>
      </c>
      <c r="AI14" t="s">
        <v>1833</v>
      </c>
      <c r="AJ14" t="s">
        <v>1834</v>
      </c>
      <c r="AK14" t="s">
        <v>36</v>
      </c>
      <c r="AL14" t="s">
        <v>1201</v>
      </c>
      <c r="AM14" t="s">
        <v>1835</v>
      </c>
      <c r="AN14" t="s">
        <v>1826</v>
      </c>
      <c r="AO14" t="s">
        <v>1659</v>
      </c>
      <c r="AP14" t="e">
        <v>#VALUE!</v>
      </c>
      <c r="AQ14" t="s">
        <v>1827</v>
      </c>
      <c r="AR14" t="b">
        <v>0</v>
      </c>
    </row>
    <row r="15" spans="1:44" x14ac:dyDescent="0.2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6">
        <v>45810</v>
      </c>
      <c r="M15" s="46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1212</v>
      </c>
      <c r="AG15" t="s">
        <v>1418</v>
      </c>
      <c r="AH15" t="s">
        <v>1411</v>
      </c>
      <c r="AI15" t="s">
        <v>1217</v>
      </c>
      <c r="AJ15" t="s">
        <v>1423</v>
      </c>
      <c r="AK15" t="s">
        <v>36</v>
      </c>
      <c r="AL15" t="s">
        <v>1201</v>
      </c>
      <c r="AM15" t="s">
        <v>1836</v>
      </c>
      <c r="AN15" t="s">
        <v>1826</v>
      </c>
      <c r="AO15" t="s">
        <v>1659</v>
      </c>
      <c r="AP15" t="s">
        <v>234</v>
      </c>
      <c r="AQ15" t="s">
        <v>240</v>
      </c>
      <c r="AR15" t="b">
        <v>1</v>
      </c>
    </row>
    <row r="16" spans="1:44" x14ac:dyDescent="0.2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6">
        <v>45810</v>
      </c>
      <c r="M16" s="46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1212</v>
      </c>
      <c r="AG16" t="s">
        <v>1418</v>
      </c>
      <c r="AH16" t="s">
        <v>1411</v>
      </c>
      <c r="AI16" t="s">
        <v>1217</v>
      </c>
      <c r="AJ16" t="s">
        <v>1423</v>
      </c>
      <c r="AK16" t="s">
        <v>36</v>
      </c>
      <c r="AL16" t="s">
        <v>1201</v>
      </c>
      <c r="AM16" t="s">
        <v>1828</v>
      </c>
      <c r="AN16" t="s">
        <v>1829</v>
      </c>
      <c r="AO16" t="s">
        <v>1659</v>
      </c>
      <c r="AP16" t="s">
        <v>234</v>
      </c>
      <c r="AQ16" t="s">
        <v>240</v>
      </c>
      <c r="AR16" t="b">
        <v>0</v>
      </c>
    </row>
    <row r="17" spans="1:44" x14ac:dyDescent="0.2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6">
        <v>46190</v>
      </c>
      <c r="M17" s="46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1212</v>
      </c>
      <c r="AG17" t="s">
        <v>1418</v>
      </c>
      <c r="AH17" t="s">
        <v>1411</v>
      </c>
      <c r="AI17" t="s">
        <v>1217</v>
      </c>
      <c r="AJ17" t="s">
        <v>1423</v>
      </c>
      <c r="AK17" t="s">
        <v>36</v>
      </c>
      <c r="AL17" t="s">
        <v>1201</v>
      </c>
      <c r="AM17" t="s">
        <v>1837</v>
      </c>
      <c r="AN17" t="s">
        <v>1829</v>
      </c>
      <c r="AO17" t="s">
        <v>1660</v>
      </c>
      <c r="AP17" t="s">
        <v>258</v>
      </c>
      <c r="AQ17" t="s">
        <v>263</v>
      </c>
      <c r="AR17" t="b">
        <v>1</v>
      </c>
    </row>
    <row r="18" spans="1:44" x14ac:dyDescent="0.2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6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1212</v>
      </c>
      <c r="AG18" t="s">
        <v>1418</v>
      </c>
      <c r="AH18" t="s">
        <v>1411</v>
      </c>
      <c r="AI18" t="s">
        <v>1217</v>
      </c>
      <c r="AJ18" t="s">
        <v>1423</v>
      </c>
      <c r="AK18" t="s">
        <v>36</v>
      </c>
      <c r="AL18" t="s">
        <v>1421</v>
      </c>
      <c r="AM18" t="s">
        <v>36</v>
      </c>
      <c r="AO18" t="s">
        <v>1661</v>
      </c>
      <c r="AP18" t="s">
        <v>258</v>
      </c>
      <c r="AQ18" t="s">
        <v>263</v>
      </c>
      <c r="AR18" t="b">
        <v>1</v>
      </c>
    </row>
    <row r="19" spans="1:44" x14ac:dyDescent="0.2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6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1212</v>
      </c>
      <c r="AG19" t="s">
        <v>1418</v>
      </c>
      <c r="AH19" t="s">
        <v>1411</v>
      </c>
      <c r="AI19" t="s">
        <v>1217</v>
      </c>
      <c r="AJ19" t="s">
        <v>1423</v>
      </c>
      <c r="AK19" t="s">
        <v>36</v>
      </c>
      <c r="AL19" t="s">
        <v>1421</v>
      </c>
      <c r="AM19" t="s">
        <v>36</v>
      </c>
      <c r="AO19" t="s">
        <v>1662</v>
      </c>
      <c r="AP19" t="s">
        <v>258</v>
      </c>
      <c r="AQ19" t="s">
        <v>263</v>
      </c>
      <c r="AR19" t="b">
        <v>1</v>
      </c>
    </row>
    <row r="20" spans="1:44" x14ac:dyDescent="0.2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6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1212</v>
      </c>
      <c r="AG20" t="s">
        <v>1418</v>
      </c>
      <c r="AH20" t="s">
        <v>1411</v>
      </c>
      <c r="AI20" t="s">
        <v>1217</v>
      </c>
      <c r="AJ20" t="s">
        <v>1423</v>
      </c>
      <c r="AK20" t="s">
        <v>36</v>
      </c>
      <c r="AL20" t="s">
        <v>1421</v>
      </c>
      <c r="AM20" t="s">
        <v>36</v>
      </c>
      <c r="AO20" t="s">
        <v>1663</v>
      </c>
      <c r="AP20" t="s">
        <v>827</v>
      </c>
      <c r="AQ20" t="s">
        <v>830</v>
      </c>
      <c r="AR20" t="b">
        <v>1</v>
      </c>
    </row>
    <row r="21" spans="1:44" x14ac:dyDescent="0.2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6">
        <v>45867</v>
      </c>
      <c r="M21" s="46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1212</v>
      </c>
      <c r="AG21" t="s">
        <v>1418</v>
      </c>
      <c r="AH21" t="s">
        <v>1411</v>
      </c>
      <c r="AI21" t="s">
        <v>1217</v>
      </c>
      <c r="AJ21" t="s">
        <v>1423</v>
      </c>
      <c r="AK21" t="s">
        <v>36</v>
      </c>
      <c r="AL21" t="s">
        <v>1201</v>
      </c>
      <c r="AM21" t="s">
        <v>1838</v>
      </c>
      <c r="AN21" t="s">
        <v>1829</v>
      </c>
      <c r="AO21" t="s">
        <v>1663</v>
      </c>
      <c r="AP21" t="e">
        <v>#VALUE!</v>
      </c>
      <c r="AQ21" t="s">
        <v>1827</v>
      </c>
      <c r="AR21" t="b">
        <v>0</v>
      </c>
    </row>
    <row r="22" spans="1:44" x14ac:dyDescent="0.2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6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1212</v>
      </c>
      <c r="AG22" t="s">
        <v>1418</v>
      </c>
      <c r="AH22" t="s">
        <v>1411</v>
      </c>
      <c r="AI22" t="s">
        <v>1217</v>
      </c>
      <c r="AJ22" t="s">
        <v>1423</v>
      </c>
      <c r="AK22" t="s">
        <v>36</v>
      </c>
      <c r="AL22" t="s">
        <v>1421</v>
      </c>
      <c r="AM22" t="s">
        <v>36</v>
      </c>
      <c r="AO22" t="s">
        <v>1664</v>
      </c>
      <c r="AP22" t="s">
        <v>310</v>
      </c>
      <c r="AQ22" t="s">
        <v>313</v>
      </c>
      <c r="AR22" t="b">
        <v>1</v>
      </c>
    </row>
    <row r="23" spans="1:44" x14ac:dyDescent="0.2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6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1212</v>
      </c>
      <c r="AG23" t="s">
        <v>1418</v>
      </c>
      <c r="AH23" t="s">
        <v>1411</v>
      </c>
      <c r="AI23" t="s">
        <v>1217</v>
      </c>
      <c r="AJ23" t="s">
        <v>1423</v>
      </c>
      <c r="AK23" t="s">
        <v>36</v>
      </c>
      <c r="AL23" t="s">
        <v>1421</v>
      </c>
      <c r="AM23" t="s">
        <v>36</v>
      </c>
      <c r="AO23" t="s">
        <v>1665</v>
      </c>
      <c r="AP23" t="s">
        <v>991</v>
      </c>
      <c r="AQ23" t="s">
        <v>995</v>
      </c>
      <c r="AR23" t="b">
        <v>1</v>
      </c>
    </row>
    <row r="24" spans="1:44" x14ac:dyDescent="0.2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6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1212</v>
      </c>
      <c r="AG24" t="s">
        <v>1418</v>
      </c>
      <c r="AH24" t="s">
        <v>1411</v>
      </c>
      <c r="AI24" t="s">
        <v>1217</v>
      </c>
      <c r="AJ24" t="s">
        <v>1423</v>
      </c>
      <c r="AK24" t="s">
        <v>36</v>
      </c>
      <c r="AL24" t="s">
        <v>1421</v>
      </c>
      <c r="AM24" t="s">
        <v>36</v>
      </c>
      <c r="AO24" t="s">
        <v>1666</v>
      </c>
      <c r="AP24" t="s">
        <v>754</v>
      </c>
      <c r="AQ24" t="s">
        <v>759</v>
      </c>
      <c r="AR24" t="b">
        <v>1</v>
      </c>
    </row>
    <row r="25" spans="1:44" x14ac:dyDescent="0.2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6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1212</v>
      </c>
      <c r="AG25" t="s">
        <v>1418</v>
      </c>
      <c r="AH25" t="s">
        <v>1411</v>
      </c>
      <c r="AI25" t="s">
        <v>1217</v>
      </c>
      <c r="AJ25" t="s">
        <v>1423</v>
      </c>
      <c r="AK25" t="s">
        <v>1839</v>
      </c>
      <c r="AL25" t="s">
        <v>1421</v>
      </c>
      <c r="AM25" t="s">
        <v>36</v>
      </c>
      <c r="AO25" t="s">
        <v>1667</v>
      </c>
      <c r="AP25" t="s">
        <v>852</v>
      </c>
      <c r="AQ25" t="s">
        <v>854</v>
      </c>
      <c r="AR25" t="b">
        <v>0</v>
      </c>
    </row>
    <row r="26" spans="1:44" x14ac:dyDescent="0.2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6">
        <v>45502</v>
      </c>
      <c r="M26" s="46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1212</v>
      </c>
      <c r="AG26" t="s">
        <v>1418</v>
      </c>
      <c r="AH26" t="s">
        <v>1411</v>
      </c>
      <c r="AI26" t="s">
        <v>1217</v>
      </c>
      <c r="AJ26" t="s">
        <v>1423</v>
      </c>
      <c r="AK26" t="s">
        <v>36</v>
      </c>
      <c r="AL26" t="s">
        <v>1201</v>
      </c>
      <c r="AM26" t="s">
        <v>1840</v>
      </c>
      <c r="AN26" t="s">
        <v>1829</v>
      </c>
      <c r="AO26" t="s">
        <v>1668</v>
      </c>
      <c r="AP26" t="e">
        <v>#VALUE!</v>
      </c>
      <c r="AQ26" t="s">
        <v>1827</v>
      </c>
      <c r="AR26" t="b">
        <v>0</v>
      </c>
    </row>
    <row r="27" spans="1:44" x14ac:dyDescent="0.2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6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1412</v>
      </c>
      <c r="AD27" t="s">
        <v>1066</v>
      </c>
      <c r="AE27">
        <v>9150</v>
      </c>
      <c r="AF27" t="s">
        <v>1212</v>
      </c>
      <c r="AG27" t="s">
        <v>1418</v>
      </c>
      <c r="AH27" t="s">
        <v>1411</v>
      </c>
      <c r="AI27" t="s">
        <v>1217</v>
      </c>
      <c r="AJ27" t="s">
        <v>1423</v>
      </c>
      <c r="AK27" t="s">
        <v>36</v>
      </c>
      <c r="AL27" t="s">
        <v>1421</v>
      </c>
      <c r="AM27" t="s">
        <v>36</v>
      </c>
      <c r="AO27" t="s">
        <v>1668</v>
      </c>
      <c r="AP27" t="s">
        <v>1630</v>
      </c>
      <c r="AQ27" t="s">
        <v>1827</v>
      </c>
      <c r="AR27" t="b">
        <v>0</v>
      </c>
    </row>
    <row r="28" spans="1:44" x14ac:dyDescent="0.2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6">
        <v>46155</v>
      </c>
      <c r="M28" s="46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1212</v>
      </c>
      <c r="AG28" t="s">
        <v>1418</v>
      </c>
      <c r="AH28" t="s">
        <v>1411</v>
      </c>
      <c r="AI28" t="s">
        <v>1217</v>
      </c>
      <c r="AJ28" t="s">
        <v>1423</v>
      </c>
      <c r="AK28" t="s">
        <v>36</v>
      </c>
      <c r="AL28" t="s">
        <v>1201</v>
      </c>
      <c r="AM28" t="s">
        <v>1836</v>
      </c>
      <c r="AN28" t="s">
        <v>1826</v>
      </c>
      <c r="AO28" t="s">
        <v>1669</v>
      </c>
      <c r="AP28" t="s">
        <v>93</v>
      </c>
      <c r="AQ28" t="s">
        <v>97</v>
      </c>
      <c r="AR28" t="b">
        <v>1</v>
      </c>
    </row>
    <row r="29" spans="1:44" x14ac:dyDescent="0.2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6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1212</v>
      </c>
      <c r="AG29" t="s">
        <v>1418</v>
      </c>
      <c r="AH29" t="s">
        <v>1411</v>
      </c>
      <c r="AI29" t="s">
        <v>1217</v>
      </c>
      <c r="AJ29" t="s">
        <v>1423</v>
      </c>
      <c r="AK29" t="s">
        <v>36</v>
      </c>
      <c r="AL29" t="s">
        <v>1421</v>
      </c>
      <c r="AM29" t="s">
        <v>36</v>
      </c>
      <c r="AO29" t="s">
        <v>1670</v>
      </c>
      <c r="AP29" t="s">
        <v>609</v>
      </c>
      <c r="AQ29" t="s">
        <v>611</v>
      </c>
      <c r="AR29" t="b">
        <v>1</v>
      </c>
    </row>
    <row r="30" spans="1:44" x14ac:dyDescent="0.2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6">
        <v>46160</v>
      </c>
      <c r="M30" s="46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1212</v>
      </c>
      <c r="AG30" t="s">
        <v>1418</v>
      </c>
      <c r="AH30" t="s">
        <v>1411</v>
      </c>
      <c r="AI30" t="s">
        <v>1217</v>
      </c>
      <c r="AJ30" t="s">
        <v>1423</v>
      </c>
      <c r="AK30" t="s">
        <v>36</v>
      </c>
      <c r="AL30" t="s">
        <v>1201</v>
      </c>
      <c r="AM30" t="s">
        <v>1841</v>
      </c>
      <c r="AN30" t="s">
        <v>1829</v>
      </c>
      <c r="AO30" t="s">
        <v>1671</v>
      </c>
      <c r="AP30" t="e">
        <v>#VALUE!</v>
      </c>
      <c r="AQ30" t="s">
        <v>1827</v>
      </c>
      <c r="AR30" t="b">
        <v>0</v>
      </c>
    </row>
    <row r="31" spans="1:44" x14ac:dyDescent="0.2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6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1212</v>
      </c>
      <c r="AG31" t="s">
        <v>1418</v>
      </c>
      <c r="AH31" t="s">
        <v>1411</v>
      </c>
      <c r="AI31" t="s">
        <v>1217</v>
      </c>
      <c r="AJ31" t="s">
        <v>1423</v>
      </c>
      <c r="AK31" t="s">
        <v>36</v>
      </c>
      <c r="AL31" t="s">
        <v>1421</v>
      </c>
      <c r="AM31" t="s">
        <v>36</v>
      </c>
      <c r="AO31" t="s">
        <v>1672</v>
      </c>
      <c r="AP31" t="s">
        <v>903</v>
      </c>
      <c r="AQ31" t="s">
        <v>907</v>
      </c>
      <c r="AR31" t="b">
        <v>1</v>
      </c>
    </row>
    <row r="32" spans="1:44" x14ac:dyDescent="0.2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6">
        <v>45951</v>
      </c>
      <c r="M32" s="46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1212</v>
      </c>
      <c r="AG32" t="s">
        <v>1418</v>
      </c>
      <c r="AH32" t="s">
        <v>1411</v>
      </c>
      <c r="AI32" t="s">
        <v>1217</v>
      </c>
      <c r="AJ32" t="s">
        <v>1423</v>
      </c>
      <c r="AK32" t="s">
        <v>36</v>
      </c>
      <c r="AL32" t="s">
        <v>1201</v>
      </c>
      <c r="AM32" t="s">
        <v>1842</v>
      </c>
      <c r="AN32" t="s">
        <v>1829</v>
      </c>
      <c r="AO32" t="s">
        <v>1673</v>
      </c>
      <c r="AP32" t="e">
        <v>#VALUE!</v>
      </c>
      <c r="AQ32" t="s">
        <v>1827</v>
      </c>
      <c r="AR32" t="b">
        <v>0</v>
      </c>
    </row>
    <row r="33" spans="1:44" x14ac:dyDescent="0.2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6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1212</v>
      </c>
      <c r="AG33" t="s">
        <v>1418</v>
      </c>
      <c r="AH33" t="s">
        <v>1411</v>
      </c>
      <c r="AI33" t="s">
        <v>1217</v>
      </c>
      <c r="AJ33" t="s">
        <v>1423</v>
      </c>
      <c r="AK33" t="s">
        <v>36</v>
      </c>
      <c r="AL33" t="s">
        <v>1421</v>
      </c>
      <c r="AM33" t="s">
        <v>36</v>
      </c>
      <c r="AO33" t="s">
        <v>1674</v>
      </c>
      <c r="AP33" t="s">
        <v>93</v>
      </c>
      <c r="AQ33" t="s">
        <v>97</v>
      </c>
      <c r="AR33" t="b">
        <v>1</v>
      </c>
    </row>
    <row r="34" spans="1:44" x14ac:dyDescent="0.2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6">
        <v>46022</v>
      </c>
      <c r="M34" s="46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1830</v>
      </c>
      <c r="AE34" t="s">
        <v>1831</v>
      </c>
      <c r="AF34" t="s">
        <v>1832</v>
      </c>
      <c r="AG34" t="s">
        <v>1832</v>
      </c>
      <c r="AH34" t="s">
        <v>1411</v>
      </c>
      <c r="AI34" t="s">
        <v>1833</v>
      </c>
      <c r="AJ34" t="s">
        <v>1834</v>
      </c>
      <c r="AK34" t="s">
        <v>36</v>
      </c>
      <c r="AL34" t="s">
        <v>1201</v>
      </c>
      <c r="AM34" t="s">
        <v>1843</v>
      </c>
      <c r="AN34" t="s">
        <v>1829</v>
      </c>
      <c r="AO34" t="s">
        <v>1675</v>
      </c>
      <c r="AP34" t="e">
        <v>#VALUE!</v>
      </c>
      <c r="AQ34" t="s">
        <v>1827</v>
      </c>
      <c r="AR34" t="b">
        <v>0</v>
      </c>
    </row>
    <row r="35" spans="1:44" x14ac:dyDescent="0.2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6">
        <v>46022</v>
      </c>
      <c r="M35" s="46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1830</v>
      </c>
      <c r="AE35" t="s">
        <v>1831</v>
      </c>
      <c r="AF35" t="s">
        <v>1832</v>
      </c>
      <c r="AG35" t="s">
        <v>1832</v>
      </c>
      <c r="AH35" t="s">
        <v>1411</v>
      </c>
      <c r="AI35" t="s">
        <v>1833</v>
      </c>
      <c r="AJ35" t="s">
        <v>1834</v>
      </c>
      <c r="AK35" t="s">
        <v>36</v>
      </c>
      <c r="AL35" t="s">
        <v>1201</v>
      </c>
      <c r="AM35" t="s">
        <v>1844</v>
      </c>
      <c r="AN35" t="s">
        <v>1826</v>
      </c>
      <c r="AO35" t="s">
        <v>1675</v>
      </c>
      <c r="AP35" t="e">
        <v>#VALUE!</v>
      </c>
      <c r="AQ35" t="s">
        <v>1827</v>
      </c>
      <c r="AR35" t="b">
        <v>0</v>
      </c>
    </row>
    <row r="36" spans="1:44" x14ac:dyDescent="0.2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6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1212</v>
      </c>
      <c r="AG36" t="s">
        <v>1418</v>
      </c>
      <c r="AH36" t="s">
        <v>1411</v>
      </c>
      <c r="AI36" t="s">
        <v>1217</v>
      </c>
      <c r="AJ36" t="s">
        <v>1423</v>
      </c>
      <c r="AK36" t="s">
        <v>36</v>
      </c>
      <c r="AL36" t="s">
        <v>1421</v>
      </c>
      <c r="AM36" t="s">
        <v>36</v>
      </c>
      <c r="AO36" t="s">
        <v>1676</v>
      </c>
      <c r="AP36" t="s">
        <v>852</v>
      </c>
      <c r="AQ36" t="s">
        <v>854</v>
      </c>
      <c r="AR36" t="b">
        <v>0</v>
      </c>
    </row>
    <row r="37" spans="1:44" x14ac:dyDescent="0.2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6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1212</v>
      </c>
      <c r="AG37" t="s">
        <v>1418</v>
      </c>
      <c r="AH37" t="s">
        <v>1411</v>
      </c>
      <c r="AI37" t="s">
        <v>1217</v>
      </c>
      <c r="AJ37" t="s">
        <v>1423</v>
      </c>
      <c r="AK37" t="s">
        <v>36</v>
      </c>
      <c r="AL37" t="s">
        <v>1421</v>
      </c>
      <c r="AM37" t="s">
        <v>36</v>
      </c>
      <c r="AO37" t="s">
        <v>1677</v>
      </c>
      <c r="AP37" t="s">
        <v>754</v>
      </c>
      <c r="AQ37" t="s">
        <v>759</v>
      </c>
      <c r="AR37" t="b">
        <v>1</v>
      </c>
    </row>
    <row r="38" spans="1:44" x14ac:dyDescent="0.2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6">
        <v>45334</v>
      </c>
      <c r="M38" s="46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1212</v>
      </c>
      <c r="AG38" t="s">
        <v>1418</v>
      </c>
      <c r="AH38" t="s">
        <v>1411</v>
      </c>
      <c r="AI38" t="s">
        <v>1217</v>
      </c>
      <c r="AJ38" t="s">
        <v>1423</v>
      </c>
      <c r="AK38" t="s">
        <v>36</v>
      </c>
      <c r="AL38" t="s">
        <v>1201</v>
      </c>
      <c r="AM38" t="s">
        <v>1845</v>
      </c>
      <c r="AN38" t="s">
        <v>1829</v>
      </c>
      <c r="AO38" t="s">
        <v>1678</v>
      </c>
      <c r="AP38" t="s">
        <v>609</v>
      </c>
      <c r="AQ38" t="s">
        <v>611</v>
      </c>
      <c r="AR38" t="b">
        <v>1</v>
      </c>
    </row>
    <row r="39" spans="1:44" x14ac:dyDescent="0.2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6">
        <v>45243</v>
      </c>
      <c r="M39" s="46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1212</v>
      </c>
      <c r="AG39" t="s">
        <v>1418</v>
      </c>
      <c r="AH39" t="s">
        <v>1411</v>
      </c>
      <c r="AI39" t="s">
        <v>1217</v>
      </c>
      <c r="AJ39" t="s">
        <v>1423</v>
      </c>
      <c r="AK39" t="s">
        <v>36</v>
      </c>
      <c r="AL39" t="s">
        <v>1201</v>
      </c>
      <c r="AM39" t="s">
        <v>1836</v>
      </c>
      <c r="AN39" t="s">
        <v>1829</v>
      </c>
      <c r="AO39" t="s">
        <v>1679</v>
      </c>
      <c r="AP39" t="s">
        <v>1028</v>
      </c>
      <c r="AQ39" t="s">
        <v>1031</v>
      </c>
      <c r="AR39" t="b">
        <v>1</v>
      </c>
    </row>
    <row r="40" spans="1:44" x14ac:dyDescent="0.2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6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1212</v>
      </c>
      <c r="AG40" t="s">
        <v>1418</v>
      </c>
      <c r="AH40" t="s">
        <v>1411</v>
      </c>
      <c r="AI40" t="s">
        <v>1217</v>
      </c>
      <c r="AJ40" t="s">
        <v>1423</v>
      </c>
      <c r="AK40" t="s">
        <v>36</v>
      </c>
      <c r="AL40" t="s">
        <v>1421</v>
      </c>
      <c r="AM40" t="s">
        <v>36</v>
      </c>
      <c r="AO40" t="s">
        <v>1680</v>
      </c>
      <c r="AP40" t="e">
        <v>#VALUE!</v>
      </c>
      <c r="AQ40" t="s">
        <v>1827</v>
      </c>
      <c r="AR40" t="b">
        <v>0</v>
      </c>
    </row>
    <row r="41" spans="1:44" x14ac:dyDescent="0.2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6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1212</v>
      </c>
      <c r="AG41" t="s">
        <v>1418</v>
      </c>
      <c r="AH41" t="s">
        <v>1411</v>
      </c>
      <c r="AI41" t="s">
        <v>1217</v>
      </c>
      <c r="AJ41" t="s">
        <v>1423</v>
      </c>
      <c r="AK41" t="s">
        <v>36</v>
      </c>
      <c r="AL41" t="s">
        <v>1421</v>
      </c>
      <c r="AM41" t="s">
        <v>36</v>
      </c>
      <c r="AO41" t="s">
        <v>1681</v>
      </c>
      <c r="AP41" t="s">
        <v>991</v>
      </c>
      <c r="AQ41" t="s">
        <v>995</v>
      </c>
      <c r="AR41" t="b">
        <v>1</v>
      </c>
    </row>
    <row r="42" spans="1:44" x14ac:dyDescent="0.2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6">
        <v>46125</v>
      </c>
      <c r="M42" s="46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1212</v>
      </c>
      <c r="AG42" t="s">
        <v>1418</v>
      </c>
      <c r="AH42" t="s">
        <v>1411</v>
      </c>
      <c r="AI42" t="s">
        <v>1217</v>
      </c>
      <c r="AJ42" t="s">
        <v>1423</v>
      </c>
      <c r="AK42" t="s">
        <v>36</v>
      </c>
      <c r="AL42" t="s">
        <v>1201</v>
      </c>
      <c r="AM42" t="s">
        <v>1828</v>
      </c>
      <c r="AN42" t="s">
        <v>1829</v>
      </c>
      <c r="AO42" t="s">
        <v>1681</v>
      </c>
      <c r="AP42" t="e">
        <v>#VALUE!</v>
      </c>
      <c r="AQ42" t="s">
        <v>1827</v>
      </c>
      <c r="AR42" t="b">
        <v>0</v>
      </c>
    </row>
    <row r="43" spans="1:44" x14ac:dyDescent="0.2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6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1212</v>
      </c>
      <c r="AG43" t="s">
        <v>1418</v>
      </c>
      <c r="AH43" t="s">
        <v>1411</v>
      </c>
      <c r="AI43" t="s">
        <v>1217</v>
      </c>
      <c r="AJ43" t="s">
        <v>1423</v>
      </c>
      <c r="AK43" t="s">
        <v>36</v>
      </c>
      <c r="AL43" t="s">
        <v>1421</v>
      </c>
      <c r="AM43" t="s">
        <v>36</v>
      </c>
      <c r="AO43" t="s">
        <v>1682</v>
      </c>
      <c r="AP43" t="s">
        <v>617</v>
      </c>
      <c r="AQ43" t="s">
        <v>620</v>
      </c>
      <c r="AR43" t="b">
        <v>1</v>
      </c>
    </row>
    <row r="44" spans="1:44" x14ac:dyDescent="0.2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6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1212</v>
      </c>
      <c r="AG44" t="s">
        <v>1418</v>
      </c>
      <c r="AH44" t="s">
        <v>1411</v>
      </c>
      <c r="AI44" t="s">
        <v>1217</v>
      </c>
      <c r="AJ44" t="s">
        <v>1423</v>
      </c>
      <c r="AK44" t="s">
        <v>36</v>
      </c>
      <c r="AL44" t="s">
        <v>1421</v>
      </c>
      <c r="AM44" t="s">
        <v>36</v>
      </c>
      <c r="AO44" t="s">
        <v>1683</v>
      </c>
      <c r="AP44" t="s">
        <v>860</v>
      </c>
      <c r="AQ44" t="s">
        <v>862</v>
      </c>
      <c r="AR44" t="b">
        <v>1</v>
      </c>
    </row>
    <row r="45" spans="1:44" x14ac:dyDescent="0.2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6">
        <v>45915</v>
      </c>
      <c r="M45" s="46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1212</v>
      </c>
      <c r="AG45" t="s">
        <v>1418</v>
      </c>
      <c r="AH45" t="s">
        <v>1411</v>
      </c>
      <c r="AI45" t="s">
        <v>1217</v>
      </c>
      <c r="AJ45" t="s">
        <v>1423</v>
      </c>
      <c r="AK45" t="s">
        <v>36</v>
      </c>
      <c r="AL45" t="s">
        <v>1201</v>
      </c>
      <c r="AM45" t="s">
        <v>1846</v>
      </c>
      <c r="AN45" t="s">
        <v>1829</v>
      </c>
      <c r="AO45" t="s">
        <v>1684</v>
      </c>
      <c r="AP45" t="e">
        <v>#VALUE!</v>
      </c>
      <c r="AQ45" t="s">
        <v>1827</v>
      </c>
      <c r="AR45" t="b">
        <v>0</v>
      </c>
    </row>
    <row r="46" spans="1:44" x14ac:dyDescent="0.2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6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1212</v>
      </c>
      <c r="AG46" t="s">
        <v>1418</v>
      </c>
      <c r="AH46" t="s">
        <v>1411</v>
      </c>
      <c r="AI46" t="s">
        <v>1217</v>
      </c>
      <c r="AJ46" t="s">
        <v>1423</v>
      </c>
      <c r="AK46" t="s">
        <v>36</v>
      </c>
      <c r="AL46" t="s">
        <v>1421</v>
      </c>
      <c r="AM46" t="s">
        <v>36</v>
      </c>
      <c r="AO46" t="s">
        <v>1685</v>
      </c>
      <c r="AP46" t="s">
        <v>903</v>
      </c>
      <c r="AQ46" t="s">
        <v>907</v>
      </c>
      <c r="AR46" t="b">
        <v>1</v>
      </c>
    </row>
    <row r="47" spans="1:44" x14ac:dyDescent="0.2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6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1212</v>
      </c>
      <c r="AG47" t="s">
        <v>1418</v>
      </c>
      <c r="AH47" t="s">
        <v>1411</v>
      </c>
      <c r="AI47" t="s">
        <v>1217</v>
      </c>
      <c r="AJ47" t="s">
        <v>1423</v>
      </c>
      <c r="AK47" t="s">
        <v>36</v>
      </c>
      <c r="AL47" t="s">
        <v>1421</v>
      </c>
      <c r="AM47" t="s">
        <v>36</v>
      </c>
      <c r="AO47" t="s">
        <v>1686</v>
      </c>
      <c r="AP47" t="s">
        <v>258</v>
      </c>
      <c r="AQ47" t="s">
        <v>263</v>
      </c>
      <c r="AR47" t="b">
        <v>1</v>
      </c>
    </row>
    <row r="48" spans="1:44" x14ac:dyDescent="0.2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6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1212</v>
      </c>
      <c r="AG48" t="s">
        <v>1418</v>
      </c>
      <c r="AH48" t="s">
        <v>1411</v>
      </c>
      <c r="AI48" t="s">
        <v>1217</v>
      </c>
      <c r="AJ48" t="s">
        <v>1423</v>
      </c>
      <c r="AK48" t="s">
        <v>36</v>
      </c>
      <c r="AL48" t="s">
        <v>1421</v>
      </c>
      <c r="AM48" t="s">
        <v>36</v>
      </c>
      <c r="AO48" t="s">
        <v>1687</v>
      </c>
      <c r="AP48" t="s">
        <v>609</v>
      </c>
      <c r="AQ48" t="s">
        <v>611</v>
      </c>
      <c r="AR48" t="b">
        <v>1</v>
      </c>
    </row>
    <row r="49" spans="1:44" x14ac:dyDescent="0.2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6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1212</v>
      </c>
      <c r="AG49" t="s">
        <v>1418</v>
      </c>
      <c r="AH49" t="s">
        <v>1411</v>
      </c>
      <c r="AI49" t="s">
        <v>1217</v>
      </c>
      <c r="AJ49" t="s">
        <v>1423</v>
      </c>
      <c r="AK49" t="s">
        <v>36</v>
      </c>
      <c r="AL49" t="s">
        <v>1421</v>
      </c>
      <c r="AM49" t="s">
        <v>36</v>
      </c>
      <c r="AO49" t="s">
        <v>1688</v>
      </c>
      <c r="AP49" t="s">
        <v>258</v>
      </c>
      <c r="AQ49" t="s">
        <v>263</v>
      </c>
      <c r="AR49" t="b">
        <v>1</v>
      </c>
    </row>
    <row r="50" spans="1:44" x14ac:dyDescent="0.2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6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1212</v>
      </c>
      <c r="AG50" t="s">
        <v>1418</v>
      </c>
      <c r="AH50" t="s">
        <v>1411</v>
      </c>
      <c r="AI50" t="s">
        <v>1217</v>
      </c>
      <c r="AJ50" t="s">
        <v>1423</v>
      </c>
      <c r="AK50" t="s">
        <v>36</v>
      </c>
      <c r="AL50" t="s">
        <v>1421</v>
      </c>
      <c r="AM50" t="s">
        <v>36</v>
      </c>
      <c r="AO50" t="s">
        <v>1689</v>
      </c>
      <c r="AP50" t="s">
        <v>258</v>
      </c>
      <c r="AQ50" t="s">
        <v>263</v>
      </c>
      <c r="AR50" t="b">
        <v>1</v>
      </c>
    </row>
    <row r="51" spans="1:44" x14ac:dyDescent="0.2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6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1212</v>
      </c>
      <c r="AG51" t="s">
        <v>1418</v>
      </c>
      <c r="AH51" t="s">
        <v>1411</v>
      </c>
      <c r="AI51" t="s">
        <v>1217</v>
      </c>
      <c r="AJ51" t="s">
        <v>1423</v>
      </c>
      <c r="AK51" t="s">
        <v>36</v>
      </c>
      <c r="AL51" t="s">
        <v>1421</v>
      </c>
      <c r="AM51" t="s">
        <v>36</v>
      </c>
      <c r="AO51" t="s">
        <v>1690</v>
      </c>
      <c r="AP51" t="s">
        <v>609</v>
      </c>
      <c r="AQ51" t="s">
        <v>611</v>
      </c>
      <c r="AR51" t="b">
        <v>1</v>
      </c>
    </row>
    <row r="52" spans="1:44" x14ac:dyDescent="0.2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6">
        <v>45208</v>
      </c>
      <c r="M52" s="46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1212</v>
      </c>
      <c r="AG52" t="s">
        <v>1418</v>
      </c>
      <c r="AH52" t="s">
        <v>1411</v>
      </c>
      <c r="AI52" t="s">
        <v>1217</v>
      </c>
      <c r="AJ52" t="s">
        <v>1423</v>
      </c>
      <c r="AK52" t="s">
        <v>36</v>
      </c>
      <c r="AL52" t="s">
        <v>1201</v>
      </c>
      <c r="AM52" t="s">
        <v>1847</v>
      </c>
      <c r="AN52" t="s">
        <v>1829</v>
      </c>
      <c r="AO52" t="s">
        <v>1691</v>
      </c>
      <c r="AP52" t="e">
        <v>#VALUE!</v>
      </c>
      <c r="AQ52" t="s">
        <v>1827</v>
      </c>
      <c r="AR52" t="b">
        <v>0</v>
      </c>
    </row>
    <row r="53" spans="1:44" x14ac:dyDescent="0.2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6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1212</v>
      </c>
      <c r="AG53" t="s">
        <v>1418</v>
      </c>
      <c r="AH53" t="s">
        <v>1411</v>
      </c>
      <c r="AI53" t="s">
        <v>1217</v>
      </c>
      <c r="AJ53" t="s">
        <v>1423</v>
      </c>
      <c r="AK53" t="s">
        <v>36</v>
      </c>
      <c r="AL53" t="s">
        <v>1421</v>
      </c>
      <c r="AM53" t="s">
        <v>36</v>
      </c>
      <c r="AO53" t="s">
        <v>1692</v>
      </c>
      <c r="AP53" t="s">
        <v>991</v>
      </c>
      <c r="AQ53" t="s">
        <v>995</v>
      </c>
      <c r="AR53" t="b">
        <v>1</v>
      </c>
    </row>
    <row r="54" spans="1:44" x14ac:dyDescent="0.2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6">
        <v>45769</v>
      </c>
      <c r="M54" s="46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1212</v>
      </c>
      <c r="AG54" t="s">
        <v>1418</v>
      </c>
      <c r="AH54" t="s">
        <v>1411</v>
      </c>
      <c r="AI54" t="s">
        <v>1217</v>
      </c>
      <c r="AJ54" t="s">
        <v>1423</v>
      </c>
      <c r="AK54" t="s">
        <v>36</v>
      </c>
      <c r="AL54" t="s">
        <v>1201</v>
      </c>
      <c r="AM54" t="s">
        <v>1838</v>
      </c>
      <c r="AN54" t="s">
        <v>1829</v>
      </c>
      <c r="AO54" t="s">
        <v>1692</v>
      </c>
      <c r="AP54" t="e">
        <v>#VALUE!</v>
      </c>
      <c r="AQ54" t="s">
        <v>1827</v>
      </c>
      <c r="AR54" t="b">
        <v>0</v>
      </c>
    </row>
    <row r="55" spans="1:44" x14ac:dyDescent="0.2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6">
        <v>45769</v>
      </c>
      <c r="M55" s="46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1212</v>
      </c>
      <c r="AG55" t="s">
        <v>1418</v>
      </c>
      <c r="AH55" t="s">
        <v>1411</v>
      </c>
      <c r="AI55" t="s">
        <v>1217</v>
      </c>
      <c r="AJ55" t="s">
        <v>1423</v>
      </c>
      <c r="AK55" t="s">
        <v>36</v>
      </c>
      <c r="AL55" t="s">
        <v>1201</v>
      </c>
      <c r="AM55" t="s">
        <v>1838</v>
      </c>
      <c r="AN55" t="s">
        <v>1826</v>
      </c>
      <c r="AO55" t="s">
        <v>1692</v>
      </c>
      <c r="AP55" t="e">
        <v>#VALUE!</v>
      </c>
      <c r="AQ55" t="s">
        <v>1827</v>
      </c>
      <c r="AR55" t="b">
        <v>0</v>
      </c>
    </row>
    <row r="56" spans="1:44" x14ac:dyDescent="0.2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6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1212</v>
      </c>
      <c r="AG56" t="s">
        <v>1418</v>
      </c>
      <c r="AH56" t="s">
        <v>1411</v>
      </c>
      <c r="AI56" t="s">
        <v>1217</v>
      </c>
      <c r="AJ56" t="s">
        <v>1423</v>
      </c>
      <c r="AK56" t="s">
        <v>36</v>
      </c>
      <c r="AL56" t="s">
        <v>1421</v>
      </c>
      <c r="AM56" t="s">
        <v>36</v>
      </c>
      <c r="AO56" t="s">
        <v>1693</v>
      </c>
      <c r="AP56" t="s">
        <v>410</v>
      </c>
      <c r="AQ56" t="s">
        <v>414</v>
      </c>
      <c r="AR56" t="b">
        <v>1</v>
      </c>
    </row>
    <row r="57" spans="1:44" x14ac:dyDescent="0.2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6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1212</v>
      </c>
      <c r="AG57" t="s">
        <v>1418</v>
      </c>
      <c r="AH57" t="s">
        <v>1411</v>
      </c>
      <c r="AI57" t="s">
        <v>1217</v>
      </c>
      <c r="AJ57" t="s">
        <v>1423</v>
      </c>
      <c r="AK57" t="s">
        <v>36</v>
      </c>
      <c r="AL57" t="s">
        <v>1421</v>
      </c>
      <c r="AM57" t="s">
        <v>36</v>
      </c>
      <c r="AO57" t="s">
        <v>1694</v>
      </c>
      <c r="AP57" t="s">
        <v>903</v>
      </c>
      <c r="AQ57" t="s">
        <v>907</v>
      </c>
      <c r="AR57" t="b">
        <v>1</v>
      </c>
    </row>
    <row r="58" spans="1:44" x14ac:dyDescent="0.2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6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1212</v>
      </c>
      <c r="AG58" t="s">
        <v>1418</v>
      </c>
      <c r="AH58" t="s">
        <v>1411</v>
      </c>
      <c r="AI58" t="s">
        <v>1217</v>
      </c>
      <c r="AJ58" t="s">
        <v>1423</v>
      </c>
      <c r="AK58" t="s">
        <v>36</v>
      </c>
      <c r="AL58" t="s">
        <v>1421</v>
      </c>
      <c r="AM58" t="s">
        <v>36</v>
      </c>
      <c r="AO58" t="s">
        <v>1695</v>
      </c>
      <c r="AP58" t="s">
        <v>154</v>
      </c>
      <c r="AQ58" t="s">
        <v>160</v>
      </c>
      <c r="AR58" t="b">
        <v>1</v>
      </c>
    </row>
    <row r="59" spans="1:44" x14ac:dyDescent="0.2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6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1212</v>
      </c>
      <c r="AG59" t="s">
        <v>1418</v>
      </c>
      <c r="AH59" t="s">
        <v>1411</v>
      </c>
      <c r="AI59" t="s">
        <v>1217</v>
      </c>
      <c r="AJ59" t="s">
        <v>1423</v>
      </c>
      <c r="AK59" t="s">
        <v>36</v>
      </c>
      <c r="AL59" t="s">
        <v>1421</v>
      </c>
      <c r="AM59" t="s">
        <v>36</v>
      </c>
      <c r="AO59" t="s">
        <v>1696</v>
      </c>
      <c r="AP59" t="s">
        <v>132</v>
      </c>
      <c r="AQ59" t="s">
        <v>135</v>
      </c>
      <c r="AR59" t="b">
        <v>1</v>
      </c>
    </row>
    <row r="60" spans="1:44" x14ac:dyDescent="0.2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6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1212</v>
      </c>
      <c r="AG60" t="s">
        <v>1418</v>
      </c>
      <c r="AH60" t="s">
        <v>1411</v>
      </c>
      <c r="AI60" t="s">
        <v>1217</v>
      </c>
      <c r="AJ60" t="s">
        <v>1423</v>
      </c>
      <c r="AK60" t="s">
        <v>36</v>
      </c>
      <c r="AL60" t="s">
        <v>1421</v>
      </c>
      <c r="AM60" t="s">
        <v>36</v>
      </c>
      <c r="AO60" t="s">
        <v>1697</v>
      </c>
      <c r="AP60" t="s">
        <v>93</v>
      </c>
      <c r="AQ60" t="s">
        <v>97</v>
      </c>
      <c r="AR60" t="b">
        <v>1</v>
      </c>
    </row>
    <row r="61" spans="1:44" x14ac:dyDescent="0.2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6">
        <v>46190</v>
      </c>
      <c r="M61" s="46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1212</v>
      </c>
      <c r="AG61" t="s">
        <v>1418</v>
      </c>
      <c r="AH61" t="s">
        <v>1411</v>
      </c>
      <c r="AI61" t="s">
        <v>1217</v>
      </c>
      <c r="AJ61" t="s">
        <v>1423</v>
      </c>
      <c r="AK61" t="s">
        <v>36</v>
      </c>
      <c r="AL61" t="s">
        <v>1201</v>
      </c>
      <c r="AM61" t="s">
        <v>1848</v>
      </c>
      <c r="AN61" t="s">
        <v>1826</v>
      </c>
      <c r="AO61" t="s">
        <v>1698</v>
      </c>
      <c r="AP61" t="e">
        <v>#VALUE!</v>
      </c>
      <c r="AQ61" t="s">
        <v>1827</v>
      </c>
      <c r="AR61" t="b">
        <v>0</v>
      </c>
    </row>
    <row r="62" spans="1:44" x14ac:dyDescent="0.2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6">
        <v>37424</v>
      </c>
      <c r="M62" s="46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1212</v>
      </c>
      <c r="AG62" t="s">
        <v>1418</v>
      </c>
      <c r="AH62" t="s">
        <v>1411</v>
      </c>
      <c r="AI62" t="s">
        <v>1217</v>
      </c>
      <c r="AJ62" t="s">
        <v>1423</v>
      </c>
      <c r="AK62" t="s">
        <v>36</v>
      </c>
      <c r="AL62" t="s">
        <v>1201</v>
      </c>
      <c r="AM62" t="s">
        <v>1838</v>
      </c>
      <c r="AN62" t="s">
        <v>1826</v>
      </c>
      <c r="AO62" t="s">
        <v>1699</v>
      </c>
      <c r="AP62" t="e">
        <v>#VALUE!</v>
      </c>
      <c r="AQ62" t="s">
        <v>1827</v>
      </c>
      <c r="AR62" t="b">
        <v>0</v>
      </c>
    </row>
    <row r="63" spans="1:44" x14ac:dyDescent="0.2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6">
        <v>37424</v>
      </c>
      <c r="M63" s="46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1212</v>
      </c>
      <c r="AG63" t="s">
        <v>1418</v>
      </c>
      <c r="AH63" t="s">
        <v>1411</v>
      </c>
      <c r="AI63" t="s">
        <v>1217</v>
      </c>
      <c r="AJ63" t="s">
        <v>1423</v>
      </c>
      <c r="AK63" t="s">
        <v>36</v>
      </c>
      <c r="AL63" t="s">
        <v>1201</v>
      </c>
      <c r="AM63" t="s">
        <v>1838</v>
      </c>
      <c r="AN63" t="s">
        <v>1829</v>
      </c>
      <c r="AO63" t="s">
        <v>1699</v>
      </c>
      <c r="AP63" t="e">
        <v>#VALUE!</v>
      </c>
      <c r="AQ63" t="s">
        <v>1827</v>
      </c>
      <c r="AR63" t="b">
        <v>0</v>
      </c>
    </row>
    <row r="64" spans="1:44" x14ac:dyDescent="0.2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6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1212</v>
      </c>
      <c r="AG64" t="s">
        <v>1418</v>
      </c>
      <c r="AH64" t="s">
        <v>1411</v>
      </c>
      <c r="AI64" t="s">
        <v>1217</v>
      </c>
      <c r="AJ64" t="s">
        <v>1423</v>
      </c>
      <c r="AK64" t="s">
        <v>36</v>
      </c>
      <c r="AL64" t="s">
        <v>1421</v>
      </c>
      <c r="AM64" t="s">
        <v>36</v>
      </c>
      <c r="AO64" t="s">
        <v>1699</v>
      </c>
      <c r="AP64" t="s">
        <v>991</v>
      </c>
      <c r="AQ64" t="s">
        <v>995</v>
      </c>
      <c r="AR64" t="b">
        <v>1</v>
      </c>
    </row>
    <row r="65" spans="1:44" x14ac:dyDescent="0.2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6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1212</v>
      </c>
      <c r="AG65" t="s">
        <v>1418</v>
      </c>
      <c r="AH65" t="s">
        <v>1411</v>
      </c>
      <c r="AI65" t="s">
        <v>1217</v>
      </c>
      <c r="AJ65" t="s">
        <v>1423</v>
      </c>
      <c r="AK65" t="s">
        <v>36</v>
      </c>
      <c r="AL65" t="s">
        <v>1421</v>
      </c>
      <c r="AM65" t="s">
        <v>36</v>
      </c>
      <c r="AO65" t="s">
        <v>1700</v>
      </c>
      <c r="AP65" t="s">
        <v>122</v>
      </c>
      <c r="AQ65" t="s">
        <v>126</v>
      </c>
      <c r="AR65" t="b">
        <v>0</v>
      </c>
    </row>
    <row r="66" spans="1:44" x14ac:dyDescent="0.2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6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1212</v>
      </c>
      <c r="AG66" t="s">
        <v>1418</v>
      </c>
      <c r="AH66" t="s">
        <v>1411</v>
      </c>
      <c r="AI66" t="s">
        <v>1217</v>
      </c>
      <c r="AJ66" t="s">
        <v>1423</v>
      </c>
      <c r="AK66" t="s">
        <v>36</v>
      </c>
      <c r="AL66" t="s">
        <v>1421</v>
      </c>
      <c r="AM66" t="s">
        <v>36</v>
      </c>
      <c r="AO66" t="s">
        <v>1701</v>
      </c>
      <c r="AP66" t="s">
        <v>154</v>
      </c>
      <c r="AQ66" t="s">
        <v>160</v>
      </c>
      <c r="AR66" t="b">
        <v>1</v>
      </c>
    </row>
    <row r="67" spans="1:44" x14ac:dyDescent="0.2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6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1212</v>
      </c>
      <c r="AG67" t="s">
        <v>1418</v>
      </c>
      <c r="AH67" t="s">
        <v>1411</v>
      </c>
      <c r="AI67" t="s">
        <v>1217</v>
      </c>
      <c r="AJ67" t="s">
        <v>1423</v>
      </c>
      <c r="AK67" t="s">
        <v>36</v>
      </c>
      <c r="AL67" t="s">
        <v>1421</v>
      </c>
      <c r="AM67" t="s">
        <v>36</v>
      </c>
      <c r="AO67" t="s">
        <v>1702</v>
      </c>
      <c r="AP67" t="s">
        <v>609</v>
      </c>
      <c r="AQ67" t="s">
        <v>611</v>
      </c>
      <c r="AR67" t="b">
        <v>1</v>
      </c>
    </row>
    <row r="68" spans="1:44" x14ac:dyDescent="0.2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6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1212</v>
      </c>
      <c r="AG68" t="s">
        <v>1418</v>
      </c>
      <c r="AH68" t="s">
        <v>1411</v>
      </c>
      <c r="AI68" t="s">
        <v>1217</v>
      </c>
      <c r="AJ68" t="s">
        <v>1423</v>
      </c>
      <c r="AK68" t="s">
        <v>36</v>
      </c>
      <c r="AL68" t="s">
        <v>1421</v>
      </c>
      <c r="AM68" t="s">
        <v>36</v>
      </c>
      <c r="AO68" t="s">
        <v>1703</v>
      </c>
      <c r="AP68" t="s">
        <v>1028</v>
      </c>
      <c r="AQ68" t="s">
        <v>1031</v>
      </c>
      <c r="AR68" t="b">
        <v>1</v>
      </c>
    </row>
    <row r="69" spans="1:44" x14ac:dyDescent="0.2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6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1212</v>
      </c>
      <c r="AG69" t="s">
        <v>1418</v>
      </c>
      <c r="AH69" t="s">
        <v>1411</v>
      </c>
      <c r="AI69" t="s">
        <v>1217</v>
      </c>
      <c r="AJ69" t="s">
        <v>1423</v>
      </c>
      <c r="AK69" t="s">
        <v>36</v>
      </c>
      <c r="AL69" t="s">
        <v>1421</v>
      </c>
      <c r="AM69" t="s">
        <v>36</v>
      </c>
      <c r="AO69" t="s">
        <v>1704</v>
      </c>
      <c r="AP69" t="s">
        <v>903</v>
      </c>
      <c r="AQ69" t="s">
        <v>907</v>
      </c>
      <c r="AR69" t="b">
        <v>1</v>
      </c>
    </row>
    <row r="70" spans="1:44" x14ac:dyDescent="0.2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6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1212</v>
      </c>
      <c r="AG70" t="s">
        <v>1418</v>
      </c>
      <c r="AH70" t="s">
        <v>1411</v>
      </c>
      <c r="AI70" t="s">
        <v>1217</v>
      </c>
      <c r="AJ70" t="s">
        <v>1423</v>
      </c>
      <c r="AK70" t="s">
        <v>36</v>
      </c>
      <c r="AL70" t="s">
        <v>1421</v>
      </c>
      <c r="AM70" t="s">
        <v>36</v>
      </c>
      <c r="AO70" t="s">
        <v>1705</v>
      </c>
      <c r="AP70" t="s">
        <v>132</v>
      </c>
      <c r="AQ70" t="s">
        <v>135</v>
      </c>
      <c r="AR70" t="b">
        <v>1</v>
      </c>
    </row>
    <row r="71" spans="1:44" x14ac:dyDescent="0.2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6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1212</v>
      </c>
      <c r="AG71" t="s">
        <v>1418</v>
      </c>
      <c r="AH71" t="s">
        <v>1411</v>
      </c>
      <c r="AI71" t="s">
        <v>1217</v>
      </c>
      <c r="AJ71" t="s">
        <v>1423</v>
      </c>
      <c r="AK71" t="s">
        <v>36</v>
      </c>
      <c r="AL71" t="s">
        <v>1421</v>
      </c>
      <c r="AM71" t="s">
        <v>36</v>
      </c>
      <c r="AO71" t="s">
        <v>1706</v>
      </c>
      <c r="AP71" t="s">
        <v>609</v>
      </c>
      <c r="AQ71" t="s">
        <v>611</v>
      </c>
      <c r="AR71" t="b">
        <v>1</v>
      </c>
    </row>
    <row r="72" spans="1:44" x14ac:dyDescent="0.2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6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1212</v>
      </c>
      <c r="AG72" t="s">
        <v>1418</v>
      </c>
      <c r="AH72" t="s">
        <v>1411</v>
      </c>
      <c r="AI72" t="s">
        <v>1217</v>
      </c>
      <c r="AJ72" t="s">
        <v>1423</v>
      </c>
      <c r="AK72" t="s">
        <v>36</v>
      </c>
      <c r="AL72" t="s">
        <v>1421</v>
      </c>
      <c r="AM72" t="s">
        <v>36</v>
      </c>
      <c r="AO72" t="s">
        <v>1707</v>
      </c>
      <c r="AP72" t="s">
        <v>580</v>
      </c>
      <c r="AQ72" t="s">
        <v>584</v>
      </c>
      <c r="AR72" t="b">
        <v>1</v>
      </c>
    </row>
    <row r="73" spans="1:44" x14ac:dyDescent="0.2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6">
        <v>44942</v>
      </c>
      <c r="M73" s="46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1831</v>
      </c>
      <c r="AF73" t="s">
        <v>1212</v>
      </c>
      <c r="AG73" t="s">
        <v>1418</v>
      </c>
      <c r="AH73" t="s">
        <v>1411</v>
      </c>
      <c r="AI73" t="s">
        <v>1217</v>
      </c>
      <c r="AJ73" t="s">
        <v>1423</v>
      </c>
      <c r="AK73" t="s">
        <v>36</v>
      </c>
      <c r="AL73" t="s">
        <v>1201</v>
      </c>
      <c r="AM73" t="s">
        <v>1849</v>
      </c>
      <c r="AN73" t="s">
        <v>1829</v>
      </c>
      <c r="AO73" t="s">
        <v>1708</v>
      </c>
      <c r="AP73" t="e">
        <v>#VALUE!</v>
      </c>
      <c r="AQ73" t="s">
        <v>1827</v>
      </c>
      <c r="AR73" t="b">
        <v>0</v>
      </c>
    </row>
    <row r="74" spans="1:44" x14ac:dyDescent="0.2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6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1212</v>
      </c>
      <c r="AG74" t="s">
        <v>1418</v>
      </c>
      <c r="AH74" t="s">
        <v>1411</v>
      </c>
      <c r="AI74" t="s">
        <v>1217</v>
      </c>
      <c r="AJ74" t="s">
        <v>1423</v>
      </c>
      <c r="AK74" t="s">
        <v>36</v>
      </c>
      <c r="AL74" t="s">
        <v>1421</v>
      </c>
      <c r="AM74" t="s">
        <v>36</v>
      </c>
      <c r="AO74" t="s">
        <v>1709</v>
      </c>
      <c r="AP74" t="s">
        <v>969</v>
      </c>
      <c r="AQ74" t="s">
        <v>973</v>
      </c>
      <c r="AR74" t="b">
        <v>1</v>
      </c>
    </row>
    <row r="75" spans="1:44" x14ac:dyDescent="0.2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6">
        <v>44410</v>
      </c>
      <c r="M75" s="46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1212</v>
      </c>
      <c r="AG75" t="s">
        <v>1418</v>
      </c>
      <c r="AH75" t="s">
        <v>1411</v>
      </c>
      <c r="AI75" t="s">
        <v>1217</v>
      </c>
      <c r="AJ75" t="s">
        <v>1423</v>
      </c>
      <c r="AK75" t="s">
        <v>36</v>
      </c>
      <c r="AL75" t="s">
        <v>1201</v>
      </c>
      <c r="AM75" t="s">
        <v>1850</v>
      </c>
      <c r="AN75" t="s">
        <v>1826</v>
      </c>
      <c r="AO75" t="s">
        <v>1709</v>
      </c>
      <c r="AP75" t="e">
        <v>#VALUE!</v>
      </c>
      <c r="AQ75" t="s">
        <v>1827</v>
      </c>
      <c r="AR75" t="b">
        <v>0</v>
      </c>
    </row>
    <row r="76" spans="1:44" x14ac:dyDescent="0.2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6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1212</v>
      </c>
      <c r="AG76" t="s">
        <v>1418</v>
      </c>
      <c r="AH76" t="s">
        <v>1411</v>
      </c>
      <c r="AI76" t="s">
        <v>1217</v>
      </c>
      <c r="AJ76" t="s">
        <v>1423</v>
      </c>
      <c r="AK76" t="s">
        <v>36</v>
      </c>
      <c r="AL76" t="s">
        <v>1421</v>
      </c>
      <c r="AM76" t="s">
        <v>36</v>
      </c>
      <c r="AO76" t="s">
        <v>1710</v>
      </c>
      <c r="AP76" t="s">
        <v>132</v>
      </c>
      <c r="AQ76" t="s">
        <v>135</v>
      </c>
      <c r="AR76" t="b">
        <v>1</v>
      </c>
    </row>
    <row r="77" spans="1:44" x14ac:dyDescent="0.2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6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1212</v>
      </c>
      <c r="AG77" t="s">
        <v>1418</v>
      </c>
      <c r="AH77" t="s">
        <v>1411</v>
      </c>
      <c r="AI77" t="s">
        <v>1217</v>
      </c>
      <c r="AJ77" t="s">
        <v>1423</v>
      </c>
      <c r="AK77" t="s">
        <v>36</v>
      </c>
      <c r="AL77" t="s">
        <v>1421</v>
      </c>
      <c r="AM77" t="s">
        <v>36</v>
      </c>
      <c r="AO77" t="s">
        <v>1711</v>
      </c>
      <c r="AP77" t="s">
        <v>852</v>
      </c>
      <c r="AQ77" t="s">
        <v>854</v>
      </c>
      <c r="AR77" t="b">
        <v>0</v>
      </c>
    </row>
    <row r="78" spans="1:44" x14ac:dyDescent="0.2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6">
        <v>36535</v>
      </c>
      <c r="N78" s="46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1212</v>
      </c>
      <c r="AG78" t="s">
        <v>1418</v>
      </c>
      <c r="AH78" t="s">
        <v>1411</v>
      </c>
      <c r="AI78" t="s">
        <v>1217</v>
      </c>
      <c r="AJ78" t="s">
        <v>1423</v>
      </c>
      <c r="AK78" t="s">
        <v>36</v>
      </c>
      <c r="AL78" t="s">
        <v>1421</v>
      </c>
      <c r="AM78" t="s">
        <v>36</v>
      </c>
      <c r="AO78" t="s">
        <v>1712</v>
      </c>
      <c r="AP78" t="s">
        <v>997</v>
      </c>
      <c r="AQ78" t="s">
        <v>1000</v>
      </c>
      <c r="AR78" t="b">
        <v>1</v>
      </c>
    </row>
    <row r="79" spans="1:44" x14ac:dyDescent="0.2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6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1212</v>
      </c>
      <c r="AG79" t="s">
        <v>1418</v>
      </c>
      <c r="AH79" t="s">
        <v>1411</v>
      </c>
      <c r="AI79" t="s">
        <v>1217</v>
      </c>
      <c r="AJ79" t="s">
        <v>1423</v>
      </c>
      <c r="AK79" t="s">
        <v>36</v>
      </c>
      <c r="AL79" t="s">
        <v>1421</v>
      </c>
      <c r="AM79" t="s">
        <v>36</v>
      </c>
      <c r="AO79" t="s">
        <v>1713</v>
      </c>
      <c r="AP79" t="s">
        <v>609</v>
      </c>
      <c r="AQ79" t="s">
        <v>611</v>
      </c>
      <c r="AR79" t="b">
        <v>1</v>
      </c>
    </row>
    <row r="80" spans="1:44" x14ac:dyDescent="0.2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6">
        <v>46153</v>
      </c>
      <c r="M80" s="46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1212</v>
      </c>
      <c r="AG80" t="s">
        <v>1418</v>
      </c>
      <c r="AH80" t="s">
        <v>1411</v>
      </c>
      <c r="AI80" t="s">
        <v>1217</v>
      </c>
      <c r="AJ80" t="s">
        <v>1423</v>
      </c>
      <c r="AK80" t="s">
        <v>36</v>
      </c>
      <c r="AL80" t="s">
        <v>1201</v>
      </c>
      <c r="AM80" t="s">
        <v>1851</v>
      </c>
      <c r="AN80" t="s">
        <v>1826</v>
      </c>
      <c r="AO80" t="s">
        <v>1714</v>
      </c>
      <c r="AP80" t="s">
        <v>617</v>
      </c>
      <c r="AQ80" t="s">
        <v>620</v>
      </c>
      <c r="AR80" t="b">
        <v>1</v>
      </c>
    </row>
    <row r="81" spans="1:44" x14ac:dyDescent="0.2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6">
        <v>46153</v>
      </c>
      <c r="M81" s="46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1212</v>
      </c>
      <c r="AG81" t="s">
        <v>1418</v>
      </c>
      <c r="AH81" t="s">
        <v>1411</v>
      </c>
      <c r="AI81" t="s">
        <v>1217</v>
      </c>
      <c r="AJ81" t="s">
        <v>1423</v>
      </c>
      <c r="AK81" t="s">
        <v>36</v>
      </c>
      <c r="AL81" t="s">
        <v>1201</v>
      </c>
      <c r="AM81" t="s">
        <v>1828</v>
      </c>
      <c r="AN81" t="s">
        <v>1829</v>
      </c>
      <c r="AO81" t="s">
        <v>1714</v>
      </c>
      <c r="AP81" t="e">
        <v>#VALUE!</v>
      </c>
      <c r="AQ81" t="s">
        <v>1827</v>
      </c>
      <c r="AR81" t="b">
        <v>0</v>
      </c>
    </row>
    <row r="82" spans="1:44" x14ac:dyDescent="0.2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6">
        <v>46153</v>
      </c>
      <c r="M82" s="46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1212</v>
      </c>
      <c r="AG82" t="s">
        <v>1418</v>
      </c>
      <c r="AH82" t="s">
        <v>1411</v>
      </c>
      <c r="AI82" t="s">
        <v>1217</v>
      </c>
      <c r="AJ82" t="s">
        <v>1423</v>
      </c>
      <c r="AK82" t="s">
        <v>36</v>
      </c>
      <c r="AL82" t="s">
        <v>1201</v>
      </c>
      <c r="AM82" t="s">
        <v>1828</v>
      </c>
      <c r="AN82" t="s">
        <v>1829</v>
      </c>
      <c r="AO82" t="s">
        <v>1714</v>
      </c>
      <c r="AP82" t="e">
        <v>#VALUE!</v>
      </c>
      <c r="AQ82" t="s">
        <v>1827</v>
      </c>
      <c r="AR82" t="b">
        <v>0</v>
      </c>
    </row>
    <row r="83" spans="1:44" x14ac:dyDescent="0.2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6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1212</v>
      </c>
      <c r="AG83" t="s">
        <v>1418</v>
      </c>
      <c r="AH83" t="s">
        <v>1411</v>
      </c>
      <c r="AI83" t="s">
        <v>1217</v>
      </c>
      <c r="AJ83" t="s">
        <v>1423</v>
      </c>
      <c r="AK83" t="s">
        <v>36</v>
      </c>
      <c r="AL83" t="s">
        <v>1421</v>
      </c>
      <c r="AM83" t="s">
        <v>36</v>
      </c>
      <c r="AO83" t="s">
        <v>1715</v>
      </c>
      <c r="AP83" t="s">
        <v>997</v>
      </c>
      <c r="AQ83" t="s">
        <v>1000</v>
      </c>
      <c r="AR83" t="b">
        <v>1</v>
      </c>
    </row>
    <row r="84" spans="1:44" x14ac:dyDescent="0.2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6">
        <v>46153</v>
      </c>
      <c r="M84" s="46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1212</v>
      </c>
      <c r="AG84" t="s">
        <v>1418</v>
      </c>
      <c r="AH84" t="s">
        <v>1411</v>
      </c>
      <c r="AI84" t="s">
        <v>1217</v>
      </c>
      <c r="AJ84" t="s">
        <v>1423</v>
      </c>
      <c r="AK84" t="s">
        <v>36</v>
      </c>
      <c r="AL84" t="s">
        <v>1201</v>
      </c>
      <c r="AM84" t="s">
        <v>1852</v>
      </c>
      <c r="AN84" t="s">
        <v>1829</v>
      </c>
      <c r="AO84" t="s">
        <v>1716</v>
      </c>
      <c r="AP84" t="s">
        <v>462</v>
      </c>
      <c r="AQ84" t="s">
        <v>466</v>
      </c>
      <c r="AR84" t="b">
        <v>1</v>
      </c>
    </row>
    <row r="85" spans="1:44" x14ac:dyDescent="0.2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6">
        <v>46153</v>
      </c>
      <c r="M85" s="46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1212</v>
      </c>
      <c r="AG85" t="s">
        <v>1418</v>
      </c>
      <c r="AH85" t="s">
        <v>1411</v>
      </c>
      <c r="AI85" t="s">
        <v>1217</v>
      </c>
      <c r="AJ85" t="s">
        <v>1423</v>
      </c>
      <c r="AK85" t="s">
        <v>36</v>
      </c>
      <c r="AL85" t="s">
        <v>1201</v>
      </c>
      <c r="AM85" t="s">
        <v>1836</v>
      </c>
      <c r="AN85" t="s">
        <v>1829</v>
      </c>
      <c r="AO85" t="s">
        <v>1717</v>
      </c>
      <c r="AP85" t="s">
        <v>997</v>
      </c>
      <c r="AQ85" t="s">
        <v>1000</v>
      </c>
      <c r="AR85" t="b">
        <v>1</v>
      </c>
    </row>
    <row r="86" spans="1:44" x14ac:dyDescent="0.2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6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1212</v>
      </c>
      <c r="AG86" t="s">
        <v>1418</v>
      </c>
      <c r="AH86" t="s">
        <v>1411</v>
      </c>
      <c r="AI86" t="s">
        <v>1217</v>
      </c>
      <c r="AJ86" t="s">
        <v>1423</v>
      </c>
      <c r="AK86" t="s">
        <v>36</v>
      </c>
      <c r="AL86" t="s">
        <v>1421</v>
      </c>
      <c r="AM86" t="s">
        <v>36</v>
      </c>
      <c r="AO86" t="s">
        <v>1718</v>
      </c>
      <c r="AP86" t="s">
        <v>609</v>
      </c>
      <c r="AQ86" t="s">
        <v>611</v>
      </c>
      <c r="AR86" t="b">
        <v>1</v>
      </c>
    </row>
    <row r="87" spans="1:44" x14ac:dyDescent="0.2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6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1212</v>
      </c>
      <c r="AG87" t="s">
        <v>1418</v>
      </c>
      <c r="AH87" t="s">
        <v>1411</v>
      </c>
      <c r="AI87" t="s">
        <v>1217</v>
      </c>
      <c r="AJ87" t="s">
        <v>1423</v>
      </c>
      <c r="AK87" t="s">
        <v>36</v>
      </c>
      <c r="AL87" t="s">
        <v>1421</v>
      </c>
      <c r="AM87" t="s">
        <v>36</v>
      </c>
      <c r="AO87" t="s">
        <v>1719</v>
      </c>
      <c r="AP87" t="s">
        <v>903</v>
      </c>
      <c r="AQ87" t="s">
        <v>907</v>
      </c>
      <c r="AR87" t="b">
        <v>1</v>
      </c>
    </row>
    <row r="88" spans="1:44" x14ac:dyDescent="0.2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6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1212</v>
      </c>
      <c r="AG88" t="s">
        <v>1418</v>
      </c>
      <c r="AH88" t="s">
        <v>1411</v>
      </c>
      <c r="AI88" t="s">
        <v>1217</v>
      </c>
      <c r="AJ88" t="s">
        <v>1423</v>
      </c>
      <c r="AK88" t="s">
        <v>36</v>
      </c>
      <c r="AL88" t="s">
        <v>1421</v>
      </c>
      <c r="AM88" t="s">
        <v>36</v>
      </c>
      <c r="AO88" t="s">
        <v>1720</v>
      </c>
      <c r="AP88" t="s">
        <v>154</v>
      </c>
      <c r="AQ88" t="s">
        <v>160</v>
      </c>
      <c r="AR88" t="b">
        <v>1</v>
      </c>
    </row>
    <row r="89" spans="1:44" x14ac:dyDescent="0.2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6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1212</v>
      </c>
      <c r="AG89" t="s">
        <v>1418</v>
      </c>
      <c r="AH89" t="s">
        <v>1411</v>
      </c>
      <c r="AI89" t="s">
        <v>1217</v>
      </c>
      <c r="AJ89" t="s">
        <v>1423</v>
      </c>
      <c r="AK89" t="s">
        <v>36</v>
      </c>
      <c r="AL89" t="s">
        <v>1421</v>
      </c>
      <c r="AM89" t="s">
        <v>36</v>
      </c>
      <c r="AO89" t="s">
        <v>1721</v>
      </c>
      <c r="AP89" t="s">
        <v>903</v>
      </c>
      <c r="AQ89" t="s">
        <v>907</v>
      </c>
      <c r="AR89" t="b">
        <v>1</v>
      </c>
    </row>
    <row r="90" spans="1:44" x14ac:dyDescent="0.2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6">
        <v>45840</v>
      </c>
      <c r="M90" s="46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1212</v>
      </c>
      <c r="AG90" t="s">
        <v>1418</v>
      </c>
      <c r="AH90" t="s">
        <v>1411</v>
      </c>
      <c r="AI90" t="s">
        <v>1217</v>
      </c>
      <c r="AJ90" t="s">
        <v>1423</v>
      </c>
      <c r="AK90" t="s">
        <v>36</v>
      </c>
      <c r="AL90" t="s">
        <v>1201</v>
      </c>
      <c r="AM90" t="s">
        <v>1853</v>
      </c>
      <c r="AN90" t="s">
        <v>1826</v>
      </c>
      <c r="AO90" t="s">
        <v>1722</v>
      </c>
      <c r="AP90" t="s">
        <v>969</v>
      </c>
      <c r="AQ90" t="s">
        <v>973</v>
      </c>
      <c r="AR90" t="b">
        <v>1</v>
      </c>
    </row>
    <row r="91" spans="1:44" x14ac:dyDescent="0.2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6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1212</v>
      </c>
      <c r="AG91" t="s">
        <v>1418</v>
      </c>
      <c r="AH91" t="s">
        <v>1411</v>
      </c>
      <c r="AI91" t="s">
        <v>1217</v>
      </c>
      <c r="AJ91" t="s">
        <v>1423</v>
      </c>
      <c r="AK91" t="s">
        <v>36</v>
      </c>
      <c r="AL91" t="s">
        <v>1421</v>
      </c>
      <c r="AM91" t="s">
        <v>36</v>
      </c>
      <c r="AO91" t="s">
        <v>1722</v>
      </c>
      <c r="AP91" t="s">
        <v>154</v>
      </c>
      <c r="AQ91" t="s">
        <v>160</v>
      </c>
      <c r="AR91" t="b">
        <v>1</v>
      </c>
    </row>
    <row r="92" spans="1:44" x14ac:dyDescent="0.2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6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1831</v>
      </c>
      <c r="AF92" t="s">
        <v>1212</v>
      </c>
      <c r="AG92" t="s">
        <v>1418</v>
      </c>
      <c r="AH92" t="s">
        <v>1411</v>
      </c>
      <c r="AI92" t="s">
        <v>1217</v>
      </c>
      <c r="AJ92" t="s">
        <v>1423</v>
      </c>
      <c r="AK92" t="s">
        <v>36</v>
      </c>
      <c r="AL92" t="s">
        <v>1421</v>
      </c>
      <c r="AM92" t="s">
        <v>36</v>
      </c>
      <c r="AO92" t="s">
        <v>1723</v>
      </c>
      <c r="AP92" t="s">
        <v>580</v>
      </c>
      <c r="AQ92" t="s">
        <v>584</v>
      </c>
      <c r="AR92" t="b">
        <v>0</v>
      </c>
    </row>
    <row r="93" spans="1:44" x14ac:dyDescent="0.2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6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1212</v>
      </c>
      <c r="AG93" t="s">
        <v>1418</v>
      </c>
      <c r="AH93" t="s">
        <v>1411</v>
      </c>
      <c r="AI93" t="s">
        <v>1217</v>
      </c>
      <c r="AJ93" t="s">
        <v>1423</v>
      </c>
      <c r="AK93" t="s">
        <v>36</v>
      </c>
      <c r="AL93" t="s">
        <v>1421</v>
      </c>
      <c r="AM93" t="s">
        <v>36</v>
      </c>
      <c r="AO93" t="s">
        <v>1724</v>
      </c>
      <c r="AP93" t="s">
        <v>310</v>
      </c>
      <c r="AQ93" t="s">
        <v>313</v>
      </c>
      <c r="AR93" t="b">
        <v>1</v>
      </c>
    </row>
    <row r="94" spans="1:44" x14ac:dyDescent="0.2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6">
        <v>34869</v>
      </c>
      <c r="M94" s="46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1212</v>
      </c>
      <c r="AG94" t="s">
        <v>1418</v>
      </c>
      <c r="AH94" t="s">
        <v>1411</v>
      </c>
      <c r="AI94" t="s">
        <v>1217</v>
      </c>
      <c r="AJ94" t="s">
        <v>1423</v>
      </c>
      <c r="AK94" t="s">
        <v>36</v>
      </c>
      <c r="AL94" t="s">
        <v>1201</v>
      </c>
      <c r="AM94" t="s">
        <v>1853</v>
      </c>
      <c r="AN94" t="s">
        <v>1826</v>
      </c>
      <c r="AO94" t="s">
        <v>1724</v>
      </c>
      <c r="AP94" t="s">
        <v>154</v>
      </c>
      <c r="AQ94" t="s">
        <v>160</v>
      </c>
      <c r="AR94" t="b">
        <v>1</v>
      </c>
    </row>
    <row r="95" spans="1:44" x14ac:dyDescent="0.2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6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1212</v>
      </c>
      <c r="AG95" t="s">
        <v>1418</v>
      </c>
      <c r="AH95" t="s">
        <v>1411</v>
      </c>
      <c r="AI95" t="s">
        <v>1217</v>
      </c>
      <c r="AJ95" t="s">
        <v>1423</v>
      </c>
      <c r="AK95" t="s">
        <v>36</v>
      </c>
      <c r="AL95" t="s">
        <v>1421</v>
      </c>
      <c r="AM95" t="s">
        <v>36</v>
      </c>
      <c r="AO95" t="s">
        <v>1725</v>
      </c>
      <c r="AP95" t="s">
        <v>852</v>
      </c>
      <c r="AQ95" t="s">
        <v>854</v>
      </c>
      <c r="AR95" t="b">
        <v>0</v>
      </c>
    </row>
    <row r="96" spans="1:44" x14ac:dyDescent="0.2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6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1212</v>
      </c>
      <c r="AG96" t="s">
        <v>1418</v>
      </c>
      <c r="AH96" t="s">
        <v>1411</v>
      </c>
      <c r="AI96" t="s">
        <v>1217</v>
      </c>
      <c r="AJ96" t="s">
        <v>1423</v>
      </c>
      <c r="AK96" t="s">
        <v>36</v>
      </c>
      <c r="AL96" t="s">
        <v>1421</v>
      </c>
      <c r="AM96" t="s">
        <v>36</v>
      </c>
      <c r="AO96" t="s">
        <v>1726</v>
      </c>
      <c r="AP96" t="s">
        <v>1630</v>
      </c>
      <c r="AQ96" t="s">
        <v>1827</v>
      </c>
      <c r="AR96" t="b">
        <v>0</v>
      </c>
    </row>
    <row r="97" spans="1:44" x14ac:dyDescent="0.2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6">
        <v>46190</v>
      </c>
      <c r="M97" s="46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1212</v>
      </c>
      <c r="AG97" t="s">
        <v>1418</v>
      </c>
      <c r="AH97" t="s">
        <v>1411</v>
      </c>
      <c r="AI97" t="s">
        <v>1217</v>
      </c>
      <c r="AJ97" t="s">
        <v>1423</v>
      </c>
      <c r="AK97" t="s">
        <v>36</v>
      </c>
      <c r="AL97" t="s">
        <v>1201</v>
      </c>
      <c r="AM97" t="s">
        <v>1854</v>
      </c>
      <c r="AN97" t="s">
        <v>1829</v>
      </c>
      <c r="AO97" t="s">
        <v>1727</v>
      </c>
      <c r="AP97" t="e">
        <v>#VALUE!</v>
      </c>
      <c r="AQ97" t="s">
        <v>1827</v>
      </c>
      <c r="AR97" t="b">
        <v>0</v>
      </c>
    </row>
    <row r="98" spans="1:44" x14ac:dyDescent="0.2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6">
        <v>46053</v>
      </c>
      <c r="M98" s="46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1830</v>
      </c>
      <c r="AE98" t="s">
        <v>1831</v>
      </c>
      <c r="AF98" t="s">
        <v>1832</v>
      </c>
      <c r="AG98" t="s">
        <v>1832</v>
      </c>
      <c r="AH98" t="s">
        <v>1411</v>
      </c>
      <c r="AI98" t="s">
        <v>1833</v>
      </c>
      <c r="AJ98" t="s">
        <v>1834</v>
      </c>
      <c r="AK98" t="s">
        <v>36</v>
      </c>
      <c r="AL98" t="s">
        <v>1201</v>
      </c>
      <c r="AM98" t="s">
        <v>1855</v>
      </c>
      <c r="AN98" t="s">
        <v>1826</v>
      </c>
      <c r="AO98" t="s">
        <v>1728</v>
      </c>
      <c r="AP98" t="e">
        <v>#VALUE!</v>
      </c>
      <c r="AQ98" t="s">
        <v>1827</v>
      </c>
      <c r="AR98" t="b">
        <v>0</v>
      </c>
    </row>
    <row r="99" spans="1:44" x14ac:dyDescent="0.2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6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1212</v>
      </c>
      <c r="AG99" t="s">
        <v>1418</v>
      </c>
      <c r="AH99" t="s">
        <v>1411</v>
      </c>
      <c r="AI99" t="s">
        <v>1217</v>
      </c>
      <c r="AJ99" t="s">
        <v>1423</v>
      </c>
      <c r="AK99" t="s">
        <v>36</v>
      </c>
      <c r="AL99" t="s">
        <v>1421</v>
      </c>
      <c r="AM99" t="s">
        <v>36</v>
      </c>
      <c r="AO99" t="s">
        <v>1729</v>
      </c>
      <c r="AP99" t="s">
        <v>969</v>
      </c>
      <c r="AQ99" t="s">
        <v>973</v>
      </c>
      <c r="AR99" t="b">
        <v>1</v>
      </c>
    </row>
    <row r="100" spans="1:44" x14ac:dyDescent="0.2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6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1212</v>
      </c>
      <c r="AG100" t="s">
        <v>1418</v>
      </c>
      <c r="AH100" t="s">
        <v>1411</v>
      </c>
      <c r="AI100" t="s">
        <v>1217</v>
      </c>
      <c r="AJ100" t="s">
        <v>1423</v>
      </c>
      <c r="AK100" t="s">
        <v>36</v>
      </c>
      <c r="AL100" t="s">
        <v>1421</v>
      </c>
      <c r="AM100" t="s">
        <v>36</v>
      </c>
      <c r="AO100" t="s">
        <v>1730</v>
      </c>
      <c r="AP100" t="s">
        <v>580</v>
      </c>
      <c r="AQ100" t="s">
        <v>584</v>
      </c>
      <c r="AR100" t="b">
        <v>1</v>
      </c>
    </row>
    <row r="101" spans="1:44" x14ac:dyDescent="0.2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6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1212</v>
      </c>
      <c r="AG101" t="s">
        <v>1418</v>
      </c>
      <c r="AH101" t="s">
        <v>1411</v>
      </c>
      <c r="AI101" t="s">
        <v>1217</v>
      </c>
      <c r="AJ101" t="s">
        <v>1423</v>
      </c>
      <c r="AK101" t="s">
        <v>36</v>
      </c>
      <c r="AL101" t="s">
        <v>1421</v>
      </c>
      <c r="AM101" t="s">
        <v>36</v>
      </c>
      <c r="AO101" t="s">
        <v>1731</v>
      </c>
      <c r="AP101" t="s">
        <v>609</v>
      </c>
      <c r="AQ101" t="s">
        <v>611</v>
      </c>
      <c r="AR101" t="b">
        <v>1</v>
      </c>
    </row>
    <row r="102" spans="1:44" x14ac:dyDescent="0.2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6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1830</v>
      </c>
      <c r="AE102" t="s">
        <v>1831</v>
      </c>
      <c r="AF102" t="s">
        <v>1212</v>
      </c>
      <c r="AG102" t="s">
        <v>1418</v>
      </c>
      <c r="AH102" t="s">
        <v>1856</v>
      </c>
      <c r="AI102" t="s">
        <v>1857</v>
      </c>
      <c r="AJ102" t="s">
        <v>1834</v>
      </c>
      <c r="AK102" t="s">
        <v>36</v>
      </c>
      <c r="AL102" t="s">
        <v>1421</v>
      </c>
      <c r="AM102" t="s">
        <v>36</v>
      </c>
      <c r="AO102" t="s">
        <v>1732</v>
      </c>
      <c r="AP102" t="s">
        <v>903</v>
      </c>
      <c r="AQ102" t="s">
        <v>907</v>
      </c>
      <c r="AR102" t="b">
        <v>1</v>
      </c>
    </row>
    <row r="103" spans="1:44" x14ac:dyDescent="0.2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6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1212</v>
      </c>
      <c r="AG103" t="s">
        <v>1418</v>
      </c>
      <c r="AH103" t="s">
        <v>1411</v>
      </c>
      <c r="AI103" t="s">
        <v>1217</v>
      </c>
      <c r="AJ103" t="s">
        <v>1423</v>
      </c>
      <c r="AK103" t="s">
        <v>36</v>
      </c>
      <c r="AL103" t="s">
        <v>1421</v>
      </c>
      <c r="AM103" t="s">
        <v>36</v>
      </c>
      <c r="AO103" t="s">
        <v>1733</v>
      </c>
      <c r="AP103" t="s">
        <v>860</v>
      </c>
      <c r="AQ103" t="s">
        <v>862</v>
      </c>
      <c r="AR103" t="b">
        <v>1</v>
      </c>
    </row>
    <row r="104" spans="1:44" x14ac:dyDescent="0.2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6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1212</v>
      </c>
      <c r="AG104" t="s">
        <v>1418</v>
      </c>
      <c r="AH104" t="s">
        <v>1411</v>
      </c>
      <c r="AI104" t="s">
        <v>1217</v>
      </c>
      <c r="AJ104" t="s">
        <v>1423</v>
      </c>
      <c r="AK104" t="s">
        <v>36</v>
      </c>
      <c r="AL104" t="s">
        <v>1421</v>
      </c>
      <c r="AM104" t="s">
        <v>36</v>
      </c>
      <c r="AO104" t="s">
        <v>1734</v>
      </c>
      <c r="AP104" t="s">
        <v>1028</v>
      </c>
      <c r="AQ104" t="s">
        <v>1031</v>
      </c>
      <c r="AR104" t="b">
        <v>1</v>
      </c>
    </row>
    <row r="105" spans="1:44" x14ac:dyDescent="0.2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6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1212</v>
      </c>
      <c r="AG105" t="s">
        <v>1418</v>
      </c>
      <c r="AH105" t="s">
        <v>1411</v>
      </c>
      <c r="AI105" t="s">
        <v>1217</v>
      </c>
      <c r="AJ105" t="s">
        <v>1423</v>
      </c>
      <c r="AK105" t="s">
        <v>36</v>
      </c>
      <c r="AL105" t="s">
        <v>1421</v>
      </c>
      <c r="AM105" t="s">
        <v>36</v>
      </c>
      <c r="AO105" t="s">
        <v>1735</v>
      </c>
      <c r="AP105" t="s">
        <v>258</v>
      </c>
      <c r="AQ105" t="s">
        <v>263</v>
      </c>
      <c r="AR105" t="b">
        <v>1</v>
      </c>
    </row>
    <row r="106" spans="1:44" x14ac:dyDescent="0.2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6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1212</v>
      </c>
      <c r="AG106" t="s">
        <v>1418</v>
      </c>
      <c r="AH106" t="s">
        <v>1411</v>
      </c>
      <c r="AI106" t="s">
        <v>1217</v>
      </c>
      <c r="AJ106" t="s">
        <v>1423</v>
      </c>
      <c r="AK106" t="s">
        <v>36</v>
      </c>
      <c r="AL106" t="s">
        <v>1421</v>
      </c>
      <c r="AM106" t="s">
        <v>36</v>
      </c>
      <c r="AO106" t="s">
        <v>1736</v>
      </c>
      <c r="AP106" t="s">
        <v>154</v>
      </c>
      <c r="AQ106" t="s">
        <v>160</v>
      </c>
      <c r="AR106" t="b">
        <v>1</v>
      </c>
    </row>
    <row r="107" spans="1:44" x14ac:dyDescent="0.2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6">
        <v>45474</v>
      </c>
      <c r="M107" s="46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1831</v>
      </c>
      <c r="AF107" t="s">
        <v>1212</v>
      </c>
      <c r="AG107" t="s">
        <v>1418</v>
      </c>
      <c r="AH107" t="s">
        <v>1411</v>
      </c>
      <c r="AI107" t="s">
        <v>1217</v>
      </c>
      <c r="AJ107" t="s">
        <v>1423</v>
      </c>
      <c r="AK107" t="s">
        <v>36</v>
      </c>
      <c r="AL107" t="s">
        <v>1201</v>
      </c>
      <c r="AM107" t="s">
        <v>1838</v>
      </c>
      <c r="AN107" t="s">
        <v>1826</v>
      </c>
      <c r="AO107" t="s">
        <v>1737</v>
      </c>
      <c r="AP107" t="e">
        <v>#VALUE!</v>
      </c>
      <c r="AQ107" t="s">
        <v>1827</v>
      </c>
      <c r="AR107" t="b">
        <v>0</v>
      </c>
    </row>
    <row r="108" spans="1:44" x14ac:dyDescent="0.2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6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1212</v>
      </c>
      <c r="AG108" t="s">
        <v>1418</v>
      </c>
      <c r="AH108" t="s">
        <v>1411</v>
      </c>
      <c r="AI108" t="s">
        <v>1217</v>
      </c>
      <c r="AJ108" t="s">
        <v>1423</v>
      </c>
      <c r="AK108" t="s">
        <v>36</v>
      </c>
      <c r="AL108" t="s">
        <v>1421</v>
      </c>
      <c r="AM108" t="s">
        <v>36</v>
      </c>
      <c r="AO108" t="s">
        <v>1737</v>
      </c>
      <c r="AP108" t="s">
        <v>580</v>
      </c>
      <c r="AQ108" t="s">
        <v>584</v>
      </c>
      <c r="AR108" t="b">
        <v>1</v>
      </c>
    </row>
    <row r="109" spans="1:44" x14ac:dyDescent="0.2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6">
        <v>45442</v>
      </c>
      <c r="M109" s="46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1212</v>
      </c>
      <c r="AG109" t="s">
        <v>1418</v>
      </c>
      <c r="AH109" t="s">
        <v>1411</v>
      </c>
      <c r="AI109" t="s">
        <v>1217</v>
      </c>
      <c r="AJ109" t="s">
        <v>1423</v>
      </c>
      <c r="AK109" t="s">
        <v>36</v>
      </c>
      <c r="AL109" t="s">
        <v>1201</v>
      </c>
      <c r="AM109" t="s">
        <v>1858</v>
      </c>
      <c r="AN109" t="s">
        <v>1829</v>
      </c>
      <c r="AO109" t="s">
        <v>1738</v>
      </c>
      <c r="AP109" t="e">
        <v>#VALUE!</v>
      </c>
      <c r="AQ109" t="s">
        <v>1827</v>
      </c>
      <c r="AR109" t="b">
        <v>0</v>
      </c>
    </row>
    <row r="110" spans="1:44" x14ac:dyDescent="0.2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6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1212</v>
      </c>
      <c r="AG110" t="s">
        <v>1418</v>
      </c>
      <c r="AH110" t="s">
        <v>1411</v>
      </c>
      <c r="AI110" t="s">
        <v>1217</v>
      </c>
      <c r="AJ110" t="s">
        <v>1423</v>
      </c>
      <c r="AK110" t="s">
        <v>36</v>
      </c>
      <c r="AL110" t="s">
        <v>1421</v>
      </c>
      <c r="AM110" t="s">
        <v>36</v>
      </c>
      <c r="AO110" t="s">
        <v>1739</v>
      </c>
      <c r="AP110" t="s">
        <v>903</v>
      </c>
      <c r="AQ110" t="s">
        <v>907</v>
      </c>
      <c r="AR110" t="b">
        <v>1</v>
      </c>
    </row>
    <row r="111" spans="1:44" x14ac:dyDescent="0.2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6">
        <v>45923</v>
      </c>
      <c r="M111" s="46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1212</v>
      </c>
      <c r="AG111" t="s">
        <v>1418</v>
      </c>
      <c r="AH111" t="s">
        <v>1411</v>
      </c>
      <c r="AI111" t="s">
        <v>1217</v>
      </c>
      <c r="AJ111" t="s">
        <v>1423</v>
      </c>
      <c r="AK111" t="s">
        <v>36</v>
      </c>
      <c r="AL111" t="s">
        <v>1201</v>
      </c>
      <c r="AM111" t="s">
        <v>1828</v>
      </c>
      <c r="AN111" t="s">
        <v>1829</v>
      </c>
      <c r="AO111" t="s">
        <v>1740</v>
      </c>
      <c r="AP111" t="e">
        <v>#VALUE!</v>
      </c>
      <c r="AQ111" t="s">
        <v>1827</v>
      </c>
      <c r="AR111" t="b">
        <v>0</v>
      </c>
    </row>
    <row r="112" spans="1:44" x14ac:dyDescent="0.2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6">
        <v>45923</v>
      </c>
      <c r="M112" s="46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1212</v>
      </c>
      <c r="AG112" t="s">
        <v>1418</v>
      </c>
      <c r="AH112" t="s">
        <v>1411</v>
      </c>
      <c r="AI112" t="s">
        <v>1217</v>
      </c>
      <c r="AJ112" t="s">
        <v>1423</v>
      </c>
      <c r="AK112" t="s">
        <v>36</v>
      </c>
      <c r="AL112" t="s">
        <v>1201</v>
      </c>
      <c r="AM112" t="s">
        <v>1828</v>
      </c>
      <c r="AN112" t="s">
        <v>1829</v>
      </c>
      <c r="AO112" t="s">
        <v>1740</v>
      </c>
      <c r="AP112" t="e">
        <v>#VALUE!</v>
      </c>
      <c r="AQ112" t="s">
        <v>1827</v>
      </c>
      <c r="AR112" t="b">
        <v>0</v>
      </c>
    </row>
    <row r="113" spans="1:44" x14ac:dyDescent="0.2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6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1212</v>
      </c>
      <c r="AG113" t="s">
        <v>1418</v>
      </c>
      <c r="AH113" t="s">
        <v>1411</v>
      </c>
      <c r="AI113" t="s">
        <v>1217</v>
      </c>
      <c r="AJ113" t="s">
        <v>1423</v>
      </c>
      <c r="AK113" t="s">
        <v>36</v>
      </c>
      <c r="AL113" t="s">
        <v>1421</v>
      </c>
      <c r="AM113" t="s">
        <v>36</v>
      </c>
      <c r="AO113" t="s">
        <v>1740</v>
      </c>
      <c r="AP113" t="s">
        <v>991</v>
      </c>
      <c r="AQ113" t="s">
        <v>995</v>
      </c>
      <c r="AR113" t="b">
        <v>1</v>
      </c>
    </row>
    <row r="114" spans="1:44" x14ac:dyDescent="0.2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6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1212</v>
      </c>
      <c r="AG114" t="s">
        <v>1418</v>
      </c>
      <c r="AH114" t="s">
        <v>1411</v>
      </c>
      <c r="AI114" t="s">
        <v>1217</v>
      </c>
      <c r="AJ114" t="s">
        <v>1423</v>
      </c>
      <c r="AK114" t="s">
        <v>36</v>
      </c>
      <c r="AL114" t="s">
        <v>1421</v>
      </c>
      <c r="AM114" t="s">
        <v>36</v>
      </c>
      <c r="AO114" t="s">
        <v>1741</v>
      </c>
      <c r="AP114" t="s">
        <v>609</v>
      </c>
      <c r="AQ114" t="s">
        <v>611</v>
      </c>
      <c r="AR114" t="b">
        <v>1</v>
      </c>
    </row>
    <row r="115" spans="1:44" x14ac:dyDescent="0.2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6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1212</v>
      </c>
      <c r="AG115" t="s">
        <v>1418</v>
      </c>
      <c r="AH115" t="s">
        <v>1411</v>
      </c>
      <c r="AI115" t="s">
        <v>1217</v>
      </c>
      <c r="AJ115" t="s">
        <v>1423</v>
      </c>
      <c r="AK115" t="s">
        <v>36</v>
      </c>
      <c r="AL115" t="s">
        <v>1421</v>
      </c>
      <c r="AM115" t="s">
        <v>36</v>
      </c>
      <c r="AO115" t="s">
        <v>1742</v>
      </c>
      <c r="AP115" t="s">
        <v>997</v>
      </c>
      <c r="AQ115" t="s">
        <v>1000</v>
      </c>
      <c r="AR115" t="b">
        <v>1</v>
      </c>
    </row>
    <row r="116" spans="1:44" x14ac:dyDescent="0.2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6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1212</v>
      </c>
      <c r="AG116" t="s">
        <v>1418</v>
      </c>
      <c r="AH116" t="s">
        <v>1411</v>
      </c>
      <c r="AI116" t="s">
        <v>1217</v>
      </c>
      <c r="AJ116" t="s">
        <v>1423</v>
      </c>
      <c r="AK116" t="s">
        <v>36</v>
      </c>
      <c r="AL116" t="s">
        <v>1421</v>
      </c>
      <c r="AM116" t="s">
        <v>36</v>
      </c>
      <c r="AO116" t="s">
        <v>1743</v>
      </c>
      <c r="AP116" t="s">
        <v>258</v>
      </c>
      <c r="AQ116" t="s">
        <v>263</v>
      </c>
      <c r="AR116" t="b">
        <v>1</v>
      </c>
    </row>
    <row r="117" spans="1:44" x14ac:dyDescent="0.2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6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1212</v>
      </c>
      <c r="AG117" t="s">
        <v>1418</v>
      </c>
      <c r="AH117" t="s">
        <v>1411</v>
      </c>
      <c r="AI117" t="s">
        <v>1217</v>
      </c>
      <c r="AJ117" t="s">
        <v>1423</v>
      </c>
      <c r="AK117" t="s">
        <v>36</v>
      </c>
      <c r="AL117" t="s">
        <v>1421</v>
      </c>
      <c r="AM117" t="s">
        <v>36</v>
      </c>
      <c r="AO117" t="s">
        <v>1744</v>
      </c>
      <c r="AP117" t="s">
        <v>860</v>
      </c>
      <c r="AQ117" t="s">
        <v>862</v>
      </c>
      <c r="AR117" t="b">
        <v>1</v>
      </c>
    </row>
    <row r="118" spans="1:44" x14ac:dyDescent="0.2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6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1212</v>
      </c>
      <c r="AG118" t="s">
        <v>1418</v>
      </c>
      <c r="AH118" t="s">
        <v>1411</v>
      </c>
      <c r="AI118" t="s">
        <v>1217</v>
      </c>
      <c r="AJ118" t="s">
        <v>1423</v>
      </c>
      <c r="AK118" t="s">
        <v>36</v>
      </c>
      <c r="AL118" t="s">
        <v>1421</v>
      </c>
      <c r="AM118" t="s">
        <v>36</v>
      </c>
      <c r="AO118" t="s">
        <v>1745</v>
      </c>
      <c r="AP118" t="s">
        <v>903</v>
      </c>
      <c r="AQ118" t="s">
        <v>907</v>
      </c>
      <c r="AR118" t="b">
        <v>1</v>
      </c>
    </row>
    <row r="119" spans="1:44" x14ac:dyDescent="0.2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6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1212</v>
      </c>
      <c r="AG119" t="s">
        <v>1418</v>
      </c>
      <c r="AH119" t="s">
        <v>1411</v>
      </c>
      <c r="AI119" t="s">
        <v>1217</v>
      </c>
      <c r="AJ119" t="s">
        <v>1423</v>
      </c>
      <c r="AK119" t="s">
        <v>36</v>
      </c>
      <c r="AL119" t="s">
        <v>1421</v>
      </c>
      <c r="AM119" t="s">
        <v>36</v>
      </c>
      <c r="AO119" t="s">
        <v>1746</v>
      </c>
      <c r="AP119" t="s">
        <v>1028</v>
      </c>
      <c r="AQ119" t="s">
        <v>1031</v>
      </c>
      <c r="AR119" t="b">
        <v>1</v>
      </c>
    </row>
    <row r="120" spans="1:44" x14ac:dyDescent="0.2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6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1212</v>
      </c>
      <c r="AG120" t="s">
        <v>1418</v>
      </c>
      <c r="AH120" t="s">
        <v>1411</v>
      </c>
      <c r="AI120" t="s">
        <v>1217</v>
      </c>
      <c r="AJ120" t="s">
        <v>1423</v>
      </c>
      <c r="AK120" t="s">
        <v>36</v>
      </c>
      <c r="AL120" t="s">
        <v>1421</v>
      </c>
      <c r="AM120" t="s">
        <v>36</v>
      </c>
      <c r="AO120" t="s">
        <v>1747</v>
      </c>
      <c r="AP120" t="s">
        <v>609</v>
      </c>
      <c r="AQ120" t="s">
        <v>611</v>
      </c>
      <c r="AR120" t="b">
        <v>1</v>
      </c>
    </row>
    <row r="121" spans="1:44" x14ac:dyDescent="0.2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6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1212</v>
      </c>
      <c r="AG121" t="s">
        <v>1418</v>
      </c>
      <c r="AH121" t="s">
        <v>1411</v>
      </c>
      <c r="AI121" t="s">
        <v>1217</v>
      </c>
      <c r="AJ121" t="s">
        <v>1423</v>
      </c>
      <c r="AK121" t="s">
        <v>36</v>
      </c>
      <c r="AL121" t="s">
        <v>1421</v>
      </c>
      <c r="AM121" t="s">
        <v>36</v>
      </c>
      <c r="AO121" t="s">
        <v>1748</v>
      </c>
      <c r="AP121" t="s">
        <v>997</v>
      </c>
      <c r="AQ121" t="s">
        <v>1000</v>
      </c>
      <c r="AR121" t="b">
        <v>1</v>
      </c>
    </row>
    <row r="122" spans="1:44" x14ac:dyDescent="0.2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6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1212</v>
      </c>
      <c r="AG122" t="s">
        <v>1418</v>
      </c>
      <c r="AH122" t="s">
        <v>1411</v>
      </c>
      <c r="AI122" t="s">
        <v>1217</v>
      </c>
      <c r="AJ122" t="s">
        <v>1423</v>
      </c>
      <c r="AK122" t="s">
        <v>36</v>
      </c>
      <c r="AL122" t="s">
        <v>1421</v>
      </c>
      <c r="AM122" t="s">
        <v>36</v>
      </c>
      <c r="AO122" t="s">
        <v>1749</v>
      </c>
      <c r="AP122" t="s">
        <v>93</v>
      </c>
      <c r="AQ122" t="s">
        <v>97</v>
      </c>
      <c r="AR122" t="b">
        <v>1</v>
      </c>
    </row>
    <row r="123" spans="1:44" x14ac:dyDescent="0.2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6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1212</v>
      </c>
      <c r="AG123" t="s">
        <v>1418</v>
      </c>
      <c r="AH123" t="s">
        <v>1411</v>
      </c>
      <c r="AI123" t="s">
        <v>1217</v>
      </c>
      <c r="AJ123" t="s">
        <v>1423</v>
      </c>
      <c r="AK123" t="s">
        <v>36</v>
      </c>
      <c r="AL123" t="s">
        <v>1421</v>
      </c>
      <c r="AM123" t="s">
        <v>36</v>
      </c>
      <c r="AO123" t="s">
        <v>1750</v>
      </c>
      <c r="AP123" t="s">
        <v>852</v>
      </c>
      <c r="AQ123" t="s">
        <v>854</v>
      </c>
      <c r="AR123" t="b">
        <v>0</v>
      </c>
    </row>
    <row r="124" spans="1:44" x14ac:dyDescent="0.2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6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1212</v>
      </c>
      <c r="AG124" t="s">
        <v>1418</v>
      </c>
      <c r="AH124" t="s">
        <v>1411</v>
      </c>
      <c r="AI124" t="s">
        <v>1217</v>
      </c>
      <c r="AJ124" t="s">
        <v>1423</v>
      </c>
      <c r="AK124" t="s">
        <v>36</v>
      </c>
      <c r="AL124" t="s">
        <v>1421</v>
      </c>
      <c r="AM124" t="s">
        <v>36</v>
      </c>
      <c r="AO124" t="s">
        <v>1751</v>
      </c>
      <c r="AP124" t="s">
        <v>580</v>
      </c>
      <c r="AQ124" t="s">
        <v>584</v>
      </c>
      <c r="AR124" t="b">
        <v>1</v>
      </c>
    </row>
    <row r="125" spans="1:44" x14ac:dyDescent="0.2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6">
        <v>42835</v>
      </c>
      <c r="N125" s="46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1212</v>
      </c>
      <c r="AG125" t="s">
        <v>1418</v>
      </c>
      <c r="AH125" t="s">
        <v>1411</v>
      </c>
      <c r="AI125" t="s">
        <v>1217</v>
      </c>
      <c r="AJ125" t="s">
        <v>1423</v>
      </c>
      <c r="AK125" t="s">
        <v>36</v>
      </c>
      <c r="AL125" t="s">
        <v>1421</v>
      </c>
      <c r="AM125" t="s">
        <v>36</v>
      </c>
      <c r="AO125" t="s">
        <v>1752</v>
      </c>
      <c r="AP125" t="s">
        <v>997</v>
      </c>
      <c r="AQ125" t="s">
        <v>1000</v>
      </c>
      <c r="AR125" t="b">
        <v>1</v>
      </c>
    </row>
    <row r="126" spans="1:44" x14ac:dyDescent="0.2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6">
        <v>45141</v>
      </c>
      <c r="M126" s="46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1212</v>
      </c>
      <c r="AG126" t="s">
        <v>1418</v>
      </c>
      <c r="AH126" t="s">
        <v>1411</v>
      </c>
      <c r="AI126" t="s">
        <v>1217</v>
      </c>
      <c r="AJ126" t="s">
        <v>1423</v>
      </c>
      <c r="AK126" t="s">
        <v>36</v>
      </c>
      <c r="AL126" t="s">
        <v>1201</v>
      </c>
      <c r="AM126" t="s">
        <v>1849</v>
      </c>
      <c r="AN126" t="s">
        <v>1829</v>
      </c>
      <c r="AO126" t="s">
        <v>1753</v>
      </c>
      <c r="AP126" t="e">
        <v>#VALUE!</v>
      </c>
      <c r="AQ126" t="s">
        <v>1827</v>
      </c>
      <c r="AR126" t="b">
        <v>0</v>
      </c>
    </row>
    <row r="127" spans="1:44" x14ac:dyDescent="0.2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6">
        <v>44970</v>
      </c>
      <c r="M127" s="46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1212</v>
      </c>
      <c r="AG127" t="s">
        <v>1418</v>
      </c>
      <c r="AH127" t="s">
        <v>1411</v>
      </c>
      <c r="AI127" t="s">
        <v>1217</v>
      </c>
      <c r="AJ127" t="s">
        <v>1423</v>
      </c>
      <c r="AK127" t="s">
        <v>36</v>
      </c>
      <c r="AL127" t="s">
        <v>1201</v>
      </c>
      <c r="AM127" t="s">
        <v>1859</v>
      </c>
      <c r="AN127" t="s">
        <v>1829</v>
      </c>
      <c r="AO127" t="s">
        <v>1754</v>
      </c>
      <c r="AP127" t="e">
        <v>#VALUE!</v>
      </c>
      <c r="AQ127" t="s">
        <v>1827</v>
      </c>
      <c r="AR127" t="b">
        <v>0</v>
      </c>
    </row>
    <row r="128" spans="1:44" x14ac:dyDescent="0.2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6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1212</v>
      </c>
      <c r="AG128" t="s">
        <v>1418</v>
      </c>
      <c r="AH128" t="s">
        <v>1411</v>
      </c>
      <c r="AI128" t="s">
        <v>1217</v>
      </c>
      <c r="AJ128" t="s">
        <v>1423</v>
      </c>
      <c r="AK128" t="s">
        <v>36</v>
      </c>
      <c r="AL128" t="s">
        <v>1421</v>
      </c>
      <c r="AM128" t="s">
        <v>36</v>
      </c>
      <c r="AO128" t="s">
        <v>1755</v>
      </c>
      <c r="AP128" t="s">
        <v>860</v>
      </c>
      <c r="AQ128" t="s">
        <v>862</v>
      </c>
      <c r="AR128" t="b">
        <v>1</v>
      </c>
    </row>
    <row r="129" spans="1:44" x14ac:dyDescent="0.2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6">
        <v>46169</v>
      </c>
      <c r="M129" s="46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1212</v>
      </c>
      <c r="AG129" t="s">
        <v>1418</v>
      </c>
      <c r="AH129" t="s">
        <v>1411</v>
      </c>
      <c r="AI129" t="s">
        <v>1217</v>
      </c>
      <c r="AJ129" t="s">
        <v>1423</v>
      </c>
      <c r="AK129" t="s">
        <v>36</v>
      </c>
      <c r="AL129" t="s">
        <v>1201</v>
      </c>
      <c r="AM129" t="s">
        <v>1858</v>
      </c>
      <c r="AN129" t="s">
        <v>1826</v>
      </c>
      <c r="AO129" t="s">
        <v>1756</v>
      </c>
      <c r="AP129" t="e">
        <v>#VALUE!</v>
      </c>
      <c r="AQ129" t="s">
        <v>1827</v>
      </c>
      <c r="AR129" t="b">
        <v>0</v>
      </c>
    </row>
    <row r="130" spans="1:44" x14ac:dyDescent="0.2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6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1212</v>
      </c>
      <c r="AG130" t="s">
        <v>1418</v>
      </c>
      <c r="AH130" t="s">
        <v>1411</v>
      </c>
      <c r="AI130" t="s">
        <v>1217</v>
      </c>
      <c r="AJ130" t="s">
        <v>1423</v>
      </c>
      <c r="AK130" t="s">
        <v>36</v>
      </c>
      <c r="AL130" t="s">
        <v>1421</v>
      </c>
      <c r="AM130" t="s">
        <v>36</v>
      </c>
      <c r="AO130" t="s">
        <v>1757</v>
      </c>
      <c r="AP130" t="s">
        <v>1626</v>
      </c>
      <c r="AQ130" t="s">
        <v>1827</v>
      </c>
      <c r="AR130" t="b">
        <v>0</v>
      </c>
    </row>
    <row r="131" spans="1:44" x14ac:dyDescent="0.2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6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1212</v>
      </c>
      <c r="AG131" t="s">
        <v>1418</v>
      </c>
      <c r="AH131" t="s">
        <v>1411</v>
      </c>
      <c r="AI131" t="s">
        <v>1217</v>
      </c>
      <c r="AJ131" t="s">
        <v>1423</v>
      </c>
      <c r="AK131" t="s">
        <v>36</v>
      </c>
      <c r="AL131" t="s">
        <v>1421</v>
      </c>
      <c r="AM131" t="s">
        <v>36</v>
      </c>
      <c r="AO131" t="s">
        <v>1758</v>
      </c>
      <c r="AP131" t="s">
        <v>827</v>
      </c>
      <c r="AQ131" t="s">
        <v>830</v>
      </c>
      <c r="AR131" t="b">
        <v>1</v>
      </c>
    </row>
    <row r="132" spans="1:44" x14ac:dyDescent="0.2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6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1212</v>
      </c>
      <c r="AG132" t="s">
        <v>1418</v>
      </c>
      <c r="AH132" t="s">
        <v>1411</v>
      </c>
      <c r="AI132" t="s">
        <v>1217</v>
      </c>
      <c r="AJ132" t="s">
        <v>1423</v>
      </c>
      <c r="AK132" t="s">
        <v>36</v>
      </c>
      <c r="AL132" t="s">
        <v>1421</v>
      </c>
      <c r="AM132" t="s">
        <v>36</v>
      </c>
      <c r="AO132" t="s">
        <v>1759</v>
      </c>
      <c r="AP132" t="s">
        <v>310</v>
      </c>
      <c r="AQ132" t="s">
        <v>313</v>
      </c>
      <c r="AR132" t="b">
        <v>1</v>
      </c>
    </row>
    <row r="133" spans="1:44" x14ac:dyDescent="0.2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6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1212</v>
      </c>
      <c r="AG133" t="s">
        <v>1418</v>
      </c>
      <c r="AH133" t="s">
        <v>1411</v>
      </c>
      <c r="AI133" t="s">
        <v>1217</v>
      </c>
      <c r="AJ133" t="s">
        <v>1423</v>
      </c>
      <c r="AK133" t="s">
        <v>36</v>
      </c>
      <c r="AL133" t="s">
        <v>1421</v>
      </c>
      <c r="AM133" t="s">
        <v>36</v>
      </c>
      <c r="AO133" t="s">
        <v>1760</v>
      </c>
      <c r="AP133" t="s">
        <v>258</v>
      </c>
      <c r="AQ133" t="s">
        <v>263</v>
      </c>
      <c r="AR133" t="b">
        <v>1</v>
      </c>
    </row>
    <row r="134" spans="1:44" x14ac:dyDescent="0.2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6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1212</v>
      </c>
      <c r="AG134" t="s">
        <v>1418</v>
      </c>
      <c r="AH134" t="s">
        <v>1411</v>
      </c>
      <c r="AI134" t="s">
        <v>1217</v>
      </c>
      <c r="AJ134" t="s">
        <v>1423</v>
      </c>
      <c r="AK134" t="s">
        <v>36</v>
      </c>
      <c r="AL134" t="s">
        <v>1421</v>
      </c>
      <c r="AM134" t="s">
        <v>36</v>
      </c>
      <c r="AO134" t="s">
        <v>1761</v>
      </c>
      <c r="AP134" t="s">
        <v>903</v>
      </c>
      <c r="AQ134" t="s">
        <v>907</v>
      </c>
      <c r="AR134" t="b">
        <v>1</v>
      </c>
    </row>
    <row r="135" spans="1:44" x14ac:dyDescent="0.2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6">
        <v>46190</v>
      </c>
      <c r="M135" s="46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1212</v>
      </c>
      <c r="AG135" t="s">
        <v>1418</v>
      </c>
      <c r="AH135" t="s">
        <v>1411</v>
      </c>
      <c r="AI135" t="s">
        <v>1217</v>
      </c>
      <c r="AJ135" t="s">
        <v>1423</v>
      </c>
      <c r="AK135" t="s">
        <v>36</v>
      </c>
      <c r="AL135" t="s">
        <v>1201</v>
      </c>
      <c r="AM135" t="s">
        <v>1860</v>
      </c>
      <c r="AN135" t="s">
        <v>1829</v>
      </c>
      <c r="AO135" t="s">
        <v>1762</v>
      </c>
      <c r="AP135" t="e">
        <v>#VALUE!</v>
      </c>
      <c r="AQ135" t="s">
        <v>1827</v>
      </c>
      <c r="AR135" t="b">
        <v>0</v>
      </c>
    </row>
    <row r="136" spans="1:44" x14ac:dyDescent="0.2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6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1212</v>
      </c>
      <c r="AG136" t="s">
        <v>1418</v>
      </c>
      <c r="AH136" t="s">
        <v>1411</v>
      </c>
      <c r="AI136" t="s">
        <v>1217</v>
      </c>
      <c r="AJ136" t="s">
        <v>1423</v>
      </c>
      <c r="AK136" t="s">
        <v>36</v>
      </c>
      <c r="AL136" t="s">
        <v>1421</v>
      </c>
      <c r="AM136" t="s">
        <v>36</v>
      </c>
      <c r="AO136" t="s">
        <v>1763</v>
      </c>
      <c r="AP136" t="s">
        <v>903</v>
      </c>
      <c r="AQ136" t="s">
        <v>907</v>
      </c>
      <c r="AR136" t="b">
        <v>1</v>
      </c>
    </row>
    <row r="137" spans="1:44" x14ac:dyDescent="0.2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6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1212</v>
      </c>
      <c r="AG137" t="s">
        <v>1418</v>
      </c>
      <c r="AH137" t="s">
        <v>1411</v>
      </c>
      <c r="AI137" t="s">
        <v>1217</v>
      </c>
      <c r="AJ137" t="s">
        <v>1423</v>
      </c>
      <c r="AK137" t="s">
        <v>36</v>
      </c>
      <c r="AL137" t="s">
        <v>1421</v>
      </c>
      <c r="AM137" t="s">
        <v>36</v>
      </c>
      <c r="AO137" t="s">
        <v>1764</v>
      </c>
      <c r="AP137" t="s">
        <v>122</v>
      </c>
      <c r="AQ137" t="s">
        <v>126</v>
      </c>
      <c r="AR137" t="b">
        <v>0</v>
      </c>
    </row>
    <row r="138" spans="1:44" x14ac:dyDescent="0.2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6">
        <v>46176</v>
      </c>
      <c r="M138" s="46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1212</v>
      </c>
      <c r="AG138" t="s">
        <v>1418</v>
      </c>
      <c r="AH138" t="s">
        <v>1411</v>
      </c>
      <c r="AI138" t="s">
        <v>1217</v>
      </c>
      <c r="AJ138" t="s">
        <v>1423</v>
      </c>
      <c r="AK138" t="s">
        <v>36</v>
      </c>
      <c r="AL138" t="s">
        <v>1201</v>
      </c>
      <c r="AM138" t="s">
        <v>1861</v>
      </c>
      <c r="AN138" t="s">
        <v>1826</v>
      </c>
      <c r="AO138" t="s">
        <v>1765</v>
      </c>
      <c r="AP138" t="s">
        <v>258</v>
      </c>
      <c r="AQ138" t="s">
        <v>263</v>
      </c>
      <c r="AR138" t="b">
        <v>1</v>
      </c>
    </row>
    <row r="139" spans="1:44" x14ac:dyDescent="0.2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6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1212</v>
      </c>
      <c r="AG139" t="s">
        <v>1418</v>
      </c>
      <c r="AH139" t="s">
        <v>1411</v>
      </c>
      <c r="AI139" t="s">
        <v>1217</v>
      </c>
      <c r="AJ139" t="s">
        <v>1423</v>
      </c>
      <c r="AK139" t="s">
        <v>36</v>
      </c>
      <c r="AL139" t="s">
        <v>1421</v>
      </c>
      <c r="AM139" t="s">
        <v>36</v>
      </c>
      <c r="AO139" t="s">
        <v>1766</v>
      </c>
      <c r="AP139" t="s">
        <v>903</v>
      </c>
      <c r="AQ139" t="s">
        <v>907</v>
      </c>
      <c r="AR139" t="b">
        <v>1</v>
      </c>
    </row>
    <row r="140" spans="1:44" x14ac:dyDescent="0.2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6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1212</v>
      </c>
      <c r="AG140" t="s">
        <v>1418</v>
      </c>
      <c r="AH140" t="s">
        <v>1411</v>
      </c>
      <c r="AI140" t="s">
        <v>1217</v>
      </c>
      <c r="AJ140" t="s">
        <v>1423</v>
      </c>
      <c r="AK140" t="s">
        <v>36</v>
      </c>
      <c r="AL140" t="s">
        <v>1421</v>
      </c>
      <c r="AM140" t="s">
        <v>36</v>
      </c>
      <c r="AO140" t="s">
        <v>1767</v>
      </c>
      <c r="AP140" t="s">
        <v>122</v>
      </c>
      <c r="AQ140" t="s">
        <v>126</v>
      </c>
      <c r="AR140" t="b">
        <v>0</v>
      </c>
    </row>
    <row r="141" spans="1:44" x14ac:dyDescent="0.2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6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1212</v>
      </c>
      <c r="AG141" t="s">
        <v>1418</v>
      </c>
      <c r="AH141" t="s">
        <v>1411</v>
      </c>
      <c r="AI141" t="s">
        <v>1217</v>
      </c>
      <c r="AJ141" t="s">
        <v>1423</v>
      </c>
      <c r="AK141" t="s">
        <v>36</v>
      </c>
      <c r="AL141" t="s">
        <v>1421</v>
      </c>
      <c r="AM141" t="s">
        <v>36</v>
      </c>
      <c r="AO141" t="s">
        <v>1768</v>
      </c>
      <c r="AP141" t="s">
        <v>991</v>
      </c>
      <c r="AQ141" t="s">
        <v>995</v>
      </c>
      <c r="AR141" t="b">
        <v>1</v>
      </c>
    </row>
    <row r="142" spans="1:44" x14ac:dyDescent="0.2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6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1212</v>
      </c>
      <c r="AG142" t="s">
        <v>1418</v>
      </c>
      <c r="AH142" t="s">
        <v>1411</v>
      </c>
      <c r="AI142" t="s">
        <v>1217</v>
      </c>
      <c r="AJ142" t="s">
        <v>1423</v>
      </c>
      <c r="AK142" t="s">
        <v>36</v>
      </c>
      <c r="AL142" t="s">
        <v>1421</v>
      </c>
      <c r="AM142" t="s">
        <v>36</v>
      </c>
      <c r="AO142" t="s">
        <v>1769</v>
      </c>
      <c r="AP142" t="s">
        <v>852</v>
      </c>
      <c r="AQ142" t="s">
        <v>854</v>
      </c>
      <c r="AR142" t="b">
        <v>0</v>
      </c>
    </row>
    <row r="143" spans="1:44" x14ac:dyDescent="0.2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6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1212</v>
      </c>
      <c r="AG143" t="s">
        <v>1418</v>
      </c>
      <c r="AH143" t="s">
        <v>1411</v>
      </c>
      <c r="AI143" t="s">
        <v>1217</v>
      </c>
      <c r="AJ143" t="s">
        <v>1423</v>
      </c>
      <c r="AK143" t="s">
        <v>36</v>
      </c>
      <c r="AL143" t="s">
        <v>1421</v>
      </c>
      <c r="AM143" t="s">
        <v>36</v>
      </c>
      <c r="AO143" t="s">
        <v>1770</v>
      </c>
      <c r="AP143" t="s">
        <v>991</v>
      </c>
      <c r="AQ143" t="s">
        <v>995</v>
      </c>
      <c r="AR143" t="b">
        <v>1</v>
      </c>
    </row>
    <row r="144" spans="1:44" x14ac:dyDescent="0.2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6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1212</v>
      </c>
      <c r="AG144" t="s">
        <v>1418</v>
      </c>
      <c r="AH144" t="s">
        <v>1411</v>
      </c>
      <c r="AI144" t="s">
        <v>1217</v>
      </c>
      <c r="AJ144" t="s">
        <v>1423</v>
      </c>
      <c r="AK144" t="s">
        <v>36</v>
      </c>
      <c r="AL144" t="s">
        <v>1421</v>
      </c>
      <c r="AM144" t="s">
        <v>36</v>
      </c>
      <c r="AO144" t="s">
        <v>1771</v>
      </c>
      <c r="AP144" t="s">
        <v>852</v>
      </c>
      <c r="AQ144" t="s">
        <v>854</v>
      </c>
      <c r="AR144" t="b">
        <v>0</v>
      </c>
    </row>
    <row r="145" spans="1:44" x14ac:dyDescent="0.2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6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1212</v>
      </c>
      <c r="AG145" t="s">
        <v>1418</v>
      </c>
      <c r="AH145" t="s">
        <v>1411</v>
      </c>
      <c r="AI145" t="s">
        <v>1217</v>
      </c>
      <c r="AJ145" t="s">
        <v>1423</v>
      </c>
      <c r="AK145" t="s">
        <v>36</v>
      </c>
      <c r="AL145" t="s">
        <v>1421</v>
      </c>
      <c r="AM145" t="s">
        <v>36</v>
      </c>
      <c r="AO145" t="s">
        <v>1772</v>
      </c>
      <c r="AP145" t="s">
        <v>827</v>
      </c>
      <c r="AQ145" t="s">
        <v>830</v>
      </c>
      <c r="AR145" t="b">
        <v>1</v>
      </c>
    </row>
    <row r="146" spans="1:44" x14ac:dyDescent="0.2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6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1212</v>
      </c>
      <c r="AG146" t="s">
        <v>1418</v>
      </c>
      <c r="AH146" t="s">
        <v>1411</v>
      </c>
      <c r="AI146" t="s">
        <v>1217</v>
      </c>
      <c r="AJ146" t="s">
        <v>1423</v>
      </c>
      <c r="AK146" t="s">
        <v>36</v>
      </c>
      <c r="AL146" t="s">
        <v>1421</v>
      </c>
      <c r="AM146" t="s">
        <v>36</v>
      </c>
      <c r="AO146" t="s">
        <v>1772</v>
      </c>
      <c r="AP146" t="s">
        <v>827</v>
      </c>
      <c r="AQ146" t="s">
        <v>830</v>
      </c>
      <c r="AR146" t="b">
        <v>1</v>
      </c>
    </row>
    <row r="147" spans="1:44" x14ac:dyDescent="0.2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6">
        <v>45040</v>
      </c>
      <c r="M147" s="46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1212</v>
      </c>
      <c r="AG147" t="s">
        <v>1418</v>
      </c>
      <c r="AH147" t="s">
        <v>1411</v>
      </c>
      <c r="AI147" t="s">
        <v>1217</v>
      </c>
      <c r="AJ147" t="s">
        <v>1423</v>
      </c>
      <c r="AK147" t="s">
        <v>36</v>
      </c>
      <c r="AL147" t="s">
        <v>1201</v>
      </c>
      <c r="AM147" t="s">
        <v>1838</v>
      </c>
      <c r="AN147" t="s">
        <v>1826</v>
      </c>
      <c r="AO147" t="s">
        <v>1772</v>
      </c>
      <c r="AP147" t="e">
        <v>#VALUE!</v>
      </c>
      <c r="AQ147" t="s">
        <v>1827</v>
      </c>
      <c r="AR147" t="b">
        <v>0</v>
      </c>
    </row>
    <row r="148" spans="1:44" x14ac:dyDescent="0.2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6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1212</v>
      </c>
      <c r="AG148" t="s">
        <v>1418</v>
      </c>
      <c r="AH148" t="s">
        <v>1411</v>
      </c>
      <c r="AI148" t="s">
        <v>1217</v>
      </c>
      <c r="AJ148" t="s">
        <v>1423</v>
      </c>
      <c r="AK148" t="s">
        <v>36</v>
      </c>
      <c r="AL148" t="s">
        <v>1421</v>
      </c>
      <c r="AM148" t="s">
        <v>36</v>
      </c>
      <c r="AO148" t="s">
        <v>1773</v>
      </c>
      <c r="AP148" t="s">
        <v>410</v>
      </c>
      <c r="AQ148" t="s">
        <v>414</v>
      </c>
      <c r="AR148" t="b">
        <v>1</v>
      </c>
    </row>
    <row r="149" spans="1:44" x14ac:dyDescent="0.2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6">
        <v>33742</v>
      </c>
      <c r="M149" s="46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1212</v>
      </c>
      <c r="AG149" t="s">
        <v>1418</v>
      </c>
      <c r="AH149" t="s">
        <v>1411</v>
      </c>
      <c r="AI149" t="s">
        <v>1217</v>
      </c>
      <c r="AJ149" t="s">
        <v>1423</v>
      </c>
      <c r="AK149" t="s">
        <v>36</v>
      </c>
      <c r="AL149" t="s">
        <v>1201</v>
      </c>
      <c r="AM149" t="s">
        <v>1862</v>
      </c>
      <c r="AN149" t="s">
        <v>1829</v>
      </c>
      <c r="AO149" t="s">
        <v>1774</v>
      </c>
      <c r="AP149" t="e">
        <v>#VALUE!</v>
      </c>
      <c r="AQ149" t="s">
        <v>1827</v>
      </c>
      <c r="AR149" t="b">
        <v>0</v>
      </c>
    </row>
    <row r="150" spans="1:44" x14ac:dyDescent="0.2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6">
        <v>45755</v>
      </c>
      <c r="M150" s="46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1212</v>
      </c>
      <c r="AG150" t="s">
        <v>1418</v>
      </c>
      <c r="AH150" t="s">
        <v>1411</v>
      </c>
      <c r="AI150" t="s">
        <v>1217</v>
      </c>
      <c r="AJ150" t="s">
        <v>1423</v>
      </c>
      <c r="AK150" t="s">
        <v>36</v>
      </c>
      <c r="AL150" t="s">
        <v>1201</v>
      </c>
      <c r="AM150" t="s">
        <v>1847</v>
      </c>
      <c r="AN150" t="s">
        <v>1829</v>
      </c>
      <c r="AO150" t="s">
        <v>1775</v>
      </c>
      <c r="AP150" t="e">
        <v>#VALUE!</v>
      </c>
      <c r="AQ150" t="s">
        <v>1827</v>
      </c>
      <c r="AR150" t="b">
        <v>0</v>
      </c>
    </row>
    <row r="151" spans="1:44" x14ac:dyDescent="0.2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6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1212</v>
      </c>
      <c r="AG151" t="s">
        <v>1418</v>
      </c>
      <c r="AH151" t="s">
        <v>1411</v>
      </c>
      <c r="AI151" t="s">
        <v>1217</v>
      </c>
      <c r="AJ151" t="s">
        <v>1423</v>
      </c>
      <c r="AK151" t="s">
        <v>36</v>
      </c>
      <c r="AL151" t="s">
        <v>1421</v>
      </c>
      <c r="AM151" t="s">
        <v>36</v>
      </c>
      <c r="AO151" t="s">
        <v>1776</v>
      </c>
      <c r="AP151" t="s">
        <v>609</v>
      </c>
      <c r="AQ151" t="s">
        <v>611</v>
      </c>
      <c r="AR151" t="b">
        <v>1</v>
      </c>
    </row>
    <row r="152" spans="1:44" x14ac:dyDescent="0.2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6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1212</v>
      </c>
      <c r="AG152" t="s">
        <v>1418</v>
      </c>
      <c r="AH152" t="s">
        <v>1411</v>
      </c>
      <c r="AI152" t="s">
        <v>1217</v>
      </c>
      <c r="AJ152" t="s">
        <v>1423</v>
      </c>
      <c r="AK152" t="s">
        <v>36</v>
      </c>
      <c r="AL152" t="s">
        <v>1421</v>
      </c>
      <c r="AM152" t="s">
        <v>36</v>
      </c>
      <c r="AO152" t="s">
        <v>1777</v>
      </c>
      <c r="AP152" t="s">
        <v>609</v>
      </c>
      <c r="AQ152" t="s">
        <v>611</v>
      </c>
      <c r="AR152" t="b">
        <v>1</v>
      </c>
    </row>
    <row r="153" spans="1:44" x14ac:dyDescent="0.2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6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1212</v>
      </c>
      <c r="AG153" t="s">
        <v>1418</v>
      </c>
      <c r="AH153" t="s">
        <v>1411</v>
      </c>
      <c r="AI153" t="s">
        <v>1217</v>
      </c>
      <c r="AJ153" t="s">
        <v>1423</v>
      </c>
      <c r="AK153" t="s">
        <v>36</v>
      </c>
      <c r="AL153" t="s">
        <v>1421</v>
      </c>
      <c r="AM153" t="s">
        <v>36</v>
      </c>
      <c r="AO153" t="s">
        <v>1778</v>
      </c>
      <c r="AP153" t="s">
        <v>258</v>
      </c>
      <c r="AQ153" t="s">
        <v>263</v>
      </c>
      <c r="AR153" t="b">
        <v>1</v>
      </c>
    </row>
    <row r="154" spans="1:44" x14ac:dyDescent="0.2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6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1212</v>
      </c>
      <c r="AG154" t="s">
        <v>1418</v>
      </c>
      <c r="AH154" t="s">
        <v>1411</v>
      </c>
      <c r="AI154" t="s">
        <v>1217</v>
      </c>
      <c r="AJ154" t="s">
        <v>1423</v>
      </c>
      <c r="AK154" t="s">
        <v>36</v>
      </c>
      <c r="AL154" t="s">
        <v>1421</v>
      </c>
      <c r="AM154" t="s">
        <v>36</v>
      </c>
      <c r="AO154" t="s">
        <v>1779</v>
      </c>
      <c r="AP154" t="s">
        <v>132</v>
      </c>
      <c r="AQ154" t="s">
        <v>135</v>
      </c>
      <c r="AR154" t="b">
        <v>1</v>
      </c>
    </row>
    <row r="155" spans="1:44" x14ac:dyDescent="0.2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6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1212</v>
      </c>
      <c r="AG155" t="s">
        <v>1418</v>
      </c>
      <c r="AH155" t="s">
        <v>1411</v>
      </c>
      <c r="AI155" t="s">
        <v>1217</v>
      </c>
      <c r="AJ155" t="s">
        <v>1423</v>
      </c>
      <c r="AK155" t="s">
        <v>36</v>
      </c>
      <c r="AL155" t="s">
        <v>1421</v>
      </c>
      <c r="AM155" t="s">
        <v>36</v>
      </c>
      <c r="AO155" t="s">
        <v>1780</v>
      </c>
      <c r="AP155" t="s">
        <v>1028</v>
      </c>
      <c r="AQ155" t="s">
        <v>1031</v>
      </c>
      <c r="AR155" t="b">
        <v>1</v>
      </c>
    </row>
    <row r="156" spans="1:44" x14ac:dyDescent="0.2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6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1212</v>
      </c>
      <c r="AG156" t="s">
        <v>1418</v>
      </c>
      <c r="AH156" t="s">
        <v>1411</v>
      </c>
      <c r="AI156" t="s">
        <v>1217</v>
      </c>
      <c r="AJ156" t="s">
        <v>1423</v>
      </c>
      <c r="AK156" t="s">
        <v>36</v>
      </c>
      <c r="AL156" t="s">
        <v>1421</v>
      </c>
      <c r="AM156" t="s">
        <v>36</v>
      </c>
      <c r="AO156" t="s">
        <v>1781</v>
      </c>
      <c r="AP156" t="s">
        <v>258</v>
      </c>
      <c r="AQ156" t="s">
        <v>263</v>
      </c>
      <c r="AR156" t="b">
        <v>1</v>
      </c>
    </row>
    <row r="157" spans="1:44" x14ac:dyDescent="0.2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6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1212</v>
      </c>
      <c r="AG157" t="s">
        <v>1418</v>
      </c>
      <c r="AH157" t="s">
        <v>1411</v>
      </c>
      <c r="AI157" t="s">
        <v>1217</v>
      </c>
      <c r="AJ157" t="s">
        <v>1423</v>
      </c>
      <c r="AK157" t="s">
        <v>36</v>
      </c>
      <c r="AL157" t="s">
        <v>1421</v>
      </c>
      <c r="AM157" t="s">
        <v>36</v>
      </c>
      <c r="AO157" t="s">
        <v>1782</v>
      </c>
      <c r="AP157" t="s">
        <v>827</v>
      </c>
      <c r="AQ157" t="s">
        <v>830</v>
      </c>
      <c r="AR157" t="b">
        <v>1</v>
      </c>
    </row>
    <row r="158" spans="1:44" x14ac:dyDescent="0.2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6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1212</v>
      </c>
      <c r="AG158" t="s">
        <v>1418</v>
      </c>
      <c r="AH158" t="s">
        <v>1411</v>
      </c>
      <c r="AI158" t="s">
        <v>1217</v>
      </c>
      <c r="AJ158" t="s">
        <v>1423</v>
      </c>
      <c r="AK158" t="s">
        <v>36</v>
      </c>
      <c r="AL158" t="s">
        <v>1421</v>
      </c>
      <c r="AM158" t="s">
        <v>36</v>
      </c>
      <c r="AO158" t="s">
        <v>1783</v>
      </c>
      <c r="AP158" t="s">
        <v>580</v>
      </c>
      <c r="AQ158" t="s">
        <v>584</v>
      </c>
      <c r="AR158" t="b">
        <v>1</v>
      </c>
    </row>
    <row r="159" spans="1:44" x14ac:dyDescent="0.2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6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1212</v>
      </c>
      <c r="AG159" t="s">
        <v>1418</v>
      </c>
      <c r="AH159" t="s">
        <v>1411</v>
      </c>
      <c r="AI159" t="s">
        <v>1217</v>
      </c>
      <c r="AJ159" t="s">
        <v>1423</v>
      </c>
      <c r="AK159" t="s">
        <v>36</v>
      </c>
      <c r="AL159" t="s">
        <v>1421</v>
      </c>
      <c r="AM159" t="s">
        <v>36</v>
      </c>
      <c r="AO159" t="s">
        <v>1784</v>
      </c>
      <c r="AP159" t="s">
        <v>580</v>
      </c>
      <c r="AQ159" t="s">
        <v>584</v>
      </c>
      <c r="AR159" t="b">
        <v>1</v>
      </c>
    </row>
    <row r="160" spans="1:44" x14ac:dyDescent="0.2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6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1212</v>
      </c>
      <c r="AG160" t="s">
        <v>1418</v>
      </c>
      <c r="AH160" t="s">
        <v>1411</v>
      </c>
      <c r="AI160" t="s">
        <v>1217</v>
      </c>
      <c r="AJ160" t="s">
        <v>1423</v>
      </c>
      <c r="AK160" t="s">
        <v>36</v>
      </c>
      <c r="AL160" t="s">
        <v>1421</v>
      </c>
      <c r="AM160" t="s">
        <v>36</v>
      </c>
      <c r="AO160" t="s">
        <v>1785</v>
      </c>
      <c r="AP160" t="s">
        <v>991</v>
      </c>
      <c r="AQ160" t="s">
        <v>995</v>
      </c>
      <c r="AR160" t="b">
        <v>1</v>
      </c>
    </row>
    <row r="161" spans="1:44" x14ac:dyDescent="0.2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6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1212</v>
      </c>
      <c r="AG161" t="s">
        <v>1418</v>
      </c>
      <c r="AH161" t="s">
        <v>1411</v>
      </c>
      <c r="AI161" t="s">
        <v>1217</v>
      </c>
      <c r="AJ161" t="s">
        <v>1423</v>
      </c>
      <c r="AK161" t="s">
        <v>36</v>
      </c>
      <c r="AL161" t="s">
        <v>1421</v>
      </c>
      <c r="AM161" t="s">
        <v>36</v>
      </c>
      <c r="AO161" t="s">
        <v>1786</v>
      </c>
      <c r="AP161" t="s">
        <v>997</v>
      </c>
      <c r="AQ161" t="s">
        <v>1000</v>
      </c>
      <c r="AR161" t="b">
        <v>1</v>
      </c>
    </row>
    <row r="162" spans="1:44" x14ac:dyDescent="0.2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6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1212</v>
      </c>
      <c r="AG162" t="s">
        <v>1418</v>
      </c>
      <c r="AH162" t="s">
        <v>1411</v>
      </c>
      <c r="AI162" t="s">
        <v>1217</v>
      </c>
      <c r="AJ162" t="s">
        <v>1423</v>
      </c>
      <c r="AK162" t="s">
        <v>1863</v>
      </c>
      <c r="AL162" t="s">
        <v>1421</v>
      </c>
      <c r="AM162" t="s">
        <v>36</v>
      </c>
      <c r="AO162" t="s">
        <v>1787</v>
      </c>
      <c r="AP162" t="s">
        <v>410</v>
      </c>
      <c r="AQ162" t="s">
        <v>414</v>
      </c>
      <c r="AR162" t="b">
        <v>1</v>
      </c>
    </row>
    <row r="163" spans="1:44" x14ac:dyDescent="0.2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6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1212</v>
      </c>
      <c r="AG163" t="s">
        <v>1418</v>
      </c>
      <c r="AH163" t="s">
        <v>1411</v>
      </c>
      <c r="AI163" t="s">
        <v>1217</v>
      </c>
      <c r="AJ163" t="s">
        <v>1423</v>
      </c>
      <c r="AK163" t="s">
        <v>36</v>
      </c>
      <c r="AL163" t="s">
        <v>1421</v>
      </c>
      <c r="AM163" t="s">
        <v>36</v>
      </c>
      <c r="AO163" t="s">
        <v>1788</v>
      </c>
      <c r="AP163" t="s">
        <v>154</v>
      </c>
      <c r="AQ163" t="s">
        <v>160</v>
      </c>
      <c r="AR163" t="b">
        <v>1</v>
      </c>
    </row>
    <row r="164" spans="1:44" x14ac:dyDescent="0.2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6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1212</v>
      </c>
      <c r="AG164" t="s">
        <v>1418</v>
      </c>
      <c r="AH164" t="s">
        <v>1411</v>
      </c>
      <c r="AI164" t="s">
        <v>1217</v>
      </c>
      <c r="AJ164" t="s">
        <v>1423</v>
      </c>
      <c r="AK164" t="s">
        <v>36</v>
      </c>
      <c r="AL164" t="s">
        <v>1421</v>
      </c>
      <c r="AM164" t="s">
        <v>36</v>
      </c>
      <c r="AO164" t="s">
        <v>1789</v>
      </c>
      <c r="AP164" t="s">
        <v>609</v>
      </c>
      <c r="AQ164" t="s">
        <v>611</v>
      </c>
      <c r="AR164" t="b">
        <v>1</v>
      </c>
    </row>
    <row r="165" spans="1:44" x14ac:dyDescent="0.2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6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1212</v>
      </c>
      <c r="AG165" t="s">
        <v>1418</v>
      </c>
      <c r="AH165" t="s">
        <v>1411</v>
      </c>
      <c r="AI165" t="s">
        <v>1217</v>
      </c>
      <c r="AJ165" t="s">
        <v>1423</v>
      </c>
      <c r="AK165" t="s">
        <v>36</v>
      </c>
      <c r="AL165" t="s">
        <v>1421</v>
      </c>
      <c r="AM165" t="s">
        <v>36</v>
      </c>
      <c r="AO165" t="s">
        <v>1790</v>
      </c>
      <c r="AP165" t="s">
        <v>258</v>
      </c>
      <c r="AQ165" t="s">
        <v>263</v>
      </c>
      <c r="AR165" t="b">
        <v>1</v>
      </c>
    </row>
    <row r="166" spans="1:44" x14ac:dyDescent="0.2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6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1212</v>
      </c>
      <c r="AG166" t="s">
        <v>1418</v>
      </c>
      <c r="AH166" t="s">
        <v>1411</v>
      </c>
      <c r="AI166" t="s">
        <v>1217</v>
      </c>
      <c r="AJ166" t="s">
        <v>1423</v>
      </c>
      <c r="AK166" t="s">
        <v>36</v>
      </c>
      <c r="AL166" t="s">
        <v>1421</v>
      </c>
      <c r="AM166" t="s">
        <v>36</v>
      </c>
      <c r="AO166" t="s">
        <v>1791</v>
      </c>
      <c r="AP166" t="s">
        <v>154</v>
      </c>
      <c r="AQ166" t="s">
        <v>160</v>
      </c>
      <c r="AR166" t="b">
        <v>1</v>
      </c>
    </row>
    <row r="167" spans="1:44" x14ac:dyDescent="0.2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6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1212</v>
      </c>
      <c r="AG167" t="s">
        <v>1418</v>
      </c>
      <c r="AH167" t="s">
        <v>1411</v>
      </c>
      <c r="AI167" t="s">
        <v>1217</v>
      </c>
      <c r="AJ167" t="s">
        <v>1423</v>
      </c>
      <c r="AK167" t="s">
        <v>36</v>
      </c>
      <c r="AL167" t="s">
        <v>1421</v>
      </c>
      <c r="AM167" t="s">
        <v>36</v>
      </c>
      <c r="AO167" t="s">
        <v>1792</v>
      </c>
      <c r="AP167" t="s">
        <v>258</v>
      </c>
      <c r="AQ167" t="s">
        <v>263</v>
      </c>
      <c r="AR167" t="b">
        <v>1</v>
      </c>
    </row>
    <row r="168" spans="1:44" x14ac:dyDescent="0.2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6">
        <v>45887</v>
      </c>
      <c r="M168" s="46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1212</v>
      </c>
      <c r="AG168" t="s">
        <v>1418</v>
      </c>
      <c r="AH168" t="s">
        <v>1411</v>
      </c>
      <c r="AI168" t="s">
        <v>1217</v>
      </c>
      <c r="AJ168" t="s">
        <v>1423</v>
      </c>
      <c r="AK168" t="s">
        <v>36</v>
      </c>
      <c r="AL168" t="s">
        <v>1201</v>
      </c>
      <c r="AM168" t="s">
        <v>1864</v>
      </c>
      <c r="AN168" t="s">
        <v>1829</v>
      </c>
      <c r="AO168" t="s">
        <v>1793</v>
      </c>
      <c r="AP168" t="e">
        <v>#VALUE!</v>
      </c>
      <c r="AQ168" t="s">
        <v>1827</v>
      </c>
      <c r="AR168" t="b">
        <v>0</v>
      </c>
    </row>
    <row r="169" spans="1:44" x14ac:dyDescent="0.2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6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1212</v>
      </c>
      <c r="AG169" t="s">
        <v>1418</v>
      </c>
      <c r="AH169" t="s">
        <v>1411</v>
      </c>
      <c r="AI169" t="s">
        <v>1217</v>
      </c>
      <c r="AJ169" t="s">
        <v>1423</v>
      </c>
      <c r="AK169" t="s">
        <v>36</v>
      </c>
      <c r="AL169" t="s">
        <v>1421</v>
      </c>
      <c r="AM169" t="s">
        <v>36</v>
      </c>
      <c r="AO169" t="s">
        <v>1794</v>
      </c>
      <c r="AP169" t="s">
        <v>154</v>
      </c>
      <c r="AQ169" t="s">
        <v>160</v>
      </c>
      <c r="AR169" t="b">
        <v>1</v>
      </c>
    </row>
    <row r="170" spans="1:44" x14ac:dyDescent="0.2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6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1212</v>
      </c>
      <c r="AG170" t="s">
        <v>1418</v>
      </c>
      <c r="AH170" t="s">
        <v>1411</v>
      </c>
      <c r="AI170" t="s">
        <v>1217</v>
      </c>
      <c r="AJ170" t="s">
        <v>1423</v>
      </c>
      <c r="AK170" t="s">
        <v>36</v>
      </c>
      <c r="AL170" t="s">
        <v>1421</v>
      </c>
      <c r="AM170" t="s">
        <v>36</v>
      </c>
      <c r="AO170" t="s">
        <v>1795</v>
      </c>
      <c r="AP170" t="s">
        <v>580</v>
      </c>
      <c r="AQ170" t="s">
        <v>584</v>
      </c>
      <c r="AR170" t="b">
        <v>1</v>
      </c>
    </row>
    <row r="171" spans="1:44" x14ac:dyDescent="0.2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6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1212</v>
      </c>
      <c r="AG171" t="s">
        <v>1418</v>
      </c>
      <c r="AH171" t="s">
        <v>1411</v>
      </c>
      <c r="AI171" t="s">
        <v>1217</v>
      </c>
      <c r="AJ171" t="s">
        <v>1423</v>
      </c>
      <c r="AK171" t="s">
        <v>36</v>
      </c>
      <c r="AL171" t="s">
        <v>1421</v>
      </c>
      <c r="AM171" t="s">
        <v>36</v>
      </c>
      <c r="AO171" t="s">
        <v>1796</v>
      </c>
      <c r="AP171" t="s">
        <v>258</v>
      </c>
      <c r="AQ171" t="s">
        <v>263</v>
      </c>
      <c r="AR171" t="b">
        <v>1</v>
      </c>
    </row>
    <row r="172" spans="1:44" x14ac:dyDescent="0.2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6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1212</v>
      </c>
      <c r="AG172" t="s">
        <v>1418</v>
      </c>
      <c r="AH172" t="s">
        <v>1411</v>
      </c>
      <c r="AI172" t="s">
        <v>1217</v>
      </c>
      <c r="AJ172" t="s">
        <v>1423</v>
      </c>
      <c r="AK172" t="s">
        <v>36</v>
      </c>
      <c r="AL172" t="s">
        <v>1421</v>
      </c>
      <c r="AM172" t="s">
        <v>36</v>
      </c>
      <c r="AO172" t="s">
        <v>1797</v>
      </c>
      <c r="AP172" t="s">
        <v>258</v>
      </c>
      <c r="AQ172" t="s">
        <v>263</v>
      </c>
      <c r="AR172" t="b">
        <v>1</v>
      </c>
    </row>
    <row r="173" spans="1:44" x14ac:dyDescent="0.2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6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1212</v>
      </c>
      <c r="AG173" t="s">
        <v>1418</v>
      </c>
      <c r="AH173" t="s">
        <v>1411</v>
      </c>
      <c r="AI173" t="s">
        <v>1217</v>
      </c>
      <c r="AJ173" t="s">
        <v>1423</v>
      </c>
      <c r="AK173" t="s">
        <v>36</v>
      </c>
      <c r="AL173" t="s">
        <v>1421</v>
      </c>
      <c r="AM173" t="s">
        <v>36</v>
      </c>
      <c r="AO173" t="s">
        <v>1798</v>
      </c>
      <c r="AP173" t="s">
        <v>903</v>
      </c>
      <c r="AQ173" t="s">
        <v>907</v>
      </c>
      <c r="AR173" t="b">
        <v>1</v>
      </c>
    </row>
    <row r="174" spans="1:44" x14ac:dyDescent="0.2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6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1212</v>
      </c>
      <c r="AG174" t="s">
        <v>1418</v>
      </c>
      <c r="AH174" t="s">
        <v>1411</v>
      </c>
      <c r="AI174" t="s">
        <v>1217</v>
      </c>
      <c r="AJ174" t="s">
        <v>1423</v>
      </c>
      <c r="AK174" t="s">
        <v>36</v>
      </c>
      <c r="AL174" t="s">
        <v>1421</v>
      </c>
      <c r="AM174" t="s">
        <v>36</v>
      </c>
      <c r="AO174" t="s">
        <v>1799</v>
      </c>
      <c r="AP174" t="s">
        <v>258</v>
      </c>
      <c r="AQ174" t="s">
        <v>263</v>
      </c>
      <c r="AR174" t="b">
        <v>1</v>
      </c>
    </row>
    <row r="175" spans="1:44" x14ac:dyDescent="0.2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6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1212</v>
      </c>
      <c r="AG175" t="s">
        <v>1418</v>
      </c>
      <c r="AH175" t="s">
        <v>1411</v>
      </c>
      <c r="AI175" t="s">
        <v>1217</v>
      </c>
      <c r="AJ175" t="s">
        <v>1423</v>
      </c>
      <c r="AK175" t="s">
        <v>36</v>
      </c>
      <c r="AL175" t="s">
        <v>1421</v>
      </c>
      <c r="AM175" t="s">
        <v>36</v>
      </c>
      <c r="AO175" t="s">
        <v>1800</v>
      </c>
      <c r="AP175" t="s">
        <v>1036</v>
      </c>
      <c r="AQ175" t="s">
        <v>1040</v>
      </c>
      <c r="AR175" t="b">
        <v>1</v>
      </c>
    </row>
    <row r="176" spans="1:44" x14ac:dyDescent="0.2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6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1212</v>
      </c>
      <c r="AG176" t="s">
        <v>1418</v>
      </c>
      <c r="AH176" t="s">
        <v>1411</v>
      </c>
      <c r="AI176" t="s">
        <v>1217</v>
      </c>
      <c r="AJ176" t="s">
        <v>1423</v>
      </c>
      <c r="AK176" t="s">
        <v>36</v>
      </c>
      <c r="AL176" t="s">
        <v>1421</v>
      </c>
      <c r="AM176" t="s">
        <v>36</v>
      </c>
      <c r="AO176" t="s">
        <v>1801</v>
      </c>
      <c r="AP176" t="s">
        <v>310</v>
      </c>
      <c r="AQ176" t="s">
        <v>313</v>
      </c>
      <c r="AR176" t="b">
        <v>1</v>
      </c>
    </row>
    <row r="177" spans="1:44" x14ac:dyDescent="0.2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6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1212</v>
      </c>
      <c r="AG177" t="s">
        <v>1418</v>
      </c>
      <c r="AH177" t="s">
        <v>1411</v>
      </c>
      <c r="AI177" t="s">
        <v>1217</v>
      </c>
      <c r="AJ177" t="s">
        <v>1423</v>
      </c>
      <c r="AK177" t="s">
        <v>36</v>
      </c>
      <c r="AL177" t="s">
        <v>1421</v>
      </c>
      <c r="AM177" t="s">
        <v>36</v>
      </c>
      <c r="AO177" t="s">
        <v>1802</v>
      </c>
      <c r="AP177" t="s">
        <v>310</v>
      </c>
      <c r="AQ177" t="s">
        <v>313</v>
      </c>
      <c r="AR177" t="b">
        <v>1</v>
      </c>
    </row>
    <row r="178" spans="1:44" x14ac:dyDescent="0.2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6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1212</v>
      </c>
      <c r="AG178" t="s">
        <v>1418</v>
      </c>
      <c r="AH178" t="s">
        <v>1411</v>
      </c>
      <c r="AI178" t="s">
        <v>1217</v>
      </c>
      <c r="AJ178" t="s">
        <v>1423</v>
      </c>
      <c r="AK178" t="s">
        <v>36</v>
      </c>
      <c r="AL178" t="s">
        <v>1421</v>
      </c>
      <c r="AM178" t="s">
        <v>36</v>
      </c>
      <c r="AO178" t="s">
        <v>1803</v>
      </c>
      <c r="AP178" t="s">
        <v>132</v>
      </c>
      <c r="AQ178" t="s">
        <v>135</v>
      </c>
      <c r="AR178" t="b">
        <v>1</v>
      </c>
    </row>
    <row r="179" spans="1:44" x14ac:dyDescent="0.2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6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1212</v>
      </c>
      <c r="AG179" t="s">
        <v>1418</v>
      </c>
      <c r="AH179" t="s">
        <v>1411</v>
      </c>
      <c r="AI179" t="s">
        <v>1217</v>
      </c>
      <c r="AJ179" t="s">
        <v>1423</v>
      </c>
      <c r="AK179" t="s">
        <v>36</v>
      </c>
      <c r="AL179" t="s">
        <v>1421</v>
      </c>
      <c r="AM179" t="s">
        <v>36</v>
      </c>
      <c r="AO179" t="s">
        <v>1804</v>
      </c>
      <c r="AP179" t="s">
        <v>827</v>
      </c>
      <c r="AQ179" t="s">
        <v>830</v>
      </c>
      <c r="AR179" t="b">
        <v>1</v>
      </c>
    </row>
    <row r="180" spans="1:44" x14ac:dyDescent="0.2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6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1212</v>
      </c>
      <c r="AG180" t="s">
        <v>1418</v>
      </c>
      <c r="AH180" t="s">
        <v>1411</v>
      </c>
      <c r="AI180" t="s">
        <v>1217</v>
      </c>
      <c r="AJ180" t="s">
        <v>1423</v>
      </c>
      <c r="AK180" t="s">
        <v>36</v>
      </c>
      <c r="AL180" t="s">
        <v>1421</v>
      </c>
      <c r="AM180" t="s">
        <v>36</v>
      </c>
      <c r="AO180" t="s">
        <v>1805</v>
      </c>
      <c r="AP180" t="s">
        <v>754</v>
      </c>
      <c r="AQ180" t="s">
        <v>759</v>
      </c>
      <c r="AR180" t="b">
        <v>1</v>
      </c>
    </row>
    <row r="181" spans="1:44" x14ac:dyDescent="0.2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6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1212</v>
      </c>
      <c r="AG181" t="s">
        <v>1418</v>
      </c>
      <c r="AH181" t="s">
        <v>1411</v>
      </c>
      <c r="AI181" t="s">
        <v>1217</v>
      </c>
      <c r="AJ181" t="s">
        <v>1423</v>
      </c>
      <c r="AK181" t="s">
        <v>36</v>
      </c>
      <c r="AL181" t="s">
        <v>1421</v>
      </c>
      <c r="AM181" t="s">
        <v>36</v>
      </c>
      <c r="AO181" t="s">
        <v>1806</v>
      </c>
      <c r="AP181" t="s">
        <v>258</v>
      </c>
      <c r="AQ181" t="s">
        <v>263</v>
      </c>
      <c r="AR181" t="b">
        <v>1</v>
      </c>
    </row>
    <row r="182" spans="1:44" x14ac:dyDescent="0.2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6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1202</v>
      </c>
      <c r="AG182" t="s">
        <v>1417</v>
      </c>
      <c r="AH182" t="s">
        <v>1411</v>
      </c>
      <c r="AI182" t="s">
        <v>1217</v>
      </c>
      <c r="AJ182" t="s">
        <v>1423</v>
      </c>
      <c r="AK182" t="s">
        <v>36</v>
      </c>
      <c r="AL182" t="s">
        <v>1421</v>
      </c>
      <c r="AM182" t="s">
        <v>36</v>
      </c>
      <c r="AO182" t="s">
        <v>1807</v>
      </c>
      <c r="AP182" t="e">
        <v>#VALUE!</v>
      </c>
      <c r="AQ182" t="s">
        <v>1827</v>
      </c>
      <c r="AR182" t="b">
        <v>0</v>
      </c>
    </row>
    <row r="183" spans="1:44" x14ac:dyDescent="0.2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6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1212</v>
      </c>
      <c r="AG183" t="s">
        <v>1418</v>
      </c>
      <c r="AH183" t="s">
        <v>1411</v>
      </c>
      <c r="AI183" t="s">
        <v>1217</v>
      </c>
      <c r="AJ183" t="s">
        <v>1423</v>
      </c>
      <c r="AK183" t="s">
        <v>36</v>
      </c>
      <c r="AL183" t="s">
        <v>1421</v>
      </c>
      <c r="AM183" t="s">
        <v>36</v>
      </c>
      <c r="AO183" t="s">
        <v>1808</v>
      </c>
      <c r="AP183" t="s">
        <v>154</v>
      </c>
      <c r="AQ183" t="s">
        <v>160</v>
      </c>
      <c r="AR183" t="b">
        <v>1</v>
      </c>
    </row>
    <row r="184" spans="1:44" x14ac:dyDescent="0.2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6">
        <v>45440</v>
      </c>
      <c r="M184" s="46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1212</v>
      </c>
      <c r="AG184" t="s">
        <v>1418</v>
      </c>
      <c r="AH184" t="s">
        <v>1411</v>
      </c>
      <c r="AI184" t="s">
        <v>1217</v>
      </c>
      <c r="AJ184" t="s">
        <v>1423</v>
      </c>
      <c r="AK184" t="s">
        <v>36</v>
      </c>
      <c r="AL184" t="s">
        <v>1201</v>
      </c>
      <c r="AM184" t="s">
        <v>1838</v>
      </c>
      <c r="AN184" t="s">
        <v>1826</v>
      </c>
      <c r="AO184" t="s">
        <v>1809</v>
      </c>
      <c r="AP184" t="e">
        <v>#VALUE!</v>
      </c>
      <c r="AQ184" t="s">
        <v>1827</v>
      </c>
      <c r="AR184" t="b">
        <v>0</v>
      </c>
    </row>
    <row r="185" spans="1:44" x14ac:dyDescent="0.2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6">
        <v>45440</v>
      </c>
      <c r="M185" s="46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1212</v>
      </c>
      <c r="AG185" t="s">
        <v>1418</v>
      </c>
      <c r="AH185" t="s">
        <v>1411</v>
      </c>
      <c r="AI185" t="s">
        <v>1217</v>
      </c>
      <c r="AJ185" t="s">
        <v>1423</v>
      </c>
      <c r="AK185" t="s">
        <v>36</v>
      </c>
      <c r="AL185" t="s">
        <v>1201</v>
      </c>
      <c r="AM185" t="s">
        <v>1838</v>
      </c>
      <c r="AN185" t="s">
        <v>1829</v>
      </c>
      <c r="AO185" t="s">
        <v>1809</v>
      </c>
      <c r="AP185" t="e">
        <v>#VALUE!</v>
      </c>
      <c r="AQ185" t="s">
        <v>1827</v>
      </c>
      <c r="AR185" t="b">
        <v>0</v>
      </c>
    </row>
    <row r="186" spans="1:44" x14ac:dyDescent="0.2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6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1212</v>
      </c>
      <c r="AG186" t="s">
        <v>1418</v>
      </c>
      <c r="AH186" t="s">
        <v>1411</v>
      </c>
      <c r="AI186" t="s">
        <v>1217</v>
      </c>
      <c r="AJ186" t="s">
        <v>1423</v>
      </c>
      <c r="AK186" t="s">
        <v>36</v>
      </c>
      <c r="AL186" t="s">
        <v>1421</v>
      </c>
      <c r="AM186" t="s">
        <v>36</v>
      </c>
      <c r="AO186" t="s">
        <v>1809</v>
      </c>
      <c r="AP186" t="s">
        <v>991</v>
      </c>
      <c r="AQ186" t="s">
        <v>995</v>
      </c>
      <c r="AR186" t="b">
        <v>1</v>
      </c>
    </row>
    <row r="187" spans="1:44" x14ac:dyDescent="0.2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6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1212</v>
      </c>
      <c r="AG187" t="s">
        <v>1418</v>
      </c>
      <c r="AH187" t="s">
        <v>1411</v>
      </c>
      <c r="AI187" t="s">
        <v>1217</v>
      </c>
      <c r="AJ187" t="s">
        <v>1423</v>
      </c>
      <c r="AK187" t="s">
        <v>36</v>
      </c>
      <c r="AL187" t="s">
        <v>1421</v>
      </c>
      <c r="AM187" t="s">
        <v>36</v>
      </c>
      <c r="AO187" t="s">
        <v>1810</v>
      </c>
      <c r="AP187" t="s">
        <v>580</v>
      </c>
      <c r="AQ187" t="s">
        <v>584</v>
      </c>
      <c r="AR187" t="b">
        <v>1</v>
      </c>
    </row>
    <row r="188" spans="1:44" x14ac:dyDescent="0.2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6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1212</v>
      </c>
      <c r="AG188" t="s">
        <v>1418</v>
      </c>
      <c r="AH188" t="s">
        <v>1411</v>
      </c>
      <c r="AI188" t="s">
        <v>1217</v>
      </c>
      <c r="AJ188" t="s">
        <v>1423</v>
      </c>
      <c r="AK188" t="s">
        <v>36</v>
      </c>
      <c r="AL188" t="s">
        <v>1421</v>
      </c>
      <c r="AM188" t="s">
        <v>36</v>
      </c>
      <c r="AO188" t="s">
        <v>1811</v>
      </c>
      <c r="AP188" t="s">
        <v>969</v>
      </c>
      <c r="AQ188" t="s">
        <v>973</v>
      </c>
      <c r="AR188" t="b">
        <v>1</v>
      </c>
    </row>
    <row r="189" spans="1:44" x14ac:dyDescent="0.2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6">
        <v>46160</v>
      </c>
      <c r="M189" s="46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1212</v>
      </c>
      <c r="AG189" t="s">
        <v>1418</v>
      </c>
      <c r="AH189" t="s">
        <v>1411</v>
      </c>
      <c r="AI189" t="s">
        <v>1217</v>
      </c>
      <c r="AJ189" t="s">
        <v>1423</v>
      </c>
      <c r="AK189" t="s">
        <v>36</v>
      </c>
      <c r="AL189" t="s">
        <v>1201</v>
      </c>
      <c r="AM189" t="s">
        <v>1828</v>
      </c>
      <c r="AN189" t="s">
        <v>1829</v>
      </c>
      <c r="AO189" t="s">
        <v>1812</v>
      </c>
      <c r="AP189" t="e">
        <v>#VALUE!</v>
      </c>
      <c r="AQ189" t="s">
        <v>1827</v>
      </c>
      <c r="AR189" t="b">
        <v>0</v>
      </c>
    </row>
    <row r="190" spans="1:44" x14ac:dyDescent="0.2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6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1212</v>
      </c>
      <c r="AG190" t="s">
        <v>1418</v>
      </c>
      <c r="AH190" t="s">
        <v>1411</v>
      </c>
      <c r="AI190" t="s">
        <v>1217</v>
      </c>
      <c r="AJ190" t="s">
        <v>1423</v>
      </c>
      <c r="AK190" t="s">
        <v>36</v>
      </c>
      <c r="AL190" t="s">
        <v>1421</v>
      </c>
      <c r="AM190" t="s">
        <v>36</v>
      </c>
      <c r="AO190" t="s">
        <v>1812</v>
      </c>
      <c r="AP190" t="s">
        <v>617</v>
      </c>
      <c r="AQ190" t="s">
        <v>620</v>
      </c>
      <c r="AR190" t="b">
        <v>1</v>
      </c>
    </row>
    <row r="191" spans="1:44" x14ac:dyDescent="0.2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6">
        <v>46160</v>
      </c>
      <c r="M191" s="46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1212</v>
      </c>
      <c r="AG191" t="s">
        <v>1418</v>
      </c>
      <c r="AH191" t="s">
        <v>1411</v>
      </c>
      <c r="AI191" t="s">
        <v>1217</v>
      </c>
      <c r="AJ191" t="s">
        <v>1423</v>
      </c>
      <c r="AK191" t="s">
        <v>36</v>
      </c>
      <c r="AL191" t="s">
        <v>1201</v>
      </c>
      <c r="AM191" t="s">
        <v>1828</v>
      </c>
      <c r="AN191" t="s">
        <v>1829</v>
      </c>
      <c r="AO191" t="s">
        <v>1812</v>
      </c>
      <c r="AP191" t="e">
        <v>#VALUE!</v>
      </c>
      <c r="AQ191" t="s">
        <v>1827</v>
      </c>
      <c r="AR191" t="b">
        <v>0</v>
      </c>
    </row>
    <row r="192" spans="1:44" x14ac:dyDescent="0.2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6">
        <v>45895</v>
      </c>
      <c r="M192" s="46">
        <v>46175</v>
      </c>
      <c r="N192" s="46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1212</v>
      </c>
      <c r="AG192" t="s">
        <v>1418</v>
      </c>
      <c r="AH192" t="s">
        <v>1411</v>
      </c>
      <c r="AI192" t="s">
        <v>1217</v>
      </c>
      <c r="AJ192" t="s">
        <v>1423</v>
      </c>
      <c r="AK192" t="s">
        <v>36</v>
      </c>
      <c r="AL192" t="s">
        <v>1201</v>
      </c>
      <c r="AM192" t="s">
        <v>1838</v>
      </c>
      <c r="AN192" t="s">
        <v>1829</v>
      </c>
      <c r="AO192" t="s">
        <v>1813</v>
      </c>
      <c r="AP192" t="e">
        <v>#VALUE!</v>
      </c>
      <c r="AQ192" t="s">
        <v>1827</v>
      </c>
      <c r="AR192" t="b">
        <v>0</v>
      </c>
    </row>
    <row r="193" spans="1:44" x14ac:dyDescent="0.2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6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1212</v>
      </c>
      <c r="AG193" t="s">
        <v>1418</v>
      </c>
      <c r="AH193" t="s">
        <v>1411</v>
      </c>
      <c r="AI193" t="s">
        <v>1217</v>
      </c>
      <c r="AJ193" t="s">
        <v>1423</v>
      </c>
      <c r="AK193" t="s">
        <v>36</v>
      </c>
      <c r="AL193" t="s">
        <v>1421</v>
      </c>
      <c r="AM193" t="s">
        <v>36</v>
      </c>
      <c r="AO193" t="s">
        <v>1814</v>
      </c>
      <c r="AP193" t="s">
        <v>609</v>
      </c>
      <c r="AQ193" t="s">
        <v>611</v>
      </c>
      <c r="AR193" t="b">
        <v>1</v>
      </c>
    </row>
    <row r="194" spans="1:44" x14ac:dyDescent="0.2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6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1212</v>
      </c>
      <c r="AG194" t="s">
        <v>1418</v>
      </c>
      <c r="AH194" t="s">
        <v>1411</v>
      </c>
      <c r="AI194" t="s">
        <v>1217</v>
      </c>
      <c r="AJ194" t="s">
        <v>1423</v>
      </c>
      <c r="AK194" t="s">
        <v>36</v>
      </c>
      <c r="AL194" t="s">
        <v>1421</v>
      </c>
      <c r="AM194" t="s">
        <v>36</v>
      </c>
      <c r="AO194" t="s">
        <v>1815</v>
      </c>
      <c r="AP194" t="s">
        <v>827</v>
      </c>
      <c r="AQ194" t="s">
        <v>830</v>
      </c>
      <c r="AR194" t="b">
        <v>1</v>
      </c>
    </row>
    <row r="195" spans="1:44" x14ac:dyDescent="0.2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6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1212</v>
      </c>
      <c r="AG195" t="s">
        <v>1418</v>
      </c>
      <c r="AH195" t="s">
        <v>1411</v>
      </c>
      <c r="AI195" t="s">
        <v>1217</v>
      </c>
      <c r="AJ195" t="s">
        <v>1423</v>
      </c>
      <c r="AK195" t="s">
        <v>36</v>
      </c>
      <c r="AL195" t="s">
        <v>1421</v>
      </c>
      <c r="AM195" t="s">
        <v>36</v>
      </c>
      <c r="AO195" t="s">
        <v>1816</v>
      </c>
      <c r="AP195" t="s">
        <v>969</v>
      </c>
      <c r="AQ195" t="s">
        <v>973</v>
      </c>
      <c r="AR195" t="b">
        <v>1</v>
      </c>
    </row>
    <row r="196" spans="1:44" x14ac:dyDescent="0.2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6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1212</v>
      </c>
      <c r="AG196" t="s">
        <v>1418</v>
      </c>
      <c r="AH196" t="s">
        <v>1411</v>
      </c>
      <c r="AI196" t="s">
        <v>1217</v>
      </c>
      <c r="AJ196" t="s">
        <v>1423</v>
      </c>
      <c r="AK196" t="s">
        <v>36</v>
      </c>
      <c r="AL196" t="s">
        <v>1421</v>
      </c>
      <c r="AM196" t="s">
        <v>36</v>
      </c>
      <c r="AO196" t="s">
        <v>1817</v>
      </c>
      <c r="AP196" t="s">
        <v>580</v>
      </c>
      <c r="AQ196" t="s">
        <v>584</v>
      </c>
      <c r="AR196" t="b">
        <v>1</v>
      </c>
    </row>
    <row r="197" spans="1:44" x14ac:dyDescent="0.2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6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1212</v>
      </c>
      <c r="AG197" t="s">
        <v>1418</v>
      </c>
      <c r="AH197" t="s">
        <v>1411</v>
      </c>
      <c r="AI197" t="s">
        <v>1217</v>
      </c>
      <c r="AJ197" t="s">
        <v>1423</v>
      </c>
      <c r="AK197" t="s">
        <v>36</v>
      </c>
      <c r="AL197" t="s">
        <v>1421</v>
      </c>
      <c r="AM197" t="s">
        <v>36</v>
      </c>
      <c r="AO197" t="s">
        <v>1818</v>
      </c>
      <c r="AP197" t="s">
        <v>122</v>
      </c>
      <c r="AQ197" t="s">
        <v>126</v>
      </c>
      <c r="AR197" t="b">
        <v>0</v>
      </c>
    </row>
    <row r="198" spans="1:44" x14ac:dyDescent="0.2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6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1212</v>
      </c>
      <c r="AG198" t="s">
        <v>1418</v>
      </c>
      <c r="AH198" t="s">
        <v>1411</v>
      </c>
      <c r="AI198" t="s">
        <v>1217</v>
      </c>
      <c r="AJ198" t="s">
        <v>1423</v>
      </c>
      <c r="AK198" t="s">
        <v>36</v>
      </c>
      <c r="AL198" t="s">
        <v>1421</v>
      </c>
      <c r="AM198" t="s">
        <v>36</v>
      </c>
      <c r="AO198" t="s">
        <v>1819</v>
      </c>
      <c r="AP198" t="s">
        <v>154</v>
      </c>
      <c r="AQ198" t="s">
        <v>160</v>
      </c>
      <c r="AR198" t="b">
        <v>1</v>
      </c>
    </row>
    <row r="199" spans="1:44" x14ac:dyDescent="0.2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6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1212</v>
      </c>
      <c r="AG199" t="s">
        <v>1418</v>
      </c>
      <c r="AH199" t="s">
        <v>1411</v>
      </c>
      <c r="AI199" t="s">
        <v>1217</v>
      </c>
      <c r="AJ199" t="s">
        <v>1423</v>
      </c>
      <c r="AK199" t="s">
        <v>36</v>
      </c>
      <c r="AL199" t="s">
        <v>1421</v>
      </c>
      <c r="AM199" t="s">
        <v>36</v>
      </c>
      <c r="AO199" t="s">
        <v>1820</v>
      </c>
      <c r="AP199" t="s">
        <v>1036</v>
      </c>
      <c r="AQ199" t="s">
        <v>1040</v>
      </c>
      <c r="AR199" t="b">
        <v>1</v>
      </c>
    </row>
    <row r="200" spans="1:44" x14ac:dyDescent="0.2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6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1212</v>
      </c>
      <c r="AG200" t="s">
        <v>1418</v>
      </c>
      <c r="AH200" t="s">
        <v>1411</v>
      </c>
      <c r="AI200" t="s">
        <v>1217</v>
      </c>
      <c r="AJ200" t="s">
        <v>1423</v>
      </c>
      <c r="AK200" t="s">
        <v>36</v>
      </c>
      <c r="AL200" t="s">
        <v>1421</v>
      </c>
      <c r="AM200" t="s">
        <v>36</v>
      </c>
      <c r="AO200" t="s">
        <v>1821</v>
      </c>
      <c r="AP200" t="s">
        <v>852</v>
      </c>
      <c r="AQ200" t="s">
        <v>854</v>
      </c>
      <c r="AR200" t="b">
        <v>0</v>
      </c>
    </row>
    <row r="201" spans="1:44" x14ac:dyDescent="0.2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6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1212</v>
      </c>
      <c r="AG201" t="s">
        <v>1418</v>
      </c>
      <c r="AH201" t="s">
        <v>1411</v>
      </c>
      <c r="AI201" t="s">
        <v>1217</v>
      </c>
      <c r="AJ201" t="s">
        <v>1423</v>
      </c>
      <c r="AK201" t="s">
        <v>36</v>
      </c>
      <c r="AL201" t="s">
        <v>1421</v>
      </c>
      <c r="AM201" t="s">
        <v>36</v>
      </c>
      <c r="AO201" t="s">
        <v>1822</v>
      </c>
      <c r="AP201" t="s">
        <v>609</v>
      </c>
      <c r="AQ201" t="s">
        <v>611</v>
      </c>
      <c r="AR201" t="b">
        <v>1</v>
      </c>
    </row>
    <row r="202" spans="1:44" x14ac:dyDescent="0.2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6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1212</v>
      </c>
      <c r="AG202" t="s">
        <v>1418</v>
      </c>
      <c r="AH202" t="s">
        <v>1411</v>
      </c>
      <c r="AI202" t="s">
        <v>1217</v>
      </c>
      <c r="AJ202" t="s">
        <v>1423</v>
      </c>
      <c r="AK202" t="s">
        <v>36</v>
      </c>
      <c r="AL202" t="s">
        <v>1421</v>
      </c>
      <c r="AM202" t="s">
        <v>36</v>
      </c>
      <c r="AO202" t="s">
        <v>1823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6"/>
  <sheetViews>
    <sheetView workbookViewId="0">
      <selection activeCell="B7" sqref="B7"/>
    </sheetView>
  </sheetViews>
  <sheetFormatPr baseColWidth="10" defaultRowHeight="15" x14ac:dyDescent="0.2"/>
  <cols>
    <col min="1" max="1" width="17.6640625" customWidth="1"/>
  </cols>
  <sheetData>
    <row r="1" spans="1:2" x14ac:dyDescent="0.2">
      <c r="A1" s="43" t="s">
        <v>20</v>
      </c>
      <c r="B1" s="18" t="s">
        <v>1431</v>
      </c>
    </row>
    <row r="2" spans="1:2" x14ac:dyDescent="0.2">
      <c r="A2" s="45" t="s">
        <v>43</v>
      </c>
      <c r="B2" s="18" t="s">
        <v>1421</v>
      </c>
    </row>
    <row r="3" spans="1:2" x14ac:dyDescent="0.2">
      <c r="A3" s="44" t="s">
        <v>87</v>
      </c>
      <c r="B3" s="18" t="s">
        <v>1201</v>
      </c>
    </row>
    <row r="4" spans="1:2" x14ac:dyDescent="0.2">
      <c r="A4" s="6" t="s">
        <v>445</v>
      </c>
      <c r="B4" s="18" t="s">
        <v>1201</v>
      </c>
    </row>
    <row r="5" spans="1:2" x14ac:dyDescent="0.2">
      <c r="A5" s="6" t="s">
        <v>594</v>
      </c>
      <c r="B5" s="18" t="s">
        <v>1421</v>
      </c>
    </row>
    <row r="6" spans="1:2" x14ac:dyDescent="0.2">
      <c r="A6" s="34" t="s">
        <v>2043</v>
      </c>
      <c r="B6" s="18" t="s">
        <v>1201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3"/>
  <sheetViews>
    <sheetView zoomScale="170" zoomScaleNormal="170" workbookViewId="0">
      <selection activeCell="G14" sqref="G14"/>
    </sheetView>
  </sheetViews>
  <sheetFormatPr baseColWidth="10" defaultRowHeight="15" x14ac:dyDescent="0.2"/>
  <cols>
    <col min="1" max="1" width="32.6640625" bestFit="1" customWidth="1"/>
    <col min="2" max="2" width="11" bestFit="1" customWidth="1"/>
    <col min="3" max="3" width="14.33203125" bestFit="1" customWidth="1"/>
    <col min="4" max="4" width="13.83203125" bestFit="1" customWidth="1"/>
    <col min="5" max="5" width="22" bestFit="1" customWidth="1"/>
  </cols>
  <sheetData>
    <row r="1" spans="1:5" ht="16" x14ac:dyDescent="0.25">
      <c r="A1" s="17" t="s">
        <v>31</v>
      </c>
      <c r="B1" s="37" t="s">
        <v>1410</v>
      </c>
      <c r="C1" s="50" t="s">
        <v>1597</v>
      </c>
      <c r="D1" s="50" t="s">
        <v>1598</v>
      </c>
      <c r="E1" s="50" t="s">
        <v>1595</v>
      </c>
    </row>
    <row r="2" spans="1:5" ht="16" x14ac:dyDescent="0.25">
      <c r="A2" s="10" t="s">
        <v>52</v>
      </c>
      <c r="B2" s="18" t="s">
        <v>1411</v>
      </c>
      <c r="C2" s="51" t="s">
        <v>1605</v>
      </c>
      <c r="D2" s="50" t="s">
        <v>1423</v>
      </c>
      <c r="E2" s="51" t="s">
        <v>1606</v>
      </c>
    </row>
    <row r="3" spans="1:5" ht="16" x14ac:dyDescent="0.25">
      <c r="A3" t="s">
        <v>2053</v>
      </c>
      <c r="B3" s="18" t="s">
        <v>1583</v>
      </c>
      <c r="C3" s="51" t="s">
        <v>1607</v>
      </c>
      <c r="D3" s="50" t="s">
        <v>1608</v>
      </c>
      <c r="E3" s="51" t="s">
        <v>1609</v>
      </c>
    </row>
    <row r="4" spans="1:5" ht="16" x14ac:dyDescent="0.25">
      <c r="A4" t="s">
        <v>2146</v>
      </c>
      <c r="B4" s="18" t="s">
        <v>1631</v>
      </c>
      <c r="C4" s="51" t="s">
        <v>1632</v>
      </c>
      <c r="D4" s="50" t="s">
        <v>1633</v>
      </c>
      <c r="E4" s="51" t="s">
        <v>1634</v>
      </c>
    </row>
    <row r="5" spans="1:5" ht="16" x14ac:dyDescent="0.25">
      <c r="A5" t="s">
        <v>2164</v>
      </c>
      <c r="B5" s="18" t="s">
        <v>3005</v>
      </c>
      <c r="C5" s="51" t="s">
        <v>3006</v>
      </c>
      <c r="D5" s="50" t="s">
        <v>1633</v>
      </c>
      <c r="E5" s="51" t="s">
        <v>1634</v>
      </c>
    </row>
    <row r="6" spans="1:5" ht="16" x14ac:dyDescent="0.25">
      <c r="A6" t="s">
        <v>2172</v>
      </c>
      <c r="B6" s="18" t="s">
        <v>1638</v>
      </c>
      <c r="C6" s="51" t="s">
        <v>1639</v>
      </c>
      <c r="D6" s="50" t="s">
        <v>1633</v>
      </c>
      <c r="E6" s="51" t="s">
        <v>1634</v>
      </c>
    </row>
    <row r="7" spans="1:5" ht="16" x14ac:dyDescent="0.25">
      <c r="A7" t="s">
        <v>2199</v>
      </c>
      <c r="B7" s="18" t="s">
        <v>1582</v>
      </c>
      <c r="C7" s="51" t="s">
        <v>1602</v>
      </c>
      <c r="D7" s="50" t="s">
        <v>1603</v>
      </c>
      <c r="E7" s="51" t="s">
        <v>1604</v>
      </c>
    </row>
    <row r="8" spans="1:5" ht="16" x14ac:dyDescent="0.25">
      <c r="A8" t="s">
        <v>2256</v>
      </c>
      <c r="B8" s="18" t="s">
        <v>1584</v>
      </c>
      <c r="C8" s="51" t="s">
        <v>1610</v>
      </c>
      <c r="D8" s="50" t="s">
        <v>1611</v>
      </c>
      <c r="E8" s="51" t="s">
        <v>1612</v>
      </c>
    </row>
    <row r="9" spans="1:5" ht="16" x14ac:dyDescent="0.25">
      <c r="A9" t="s">
        <v>2265</v>
      </c>
      <c r="B9" s="18" t="s">
        <v>1586</v>
      </c>
      <c r="C9" s="51" t="s">
        <v>1616</v>
      </c>
      <c r="D9" s="50" t="s">
        <v>1617</v>
      </c>
      <c r="E9" s="51" t="s">
        <v>1618</v>
      </c>
    </row>
    <row r="10" spans="1:5" ht="16" x14ac:dyDescent="0.25">
      <c r="A10" t="s">
        <v>2278</v>
      </c>
      <c r="B10" s="18" t="s">
        <v>1581</v>
      </c>
      <c r="C10" s="51" t="s">
        <v>1599</v>
      </c>
      <c r="D10" s="50" t="s">
        <v>1600</v>
      </c>
      <c r="E10" s="51" t="s">
        <v>1601</v>
      </c>
    </row>
    <row r="11" spans="1:5" ht="16" x14ac:dyDescent="0.25">
      <c r="A11" t="s">
        <v>2307</v>
      </c>
      <c r="B11" s="18" t="s">
        <v>1629</v>
      </c>
      <c r="C11" s="51" t="s">
        <v>1635</v>
      </c>
      <c r="D11" s="50" t="s">
        <v>1636</v>
      </c>
      <c r="E11" s="51" t="s">
        <v>1637</v>
      </c>
    </row>
    <row r="12" spans="1:5" ht="16" x14ac:dyDescent="0.25">
      <c r="A12" t="s">
        <v>3003</v>
      </c>
      <c r="B12" s="18" t="s">
        <v>1585</v>
      </c>
      <c r="C12" s="51" t="s">
        <v>1613</v>
      </c>
      <c r="D12" s="50" t="s">
        <v>1614</v>
      </c>
      <c r="E12" s="51" t="s">
        <v>1615</v>
      </c>
    </row>
    <row r="13" spans="1:5" ht="16" x14ac:dyDescent="0.25">
      <c r="A13" s="18" t="s">
        <v>3221</v>
      </c>
      <c r="B13" s="18" t="s">
        <v>4139</v>
      </c>
      <c r="C13" s="51" t="s">
        <v>3220</v>
      </c>
      <c r="D13" s="50" t="s">
        <v>3218</v>
      </c>
      <c r="E13" s="51" t="s">
        <v>4140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36"/>
  <sheetViews>
    <sheetView workbookViewId="0">
      <selection activeCell="A39" sqref="A39"/>
    </sheetView>
  </sheetViews>
  <sheetFormatPr baseColWidth="10" defaultRowHeight="15" x14ac:dyDescent="0.2"/>
  <cols>
    <col min="1" max="1" width="21.1640625" bestFit="1" customWidth="1"/>
    <col min="2" max="2" width="24.6640625" bestFit="1" customWidth="1"/>
  </cols>
  <sheetData>
    <row r="1" spans="1:7" ht="43" x14ac:dyDescent="0.2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1419</v>
      </c>
      <c r="G1" s="41" t="s">
        <v>1422</v>
      </c>
    </row>
    <row r="2" spans="1:7" x14ac:dyDescent="0.2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1351</v>
      </c>
      <c r="G2" s="42" t="s">
        <v>1423</v>
      </c>
    </row>
    <row r="3" spans="1:7" x14ac:dyDescent="0.2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1351</v>
      </c>
      <c r="G3" s="42" t="s">
        <v>1423</v>
      </c>
    </row>
    <row r="4" spans="1:7" x14ac:dyDescent="0.2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1351</v>
      </c>
      <c r="G4" s="42" t="s">
        <v>1423</v>
      </c>
    </row>
    <row r="5" spans="1:7" x14ac:dyDescent="0.2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1351</v>
      </c>
      <c r="G5" s="42" t="s">
        <v>1423</v>
      </c>
    </row>
    <row r="6" spans="1:7" x14ac:dyDescent="0.2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1351</v>
      </c>
      <c r="G6" s="42" t="s">
        <v>1423</v>
      </c>
    </row>
    <row r="7" spans="1:7" x14ac:dyDescent="0.2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1351</v>
      </c>
      <c r="G7" s="42" t="s">
        <v>1423</v>
      </c>
    </row>
    <row r="8" spans="1:7" x14ac:dyDescent="0.2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1351</v>
      </c>
      <c r="G8" s="42" t="s">
        <v>1423</v>
      </c>
    </row>
    <row r="9" spans="1:7" x14ac:dyDescent="0.2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1351</v>
      </c>
      <c r="G9" s="42" t="s">
        <v>1423</v>
      </c>
    </row>
    <row r="10" spans="1:7" x14ac:dyDescent="0.2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1351</v>
      </c>
      <c r="G10" s="42" t="s">
        <v>1423</v>
      </c>
    </row>
    <row r="11" spans="1:7" x14ac:dyDescent="0.2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1351</v>
      </c>
      <c r="G11" s="42" t="s">
        <v>1423</v>
      </c>
    </row>
    <row r="12" spans="1:7" x14ac:dyDescent="0.2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1351</v>
      </c>
      <c r="G12" s="42" t="s">
        <v>1423</v>
      </c>
    </row>
    <row r="13" spans="1:7" x14ac:dyDescent="0.2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1351</v>
      </c>
      <c r="G13" s="42" t="s">
        <v>1423</v>
      </c>
    </row>
    <row r="14" spans="1:7" x14ac:dyDescent="0.2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1351</v>
      </c>
      <c r="G14" s="42" t="s">
        <v>1423</v>
      </c>
    </row>
    <row r="15" spans="1:7" x14ac:dyDescent="0.2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1351</v>
      </c>
      <c r="G15" s="42" t="s">
        <v>1423</v>
      </c>
    </row>
    <row r="16" spans="1:7" x14ac:dyDescent="0.2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1351</v>
      </c>
      <c r="G16" s="42" t="s">
        <v>1423</v>
      </c>
    </row>
    <row r="17" spans="1:8" x14ac:dyDescent="0.2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1351</v>
      </c>
      <c r="G17" s="42" t="s">
        <v>1423</v>
      </c>
    </row>
    <row r="18" spans="1:8" x14ac:dyDescent="0.2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1351</v>
      </c>
      <c r="G18" s="42" t="s">
        <v>1423</v>
      </c>
    </row>
    <row r="19" spans="1:8" x14ac:dyDescent="0.2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1351</v>
      </c>
      <c r="G19" s="42" t="s">
        <v>1423</v>
      </c>
    </row>
    <row r="20" spans="1:8" x14ac:dyDescent="0.2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1351</v>
      </c>
      <c r="G20" s="42" t="s">
        <v>1423</v>
      </c>
      <c r="H20" s="18" t="s">
        <v>1643</v>
      </c>
    </row>
    <row r="21" spans="1:8" x14ac:dyDescent="0.2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1351</v>
      </c>
      <c r="G21" s="42" t="s">
        <v>1423</v>
      </c>
      <c r="H21" s="18" t="s">
        <v>1644</v>
      </c>
    </row>
    <row r="22" spans="1:8" x14ac:dyDescent="0.2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1351</v>
      </c>
      <c r="G22" s="42" t="s">
        <v>1423</v>
      </c>
      <c r="H22" s="18" t="s">
        <v>1645</v>
      </c>
    </row>
    <row r="23" spans="1:8" x14ac:dyDescent="0.2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1351</v>
      </c>
      <c r="G23" s="42" t="s">
        <v>1423</v>
      </c>
    </row>
    <row r="24" spans="1:8" x14ac:dyDescent="0.2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1351</v>
      </c>
      <c r="G24" s="42" t="s">
        <v>1423</v>
      </c>
    </row>
    <row r="25" spans="1:8" x14ac:dyDescent="0.2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1351</v>
      </c>
      <c r="G25" s="42" t="s">
        <v>1423</v>
      </c>
    </row>
    <row r="26" spans="1:8" x14ac:dyDescent="0.2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1351</v>
      </c>
      <c r="G26" s="42" t="s">
        <v>1423</v>
      </c>
    </row>
    <row r="27" spans="1:8" x14ac:dyDescent="0.2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1351</v>
      </c>
      <c r="G27" s="42" t="s">
        <v>1423</v>
      </c>
    </row>
    <row r="28" spans="1:8" x14ac:dyDescent="0.2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1351</v>
      </c>
      <c r="G28" s="42" t="s">
        <v>1423</v>
      </c>
    </row>
    <row r="29" spans="1:8" x14ac:dyDescent="0.2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1351</v>
      </c>
      <c r="G29" s="42" t="s">
        <v>1423</v>
      </c>
    </row>
    <row r="30" spans="1:8" x14ac:dyDescent="0.2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1351</v>
      </c>
      <c r="G30" s="42" t="s">
        <v>1423</v>
      </c>
    </row>
    <row r="31" spans="1:8" x14ac:dyDescent="0.2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1351</v>
      </c>
      <c r="G31" s="42" t="s">
        <v>1423</v>
      </c>
    </row>
    <row r="32" spans="1:8" x14ac:dyDescent="0.2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1351</v>
      </c>
      <c r="G32" s="42" t="s">
        <v>1423</v>
      </c>
    </row>
    <row r="33" spans="1:7" x14ac:dyDescent="0.2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1351</v>
      </c>
      <c r="G33" s="42" t="s">
        <v>1423</v>
      </c>
    </row>
    <row r="34" spans="1:7" x14ac:dyDescent="0.2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1351</v>
      </c>
      <c r="G34" s="42" t="s">
        <v>1423</v>
      </c>
    </row>
    <row r="35" spans="1:7" x14ac:dyDescent="0.2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1351</v>
      </c>
      <c r="G35" s="42" t="s">
        <v>1423</v>
      </c>
    </row>
    <row r="36" spans="1:7" x14ac:dyDescent="0.2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1351</v>
      </c>
      <c r="G36" s="42" t="s">
        <v>1423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O1" sqref="O1:O1048576"/>
    </sheetView>
  </sheetViews>
  <sheetFormatPr baseColWidth="10" defaultRowHeight="15" x14ac:dyDescent="0.2"/>
  <cols>
    <col min="14" max="14" width="38.6640625" bestFit="1" customWidth="1"/>
  </cols>
  <sheetData>
    <row r="1" spans="1:19" x14ac:dyDescent="0.2">
      <c r="A1" s="37" t="s">
        <v>1215</v>
      </c>
      <c r="B1" s="37" t="s">
        <v>30</v>
      </c>
      <c r="C1" s="37" t="s">
        <v>1216</v>
      </c>
    </row>
    <row r="2" spans="1:19" ht="20" x14ac:dyDescent="0.2">
      <c r="A2" s="8" t="s">
        <v>296</v>
      </c>
      <c r="B2" s="9" t="s">
        <v>297</v>
      </c>
      <c r="C2" s="18" t="s">
        <v>1351</v>
      </c>
      <c r="M2" t="str">
        <f>RIGHT(O2,2)</f>
        <v>AU</v>
      </c>
      <c r="N2" s="38" t="s">
        <v>1218</v>
      </c>
      <c r="O2" s="38" t="s">
        <v>1219</v>
      </c>
      <c r="R2" t="str">
        <f>LEFT(N2,FIND(" ",N2)-1)</f>
        <v>English</v>
      </c>
      <c r="S2" t="str">
        <f>LEFT(O2,3)</f>
        <v>en_</v>
      </c>
    </row>
    <row r="3" spans="1:19" ht="20" x14ac:dyDescent="0.2">
      <c r="A3" s="8" t="s">
        <v>945</v>
      </c>
      <c r="B3" s="9" t="s">
        <v>946</v>
      </c>
      <c r="C3" s="18" t="s">
        <v>1351</v>
      </c>
      <c r="M3" t="str">
        <f t="shared" ref="M3:M66" si="0">RIGHT(O3,2)</f>
        <v>CA</v>
      </c>
      <c r="N3" s="38" t="s">
        <v>1220</v>
      </c>
      <c r="O3" s="38" t="s">
        <v>1221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 x14ac:dyDescent="0.2">
      <c r="A4" t="s">
        <v>296</v>
      </c>
      <c r="C4" t="s">
        <v>1351</v>
      </c>
      <c r="M4" t="str">
        <f t="shared" si="0"/>
        <v>IE</v>
      </c>
      <c r="N4" s="38" t="s">
        <v>1224</v>
      </c>
      <c r="O4" s="38" t="s">
        <v>1225</v>
      </c>
      <c r="R4" t="str">
        <f t="shared" si="1"/>
        <v>English</v>
      </c>
      <c r="S4" t="str">
        <f t="shared" si="2"/>
        <v>en_</v>
      </c>
    </row>
    <row r="5" spans="1:19" ht="20" x14ac:dyDescent="0.2">
      <c r="A5" t="s">
        <v>1353</v>
      </c>
      <c r="C5" t="s">
        <v>1354</v>
      </c>
      <c r="M5" t="str">
        <f t="shared" si="0"/>
        <v>IN</v>
      </c>
      <c r="N5" s="38" t="s">
        <v>1226</v>
      </c>
      <c r="O5" s="38" t="s">
        <v>1227</v>
      </c>
      <c r="R5" t="str">
        <f t="shared" si="1"/>
        <v>English</v>
      </c>
      <c r="S5" t="str">
        <f t="shared" si="2"/>
        <v>en_</v>
      </c>
    </row>
    <row r="6" spans="1:19" ht="20" x14ac:dyDescent="0.2">
      <c r="A6" t="s">
        <v>1352</v>
      </c>
      <c r="C6" t="s">
        <v>1355</v>
      </c>
      <c r="M6" t="str">
        <f t="shared" si="0"/>
        <v>NZ</v>
      </c>
      <c r="N6" s="38" t="s">
        <v>1228</v>
      </c>
      <c r="O6" s="38" t="s">
        <v>1229</v>
      </c>
      <c r="R6" t="str">
        <f t="shared" si="1"/>
        <v>English</v>
      </c>
      <c r="S6" t="str">
        <f t="shared" si="2"/>
        <v>en_</v>
      </c>
    </row>
    <row r="7" spans="1:19" ht="20" x14ac:dyDescent="0.2">
      <c r="A7" t="s">
        <v>1356</v>
      </c>
      <c r="C7" t="s">
        <v>1357</v>
      </c>
      <c r="M7" t="str">
        <f t="shared" si="0"/>
        <v>US</v>
      </c>
      <c r="N7" s="38" t="s">
        <v>1230</v>
      </c>
      <c r="O7" s="38" t="s">
        <v>1217</v>
      </c>
      <c r="R7" t="str">
        <f t="shared" si="1"/>
        <v>English</v>
      </c>
      <c r="S7" t="str">
        <f t="shared" si="2"/>
        <v>en_</v>
      </c>
    </row>
    <row r="8" spans="1:19" ht="20" x14ac:dyDescent="0.2">
      <c r="A8" t="s">
        <v>1358</v>
      </c>
      <c r="C8" t="s">
        <v>1359</v>
      </c>
      <c r="M8" t="str">
        <f t="shared" si="0"/>
        <v>ZA</v>
      </c>
      <c r="N8" s="38" t="s">
        <v>1231</v>
      </c>
      <c r="O8" s="38" t="s">
        <v>1232</v>
      </c>
      <c r="R8" t="str">
        <f t="shared" si="1"/>
        <v>English</v>
      </c>
      <c r="S8" t="str">
        <f t="shared" si="2"/>
        <v>en_</v>
      </c>
    </row>
    <row r="9" spans="1:19" ht="20" x14ac:dyDescent="0.2">
      <c r="A9" t="s">
        <v>1360</v>
      </c>
      <c r="C9" t="s">
        <v>1361</v>
      </c>
      <c r="M9" t="str">
        <f t="shared" si="0"/>
        <v>BG</v>
      </c>
      <c r="N9" s="38" t="s">
        <v>1233</v>
      </c>
      <c r="O9" s="38" t="s">
        <v>1234</v>
      </c>
      <c r="R9" t="str">
        <f t="shared" si="1"/>
        <v>Bulgarian</v>
      </c>
      <c r="S9" t="str">
        <f t="shared" si="2"/>
        <v>bg_</v>
      </c>
    </row>
    <row r="10" spans="1:19" ht="20" x14ac:dyDescent="0.2">
      <c r="A10" t="s">
        <v>1362</v>
      </c>
      <c r="C10" t="s">
        <v>1363</v>
      </c>
      <c r="M10" t="str">
        <f t="shared" si="0"/>
        <v>CN</v>
      </c>
      <c r="N10" s="38" t="s">
        <v>1235</v>
      </c>
      <c r="O10" s="38" t="s">
        <v>1236</v>
      </c>
      <c r="R10" t="str">
        <f t="shared" si="1"/>
        <v>Chinese</v>
      </c>
      <c r="S10" t="str">
        <f t="shared" si="2"/>
        <v>zh_</v>
      </c>
    </row>
    <row r="11" spans="1:19" ht="20" x14ac:dyDescent="0.2">
      <c r="A11" t="s">
        <v>1364</v>
      </c>
      <c r="C11" t="s">
        <v>1365</v>
      </c>
      <c r="M11" t="str">
        <f t="shared" si="0"/>
        <v>HK</v>
      </c>
      <c r="N11" s="38" t="s">
        <v>1237</v>
      </c>
      <c r="O11" s="38" t="s">
        <v>1238</v>
      </c>
      <c r="R11" t="str">
        <f t="shared" si="1"/>
        <v>Chinese</v>
      </c>
      <c r="S11" t="str">
        <f t="shared" si="2"/>
        <v>zh_</v>
      </c>
    </row>
    <row r="12" spans="1:19" ht="20" x14ac:dyDescent="0.2">
      <c r="A12" t="s">
        <v>1366</v>
      </c>
      <c r="C12" t="s">
        <v>1367</v>
      </c>
      <c r="M12" t="str">
        <f t="shared" si="0"/>
        <v>TW</v>
      </c>
      <c r="N12" s="38" t="s">
        <v>1239</v>
      </c>
      <c r="O12" s="38" t="s">
        <v>1240</v>
      </c>
      <c r="R12" t="str">
        <f t="shared" si="1"/>
        <v>Chinese</v>
      </c>
      <c r="S12" t="str">
        <f t="shared" si="2"/>
        <v>zh_</v>
      </c>
    </row>
    <row r="13" spans="1:19" ht="20" x14ac:dyDescent="0.2">
      <c r="A13" t="s">
        <v>1368</v>
      </c>
      <c r="C13" t="s">
        <v>1369</v>
      </c>
      <c r="M13" t="str">
        <f t="shared" si="0"/>
        <v>HR</v>
      </c>
      <c r="N13" s="38" t="s">
        <v>1241</v>
      </c>
      <c r="O13" s="38" t="s">
        <v>1242</v>
      </c>
      <c r="R13" t="str">
        <f t="shared" si="1"/>
        <v>Croatian</v>
      </c>
      <c r="S13" t="str">
        <f t="shared" si="2"/>
        <v>hr_</v>
      </c>
    </row>
    <row r="14" spans="1:19" ht="20" x14ac:dyDescent="0.2">
      <c r="A14" t="s">
        <v>1370</v>
      </c>
      <c r="C14" t="s">
        <v>1371</v>
      </c>
      <c r="M14" t="str">
        <f t="shared" si="0"/>
        <v>CZ</v>
      </c>
      <c r="N14" s="38" t="s">
        <v>1243</v>
      </c>
      <c r="O14" s="38" t="s">
        <v>1244</v>
      </c>
      <c r="R14" t="str">
        <f t="shared" si="1"/>
        <v>Czech</v>
      </c>
      <c r="S14" t="str">
        <f t="shared" si="2"/>
        <v>cs_</v>
      </c>
    </row>
    <row r="15" spans="1:19" ht="20" x14ac:dyDescent="0.2">
      <c r="A15" t="s">
        <v>1372</v>
      </c>
      <c r="C15" t="s">
        <v>1373</v>
      </c>
      <c r="M15" t="str">
        <f t="shared" si="0"/>
        <v>DK</v>
      </c>
      <c r="N15" s="38" t="s">
        <v>1245</v>
      </c>
      <c r="O15" s="38" t="s">
        <v>1246</v>
      </c>
      <c r="R15" t="str">
        <f t="shared" si="1"/>
        <v>Danish</v>
      </c>
      <c r="S15" t="str">
        <f t="shared" si="2"/>
        <v>da_</v>
      </c>
    </row>
    <row r="16" spans="1:19" ht="20" x14ac:dyDescent="0.2">
      <c r="A16" t="s">
        <v>1374</v>
      </c>
      <c r="C16" t="s">
        <v>1375</v>
      </c>
      <c r="M16" t="str">
        <f t="shared" si="0"/>
        <v>BE</v>
      </c>
      <c r="N16" s="38" t="s">
        <v>1247</v>
      </c>
      <c r="O16" s="38" t="s">
        <v>1248</v>
      </c>
      <c r="R16" t="str">
        <f t="shared" si="1"/>
        <v>Dutch</v>
      </c>
      <c r="S16" t="str">
        <f t="shared" si="2"/>
        <v>nl_</v>
      </c>
    </row>
    <row r="17" spans="1:19" ht="20" x14ac:dyDescent="0.2">
      <c r="A17" t="s">
        <v>1376</v>
      </c>
      <c r="C17" t="s">
        <v>1377</v>
      </c>
      <c r="M17" t="str">
        <f t="shared" si="0"/>
        <v>NL</v>
      </c>
      <c r="N17" s="38" t="s">
        <v>1249</v>
      </c>
      <c r="O17" s="38" t="s">
        <v>1250</v>
      </c>
      <c r="R17" t="str">
        <f t="shared" si="1"/>
        <v>Dutch</v>
      </c>
      <c r="S17" t="str">
        <f t="shared" si="2"/>
        <v>nl_</v>
      </c>
    </row>
    <row r="18" spans="1:19" ht="20" x14ac:dyDescent="0.2">
      <c r="A18" t="s">
        <v>1378</v>
      </c>
      <c r="C18" t="s">
        <v>1379</v>
      </c>
      <c r="M18" t="str">
        <f t="shared" si="0"/>
        <v>AU</v>
      </c>
      <c r="N18" s="38" t="s">
        <v>1218</v>
      </c>
      <c r="O18" s="38" t="s">
        <v>1219</v>
      </c>
      <c r="R18" t="str">
        <f t="shared" si="1"/>
        <v>English</v>
      </c>
      <c r="S18" t="str">
        <f t="shared" si="2"/>
        <v>en_</v>
      </c>
    </row>
    <row r="19" spans="1:19" ht="20" x14ac:dyDescent="0.2">
      <c r="A19" t="s">
        <v>1380</v>
      </c>
      <c r="C19" t="s">
        <v>1381</v>
      </c>
      <c r="M19" t="str">
        <f t="shared" si="0"/>
        <v>CA</v>
      </c>
      <c r="N19" s="38" t="s">
        <v>1220</v>
      </c>
      <c r="O19" s="38" t="s">
        <v>1221</v>
      </c>
      <c r="R19" t="str">
        <f t="shared" si="1"/>
        <v>English</v>
      </c>
      <c r="S19" t="str">
        <f t="shared" si="2"/>
        <v>en_</v>
      </c>
    </row>
    <row r="20" spans="1:19" ht="20" x14ac:dyDescent="0.2">
      <c r="A20" t="s">
        <v>1382</v>
      </c>
      <c r="C20" t="s">
        <v>1383</v>
      </c>
      <c r="M20" t="str">
        <f t="shared" si="0"/>
        <v>IN</v>
      </c>
      <c r="N20" s="38" t="s">
        <v>1226</v>
      </c>
      <c r="O20" s="38" t="s">
        <v>1227</v>
      </c>
      <c r="R20" t="str">
        <f t="shared" si="1"/>
        <v>English</v>
      </c>
      <c r="S20" t="str">
        <f t="shared" si="2"/>
        <v>en_</v>
      </c>
    </row>
    <row r="21" spans="1:19" ht="20" x14ac:dyDescent="0.2">
      <c r="A21" t="s">
        <v>1384</v>
      </c>
      <c r="C21" t="s">
        <v>1385</v>
      </c>
      <c r="M21" t="str">
        <f t="shared" si="0"/>
        <v>IE</v>
      </c>
      <c r="N21" s="38" t="s">
        <v>1224</v>
      </c>
      <c r="O21" s="38" t="s">
        <v>1225</v>
      </c>
      <c r="R21" t="str">
        <f t="shared" si="1"/>
        <v>English</v>
      </c>
      <c r="S21" t="str">
        <f t="shared" si="2"/>
        <v>en_</v>
      </c>
    </row>
    <row r="22" spans="1:19" ht="20" x14ac:dyDescent="0.2">
      <c r="A22" t="s">
        <v>1386</v>
      </c>
      <c r="C22" t="s">
        <v>1387</v>
      </c>
      <c r="M22" t="str">
        <f t="shared" si="0"/>
        <v>NZ</v>
      </c>
      <c r="N22" s="38" t="s">
        <v>1228</v>
      </c>
      <c r="O22" s="38" t="s">
        <v>1229</v>
      </c>
      <c r="R22" t="str">
        <f t="shared" si="1"/>
        <v>English</v>
      </c>
      <c r="S22" t="str">
        <f t="shared" si="2"/>
        <v>en_</v>
      </c>
    </row>
    <row r="23" spans="1:19" ht="20" x14ac:dyDescent="0.2">
      <c r="A23" t="s">
        <v>1388</v>
      </c>
      <c r="C23" t="s">
        <v>1389</v>
      </c>
      <c r="M23" t="str">
        <f t="shared" si="0"/>
        <v>ZA</v>
      </c>
      <c r="N23" s="38" t="s">
        <v>1231</v>
      </c>
      <c r="O23" s="38" t="s">
        <v>1232</v>
      </c>
      <c r="R23" t="str">
        <f t="shared" si="1"/>
        <v>English</v>
      </c>
      <c r="S23" t="str">
        <f t="shared" si="2"/>
        <v>en_</v>
      </c>
    </row>
    <row r="24" spans="1:19" ht="20" x14ac:dyDescent="0.2">
      <c r="A24" t="s">
        <v>1390</v>
      </c>
      <c r="C24" t="s">
        <v>1391</v>
      </c>
      <c r="M24" t="str">
        <f t="shared" si="0"/>
        <v>GB</v>
      </c>
      <c r="N24" s="38" t="s">
        <v>1222</v>
      </c>
      <c r="O24" s="38" t="s">
        <v>1223</v>
      </c>
      <c r="R24" t="str">
        <f t="shared" si="1"/>
        <v>English</v>
      </c>
      <c r="S24" t="str">
        <f t="shared" si="2"/>
        <v>en_</v>
      </c>
    </row>
    <row r="25" spans="1:19" ht="20" x14ac:dyDescent="0.2">
      <c r="A25" t="s">
        <v>1392</v>
      </c>
      <c r="C25" t="s">
        <v>1393</v>
      </c>
      <c r="M25" t="str">
        <f t="shared" si="0"/>
        <v>US</v>
      </c>
      <c r="N25" s="38" t="s">
        <v>1230</v>
      </c>
      <c r="O25" s="38" t="s">
        <v>1217</v>
      </c>
      <c r="R25" t="str">
        <f t="shared" si="1"/>
        <v>English</v>
      </c>
      <c r="S25" t="str">
        <f t="shared" si="2"/>
        <v>en_</v>
      </c>
    </row>
    <row r="26" spans="1:19" ht="20" x14ac:dyDescent="0.2">
      <c r="A26" t="s">
        <v>1394</v>
      </c>
      <c r="C26" t="s">
        <v>1395</v>
      </c>
      <c r="M26" t="str">
        <f t="shared" si="0"/>
        <v>FI</v>
      </c>
      <c r="N26" s="38" t="s">
        <v>1251</v>
      </c>
      <c r="O26" s="38" t="s">
        <v>1252</v>
      </c>
      <c r="R26" t="str">
        <f t="shared" si="1"/>
        <v>Finnish</v>
      </c>
      <c r="S26" t="str">
        <f t="shared" si="2"/>
        <v>fi_</v>
      </c>
    </row>
    <row r="27" spans="1:19" ht="20" x14ac:dyDescent="0.2">
      <c r="A27" t="s">
        <v>1396</v>
      </c>
      <c r="C27" t="s">
        <v>1397</v>
      </c>
      <c r="M27" t="str">
        <f t="shared" si="0"/>
        <v>BE</v>
      </c>
      <c r="N27" s="38" t="s">
        <v>1253</v>
      </c>
      <c r="O27" s="38" t="s">
        <v>1254</v>
      </c>
      <c r="R27" t="str">
        <f t="shared" si="1"/>
        <v>French</v>
      </c>
      <c r="S27" t="str">
        <f t="shared" si="2"/>
        <v>fr_</v>
      </c>
    </row>
    <row r="28" spans="1:19" ht="20" x14ac:dyDescent="0.2">
      <c r="A28" t="s">
        <v>1398</v>
      </c>
      <c r="C28" t="s">
        <v>1399</v>
      </c>
      <c r="M28" t="str">
        <f t="shared" si="0"/>
        <v>CA</v>
      </c>
      <c r="N28" s="38" t="s">
        <v>1255</v>
      </c>
      <c r="O28" s="38" t="s">
        <v>1256</v>
      </c>
      <c r="R28" t="str">
        <f t="shared" si="1"/>
        <v>French</v>
      </c>
      <c r="S28" t="str">
        <f t="shared" si="2"/>
        <v>fr_</v>
      </c>
    </row>
    <row r="29" spans="1:19" ht="20" x14ac:dyDescent="0.2">
      <c r="A29" t="s">
        <v>1400</v>
      </c>
      <c r="C29" t="s">
        <v>1401</v>
      </c>
      <c r="M29" t="str">
        <f t="shared" si="0"/>
        <v>FR</v>
      </c>
      <c r="N29" s="38" t="s">
        <v>1257</v>
      </c>
      <c r="O29" s="38" t="s">
        <v>1258</v>
      </c>
      <c r="R29" t="str">
        <f t="shared" si="1"/>
        <v>French</v>
      </c>
      <c r="S29" t="str">
        <f t="shared" si="2"/>
        <v>fr_</v>
      </c>
    </row>
    <row r="30" spans="1:19" ht="20" x14ac:dyDescent="0.2">
      <c r="A30" t="s">
        <v>1402</v>
      </c>
      <c r="C30" t="s">
        <v>1403</v>
      </c>
      <c r="M30" t="str">
        <f t="shared" si="0"/>
        <v>LU</v>
      </c>
      <c r="N30" s="38" t="s">
        <v>1259</v>
      </c>
      <c r="O30" s="38" t="s">
        <v>1260</v>
      </c>
      <c r="R30" t="str">
        <f t="shared" si="1"/>
        <v>French</v>
      </c>
      <c r="S30" t="str">
        <f t="shared" si="2"/>
        <v>fr_</v>
      </c>
    </row>
    <row r="31" spans="1:19" ht="20" x14ac:dyDescent="0.2">
      <c r="A31" t="s">
        <v>1404</v>
      </c>
      <c r="C31" t="s">
        <v>1405</v>
      </c>
      <c r="M31" t="str">
        <f t="shared" si="0"/>
        <v>CH</v>
      </c>
      <c r="N31" s="38" t="s">
        <v>1261</v>
      </c>
      <c r="O31" s="38" t="s">
        <v>1262</v>
      </c>
      <c r="R31" t="str">
        <f t="shared" si="1"/>
        <v>French</v>
      </c>
      <c r="S31" t="str">
        <f t="shared" si="2"/>
        <v>fr_</v>
      </c>
    </row>
    <row r="32" spans="1:19" ht="20" x14ac:dyDescent="0.2">
      <c r="A32" t="s">
        <v>1406</v>
      </c>
      <c r="C32" t="s">
        <v>1407</v>
      </c>
      <c r="M32" t="str">
        <f t="shared" si="0"/>
        <v>AT</v>
      </c>
      <c r="N32" s="38" t="s">
        <v>1263</v>
      </c>
      <c r="O32" s="38" t="s">
        <v>1264</v>
      </c>
      <c r="R32" t="str">
        <f t="shared" si="1"/>
        <v>German</v>
      </c>
      <c r="S32" t="str">
        <f t="shared" si="2"/>
        <v>de_</v>
      </c>
    </row>
    <row r="33" spans="1:19" ht="20" x14ac:dyDescent="0.2">
      <c r="A33" t="s">
        <v>1408</v>
      </c>
      <c r="C33" t="s">
        <v>1409</v>
      </c>
      <c r="M33" t="str">
        <f t="shared" si="0"/>
        <v>DE</v>
      </c>
      <c r="N33" s="38" t="s">
        <v>1265</v>
      </c>
      <c r="O33" s="38" t="s">
        <v>1266</v>
      </c>
      <c r="R33" t="str">
        <f t="shared" si="1"/>
        <v>German</v>
      </c>
      <c r="S33" t="str">
        <f t="shared" si="2"/>
        <v>de_</v>
      </c>
    </row>
    <row r="34" spans="1:19" ht="20" x14ac:dyDescent="0.2">
      <c r="M34" t="str">
        <f t="shared" si="0"/>
        <v>LU</v>
      </c>
      <c r="N34" s="38" t="s">
        <v>1267</v>
      </c>
      <c r="O34" s="38" t="s">
        <v>1268</v>
      </c>
      <c r="R34" t="str">
        <f t="shared" si="1"/>
        <v>German</v>
      </c>
      <c r="S34" t="str">
        <f t="shared" si="2"/>
        <v>de_</v>
      </c>
    </row>
    <row r="35" spans="1:19" ht="20" x14ac:dyDescent="0.2">
      <c r="M35" t="str">
        <f t="shared" si="0"/>
        <v>CH</v>
      </c>
      <c r="N35" s="38" t="s">
        <v>1269</v>
      </c>
      <c r="O35" s="38" t="s">
        <v>1270</v>
      </c>
      <c r="R35" t="str">
        <f t="shared" si="1"/>
        <v>German</v>
      </c>
      <c r="S35" t="str">
        <f t="shared" si="2"/>
        <v>de_</v>
      </c>
    </row>
    <row r="36" spans="1:19" ht="20" x14ac:dyDescent="0.2">
      <c r="M36" t="str">
        <f t="shared" si="0"/>
        <v>GR</v>
      </c>
      <c r="N36" s="38" t="s">
        <v>1271</v>
      </c>
      <c r="O36" s="38" t="s">
        <v>1272</v>
      </c>
      <c r="R36" t="str">
        <f t="shared" si="1"/>
        <v>Greek</v>
      </c>
      <c r="S36" t="str">
        <f t="shared" si="2"/>
        <v>el_</v>
      </c>
    </row>
    <row r="37" spans="1:19" ht="20" x14ac:dyDescent="0.2">
      <c r="M37" t="str">
        <f t="shared" si="0"/>
        <v>HU</v>
      </c>
      <c r="N37" s="38" t="s">
        <v>1273</v>
      </c>
      <c r="O37" s="38" t="s">
        <v>1274</v>
      </c>
      <c r="R37" t="str">
        <f t="shared" si="1"/>
        <v>Hungarian</v>
      </c>
      <c r="S37" t="str">
        <f t="shared" si="2"/>
        <v>hu_</v>
      </c>
    </row>
    <row r="38" spans="1:19" ht="20" x14ac:dyDescent="0.2">
      <c r="M38" t="str">
        <f t="shared" si="0"/>
        <v>ID</v>
      </c>
      <c r="N38" s="38" t="s">
        <v>1275</v>
      </c>
      <c r="O38" s="38" t="s">
        <v>1276</v>
      </c>
      <c r="R38" t="str">
        <f t="shared" si="1"/>
        <v>Indonesian</v>
      </c>
      <c r="S38" t="str">
        <f t="shared" si="2"/>
        <v>id_</v>
      </c>
    </row>
    <row r="39" spans="1:19" ht="20" x14ac:dyDescent="0.2">
      <c r="M39" t="str">
        <f t="shared" si="0"/>
        <v>IT</v>
      </c>
      <c r="N39" s="38" t="s">
        <v>1277</v>
      </c>
      <c r="O39" s="38" t="s">
        <v>1278</v>
      </c>
      <c r="R39" t="str">
        <f t="shared" si="1"/>
        <v>Italian</v>
      </c>
      <c r="S39" t="str">
        <f t="shared" si="2"/>
        <v>it_</v>
      </c>
    </row>
    <row r="40" spans="1:19" ht="20" x14ac:dyDescent="0.2">
      <c r="M40" t="str">
        <f t="shared" si="0"/>
        <v>CH</v>
      </c>
      <c r="N40" s="38" t="s">
        <v>1279</v>
      </c>
      <c r="O40" s="38" t="s">
        <v>1280</v>
      </c>
      <c r="R40" t="str">
        <f t="shared" si="1"/>
        <v>Italian</v>
      </c>
      <c r="S40" t="str">
        <f t="shared" si="2"/>
        <v>it_</v>
      </c>
    </row>
    <row r="41" spans="1:19" ht="20" x14ac:dyDescent="0.2">
      <c r="M41" t="str">
        <f t="shared" si="0"/>
        <v>JP</v>
      </c>
      <c r="N41" s="38" t="s">
        <v>1281</v>
      </c>
      <c r="O41" s="38" t="s">
        <v>1282</v>
      </c>
      <c r="R41" t="str">
        <f t="shared" si="1"/>
        <v>Japanese</v>
      </c>
      <c r="S41" t="str">
        <f t="shared" si="2"/>
        <v>ja_</v>
      </c>
    </row>
    <row r="42" spans="1:19" ht="20" x14ac:dyDescent="0.2">
      <c r="M42" t="str">
        <f t="shared" si="0"/>
        <v>KP</v>
      </c>
      <c r="N42" s="38" t="s">
        <v>1283</v>
      </c>
      <c r="O42" s="38" t="s">
        <v>1284</v>
      </c>
      <c r="R42" t="str">
        <f t="shared" si="1"/>
        <v>Korean</v>
      </c>
      <c r="S42" t="str">
        <f t="shared" si="2"/>
        <v>ko_</v>
      </c>
    </row>
    <row r="43" spans="1:19" ht="20" x14ac:dyDescent="0.2">
      <c r="M43" t="str">
        <f t="shared" si="0"/>
        <v>KR</v>
      </c>
      <c r="N43" s="38" t="s">
        <v>1285</v>
      </c>
      <c r="O43" s="38" t="s">
        <v>1286</v>
      </c>
      <c r="R43" t="str">
        <f t="shared" si="1"/>
        <v>Korean</v>
      </c>
      <c r="S43" t="str">
        <f t="shared" si="2"/>
        <v>ko_</v>
      </c>
    </row>
    <row r="44" spans="1:19" ht="20" x14ac:dyDescent="0.2">
      <c r="M44" t="str">
        <f t="shared" si="0"/>
        <v>MY</v>
      </c>
      <c r="N44" s="38" t="s">
        <v>1287</v>
      </c>
      <c r="O44" s="38" t="s">
        <v>1288</v>
      </c>
      <c r="R44" t="str">
        <f t="shared" si="1"/>
        <v>Malay</v>
      </c>
      <c r="S44" t="str">
        <f t="shared" si="2"/>
        <v>ms_</v>
      </c>
    </row>
    <row r="45" spans="1:19" ht="20" x14ac:dyDescent="0.2">
      <c r="M45" t="str">
        <f t="shared" si="0"/>
        <v>NO</v>
      </c>
      <c r="N45" s="38" t="s">
        <v>1289</v>
      </c>
      <c r="O45" s="38" t="s">
        <v>1290</v>
      </c>
      <c r="R45" t="str">
        <f t="shared" si="1"/>
        <v>Norwegian</v>
      </c>
      <c r="S45" t="str">
        <f t="shared" si="2"/>
        <v>no_</v>
      </c>
    </row>
    <row r="46" spans="1:19" ht="20" x14ac:dyDescent="0.2">
      <c r="M46" t="str">
        <f t="shared" si="0"/>
        <v>PL</v>
      </c>
      <c r="N46" s="38" t="s">
        <v>1291</v>
      </c>
      <c r="O46" s="38" t="s">
        <v>1292</v>
      </c>
      <c r="R46" t="str">
        <f t="shared" si="1"/>
        <v>Polish</v>
      </c>
      <c r="S46" t="str">
        <f t="shared" si="2"/>
        <v>pl_</v>
      </c>
    </row>
    <row r="47" spans="1:19" ht="20" x14ac:dyDescent="0.2">
      <c r="M47" t="str">
        <f t="shared" si="0"/>
        <v>BR</v>
      </c>
      <c r="N47" s="38" t="s">
        <v>1293</v>
      </c>
      <c r="O47" s="38" t="s">
        <v>1294</v>
      </c>
      <c r="R47" t="str">
        <f t="shared" si="1"/>
        <v>Portuguese</v>
      </c>
      <c r="S47" t="str">
        <f t="shared" si="2"/>
        <v>pt_</v>
      </c>
    </row>
    <row r="48" spans="1:19" ht="20" x14ac:dyDescent="0.2">
      <c r="M48" t="str">
        <f t="shared" si="0"/>
        <v>RO</v>
      </c>
      <c r="N48" s="38" t="s">
        <v>1295</v>
      </c>
      <c r="O48" s="38" t="s">
        <v>1296</v>
      </c>
      <c r="R48" t="str">
        <f t="shared" si="1"/>
        <v>Romanian</v>
      </c>
      <c r="S48" t="str">
        <f t="shared" si="2"/>
        <v>ro_</v>
      </c>
    </row>
    <row r="49" spans="13:19" ht="20" x14ac:dyDescent="0.2">
      <c r="M49" t="str">
        <f t="shared" si="0"/>
        <v>RU</v>
      </c>
      <c r="N49" s="38" t="s">
        <v>1297</v>
      </c>
      <c r="O49" s="38" t="s">
        <v>1298</v>
      </c>
      <c r="R49" t="str">
        <f t="shared" si="1"/>
        <v>Russian</v>
      </c>
      <c r="S49" t="str">
        <f t="shared" si="2"/>
        <v>ru_</v>
      </c>
    </row>
    <row r="50" spans="13:19" ht="20" x14ac:dyDescent="0.2">
      <c r="M50" t="str">
        <f t="shared" si="0"/>
        <v>SK</v>
      </c>
      <c r="N50" s="38" t="s">
        <v>1299</v>
      </c>
      <c r="O50" s="38" t="s">
        <v>1300</v>
      </c>
      <c r="R50" t="str">
        <f t="shared" si="1"/>
        <v>Slovak</v>
      </c>
      <c r="S50" t="str">
        <f t="shared" si="2"/>
        <v>sk_</v>
      </c>
    </row>
    <row r="51" spans="13:19" ht="20" x14ac:dyDescent="0.2">
      <c r="M51" t="str">
        <f t="shared" si="0"/>
        <v>SI</v>
      </c>
      <c r="N51" s="38" t="s">
        <v>1301</v>
      </c>
      <c r="O51" s="38" t="s">
        <v>1302</v>
      </c>
      <c r="R51" t="str">
        <f t="shared" si="1"/>
        <v>Slovenian</v>
      </c>
      <c r="S51" t="str">
        <f t="shared" si="2"/>
        <v>sl_</v>
      </c>
    </row>
    <row r="52" spans="13:19" ht="20" x14ac:dyDescent="0.2">
      <c r="M52" t="str">
        <f t="shared" si="0"/>
        <v>AR</v>
      </c>
      <c r="N52" s="38" t="s">
        <v>1303</v>
      </c>
      <c r="O52" s="38" t="s">
        <v>1304</v>
      </c>
      <c r="R52" t="str">
        <f t="shared" si="1"/>
        <v>Spanish</v>
      </c>
      <c r="S52" t="str">
        <f t="shared" si="2"/>
        <v>es_</v>
      </c>
    </row>
    <row r="53" spans="13:19" ht="20" x14ac:dyDescent="0.2">
      <c r="M53" t="str">
        <f t="shared" si="0"/>
        <v>BO</v>
      </c>
      <c r="N53" s="38" t="s">
        <v>1305</v>
      </c>
      <c r="O53" s="38" t="s">
        <v>1306</v>
      </c>
      <c r="R53" t="str">
        <f t="shared" si="1"/>
        <v>Spanish</v>
      </c>
      <c r="S53" t="str">
        <f t="shared" si="2"/>
        <v>es_</v>
      </c>
    </row>
    <row r="54" spans="13:19" ht="20" x14ac:dyDescent="0.2">
      <c r="M54" t="str">
        <f t="shared" si="0"/>
        <v>CL</v>
      </c>
      <c r="N54" s="38" t="s">
        <v>1307</v>
      </c>
      <c r="O54" s="38" t="s">
        <v>1308</v>
      </c>
      <c r="R54" t="str">
        <f t="shared" si="1"/>
        <v>Spanish</v>
      </c>
      <c r="S54" t="str">
        <f t="shared" si="2"/>
        <v>es_</v>
      </c>
    </row>
    <row r="55" spans="13:19" ht="20" x14ac:dyDescent="0.2">
      <c r="M55" t="str">
        <f t="shared" si="0"/>
        <v>CO</v>
      </c>
      <c r="N55" s="38" t="s">
        <v>1309</v>
      </c>
      <c r="O55" s="38" t="s">
        <v>1310</v>
      </c>
      <c r="R55" t="str">
        <f t="shared" si="1"/>
        <v>Spanish</v>
      </c>
      <c r="S55" t="str">
        <f t="shared" si="2"/>
        <v>es_</v>
      </c>
    </row>
    <row r="56" spans="13:19" ht="20" x14ac:dyDescent="0.2">
      <c r="M56" t="str">
        <f t="shared" si="0"/>
        <v>CR</v>
      </c>
      <c r="N56" s="38" t="s">
        <v>1311</v>
      </c>
      <c r="O56" s="38" t="s">
        <v>1312</v>
      </c>
      <c r="R56" t="str">
        <f t="shared" si="1"/>
        <v>Spanish</v>
      </c>
      <c r="S56" t="str">
        <f t="shared" si="2"/>
        <v>es_</v>
      </c>
    </row>
    <row r="57" spans="13:19" ht="20" x14ac:dyDescent="0.2">
      <c r="M57" t="str">
        <f t="shared" si="0"/>
        <v>DO</v>
      </c>
      <c r="N57" s="38" t="s">
        <v>1313</v>
      </c>
      <c r="O57" s="38" t="s">
        <v>1314</v>
      </c>
      <c r="R57" t="str">
        <f t="shared" si="1"/>
        <v>Spanish</v>
      </c>
      <c r="S57" t="str">
        <f t="shared" si="2"/>
        <v>es_</v>
      </c>
    </row>
    <row r="58" spans="13:19" ht="20" x14ac:dyDescent="0.2">
      <c r="M58" t="str">
        <f t="shared" si="0"/>
        <v>EC</v>
      </c>
      <c r="N58" s="38" t="s">
        <v>1315</v>
      </c>
      <c r="O58" s="38" t="s">
        <v>1316</v>
      </c>
      <c r="R58" t="str">
        <f t="shared" si="1"/>
        <v>Spanish</v>
      </c>
      <c r="S58" t="str">
        <f t="shared" si="2"/>
        <v>es_</v>
      </c>
    </row>
    <row r="59" spans="13:19" ht="20" x14ac:dyDescent="0.2">
      <c r="M59" t="str">
        <f t="shared" si="0"/>
        <v>SV</v>
      </c>
      <c r="N59" s="38" t="s">
        <v>1317</v>
      </c>
      <c r="O59" s="38" t="s">
        <v>1318</v>
      </c>
      <c r="R59" t="str">
        <f t="shared" si="1"/>
        <v>Spanish</v>
      </c>
      <c r="S59" t="str">
        <f t="shared" si="2"/>
        <v>es_</v>
      </c>
    </row>
    <row r="60" spans="13:19" ht="20" x14ac:dyDescent="0.2">
      <c r="M60" t="str">
        <f t="shared" si="0"/>
        <v>GT</v>
      </c>
      <c r="N60" s="38" t="s">
        <v>1319</v>
      </c>
      <c r="O60" s="38" t="s">
        <v>1320</v>
      </c>
      <c r="R60" t="str">
        <f t="shared" si="1"/>
        <v>Spanish</v>
      </c>
      <c r="S60" t="str">
        <f t="shared" si="2"/>
        <v>es_</v>
      </c>
    </row>
    <row r="61" spans="13:19" ht="20" x14ac:dyDescent="0.2">
      <c r="M61" t="str">
        <f t="shared" si="0"/>
        <v>HN</v>
      </c>
      <c r="N61" s="38" t="s">
        <v>1321</v>
      </c>
      <c r="O61" s="38" t="s">
        <v>1322</v>
      </c>
      <c r="R61" t="str">
        <f t="shared" si="1"/>
        <v>Spanish</v>
      </c>
      <c r="S61" t="str">
        <f t="shared" si="2"/>
        <v>es_</v>
      </c>
    </row>
    <row r="62" spans="13:19" ht="20" x14ac:dyDescent="0.2">
      <c r="M62" t="str">
        <f t="shared" si="0"/>
        <v>MX</v>
      </c>
      <c r="N62" s="38" t="s">
        <v>1323</v>
      </c>
      <c r="O62" s="38" t="s">
        <v>1324</v>
      </c>
      <c r="R62" t="str">
        <f t="shared" si="1"/>
        <v>Spanish</v>
      </c>
      <c r="S62" t="str">
        <f t="shared" si="2"/>
        <v>es_</v>
      </c>
    </row>
    <row r="63" spans="13:19" ht="20" x14ac:dyDescent="0.2">
      <c r="M63" t="str">
        <f t="shared" si="0"/>
        <v>NI</v>
      </c>
      <c r="N63" s="38" t="s">
        <v>1325</v>
      </c>
      <c r="O63" s="38" t="s">
        <v>1326</v>
      </c>
      <c r="R63" t="str">
        <f t="shared" si="1"/>
        <v>Spanish</v>
      </c>
      <c r="S63" t="str">
        <f t="shared" si="2"/>
        <v>es_</v>
      </c>
    </row>
    <row r="64" spans="13:19" ht="20" x14ac:dyDescent="0.2">
      <c r="M64" t="str">
        <f t="shared" si="0"/>
        <v>PA</v>
      </c>
      <c r="N64" s="38" t="s">
        <v>1327</v>
      </c>
      <c r="O64" s="38" t="s">
        <v>1328</v>
      </c>
      <c r="R64" t="str">
        <f t="shared" si="1"/>
        <v>Spanish</v>
      </c>
      <c r="S64" t="str">
        <f t="shared" si="2"/>
        <v>es_</v>
      </c>
    </row>
    <row r="65" spans="13:19" ht="20" x14ac:dyDescent="0.2">
      <c r="M65" t="str">
        <f t="shared" si="0"/>
        <v>PY</v>
      </c>
      <c r="N65" s="38" t="s">
        <v>1329</v>
      </c>
      <c r="O65" s="38" t="s">
        <v>1330</v>
      </c>
      <c r="R65" t="str">
        <f t="shared" si="1"/>
        <v>Spanish</v>
      </c>
      <c r="S65" t="str">
        <f t="shared" si="2"/>
        <v>es_</v>
      </c>
    </row>
    <row r="66" spans="13:19" ht="20" x14ac:dyDescent="0.2">
      <c r="M66" t="str">
        <f t="shared" si="0"/>
        <v>PE</v>
      </c>
      <c r="N66" s="38" t="s">
        <v>1331</v>
      </c>
      <c r="O66" s="38" t="s">
        <v>1332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 x14ac:dyDescent="0.2">
      <c r="M67" t="str">
        <f t="shared" ref="M67:M75" si="5">RIGHT(O67,2)</f>
        <v>PR</v>
      </c>
      <c r="N67" s="38" t="s">
        <v>1333</v>
      </c>
      <c r="O67" s="38" t="s">
        <v>1334</v>
      </c>
      <c r="R67" t="str">
        <f t="shared" si="3"/>
        <v>Spanish</v>
      </c>
      <c r="S67" t="str">
        <f t="shared" si="4"/>
        <v>es_</v>
      </c>
    </row>
    <row r="68" spans="13:19" ht="20" x14ac:dyDescent="0.2">
      <c r="M68" t="str">
        <f t="shared" si="5"/>
        <v>ES</v>
      </c>
      <c r="N68" s="38" t="s">
        <v>1335</v>
      </c>
      <c r="O68" s="38" t="s">
        <v>1336</v>
      </c>
      <c r="R68" t="str">
        <f t="shared" si="3"/>
        <v>Spanish</v>
      </c>
      <c r="S68" t="str">
        <f t="shared" si="4"/>
        <v>es_</v>
      </c>
    </row>
    <row r="69" spans="13:19" ht="20" x14ac:dyDescent="0.2">
      <c r="M69" t="str">
        <f t="shared" si="5"/>
        <v>UY</v>
      </c>
      <c r="N69" s="38" t="s">
        <v>1337</v>
      </c>
      <c r="O69" s="38" t="s">
        <v>1338</v>
      </c>
      <c r="R69" t="str">
        <f t="shared" si="3"/>
        <v>Spanish</v>
      </c>
      <c r="S69" t="str">
        <f t="shared" si="4"/>
        <v>es_</v>
      </c>
    </row>
    <row r="70" spans="13:19" ht="20" x14ac:dyDescent="0.2">
      <c r="M70" t="str">
        <f t="shared" si="5"/>
        <v>VE</v>
      </c>
      <c r="N70" s="38" t="s">
        <v>1339</v>
      </c>
      <c r="O70" s="38" t="s">
        <v>1340</v>
      </c>
      <c r="R70" t="str">
        <f t="shared" si="3"/>
        <v>Spanish</v>
      </c>
      <c r="S70" t="str">
        <f t="shared" si="4"/>
        <v>es_</v>
      </c>
    </row>
    <row r="71" spans="13:19" ht="20" x14ac:dyDescent="0.2">
      <c r="M71" t="str">
        <f t="shared" si="5"/>
        <v>SE</v>
      </c>
      <c r="N71" s="38" t="s">
        <v>1341</v>
      </c>
      <c r="O71" s="38" t="s">
        <v>1342</v>
      </c>
      <c r="R71" t="str">
        <f t="shared" si="3"/>
        <v>Swedish</v>
      </c>
      <c r="S71" t="str">
        <f t="shared" si="4"/>
        <v>sv_</v>
      </c>
    </row>
    <row r="72" spans="13:19" ht="20" x14ac:dyDescent="0.2">
      <c r="M72" t="str">
        <f t="shared" si="5"/>
        <v>TH</v>
      </c>
      <c r="N72" s="38" t="s">
        <v>1343</v>
      </c>
      <c r="O72" s="38" t="s">
        <v>1344</v>
      </c>
      <c r="R72" t="str">
        <f t="shared" si="3"/>
        <v>Thai</v>
      </c>
      <c r="S72" t="str">
        <f t="shared" si="4"/>
        <v>th_</v>
      </c>
    </row>
    <row r="73" spans="13:19" ht="20" x14ac:dyDescent="0.2">
      <c r="M73" t="str">
        <f t="shared" si="5"/>
        <v>TR</v>
      </c>
      <c r="N73" s="38" t="s">
        <v>1345</v>
      </c>
      <c r="O73" s="38" t="s">
        <v>1346</v>
      </c>
      <c r="R73" t="str">
        <f t="shared" si="3"/>
        <v>Turkish</v>
      </c>
      <c r="S73" t="str">
        <f t="shared" si="4"/>
        <v>tr_</v>
      </c>
    </row>
    <row r="74" spans="13:19" ht="20" x14ac:dyDescent="0.2">
      <c r="M74" t="str">
        <f t="shared" si="5"/>
        <v>UA</v>
      </c>
      <c r="N74" s="38" t="s">
        <v>1347</v>
      </c>
      <c r="O74" s="38" t="s">
        <v>1348</v>
      </c>
      <c r="R74" t="str">
        <f t="shared" si="3"/>
        <v>Ukrainian</v>
      </c>
      <c r="S74" t="str">
        <f t="shared" si="4"/>
        <v>uk_</v>
      </c>
    </row>
    <row r="75" spans="13:19" ht="20" x14ac:dyDescent="0.2">
      <c r="M75" t="str">
        <f t="shared" si="5"/>
        <v>VN</v>
      </c>
      <c r="N75" s="38" t="s">
        <v>1349</v>
      </c>
      <c r="O75" s="38" t="s">
        <v>1350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zoomScale="150" zoomScaleNormal="150" workbookViewId="0">
      <selection activeCell="F7" sqref="F7"/>
    </sheetView>
  </sheetViews>
  <sheetFormatPr baseColWidth="10" defaultRowHeight="15" x14ac:dyDescent="0.2"/>
  <cols>
    <col min="3" max="3" width="10.83203125" customWidth="1"/>
    <col min="4" max="4" width="14.5" customWidth="1"/>
    <col min="5" max="5" width="15.6640625" bestFit="1" customWidth="1"/>
  </cols>
  <sheetData>
    <row r="1" spans="1:10" x14ac:dyDescent="0.2">
      <c r="A1" s="17" t="s">
        <v>32</v>
      </c>
      <c r="B1" s="2" t="s">
        <v>33</v>
      </c>
      <c r="C1" s="37" t="s">
        <v>1213</v>
      </c>
      <c r="D1" s="37" t="s">
        <v>1214</v>
      </c>
      <c r="E1" s="37" t="s">
        <v>1892</v>
      </c>
    </row>
    <row r="2" spans="1:10" x14ac:dyDescent="0.2">
      <c r="A2" s="34" t="s">
        <v>1203</v>
      </c>
      <c r="B2" s="35" t="s">
        <v>1208</v>
      </c>
      <c r="C2" s="18" t="s">
        <v>1209</v>
      </c>
      <c r="D2" s="18" t="s">
        <v>1416</v>
      </c>
    </row>
    <row r="3" spans="1:10" x14ac:dyDescent="0.2">
      <c r="A3" s="34" t="s">
        <v>1204</v>
      </c>
      <c r="B3" s="35" t="s">
        <v>1207</v>
      </c>
      <c r="C3" s="18" t="s">
        <v>1202</v>
      </c>
      <c r="D3" s="18" t="s">
        <v>1417</v>
      </c>
    </row>
    <row r="4" spans="1:10" x14ac:dyDescent="0.2">
      <c r="A4" s="11" t="s">
        <v>138</v>
      </c>
      <c r="B4" s="12" t="s">
        <v>139</v>
      </c>
      <c r="C4" s="18" t="s">
        <v>1202</v>
      </c>
      <c r="D4" s="18" t="s">
        <v>1417</v>
      </c>
      <c r="E4" s="97">
        <v>999999999.99000001</v>
      </c>
      <c r="G4" s="18" t="s">
        <v>3004</v>
      </c>
    </row>
    <row r="5" spans="1:10" x14ac:dyDescent="0.2">
      <c r="A5" s="36" t="s">
        <v>1210</v>
      </c>
      <c r="B5" s="35" t="s">
        <v>1206</v>
      </c>
      <c r="C5" s="18" t="s">
        <v>1202</v>
      </c>
      <c r="D5" s="18" t="s">
        <v>1417</v>
      </c>
      <c r="E5" s="66">
        <v>1000000</v>
      </c>
      <c r="G5" s="18" t="s">
        <v>3004</v>
      </c>
    </row>
    <row r="6" spans="1:10" x14ac:dyDescent="0.2">
      <c r="A6" s="36" t="s">
        <v>1211</v>
      </c>
      <c r="B6" s="35" t="s">
        <v>1205</v>
      </c>
      <c r="C6" s="18" t="s">
        <v>1202</v>
      </c>
      <c r="D6" s="18" t="s">
        <v>1417</v>
      </c>
      <c r="E6">
        <v>100000</v>
      </c>
    </row>
    <row r="7" spans="1:10" x14ac:dyDescent="0.2">
      <c r="A7" s="11" t="s">
        <v>163</v>
      </c>
      <c r="B7" s="12" t="s">
        <v>164</v>
      </c>
      <c r="C7" s="18" t="s">
        <v>1212</v>
      </c>
      <c r="D7" s="18" t="s">
        <v>1418</v>
      </c>
      <c r="E7">
        <v>100000</v>
      </c>
    </row>
    <row r="8" spans="1:10" x14ac:dyDescent="0.2">
      <c r="A8" s="11" t="s">
        <v>129</v>
      </c>
      <c r="B8" s="12" t="s">
        <v>130</v>
      </c>
      <c r="C8" s="18" t="s">
        <v>1212</v>
      </c>
      <c r="D8" s="18" t="s">
        <v>1418</v>
      </c>
      <c r="E8">
        <v>25000</v>
      </c>
    </row>
    <row r="9" spans="1:10" x14ac:dyDescent="0.2">
      <c r="A9" s="11" t="s">
        <v>316</v>
      </c>
      <c r="B9" s="12" t="s">
        <v>317</v>
      </c>
      <c r="C9" s="18" t="s">
        <v>1212</v>
      </c>
      <c r="D9" s="18" t="s">
        <v>1418</v>
      </c>
      <c r="E9">
        <v>25000</v>
      </c>
    </row>
    <row r="10" spans="1:10" x14ac:dyDescent="0.2">
      <c r="A10" s="11" t="s">
        <v>69</v>
      </c>
      <c r="B10" s="12" t="s">
        <v>70</v>
      </c>
      <c r="C10" s="18" t="s">
        <v>1212</v>
      </c>
      <c r="D10" s="18" t="s">
        <v>1418</v>
      </c>
      <c r="E10">
        <v>25000</v>
      </c>
    </row>
    <row r="11" spans="1:10" x14ac:dyDescent="0.2">
      <c r="A11" s="11" t="s">
        <v>151</v>
      </c>
      <c r="B11" s="12" t="s">
        <v>152</v>
      </c>
      <c r="C11" s="18" t="s">
        <v>1212</v>
      </c>
      <c r="D11" s="18" t="s">
        <v>1418</v>
      </c>
      <c r="E11">
        <v>0</v>
      </c>
    </row>
    <row r="12" spans="1:10" x14ac:dyDescent="0.2">
      <c r="A12" s="11" t="s">
        <v>287</v>
      </c>
      <c r="B12" s="12" t="s">
        <v>288</v>
      </c>
      <c r="C12" s="18" t="s">
        <v>1212</v>
      </c>
      <c r="D12" s="18" t="s">
        <v>1418</v>
      </c>
      <c r="E12">
        <v>0</v>
      </c>
    </row>
    <row r="13" spans="1:10" x14ac:dyDescent="0.2">
      <c r="A13" s="11" t="s">
        <v>118</v>
      </c>
      <c r="B13" s="12" t="s">
        <v>119</v>
      </c>
      <c r="C13" s="18" t="s">
        <v>1212</v>
      </c>
      <c r="D13" s="18" t="s">
        <v>1418</v>
      </c>
      <c r="E13">
        <v>0</v>
      </c>
      <c r="J13" s="94"/>
    </row>
    <row r="14" spans="1:10" x14ac:dyDescent="0.2">
      <c r="A14" s="11" t="s">
        <v>504</v>
      </c>
      <c r="B14" s="12" t="s">
        <v>505</v>
      </c>
      <c r="C14" s="18" t="s">
        <v>1212</v>
      </c>
      <c r="D14" s="18" t="s">
        <v>1418</v>
      </c>
      <c r="E14">
        <v>0</v>
      </c>
      <c r="J14" s="94"/>
    </row>
    <row r="15" spans="1:10" x14ac:dyDescent="0.2">
      <c r="A15" s="11" t="s">
        <v>264</v>
      </c>
      <c r="B15" s="12" t="s">
        <v>265</v>
      </c>
      <c r="C15" s="18" t="s">
        <v>1212</v>
      </c>
      <c r="D15" s="18" t="s">
        <v>1418</v>
      </c>
      <c r="E15">
        <v>0</v>
      </c>
      <c r="J15" s="94"/>
    </row>
    <row r="16" spans="1:10" x14ac:dyDescent="0.2">
      <c r="A16" s="11" t="s">
        <v>305</v>
      </c>
      <c r="B16" s="12" t="s">
        <v>306</v>
      </c>
      <c r="C16" s="18" t="s">
        <v>1212</v>
      </c>
      <c r="D16" s="18" t="s">
        <v>1418</v>
      </c>
      <c r="E16">
        <v>0</v>
      </c>
      <c r="J16" s="94"/>
    </row>
    <row r="17" spans="1:10" x14ac:dyDescent="0.2">
      <c r="A17" s="11" t="s">
        <v>3291</v>
      </c>
      <c r="B17" s="12" t="s">
        <v>3749</v>
      </c>
      <c r="C17" s="18" t="s">
        <v>1212</v>
      </c>
      <c r="D17" s="18" t="s">
        <v>1418</v>
      </c>
      <c r="E17">
        <v>0</v>
      </c>
      <c r="J17" s="94"/>
    </row>
    <row r="18" spans="1:10" x14ac:dyDescent="0.2">
      <c r="A18" s="11" t="s">
        <v>330</v>
      </c>
      <c r="B18" s="12" t="s">
        <v>331</v>
      </c>
      <c r="C18" s="18" t="s">
        <v>1212</v>
      </c>
      <c r="D18" s="18" t="s">
        <v>1418</v>
      </c>
      <c r="E18">
        <v>0</v>
      </c>
      <c r="J18" s="94"/>
    </row>
    <row r="19" spans="1:10" x14ac:dyDescent="0.2">
      <c r="A19" s="11" t="s">
        <v>3267</v>
      </c>
      <c r="B19" s="12" t="s">
        <v>3741</v>
      </c>
      <c r="C19" s="18" t="s">
        <v>1212</v>
      </c>
      <c r="D19" s="18" t="s">
        <v>1418</v>
      </c>
      <c r="E19">
        <v>0</v>
      </c>
      <c r="J19" s="94"/>
    </row>
    <row r="20" spans="1:10" x14ac:dyDescent="0.2">
      <c r="A20" s="11" t="s">
        <v>213</v>
      </c>
      <c r="B20" s="12" t="s">
        <v>214</v>
      </c>
      <c r="C20" s="18" t="s">
        <v>1212</v>
      </c>
      <c r="D20" s="18" t="s">
        <v>1418</v>
      </c>
      <c r="E20">
        <v>0</v>
      </c>
      <c r="J20" s="94"/>
    </row>
    <row r="21" spans="1:10" x14ac:dyDescent="0.2">
      <c r="A21" s="11" t="s">
        <v>53</v>
      </c>
      <c r="B21" s="12" t="s">
        <v>54</v>
      </c>
      <c r="C21" s="18" t="s">
        <v>1212</v>
      </c>
      <c r="D21" s="18" t="s">
        <v>1418</v>
      </c>
      <c r="E21">
        <v>0</v>
      </c>
      <c r="J21" s="94"/>
    </row>
    <row r="22" spans="1:10" x14ac:dyDescent="0.2">
      <c r="A22" s="11" t="s">
        <v>3138</v>
      </c>
      <c r="B22" s="12" t="s">
        <v>3750</v>
      </c>
      <c r="C22" s="18" t="s">
        <v>1212</v>
      </c>
      <c r="D22" s="18" t="s">
        <v>1418</v>
      </c>
      <c r="E22">
        <v>0</v>
      </c>
      <c r="J22" s="94"/>
    </row>
    <row r="23" spans="1:10" x14ac:dyDescent="0.2">
      <c r="A23" s="34" t="s">
        <v>3751</v>
      </c>
      <c r="B23" s="95" t="s">
        <v>3754</v>
      </c>
      <c r="C23" s="18" t="s">
        <v>1212</v>
      </c>
      <c r="D23" s="18" t="s">
        <v>1418</v>
      </c>
      <c r="E23">
        <v>0</v>
      </c>
      <c r="J23" s="94"/>
    </row>
    <row r="24" spans="1:10" x14ac:dyDescent="0.2">
      <c r="A24" s="34" t="s">
        <v>3752</v>
      </c>
      <c r="B24" s="95" t="s">
        <v>3755</v>
      </c>
      <c r="C24" s="18" t="s">
        <v>1212</v>
      </c>
      <c r="D24" s="18" t="s">
        <v>1418</v>
      </c>
      <c r="E24">
        <v>0</v>
      </c>
      <c r="J24" s="94"/>
    </row>
    <row r="25" spans="1:10" x14ac:dyDescent="0.2">
      <c r="A25" s="34" t="s">
        <v>3753</v>
      </c>
      <c r="B25" s="95" t="s">
        <v>3756</v>
      </c>
      <c r="C25" s="18" t="s">
        <v>1212</v>
      </c>
      <c r="D25" s="18" t="s">
        <v>1418</v>
      </c>
      <c r="E25">
        <v>0</v>
      </c>
      <c r="J25" s="94"/>
    </row>
    <row r="26" spans="1:10" x14ac:dyDescent="0.2">
      <c r="A26" s="11" t="s">
        <v>362</v>
      </c>
      <c r="B26" s="12" t="s">
        <v>363</v>
      </c>
      <c r="C26" s="18" t="s">
        <v>1212</v>
      </c>
      <c r="D26" s="18" t="s">
        <v>1418</v>
      </c>
      <c r="E26">
        <v>0</v>
      </c>
    </row>
    <row r="27" spans="1:10" x14ac:dyDescent="0.2">
      <c r="A27" s="11" t="s">
        <v>232</v>
      </c>
      <c r="B27" s="12" t="s">
        <v>233</v>
      </c>
      <c r="C27" s="18" t="s">
        <v>1212</v>
      </c>
      <c r="D27" s="18" t="s">
        <v>1418</v>
      </c>
      <c r="E27">
        <v>0</v>
      </c>
    </row>
    <row r="28" spans="1:10" x14ac:dyDescent="0.2">
      <c r="A28" s="11" t="s">
        <v>471</v>
      </c>
      <c r="B28" s="12" t="s">
        <v>472</v>
      </c>
      <c r="C28" s="18" t="s">
        <v>1212</v>
      </c>
      <c r="D28" s="18" t="s">
        <v>1418</v>
      </c>
      <c r="E28">
        <v>0</v>
      </c>
    </row>
    <row r="29" spans="1:10" x14ac:dyDescent="0.2">
      <c r="A29" s="11" t="s">
        <v>205</v>
      </c>
      <c r="B29" s="12" t="s">
        <v>206</v>
      </c>
      <c r="C29" s="18" t="s">
        <v>1212</v>
      </c>
      <c r="D29" s="18" t="s">
        <v>1418</v>
      </c>
      <c r="E29">
        <v>0</v>
      </c>
    </row>
    <row r="30" spans="1:10" x14ac:dyDescent="0.2">
      <c r="A30" s="11" t="s">
        <v>521</v>
      </c>
      <c r="B30" s="12" t="s">
        <v>522</v>
      </c>
      <c r="C30" s="18" t="s">
        <v>1212</v>
      </c>
      <c r="D30" s="18" t="s">
        <v>1418</v>
      </c>
      <c r="E30">
        <v>0</v>
      </c>
    </row>
    <row r="31" spans="1:10" x14ac:dyDescent="0.2">
      <c r="A31" s="11" t="s">
        <v>3177</v>
      </c>
      <c r="B31" s="12" t="s">
        <v>3748</v>
      </c>
      <c r="C31" s="18" t="s">
        <v>1212</v>
      </c>
      <c r="D31" s="18" t="s">
        <v>1418</v>
      </c>
      <c r="E31">
        <v>0</v>
      </c>
    </row>
    <row r="32" spans="1:10" x14ac:dyDescent="0.2">
      <c r="A32" s="11" t="s">
        <v>3087</v>
      </c>
      <c r="B32" s="12" t="s">
        <v>3745</v>
      </c>
      <c r="C32" s="18" t="s">
        <v>1212</v>
      </c>
      <c r="D32" s="18" t="s">
        <v>1418</v>
      </c>
      <c r="E32">
        <v>0</v>
      </c>
    </row>
    <row r="33" spans="1:5" x14ac:dyDescent="0.2">
      <c r="A33" s="11" t="s">
        <v>3090</v>
      </c>
      <c r="B33" s="12" t="s">
        <v>3747</v>
      </c>
      <c r="C33" s="18" t="s">
        <v>1212</v>
      </c>
      <c r="D33" s="18" t="s">
        <v>1418</v>
      </c>
      <c r="E33">
        <v>0</v>
      </c>
    </row>
    <row r="34" spans="1:5" x14ac:dyDescent="0.2">
      <c r="A34" s="11" t="s">
        <v>3088</v>
      </c>
      <c r="B34" s="12" t="s">
        <v>3746</v>
      </c>
      <c r="C34" s="18" t="s">
        <v>1212</v>
      </c>
      <c r="D34" s="18" t="s">
        <v>1418</v>
      </c>
      <c r="E34">
        <v>0</v>
      </c>
    </row>
    <row r="35" spans="1:5" x14ac:dyDescent="0.2">
      <c r="A35" s="11" t="s">
        <v>3086</v>
      </c>
      <c r="B35" s="12" t="s">
        <v>3743</v>
      </c>
      <c r="C35" s="18" t="s">
        <v>1212</v>
      </c>
      <c r="D35" s="18" t="s">
        <v>1418</v>
      </c>
      <c r="E35">
        <v>0</v>
      </c>
    </row>
    <row r="36" spans="1:5" x14ac:dyDescent="0.2">
      <c r="A36" s="11" t="s">
        <v>3089</v>
      </c>
      <c r="B36" s="12" t="s">
        <v>3744</v>
      </c>
      <c r="C36" s="18" t="s">
        <v>1212</v>
      </c>
      <c r="D36" s="18" t="s">
        <v>1418</v>
      </c>
      <c r="E36">
        <v>0</v>
      </c>
    </row>
    <row r="37" spans="1:5" x14ac:dyDescent="0.2">
      <c r="A37" s="11" t="s">
        <v>3084</v>
      </c>
      <c r="B37" s="12" t="s">
        <v>3742</v>
      </c>
      <c r="C37" s="18" t="s">
        <v>1212</v>
      </c>
      <c r="D37" s="18" t="s">
        <v>1418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 x14ac:dyDescent="0.2"/>
  <cols>
    <col min="1" max="1" width="38.33203125" bestFit="1" customWidth="1"/>
    <col min="3" max="3" width="23" bestFit="1" customWidth="1"/>
  </cols>
  <sheetData>
    <row r="1" spans="1:3" x14ac:dyDescent="0.2">
      <c r="A1" s="86" t="s">
        <v>3043</v>
      </c>
      <c r="B1" s="86" t="s">
        <v>3044</v>
      </c>
      <c r="C1" s="86" t="s">
        <v>3045</v>
      </c>
    </row>
    <row r="2" spans="1:3" x14ac:dyDescent="0.2">
      <c r="A2" t="s">
        <v>3046</v>
      </c>
      <c r="B2" t="s">
        <v>2041</v>
      </c>
      <c r="C2" t="s">
        <v>1201</v>
      </c>
    </row>
    <row r="3" spans="1:3" x14ac:dyDescent="0.2">
      <c r="A3" t="s">
        <v>3047</v>
      </c>
      <c r="B3" t="s">
        <v>2041</v>
      </c>
      <c r="C3" t="s">
        <v>1201</v>
      </c>
    </row>
    <row r="4" spans="1:3" x14ac:dyDescent="0.2">
      <c r="A4" t="s">
        <v>3048</v>
      </c>
      <c r="B4" t="s">
        <v>2041</v>
      </c>
      <c r="C4" t="s">
        <v>1201</v>
      </c>
    </row>
    <row r="5" spans="1:3" x14ac:dyDescent="0.2">
      <c r="A5" t="s">
        <v>3049</v>
      </c>
      <c r="B5" t="s">
        <v>2041</v>
      </c>
      <c r="C5" t="s">
        <v>1201</v>
      </c>
    </row>
    <row r="6" spans="1:3" x14ac:dyDescent="0.2">
      <c r="A6" t="s">
        <v>3050</v>
      </c>
      <c r="B6" t="s">
        <v>2041</v>
      </c>
      <c r="C6" t="s">
        <v>1201</v>
      </c>
    </row>
    <row r="7" spans="1:3" x14ac:dyDescent="0.2">
      <c r="A7" t="s">
        <v>3051</v>
      </c>
      <c r="B7" t="s">
        <v>2041</v>
      </c>
      <c r="C7" t="s">
        <v>1201</v>
      </c>
    </row>
    <row r="8" spans="1:3" x14ac:dyDescent="0.2">
      <c r="A8" t="s">
        <v>3052</v>
      </c>
      <c r="B8" t="s">
        <v>2041</v>
      </c>
      <c r="C8" t="s">
        <v>1201</v>
      </c>
    </row>
    <row r="9" spans="1:3" x14ac:dyDescent="0.2">
      <c r="A9" s="18" t="s">
        <v>3069</v>
      </c>
      <c r="B9" s="18" t="s">
        <v>3054</v>
      </c>
      <c r="C9" s="18" t="s">
        <v>1421</v>
      </c>
    </row>
    <row r="10" spans="1:3" x14ac:dyDescent="0.2">
      <c r="A10" s="18" t="s">
        <v>3053</v>
      </c>
      <c r="B10" t="s">
        <v>3054</v>
      </c>
      <c r="C10" t="s">
        <v>1421</v>
      </c>
    </row>
    <row r="11" spans="1:3" x14ac:dyDescent="0.2">
      <c r="A11" t="s">
        <v>3055</v>
      </c>
      <c r="B11" t="s">
        <v>3054</v>
      </c>
      <c r="C11" t="s">
        <v>1421</v>
      </c>
    </row>
    <row r="12" spans="1:3" x14ac:dyDescent="0.2">
      <c r="A12" t="s">
        <v>3056</v>
      </c>
      <c r="B12" t="s">
        <v>3054</v>
      </c>
      <c r="C12" t="s">
        <v>1421</v>
      </c>
    </row>
    <row r="13" spans="1:3" x14ac:dyDescent="0.2">
      <c r="A13" t="s">
        <v>3057</v>
      </c>
      <c r="B13" t="s">
        <v>3058</v>
      </c>
      <c r="C13" t="s">
        <v>1421</v>
      </c>
    </row>
    <row r="14" spans="1:3" x14ac:dyDescent="0.2">
      <c r="A14" t="s">
        <v>3059</v>
      </c>
      <c r="B14" t="s">
        <v>3060</v>
      </c>
      <c r="C14" s="18" t="s">
        <v>1421</v>
      </c>
    </row>
    <row r="15" spans="1:3" x14ac:dyDescent="0.2">
      <c r="A15" t="s">
        <v>3061</v>
      </c>
      <c r="B15" t="s">
        <v>3060</v>
      </c>
      <c r="C15" t="s">
        <v>1201</v>
      </c>
    </row>
    <row r="16" spans="1:3" x14ac:dyDescent="0.2">
      <c r="A16" t="s">
        <v>3062</v>
      </c>
      <c r="B16" t="s">
        <v>3060</v>
      </c>
      <c r="C16" t="s">
        <v>1201</v>
      </c>
    </row>
    <row r="17" spans="1:3" x14ac:dyDescent="0.2">
      <c r="A17" t="s">
        <v>3063</v>
      </c>
      <c r="B17" t="s">
        <v>3060</v>
      </c>
      <c r="C17" t="s">
        <v>1201</v>
      </c>
    </row>
    <row r="18" spans="1:3" x14ac:dyDescent="0.2">
      <c r="A18" t="s">
        <v>3064</v>
      </c>
      <c r="B18" t="s">
        <v>3060</v>
      </c>
      <c r="C18" t="s">
        <v>1201</v>
      </c>
    </row>
    <row r="19" spans="1:3" x14ac:dyDescent="0.2">
      <c r="A19" t="s">
        <v>1138</v>
      </c>
      <c r="B19" t="s">
        <v>3060</v>
      </c>
      <c r="C19" t="s">
        <v>1201</v>
      </c>
    </row>
    <row r="20" spans="1:3" x14ac:dyDescent="0.2">
      <c r="A20" t="s">
        <v>3065</v>
      </c>
      <c r="B20" t="s">
        <v>3060</v>
      </c>
      <c r="C20" t="s">
        <v>1201</v>
      </c>
    </row>
    <row r="21" spans="1:3" x14ac:dyDescent="0.2">
      <c r="A21" t="s">
        <v>3066</v>
      </c>
      <c r="B21" t="s">
        <v>3060</v>
      </c>
      <c r="C21" t="s">
        <v>1201</v>
      </c>
    </row>
    <row r="22" spans="1:3" x14ac:dyDescent="0.2">
      <c r="A22" t="s">
        <v>3067</v>
      </c>
      <c r="B22" t="s">
        <v>3060</v>
      </c>
      <c r="C22" t="s">
        <v>1201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1"/>
  <sheetViews>
    <sheetView zoomScale="150" zoomScaleNormal="150" workbookViewId="0">
      <selection activeCell="B17" sqref="B17"/>
    </sheetView>
  </sheetViews>
  <sheetFormatPr baseColWidth="10" defaultRowHeight="15" x14ac:dyDescent="0.2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 x14ac:dyDescent="0.2">
      <c r="A1" s="37" t="s">
        <v>3014</v>
      </c>
      <c r="B1" s="37" t="s">
        <v>3015</v>
      </c>
      <c r="C1" s="37" t="s">
        <v>3022</v>
      </c>
    </row>
    <row r="2" spans="1:11" x14ac:dyDescent="0.2">
      <c r="A2" s="34" t="s">
        <v>691</v>
      </c>
      <c r="B2" s="18" t="s">
        <v>3018</v>
      </c>
      <c r="C2" s="67" t="s">
        <v>1421</v>
      </c>
      <c r="D2" s="7"/>
      <c r="F2" s="3"/>
      <c r="G2" s="4"/>
      <c r="H2" s="5"/>
    </row>
    <row r="3" spans="1:11" x14ac:dyDescent="0.2">
      <c r="A3" s="82" t="s">
        <v>1993</v>
      </c>
      <c r="B3" s="18" t="s">
        <v>3034</v>
      </c>
      <c r="C3" s="67" t="s">
        <v>1421</v>
      </c>
      <c r="D3" s="7"/>
      <c r="F3" s="3"/>
      <c r="G3" s="4"/>
      <c r="H3" s="5"/>
    </row>
    <row r="4" spans="1:11" x14ac:dyDescent="0.2">
      <c r="A4" s="83" t="s">
        <v>660</v>
      </c>
      <c r="B4" t="s">
        <v>3039</v>
      </c>
      <c r="C4" s="67" t="s">
        <v>1201</v>
      </c>
      <c r="D4" s="39"/>
      <c r="F4" s="3"/>
      <c r="G4" s="4"/>
      <c r="H4" s="5"/>
    </row>
    <row r="5" spans="1:11" x14ac:dyDescent="0.2">
      <c r="A5" s="34" t="s">
        <v>726</v>
      </c>
      <c r="B5" s="18" t="s">
        <v>3016</v>
      </c>
      <c r="C5" s="67" t="s">
        <v>1421</v>
      </c>
      <c r="D5" s="7"/>
      <c r="F5" s="3"/>
      <c r="G5" s="4"/>
      <c r="H5" s="5"/>
    </row>
    <row r="6" spans="1:11" x14ac:dyDescent="0.2">
      <c r="A6" s="34" t="s">
        <v>802</v>
      </c>
      <c r="B6" t="s">
        <v>3040</v>
      </c>
      <c r="C6" s="67" t="s">
        <v>1201</v>
      </c>
      <c r="D6" s="7"/>
      <c r="F6" s="3"/>
      <c r="G6" s="4"/>
      <c r="H6" s="5"/>
    </row>
    <row r="7" spans="1:11" x14ac:dyDescent="0.2">
      <c r="A7" s="34" t="s">
        <v>64</v>
      </c>
      <c r="B7" t="s">
        <v>3035</v>
      </c>
      <c r="C7" s="67" t="s">
        <v>1201</v>
      </c>
      <c r="D7" s="40"/>
      <c r="F7" s="3"/>
      <c r="G7" s="4"/>
      <c r="H7" s="5"/>
    </row>
    <row r="8" spans="1:11" ht="16" thickBot="1" x14ac:dyDescent="0.25">
      <c r="A8" s="77" t="s">
        <v>3397</v>
      </c>
      <c r="B8" s="18" t="s">
        <v>3068</v>
      </c>
      <c r="C8" s="83" t="s">
        <v>1421</v>
      </c>
      <c r="F8" s="18"/>
    </row>
    <row r="9" spans="1:11" x14ac:dyDescent="0.2">
      <c r="A9" s="83" t="s">
        <v>826</v>
      </c>
      <c r="B9" t="s">
        <v>3041</v>
      </c>
      <c r="C9" s="34" t="s">
        <v>1201</v>
      </c>
      <c r="H9" t="s">
        <v>1031</v>
      </c>
      <c r="J9" s="34" t="s">
        <v>1421</v>
      </c>
      <c r="K9" s="18" t="s">
        <v>4152</v>
      </c>
    </row>
    <row r="10" spans="1:11" x14ac:dyDescent="0.2">
      <c r="A10" s="34" t="s">
        <v>928</v>
      </c>
      <c r="B10" s="18" t="s">
        <v>3019</v>
      </c>
      <c r="C10" s="34" t="s">
        <v>1421</v>
      </c>
    </row>
    <row r="11" spans="1:11" x14ac:dyDescent="0.2">
      <c r="A11" s="34" t="s">
        <v>146</v>
      </c>
      <c r="B11" t="s">
        <v>3036</v>
      </c>
      <c r="C11" s="34" t="s">
        <v>1201</v>
      </c>
      <c r="F11" s="2"/>
      <c r="G11" s="2"/>
      <c r="H11" s="2"/>
      <c r="I11" s="2"/>
      <c r="J11" s="2"/>
      <c r="K11" s="2"/>
    </row>
    <row r="12" spans="1:11" x14ac:dyDescent="0.2">
      <c r="A12" s="34" t="s">
        <v>944</v>
      </c>
      <c r="B12" s="18" t="s">
        <v>3020</v>
      </c>
      <c r="C12" s="85" t="s">
        <v>1421</v>
      </c>
      <c r="F12" s="34"/>
      <c r="G12" s="34"/>
      <c r="H12" s="34"/>
      <c r="I12" s="34"/>
      <c r="J12" s="34"/>
      <c r="K12" s="34"/>
    </row>
    <row r="13" spans="1:11" x14ac:dyDescent="0.2">
      <c r="A13" s="40" t="s">
        <v>1412</v>
      </c>
      <c r="B13" s="18" t="s">
        <v>3017</v>
      </c>
      <c r="C13" s="34" t="s">
        <v>1421</v>
      </c>
      <c r="F13" s="34"/>
      <c r="G13" s="34"/>
      <c r="H13" s="34"/>
      <c r="I13" s="34"/>
      <c r="J13" s="34"/>
      <c r="K13" s="34"/>
    </row>
    <row r="14" spans="1:11" x14ac:dyDescent="0.2">
      <c r="A14" s="34" t="s">
        <v>169</v>
      </c>
      <c r="B14" t="s">
        <v>3037</v>
      </c>
      <c r="C14" s="34" t="s">
        <v>1201</v>
      </c>
      <c r="F14" s="34"/>
      <c r="G14" s="34"/>
      <c r="H14" s="34" t="s">
        <v>1031</v>
      </c>
      <c r="I14" t="s">
        <v>3042</v>
      </c>
      <c r="J14" s="34" t="s">
        <v>1201</v>
      </c>
      <c r="K14" s="34"/>
    </row>
    <row r="15" spans="1:11" x14ac:dyDescent="0.2">
      <c r="A15" s="34" t="s">
        <v>567</v>
      </c>
      <c r="B15" t="s">
        <v>3038</v>
      </c>
      <c r="C15" s="34" t="s">
        <v>1201</v>
      </c>
      <c r="F15" s="34"/>
      <c r="G15" s="34"/>
      <c r="H15" s="34"/>
      <c r="I15" s="34"/>
      <c r="J15" s="34"/>
      <c r="K15" s="34"/>
    </row>
    <row r="16" spans="1:11" x14ac:dyDescent="0.2">
      <c r="A16" s="34" t="s">
        <v>936</v>
      </c>
      <c r="B16" s="18" t="s">
        <v>3079</v>
      </c>
      <c r="C16" s="34" t="s">
        <v>1421</v>
      </c>
      <c r="F16" s="34"/>
      <c r="G16" s="34"/>
      <c r="H16" s="34"/>
      <c r="I16" s="34"/>
      <c r="J16" s="34"/>
      <c r="K16" s="34"/>
    </row>
    <row r="17" spans="1:11" x14ac:dyDescent="0.2">
      <c r="A17" s="84" t="s">
        <v>2137</v>
      </c>
      <c r="B17" s="18" t="s">
        <v>3021</v>
      </c>
      <c r="C17" s="34" t="s">
        <v>1421</v>
      </c>
      <c r="F17" s="34"/>
      <c r="G17" s="34"/>
      <c r="H17" s="34"/>
      <c r="I17" s="34"/>
      <c r="J17" s="34"/>
      <c r="K17" s="34"/>
    </row>
    <row r="18" spans="1:11" x14ac:dyDescent="0.2">
      <c r="A18" s="34" t="s">
        <v>115</v>
      </c>
      <c r="B18" s="18" t="s">
        <v>3077</v>
      </c>
      <c r="C18" s="34" t="s">
        <v>1421</v>
      </c>
      <c r="F18" s="34"/>
      <c r="G18" s="34"/>
      <c r="H18" s="34"/>
      <c r="I18" s="34"/>
      <c r="J18" s="34"/>
      <c r="K18" s="34"/>
    </row>
    <row r="19" spans="1:11" x14ac:dyDescent="0.2">
      <c r="A19" s="34" t="s">
        <v>193</v>
      </c>
      <c r="B19" s="18" t="s">
        <v>3078</v>
      </c>
      <c r="C19" s="34" t="s">
        <v>1201</v>
      </c>
    </row>
    <row r="20" spans="1:11" x14ac:dyDescent="0.2">
      <c r="A20" s="34">
        <v>212705</v>
      </c>
      <c r="B20" s="18" t="s">
        <v>3080</v>
      </c>
      <c r="C20" s="34" t="s">
        <v>1421</v>
      </c>
    </row>
    <row r="21" spans="1:11" ht="16" thickBot="1" x14ac:dyDescent="0.25">
      <c r="A21" s="77" t="s">
        <v>3115</v>
      </c>
      <c r="B21" s="18" t="s">
        <v>3021</v>
      </c>
      <c r="C21" s="34" t="s">
        <v>1421</v>
      </c>
    </row>
  </sheetData>
  <sortState xmlns:xlrd2="http://schemas.microsoft.com/office/spreadsheetml/2017/richdata2" ref="A2:C17">
    <sortCondition ref="B2:B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B97-194F-FB41-9A1A-E1369CC0C4E6}">
  <dimension ref="A1:S125"/>
  <sheetViews>
    <sheetView tabSelected="1" zoomScale="150" zoomScaleNormal="150" workbookViewId="0">
      <selection activeCell="B4" sqref="B4"/>
    </sheetView>
  </sheetViews>
  <sheetFormatPr baseColWidth="10" defaultRowHeight="15" x14ac:dyDescent="0.2"/>
  <cols>
    <col min="1" max="1" width="19.83203125" bestFit="1" customWidth="1"/>
    <col min="2" max="2" width="11.6640625" bestFit="1" customWidth="1"/>
    <col min="3" max="3" width="13" customWidth="1"/>
    <col min="4" max="4" width="28.5" bestFit="1" customWidth="1"/>
    <col min="5" max="5" width="17.5" bestFit="1" customWidth="1"/>
    <col min="9" max="13" width="10.83203125" customWidth="1"/>
    <col min="17" max="17" width="10.83203125" customWidth="1"/>
    <col min="18" max="18" width="18" customWidth="1"/>
    <col min="19" max="19" width="48" customWidth="1"/>
    <col min="20" max="25" width="10.83203125" customWidth="1"/>
  </cols>
  <sheetData>
    <row r="1" spans="1:19" ht="16" thickBot="1" x14ac:dyDescent="0.25">
      <c r="A1" s="64" t="s">
        <v>1913</v>
      </c>
      <c r="B1" s="65" t="s">
        <v>1914</v>
      </c>
      <c r="C1" s="37" t="s">
        <v>4168</v>
      </c>
      <c r="D1" s="37" t="s">
        <v>4004</v>
      </c>
      <c r="E1" s="37" t="s">
        <v>3773</v>
      </c>
      <c r="F1" s="115" t="s">
        <v>1083</v>
      </c>
      <c r="G1" s="115" t="s">
        <v>4146</v>
      </c>
      <c r="K1" s="107" t="s">
        <v>4005</v>
      </c>
      <c r="L1" s="107" t="s">
        <v>3775</v>
      </c>
      <c r="R1" s="107" t="s">
        <v>3774</v>
      </c>
      <c r="S1" s="107" t="s">
        <v>3775</v>
      </c>
    </row>
    <row r="2" spans="1:19" ht="16" thickBot="1" x14ac:dyDescent="0.25">
      <c r="A2" s="90" t="s">
        <v>2050</v>
      </c>
      <c r="B2" s="130" t="s">
        <v>1593</v>
      </c>
      <c r="C2" s="108" t="s">
        <v>1593</v>
      </c>
      <c r="D2" s="109" t="s">
        <v>4063</v>
      </c>
      <c r="E2" s="108" t="s">
        <v>1593</v>
      </c>
      <c r="F2" s="108" t="s">
        <v>1593</v>
      </c>
      <c r="G2" s="108" t="s">
        <v>1593</v>
      </c>
      <c r="K2" s="108" t="s">
        <v>3779</v>
      </c>
      <c r="L2" s="109" t="s">
        <v>3780</v>
      </c>
      <c r="R2" s="108" t="s">
        <v>3776</v>
      </c>
      <c r="S2" s="109" t="s">
        <v>3777</v>
      </c>
    </row>
    <row r="3" spans="1:19" ht="16" thickBot="1" x14ac:dyDescent="0.25">
      <c r="A3" s="90" t="s">
        <v>2074</v>
      </c>
      <c r="B3" s="90" t="s">
        <v>1592</v>
      </c>
      <c r="C3" s="108" t="s">
        <v>1592</v>
      </c>
      <c r="D3" s="109" t="s">
        <v>4054</v>
      </c>
      <c r="E3" s="108" t="s">
        <v>1592</v>
      </c>
      <c r="F3" s="108" t="s">
        <v>1592</v>
      </c>
      <c r="G3" s="108" t="s">
        <v>1592</v>
      </c>
      <c r="K3" s="108" t="s">
        <v>1065</v>
      </c>
      <c r="L3" s="109" t="s">
        <v>3791</v>
      </c>
      <c r="R3" s="108" t="s">
        <v>1590</v>
      </c>
      <c r="S3" s="109" t="s">
        <v>3778</v>
      </c>
    </row>
    <row r="4" spans="1:19" ht="16" thickBot="1" x14ac:dyDescent="0.25">
      <c r="A4" s="90" t="s">
        <v>2144</v>
      </c>
      <c r="B4" s="90" t="s">
        <v>2145</v>
      </c>
      <c r="C4" s="125" t="s">
        <v>2145</v>
      </c>
      <c r="E4" s="125" t="s">
        <v>2145</v>
      </c>
      <c r="F4" s="125" t="s">
        <v>2145</v>
      </c>
      <c r="G4" s="125" t="s">
        <v>2145</v>
      </c>
      <c r="K4" s="108" t="s">
        <v>3798</v>
      </c>
      <c r="L4" s="109" t="s">
        <v>3799</v>
      </c>
      <c r="R4" s="108" t="s">
        <v>3779</v>
      </c>
      <c r="S4" s="109" t="s">
        <v>3780</v>
      </c>
    </row>
    <row r="5" spans="1:19" ht="16" thickBot="1" x14ac:dyDescent="0.25">
      <c r="A5" s="90" t="s">
        <v>2170</v>
      </c>
      <c r="B5" s="90" t="s">
        <v>2171</v>
      </c>
      <c r="C5" s="108" t="s">
        <v>3781</v>
      </c>
      <c r="D5" s="109" t="s">
        <v>4065</v>
      </c>
      <c r="E5" s="108" t="s">
        <v>3781</v>
      </c>
      <c r="F5" s="125" t="s">
        <v>3781</v>
      </c>
      <c r="G5" s="108" t="s">
        <v>3781</v>
      </c>
      <c r="K5" s="108" t="s">
        <v>3897</v>
      </c>
      <c r="L5" s="109" t="s">
        <v>4006</v>
      </c>
      <c r="R5" s="108" t="s">
        <v>3781</v>
      </c>
      <c r="S5" s="109" t="s">
        <v>3782</v>
      </c>
    </row>
    <row r="6" spans="1:19" ht="16" thickBot="1" x14ac:dyDescent="0.25">
      <c r="A6" s="90" t="s">
        <v>2197</v>
      </c>
      <c r="B6" s="90" t="s">
        <v>1590</v>
      </c>
      <c r="C6" s="108" t="s">
        <v>1590</v>
      </c>
      <c r="D6" s="109" t="s">
        <v>4062</v>
      </c>
      <c r="E6" s="108" t="s">
        <v>1590</v>
      </c>
      <c r="F6" s="108" t="s">
        <v>1590</v>
      </c>
      <c r="G6" s="108" t="s">
        <v>1590</v>
      </c>
      <c r="K6" s="108" t="s">
        <v>3800</v>
      </c>
      <c r="L6" s="109" t="s">
        <v>3801</v>
      </c>
      <c r="R6" s="108" t="s">
        <v>1594</v>
      </c>
      <c r="S6" s="109" t="s">
        <v>3783</v>
      </c>
    </row>
    <row r="7" spans="1:19" ht="16" thickBot="1" x14ac:dyDescent="0.25">
      <c r="A7" s="90" t="s">
        <v>2220</v>
      </c>
      <c r="B7" s="90" t="s">
        <v>1591</v>
      </c>
      <c r="C7" s="108" t="s">
        <v>1591</v>
      </c>
      <c r="D7" s="109" t="s">
        <v>4033</v>
      </c>
      <c r="E7" s="39" t="s">
        <v>1591</v>
      </c>
      <c r="F7" s="108" t="s">
        <v>1591</v>
      </c>
      <c r="G7" s="108" t="s">
        <v>1591</v>
      </c>
      <c r="K7" s="108" t="s">
        <v>3955</v>
      </c>
      <c r="L7" s="109" t="s">
        <v>4007</v>
      </c>
      <c r="R7" s="108" t="s">
        <v>1589</v>
      </c>
      <c r="S7" s="109" t="s">
        <v>3784</v>
      </c>
    </row>
    <row r="8" spans="1:19" ht="16" thickBot="1" x14ac:dyDescent="0.25">
      <c r="A8" s="90" t="s">
        <v>3196</v>
      </c>
      <c r="B8" s="90" t="s">
        <v>3197</v>
      </c>
      <c r="C8" s="125" t="s">
        <v>3794</v>
      </c>
      <c r="D8" s="109" t="s">
        <v>4033</v>
      </c>
      <c r="E8" s="108" t="s">
        <v>3794</v>
      </c>
      <c r="F8" s="125" t="s">
        <v>3794</v>
      </c>
      <c r="G8" s="125" t="s">
        <v>3794</v>
      </c>
      <c r="K8" s="108" t="s">
        <v>3802</v>
      </c>
      <c r="L8" s="109" t="s">
        <v>3803</v>
      </c>
      <c r="R8" s="108" t="s">
        <v>1640</v>
      </c>
      <c r="S8" s="109" t="s">
        <v>3785</v>
      </c>
    </row>
    <row r="9" spans="1:19" ht="16" thickBot="1" x14ac:dyDescent="0.25">
      <c r="A9" s="90" t="s">
        <v>2253</v>
      </c>
      <c r="B9" s="90" t="s">
        <v>2254</v>
      </c>
      <c r="C9" s="108" t="s">
        <v>3908</v>
      </c>
      <c r="D9" s="109" t="s">
        <v>4055</v>
      </c>
      <c r="E9" s="108" t="s">
        <v>3908</v>
      </c>
      <c r="F9" s="108" t="s">
        <v>3908</v>
      </c>
      <c r="G9" s="125" t="s">
        <v>4172</v>
      </c>
      <c r="K9" s="108" t="s">
        <v>3804</v>
      </c>
      <c r="L9" s="109" t="s">
        <v>3805</v>
      </c>
      <c r="R9" s="108" t="s">
        <v>1592</v>
      </c>
      <c r="S9" s="109" t="s">
        <v>3786</v>
      </c>
    </row>
    <row r="10" spans="1:19" ht="16" thickBot="1" x14ac:dyDescent="0.25">
      <c r="A10" s="90" t="s">
        <v>3216</v>
      </c>
      <c r="B10" s="90" t="s">
        <v>3217</v>
      </c>
      <c r="C10" s="108" t="s">
        <v>3826</v>
      </c>
      <c r="D10" s="109" t="s">
        <v>4040</v>
      </c>
      <c r="E10" s="108" t="s">
        <v>3826</v>
      </c>
      <c r="F10" s="108" t="s">
        <v>3826</v>
      </c>
      <c r="G10" s="125" t="s">
        <v>3826</v>
      </c>
      <c r="K10" s="108" t="s">
        <v>3808</v>
      </c>
      <c r="L10" s="109" t="s">
        <v>4008</v>
      </c>
      <c r="R10" s="108" t="s">
        <v>1593</v>
      </c>
      <c r="S10" s="109" t="s">
        <v>3787</v>
      </c>
    </row>
    <row r="11" spans="1:19" ht="16" thickBot="1" x14ac:dyDescent="0.25">
      <c r="A11" s="90" t="s">
        <v>3230</v>
      </c>
      <c r="B11" s="90" t="s">
        <v>3231</v>
      </c>
      <c r="C11" s="108" t="s">
        <v>3231</v>
      </c>
      <c r="D11" s="109" t="s">
        <v>3230</v>
      </c>
      <c r="E11" s="108" t="s">
        <v>3231</v>
      </c>
      <c r="F11" s="108" t="s">
        <v>3231</v>
      </c>
      <c r="G11" s="108" t="s">
        <v>3231</v>
      </c>
      <c r="K11" s="108" t="s">
        <v>3818</v>
      </c>
      <c r="L11" s="109" t="s">
        <v>3819</v>
      </c>
      <c r="R11" s="108" t="s">
        <v>1588</v>
      </c>
      <c r="S11" s="109" t="s">
        <v>3788</v>
      </c>
    </row>
    <row r="12" spans="1:19" ht="16" thickBot="1" x14ac:dyDescent="0.25">
      <c r="A12" s="90" t="s">
        <v>2262</v>
      </c>
      <c r="B12" s="90" t="s">
        <v>2263</v>
      </c>
      <c r="C12" s="108" t="s">
        <v>3912</v>
      </c>
      <c r="D12" s="109" t="s">
        <v>4056</v>
      </c>
      <c r="E12" s="108" t="s">
        <v>3912</v>
      </c>
      <c r="F12" s="108" t="s">
        <v>3912</v>
      </c>
      <c r="G12" s="125" t="s">
        <v>4174</v>
      </c>
      <c r="K12" s="108" t="s">
        <v>3842</v>
      </c>
      <c r="L12" s="109" t="s">
        <v>3843</v>
      </c>
      <c r="R12" s="108" t="s">
        <v>3789</v>
      </c>
      <c r="S12" s="109" t="s">
        <v>3790</v>
      </c>
    </row>
    <row r="13" spans="1:19" ht="16" thickBot="1" x14ac:dyDescent="0.25">
      <c r="A13" s="90" t="s">
        <v>2277</v>
      </c>
      <c r="B13" s="90" t="s">
        <v>1588</v>
      </c>
      <c r="C13" s="108" t="s">
        <v>1588</v>
      </c>
      <c r="D13" s="109" t="s">
        <v>4066</v>
      </c>
      <c r="E13" s="108" t="s">
        <v>1588</v>
      </c>
      <c r="F13" s="108" t="s">
        <v>1588</v>
      </c>
      <c r="G13" s="108" t="s">
        <v>1588</v>
      </c>
      <c r="K13" s="108" t="s">
        <v>3873</v>
      </c>
      <c r="L13" s="109" t="s">
        <v>4009</v>
      </c>
      <c r="R13" s="108" t="s">
        <v>1065</v>
      </c>
      <c r="S13" s="109" t="s">
        <v>3791</v>
      </c>
    </row>
    <row r="14" spans="1:19" ht="16" thickBot="1" x14ac:dyDescent="0.25">
      <c r="A14" s="90" t="s">
        <v>2287</v>
      </c>
      <c r="B14" s="90" t="s">
        <v>1589</v>
      </c>
      <c r="C14" s="108" t="s">
        <v>1589</v>
      </c>
      <c r="D14" s="109" t="s">
        <v>4053</v>
      </c>
      <c r="E14" s="108" t="s">
        <v>1589</v>
      </c>
      <c r="F14" s="108" t="s">
        <v>1589</v>
      </c>
      <c r="G14" s="108" t="s">
        <v>1589</v>
      </c>
      <c r="K14" s="108" t="s">
        <v>3975</v>
      </c>
      <c r="L14" s="109" t="s">
        <v>4010</v>
      </c>
      <c r="R14" s="108" t="s">
        <v>3792</v>
      </c>
      <c r="S14" s="109" t="s">
        <v>3793</v>
      </c>
    </row>
    <row r="15" spans="1:19" ht="16" thickBot="1" x14ac:dyDescent="0.25">
      <c r="A15" s="90" t="s">
        <v>2305</v>
      </c>
      <c r="B15" s="90" t="s">
        <v>1640</v>
      </c>
      <c r="C15" s="108" t="s">
        <v>1640</v>
      </c>
      <c r="D15" s="109" t="s">
        <v>4089</v>
      </c>
      <c r="E15" s="108" t="s">
        <v>1640</v>
      </c>
      <c r="F15" s="108" t="s">
        <v>1640</v>
      </c>
      <c r="G15" s="108" t="s">
        <v>1640</v>
      </c>
      <c r="K15" s="108" t="s">
        <v>3963</v>
      </c>
      <c r="L15" s="109" t="s">
        <v>4011</v>
      </c>
      <c r="R15" s="108" t="s">
        <v>3794</v>
      </c>
      <c r="S15" s="109" t="s">
        <v>3795</v>
      </c>
    </row>
    <row r="16" spans="1:19" ht="16" thickBot="1" x14ac:dyDescent="0.25">
      <c r="A16" s="90" t="s">
        <v>2305</v>
      </c>
      <c r="B16" s="90" t="s">
        <v>2782</v>
      </c>
      <c r="C16" s="108" t="s">
        <v>1640</v>
      </c>
      <c r="D16" s="109" t="s">
        <v>4089</v>
      </c>
      <c r="E16" s="108" t="s">
        <v>1640</v>
      </c>
      <c r="F16" s="108" t="s">
        <v>1640</v>
      </c>
      <c r="G16" s="108" t="s">
        <v>1640</v>
      </c>
      <c r="K16" s="108" t="s">
        <v>3979</v>
      </c>
      <c r="L16" s="109" t="s">
        <v>4012</v>
      </c>
      <c r="R16" s="108" t="s">
        <v>3796</v>
      </c>
      <c r="S16" s="109" t="s">
        <v>3797</v>
      </c>
    </row>
    <row r="17" spans="1:19" ht="16" thickBot="1" x14ac:dyDescent="0.25">
      <c r="A17" s="90" t="s">
        <v>3002</v>
      </c>
      <c r="B17" s="90" t="s">
        <v>1594</v>
      </c>
      <c r="C17" s="108" t="s">
        <v>1594</v>
      </c>
      <c r="D17" s="109" t="s">
        <v>4067</v>
      </c>
      <c r="E17" s="108" t="s">
        <v>1594</v>
      </c>
      <c r="F17" s="108" t="s">
        <v>1594</v>
      </c>
      <c r="G17" s="108" t="s">
        <v>1594</v>
      </c>
      <c r="K17" s="108" t="s">
        <v>3814</v>
      </c>
      <c r="L17" s="109" t="s">
        <v>4013</v>
      </c>
      <c r="R17" s="108" t="s">
        <v>3798</v>
      </c>
      <c r="S17" s="109" t="s">
        <v>3799</v>
      </c>
    </row>
    <row r="18" spans="1:19" ht="16" thickBot="1" x14ac:dyDescent="0.25">
      <c r="A18" s="90"/>
      <c r="B18" s="90"/>
      <c r="E18" s="108"/>
      <c r="K18" s="108" t="s">
        <v>4014</v>
      </c>
      <c r="L18" s="109" t="s">
        <v>4015</v>
      </c>
      <c r="R18" s="108" t="s">
        <v>3800</v>
      </c>
      <c r="S18" s="109" t="s">
        <v>3801</v>
      </c>
    </row>
    <row r="19" spans="1:19" x14ac:dyDescent="0.2">
      <c r="A19" s="124" t="s">
        <v>4169</v>
      </c>
      <c r="F19" s="123" t="s">
        <v>4173</v>
      </c>
      <c r="K19" s="108" t="s">
        <v>3971</v>
      </c>
      <c r="L19" s="109" t="s">
        <v>4016</v>
      </c>
      <c r="R19" s="108" t="s">
        <v>3802</v>
      </c>
      <c r="S19" s="109" t="s">
        <v>3803</v>
      </c>
    </row>
    <row r="20" spans="1:19" x14ac:dyDescent="0.2">
      <c r="A20" s="124" t="s">
        <v>4170</v>
      </c>
      <c r="C20" s="127" t="s">
        <v>4171</v>
      </c>
      <c r="E20" s="128" t="s">
        <v>4176</v>
      </c>
      <c r="F20" s="123"/>
      <c r="G20" s="127" t="s">
        <v>4175</v>
      </c>
      <c r="K20" s="108" t="s">
        <v>4017</v>
      </c>
      <c r="L20" s="109" t="s">
        <v>4018</v>
      </c>
      <c r="R20" s="108" t="s">
        <v>3804</v>
      </c>
      <c r="S20" s="109" t="s">
        <v>3805</v>
      </c>
    </row>
    <row r="21" spans="1:19" x14ac:dyDescent="0.2">
      <c r="K21" s="108" t="s">
        <v>4019</v>
      </c>
      <c r="L21" s="109" t="s">
        <v>4019</v>
      </c>
      <c r="R21" s="108" t="s">
        <v>3806</v>
      </c>
      <c r="S21" s="109" t="s">
        <v>3807</v>
      </c>
    </row>
    <row r="22" spans="1:19" x14ac:dyDescent="0.2">
      <c r="A22" s="18" t="s">
        <v>4166</v>
      </c>
      <c r="B22" s="18"/>
      <c r="K22" s="108" t="s">
        <v>4020</v>
      </c>
      <c r="L22" s="109" t="s">
        <v>4021</v>
      </c>
      <c r="R22" s="108" t="s">
        <v>3808</v>
      </c>
      <c r="S22" s="109" t="s">
        <v>3809</v>
      </c>
    </row>
    <row r="23" spans="1:19" x14ac:dyDescent="0.2">
      <c r="B23" s="18"/>
      <c r="K23" s="108" t="s">
        <v>2145</v>
      </c>
      <c r="L23" s="109" t="s">
        <v>4022</v>
      </c>
      <c r="R23" s="108" t="s">
        <v>3810</v>
      </c>
      <c r="S23" s="109" t="s">
        <v>3811</v>
      </c>
    </row>
    <row r="24" spans="1:19" x14ac:dyDescent="0.2">
      <c r="K24" s="108" t="s">
        <v>3855</v>
      </c>
      <c r="L24" s="109" t="s">
        <v>4023</v>
      </c>
      <c r="R24" s="108" t="s">
        <v>3812</v>
      </c>
      <c r="S24" s="109" t="s">
        <v>3813</v>
      </c>
    </row>
    <row r="25" spans="1:19" x14ac:dyDescent="0.2">
      <c r="B25" s="18"/>
      <c r="K25" s="108" t="s">
        <v>3816</v>
      </c>
      <c r="L25" s="109" t="s">
        <v>4024</v>
      </c>
      <c r="R25" s="108" t="s">
        <v>3814</v>
      </c>
      <c r="S25" s="109" t="s">
        <v>3815</v>
      </c>
    </row>
    <row r="26" spans="1:19" x14ac:dyDescent="0.2">
      <c r="K26" s="108" t="s">
        <v>3810</v>
      </c>
      <c r="L26" s="109" t="s">
        <v>4025</v>
      </c>
      <c r="R26" s="108" t="s">
        <v>3816</v>
      </c>
      <c r="S26" s="109" t="s">
        <v>3817</v>
      </c>
    </row>
    <row r="27" spans="1:19" x14ac:dyDescent="0.2">
      <c r="K27" s="108" t="s">
        <v>3871</v>
      </c>
      <c r="L27" s="109" t="s">
        <v>4026</v>
      </c>
      <c r="R27" s="108" t="s">
        <v>3818</v>
      </c>
      <c r="S27" s="109" t="s">
        <v>3819</v>
      </c>
    </row>
    <row r="28" spans="1:19" x14ac:dyDescent="0.2">
      <c r="K28" s="108" t="s">
        <v>3869</v>
      </c>
      <c r="L28" s="109" t="s">
        <v>4027</v>
      </c>
      <c r="R28" s="108" t="s">
        <v>1591</v>
      </c>
      <c r="S28" s="109" t="s">
        <v>3820</v>
      </c>
    </row>
    <row r="29" spans="1:19" x14ac:dyDescent="0.2">
      <c r="K29" s="108" t="s">
        <v>3832</v>
      </c>
      <c r="L29" s="109" t="s">
        <v>4028</v>
      </c>
      <c r="R29" s="108" t="s">
        <v>2145</v>
      </c>
      <c r="S29" s="109" t="s">
        <v>3821</v>
      </c>
    </row>
    <row r="30" spans="1:19" x14ac:dyDescent="0.2">
      <c r="K30" s="108" t="s">
        <v>4029</v>
      </c>
      <c r="L30" s="109" t="s">
        <v>3943</v>
      </c>
      <c r="R30" s="108" t="s">
        <v>3822</v>
      </c>
      <c r="S30" s="109" t="s">
        <v>3823</v>
      </c>
    </row>
    <row r="31" spans="1:19" x14ac:dyDescent="0.2">
      <c r="K31" s="108" t="s">
        <v>3875</v>
      </c>
      <c r="L31" s="109" t="s">
        <v>4030</v>
      </c>
      <c r="R31" s="108" t="s">
        <v>3824</v>
      </c>
      <c r="S31" s="109" t="s">
        <v>3825</v>
      </c>
    </row>
    <row r="32" spans="1:19" x14ac:dyDescent="0.2">
      <c r="K32" s="108" t="s">
        <v>3944</v>
      </c>
      <c r="L32" s="109" t="s">
        <v>3945</v>
      </c>
      <c r="R32" s="108" t="s">
        <v>3826</v>
      </c>
      <c r="S32" s="109" t="s">
        <v>3827</v>
      </c>
    </row>
    <row r="33" spans="11:19" x14ac:dyDescent="0.2">
      <c r="K33" s="108" t="s">
        <v>3967</v>
      </c>
      <c r="L33" s="109" t="s">
        <v>4031</v>
      </c>
      <c r="R33" s="108" t="s">
        <v>3828</v>
      </c>
      <c r="S33" s="109" t="s">
        <v>3829</v>
      </c>
    </row>
    <row r="34" spans="11:19" x14ac:dyDescent="0.2">
      <c r="K34" s="108" t="s">
        <v>3812</v>
      </c>
      <c r="L34" s="109" t="s">
        <v>4032</v>
      </c>
      <c r="R34" s="108" t="s">
        <v>3830</v>
      </c>
      <c r="S34" s="109" t="s">
        <v>3831</v>
      </c>
    </row>
    <row r="35" spans="11:19" x14ac:dyDescent="0.2">
      <c r="K35" s="108" t="s">
        <v>1591</v>
      </c>
      <c r="L35" s="109" t="s">
        <v>4033</v>
      </c>
      <c r="R35" s="108" t="s">
        <v>3832</v>
      </c>
      <c r="S35" s="109" t="s">
        <v>3833</v>
      </c>
    </row>
    <row r="36" spans="11:19" x14ac:dyDescent="0.2">
      <c r="K36" s="108" t="s">
        <v>4034</v>
      </c>
      <c r="L36" s="109" t="s">
        <v>4035</v>
      </c>
      <c r="R36" s="108" t="s">
        <v>2320</v>
      </c>
      <c r="S36" s="109" t="s">
        <v>3834</v>
      </c>
    </row>
    <row r="37" spans="11:19" x14ac:dyDescent="0.2">
      <c r="K37" s="108" t="s">
        <v>3932</v>
      </c>
      <c r="L37" s="109" t="s">
        <v>4036</v>
      </c>
      <c r="R37" s="108" t="s">
        <v>2399</v>
      </c>
      <c r="S37" s="109" t="s">
        <v>3835</v>
      </c>
    </row>
    <row r="38" spans="11:19" x14ac:dyDescent="0.2">
      <c r="K38" s="108" t="s">
        <v>3879</v>
      </c>
      <c r="L38" s="109" t="s">
        <v>4037</v>
      </c>
      <c r="R38" s="108" t="s">
        <v>3836</v>
      </c>
      <c r="S38" s="109" t="s">
        <v>3837</v>
      </c>
    </row>
    <row r="39" spans="11:19" x14ac:dyDescent="0.2">
      <c r="K39" s="108" t="s">
        <v>3822</v>
      </c>
      <c r="L39" s="109" t="s">
        <v>4038</v>
      </c>
      <c r="R39" s="108" t="s">
        <v>3838</v>
      </c>
      <c r="S39" s="109" t="s">
        <v>3839</v>
      </c>
    </row>
    <row r="40" spans="11:19" x14ac:dyDescent="0.2">
      <c r="K40" s="108" t="s">
        <v>4002</v>
      </c>
      <c r="L40" s="109" t="s">
        <v>4039</v>
      </c>
      <c r="R40" s="108" t="s">
        <v>3840</v>
      </c>
      <c r="S40" s="109" t="s">
        <v>3841</v>
      </c>
    </row>
    <row r="41" spans="11:19" x14ac:dyDescent="0.2">
      <c r="K41" s="108" t="s">
        <v>3826</v>
      </c>
      <c r="L41" s="109" t="s">
        <v>4040</v>
      </c>
      <c r="R41" s="108" t="s">
        <v>3842</v>
      </c>
      <c r="S41" s="109" t="s">
        <v>3843</v>
      </c>
    </row>
    <row r="42" spans="11:19" x14ac:dyDescent="0.2">
      <c r="K42" s="108" t="s">
        <v>4041</v>
      </c>
      <c r="L42" s="109" t="s">
        <v>4042</v>
      </c>
      <c r="R42" s="108" t="s">
        <v>3844</v>
      </c>
      <c r="S42" s="109" t="s">
        <v>3845</v>
      </c>
    </row>
    <row r="43" spans="11:19" x14ac:dyDescent="0.2">
      <c r="K43" s="108" t="s">
        <v>3824</v>
      </c>
      <c r="L43" s="109" t="s">
        <v>4043</v>
      </c>
      <c r="R43" s="108" t="s">
        <v>3846</v>
      </c>
      <c r="S43" s="109" t="s">
        <v>3847</v>
      </c>
    </row>
    <row r="44" spans="11:19" x14ac:dyDescent="0.2">
      <c r="K44" s="108" t="s">
        <v>4044</v>
      </c>
      <c r="L44" s="109" t="s">
        <v>4045</v>
      </c>
      <c r="R44" s="108" t="s">
        <v>3848</v>
      </c>
      <c r="S44" s="109" t="s">
        <v>3849</v>
      </c>
    </row>
    <row r="45" spans="11:19" x14ac:dyDescent="0.2">
      <c r="K45" s="108" t="s">
        <v>3806</v>
      </c>
      <c r="L45" s="109" t="s">
        <v>4046</v>
      </c>
      <c r="R45" s="108" t="s">
        <v>3850</v>
      </c>
      <c r="S45" s="109" t="s">
        <v>3851</v>
      </c>
    </row>
    <row r="46" spans="11:19" x14ac:dyDescent="0.2">
      <c r="K46" s="108" t="s">
        <v>3796</v>
      </c>
      <c r="L46" s="109" t="s">
        <v>4047</v>
      </c>
      <c r="R46" s="108" t="s">
        <v>3231</v>
      </c>
      <c r="S46" s="109" t="s">
        <v>3852</v>
      </c>
    </row>
    <row r="47" spans="11:19" x14ac:dyDescent="0.2">
      <c r="K47" s="108" t="s">
        <v>4048</v>
      </c>
      <c r="L47" s="109" t="s">
        <v>4049</v>
      </c>
      <c r="R47" s="108" t="s">
        <v>3853</v>
      </c>
      <c r="S47" s="109" t="s">
        <v>3854</v>
      </c>
    </row>
    <row r="48" spans="11:19" x14ac:dyDescent="0.2">
      <c r="K48" s="108" t="s">
        <v>3910</v>
      </c>
      <c r="L48" s="109" t="s">
        <v>4050</v>
      </c>
      <c r="R48" s="108" t="s">
        <v>3855</v>
      </c>
      <c r="S48" s="109" t="s">
        <v>3856</v>
      </c>
    </row>
    <row r="49" spans="11:19" x14ac:dyDescent="0.2">
      <c r="K49" s="108" t="s">
        <v>4051</v>
      </c>
      <c r="L49" s="109" t="s">
        <v>4052</v>
      </c>
      <c r="R49" s="108" t="s">
        <v>3857</v>
      </c>
      <c r="S49" s="109" t="s">
        <v>3858</v>
      </c>
    </row>
    <row r="50" spans="11:19" x14ac:dyDescent="0.2">
      <c r="K50" s="108" t="s">
        <v>1589</v>
      </c>
      <c r="L50" s="109" t="s">
        <v>4053</v>
      </c>
      <c r="R50" s="108" t="s">
        <v>3859</v>
      </c>
      <c r="S50" s="109" t="s">
        <v>3860</v>
      </c>
    </row>
    <row r="51" spans="11:19" x14ac:dyDescent="0.2">
      <c r="K51" s="108" t="s">
        <v>1592</v>
      </c>
      <c r="L51" s="109" t="s">
        <v>4054</v>
      </c>
      <c r="R51" s="108" t="s">
        <v>3861</v>
      </c>
      <c r="S51" s="109" t="s">
        <v>3862</v>
      </c>
    </row>
    <row r="52" spans="11:19" x14ac:dyDescent="0.2">
      <c r="K52" s="108" t="s">
        <v>3908</v>
      </c>
      <c r="L52" s="109" t="s">
        <v>4055</v>
      </c>
      <c r="R52" s="108" t="s">
        <v>3863</v>
      </c>
      <c r="S52" s="109" t="s">
        <v>3864</v>
      </c>
    </row>
    <row r="53" spans="11:19" x14ac:dyDescent="0.2">
      <c r="K53" s="108" t="s">
        <v>3912</v>
      </c>
      <c r="L53" s="109" t="s">
        <v>4056</v>
      </c>
      <c r="R53" s="108" t="s">
        <v>3865</v>
      </c>
      <c r="S53" s="109" t="s">
        <v>3866</v>
      </c>
    </row>
    <row r="54" spans="11:19" x14ac:dyDescent="0.2">
      <c r="K54" s="108" t="s">
        <v>3930</v>
      </c>
      <c r="L54" s="109" t="s">
        <v>4057</v>
      </c>
      <c r="R54" s="108" t="s">
        <v>3867</v>
      </c>
      <c r="S54" s="109" t="s">
        <v>3868</v>
      </c>
    </row>
    <row r="55" spans="11:19" x14ac:dyDescent="0.2">
      <c r="K55" s="108" t="s">
        <v>3830</v>
      </c>
      <c r="L55" s="109" t="s">
        <v>4058</v>
      </c>
      <c r="R55" s="108" t="s">
        <v>3869</v>
      </c>
      <c r="S55" s="109" t="s">
        <v>3870</v>
      </c>
    </row>
    <row r="56" spans="11:19" x14ac:dyDescent="0.2">
      <c r="K56" s="108" t="s">
        <v>3828</v>
      </c>
      <c r="L56" s="109" t="s">
        <v>4059</v>
      </c>
      <c r="R56" s="108" t="s">
        <v>3871</v>
      </c>
      <c r="S56" s="109" t="s">
        <v>3872</v>
      </c>
    </row>
    <row r="57" spans="11:19" x14ac:dyDescent="0.2">
      <c r="K57" s="108" t="s">
        <v>4060</v>
      </c>
      <c r="L57" s="109" t="s">
        <v>4061</v>
      </c>
      <c r="R57" s="108" t="s">
        <v>3873</v>
      </c>
      <c r="S57" s="109" t="s">
        <v>3874</v>
      </c>
    </row>
    <row r="58" spans="11:19" x14ac:dyDescent="0.2">
      <c r="K58" s="108" t="s">
        <v>1590</v>
      </c>
      <c r="L58" s="109" t="s">
        <v>4062</v>
      </c>
      <c r="R58" s="108" t="s">
        <v>3875</v>
      </c>
      <c r="S58" s="109" t="s">
        <v>3876</v>
      </c>
    </row>
    <row r="59" spans="11:19" x14ac:dyDescent="0.2">
      <c r="K59" s="108" t="s">
        <v>1593</v>
      </c>
      <c r="L59" s="109" t="s">
        <v>4063</v>
      </c>
      <c r="R59" s="108" t="s">
        <v>3877</v>
      </c>
      <c r="S59" s="109" t="s">
        <v>3878</v>
      </c>
    </row>
    <row r="60" spans="11:19" x14ac:dyDescent="0.2">
      <c r="K60" s="108" t="s">
        <v>4064</v>
      </c>
      <c r="L60" s="109" t="s">
        <v>4063</v>
      </c>
      <c r="R60" s="108" t="s">
        <v>3879</v>
      </c>
      <c r="S60" s="109" t="s">
        <v>3880</v>
      </c>
    </row>
    <row r="61" spans="11:19" x14ac:dyDescent="0.2">
      <c r="K61" s="108" t="s">
        <v>3781</v>
      </c>
      <c r="L61" s="109" t="s">
        <v>4065</v>
      </c>
      <c r="R61" s="108" t="s">
        <v>3881</v>
      </c>
      <c r="S61" s="109" t="s">
        <v>3882</v>
      </c>
    </row>
    <row r="62" spans="11:19" x14ac:dyDescent="0.2">
      <c r="K62" s="108" t="s">
        <v>1588</v>
      </c>
      <c r="L62" s="109" t="s">
        <v>4066</v>
      </c>
      <c r="R62" s="108" t="s">
        <v>3883</v>
      </c>
      <c r="S62" s="109" t="s">
        <v>3884</v>
      </c>
    </row>
    <row r="63" spans="11:19" x14ac:dyDescent="0.2">
      <c r="K63" s="108" t="s">
        <v>1594</v>
      </c>
      <c r="L63" s="109" t="s">
        <v>4067</v>
      </c>
      <c r="R63" s="108" t="s">
        <v>3885</v>
      </c>
      <c r="S63" s="109" t="s">
        <v>3886</v>
      </c>
    </row>
    <row r="64" spans="11:19" x14ac:dyDescent="0.2">
      <c r="K64" s="108" t="s">
        <v>3789</v>
      </c>
      <c r="L64" s="109" t="s">
        <v>4068</v>
      </c>
      <c r="R64" s="108" t="s">
        <v>3887</v>
      </c>
      <c r="S64" s="109" t="s">
        <v>3888</v>
      </c>
    </row>
    <row r="65" spans="11:19" x14ac:dyDescent="0.2">
      <c r="K65" s="108" t="s">
        <v>3947</v>
      </c>
      <c r="L65" s="109" t="s">
        <v>3948</v>
      </c>
      <c r="R65" s="108" t="s">
        <v>3889</v>
      </c>
      <c r="S65" s="109" t="s">
        <v>3890</v>
      </c>
    </row>
    <row r="66" spans="11:19" x14ac:dyDescent="0.2">
      <c r="K66" s="108" t="s">
        <v>1066</v>
      </c>
      <c r="L66" s="109" t="s">
        <v>3949</v>
      </c>
      <c r="R66" s="108" t="s">
        <v>3891</v>
      </c>
      <c r="S66" s="109" t="s">
        <v>3892</v>
      </c>
    </row>
    <row r="67" spans="11:19" x14ac:dyDescent="0.2">
      <c r="K67" s="108" t="s">
        <v>4069</v>
      </c>
      <c r="L67" s="109" t="s">
        <v>4070</v>
      </c>
      <c r="R67" s="108" t="s">
        <v>3893</v>
      </c>
      <c r="S67" s="109" t="s">
        <v>3894</v>
      </c>
    </row>
    <row r="68" spans="11:19" x14ac:dyDescent="0.2">
      <c r="K68" s="108" t="s">
        <v>4071</v>
      </c>
      <c r="L68" s="109" t="s">
        <v>4072</v>
      </c>
      <c r="R68" s="108" t="s">
        <v>3895</v>
      </c>
      <c r="S68" s="109" t="s">
        <v>3896</v>
      </c>
    </row>
    <row r="69" spans="11:19" x14ac:dyDescent="0.2">
      <c r="K69" s="108" t="s">
        <v>3950</v>
      </c>
      <c r="L69" s="109" t="s">
        <v>3951</v>
      </c>
      <c r="R69" s="108" t="s">
        <v>3897</v>
      </c>
      <c r="S69" s="109" t="s">
        <v>3898</v>
      </c>
    </row>
    <row r="70" spans="11:19" x14ac:dyDescent="0.2">
      <c r="K70" s="108" t="s">
        <v>3973</v>
      </c>
      <c r="L70" s="109" t="s">
        <v>4073</v>
      </c>
      <c r="R70" s="108" t="s">
        <v>2782</v>
      </c>
      <c r="S70" s="109" t="s">
        <v>3899</v>
      </c>
    </row>
    <row r="71" spans="11:19" x14ac:dyDescent="0.2">
      <c r="K71" s="108" t="s">
        <v>3906</v>
      </c>
      <c r="L71" s="109" t="s">
        <v>4074</v>
      </c>
      <c r="R71" s="108" t="s">
        <v>3900</v>
      </c>
      <c r="S71" s="109" t="s">
        <v>3901</v>
      </c>
    </row>
    <row r="72" spans="11:19" x14ac:dyDescent="0.2">
      <c r="K72" s="108" t="s">
        <v>3900</v>
      </c>
      <c r="L72" s="109" t="s">
        <v>4075</v>
      </c>
      <c r="R72" s="108" t="s">
        <v>3902</v>
      </c>
      <c r="S72" s="109" t="s">
        <v>3903</v>
      </c>
    </row>
    <row r="73" spans="11:19" x14ac:dyDescent="0.2">
      <c r="K73" s="108" t="s">
        <v>2399</v>
      </c>
      <c r="L73" s="109" t="s">
        <v>4076</v>
      </c>
      <c r="R73" s="108" t="s">
        <v>3904</v>
      </c>
      <c r="S73" s="109" t="s">
        <v>3905</v>
      </c>
    </row>
    <row r="74" spans="11:19" x14ac:dyDescent="0.2">
      <c r="K74" s="108" t="s">
        <v>3850</v>
      </c>
      <c r="L74" s="109" t="s">
        <v>4077</v>
      </c>
      <c r="R74" s="108" t="s">
        <v>3906</v>
      </c>
      <c r="S74" s="109" t="s">
        <v>3907</v>
      </c>
    </row>
    <row r="75" spans="11:19" x14ac:dyDescent="0.2">
      <c r="K75" s="108" t="s">
        <v>3836</v>
      </c>
      <c r="L75" s="109" t="s">
        <v>4078</v>
      </c>
      <c r="R75" s="108" t="s">
        <v>3908</v>
      </c>
      <c r="S75" s="109" t="s">
        <v>3909</v>
      </c>
    </row>
    <row r="76" spans="11:19" x14ac:dyDescent="0.2">
      <c r="K76" s="108" t="s">
        <v>3936</v>
      </c>
      <c r="L76" s="109" t="s">
        <v>4079</v>
      </c>
      <c r="R76" s="108" t="s">
        <v>3910</v>
      </c>
      <c r="S76" s="109" t="s">
        <v>3911</v>
      </c>
    </row>
    <row r="77" spans="11:19" x14ac:dyDescent="0.2">
      <c r="K77" s="108" t="s">
        <v>2320</v>
      </c>
      <c r="L77" s="109" t="s">
        <v>4080</v>
      </c>
      <c r="R77" s="108" t="s">
        <v>3912</v>
      </c>
      <c r="S77" s="109" t="s">
        <v>3913</v>
      </c>
    </row>
    <row r="78" spans="11:19" x14ac:dyDescent="0.2">
      <c r="K78" s="108" t="s">
        <v>3952</v>
      </c>
      <c r="L78" s="109" t="s">
        <v>4081</v>
      </c>
      <c r="R78" s="108" t="s">
        <v>3914</v>
      </c>
      <c r="S78" s="109" t="s">
        <v>3915</v>
      </c>
    </row>
    <row r="79" spans="11:19" x14ac:dyDescent="0.2">
      <c r="K79" s="108" t="s">
        <v>3853</v>
      </c>
      <c r="L79" s="109" t="s">
        <v>4082</v>
      </c>
      <c r="R79" s="108" t="s">
        <v>3916</v>
      </c>
      <c r="S79" s="109" t="s">
        <v>3917</v>
      </c>
    </row>
    <row r="80" spans="11:19" x14ac:dyDescent="0.2">
      <c r="K80" s="108" t="s">
        <v>3231</v>
      </c>
      <c r="L80" s="109" t="s">
        <v>3230</v>
      </c>
      <c r="R80" s="108" t="s">
        <v>3918</v>
      </c>
      <c r="S80" s="109" t="s">
        <v>3919</v>
      </c>
    </row>
    <row r="81" spans="11:19" x14ac:dyDescent="0.2">
      <c r="K81" s="108" t="s">
        <v>3848</v>
      </c>
      <c r="L81" s="109" t="s">
        <v>4083</v>
      </c>
      <c r="R81" s="108" t="s">
        <v>3920</v>
      </c>
      <c r="S81" s="109" t="s">
        <v>3921</v>
      </c>
    </row>
    <row r="82" spans="11:19" x14ac:dyDescent="0.2">
      <c r="K82" s="108" t="s">
        <v>3904</v>
      </c>
      <c r="L82" s="109" t="s">
        <v>4084</v>
      </c>
      <c r="R82" s="108" t="s">
        <v>3922</v>
      </c>
      <c r="S82" s="109" t="s">
        <v>3923</v>
      </c>
    </row>
    <row r="83" spans="11:19" x14ac:dyDescent="0.2">
      <c r="K83" s="108" t="s">
        <v>3846</v>
      </c>
      <c r="L83" s="109" t="s">
        <v>4085</v>
      </c>
      <c r="R83" s="108" t="s">
        <v>3924</v>
      </c>
      <c r="S83" s="109" t="s">
        <v>3925</v>
      </c>
    </row>
    <row r="84" spans="11:19" x14ac:dyDescent="0.2">
      <c r="K84" s="108" t="s">
        <v>3859</v>
      </c>
      <c r="L84" s="109" t="s">
        <v>4086</v>
      </c>
      <c r="R84" s="108" t="s">
        <v>3926</v>
      </c>
      <c r="S84" s="109" t="s">
        <v>3927</v>
      </c>
    </row>
    <row r="85" spans="11:19" x14ac:dyDescent="0.2">
      <c r="K85" s="108" t="s">
        <v>3844</v>
      </c>
      <c r="L85" s="109" t="s">
        <v>4087</v>
      </c>
      <c r="R85" s="108" t="s">
        <v>3928</v>
      </c>
      <c r="S85" s="109" t="s">
        <v>3929</v>
      </c>
    </row>
    <row r="86" spans="11:19" x14ac:dyDescent="0.2">
      <c r="K86" s="108" t="s">
        <v>3838</v>
      </c>
      <c r="L86" s="109" t="s">
        <v>4088</v>
      </c>
      <c r="R86" s="108" t="s">
        <v>3930</v>
      </c>
      <c r="S86" s="109" t="s">
        <v>3931</v>
      </c>
    </row>
    <row r="87" spans="11:19" x14ac:dyDescent="0.2">
      <c r="K87" s="108" t="s">
        <v>1640</v>
      </c>
      <c r="L87" s="109" t="s">
        <v>4089</v>
      </c>
      <c r="R87" s="108" t="s">
        <v>3932</v>
      </c>
      <c r="S87" s="109" t="s">
        <v>3933</v>
      </c>
    </row>
    <row r="88" spans="11:19" x14ac:dyDescent="0.2">
      <c r="K88" s="108" t="s">
        <v>3840</v>
      </c>
      <c r="L88" s="109" t="s">
        <v>4090</v>
      </c>
      <c r="R88" s="108" t="s">
        <v>3934</v>
      </c>
      <c r="S88" s="109" t="s">
        <v>3935</v>
      </c>
    </row>
    <row r="89" spans="11:19" x14ac:dyDescent="0.2">
      <c r="K89" s="108" t="s">
        <v>2837</v>
      </c>
      <c r="L89" s="109" t="s">
        <v>4091</v>
      </c>
      <c r="R89" s="108" t="s">
        <v>3936</v>
      </c>
      <c r="S89" s="109" t="s">
        <v>3937</v>
      </c>
    </row>
    <row r="90" spans="11:19" x14ac:dyDescent="0.2">
      <c r="K90" s="108" t="s">
        <v>3857</v>
      </c>
      <c r="L90" s="109" t="s">
        <v>4092</v>
      </c>
      <c r="R90" s="108" t="s">
        <v>3938</v>
      </c>
      <c r="S90" s="109" t="s">
        <v>3939</v>
      </c>
    </row>
    <row r="91" spans="11:19" x14ac:dyDescent="0.2">
      <c r="K91" s="108" t="s">
        <v>3954</v>
      </c>
      <c r="L91" s="109" t="s">
        <v>3954</v>
      </c>
      <c r="R91" s="108" t="s">
        <v>3940</v>
      </c>
      <c r="S91" s="109" t="s">
        <v>3941</v>
      </c>
    </row>
    <row r="92" spans="11:19" x14ac:dyDescent="0.2">
      <c r="K92" s="108" t="s">
        <v>3981</v>
      </c>
      <c r="L92" s="109" t="s">
        <v>4093</v>
      </c>
      <c r="R92" s="108" t="s">
        <v>2837</v>
      </c>
      <c r="S92" s="109" t="s">
        <v>3942</v>
      </c>
    </row>
    <row r="93" spans="11:19" x14ac:dyDescent="0.2">
      <c r="K93" s="108" t="s">
        <v>3863</v>
      </c>
      <c r="L93" s="109" t="s">
        <v>4094</v>
      </c>
      <c r="R93" s="108" t="s">
        <v>3943</v>
      </c>
      <c r="S93" s="109" t="s">
        <v>3943</v>
      </c>
    </row>
    <row r="94" spans="11:19" x14ac:dyDescent="0.2">
      <c r="K94" s="108" t="s">
        <v>4095</v>
      </c>
      <c r="L94" s="109" t="s">
        <v>4096</v>
      </c>
      <c r="R94" s="108" t="s">
        <v>3944</v>
      </c>
      <c r="S94" s="109" t="s">
        <v>3945</v>
      </c>
    </row>
    <row r="95" spans="11:19" x14ac:dyDescent="0.2">
      <c r="K95" s="108" t="s">
        <v>3867</v>
      </c>
      <c r="L95" s="109" t="s">
        <v>4097</v>
      </c>
      <c r="R95" s="108" t="s">
        <v>3946</v>
      </c>
      <c r="S95" s="109" t="s">
        <v>3946</v>
      </c>
    </row>
    <row r="96" spans="11:19" x14ac:dyDescent="0.2">
      <c r="K96" s="108" t="s">
        <v>3861</v>
      </c>
      <c r="L96" s="109" t="s">
        <v>4098</v>
      </c>
      <c r="R96" s="108" t="s">
        <v>3947</v>
      </c>
      <c r="S96" s="109" t="s">
        <v>3948</v>
      </c>
    </row>
    <row r="97" spans="11:19" x14ac:dyDescent="0.2">
      <c r="K97" s="108" t="s">
        <v>4099</v>
      </c>
      <c r="L97" s="109" t="s">
        <v>4100</v>
      </c>
      <c r="R97" s="108" t="s">
        <v>1066</v>
      </c>
      <c r="S97" s="109" t="s">
        <v>3949</v>
      </c>
    </row>
    <row r="98" spans="11:19" x14ac:dyDescent="0.2">
      <c r="K98" s="108" t="s">
        <v>3865</v>
      </c>
      <c r="L98" s="109" t="s">
        <v>4101</v>
      </c>
      <c r="R98" s="108" t="s">
        <v>3950</v>
      </c>
      <c r="S98" s="109" t="s">
        <v>3951</v>
      </c>
    </row>
    <row r="99" spans="11:19" x14ac:dyDescent="0.2">
      <c r="K99" s="108" t="s">
        <v>3940</v>
      </c>
      <c r="L99" s="109" t="s">
        <v>4102</v>
      </c>
      <c r="R99" s="108" t="s">
        <v>3952</v>
      </c>
      <c r="S99" s="109" t="s">
        <v>3953</v>
      </c>
    </row>
    <row r="100" spans="11:19" x14ac:dyDescent="0.2">
      <c r="K100" s="108" t="s">
        <v>3895</v>
      </c>
      <c r="L100" s="109" t="s">
        <v>4103</v>
      </c>
      <c r="R100" s="108" t="s">
        <v>3954</v>
      </c>
      <c r="S100" s="109" t="s">
        <v>3954</v>
      </c>
    </row>
    <row r="101" spans="11:19" x14ac:dyDescent="0.2">
      <c r="K101" s="108" t="s">
        <v>3893</v>
      </c>
      <c r="L101" s="109" t="s">
        <v>4104</v>
      </c>
      <c r="R101" s="108" t="s">
        <v>3955</v>
      </c>
      <c r="S101" s="109" t="s">
        <v>3956</v>
      </c>
    </row>
    <row r="102" spans="11:19" x14ac:dyDescent="0.2">
      <c r="K102" s="108" t="s">
        <v>3938</v>
      </c>
      <c r="L102" s="109" t="s">
        <v>4105</v>
      </c>
      <c r="R102" s="108" t="s">
        <v>3957</v>
      </c>
      <c r="S102" s="109" t="s">
        <v>3958</v>
      </c>
    </row>
    <row r="103" spans="11:19" x14ac:dyDescent="0.2">
      <c r="K103" s="108" t="s">
        <v>3934</v>
      </c>
      <c r="L103" s="109" t="s">
        <v>4106</v>
      </c>
      <c r="R103" s="108" t="s">
        <v>3959</v>
      </c>
      <c r="S103" s="109" t="s">
        <v>3960</v>
      </c>
    </row>
    <row r="104" spans="11:19" x14ac:dyDescent="0.2">
      <c r="K104" s="108" t="s">
        <v>3914</v>
      </c>
      <c r="L104" s="109" t="s">
        <v>4107</v>
      </c>
      <c r="R104" s="108" t="s">
        <v>3961</v>
      </c>
      <c r="S104" s="109" t="s">
        <v>3962</v>
      </c>
    </row>
    <row r="105" spans="11:19" x14ac:dyDescent="0.2">
      <c r="K105" s="108" t="s">
        <v>4108</v>
      </c>
      <c r="L105" s="109" t="s">
        <v>4109</v>
      </c>
      <c r="R105" s="108" t="s">
        <v>3963</v>
      </c>
      <c r="S105" s="109" t="s">
        <v>3964</v>
      </c>
    </row>
    <row r="106" spans="11:19" x14ac:dyDescent="0.2">
      <c r="K106" s="108" t="s">
        <v>3996</v>
      </c>
      <c r="L106" s="109" t="s">
        <v>3997</v>
      </c>
      <c r="R106" s="108" t="s">
        <v>3965</v>
      </c>
      <c r="S106" s="109" t="s">
        <v>3966</v>
      </c>
    </row>
    <row r="107" spans="11:19" x14ac:dyDescent="0.2">
      <c r="K107" s="108" t="s">
        <v>4110</v>
      </c>
      <c r="L107" s="109" t="s">
        <v>4111</v>
      </c>
      <c r="R107" s="108" t="s">
        <v>3967</v>
      </c>
      <c r="S107" s="109" t="s">
        <v>3968</v>
      </c>
    </row>
    <row r="108" spans="11:19" x14ac:dyDescent="0.2">
      <c r="K108" s="108" t="s">
        <v>3959</v>
      </c>
      <c r="L108" s="109" t="s">
        <v>4112</v>
      </c>
      <c r="R108" s="108" t="s">
        <v>3969</v>
      </c>
      <c r="S108" s="109" t="s">
        <v>3970</v>
      </c>
    </row>
    <row r="109" spans="11:19" x14ac:dyDescent="0.2">
      <c r="K109" s="108" t="s">
        <v>3961</v>
      </c>
      <c r="L109" s="109" t="s">
        <v>4113</v>
      </c>
      <c r="R109" s="108" t="s">
        <v>3971</v>
      </c>
      <c r="S109" s="109" t="s">
        <v>3972</v>
      </c>
    </row>
    <row r="110" spans="11:19" x14ac:dyDescent="0.2">
      <c r="K110" s="108" t="s">
        <v>2306</v>
      </c>
      <c r="L110" s="109" t="s">
        <v>4114</v>
      </c>
      <c r="R110" s="108" t="s">
        <v>3973</v>
      </c>
      <c r="S110" s="109" t="s">
        <v>3974</v>
      </c>
    </row>
    <row r="111" spans="11:19" x14ac:dyDescent="0.2">
      <c r="K111" s="108" t="s">
        <v>4115</v>
      </c>
      <c r="L111" s="109" t="s">
        <v>4116</v>
      </c>
      <c r="R111" s="108" t="s">
        <v>3975</v>
      </c>
      <c r="S111" s="109" t="s">
        <v>3976</v>
      </c>
    </row>
    <row r="112" spans="11:19" x14ac:dyDescent="0.2">
      <c r="K112" s="108" t="s">
        <v>3969</v>
      </c>
      <c r="L112" s="109" t="s">
        <v>4117</v>
      </c>
      <c r="R112" s="108" t="s">
        <v>3977</v>
      </c>
      <c r="S112" s="109" t="s">
        <v>3978</v>
      </c>
    </row>
    <row r="113" spans="11:19" x14ac:dyDescent="0.2">
      <c r="K113" s="108" t="s">
        <v>4118</v>
      </c>
      <c r="L113" s="109" t="s">
        <v>4119</v>
      </c>
      <c r="R113" s="108" t="s">
        <v>3979</v>
      </c>
      <c r="S113" s="109" t="s">
        <v>3980</v>
      </c>
    </row>
    <row r="114" spans="11:19" x14ac:dyDescent="0.2">
      <c r="K114" s="108" t="s">
        <v>4120</v>
      </c>
      <c r="L114" s="109" t="s">
        <v>4121</v>
      </c>
      <c r="R114" s="108" t="s">
        <v>3981</v>
      </c>
      <c r="S114" s="109" t="s">
        <v>3982</v>
      </c>
    </row>
    <row r="115" spans="11:19" x14ac:dyDescent="0.2">
      <c r="K115" s="108" t="s">
        <v>4122</v>
      </c>
      <c r="L115" s="109" t="s">
        <v>4123</v>
      </c>
      <c r="R115" s="108" t="s">
        <v>3983</v>
      </c>
      <c r="S115" s="109" t="s">
        <v>3984</v>
      </c>
    </row>
    <row r="116" spans="11:19" x14ac:dyDescent="0.2">
      <c r="K116" s="108" t="s">
        <v>4124</v>
      </c>
      <c r="L116" s="109" t="s">
        <v>4125</v>
      </c>
      <c r="R116" s="108" t="s">
        <v>1972</v>
      </c>
      <c r="S116" s="109" t="s">
        <v>3985</v>
      </c>
    </row>
    <row r="117" spans="11:19" x14ac:dyDescent="0.2">
      <c r="K117" s="108" t="s">
        <v>4126</v>
      </c>
      <c r="L117" s="109" t="s">
        <v>4127</v>
      </c>
      <c r="R117" s="108" t="s">
        <v>3986</v>
      </c>
      <c r="S117" s="109" t="s">
        <v>3987</v>
      </c>
    </row>
    <row r="118" spans="11:19" x14ac:dyDescent="0.2">
      <c r="K118" s="108" t="s">
        <v>3883</v>
      </c>
      <c r="L118" s="109" t="s">
        <v>4128</v>
      </c>
      <c r="R118" s="108" t="s">
        <v>3988</v>
      </c>
      <c r="S118" s="109" t="s">
        <v>3989</v>
      </c>
    </row>
    <row r="119" spans="11:19" x14ac:dyDescent="0.2">
      <c r="K119" s="108" t="s">
        <v>4129</v>
      </c>
      <c r="L119" s="109" t="s">
        <v>4130</v>
      </c>
      <c r="R119" s="108" t="s">
        <v>3990</v>
      </c>
      <c r="S119" s="109" t="s">
        <v>3991</v>
      </c>
    </row>
    <row r="120" spans="11:19" x14ac:dyDescent="0.2">
      <c r="K120" s="108" t="s">
        <v>4131</v>
      </c>
      <c r="L120" s="109" t="s">
        <v>4132</v>
      </c>
      <c r="R120" s="108" t="s">
        <v>3992</v>
      </c>
      <c r="S120" s="109" t="s">
        <v>3993</v>
      </c>
    </row>
    <row r="121" spans="11:19" x14ac:dyDescent="0.2">
      <c r="K121" s="108" t="s">
        <v>4133</v>
      </c>
      <c r="L121" s="109" t="s">
        <v>4134</v>
      </c>
      <c r="R121" s="108" t="s">
        <v>3994</v>
      </c>
      <c r="S121" s="109" t="s">
        <v>3995</v>
      </c>
    </row>
    <row r="122" spans="11:19" x14ac:dyDescent="0.2">
      <c r="K122" s="108" t="s">
        <v>4135</v>
      </c>
      <c r="L122" s="109" t="s">
        <v>4136</v>
      </c>
      <c r="R122" s="108" t="s">
        <v>3996</v>
      </c>
      <c r="S122" s="109" t="s">
        <v>3997</v>
      </c>
    </row>
    <row r="123" spans="11:19" x14ac:dyDescent="0.2">
      <c r="K123" s="108" t="s">
        <v>4137</v>
      </c>
      <c r="L123" s="109" t="s">
        <v>4138</v>
      </c>
      <c r="R123" s="108" t="s">
        <v>3998</v>
      </c>
      <c r="S123" s="109" t="s">
        <v>3999</v>
      </c>
    </row>
    <row r="124" spans="11:19" x14ac:dyDescent="0.2">
      <c r="R124" s="108" t="s">
        <v>4000</v>
      </c>
      <c r="S124" s="109" t="s">
        <v>4001</v>
      </c>
    </row>
    <row r="125" spans="11:19" x14ac:dyDescent="0.2">
      <c r="R125" s="108" t="s">
        <v>4002</v>
      </c>
      <c r="S125" s="109" t="s">
        <v>4003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B53-993F-5842-BD00-7073A0544369}">
  <sheetPr>
    <tabColor theme="8"/>
  </sheetPr>
  <dimension ref="A1:K24"/>
  <sheetViews>
    <sheetView zoomScale="150" zoomScaleNormal="150" workbookViewId="0">
      <selection activeCell="H17" sqref="H17"/>
    </sheetView>
  </sheetViews>
  <sheetFormatPr baseColWidth="10" defaultRowHeight="15" x14ac:dyDescent="0.2"/>
  <cols>
    <col min="1" max="1" width="12.5" bestFit="1" customWidth="1"/>
    <col min="3" max="3" width="15.5" bestFit="1" customWidth="1"/>
    <col min="4" max="4" width="32.83203125" customWidth="1"/>
  </cols>
  <sheetData>
    <row r="1" spans="1:11" x14ac:dyDescent="0.2">
      <c r="A1" s="18" t="s">
        <v>1894</v>
      </c>
      <c r="B1" s="18" t="s">
        <v>1646</v>
      </c>
      <c r="C1" s="18" t="s">
        <v>4153</v>
      </c>
    </row>
    <row r="2" spans="1:11" x14ac:dyDescent="0.2">
      <c r="A2" s="39" t="s">
        <v>1590</v>
      </c>
      <c r="B2" s="18" t="s">
        <v>4154</v>
      </c>
      <c r="C2" t="s">
        <v>2150</v>
      </c>
      <c r="H2">
        <v>212047</v>
      </c>
      <c r="I2" s="34" t="s">
        <v>1031</v>
      </c>
      <c r="J2" s="18" t="s">
        <v>4155</v>
      </c>
    </row>
    <row r="3" spans="1:11" x14ac:dyDescent="0.2">
      <c r="A3" s="39"/>
      <c r="B3" s="18"/>
      <c r="D3" s="18"/>
      <c r="H3">
        <v>210703</v>
      </c>
      <c r="J3" s="18" t="s">
        <v>4157</v>
      </c>
      <c r="K3" s="18" t="s">
        <v>4158</v>
      </c>
    </row>
    <row r="4" spans="1:11" x14ac:dyDescent="0.2">
      <c r="A4" s="126" t="s">
        <v>1590</v>
      </c>
      <c r="B4" s="68" t="s">
        <v>4154</v>
      </c>
      <c r="C4" s="126" t="s">
        <v>1988</v>
      </c>
      <c r="H4" s="18" t="s">
        <v>4159</v>
      </c>
      <c r="J4" s="18" t="s">
        <v>996</v>
      </c>
    </row>
    <row r="5" spans="1:11" x14ac:dyDescent="0.2">
      <c r="A5" s="39"/>
      <c r="B5" s="18"/>
      <c r="C5" s="39"/>
      <c r="D5" s="18"/>
    </row>
    <row r="6" spans="1:11" x14ac:dyDescent="0.2">
      <c r="A6" s="39"/>
      <c r="B6" s="18"/>
    </row>
    <row r="7" spans="1:11" x14ac:dyDescent="0.2">
      <c r="A7" s="39" t="s">
        <v>1640</v>
      </c>
      <c r="B7" s="18" t="s">
        <v>4156</v>
      </c>
      <c r="C7" s="39" t="s">
        <v>2944</v>
      </c>
      <c r="D7" s="18" t="s">
        <v>4160</v>
      </c>
    </row>
    <row r="8" spans="1:11" x14ac:dyDescent="0.2">
      <c r="A8" s="39" t="s">
        <v>1588</v>
      </c>
      <c r="B8" s="18" t="s">
        <v>4066</v>
      </c>
      <c r="C8" s="39" t="s">
        <v>2113</v>
      </c>
    </row>
    <row r="9" spans="1:11" x14ac:dyDescent="0.2">
      <c r="A9" s="39" t="s">
        <v>3908</v>
      </c>
      <c r="B9" s="18" t="s">
        <v>2253</v>
      </c>
      <c r="C9" s="39" t="s">
        <v>2255</v>
      </c>
      <c r="D9" s="18" t="s">
        <v>4161</v>
      </c>
    </row>
    <row r="10" spans="1:11" x14ac:dyDescent="0.2">
      <c r="A10" s="39" t="s">
        <v>3826</v>
      </c>
      <c r="B10" s="18" t="s">
        <v>3220</v>
      </c>
      <c r="C10" s="39" t="s">
        <v>3219</v>
      </c>
      <c r="D10" s="18" t="s">
        <v>4162</v>
      </c>
    </row>
    <row r="12" spans="1:11" x14ac:dyDescent="0.2">
      <c r="H12" s="18" t="s">
        <v>4163</v>
      </c>
    </row>
    <row r="16" spans="1:11" x14ac:dyDescent="0.2">
      <c r="H16" s="18" t="s">
        <v>4177</v>
      </c>
    </row>
    <row r="20" spans="8:9" x14ac:dyDescent="0.2">
      <c r="H20" s="18"/>
      <c r="I20" s="18"/>
    </row>
    <row r="22" spans="8:9" x14ac:dyDescent="0.2">
      <c r="H22" t="s">
        <v>4164</v>
      </c>
    </row>
    <row r="24" spans="8:9" x14ac:dyDescent="0.2">
      <c r="H24" s="18" t="s">
        <v>4165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</sheetPr>
  <dimension ref="A1:AR169"/>
  <sheetViews>
    <sheetView topLeftCell="AA1" zoomScale="150" zoomScaleNormal="150" workbookViewId="0">
      <pane ySplit="4" topLeftCell="A92" activePane="bottomLeft" state="frozen"/>
      <selection activeCell="D4" sqref="D4"/>
      <selection pane="bottomLeft" activeCell="AO118" sqref="AO118"/>
    </sheetView>
  </sheetViews>
  <sheetFormatPr baseColWidth="10" defaultColWidth="8.83203125" defaultRowHeight="15" x14ac:dyDescent="0.2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hidden="1" customWidth="1"/>
    <col min="6" max="6" width="10.83203125" hidden="1" customWidth="1"/>
    <col min="7" max="7" width="23.6640625" customWidth="1"/>
    <col min="8" max="8" width="15.6640625" hidden="1" customWidth="1"/>
    <col min="9" max="9" width="30.6640625" hidden="1" customWidth="1"/>
    <col min="10" max="10" width="34.6640625" hidden="1" customWidth="1"/>
    <col min="11" max="11" width="18.83203125" hidden="1" customWidth="1"/>
    <col min="12" max="12" width="12" hidden="1" customWidth="1"/>
    <col min="13" max="13" width="13" hidden="1" customWidth="1"/>
    <col min="14" max="14" width="12.83203125" hidden="1" customWidth="1"/>
    <col min="15" max="15" width="17.6640625" hidden="1" customWidth="1"/>
    <col min="16" max="16" width="13.6640625" customWidth="1"/>
    <col min="17" max="17" width="15.6640625" hidden="1" customWidth="1"/>
    <col min="18" max="18" width="24.6640625" hidden="1" customWidth="1"/>
    <col min="19" max="19" width="20.6640625" hidden="1" customWidth="1"/>
    <col min="20" max="20" width="27.6640625" hidden="1" customWidth="1"/>
    <col min="21" max="21" width="29.6640625" hidden="1" customWidth="1"/>
    <col min="22" max="22" width="22.6640625" hidden="1" customWidth="1"/>
    <col min="23" max="23" width="32.6640625" hidden="1" customWidth="1"/>
    <col min="24" max="24" width="22.6640625" hidden="1" customWidth="1"/>
    <col min="25" max="25" width="15.6640625" hidden="1" customWidth="1"/>
    <col min="26" max="26" width="41.6640625" hidden="1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 x14ac:dyDescent="0.2">
      <c r="A1" s="1" t="s">
        <v>0</v>
      </c>
      <c r="B1" t="s">
        <v>1</v>
      </c>
      <c r="H1" s="14" t="s">
        <v>1055</v>
      </c>
      <c r="I1" s="13" t="s">
        <v>1054</v>
      </c>
      <c r="R1" s="18" t="s">
        <v>1871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1867</v>
      </c>
      <c r="AD1" s="18" t="s">
        <v>1869</v>
      </c>
      <c r="AE1" s="18" t="s">
        <v>1868</v>
      </c>
      <c r="AF1" s="18" t="s">
        <v>1870</v>
      </c>
      <c r="AG1" s="18" t="s">
        <v>1870</v>
      </c>
      <c r="AO1" s="18" t="s">
        <v>3012</v>
      </c>
      <c r="AR1" s="18" t="s">
        <v>1866</v>
      </c>
    </row>
    <row r="2" spans="1:44" x14ac:dyDescent="0.2">
      <c r="A2" s="1" t="s">
        <v>2</v>
      </c>
      <c r="B2" t="s">
        <v>3</v>
      </c>
      <c r="H2" s="15" t="s">
        <v>1056</v>
      </c>
      <c r="AO2" s="18" t="s">
        <v>3013</v>
      </c>
    </row>
    <row r="3" spans="1:44" x14ac:dyDescent="0.2">
      <c r="A3" s="1" t="s">
        <v>4</v>
      </c>
      <c r="B3" t="s">
        <v>5</v>
      </c>
      <c r="H3" s="16" t="s">
        <v>1057</v>
      </c>
    </row>
    <row r="4" spans="1:44" x14ac:dyDescent="0.2">
      <c r="A4" s="2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69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3009</v>
      </c>
      <c r="AD4" s="19" t="s">
        <v>1062</v>
      </c>
      <c r="AE4" s="19" t="s">
        <v>1063</v>
      </c>
      <c r="AF4" s="19" t="s">
        <v>1064</v>
      </c>
      <c r="AG4" s="19" t="s">
        <v>1413</v>
      </c>
      <c r="AH4" s="19" t="s">
        <v>1893</v>
      </c>
      <c r="AI4" s="19" t="s">
        <v>1414</v>
      </c>
      <c r="AJ4" s="19" t="s">
        <v>1415</v>
      </c>
      <c r="AK4" s="19" t="s">
        <v>1428</v>
      </c>
      <c r="AL4" s="19" t="s">
        <v>1429</v>
      </c>
      <c r="AM4" s="19" t="s">
        <v>1430</v>
      </c>
      <c r="AN4" s="19" t="s">
        <v>3010</v>
      </c>
      <c r="AO4" s="19" t="s">
        <v>3011</v>
      </c>
      <c r="AP4" s="19"/>
      <c r="AQ4" s="19"/>
      <c r="AR4" s="19"/>
    </row>
    <row r="5" spans="1:44" x14ac:dyDescent="0.2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2">
        <v>45733</v>
      </c>
      <c r="M5" s="62"/>
      <c r="N5" s="62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</row>
    <row r="6" spans="1:44" x14ac:dyDescent="0.2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2">
        <v>46188</v>
      </c>
      <c r="M6" s="62"/>
      <c r="N6" s="62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</row>
    <row r="7" spans="1:44" x14ac:dyDescent="0.2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3070</v>
      </c>
      <c r="J7" s="34" t="s">
        <v>75</v>
      </c>
      <c r="K7" s="34" t="s">
        <v>76</v>
      </c>
      <c r="L7" s="62">
        <v>46160</v>
      </c>
      <c r="M7" s="62"/>
      <c r="N7" s="62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</row>
    <row r="8" spans="1:44" x14ac:dyDescent="0.2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2">
        <v>45392</v>
      </c>
      <c r="M8" s="62"/>
      <c r="N8" s="62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</row>
    <row r="9" spans="1:44" x14ac:dyDescent="0.2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2">
        <v>44550</v>
      </c>
      <c r="M9" s="62"/>
      <c r="N9" s="62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</row>
    <row r="10" spans="1:44" x14ac:dyDescent="0.2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2">
        <v>43710</v>
      </c>
      <c r="M10" s="62"/>
      <c r="N10" s="62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</row>
    <row r="11" spans="1:44" x14ac:dyDescent="0.2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2">
        <v>46258</v>
      </c>
      <c r="M11" s="62"/>
      <c r="N11" s="62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</row>
    <row r="12" spans="1:44" x14ac:dyDescent="0.2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2">
        <v>44732</v>
      </c>
      <c r="M12" s="62"/>
      <c r="N12" s="62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</v>
      </c>
      <c r="AH12" s="96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</row>
    <row r="13" spans="1:44" x14ac:dyDescent="0.2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2">
        <v>44949</v>
      </c>
      <c r="M13" s="62"/>
      <c r="N13" s="62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</row>
    <row r="14" spans="1:44" x14ac:dyDescent="0.2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2">
        <v>46083</v>
      </c>
      <c r="M14" s="62"/>
      <c r="N14" s="62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</row>
    <row r="15" spans="1:44" x14ac:dyDescent="0.2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2">
        <v>46202</v>
      </c>
      <c r="M15" s="62"/>
      <c r="N15" s="62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</row>
    <row r="16" spans="1:44" x14ac:dyDescent="0.2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2">
        <v>45929</v>
      </c>
      <c r="M16" s="62"/>
      <c r="N16" s="62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</row>
    <row r="17" spans="1:41" x14ac:dyDescent="0.2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2">
        <v>45937</v>
      </c>
      <c r="M17" s="62"/>
      <c r="N17" s="62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</row>
    <row r="18" spans="1:41" x14ac:dyDescent="0.2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3071</v>
      </c>
      <c r="I18" s="34" t="s">
        <v>183</v>
      </c>
      <c r="J18" s="34" t="s">
        <v>184</v>
      </c>
      <c r="K18" s="34" t="s">
        <v>185</v>
      </c>
      <c r="L18" s="62">
        <v>45565</v>
      </c>
      <c r="M18" s="62"/>
      <c r="N18" s="62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</row>
    <row r="19" spans="1:41" x14ac:dyDescent="0.2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2">
        <v>45131</v>
      </c>
      <c r="M19" s="62"/>
      <c r="N19" s="62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</row>
    <row r="20" spans="1:41" x14ac:dyDescent="0.2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2">
        <v>45502</v>
      </c>
      <c r="M20" s="62"/>
      <c r="N20" s="62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</row>
    <row r="21" spans="1:41" x14ac:dyDescent="0.2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2">
        <v>34736</v>
      </c>
      <c r="M21" s="62"/>
      <c r="N21" s="62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</row>
    <row r="22" spans="1:41" x14ac:dyDescent="0.2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2">
        <v>45033</v>
      </c>
      <c r="M22" s="62"/>
      <c r="N22" s="62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</row>
    <row r="23" spans="1:41" x14ac:dyDescent="0.2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3071</v>
      </c>
      <c r="I23" s="34" t="s">
        <v>260</v>
      </c>
      <c r="J23" s="34" t="s">
        <v>261</v>
      </c>
      <c r="K23" s="34" t="s">
        <v>262</v>
      </c>
      <c r="L23" s="62">
        <v>45719</v>
      </c>
      <c r="M23" s="62"/>
      <c r="N23" s="62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</row>
    <row r="24" spans="1:41" x14ac:dyDescent="0.2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3072</v>
      </c>
      <c r="J24" s="34" t="s">
        <v>269</v>
      </c>
      <c r="K24" s="34" t="s">
        <v>270</v>
      </c>
      <c r="L24" s="62">
        <v>44529</v>
      </c>
      <c r="M24" s="62"/>
      <c r="N24" s="62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</row>
    <row r="25" spans="1:41" x14ac:dyDescent="0.2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2">
        <v>41386</v>
      </c>
      <c r="M25" s="62"/>
      <c r="N25" s="62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</row>
    <row r="26" spans="1:41" x14ac:dyDescent="0.2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2">
        <v>45971</v>
      </c>
      <c r="M26" s="62"/>
      <c r="N26" s="62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</row>
    <row r="27" spans="1:41" x14ac:dyDescent="0.2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2">
        <v>43192</v>
      </c>
      <c r="M27" s="62"/>
      <c r="N27" s="62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</row>
    <row r="28" spans="1:41" x14ac:dyDescent="0.2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2">
        <v>46160</v>
      </c>
      <c r="M28" s="62"/>
      <c r="N28" s="62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</row>
    <row r="29" spans="1:41" x14ac:dyDescent="0.2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3071</v>
      </c>
      <c r="I29" s="34" t="s">
        <v>311</v>
      </c>
      <c r="J29" s="34" t="s">
        <v>36</v>
      </c>
      <c r="K29" s="34" t="s">
        <v>312</v>
      </c>
      <c r="L29" s="62">
        <v>45957</v>
      </c>
      <c r="M29" s="62"/>
      <c r="N29" s="62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</row>
    <row r="30" spans="1:41" x14ac:dyDescent="0.2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2">
        <v>37424</v>
      </c>
      <c r="M30" s="62"/>
      <c r="N30" s="62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</row>
    <row r="31" spans="1:41" x14ac:dyDescent="0.2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2">
        <v>44620</v>
      </c>
      <c r="M31" s="62"/>
      <c r="N31" s="62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</row>
    <row r="32" spans="1:41" x14ac:dyDescent="0.2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2">
        <v>45754</v>
      </c>
      <c r="M32" s="62"/>
      <c r="N32" s="62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</row>
    <row r="33" spans="1:41" x14ac:dyDescent="0.2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2">
        <v>43885</v>
      </c>
      <c r="M33" s="62"/>
      <c r="N33" s="62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</row>
    <row r="34" spans="1:41" x14ac:dyDescent="0.2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2">
        <v>41422</v>
      </c>
      <c r="M34" s="62"/>
      <c r="N34" s="62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N</v>
      </c>
    </row>
    <row r="35" spans="1:41" x14ac:dyDescent="0.2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2">
        <v>37599</v>
      </c>
      <c r="M35" s="62"/>
      <c r="N35" s="62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</row>
    <row r="36" spans="1:41" x14ac:dyDescent="0.2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2">
        <v>45838</v>
      </c>
      <c r="M36" s="62"/>
      <c r="N36" s="62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</row>
    <row r="37" spans="1:41" x14ac:dyDescent="0.2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2">
        <v>45719</v>
      </c>
      <c r="M37" s="62"/>
      <c r="N37" s="62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2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</row>
    <row r="38" spans="1:41" x14ac:dyDescent="0.2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2">
        <v>37410</v>
      </c>
      <c r="M38" s="62"/>
      <c r="N38" s="62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2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</row>
    <row r="39" spans="1:41" x14ac:dyDescent="0.2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2">
        <v>37704</v>
      </c>
      <c r="M39" s="62"/>
      <c r="N39" s="62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2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</row>
    <row r="40" spans="1:41" x14ac:dyDescent="0.2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2">
        <v>46265</v>
      </c>
      <c r="M40" s="62"/>
      <c r="N40" s="62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2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</row>
    <row r="41" spans="1:41" x14ac:dyDescent="0.2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2">
        <v>45789</v>
      </c>
      <c r="M41" s="62"/>
      <c r="N41" s="62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2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</row>
    <row r="42" spans="1:41" x14ac:dyDescent="0.2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2">
        <v>46181</v>
      </c>
      <c r="M42" s="62"/>
      <c r="N42" s="62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2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</row>
    <row r="43" spans="1:41" x14ac:dyDescent="0.2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3073</v>
      </c>
      <c r="J43" s="34" t="s">
        <v>453</v>
      </c>
      <c r="K43" s="34" t="s">
        <v>454</v>
      </c>
      <c r="L43" s="62">
        <v>46153</v>
      </c>
      <c r="M43" s="62"/>
      <c r="N43" s="62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2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</row>
    <row r="44" spans="1:41" x14ac:dyDescent="0.2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2">
        <v>44333</v>
      </c>
      <c r="M44" s="62"/>
      <c r="N44" s="62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2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</row>
    <row r="45" spans="1:41" x14ac:dyDescent="0.2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2">
        <v>45566</v>
      </c>
      <c r="M45" s="62"/>
      <c r="N45" s="62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2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</row>
    <row r="46" spans="1:41" x14ac:dyDescent="0.2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2">
        <v>42072</v>
      </c>
      <c r="M46" s="62"/>
      <c r="N46" s="62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2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</row>
    <row r="47" spans="1:41" x14ac:dyDescent="0.2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2">
        <v>44893</v>
      </c>
      <c r="M47" s="62"/>
      <c r="N47" s="62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2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</row>
    <row r="48" spans="1:41" x14ac:dyDescent="0.2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2">
        <v>46125</v>
      </c>
      <c r="M48" s="62"/>
      <c r="N48" s="62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2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</row>
    <row r="49" spans="1:41" x14ac:dyDescent="0.2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2">
        <v>44893</v>
      </c>
      <c r="M49" s="62"/>
      <c r="N49" s="62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2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</row>
    <row r="50" spans="1:41" x14ac:dyDescent="0.2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2">
        <v>45502</v>
      </c>
      <c r="M50" s="62"/>
      <c r="N50" s="62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2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</row>
    <row r="51" spans="1:41" x14ac:dyDescent="0.2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2">
        <v>45481</v>
      </c>
      <c r="M51" s="62"/>
      <c r="N51" s="62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2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</row>
    <row r="52" spans="1:41" x14ac:dyDescent="0.2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2">
        <v>31049</v>
      </c>
      <c r="M52" s="62"/>
      <c r="N52" s="62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2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</row>
    <row r="53" spans="1:41" x14ac:dyDescent="0.2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2">
        <v>43101</v>
      </c>
      <c r="M53" s="62"/>
      <c r="N53" s="62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2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</row>
    <row r="54" spans="1:41" x14ac:dyDescent="0.2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2">
        <v>45768</v>
      </c>
      <c r="M54" s="62"/>
      <c r="N54" s="62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2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</row>
    <row r="55" spans="1:41" x14ac:dyDescent="0.2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2">
        <v>44410</v>
      </c>
      <c r="M55" s="62"/>
      <c r="N55" s="62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2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</row>
    <row r="56" spans="1:41" x14ac:dyDescent="0.2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2">
        <v>42828</v>
      </c>
      <c r="M56" s="62"/>
      <c r="N56" s="62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2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</row>
    <row r="57" spans="1:41" x14ac:dyDescent="0.2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2">
        <v>45895</v>
      </c>
      <c r="M57" s="62"/>
      <c r="N57" s="62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2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</row>
    <row r="58" spans="1:41" x14ac:dyDescent="0.2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2">
        <v>45712</v>
      </c>
      <c r="M58" s="62"/>
      <c r="N58" s="62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2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</row>
    <row r="59" spans="1:41" x14ac:dyDescent="0.2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2">
        <v>46174</v>
      </c>
      <c r="M59" s="62"/>
      <c r="N59" s="62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2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</row>
    <row r="60" spans="1:41" x14ac:dyDescent="0.2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3071</v>
      </c>
      <c r="I60" s="34" t="s">
        <v>610</v>
      </c>
      <c r="J60" s="34" t="s">
        <v>36</v>
      </c>
      <c r="K60" s="34" t="s">
        <v>262</v>
      </c>
      <c r="L60" s="62">
        <v>45705</v>
      </c>
      <c r="M60" s="62"/>
      <c r="N60" s="62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2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</row>
    <row r="61" spans="1:41" x14ac:dyDescent="0.2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2">
        <v>45397</v>
      </c>
      <c r="M61" s="62"/>
      <c r="N61" s="62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2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</row>
    <row r="62" spans="1:41" x14ac:dyDescent="0.2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2">
        <v>46078</v>
      </c>
      <c r="M62" s="62"/>
      <c r="N62" s="62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2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</row>
    <row r="63" spans="1:41" x14ac:dyDescent="0.2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2">
        <v>45923</v>
      </c>
      <c r="M63" s="62"/>
      <c r="N63" s="62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2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</row>
    <row r="64" spans="1:41" x14ac:dyDescent="0.2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2">
        <v>34869</v>
      </c>
      <c r="M64" s="62"/>
      <c r="N64" s="62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2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</row>
    <row r="65" spans="1:41" x14ac:dyDescent="0.2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2">
        <v>44270</v>
      </c>
      <c r="M65" s="62"/>
      <c r="N65" s="62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2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</row>
    <row r="66" spans="1:41" x14ac:dyDescent="0.2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2">
        <v>43283</v>
      </c>
      <c r="M66" s="62"/>
      <c r="N66" s="62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2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</row>
    <row r="67" spans="1:41" x14ac:dyDescent="0.2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2">
        <v>46223</v>
      </c>
      <c r="M67" s="62"/>
      <c r="N67" s="62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2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</row>
    <row r="68" spans="1:41" x14ac:dyDescent="0.2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2">
        <v>43388</v>
      </c>
      <c r="M68" s="62"/>
      <c r="N68" s="62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2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</row>
    <row r="69" spans="1:41" x14ac:dyDescent="0.2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2">
        <v>38887</v>
      </c>
      <c r="M69" s="62"/>
      <c r="N69" s="62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3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</row>
    <row r="70" spans="1:41" x14ac:dyDescent="0.2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2">
        <v>41771</v>
      </c>
      <c r="M70" s="62"/>
      <c r="N70" s="62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3"/>
        <v/>
      </c>
      <c r="AM70" t="str">
        <f>IFERROR(VLOOKUP(O70,'Status Map'!A:B,2,FALSE),"Position Status Not Mapped")</f>
        <v>Y</v>
      </c>
      <c r="AN70" t="str">
        <f t="shared" ref="AN70:AN133" si="4">IF(AM70="N",TEXT(M70,"yyyymmdd"),"")</f>
        <v/>
      </c>
      <c r="AO70" t="str">
        <f>IFERROR(VLOOKUP(P70,'Invoice Exception Map'!A:C,3,FALSE),IF(AH70&gt;0,"Y","N"))</f>
        <v>N</v>
      </c>
    </row>
    <row r="71" spans="1:41" x14ac:dyDescent="0.2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2">
        <v>35338</v>
      </c>
      <c r="M71" s="62"/>
      <c r="N71" s="62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3"/>
        <v/>
      </c>
      <c r="AM71" t="str">
        <f>IFERROR(VLOOKUP(O71,'Status Map'!A:B,2,FALSE),"Position Status Not Mapped")</f>
        <v>Y</v>
      </c>
      <c r="AN71" t="str">
        <f t="shared" si="4"/>
        <v/>
      </c>
      <c r="AO71" t="str">
        <f>IFERROR(VLOOKUP(P71,'Invoice Exception Map'!A:C,3,FALSE),IF(AH71&gt;0,"Y","N"))</f>
        <v>Y</v>
      </c>
    </row>
    <row r="72" spans="1:41" x14ac:dyDescent="0.2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2">
        <v>45040</v>
      </c>
      <c r="M72" s="62"/>
      <c r="N72" s="62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3"/>
        <v/>
      </c>
      <c r="AM72" t="str">
        <f>IFERROR(VLOOKUP(O72,'Status Map'!A:B,2,FALSE),"Position Status Not Mapped")</f>
        <v>Y</v>
      </c>
      <c r="AN72" t="str">
        <f t="shared" si="4"/>
        <v/>
      </c>
      <c r="AO72" t="str">
        <f>IFERROR(VLOOKUP(P72,'Invoice Exception Map'!A:C,3,FALSE),IF(AH72&gt;0,"Y","N"))</f>
        <v>N</v>
      </c>
    </row>
    <row r="73" spans="1:41" x14ac:dyDescent="0.2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2">
        <v>35947</v>
      </c>
      <c r="M73" s="62"/>
      <c r="N73" s="62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3"/>
        <v/>
      </c>
      <c r="AM73" t="str">
        <f>IFERROR(VLOOKUP(O73,'Status Map'!A:B,2,FALSE),"Position Status Not Mapped")</f>
        <v>Y</v>
      </c>
      <c r="AN73" t="str">
        <f t="shared" si="4"/>
        <v/>
      </c>
      <c r="AO73" t="str">
        <f>IFERROR(VLOOKUP(P73,'Invoice Exception Map'!A:C,3,FALSE),IF(AH73&gt;0,"Y","N"))</f>
        <v>Y</v>
      </c>
    </row>
    <row r="74" spans="1:41" x14ac:dyDescent="0.2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2">
        <v>46153</v>
      </c>
      <c r="M74" s="62"/>
      <c r="N74" s="62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3"/>
        <v/>
      </c>
      <c r="AM74" t="str">
        <f>IFERROR(VLOOKUP(O74,'Status Map'!A:B,2,FALSE),"Position Status Not Mapped")</f>
        <v>Y</v>
      </c>
      <c r="AN74" t="str">
        <f t="shared" si="4"/>
        <v/>
      </c>
      <c r="AO74" t="str">
        <f>IFERROR(VLOOKUP(P74,'Invoice Exception Map'!A:C,3,FALSE),IF(AH74&gt;0,"Y","N"))</f>
        <v>N</v>
      </c>
    </row>
    <row r="75" spans="1:41" x14ac:dyDescent="0.2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2">
        <v>45832</v>
      </c>
      <c r="M75" s="62"/>
      <c r="N75" s="62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3"/>
        <v/>
      </c>
      <c r="AM75" t="str">
        <f>IFERROR(VLOOKUP(O75,'Status Map'!A:B,2,FALSE),"Position Status Not Mapped")</f>
        <v>Y</v>
      </c>
      <c r="AN75" t="str">
        <f t="shared" si="4"/>
        <v/>
      </c>
      <c r="AO75" t="str">
        <f>IFERROR(VLOOKUP(P75,'Invoice Exception Map'!A:C,3,FALSE),IF(AH75&gt;0,"Y","N"))</f>
        <v>N</v>
      </c>
    </row>
    <row r="76" spans="1:41" x14ac:dyDescent="0.2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2">
        <v>45953</v>
      </c>
      <c r="M76" s="62"/>
      <c r="N76" s="62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3"/>
        <v/>
      </c>
      <c r="AM76" t="str">
        <f>IFERROR(VLOOKUP(O76,'Status Map'!A:B,2,FALSE),"Position Status Not Mapped")</f>
        <v>Y</v>
      </c>
      <c r="AN76" t="str">
        <f t="shared" si="4"/>
        <v/>
      </c>
      <c r="AO76" t="str">
        <f>IFERROR(VLOOKUP(P76,'Invoice Exception Map'!A:C,3,FALSE),IF(AH76&gt;0,"Y","N"))</f>
        <v>Y</v>
      </c>
    </row>
    <row r="77" spans="1:41" x14ac:dyDescent="0.2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3074</v>
      </c>
      <c r="I77" s="34" t="s">
        <v>756</v>
      </c>
      <c r="J77" s="34" t="s">
        <v>757</v>
      </c>
      <c r="K77" s="34" t="s">
        <v>758</v>
      </c>
      <c r="L77" s="62">
        <v>44837</v>
      </c>
      <c r="M77" s="62"/>
      <c r="N77" s="62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3"/>
        <v/>
      </c>
      <c r="AM77" t="str">
        <f>IFERROR(VLOOKUP(O77,'Status Map'!A:B,2,FALSE),"Position Status Not Mapped")</f>
        <v>Y</v>
      </c>
      <c r="AN77" t="str">
        <f t="shared" si="4"/>
        <v/>
      </c>
      <c r="AO77" t="str">
        <f>IFERROR(VLOOKUP(P77,'Invoice Exception Map'!A:C,3,FALSE),IF(AH77&gt;0,"Y","N"))</f>
        <v>Y</v>
      </c>
    </row>
    <row r="78" spans="1:41" x14ac:dyDescent="0.2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2">
        <v>45964</v>
      </c>
      <c r="M78" s="62"/>
      <c r="N78" s="62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3"/>
        <v/>
      </c>
      <c r="AM78" t="str">
        <f>IFERROR(VLOOKUP(O78,'Status Map'!A:B,2,FALSE),"Position Status Not Mapped")</f>
        <v>Y</v>
      </c>
      <c r="AN78" t="str">
        <f t="shared" si="4"/>
        <v/>
      </c>
      <c r="AO78" t="str">
        <f>IFERROR(VLOOKUP(P78,'Invoice Exception Map'!A:C,3,FALSE),IF(AH78&gt;0,"Y","N"))</f>
        <v>Y</v>
      </c>
    </row>
    <row r="79" spans="1:41" x14ac:dyDescent="0.2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2">
        <v>45831</v>
      </c>
      <c r="M79" s="62"/>
      <c r="N79" s="62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3"/>
        <v/>
      </c>
      <c r="AM79" t="str">
        <f>IFERROR(VLOOKUP(O79,'Status Map'!A:B,2,FALSE),"Position Status Not Mapped")</f>
        <v>Y</v>
      </c>
      <c r="AN79" t="str">
        <f t="shared" si="4"/>
        <v/>
      </c>
      <c r="AO79" t="str">
        <f>IFERROR(VLOOKUP(P79,'Invoice Exception Map'!A:C,3,FALSE),IF(AH79&gt;0,"Y","N"))</f>
        <v>N</v>
      </c>
    </row>
    <row r="80" spans="1:41" x14ac:dyDescent="0.2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2">
        <v>46237</v>
      </c>
      <c r="M80" s="62"/>
      <c r="N80" s="62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3"/>
        <v/>
      </c>
      <c r="AM80" t="str">
        <f>IFERROR(VLOOKUP(O80,'Status Map'!A:B,2,FALSE),"Position Status Not Mapped")</f>
        <v>Y</v>
      </c>
      <c r="AN80" t="str">
        <f t="shared" si="4"/>
        <v/>
      </c>
      <c r="AO80" t="str">
        <f>IFERROR(VLOOKUP(P80,'Invoice Exception Map'!A:C,3,FALSE),IF(AH80&gt;0,"Y","N"))</f>
        <v>N</v>
      </c>
    </row>
    <row r="81" spans="1:41" x14ac:dyDescent="0.2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2">
        <v>43836</v>
      </c>
      <c r="M81" s="62"/>
      <c r="N81" s="62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3"/>
        <v/>
      </c>
      <c r="AM81" t="str">
        <f>IFERROR(VLOOKUP(O81,'Status Map'!A:B,2,FALSE),"Position Status Not Mapped")</f>
        <v>Y</v>
      </c>
      <c r="AN81" t="str">
        <f t="shared" si="4"/>
        <v/>
      </c>
      <c r="AO81" t="str">
        <f>IFERROR(VLOOKUP(P81,'Invoice Exception Map'!A:C,3,FALSE),IF(AH81&gt;0,"Y","N"))</f>
        <v>N</v>
      </c>
    </row>
    <row r="82" spans="1:41" x14ac:dyDescent="0.2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2">
        <v>41407</v>
      </c>
      <c r="M82" s="62"/>
      <c r="N82" s="62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3"/>
        <v/>
      </c>
      <c r="AM82" t="str">
        <f>IFERROR(VLOOKUP(O82,'Status Map'!A:B,2,FALSE),"Position Status Not Mapped")</f>
        <v>Y</v>
      </c>
      <c r="AN82" t="str">
        <f t="shared" si="4"/>
        <v/>
      </c>
      <c r="AO82" t="str">
        <f>IFERROR(VLOOKUP(P82,'Invoice Exception Map'!A:C,3,FALSE),IF(AH82&gt;0,"Y","N"))</f>
        <v>N</v>
      </c>
    </row>
    <row r="83" spans="1:41" x14ac:dyDescent="0.2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2">
        <v>45909</v>
      </c>
      <c r="M83" s="62"/>
      <c r="N83" s="62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3"/>
        <v/>
      </c>
      <c r="AM83" t="str">
        <f>IFERROR(VLOOKUP(O83,'Status Map'!A:B,2,FALSE),"Position Status Not Mapped")</f>
        <v>Y</v>
      </c>
      <c r="AN83" t="str">
        <f t="shared" si="4"/>
        <v/>
      </c>
      <c r="AO83" t="str">
        <f>IFERROR(VLOOKUP(P83,'Invoice Exception Map'!A:C,3,FALSE),IF(AH83&gt;0,"Y","N"))</f>
        <v>N</v>
      </c>
    </row>
    <row r="84" spans="1:41" x14ac:dyDescent="0.2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2">
        <v>45593</v>
      </c>
      <c r="M84" s="62"/>
      <c r="N84" s="62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3"/>
        <v/>
      </c>
      <c r="AM84" t="str">
        <f>IFERROR(VLOOKUP(O84,'Status Map'!A:B,2,FALSE),"Position Status Not Mapped")</f>
        <v>Y</v>
      </c>
      <c r="AN84" t="str">
        <f t="shared" si="4"/>
        <v/>
      </c>
      <c r="AO84" t="str">
        <f>IFERROR(VLOOKUP(P84,'Invoice Exception Map'!A:C,3,FALSE),IF(AH84&gt;0,"Y","N"))</f>
        <v>N</v>
      </c>
    </row>
    <row r="85" spans="1:41" x14ac:dyDescent="0.2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2">
        <v>43836</v>
      </c>
      <c r="M85" s="62"/>
      <c r="N85" s="62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3"/>
        <v/>
      </c>
      <c r="AM85" t="str">
        <f>IFERROR(VLOOKUP(O85,'Status Map'!A:B,2,FALSE),"Position Status Not Mapped")</f>
        <v>Y</v>
      </c>
      <c r="AN85" t="str">
        <f t="shared" si="4"/>
        <v/>
      </c>
      <c r="AO85" t="str">
        <f>IFERROR(VLOOKUP(P85,'Invoice Exception Map'!A:C,3,FALSE),IF(AH85&gt;0,"Y","N"))</f>
        <v>N</v>
      </c>
    </row>
    <row r="86" spans="1:41" x14ac:dyDescent="0.2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2">
        <v>44529</v>
      </c>
      <c r="M86" s="62"/>
      <c r="N86" s="62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3"/>
        <v/>
      </c>
      <c r="AM86" t="str">
        <f>IFERROR(VLOOKUP(O86,'Status Map'!A:B,2,FALSE),"Position Status Not Mapped")</f>
        <v>Y</v>
      </c>
      <c r="AN86" t="str">
        <f t="shared" si="4"/>
        <v/>
      </c>
      <c r="AO86" t="str">
        <f>IFERROR(VLOOKUP(P86,'Invoice Exception Map'!A:C,3,FALSE),IF(AH86&gt;0,"Y","N"))</f>
        <v>N</v>
      </c>
    </row>
    <row r="87" spans="1:41" x14ac:dyDescent="0.2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2">
        <v>45113</v>
      </c>
      <c r="M87" s="62"/>
      <c r="N87" s="62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3"/>
        <v/>
      </c>
      <c r="AM87" t="str">
        <f>IFERROR(VLOOKUP(O87,'Status Map'!A:B,2,FALSE),"Position Status Not Mapped")</f>
        <v>Y</v>
      </c>
      <c r="AN87" t="str">
        <f t="shared" si="4"/>
        <v/>
      </c>
      <c r="AO87" t="str">
        <f>IFERROR(VLOOKUP(P87,'Invoice Exception Map'!A:C,3,FALSE),IF(AH87&gt;0,"Y","N"))</f>
        <v>N</v>
      </c>
    </row>
    <row r="88" spans="1:41" x14ac:dyDescent="0.2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2">
        <v>45474</v>
      </c>
      <c r="M88" s="62"/>
      <c r="N88" s="62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3"/>
        <v/>
      </c>
      <c r="AM88" t="str">
        <f>IFERROR(VLOOKUP(O88,'Status Map'!A:B,2,FALSE),"Position Status Not Mapped")</f>
        <v>Y</v>
      </c>
      <c r="AN88" t="str">
        <f t="shared" si="4"/>
        <v/>
      </c>
      <c r="AO88" t="str">
        <f>IFERROR(VLOOKUP(P88,'Invoice Exception Map'!A:C,3,FALSE),IF(AH88&gt;0,"Y","N"))</f>
        <v>Y</v>
      </c>
    </row>
    <row r="89" spans="1:41" x14ac:dyDescent="0.2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2">
        <v>45117</v>
      </c>
      <c r="M89" s="62"/>
      <c r="N89" s="62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3"/>
        <v/>
      </c>
      <c r="AM89" t="str">
        <f>IFERROR(VLOOKUP(O89,'Status Map'!A:B,2,FALSE),"Position Status Not Mapped")</f>
        <v>Y</v>
      </c>
      <c r="AN89" t="str">
        <f t="shared" si="4"/>
        <v/>
      </c>
      <c r="AO89" t="str">
        <f>IFERROR(VLOOKUP(P89,'Invoice Exception Map'!A:C,3,FALSE),IF(AH89&gt;0,"Y","N"))</f>
        <v>N</v>
      </c>
    </row>
    <row r="90" spans="1:41" x14ac:dyDescent="0.2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2">
        <v>45817</v>
      </c>
      <c r="M90" s="62"/>
      <c r="N90" s="62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3"/>
        <v/>
      </c>
      <c r="AM90" t="str">
        <f>IFERROR(VLOOKUP(O90,'Status Map'!A:B,2,FALSE),"Position Status Not Mapped")</f>
        <v>Y</v>
      </c>
      <c r="AN90" t="str">
        <f t="shared" si="4"/>
        <v/>
      </c>
      <c r="AO90" t="str">
        <f>IFERROR(VLOOKUP(P90,'Invoice Exception Map'!A:C,3,FALSE),IF(AH90&gt;0,"Y","N"))</f>
        <v>N</v>
      </c>
    </row>
    <row r="91" spans="1:41" x14ac:dyDescent="0.2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2">
        <v>44697</v>
      </c>
      <c r="M91" s="62"/>
      <c r="N91" s="62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3"/>
        <v/>
      </c>
      <c r="AM91" t="str">
        <f>IFERROR(VLOOKUP(O91,'Status Map'!A:B,2,FALSE),"Position Status Not Mapped")</f>
        <v>Y</v>
      </c>
      <c r="AN91" t="str">
        <f t="shared" si="4"/>
        <v/>
      </c>
      <c r="AO91" t="str">
        <f>IFERROR(VLOOKUP(P91,'Invoice Exception Map'!A:C,3,FALSE),IF(AH91&gt;0,"Y","N"))</f>
        <v>Y</v>
      </c>
    </row>
    <row r="92" spans="1:41" x14ac:dyDescent="0.2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3071</v>
      </c>
      <c r="I92" s="34" t="s">
        <v>861</v>
      </c>
      <c r="J92" s="34" t="s">
        <v>861</v>
      </c>
      <c r="K92" s="34" t="s">
        <v>262</v>
      </c>
      <c r="L92" s="62">
        <v>44655</v>
      </c>
      <c r="M92" s="62"/>
      <c r="N92" s="62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3"/>
        <v/>
      </c>
      <c r="AM92" t="str">
        <f>IFERROR(VLOOKUP(O92,'Status Map'!A:B,2,FALSE),"Position Status Not Mapped")</f>
        <v>Y</v>
      </c>
      <c r="AN92" t="str">
        <f t="shared" si="4"/>
        <v/>
      </c>
      <c r="AO92" t="str">
        <f>IFERROR(VLOOKUP(P92,'Invoice Exception Map'!A:C,3,FALSE),IF(AH92&gt;0,"Y","N"))</f>
        <v>N</v>
      </c>
    </row>
    <row r="93" spans="1:41" x14ac:dyDescent="0.2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2">
        <v>36535</v>
      </c>
      <c r="M93" s="62"/>
      <c r="N93" s="62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3"/>
        <v/>
      </c>
      <c r="AM93" t="str">
        <f>IFERROR(VLOOKUP(O93,'Status Map'!A:B,2,FALSE),"Position Status Not Mapped")</f>
        <v>Y</v>
      </c>
      <c r="AN93" t="str">
        <f t="shared" si="4"/>
        <v/>
      </c>
      <c r="AO93" t="str">
        <f>IFERROR(VLOOKUP(P93,'Invoice Exception Map'!A:C,3,FALSE),IF(AH93&gt;0,"Y","N"))</f>
        <v>N</v>
      </c>
    </row>
    <row r="94" spans="1:41" x14ac:dyDescent="0.2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3075</v>
      </c>
      <c r="J94" s="34" t="s">
        <v>875</v>
      </c>
      <c r="K94" s="34" t="s">
        <v>42</v>
      </c>
      <c r="L94" s="62">
        <v>46104</v>
      </c>
      <c r="M94" s="62"/>
      <c r="N94" s="62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3"/>
        <v/>
      </c>
      <c r="AM94" t="str">
        <f>IFERROR(VLOOKUP(O94,'Status Map'!A:B,2,FALSE),"Position Status Not Mapped")</f>
        <v>Y</v>
      </c>
      <c r="AN94" t="str">
        <f t="shared" si="4"/>
        <v/>
      </c>
      <c r="AO94" t="str">
        <f>IFERROR(VLOOKUP(P94,'Invoice Exception Map'!A:C,3,FALSE),IF(AH94&gt;0,"Y","N"))</f>
        <v>N</v>
      </c>
    </row>
    <row r="95" spans="1:41" x14ac:dyDescent="0.2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2">
        <v>41052</v>
      </c>
      <c r="M95" s="62"/>
      <c r="N95" s="62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3"/>
        <v/>
      </c>
      <c r="AM95" t="str">
        <f>IFERROR(VLOOKUP(O95,'Status Map'!A:B,2,FALSE),"Position Status Not Mapped")</f>
        <v>Y</v>
      </c>
      <c r="AN95" t="str">
        <f t="shared" si="4"/>
        <v/>
      </c>
      <c r="AO95" t="str">
        <f>IFERROR(VLOOKUP(P95,'Invoice Exception Map'!A:C,3,FALSE),IF(AH95&gt;0,"Y","N"))</f>
        <v>N</v>
      </c>
    </row>
    <row r="96" spans="1:41" x14ac:dyDescent="0.2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2">
        <v>45138</v>
      </c>
      <c r="M96" s="62"/>
      <c r="N96" s="62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3"/>
        <v/>
      </c>
      <c r="AM96" t="str">
        <f>IFERROR(VLOOKUP(O96,'Status Map'!A:B,2,FALSE),"Position Status Not Mapped")</f>
        <v>Y</v>
      </c>
      <c r="AN96" t="str">
        <f t="shared" si="4"/>
        <v/>
      </c>
      <c r="AO96" t="str">
        <f>IFERROR(VLOOKUP(P96,'Invoice Exception Map'!A:C,3,FALSE),IF(AH96&gt;0,"Y","N"))</f>
        <v>N</v>
      </c>
    </row>
    <row r="97" spans="1:41" x14ac:dyDescent="0.2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2">
        <v>45187</v>
      </c>
      <c r="M97" s="62"/>
      <c r="N97" s="62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3"/>
        <v/>
      </c>
      <c r="AM97" t="str">
        <f>IFERROR(VLOOKUP(O97,'Status Map'!A:B,2,FALSE),"Position Status Not Mapped")</f>
        <v>Y</v>
      </c>
      <c r="AN97" t="str">
        <f t="shared" si="4"/>
        <v/>
      </c>
      <c r="AO97" t="str">
        <f>IFERROR(VLOOKUP(P97,'Invoice Exception Map'!A:C,3,FALSE),IF(AH97&gt;0,"Y","N"))</f>
        <v>N</v>
      </c>
    </row>
    <row r="98" spans="1:41" x14ac:dyDescent="0.2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2">
        <v>45453</v>
      </c>
      <c r="M98" s="62"/>
      <c r="N98" s="62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3"/>
        <v/>
      </c>
      <c r="AM98" t="str">
        <f>IFERROR(VLOOKUP(O98,'Status Map'!A:B,2,FALSE),"Position Status Not Mapped")</f>
        <v>Y</v>
      </c>
      <c r="AN98" t="str">
        <f t="shared" si="4"/>
        <v/>
      </c>
      <c r="AO98" t="str">
        <f>IFERROR(VLOOKUP(P98,'Invoice Exception Map'!A:C,3,FALSE),IF(AH98&gt;0,"Y","N"))</f>
        <v>N</v>
      </c>
    </row>
    <row r="99" spans="1:41" x14ac:dyDescent="0.2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2">
        <v>45840</v>
      </c>
      <c r="M99" s="62"/>
      <c r="N99" s="62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3"/>
        <v/>
      </c>
      <c r="AM99" t="str">
        <f>IFERROR(VLOOKUP(O99,'Status Map'!A:B,2,FALSE),"Position Status Not Mapped")</f>
        <v>Y</v>
      </c>
      <c r="AN99" t="str">
        <f t="shared" si="4"/>
        <v/>
      </c>
      <c r="AO99" t="str">
        <f>IFERROR(VLOOKUP(P99,'Invoice Exception Map'!A:C,3,FALSE),IF(AH99&gt;0,"Y","N"))</f>
        <v>Y</v>
      </c>
    </row>
    <row r="100" spans="1:41" x14ac:dyDescent="0.2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2">
        <v>45131</v>
      </c>
      <c r="M100" s="62"/>
      <c r="N100" s="62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3"/>
        <v/>
      </c>
      <c r="AM100" t="str">
        <f>IFERROR(VLOOKUP(O100,'Status Map'!A:B,2,FALSE),"Position Status Not Mapped")</f>
        <v>Y</v>
      </c>
      <c r="AN100" t="str">
        <f t="shared" si="4"/>
        <v/>
      </c>
      <c r="AO100" t="str">
        <f>IFERROR(VLOOKUP(P100,'Invoice Exception Map'!A:C,3,FALSE),IF(AH100&gt;0,"Y","N"))</f>
        <v>N</v>
      </c>
    </row>
    <row r="101" spans="1:41" x14ac:dyDescent="0.2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2">
        <v>45838</v>
      </c>
      <c r="M101" s="62"/>
      <c r="N101" s="62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5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4"/>
        <v/>
      </c>
      <c r="AO101" t="str">
        <f>IFERROR(VLOOKUP(P101,'Invoice Exception Map'!A:C,3,FALSE),IF(AH101&gt;0,"Y","N"))</f>
        <v>Y</v>
      </c>
    </row>
    <row r="102" spans="1:41" x14ac:dyDescent="0.2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2">
        <v>42786</v>
      </c>
      <c r="M102" s="62"/>
      <c r="N102" s="62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5"/>
        <v/>
      </c>
      <c r="AM102" t="str">
        <f>IFERROR(VLOOKUP(O102,'Status Map'!A:B,2,FALSE),"Position Status Not Mapped")</f>
        <v>Y</v>
      </c>
      <c r="AN102" t="str">
        <f t="shared" si="4"/>
        <v/>
      </c>
      <c r="AO102" t="str">
        <f>IFERROR(VLOOKUP(P102,'Invoice Exception Map'!A:C,3,FALSE),IF(AH102&gt;0,"Y","N"))</f>
        <v>Y</v>
      </c>
    </row>
    <row r="103" spans="1:41" x14ac:dyDescent="0.2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2">
        <v>45586</v>
      </c>
      <c r="M103" s="62"/>
      <c r="N103" s="62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5"/>
        <v/>
      </c>
      <c r="AM103" t="str">
        <f>IFERROR(VLOOKUP(O103,'Status Map'!A:B,2,FALSE),"Position Status Not Mapped")</f>
        <v>Y</v>
      </c>
      <c r="AN103" t="str">
        <f t="shared" si="4"/>
        <v/>
      </c>
      <c r="AO103" t="str">
        <f>IFERROR(VLOOKUP(P103,'Invoice Exception Map'!A:C,3,FALSE),IF(AH103&gt;0,"Y","N"))</f>
        <v>N</v>
      </c>
    </row>
    <row r="104" spans="1:41" x14ac:dyDescent="0.2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2">
        <v>42835</v>
      </c>
      <c r="M104" s="62"/>
      <c r="N104" s="62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5"/>
        <v/>
      </c>
      <c r="AM104" t="str">
        <f>IFERROR(VLOOKUP(O104,'Status Map'!A:B,2,FALSE),"Position Status Not Mapped")</f>
        <v>Y</v>
      </c>
      <c r="AN104" t="str">
        <f t="shared" si="4"/>
        <v/>
      </c>
      <c r="AO104" t="str">
        <f>IFERROR(VLOOKUP(P104,'Invoice Exception Map'!A:C,3,FALSE),IF(AH104&gt;0,"Y","N"))</f>
        <v>Y</v>
      </c>
    </row>
    <row r="105" spans="1:41" x14ac:dyDescent="0.2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2">
        <v>46160</v>
      </c>
      <c r="M105" s="62"/>
      <c r="N105" s="62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5"/>
        <v/>
      </c>
      <c r="AM105" t="str">
        <f>IFERROR(VLOOKUP(O105,'Status Map'!A:B,2,FALSE),"Position Status Not Mapped")</f>
        <v>Y</v>
      </c>
      <c r="AN105" t="str">
        <f t="shared" si="4"/>
        <v/>
      </c>
      <c r="AO105" t="str">
        <f>IFERROR(VLOOKUP(P105,'Invoice Exception Map'!A:C,3,FALSE),IF(AH105&gt;0,"Y","N"))</f>
        <v>N</v>
      </c>
    </row>
    <row r="106" spans="1:41" x14ac:dyDescent="0.2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2">
        <v>44466</v>
      </c>
      <c r="M106" s="62"/>
      <c r="N106" s="62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5"/>
        <v/>
      </c>
      <c r="AM106" t="str">
        <f>IFERROR(VLOOKUP(O106,'Status Map'!A:B,2,FALSE),"Position Status Not Mapped")</f>
        <v>Y</v>
      </c>
      <c r="AN106" t="str">
        <f t="shared" si="4"/>
        <v/>
      </c>
      <c r="AO106" t="str">
        <f>IFERROR(VLOOKUP(P106,'Invoice Exception Map'!A:C,3,FALSE),IF(AH106&gt;0,"Y","N"))</f>
        <v>N</v>
      </c>
    </row>
    <row r="107" spans="1:41" x14ac:dyDescent="0.2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2">
        <v>45867</v>
      </c>
      <c r="M107" s="62"/>
      <c r="N107" s="62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5"/>
        <v/>
      </c>
      <c r="AM107" t="str">
        <f>IFERROR(VLOOKUP(O107,'Status Map'!A:B,2,FALSE),"Position Status Not Mapped")</f>
        <v>Y</v>
      </c>
      <c r="AN107" t="str">
        <f t="shared" si="4"/>
        <v/>
      </c>
      <c r="AO107" t="str">
        <f>IFERROR(VLOOKUP(P107,'Invoice Exception Map'!A:C,3,FALSE),IF(AH107&gt;0,"Y","N"))</f>
        <v>N</v>
      </c>
    </row>
    <row r="108" spans="1:41" x14ac:dyDescent="0.2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2">
        <v>45642</v>
      </c>
      <c r="M108" s="62"/>
      <c r="N108" s="62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5"/>
        <v/>
      </c>
      <c r="AM108" t="str">
        <f>IFERROR(VLOOKUP(O108,'Status Map'!A:B,2,FALSE),"Position Status Not Mapped")</f>
        <v>Y</v>
      </c>
      <c r="AN108" t="str">
        <f t="shared" si="4"/>
        <v/>
      </c>
      <c r="AO108" t="str">
        <f>IFERROR(VLOOKUP(P108,'Invoice Exception Map'!A:C,3,FALSE),IF(AH108&gt;0,"Y","N"))</f>
        <v>Y</v>
      </c>
    </row>
    <row r="109" spans="1:41" x14ac:dyDescent="0.2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2">
        <v>44361</v>
      </c>
      <c r="M109" s="62"/>
      <c r="N109" s="62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5"/>
        <v/>
      </c>
      <c r="AM109" t="str">
        <f>IFERROR(VLOOKUP(O109,'Status Map'!A:B,2,FALSE),"Position Status Not Mapped")</f>
        <v>Y</v>
      </c>
      <c r="AN109" t="str">
        <f t="shared" si="4"/>
        <v/>
      </c>
      <c r="AO109" t="str">
        <f>IFERROR(VLOOKUP(P109,'Invoice Exception Map'!A:C,3,FALSE),IF(AH109&gt;0,"Y","N"))</f>
        <v>N</v>
      </c>
    </row>
    <row r="110" spans="1:41" x14ac:dyDescent="0.2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2">
        <v>44348</v>
      </c>
      <c r="M110" s="62"/>
      <c r="N110" s="62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5"/>
        <v/>
      </c>
      <c r="AM110" t="str">
        <f>IFERROR(VLOOKUP(O110,'Status Map'!A:B,2,FALSE),"Position Status Not Mapped")</f>
        <v>Y</v>
      </c>
      <c r="AN110" t="str">
        <f t="shared" si="4"/>
        <v/>
      </c>
      <c r="AO110" t="str">
        <f>IFERROR(VLOOKUP(P110,'Invoice Exception Map'!A:C,3,FALSE),IF(AH110&gt;0,"Y","N"))</f>
        <v>N</v>
      </c>
    </row>
    <row r="111" spans="1:41" x14ac:dyDescent="0.2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2">
        <v>45440</v>
      </c>
      <c r="M111" s="62"/>
      <c r="N111" s="62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5"/>
        <v/>
      </c>
      <c r="AM111" t="str">
        <f>IFERROR(VLOOKUP(O111,'Status Map'!A:B,2,FALSE),"Position Status Not Mapped")</f>
        <v>Y</v>
      </c>
      <c r="AN111" t="str">
        <f t="shared" si="4"/>
        <v/>
      </c>
      <c r="AO111" t="str">
        <f>IFERROR(VLOOKUP(P111,'Invoice Exception Map'!A:C,3,FALSE),IF(AH111&gt;0,"Y","N"))</f>
        <v>N</v>
      </c>
    </row>
    <row r="112" spans="1:41" x14ac:dyDescent="0.2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2">
        <v>45789</v>
      </c>
      <c r="M112" s="62"/>
      <c r="N112" s="62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5"/>
        <v/>
      </c>
      <c r="AM112" t="str">
        <f>IFERROR(VLOOKUP(O112,'Status Map'!A:B,2,FALSE),"Position Status Not Mapped")</f>
        <v>Y</v>
      </c>
      <c r="AN112" t="str">
        <f t="shared" si="4"/>
        <v/>
      </c>
      <c r="AO112" t="str">
        <f>IFERROR(VLOOKUP(P112,'Invoice Exception Map'!A:C,3,FALSE),IF(AH112&gt;0,"Y","N"))</f>
        <v>N</v>
      </c>
    </row>
    <row r="113" spans="1:41" x14ac:dyDescent="0.2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2">
        <v>38691</v>
      </c>
      <c r="M113" s="62"/>
      <c r="N113" s="62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5"/>
        <v/>
      </c>
      <c r="AM113" t="str">
        <f>IFERROR(VLOOKUP(O113,'Status Map'!A:B,2,FALSE),"Position Status Not Mapped")</f>
        <v>Y</v>
      </c>
      <c r="AN113" t="str">
        <f t="shared" si="4"/>
        <v/>
      </c>
      <c r="AO113" t="str">
        <f>IFERROR(VLOOKUP(P113,'Invoice Exception Map'!A:C,3,FALSE),IF(AH113&gt;0,"Y","N"))</f>
        <v>Y</v>
      </c>
    </row>
    <row r="114" spans="1:41" x14ac:dyDescent="0.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2">
        <v>45958</v>
      </c>
      <c r="M114" s="62"/>
      <c r="N114" s="62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5"/>
        <v/>
      </c>
      <c r="AM114" t="str">
        <f>IFERROR(VLOOKUP(O114,'Status Map'!A:B,2,FALSE),"Position Status Not Mapped")</f>
        <v>Y</v>
      </c>
      <c r="AN114" t="str">
        <f t="shared" si="4"/>
        <v/>
      </c>
      <c r="AO114" t="str">
        <f>IFERROR(VLOOKUP(P114,'Invoice Exception Map'!A:C,3,FALSE),IF(AH114&gt;0,"Y","N"))</f>
        <v>N</v>
      </c>
    </row>
    <row r="115" spans="1:41" x14ac:dyDescent="0.2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2">
        <v>41641</v>
      </c>
      <c r="M115" s="62"/>
      <c r="N115" s="62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5"/>
        <v/>
      </c>
      <c r="AM115" t="str">
        <f>IFERROR(VLOOKUP(O115,'Status Map'!A:B,2,FALSE),"Position Status Not Mapped")</f>
        <v>Y</v>
      </c>
      <c r="AN115" t="str">
        <f t="shared" si="4"/>
        <v/>
      </c>
      <c r="AO115" t="str">
        <f>IFERROR(VLOOKUP(P115,'Invoice Exception Map'!A:C,3,FALSE),IF(AH115&gt;0,"Y","N"))</f>
        <v>N</v>
      </c>
    </row>
    <row r="116" spans="1:41" x14ac:dyDescent="0.2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3076</v>
      </c>
      <c r="J116" s="34" t="s">
        <v>1021</v>
      </c>
      <c r="K116" s="34" t="s">
        <v>1022</v>
      </c>
      <c r="L116" s="62">
        <v>44776</v>
      </c>
      <c r="M116" s="62"/>
      <c r="N116" s="62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5"/>
        <v/>
      </c>
      <c r="AM116" t="str">
        <f>IFERROR(VLOOKUP(O116,'Status Map'!A:B,2,FALSE),"Position Status Not Mapped")</f>
        <v>Y</v>
      </c>
      <c r="AN116" t="str">
        <f t="shared" si="4"/>
        <v/>
      </c>
      <c r="AO116" t="str">
        <f>IFERROR(VLOOKUP(P116,'Invoice Exception Map'!A:C,3,FALSE),IF(AH116&gt;0,"Y","N"))</f>
        <v>N</v>
      </c>
    </row>
    <row r="117" spans="1:41" x14ac:dyDescent="0.2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2">
        <v>45769</v>
      </c>
      <c r="M117" s="62"/>
      <c r="N117" s="62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5"/>
        <v/>
      </c>
      <c r="AM117" t="str">
        <f>IFERROR(VLOOKUP(O117,'Status Map'!A:B,2,FALSE),"Position Status Not Mapped")</f>
        <v>Y</v>
      </c>
      <c r="AN117" t="str">
        <f t="shared" si="4"/>
        <v/>
      </c>
      <c r="AO117" t="str">
        <f>IFERROR(VLOOKUP(P117,'Invoice Exception Map'!A:C,3,FALSE),IF(AH117&gt;0,"Y","N"))</f>
        <v>N</v>
      </c>
    </row>
    <row r="118" spans="1:41" x14ac:dyDescent="0.2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2">
        <v>42772</v>
      </c>
      <c r="M118" s="62"/>
      <c r="N118" s="62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5"/>
        <v/>
      </c>
      <c r="AM118" t="str">
        <f>IFERROR(VLOOKUP(O118,'Status Map'!A:B,2,FALSE),"Position Status Not Mapped")</f>
        <v>Y</v>
      </c>
      <c r="AN118" t="str">
        <f t="shared" si="4"/>
        <v/>
      </c>
      <c r="AO118" t="str">
        <f>IFERROR(VLOOKUP(P118,'Invoice Exception Map'!A:C,3,FALSE),IF(AH118&gt;0,"Y","N"))</f>
        <v>Y</v>
      </c>
    </row>
    <row r="119" spans="1:41" x14ac:dyDescent="0.2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2">
        <v>44208</v>
      </c>
      <c r="M119" s="62"/>
      <c r="N119" s="62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5"/>
        <v/>
      </c>
      <c r="AM119" t="str">
        <f>IFERROR(VLOOKUP(O119,'Status Map'!A:B,2,FALSE),"Position Status Not Mapped")</f>
        <v>Y</v>
      </c>
      <c r="AN119" t="str">
        <f t="shared" si="4"/>
        <v/>
      </c>
      <c r="AO119" t="str">
        <f>IFERROR(VLOOKUP(P119,'Invoice Exception Map'!A:C,3,FALSE),IF(AH119&gt;0,"Y","N"))</f>
        <v>N</v>
      </c>
    </row>
    <row r="120" spans="1:41" x14ac:dyDescent="0.2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2">
        <v>44475</v>
      </c>
      <c r="M120" s="62"/>
      <c r="N120" s="62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5"/>
        <v/>
      </c>
      <c r="AM120" t="str">
        <f>IFERROR(VLOOKUP(O120,'Status Map'!A:B,2,FALSE),"Position Status Not Mapped")</f>
        <v>Y</v>
      </c>
      <c r="AN120" t="str">
        <f t="shared" si="4"/>
        <v/>
      </c>
      <c r="AO120" t="str">
        <f>IFERROR(VLOOKUP(P120,'Invoice Exception Map'!A:C,3,FALSE),IF(AH120&gt;0,"Y","N"))</f>
        <v>N</v>
      </c>
    </row>
    <row r="121" spans="1:41" x14ac:dyDescent="0.2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2">
        <v>44767</v>
      </c>
      <c r="M121" s="62"/>
      <c r="N121" s="62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5"/>
        <v/>
      </c>
      <c r="AM121" t="str">
        <f>IFERROR(VLOOKUP(O121,'Status Map'!A:B,2,FALSE),"Position Status Not Mapped")</f>
        <v>Y</v>
      </c>
      <c r="AN121" t="str">
        <f t="shared" si="4"/>
        <v/>
      </c>
      <c r="AO121" t="str">
        <f>IFERROR(VLOOKUP(P121,'Invoice Exception Map'!A:C,3,FALSE),IF(AH121&gt;0,"Y","N"))</f>
        <v>N</v>
      </c>
    </row>
    <row r="122" spans="1:41" x14ac:dyDescent="0.2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2">
        <v>45817</v>
      </c>
      <c r="M122" s="62"/>
      <c r="N122" s="62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5"/>
        <v>Max Wright</v>
      </c>
      <c r="AM122" t="str">
        <f>IFERROR(VLOOKUP(O122,'Status Map'!A:B,2,FALSE),"Position Status Not Mapped")</f>
        <v>Y</v>
      </c>
      <c r="AN122" t="str">
        <f t="shared" si="4"/>
        <v/>
      </c>
      <c r="AO122" t="str">
        <f>IFERROR(VLOOKUP(P122,'Invoice Exception Map'!A:C,3,FALSE),IF(AH122&gt;0,"Y","N"))</f>
        <v>N</v>
      </c>
    </row>
    <row r="123" spans="1:41" x14ac:dyDescent="0.2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2">
        <v>46034</v>
      </c>
      <c r="M123" s="62"/>
      <c r="N123" s="62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5"/>
        <v/>
      </c>
      <c r="AM123" t="str">
        <f>IFERROR(VLOOKUP(O123,'Status Map'!A:B,2,FALSE),"Position Status Not Mapped")</f>
        <v>Y</v>
      </c>
      <c r="AN123" t="str">
        <f t="shared" si="4"/>
        <v/>
      </c>
      <c r="AO123" t="str">
        <f>IFERROR(VLOOKUP(P123,'Invoice Exception Map'!A:C,3,FALSE),IF(AH123&gt;0,"Y","N"))</f>
        <v>N</v>
      </c>
    </row>
    <row r="124" spans="1:41" x14ac:dyDescent="0.2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2">
        <v>45461</v>
      </c>
      <c r="M124" s="62"/>
      <c r="N124" s="62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5"/>
        <v/>
      </c>
      <c r="AM124" t="str">
        <f>IFERROR(VLOOKUP(O124,'Status Map'!A:B,2,FALSE),"Position Status Not Mapped")</f>
        <v>Y</v>
      </c>
      <c r="AN124" t="str">
        <f t="shared" si="4"/>
        <v/>
      </c>
      <c r="AO124" t="str">
        <f>IFERROR(VLOOKUP(P124,'Invoice Exception Map'!A:C,3,FALSE),IF(AH124&gt;0,"Y","N"))</f>
        <v>N</v>
      </c>
    </row>
    <row r="125" spans="1:41" x14ac:dyDescent="0.2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2">
        <v>39329</v>
      </c>
      <c r="M125" s="62"/>
      <c r="N125" s="62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5"/>
        <v/>
      </c>
      <c r="AM125" t="str">
        <f>IFERROR(VLOOKUP(O125,'Status Map'!A:B,2,FALSE),"Position Status Not Mapped")</f>
        <v>Y</v>
      </c>
      <c r="AN125" t="str">
        <f t="shared" si="4"/>
        <v/>
      </c>
      <c r="AO125" t="str">
        <f>IFERROR(VLOOKUP(P125,'Invoice Exception Map'!A:C,3,FALSE),IF(AH125&gt;0,"Y","N"))</f>
        <v>N</v>
      </c>
    </row>
    <row r="126" spans="1:41" x14ac:dyDescent="0.2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2">
        <v>44648</v>
      </c>
      <c r="M126" s="62"/>
      <c r="N126" s="62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5"/>
        <v/>
      </c>
      <c r="AM126" t="str">
        <f>IFERROR(VLOOKUP(O126,'Status Map'!A:B,2,FALSE),"Position Status Not Mapped")</f>
        <v>Y</v>
      </c>
      <c r="AN126" t="str">
        <f t="shared" si="4"/>
        <v/>
      </c>
      <c r="AO126" t="str">
        <f>IFERROR(VLOOKUP(P126,'Invoice Exception Map'!A:C,3,FALSE),IF(AH126&gt;0,"Y","N"))</f>
        <v>N</v>
      </c>
    </row>
    <row r="127" spans="1:41" x14ac:dyDescent="0.2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2">
        <v>45551</v>
      </c>
      <c r="M127" s="62">
        <v>46267</v>
      </c>
      <c r="N127" s="62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5"/>
        <v/>
      </c>
      <c r="AM127" t="str">
        <f>IFERROR(VLOOKUP(O127,'Status Map'!A:B,2,FALSE),"Position Status Not Mapped")</f>
        <v>N</v>
      </c>
      <c r="AN127" t="str">
        <f t="shared" si="4"/>
        <v>20260902</v>
      </c>
      <c r="AO127" t="str">
        <f>IFERROR(VLOOKUP(P127,'Invoice Exception Map'!A:C,3,FALSE),IF(AH127&gt;0,"Y","N"))</f>
        <v>N</v>
      </c>
    </row>
    <row r="128" spans="1:41" x14ac:dyDescent="0.2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2">
        <v>45334</v>
      </c>
      <c r="M128" s="62">
        <v>46262</v>
      </c>
      <c r="N128" s="62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5"/>
        <v/>
      </c>
      <c r="AM128" t="str">
        <f>IFERROR(VLOOKUP(O128,'Status Map'!A:B,2,FALSE),"Position Status Not Mapped")</f>
        <v>N</v>
      </c>
      <c r="AN128" t="str">
        <f t="shared" si="4"/>
        <v>20260828</v>
      </c>
      <c r="AO128" t="str">
        <f>IFERROR(VLOOKUP(P128,'Invoice Exception Map'!A:C,3,FALSE),IF(AH128&gt;0,"Y","N"))</f>
        <v>N</v>
      </c>
    </row>
    <row r="129" spans="1:41" x14ac:dyDescent="0.2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2">
        <v>46153</v>
      </c>
      <c r="M129" s="62">
        <v>46255</v>
      </c>
      <c r="N129" s="62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5"/>
        <v/>
      </c>
      <c r="AM129" t="str">
        <f>IFERROR(VLOOKUP(O129,'Status Map'!A:B,2,FALSE),"Position Status Not Mapped")</f>
        <v>N</v>
      </c>
      <c r="AN129" t="str">
        <f t="shared" si="4"/>
        <v>20260821</v>
      </c>
      <c r="AO129" t="str">
        <f>IFERROR(VLOOKUP(P129,'Invoice Exception Map'!A:C,3,FALSE),IF(AH129&gt;0,"Y","N"))</f>
        <v>N</v>
      </c>
    </row>
    <row r="130" spans="1:41" x14ac:dyDescent="0.2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2">
        <v>45810</v>
      </c>
      <c r="M130" s="62">
        <v>46248</v>
      </c>
      <c r="N130" s="62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5"/>
        <v/>
      </c>
      <c r="AM130" t="str">
        <f>IFERROR(VLOOKUP(O130,'Status Map'!A:B,2,FALSE),"Position Status Not Mapped")</f>
        <v>N</v>
      </c>
      <c r="AN130" t="str">
        <f t="shared" si="4"/>
        <v>20260814</v>
      </c>
      <c r="AO130" t="str">
        <f>IFERROR(VLOOKUP(P130,'Invoice Exception Map'!A:C,3,FALSE),IF(AH130&gt;0,"Y","N"))</f>
        <v>N</v>
      </c>
    </row>
    <row r="131" spans="1:41" x14ac:dyDescent="0.2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2">
        <v>45243</v>
      </c>
      <c r="M131" s="62">
        <v>46248</v>
      </c>
      <c r="N131" s="62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5"/>
        <v/>
      </c>
      <c r="AM131" t="str">
        <f>IFERROR(VLOOKUP(O131,'Status Map'!A:B,2,FALSE),"Position Status Not Mapped")</f>
        <v>N</v>
      </c>
      <c r="AN131" t="str">
        <f t="shared" si="4"/>
        <v>20260814</v>
      </c>
      <c r="AO131" t="str">
        <f>IFERROR(VLOOKUP(P131,'Invoice Exception Map'!A:C,3,FALSE),IF(AH131&gt;0,"Y","N"))</f>
        <v>N</v>
      </c>
    </row>
    <row r="132" spans="1:41" x14ac:dyDescent="0.2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2">
        <v>45208</v>
      </c>
      <c r="M132" s="62">
        <v>46227</v>
      </c>
      <c r="N132" s="62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5"/>
        <v/>
      </c>
      <c r="AM132" t="str">
        <f>IFERROR(VLOOKUP(O132,'Status Map'!A:B,2,FALSE),"Position Status Not Mapped")</f>
        <v>N</v>
      </c>
      <c r="AN132" t="str">
        <f t="shared" si="4"/>
        <v>20260724</v>
      </c>
      <c r="AO132" t="str">
        <f>IFERROR(VLOOKUP(P132,'Invoice Exception Map'!A:C,3,FALSE),IF(AH132&gt;0,"Y","N"))</f>
        <v>Y</v>
      </c>
    </row>
    <row r="133" spans="1:41" x14ac:dyDescent="0.2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2">
        <v>44970</v>
      </c>
      <c r="M133" s="62">
        <v>46213</v>
      </c>
      <c r="N133" s="62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6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4"/>
        <v>20260710</v>
      </c>
      <c r="AO133" t="str">
        <f>IFERROR(VLOOKUP(P133,'Invoice Exception Map'!A:C,3,FALSE),IF(AH133&gt;0,"Y","N"))</f>
        <v>N</v>
      </c>
    </row>
    <row r="134" spans="1:41" x14ac:dyDescent="0.2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2">
        <v>45442</v>
      </c>
      <c r="M134" s="62">
        <v>46183</v>
      </c>
      <c r="N134" s="62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6"/>
        <v/>
      </c>
      <c r="AM134" t="str">
        <f>IFERROR(VLOOKUP(O134,'Status Map'!A:B,2,FALSE),"Position Status Not Mapped")</f>
        <v>N</v>
      </c>
      <c r="AN134" t="str">
        <f t="shared" ref="AN134:AN169" si="7">IF(AM134="N",TEXT(M134,"yyyymmdd"),"")</f>
        <v>20260610</v>
      </c>
      <c r="AO134" t="str">
        <f>IFERROR(VLOOKUP(P134,'Invoice Exception Map'!A:C,3,FALSE),IF(AH134&gt;0,"Y","N"))</f>
        <v>Y</v>
      </c>
    </row>
    <row r="135" spans="1:41" x14ac:dyDescent="0.2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2">
        <v>45895</v>
      </c>
      <c r="M135" s="62">
        <v>46175</v>
      </c>
      <c r="N135" s="62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6"/>
        <v/>
      </c>
      <c r="AM135" t="str">
        <f>IFERROR(VLOOKUP(O135,'Status Map'!A:B,2,FALSE),"Position Status Not Mapped")</f>
        <v>N</v>
      </c>
      <c r="AN135" t="str">
        <f t="shared" si="7"/>
        <v>20260602</v>
      </c>
      <c r="AO135" t="str">
        <f>IFERROR(VLOOKUP(P135,'Invoice Exception Map'!A:C,3,FALSE),IF(AH135&gt;0,"Y","N"))</f>
        <v>Y</v>
      </c>
    </row>
    <row r="136" spans="1:41" x14ac:dyDescent="0.2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2">
        <v>44942</v>
      </c>
      <c r="M136" s="62">
        <v>46148</v>
      </c>
      <c r="N136" s="62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6"/>
        <v/>
      </c>
      <c r="AM136" t="str">
        <f>IFERROR(VLOOKUP(O136,'Status Map'!A:B,2,FALSE),"Position Status Not Mapped")</f>
        <v>N</v>
      </c>
      <c r="AN136" t="str">
        <f t="shared" si="7"/>
        <v>20260506</v>
      </c>
      <c r="AO136" t="str">
        <f>IFERROR(VLOOKUP(P136,'Invoice Exception Map'!A:C,3,FALSE),IF(AH136&gt;0,"Y","N"))</f>
        <v>N</v>
      </c>
    </row>
    <row r="137" spans="1:41" x14ac:dyDescent="0.2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2">
        <v>45141</v>
      </c>
      <c r="M137" s="62">
        <v>46148</v>
      </c>
      <c r="N137" s="62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6"/>
        <v/>
      </c>
      <c r="AM137" t="str">
        <f>IFERROR(VLOOKUP(O137,'Status Map'!A:B,2,FALSE),"Position Status Not Mapped")</f>
        <v>N</v>
      </c>
      <c r="AN137" t="str">
        <f t="shared" si="7"/>
        <v>20260506</v>
      </c>
      <c r="AO137" t="str">
        <f>IFERROR(VLOOKUP(P137,'Invoice Exception Map'!A:C,3,FALSE),IF(AH137&gt;0,"Y","N"))</f>
        <v>N</v>
      </c>
    </row>
    <row r="138" spans="1:41" x14ac:dyDescent="0.2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2">
        <v>45951</v>
      </c>
      <c r="M138" s="62">
        <v>46136</v>
      </c>
      <c r="N138" s="62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6"/>
        <v/>
      </c>
      <c r="AM138" t="str">
        <f>IFERROR(VLOOKUP(O138,'Status Map'!A:B,2,FALSE),"Position Status Not Mapped")</f>
        <v>N</v>
      </c>
      <c r="AN138" t="str">
        <f t="shared" si="7"/>
        <v>20260424</v>
      </c>
      <c r="AO138" t="str">
        <f>IFERROR(VLOOKUP(P138,'Invoice Exception Map'!A:C,3,FALSE),IF(AH138&gt;0,"Y","N"))</f>
        <v>N</v>
      </c>
    </row>
    <row r="139" spans="1:41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2"/>
      <c r="M139" s="62"/>
      <c r="N139" s="62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6"/>
        <v/>
      </c>
      <c r="AM139" t="str">
        <f>IFERROR(VLOOKUP(O139,'Status Map'!A:B,2,FALSE),"Position Status Not Mapped")</f>
        <v>Position Status Not Mapped</v>
      </c>
      <c r="AN139" t="str">
        <f t="shared" si="7"/>
        <v/>
      </c>
      <c r="AO139" t="str">
        <f>IFERROR(VLOOKUP(P139,'Invoice Exception Map'!A:C,3,FALSE),IF(AH139&gt;0,"Y","N"))</f>
        <v>Y</v>
      </c>
    </row>
    <row r="140" spans="1:41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2"/>
      <c r="M140" s="62"/>
      <c r="N140" s="62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6"/>
        <v/>
      </c>
      <c r="AM140" t="str">
        <f>IFERROR(VLOOKUP(O140,'Status Map'!A:B,2,FALSE),"Position Status Not Mapped")</f>
        <v>Position Status Not Mapped</v>
      </c>
      <c r="AN140" t="str">
        <f t="shared" si="7"/>
        <v/>
      </c>
      <c r="AO140" t="str">
        <f>IFERROR(VLOOKUP(P140,'Invoice Exception Map'!A:C,3,FALSE),IF(AH140&gt;0,"Y","N"))</f>
        <v>Y</v>
      </c>
    </row>
    <row r="141" spans="1:41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2"/>
      <c r="M141" s="62"/>
      <c r="N141" s="62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6"/>
        <v/>
      </c>
      <c r="AM141" t="str">
        <f>IFERROR(VLOOKUP(O141,'Status Map'!A:B,2,FALSE),"Position Status Not Mapped")</f>
        <v>Position Status Not Mapped</v>
      </c>
      <c r="AN141" t="str">
        <f t="shared" si="7"/>
        <v/>
      </c>
      <c r="AO141" t="str">
        <f>IFERROR(VLOOKUP(P141,'Invoice Exception Map'!A:C,3,FALSE),IF(AH141&gt;0,"Y","N"))</f>
        <v>Y</v>
      </c>
    </row>
    <row r="142" spans="1:41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2"/>
      <c r="M142" s="62"/>
      <c r="N142" s="62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6"/>
        <v/>
      </c>
      <c r="AM142" t="str">
        <f>IFERROR(VLOOKUP(O142,'Status Map'!A:B,2,FALSE),"Position Status Not Mapped")</f>
        <v>Position Status Not Mapped</v>
      </c>
      <c r="AN142" t="str">
        <f t="shared" si="7"/>
        <v/>
      </c>
      <c r="AO142" t="str">
        <f>IFERROR(VLOOKUP(P142,'Invoice Exception Map'!A:C,3,FALSE),IF(AH142&gt;0,"Y","N"))</f>
        <v>Y</v>
      </c>
    </row>
    <row r="143" spans="1:41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2"/>
      <c r="M143" s="62"/>
      <c r="N143" s="62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6"/>
        <v/>
      </c>
      <c r="AM143" t="str">
        <f>IFERROR(VLOOKUP(O143,'Status Map'!A:B,2,FALSE),"Position Status Not Mapped")</f>
        <v>Position Status Not Mapped</v>
      </c>
      <c r="AN143" t="str">
        <f t="shared" si="7"/>
        <v/>
      </c>
      <c r="AO143" t="str">
        <f>IFERROR(VLOOKUP(P143,'Invoice Exception Map'!A:C,3,FALSE),IF(AH143&gt;0,"Y","N"))</f>
        <v>Y</v>
      </c>
    </row>
    <row r="144" spans="1:41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2"/>
      <c r="M144" s="62"/>
      <c r="N144" s="62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6"/>
        <v/>
      </c>
      <c r="AM144" t="str">
        <f>IFERROR(VLOOKUP(O144,'Status Map'!A:B,2,FALSE),"Position Status Not Mapped")</f>
        <v>Position Status Not Mapped</v>
      </c>
      <c r="AN144" t="str">
        <f t="shared" si="7"/>
        <v/>
      </c>
      <c r="AO144" t="str">
        <f>IFERROR(VLOOKUP(P144,'Invoice Exception Map'!A:C,3,FALSE),IF(AH144&gt;0,"Y","N"))</f>
        <v>Y</v>
      </c>
    </row>
    <row r="145" spans="1:41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2"/>
      <c r="M145" s="62"/>
      <c r="N145" s="62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6"/>
        <v/>
      </c>
      <c r="AM145" t="str">
        <f>IFERROR(VLOOKUP(O145,'Status Map'!A:B,2,FALSE),"Position Status Not Mapped")</f>
        <v>Position Status Not Mapped</v>
      </c>
      <c r="AN145" t="str">
        <f t="shared" si="7"/>
        <v/>
      </c>
      <c r="AO145" t="str">
        <f>IFERROR(VLOOKUP(P145,'Invoice Exception Map'!A:C,3,FALSE),IF(AH145&gt;0,"Y","N"))</f>
        <v>Y</v>
      </c>
    </row>
    <row r="146" spans="1:41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2"/>
      <c r="M146" s="62"/>
      <c r="N146" s="62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6"/>
        <v/>
      </c>
      <c r="AM146" t="str">
        <f>IFERROR(VLOOKUP(O146,'Status Map'!A:B,2,FALSE),"Position Status Not Mapped")</f>
        <v>Position Status Not Mapped</v>
      </c>
      <c r="AN146" t="str">
        <f t="shared" si="7"/>
        <v/>
      </c>
      <c r="AO146" t="str">
        <f>IFERROR(VLOOKUP(P146,'Invoice Exception Map'!A:C,3,FALSE),IF(AH146&gt;0,"Y","N"))</f>
        <v>Y</v>
      </c>
    </row>
    <row r="147" spans="1:41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2"/>
      <c r="M147" s="62"/>
      <c r="N147" s="62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6"/>
        <v/>
      </c>
      <c r="AM147" t="str">
        <f>IFERROR(VLOOKUP(O147,'Status Map'!A:B,2,FALSE),"Position Status Not Mapped")</f>
        <v>Position Status Not Mapped</v>
      </c>
      <c r="AN147" t="str">
        <f t="shared" si="7"/>
        <v/>
      </c>
      <c r="AO147" t="str">
        <f>IFERROR(VLOOKUP(P147,'Invoice Exception Map'!A:C,3,FALSE),IF(AH147&gt;0,"Y","N"))</f>
        <v>Y</v>
      </c>
    </row>
    <row r="148" spans="1:41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2"/>
      <c r="M148" s="62"/>
      <c r="N148" s="62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6"/>
        <v/>
      </c>
      <c r="AM148" t="str">
        <f>IFERROR(VLOOKUP(O148,'Status Map'!A:B,2,FALSE),"Position Status Not Mapped")</f>
        <v>Position Status Not Mapped</v>
      </c>
      <c r="AN148" t="str">
        <f t="shared" si="7"/>
        <v/>
      </c>
      <c r="AO148" t="str">
        <f>IFERROR(VLOOKUP(P148,'Invoice Exception Map'!A:C,3,FALSE),IF(AH148&gt;0,"Y","N"))</f>
        <v>Y</v>
      </c>
    </row>
    <row r="149" spans="1:41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2"/>
      <c r="M149" s="62"/>
      <c r="N149" s="62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6"/>
        <v/>
      </c>
      <c r="AM149" t="str">
        <f>IFERROR(VLOOKUP(O149,'Status Map'!A:B,2,FALSE),"Position Status Not Mapped")</f>
        <v>Position Status Not Mapped</v>
      </c>
      <c r="AN149" t="str">
        <f t="shared" si="7"/>
        <v/>
      </c>
      <c r="AO149" t="str">
        <f>IFERROR(VLOOKUP(P149,'Invoice Exception Map'!A:C,3,FALSE),IF(AH149&gt;0,"Y","N"))</f>
        <v>Y</v>
      </c>
    </row>
    <row r="150" spans="1:41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2"/>
      <c r="M150" s="62"/>
      <c r="N150" s="62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6"/>
        <v/>
      </c>
      <c r="AM150" t="str">
        <f>IFERROR(VLOOKUP(O150,'Status Map'!A:B,2,FALSE),"Position Status Not Mapped")</f>
        <v>Position Status Not Mapped</v>
      </c>
      <c r="AN150" t="str">
        <f t="shared" si="7"/>
        <v/>
      </c>
      <c r="AO150" t="str">
        <f>IFERROR(VLOOKUP(P150,'Invoice Exception Map'!A:C,3,FALSE),IF(AH150&gt;0,"Y","N"))</f>
        <v>Y</v>
      </c>
    </row>
    <row r="151" spans="1:41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2"/>
      <c r="M151" s="62"/>
      <c r="N151" s="62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6"/>
        <v/>
      </c>
      <c r="AM151" t="str">
        <f>IFERROR(VLOOKUP(O151,'Status Map'!A:B,2,FALSE),"Position Status Not Mapped")</f>
        <v>Position Status Not Mapped</v>
      </c>
      <c r="AN151" t="str">
        <f t="shared" si="7"/>
        <v/>
      </c>
      <c r="AO151" t="str">
        <f>IFERROR(VLOOKUP(P151,'Invoice Exception Map'!A:C,3,FALSE),IF(AH151&gt;0,"Y","N"))</f>
        <v>Y</v>
      </c>
    </row>
    <row r="152" spans="1:41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2"/>
      <c r="M152" s="62"/>
      <c r="N152" s="62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6"/>
        <v/>
      </c>
      <c r="AM152" t="str">
        <f>IFERROR(VLOOKUP(O152,'Status Map'!A:B,2,FALSE),"Position Status Not Mapped")</f>
        <v>Position Status Not Mapped</v>
      </c>
      <c r="AN152" t="str">
        <f t="shared" si="7"/>
        <v/>
      </c>
      <c r="AO152" t="str">
        <f>IFERROR(VLOOKUP(P152,'Invoice Exception Map'!A:C,3,FALSE),IF(AH152&gt;0,"Y","N"))</f>
        <v>Y</v>
      </c>
    </row>
    <row r="153" spans="1:41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2"/>
      <c r="M153" s="62"/>
      <c r="N153" s="62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6"/>
        <v/>
      </c>
      <c r="AM153" t="str">
        <f>IFERROR(VLOOKUP(O153,'Status Map'!A:B,2,FALSE),"Position Status Not Mapped")</f>
        <v>Position Status Not Mapped</v>
      </c>
      <c r="AN153" t="str">
        <f t="shared" si="7"/>
        <v/>
      </c>
      <c r="AO153" t="str">
        <f>IFERROR(VLOOKUP(P153,'Invoice Exception Map'!A:C,3,FALSE),IF(AH153&gt;0,"Y","N"))</f>
        <v>Y</v>
      </c>
    </row>
    <row r="154" spans="1:41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2"/>
      <c r="M154" s="62"/>
      <c r="N154" s="62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6"/>
        <v/>
      </c>
      <c r="AM154" t="str">
        <f>IFERROR(VLOOKUP(O154,'Status Map'!A:B,2,FALSE),"Position Status Not Mapped")</f>
        <v>Position Status Not Mapped</v>
      </c>
      <c r="AN154" t="str">
        <f t="shared" si="7"/>
        <v/>
      </c>
      <c r="AO154" t="str">
        <f>IFERROR(VLOOKUP(P154,'Invoice Exception Map'!A:C,3,FALSE),IF(AH154&gt;0,"Y","N"))</f>
        <v>Y</v>
      </c>
    </row>
    <row r="155" spans="1:41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2"/>
      <c r="M155" s="62"/>
      <c r="N155" s="62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6"/>
        <v/>
      </c>
      <c r="AM155" t="str">
        <f>IFERROR(VLOOKUP(O155,'Status Map'!A:B,2,FALSE),"Position Status Not Mapped")</f>
        <v>Position Status Not Mapped</v>
      </c>
      <c r="AN155" t="str">
        <f t="shared" si="7"/>
        <v/>
      </c>
      <c r="AO155" t="str">
        <f>IFERROR(VLOOKUP(P155,'Invoice Exception Map'!A:C,3,FALSE),IF(AH155&gt;0,"Y","N"))</f>
        <v>Y</v>
      </c>
    </row>
    <row r="156" spans="1:41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2"/>
      <c r="M156" s="62"/>
      <c r="N156" s="62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6"/>
        <v/>
      </c>
      <c r="AM156" t="str">
        <f>IFERROR(VLOOKUP(O156,'Status Map'!A:B,2,FALSE),"Position Status Not Mapped")</f>
        <v>Position Status Not Mapped</v>
      </c>
      <c r="AN156" t="str">
        <f t="shared" si="7"/>
        <v/>
      </c>
      <c r="AO156" t="str">
        <f>IFERROR(VLOOKUP(P156,'Invoice Exception Map'!A:C,3,FALSE),IF(AH156&gt;0,"Y","N"))</f>
        <v>Y</v>
      </c>
    </row>
    <row r="157" spans="1:41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2"/>
      <c r="M157" s="62"/>
      <c r="N157" s="62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6"/>
        <v/>
      </c>
      <c r="AM157" t="str">
        <f>IFERROR(VLOOKUP(O157,'Status Map'!A:B,2,FALSE),"Position Status Not Mapped")</f>
        <v>Position Status Not Mapped</v>
      </c>
      <c r="AN157" t="str">
        <f t="shared" si="7"/>
        <v/>
      </c>
      <c r="AO157" t="str">
        <f>IFERROR(VLOOKUP(P157,'Invoice Exception Map'!A:C,3,FALSE),IF(AH157&gt;0,"Y","N"))</f>
        <v>Y</v>
      </c>
    </row>
    <row r="158" spans="1:41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2"/>
      <c r="M158" s="62"/>
      <c r="N158" s="62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6"/>
        <v/>
      </c>
      <c r="AM158" t="str">
        <f>IFERROR(VLOOKUP(O158,'Status Map'!A:B,2,FALSE),"Position Status Not Mapped")</f>
        <v>Position Status Not Mapped</v>
      </c>
      <c r="AN158" t="str">
        <f t="shared" si="7"/>
        <v/>
      </c>
      <c r="AO158" t="str">
        <f>IFERROR(VLOOKUP(P158,'Invoice Exception Map'!A:C,3,FALSE),IF(AH158&gt;0,"Y","N"))</f>
        <v>Y</v>
      </c>
    </row>
    <row r="159" spans="1:41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2"/>
      <c r="M159" s="62"/>
      <c r="N159" s="62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6"/>
        <v/>
      </c>
      <c r="AM159" t="str">
        <f>IFERROR(VLOOKUP(O159,'Status Map'!A:B,2,FALSE),"Position Status Not Mapped")</f>
        <v>Position Status Not Mapped</v>
      </c>
      <c r="AN159" t="str">
        <f t="shared" si="7"/>
        <v/>
      </c>
      <c r="AO159" t="str">
        <f>IFERROR(VLOOKUP(P159,'Invoice Exception Map'!A:C,3,FALSE),IF(AH159&gt;0,"Y","N"))</f>
        <v>Y</v>
      </c>
    </row>
    <row r="160" spans="1:41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2"/>
      <c r="M160" s="62"/>
      <c r="N160" s="62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6"/>
        <v/>
      </c>
      <c r="AM160" t="str">
        <f>IFERROR(VLOOKUP(O160,'Status Map'!A:B,2,FALSE),"Position Status Not Mapped")</f>
        <v>Position Status Not Mapped</v>
      </c>
      <c r="AN160" t="str">
        <f t="shared" si="7"/>
        <v/>
      </c>
      <c r="AO160" t="str">
        <f>IFERROR(VLOOKUP(P160,'Invoice Exception Map'!A:C,3,FALSE),IF(AH160&gt;0,"Y","N"))</f>
        <v>Y</v>
      </c>
    </row>
    <row r="161" spans="1:41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2"/>
      <c r="M161" s="62"/>
      <c r="N161" s="62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6"/>
        <v/>
      </c>
      <c r="AM161" t="str">
        <f>IFERROR(VLOOKUP(O161,'Status Map'!A:B,2,FALSE),"Position Status Not Mapped")</f>
        <v>Position Status Not Mapped</v>
      </c>
      <c r="AN161" t="str">
        <f t="shared" si="7"/>
        <v/>
      </c>
      <c r="AO161" t="str">
        <f>IFERROR(VLOOKUP(P161,'Invoice Exception Map'!A:C,3,FALSE),IF(AH161&gt;0,"Y","N"))</f>
        <v>Y</v>
      </c>
    </row>
    <row r="162" spans="1:41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2"/>
      <c r="M162" s="62"/>
      <c r="N162" s="62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6"/>
        <v/>
      </c>
      <c r="AM162" t="str">
        <f>IFERROR(VLOOKUP(O162,'Status Map'!A:B,2,FALSE),"Position Status Not Mapped")</f>
        <v>Position Status Not Mapped</v>
      </c>
      <c r="AN162" t="str">
        <f t="shared" si="7"/>
        <v/>
      </c>
      <c r="AO162" t="str">
        <f>IFERROR(VLOOKUP(P162,'Invoice Exception Map'!A:C,3,FALSE),IF(AH162&gt;0,"Y","N"))</f>
        <v>Y</v>
      </c>
    </row>
    <row r="163" spans="1:41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2"/>
      <c r="M163" s="62"/>
      <c r="N163" s="62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6"/>
        <v/>
      </c>
      <c r="AM163" t="str">
        <f>IFERROR(VLOOKUP(O163,'Status Map'!A:B,2,FALSE),"Position Status Not Mapped")</f>
        <v>Position Status Not Mapped</v>
      </c>
      <c r="AN163" t="str">
        <f t="shared" si="7"/>
        <v/>
      </c>
      <c r="AO163" t="str">
        <f>IFERROR(VLOOKUP(P163,'Invoice Exception Map'!A:C,3,FALSE),IF(AH163&gt;0,"Y","N"))</f>
        <v>Y</v>
      </c>
    </row>
    <row r="164" spans="1:41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2"/>
      <c r="M164" s="62"/>
      <c r="N164" s="62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6"/>
        <v/>
      </c>
      <c r="AM164" t="str">
        <f>IFERROR(VLOOKUP(O164,'Status Map'!A:B,2,FALSE),"Position Status Not Mapped")</f>
        <v>Position Status Not Mapped</v>
      </c>
      <c r="AN164" t="str">
        <f t="shared" si="7"/>
        <v/>
      </c>
      <c r="AO164" t="str">
        <f>IFERROR(VLOOKUP(P164,'Invoice Exception Map'!A:C,3,FALSE),IF(AH164&gt;0,"Y","N"))</f>
        <v>Y</v>
      </c>
    </row>
    <row r="165" spans="1:41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2"/>
      <c r="M165" s="62"/>
      <c r="N165" s="62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6"/>
        <v/>
      </c>
      <c r="AM165" t="str">
        <f>IFERROR(VLOOKUP(O165,'Status Map'!A:B,2,FALSE),"Position Status Not Mapped")</f>
        <v>Position Status Not Mapped</v>
      </c>
      <c r="AN165" t="str">
        <f t="shared" si="7"/>
        <v/>
      </c>
      <c r="AO165" t="str">
        <f>IFERROR(VLOOKUP(P165,'Invoice Exception Map'!A:C,3,FALSE),IF(AH165&gt;0,"Y","N"))</f>
        <v>Y</v>
      </c>
    </row>
    <row r="166" spans="1:41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2"/>
      <c r="M166" s="62"/>
      <c r="N166" s="62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6"/>
        <v/>
      </c>
      <c r="AM166" t="str">
        <f>IFERROR(VLOOKUP(O166,'Status Map'!A:B,2,FALSE),"Position Status Not Mapped")</f>
        <v>Position Status Not Mapped</v>
      </c>
      <c r="AN166" t="str">
        <f t="shared" si="7"/>
        <v/>
      </c>
      <c r="AO166" t="str">
        <f>IFERROR(VLOOKUP(P166,'Invoice Exception Map'!A:C,3,FALSE),IF(AH166&gt;0,"Y","N"))</f>
        <v>Y</v>
      </c>
    </row>
    <row r="167" spans="1:41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2"/>
      <c r="M167" s="62"/>
      <c r="N167" s="62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6"/>
        <v/>
      </c>
      <c r="AM167" t="str">
        <f>IFERROR(VLOOKUP(O167,'Status Map'!A:B,2,FALSE),"Position Status Not Mapped")</f>
        <v>Position Status Not Mapped</v>
      </c>
      <c r="AN167" t="str">
        <f t="shared" si="7"/>
        <v/>
      </c>
      <c r="AO167" t="str">
        <f>IFERROR(VLOOKUP(P167,'Invoice Exception Map'!A:C,3,FALSE),IF(AH167&gt;0,"Y","N"))</f>
        <v>Y</v>
      </c>
    </row>
    <row r="168" spans="1:41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2"/>
      <c r="M168" s="62"/>
      <c r="N168" s="62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6"/>
        <v/>
      </c>
      <c r="AM168" t="str">
        <f>IFERROR(VLOOKUP(O168,'Status Map'!A:B,2,FALSE),"Position Status Not Mapped")</f>
        <v>Position Status Not Mapped</v>
      </c>
      <c r="AN168" t="str">
        <f t="shared" si="7"/>
        <v/>
      </c>
      <c r="AO168" t="str">
        <f>IFERROR(VLOOKUP(P168,'Invoice Exception Map'!A:C,3,FALSE),IF(AH168&gt;0,"Y","N"))</f>
        <v>Y</v>
      </c>
    </row>
    <row r="169" spans="1:41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2"/>
      <c r="M169" s="62"/>
      <c r="N169" s="62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6"/>
        <v/>
      </c>
      <c r="AM169" t="str">
        <f>IFERROR(VLOOKUP(O169,'Status Map'!A:B,2,FALSE),"Position Status Not Mapped")</f>
        <v>Position Status Not Mapped</v>
      </c>
      <c r="AN169" t="str">
        <f t="shared" si="7"/>
        <v/>
      </c>
      <c r="AO169" t="str">
        <f>IFERROR(VLOOKUP(P169,'Invoice Exception Map'!A:C,3,FALSE),IF(AH169&gt;0,"Y","N"))</f>
        <v>Y</v>
      </c>
    </row>
  </sheetData>
  <autoFilter ref="A4:AR169" xr:uid="{00000000-0001-0000-0000-000000000000}"/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3" tint="0.249977111117893"/>
  </sheetPr>
  <dimension ref="A1:EG203"/>
  <sheetViews>
    <sheetView topLeftCell="B1" zoomScale="150" zoomScaleNormal="150" workbookViewId="0">
      <pane ySplit="1" topLeftCell="A2" activePane="bottomLeft" state="frozen"/>
      <selection pane="bottomLeft" activeCell="L5" sqref="L5"/>
    </sheetView>
  </sheetViews>
  <sheetFormatPr baseColWidth="10" defaultRowHeight="15" x14ac:dyDescent="0.2"/>
  <cols>
    <col min="6" max="6" width="28.1640625" bestFit="1" customWidth="1"/>
    <col min="8" max="8" width="26.33203125" bestFit="1" customWidth="1"/>
  </cols>
  <sheetData>
    <row r="1" spans="1:137" x14ac:dyDescent="0.2">
      <c r="A1" s="47" t="s">
        <v>1433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 x14ac:dyDescent="0.2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6">
        <v>7</v>
      </c>
      <c r="H2" s="28">
        <v>8</v>
      </c>
      <c r="I2" s="28">
        <v>9</v>
      </c>
      <c r="J2" s="28">
        <v>10</v>
      </c>
      <c r="K2" s="116">
        <v>11</v>
      </c>
      <c r="L2" s="28">
        <v>12</v>
      </c>
      <c r="M2" s="28">
        <v>13</v>
      </c>
      <c r="N2" s="116">
        <v>14</v>
      </c>
      <c r="O2" s="28">
        <v>15</v>
      </c>
      <c r="P2" s="116">
        <v>16</v>
      </c>
      <c r="Q2" s="116">
        <v>17</v>
      </c>
      <c r="R2" s="116">
        <v>18</v>
      </c>
      <c r="S2" s="116">
        <v>19</v>
      </c>
      <c r="T2" s="116">
        <v>20</v>
      </c>
      <c r="U2" s="116">
        <v>21</v>
      </c>
      <c r="V2" s="116">
        <v>22</v>
      </c>
      <c r="W2" s="116">
        <v>23</v>
      </c>
      <c r="X2" s="116">
        <v>24</v>
      </c>
      <c r="Y2" s="116">
        <v>25</v>
      </c>
      <c r="Z2" s="116">
        <v>26</v>
      </c>
      <c r="AA2" s="116">
        <v>27</v>
      </c>
      <c r="AB2" s="116">
        <v>28</v>
      </c>
      <c r="AC2" s="116">
        <v>29</v>
      </c>
      <c r="AD2" s="116">
        <v>30</v>
      </c>
      <c r="AE2" s="116">
        <v>31</v>
      </c>
      <c r="AF2" s="116">
        <v>32</v>
      </c>
      <c r="AG2" s="116">
        <v>33</v>
      </c>
      <c r="AH2" s="116">
        <v>34</v>
      </c>
      <c r="AI2" s="116">
        <v>35</v>
      </c>
      <c r="AJ2" s="116"/>
      <c r="AK2" s="116">
        <v>37</v>
      </c>
      <c r="AL2" s="116">
        <v>38</v>
      </c>
      <c r="AM2" s="116">
        <v>39</v>
      </c>
      <c r="AN2" s="116">
        <v>40</v>
      </c>
      <c r="AO2" s="116">
        <v>41</v>
      </c>
      <c r="AP2" s="28">
        <v>42</v>
      </c>
      <c r="AQ2" s="116">
        <v>43</v>
      </c>
      <c r="AR2" s="116">
        <v>44</v>
      </c>
      <c r="AS2" s="116">
        <v>45</v>
      </c>
      <c r="AT2" s="116">
        <v>46</v>
      </c>
      <c r="AU2" s="116">
        <v>47</v>
      </c>
      <c r="AV2" s="116">
        <v>48</v>
      </c>
      <c r="AW2" s="116">
        <v>49</v>
      </c>
      <c r="AX2" s="116">
        <v>50</v>
      </c>
      <c r="AY2" s="116">
        <v>51</v>
      </c>
      <c r="AZ2" s="116">
        <v>52</v>
      </c>
      <c r="BA2" s="116">
        <v>53</v>
      </c>
      <c r="BB2" s="116">
        <v>54</v>
      </c>
      <c r="BC2" s="116">
        <v>55</v>
      </c>
      <c r="BD2" s="116">
        <v>56</v>
      </c>
      <c r="BE2" s="116">
        <v>57</v>
      </c>
      <c r="BF2" s="116">
        <v>58</v>
      </c>
      <c r="BG2" s="116">
        <v>59</v>
      </c>
      <c r="BH2" s="116">
        <v>60</v>
      </c>
      <c r="BI2" s="116">
        <v>61</v>
      </c>
      <c r="BJ2" s="116">
        <v>62</v>
      </c>
      <c r="BK2" s="116">
        <v>63</v>
      </c>
      <c r="BL2" s="116">
        <v>64</v>
      </c>
      <c r="BM2" s="116">
        <v>65</v>
      </c>
      <c r="BN2" s="116">
        <v>66</v>
      </c>
      <c r="BO2" s="116">
        <v>67</v>
      </c>
      <c r="BP2" s="116">
        <v>68</v>
      </c>
      <c r="BQ2" s="116">
        <v>69</v>
      </c>
      <c r="BR2" s="116">
        <v>70</v>
      </c>
      <c r="BS2" s="116">
        <v>71</v>
      </c>
      <c r="BT2" s="116">
        <v>72</v>
      </c>
      <c r="BU2" s="116">
        <v>73</v>
      </c>
      <c r="BV2" s="116">
        <v>74</v>
      </c>
      <c r="BW2" s="116">
        <v>75</v>
      </c>
      <c r="BX2" s="116">
        <v>76</v>
      </c>
      <c r="BY2" s="116">
        <v>77</v>
      </c>
      <c r="BZ2" s="116">
        <v>78</v>
      </c>
      <c r="CA2" s="116">
        <v>79</v>
      </c>
      <c r="CB2" s="116">
        <v>80</v>
      </c>
      <c r="CC2" s="116">
        <v>81</v>
      </c>
      <c r="CD2" s="116">
        <v>82</v>
      </c>
      <c r="CE2" s="116">
        <v>83</v>
      </c>
      <c r="CF2" s="116">
        <v>84</v>
      </c>
      <c r="CG2" s="116">
        <v>85</v>
      </c>
      <c r="CH2" s="116">
        <v>86</v>
      </c>
      <c r="CI2" s="116">
        <v>87</v>
      </c>
      <c r="CJ2" s="116">
        <v>88</v>
      </c>
      <c r="CK2" s="116">
        <v>89</v>
      </c>
      <c r="CL2" s="116">
        <v>90</v>
      </c>
      <c r="CM2" s="116">
        <v>91</v>
      </c>
      <c r="CN2" s="116">
        <v>92</v>
      </c>
      <c r="CO2" s="116">
        <v>93</v>
      </c>
      <c r="CP2" s="116">
        <v>94</v>
      </c>
      <c r="CQ2" s="116">
        <v>95</v>
      </c>
      <c r="CR2" s="116">
        <v>96</v>
      </c>
      <c r="CS2" s="116">
        <v>97</v>
      </c>
      <c r="CT2" s="116">
        <v>98</v>
      </c>
      <c r="CU2" s="116">
        <v>99</v>
      </c>
      <c r="CV2" s="116">
        <v>100</v>
      </c>
      <c r="CW2" s="116">
        <v>101</v>
      </c>
      <c r="CX2" s="116">
        <v>102</v>
      </c>
      <c r="CY2" s="116">
        <v>103</v>
      </c>
      <c r="CZ2" s="116">
        <v>104</v>
      </c>
      <c r="DA2" s="116">
        <v>105</v>
      </c>
      <c r="DB2" s="116">
        <v>106</v>
      </c>
      <c r="DC2" s="116">
        <v>107</v>
      </c>
      <c r="DD2" s="116">
        <v>108</v>
      </c>
      <c r="DE2" s="116">
        <v>109</v>
      </c>
      <c r="DF2" s="116">
        <v>110</v>
      </c>
      <c r="DG2" s="116">
        <v>111</v>
      </c>
      <c r="DH2" s="116">
        <v>112</v>
      </c>
      <c r="DI2" s="116">
        <v>113</v>
      </c>
      <c r="DJ2" s="116">
        <v>114</v>
      </c>
      <c r="DK2" s="116">
        <v>115</v>
      </c>
      <c r="DL2" s="116">
        <v>116</v>
      </c>
      <c r="DM2" s="116">
        <v>117</v>
      </c>
      <c r="DN2" s="116">
        <v>118</v>
      </c>
      <c r="DO2" s="116">
        <v>119</v>
      </c>
      <c r="DP2" s="116">
        <v>120</v>
      </c>
      <c r="DQ2" s="116">
        <v>121</v>
      </c>
      <c r="DR2" s="116">
        <v>122</v>
      </c>
      <c r="DS2" s="116">
        <v>123</v>
      </c>
      <c r="DT2" s="116">
        <v>124</v>
      </c>
      <c r="DU2" s="116">
        <v>125</v>
      </c>
      <c r="DV2" s="116">
        <v>126</v>
      </c>
      <c r="DW2" s="116">
        <v>127</v>
      </c>
      <c r="DX2" s="116">
        <v>128</v>
      </c>
      <c r="DY2" s="116">
        <v>129</v>
      </c>
      <c r="DZ2" s="116">
        <v>130</v>
      </c>
      <c r="EA2" s="116">
        <v>131</v>
      </c>
      <c r="EB2" s="116">
        <v>132</v>
      </c>
      <c r="EC2" s="116">
        <v>133</v>
      </c>
      <c r="ED2" s="116">
        <v>134</v>
      </c>
      <c r="EE2" s="116">
        <v>135</v>
      </c>
      <c r="EF2" s="116">
        <v>136</v>
      </c>
      <c r="EG2" s="116">
        <v>137</v>
      </c>
    </row>
    <row r="3" spans="1:137" s="32" customFormat="1" ht="81.75" customHeight="1" x14ac:dyDescent="0.15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9" t="s">
        <v>1062</v>
      </c>
      <c r="Q3" s="29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4147</v>
      </c>
      <c r="X3" s="29" t="s">
        <v>4148</v>
      </c>
      <c r="Y3" s="29" t="s">
        <v>1092</v>
      </c>
      <c r="Z3" s="29" t="s">
        <v>4167</v>
      </c>
      <c r="AA3" s="29" t="s">
        <v>1093</v>
      </c>
      <c r="AB3" s="29" t="s">
        <v>4149</v>
      </c>
      <c r="AC3" s="29" t="s">
        <v>4150</v>
      </c>
      <c r="AD3" s="29" t="s">
        <v>1094</v>
      </c>
      <c r="AE3" s="29" t="s">
        <v>1095</v>
      </c>
      <c r="AF3" s="29" t="s">
        <v>1096</v>
      </c>
      <c r="AG3" s="29" t="s">
        <v>1097</v>
      </c>
      <c r="AH3" s="29" t="s">
        <v>1098</v>
      </c>
      <c r="AI3" s="29" t="s">
        <v>1099</v>
      </c>
      <c r="AJ3" s="29" t="s">
        <v>1100</v>
      </c>
      <c r="AK3" s="29" t="s">
        <v>1101</v>
      </c>
      <c r="AL3" s="29" t="s">
        <v>1102</v>
      </c>
      <c r="AM3" s="29" t="s">
        <v>1103</v>
      </c>
      <c r="AN3" s="29" t="s">
        <v>1104</v>
      </c>
      <c r="AO3" s="29" t="s">
        <v>1105</v>
      </c>
      <c r="AP3" s="28" t="s">
        <v>1106</v>
      </c>
      <c r="AQ3" s="29" t="s">
        <v>1107</v>
      </c>
      <c r="AR3" s="29" t="s">
        <v>1108</v>
      </c>
      <c r="AS3" s="29" t="s">
        <v>1109</v>
      </c>
      <c r="AT3" s="29" t="s">
        <v>1110</v>
      </c>
      <c r="AU3" s="29" t="s">
        <v>1111</v>
      </c>
      <c r="AV3" s="29" t="s">
        <v>1112</v>
      </c>
      <c r="AW3" s="29" t="s">
        <v>1113</v>
      </c>
      <c r="AX3" s="29" t="s">
        <v>1114</v>
      </c>
      <c r="AY3" s="29" t="s">
        <v>1115</v>
      </c>
      <c r="AZ3" s="29" t="s">
        <v>1116</v>
      </c>
      <c r="BA3" s="29" t="s">
        <v>1117</v>
      </c>
      <c r="BB3" s="29" t="s">
        <v>1118</v>
      </c>
      <c r="BC3" s="29" t="s">
        <v>1119</v>
      </c>
      <c r="BD3" s="29" t="s">
        <v>1120</v>
      </c>
      <c r="BE3" s="29" t="s">
        <v>1121</v>
      </c>
      <c r="BF3" s="29" t="s">
        <v>1122</v>
      </c>
      <c r="BG3" s="30" t="s">
        <v>1123</v>
      </c>
      <c r="BH3" s="30" t="s">
        <v>1124</v>
      </c>
      <c r="BI3" s="30" t="s">
        <v>1125</v>
      </c>
      <c r="BJ3" s="29" t="s">
        <v>1126</v>
      </c>
      <c r="BK3" s="30" t="s">
        <v>1127</v>
      </c>
      <c r="BL3" s="30" t="s">
        <v>1128</v>
      </c>
      <c r="BM3" s="29" t="s">
        <v>1129</v>
      </c>
      <c r="BN3" s="29" t="s">
        <v>1130</v>
      </c>
      <c r="BO3" s="29" t="s">
        <v>1131</v>
      </c>
      <c r="BP3" s="29" t="s">
        <v>1130</v>
      </c>
      <c r="BQ3" s="29" t="s">
        <v>1132</v>
      </c>
      <c r="BR3" s="29" t="s">
        <v>1133</v>
      </c>
      <c r="BS3" s="29" t="s">
        <v>1134</v>
      </c>
      <c r="BT3" s="29" t="s">
        <v>1135</v>
      </c>
      <c r="BU3" s="29" t="s">
        <v>1136</v>
      </c>
      <c r="BV3" s="29" t="s">
        <v>1137</v>
      </c>
      <c r="BW3" s="29" t="s">
        <v>1138</v>
      </c>
      <c r="BX3" s="29" t="s">
        <v>1139</v>
      </c>
      <c r="BY3" s="29" t="s">
        <v>1140</v>
      </c>
      <c r="BZ3" s="30" t="s">
        <v>1141</v>
      </c>
      <c r="CA3" s="30" t="s">
        <v>1142</v>
      </c>
      <c r="CB3" s="29" t="s">
        <v>1143</v>
      </c>
      <c r="CC3" s="29" t="s">
        <v>1144</v>
      </c>
      <c r="CD3" s="29" t="s">
        <v>1145</v>
      </c>
      <c r="CE3" s="29" t="s">
        <v>1146</v>
      </c>
      <c r="CF3" s="29" t="s">
        <v>1147</v>
      </c>
      <c r="CG3" s="29" t="s">
        <v>1148</v>
      </c>
      <c r="CH3" s="30" t="s">
        <v>1149</v>
      </c>
      <c r="CI3" s="29" t="s">
        <v>1150</v>
      </c>
      <c r="CJ3" s="29" t="s">
        <v>1151</v>
      </c>
      <c r="CK3" s="29" t="s">
        <v>1152</v>
      </c>
      <c r="CL3" s="29" t="s">
        <v>1153</v>
      </c>
      <c r="CM3" s="29" t="s">
        <v>1154</v>
      </c>
      <c r="CN3" s="29" t="s">
        <v>1155</v>
      </c>
      <c r="CO3" s="29" t="s">
        <v>1156</v>
      </c>
      <c r="CP3" s="29" t="s">
        <v>1157</v>
      </c>
      <c r="CQ3" s="29" t="s">
        <v>1158</v>
      </c>
      <c r="CR3" s="29" t="s">
        <v>1159</v>
      </c>
      <c r="CS3" s="29" t="s">
        <v>1160</v>
      </c>
      <c r="CT3" s="29" t="s">
        <v>1161</v>
      </c>
      <c r="CU3" s="29" t="s">
        <v>1162</v>
      </c>
      <c r="CV3" s="29" t="s">
        <v>1163</v>
      </c>
      <c r="CW3" s="29" t="s">
        <v>1164</v>
      </c>
      <c r="CX3" s="29" t="s">
        <v>1165</v>
      </c>
      <c r="CY3" s="29" t="s">
        <v>1166</v>
      </c>
      <c r="CZ3" s="29" t="s">
        <v>1167</v>
      </c>
      <c r="DA3" s="29" t="s">
        <v>1168</v>
      </c>
      <c r="DB3" s="29" t="s">
        <v>1169</v>
      </c>
      <c r="DC3" s="29" t="s">
        <v>1170</v>
      </c>
      <c r="DD3" s="29" t="s">
        <v>1171</v>
      </c>
      <c r="DE3" s="29" t="s">
        <v>1172</v>
      </c>
      <c r="DF3" s="29" t="s">
        <v>1173</v>
      </c>
      <c r="DG3" s="29" t="s">
        <v>1174</v>
      </c>
      <c r="DH3" s="29" t="s">
        <v>1175</v>
      </c>
      <c r="DI3" s="29" t="s">
        <v>1176</v>
      </c>
      <c r="DJ3" s="29" t="s">
        <v>1177</v>
      </c>
      <c r="DK3" s="29" t="s">
        <v>1178</v>
      </c>
      <c r="DL3" s="29" t="s">
        <v>1179</v>
      </c>
      <c r="DM3" s="29" t="s">
        <v>1180</v>
      </c>
      <c r="DN3" s="29" t="s">
        <v>1181</v>
      </c>
      <c r="DO3" s="29" t="s">
        <v>1182</v>
      </c>
      <c r="DP3" s="29" t="s">
        <v>1183</v>
      </c>
      <c r="DQ3" s="29" t="s">
        <v>1184</v>
      </c>
      <c r="DR3" s="29" t="s">
        <v>1185</v>
      </c>
      <c r="DS3" s="29" t="s">
        <v>1186</v>
      </c>
      <c r="DT3" s="29" t="s">
        <v>1187</v>
      </c>
      <c r="DU3" s="29" t="s">
        <v>1188</v>
      </c>
      <c r="DV3" s="29" t="s">
        <v>1189</v>
      </c>
      <c r="DW3" s="29" t="s">
        <v>1190</v>
      </c>
      <c r="DX3" s="29" t="s">
        <v>1191</v>
      </c>
      <c r="DY3" s="29" t="s">
        <v>1192</v>
      </c>
      <c r="DZ3" s="29" t="s">
        <v>1193</v>
      </c>
      <c r="EA3" s="29" t="s">
        <v>1194</v>
      </c>
      <c r="EB3" s="29" t="s">
        <v>1195</v>
      </c>
      <c r="EC3" s="29" t="s">
        <v>1196</v>
      </c>
      <c r="ED3" s="29" t="s">
        <v>1197</v>
      </c>
      <c r="EE3" s="29" t="s">
        <v>1198</v>
      </c>
      <c r="EF3" s="29" t="s">
        <v>1199</v>
      </c>
      <c r="EG3" s="29" t="s">
        <v>1200</v>
      </c>
    </row>
    <row r="4" spans="1:137" x14ac:dyDescent="0.2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4151</v>
      </c>
      <c r="CC4" s="33">
        <v>1</v>
      </c>
      <c r="CD4" s="117">
        <v>1</v>
      </c>
      <c r="CE4" s="117">
        <v>1</v>
      </c>
      <c r="CF4" s="117">
        <v>1</v>
      </c>
      <c r="CG4" s="117">
        <v>1</v>
      </c>
      <c r="CH4" s="117">
        <v>1</v>
      </c>
      <c r="CI4" s="33">
        <v>48</v>
      </c>
      <c r="CJ4" s="117">
        <v>48</v>
      </c>
      <c r="CK4" s="117">
        <v>1</v>
      </c>
      <c r="CL4" s="117">
        <v>7</v>
      </c>
      <c r="CM4" s="117" t="s">
        <v>231</v>
      </c>
      <c r="CN4" s="117" t="s">
        <v>231</v>
      </c>
      <c r="CO4" s="117" t="s">
        <v>231</v>
      </c>
      <c r="CP4" s="117">
        <v>48</v>
      </c>
      <c r="CQ4" s="117">
        <v>1</v>
      </c>
      <c r="CR4" s="117">
        <v>1</v>
      </c>
      <c r="CS4" s="117">
        <v>1</v>
      </c>
      <c r="CT4" s="117">
        <v>1</v>
      </c>
      <c r="CU4" s="117">
        <v>48</v>
      </c>
      <c r="CV4" s="117">
        <v>48</v>
      </c>
      <c r="CW4" s="117">
        <v>48</v>
      </c>
      <c r="CX4" s="117">
        <v>48</v>
      </c>
      <c r="CY4" s="117">
        <v>48</v>
      </c>
      <c r="CZ4" s="117">
        <v>48</v>
      </c>
      <c r="DA4" s="117">
        <v>48</v>
      </c>
      <c r="DB4" s="117">
        <v>48</v>
      </c>
      <c r="DC4" s="117">
        <v>48</v>
      </c>
      <c r="DD4" s="117">
        <v>48</v>
      </c>
      <c r="DE4" s="117">
        <v>48</v>
      </c>
      <c r="DF4" s="117">
        <v>48</v>
      </c>
      <c r="DG4" s="117">
        <v>48</v>
      </c>
      <c r="DH4" s="117">
        <v>48</v>
      </c>
      <c r="DI4" s="117">
        <v>48</v>
      </c>
      <c r="DJ4" s="117">
        <v>48</v>
      </c>
      <c r="DK4" s="117">
        <v>48</v>
      </c>
      <c r="DL4" s="117">
        <v>48</v>
      </c>
      <c r="DM4" s="117">
        <v>48</v>
      </c>
      <c r="DN4" s="117">
        <v>48</v>
      </c>
      <c r="DO4" s="117">
        <v>48</v>
      </c>
      <c r="DP4" s="117">
        <v>48</v>
      </c>
      <c r="DQ4" s="117">
        <v>48</v>
      </c>
      <c r="DR4" s="117">
        <v>48</v>
      </c>
      <c r="DS4" s="117">
        <v>48</v>
      </c>
      <c r="DT4" s="117">
        <v>48</v>
      </c>
      <c r="DU4" s="117">
        <v>48</v>
      </c>
      <c r="DV4" s="117">
        <v>48</v>
      </c>
      <c r="DW4" s="117">
        <v>48</v>
      </c>
      <c r="DX4" s="117">
        <v>48</v>
      </c>
      <c r="DY4" s="117">
        <v>48</v>
      </c>
      <c r="DZ4" s="117">
        <v>48</v>
      </c>
      <c r="EA4" s="117">
        <v>48</v>
      </c>
      <c r="EB4" s="117">
        <v>48</v>
      </c>
      <c r="EC4" s="117">
        <v>48</v>
      </c>
      <c r="ED4" s="117">
        <v>48</v>
      </c>
      <c r="EE4" s="117">
        <v>48</v>
      </c>
      <c r="EF4" s="117">
        <v>48</v>
      </c>
      <c r="EG4" s="117">
        <v>48</v>
      </c>
    </row>
    <row r="5" spans="1:137" ht="17" customHeight="1" x14ac:dyDescent="0.2">
      <c r="A5" s="39" t="s">
        <v>1420</v>
      </c>
      <c r="B5" t="str">
        <f>ADP!B5</f>
        <v>Tammie</v>
      </c>
      <c r="C5" t="str">
        <f>ADP!C5</f>
        <v/>
      </c>
      <c r="D5" t="str">
        <f>ADP!D5</f>
        <v>Abitua</v>
      </c>
      <c r="E5" t="str">
        <f>ADP!P5</f>
        <v>211837</v>
      </c>
      <c r="F5" t="str">
        <f>ADP!I5&amp;".new.uat"</f>
        <v>tabitua1@onebarnes.com.new.uat</v>
      </c>
      <c r="G5" s="18" t="s">
        <v>1427</v>
      </c>
      <c r="H5" t="str">
        <f>ADP!I5</f>
        <v>tabitua1@onebarnes.com</v>
      </c>
      <c r="I5" t="str">
        <f>ADP!AJ5</f>
        <v>en_US</v>
      </c>
      <c r="J5" t="str">
        <f>ADP!AI5</f>
        <v>US</v>
      </c>
      <c r="L5" t="str">
        <f>ADP!AD5</f>
        <v>0088</v>
      </c>
      <c r="M5" t="str">
        <f>ADP!AK5</f>
        <v>USD</v>
      </c>
      <c r="O5" s="18" t="str">
        <f>ADP!AM5</f>
        <v>Y</v>
      </c>
      <c r="P5" t="str">
        <f>ADP!AD5</f>
        <v>0088</v>
      </c>
      <c r="Q5">
        <f>ADP!AE5</f>
        <v>5100</v>
      </c>
      <c r="W5" t="str">
        <f>ADP!AA5</f>
        <v>S05</v>
      </c>
      <c r="X5" t="str">
        <f>ADP!AG5</f>
        <v>General</v>
      </c>
      <c r="Z5" t="str">
        <f>P5</f>
        <v>0088</v>
      </c>
      <c r="AB5" t="str">
        <f>ADP!AN5</f>
        <v/>
      </c>
      <c r="AC5" t="str">
        <f>ADP!AL5</f>
        <v/>
      </c>
      <c r="AP5" t="str">
        <f>ADP!AD5</f>
        <v>0088</v>
      </c>
      <c r="BG5" t="str">
        <f>ADP!AC5</f>
        <v>211756</v>
      </c>
      <c r="BK5" s="18" t="s">
        <v>1421</v>
      </c>
      <c r="BL5" s="18" t="s">
        <v>1421</v>
      </c>
      <c r="BU5" s="18" t="str">
        <f>ADP!AO5</f>
        <v>N</v>
      </c>
      <c r="BV5" s="18" t="str">
        <f>ADP!AO5</f>
        <v>N</v>
      </c>
      <c r="CE5" s="18" t="s">
        <v>1421</v>
      </c>
      <c r="CH5" s="18" t="s">
        <v>1421</v>
      </c>
    </row>
    <row r="6" spans="1:137" x14ac:dyDescent="0.2">
      <c r="A6" s="39" t="s">
        <v>1420</v>
      </c>
      <c r="B6" t="str">
        <f>ADP!B6</f>
        <v>Gregory</v>
      </c>
      <c r="C6" t="str">
        <f>ADP!C6</f>
        <v>S</v>
      </c>
      <c r="D6" t="str">
        <f>ADP!D6</f>
        <v>Adams</v>
      </c>
      <c r="E6" t="str">
        <f>ADP!P6</f>
        <v>213331</v>
      </c>
      <c r="F6" t="str">
        <f>ADP!I6&amp;".new.uat"</f>
        <v>gadams@onebarnes.com.new.uat</v>
      </c>
      <c r="G6" s="18" t="s">
        <v>1427</v>
      </c>
      <c r="H6" t="str">
        <f>ADP!I6</f>
        <v>gadams@onebarnes.com</v>
      </c>
      <c r="I6" t="str">
        <f>ADP!AJ6</f>
        <v>en_US</v>
      </c>
      <c r="J6" t="str">
        <f>ADP!AI6</f>
        <v>US</v>
      </c>
      <c r="L6" t="str">
        <f>ADP!AD6</f>
        <v>0088</v>
      </c>
      <c r="M6" t="str">
        <f>ADP!AK6</f>
        <v>USD</v>
      </c>
      <c r="O6" s="18" t="str">
        <f>ADP!AM6</f>
        <v>Y</v>
      </c>
      <c r="P6" t="str">
        <f>ADP!AD6</f>
        <v>0088</v>
      </c>
      <c r="Q6">
        <f>ADP!AE6</f>
        <v>8200</v>
      </c>
      <c r="W6" t="str">
        <f>ADP!AA6</f>
        <v>S16</v>
      </c>
      <c r="X6" t="str">
        <f>ADP!AG6</f>
        <v>General</v>
      </c>
      <c r="Z6" t="str">
        <f t="shared" ref="Z6:Z69" si="0">P6</f>
        <v>0088</v>
      </c>
      <c r="AB6" t="str">
        <f>ADP!AN6</f>
        <v/>
      </c>
      <c r="AC6" t="str">
        <f>ADP!AL6</f>
        <v/>
      </c>
      <c r="AP6" t="str">
        <f>ADP!AD6</f>
        <v>0088</v>
      </c>
      <c r="BG6" t="str">
        <f>ADP!AC6</f>
        <v>207588</v>
      </c>
      <c r="BK6" s="18" t="s">
        <v>1421</v>
      </c>
      <c r="BL6" s="18" t="s">
        <v>1421</v>
      </c>
      <c r="BU6" s="18" t="str">
        <f>ADP!AO6</f>
        <v>N</v>
      </c>
      <c r="BV6" s="18" t="str">
        <f>ADP!AO6</f>
        <v>N</v>
      </c>
      <c r="CE6" s="18" t="s">
        <v>1421</v>
      </c>
      <c r="CH6" s="18" t="s">
        <v>1421</v>
      </c>
    </row>
    <row r="7" spans="1:137" x14ac:dyDescent="0.2">
      <c r="A7" s="39" t="s">
        <v>1420</v>
      </c>
      <c r="B7" t="str">
        <f>ADP!B7</f>
        <v>Krystle</v>
      </c>
      <c r="C7" t="str">
        <f>ADP!C7</f>
        <v/>
      </c>
      <c r="D7" t="str">
        <f>ADP!D7</f>
        <v>Agler</v>
      </c>
      <c r="E7" t="str">
        <f>ADP!P7</f>
        <v>213226</v>
      </c>
      <c r="F7" t="str">
        <f>ADP!I7&amp;".new.uat"</f>
        <v>kagler@onebarnes.com.new.uat</v>
      </c>
      <c r="G7" s="18" t="s">
        <v>1427</v>
      </c>
      <c r="H7" t="str">
        <f>ADP!I7</f>
        <v>kagler@onebarnes.com</v>
      </c>
      <c r="I7" t="str">
        <f>ADP!AJ7</f>
        <v>en_US</v>
      </c>
      <c r="J7" t="str">
        <f>ADP!AI7</f>
        <v>US</v>
      </c>
      <c r="L7" t="str">
        <f>ADP!AD7</f>
        <v>0088</v>
      </c>
      <c r="M7" t="str">
        <f>ADP!AK7</f>
        <v>USD</v>
      </c>
      <c r="O7" s="18" t="str">
        <f>ADP!AM7</f>
        <v>Y</v>
      </c>
      <c r="P7" t="str">
        <f>ADP!AD7</f>
        <v>0088</v>
      </c>
      <c r="Q7">
        <f>ADP!AE7</f>
        <v>8300</v>
      </c>
      <c r="W7" t="str">
        <f>ADP!AA7</f>
        <v>S16</v>
      </c>
      <c r="X7" t="str">
        <f>ADP!AG7</f>
        <v>General</v>
      </c>
      <c r="Z7" t="str">
        <f t="shared" si="0"/>
        <v>0088</v>
      </c>
      <c r="AB7" t="str">
        <f>ADP!AN7</f>
        <v/>
      </c>
      <c r="AC7" t="str">
        <f>ADP!AL7</f>
        <v/>
      </c>
      <c r="AP7" t="str">
        <f>ADP!AD7</f>
        <v>0088</v>
      </c>
      <c r="BG7" t="str">
        <f>ADP!AC7</f>
        <v>211766</v>
      </c>
      <c r="BK7" s="18" t="s">
        <v>1421</v>
      </c>
      <c r="BL7" s="18" t="s">
        <v>1421</v>
      </c>
      <c r="BU7" s="18" t="str">
        <f>ADP!AO7</f>
        <v>Y</v>
      </c>
      <c r="BV7" s="18" t="str">
        <f>ADP!AO7</f>
        <v>Y</v>
      </c>
      <c r="CE7" s="18" t="s">
        <v>1421</v>
      </c>
      <c r="CH7" s="18" t="s">
        <v>1421</v>
      </c>
    </row>
    <row r="8" spans="1:137" x14ac:dyDescent="0.2">
      <c r="A8" s="39" t="s">
        <v>1420</v>
      </c>
      <c r="B8" t="str">
        <f>ADP!B8</f>
        <v>Thomas</v>
      </c>
      <c r="C8" t="str">
        <f>ADP!C8</f>
        <v>E</v>
      </c>
      <c r="D8" t="str">
        <f>ADP!D8</f>
        <v>Alexander</v>
      </c>
      <c r="E8" t="str">
        <f>ADP!P8</f>
        <v>210892</v>
      </c>
      <c r="F8" t="str">
        <f>ADP!I8&amp;".new.uat"</f>
        <v>talexander@onebarnes.com.new.uat</v>
      </c>
      <c r="G8" s="18" t="s">
        <v>1427</v>
      </c>
      <c r="H8" t="str">
        <f>ADP!I8</f>
        <v>talexander@onebarnes.com</v>
      </c>
      <c r="I8" t="str">
        <f>ADP!AJ8</f>
        <v>en_US</v>
      </c>
      <c r="J8" t="str">
        <f>ADP!AI8</f>
        <v>US</v>
      </c>
      <c r="L8" t="str">
        <f>ADP!AD8</f>
        <v>0088</v>
      </c>
      <c r="M8" t="str">
        <f>ADP!AK8</f>
        <v>USD</v>
      </c>
      <c r="O8" s="18" t="str">
        <f>ADP!AM8</f>
        <v>Y</v>
      </c>
      <c r="P8" t="str">
        <f>ADP!AD8</f>
        <v>0088</v>
      </c>
      <c r="Q8">
        <f>ADP!AE8</f>
        <v>9500</v>
      </c>
      <c r="W8" t="str">
        <f>ADP!AA8</f>
        <v>S16</v>
      </c>
      <c r="X8" t="str">
        <f>ADP!AG8</f>
        <v>General</v>
      </c>
      <c r="Z8" t="str">
        <f t="shared" si="0"/>
        <v>0088</v>
      </c>
      <c r="AB8" t="str">
        <f>ADP!AN8</f>
        <v/>
      </c>
      <c r="AC8" t="str">
        <f>ADP!AL8</f>
        <v/>
      </c>
      <c r="AP8" t="str">
        <f>ADP!AD8</f>
        <v>0088</v>
      </c>
      <c r="BG8" t="str">
        <f>ADP!AC8</f>
        <v>211766</v>
      </c>
      <c r="BK8" s="18" t="s">
        <v>1421</v>
      </c>
      <c r="BL8" s="18" t="s">
        <v>1421</v>
      </c>
      <c r="BU8" s="18" t="str">
        <f>ADP!AO8</f>
        <v>Y</v>
      </c>
      <c r="BV8" s="18" t="str">
        <f>ADP!AO8</f>
        <v>Y</v>
      </c>
      <c r="CE8" s="18" t="s">
        <v>1421</v>
      </c>
      <c r="CH8" s="18" t="s">
        <v>1421</v>
      </c>
    </row>
    <row r="9" spans="1:137" x14ac:dyDescent="0.2">
      <c r="A9" s="39" t="s">
        <v>1420</v>
      </c>
      <c r="B9" t="str">
        <f>ADP!B9</f>
        <v>Tina</v>
      </c>
      <c r="C9" t="str">
        <f>ADP!C9</f>
        <v>M</v>
      </c>
      <c r="D9" t="str">
        <f>ADP!D9</f>
        <v>Allen</v>
      </c>
      <c r="E9" t="str">
        <f>ADP!P9</f>
        <v>206848</v>
      </c>
      <c r="F9" t="str">
        <f>ADP!I9&amp;".new.uat"</f>
        <v>TAllen2@onebarnes.com.new.uat</v>
      </c>
      <c r="G9" s="18" t="s">
        <v>1427</v>
      </c>
      <c r="H9" t="str">
        <f>ADP!I9</f>
        <v>TAllen2@onebarnes.com</v>
      </c>
      <c r="I9" t="str">
        <f>ADP!AJ9</f>
        <v>en_US</v>
      </c>
      <c r="J9" t="str">
        <f>ADP!AI9</f>
        <v>US</v>
      </c>
      <c r="L9" t="str">
        <f>ADP!AD9</f>
        <v>0088</v>
      </c>
      <c r="M9" t="str">
        <f>ADP!AK9</f>
        <v>USD</v>
      </c>
      <c r="O9" s="18" t="str">
        <f>ADP!AM9</f>
        <v>Y</v>
      </c>
      <c r="P9" t="str">
        <f>ADP!AD9</f>
        <v>0088</v>
      </c>
      <c r="Q9">
        <f>ADP!AE9</f>
        <v>5200</v>
      </c>
      <c r="W9" t="str">
        <f>ADP!AA9</f>
        <v>S05</v>
      </c>
      <c r="X9" t="str">
        <f>ADP!AG9</f>
        <v>General</v>
      </c>
      <c r="Z9" t="str">
        <f t="shared" si="0"/>
        <v>0088</v>
      </c>
      <c r="AB9" t="str">
        <f>ADP!AN9</f>
        <v/>
      </c>
      <c r="AC9" t="str">
        <f>ADP!AL9</f>
        <v/>
      </c>
      <c r="AP9" t="str">
        <f>ADP!AD9</f>
        <v>0088</v>
      </c>
      <c r="BG9" t="str">
        <f>ADP!AC9</f>
        <v>211736</v>
      </c>
      <c r="BK9" s="18" t="s">
        <v>1421</v>
      </c>
      <c r="BL9" s="18" t="s">
        <v>1421</v>
      </c>
      <c r="BU9" s="18" t="str">
        <f>ADP!AO9</f>
        <v>N</v>
      </c>
      <c r="BV9" s="18" t="str">
        <f>ADP!AO9</f>
        <v>N</v>
      </c>
      <c r="CE9" s="18" t="s">
        <v>1421</v>
      </c>
      <c r="CH9" s="18" t="s">
        <v>1421</v>
      </c>
    </row>
    <row r="10" spans="1:137" x14ac:dyDescent="0.2">
      <c r="A10" s="39" t="s">
        <v>1420</v>
      </c>
      <c r="B10" t="str">
        <f>ADP!B10</f>
        <v>Kimberly</v>
      </c>
      <c r="C10" t="str">
        <f>ADP!C10</f>
        <v/>
      </c>
      <c r="D10" t="str">
        <f>ADP!D10</f>
        <v>Ashley</v>
      </c>
      <c r="E10" t="str">
        <f>ADP!P10</f>
        <v>201688</v>
      </c>
      <c r="F10" t="str">
        <f>ADP!I10&amp;".new.uat"</f>
        <v>KAshley@onebarnes.com.new.uat</v>
      </c>
      <c r="G10" s="18" t="s">
        <v>1427</v>
      </c>
      <c r="H10" t="str">
        <f>ADP!I10</f>
        <v>KAshley@onebarnes.com</v>
      </c>
      <c r="I10" t="str">
        <f>ADP!AJ10</f>
        <v>en_US</v>
      </c>
      <c r="J10" t="str">
        <f>ADP!AI10</f>
        <v>US</v>
      </c>
      <c r="L10" t="str">
        <f>ADP!AD10</f>
        <v>0088</v>
      </c>
      <c r="M10" t="str">
        <f>ADP!AK10</f>
        <v>USD</v>
      </c>
      <c r="O10" s="18" t="str">
        <f>ADP!AM10</f>
        <v>Y</v>
      </c>
      <c r="P10" t="str">
        <f>ADP!AD10</f>
        <v>0088</v>
      </c>
      <c r="Q10">
        <f>ADP!AE10</f>
        <v>9100</v>
      </c>
      <c r="W10" t="str">
        <f>ADP!AA10</f>
        <v>S13</v>
      </c>
      <c r="X10" t="str">
        <f>ADP!AG10</f>
        <v>General</v>
      </c>
      <c r="Z10" t="str">
        <f t="shared" si="0"/>
        <v>0088</v>
      </c>
      <c r="AB10" t="str">
        <f>ADP!AN10</f>
        <v/>
      </c>
      <c r="AC10" t="str">
        <f>ADP!AL10</f>
        <v/>
      </c>
      <c r="AP10" t="str">
        <f>ADP!AD10</f>
        <v>0088</v>
      </c>
      <c r="BG10" t="str">
        <f>ADP!AC10</f>
        <v>008750</v>
      </c>
      <c r="BK10" s="18" t="s">
        <v>1421</v>
      </c>
      <c r="BL10" s="18" t="s">
        <v>1421</v>
      </c>
      <c r="BU10" s="18" t="str">
        <f>ADP!AO10</f>
        <v>Y</v>
      </c>
      <c r="BV10" s="18" t="str">
        <f>ADP!AO10</f>
        <v>Y</v>
      </c>
      <c r="CE10" s="18" t="s">
        <v>1421</v>
      </c>
      <c r="CH10" s="18" t="s">
        <v>1421</v>
      </c>
    </row>
    <row r="11" spans="1:137" x14ac:dyDescent="0.2">
      <c r="A11" s="39" t="s">
        <v>1420</v>
      </c>
      <c r="B11" t="str">
        <f>ADP!B11</f>
        <v>Jason</v>
      </c>
      <c r="C11" t="str">
        <f>ADP!C11</f>
        <v>J</v>
      </c>
      <c r="D11" t="str">
        <f>ADP!D11</f>
        <v>Bailey</v>
      </c>
      <c r="E11" t="str">
        <f>ADP!P11</f>
        <v>902688</v>
      </c>
      <c r="F11" t="str">
        <f>ADP!I11&amp;".new.uat"</f>
        <v>jbailey@onebarnes.com.new.uat</v>
      </c>
      <c r="G11" s="18" t="s">
        <v>1427</v>
      </c>
      <c r="H11" t="str">
        <f>ADP!I11</f>
        <v>jbailey@onebarnes.com</v>
      </c>
      <c r="I11" t="str">
        <f>ADP!AJ11</f>
        <v>en_US</v>
      </c>
      <c r="J11" t="str">
        <f>ADP!AI11</f>
        <v>US</v>
      </c>
      <c r="L11" t="str">
        <f>ADP!AD11</f>
        <v>0088</v>
      </c>
      <c r="M11" t="str">
        <f>ADP!AK11</f>
        <v>USD</v>
      </c>
      <c r="O11" s="18" t="str">
        <f>ADP!AM11</f>
        <v>Y</v>
      </c>
      <c r="P11" t="str">
        <f>ADP!AD11</f>
        <v>0088</v>
      </c>
      <c r="Q11">
        <f>ADP!AE11</f>
        <v>5200</v>
      </c>
      <c r="W11" t="str">
        <f>ADP!AA11</f>
        <v>S18</v>
      </c>
      <c r="X11" t="str">
        <f>ADP!AG11</f>
        <v>General</v>
      </c>
      <c r="Z11" t="str">
        <f t="shared" si="0"/>
        <v>0088</v>
      </c>
      <c r="AB11" t="str">
        <f>ADP!AN11</f>
        <v/>
      </c>
      <c r="AC11" t="str">
        <f>ADP!AL11</f>
        <v/>
      </c>
      <c r="AP11" t="str">
        <f>ADP!AD11</f>
        <v>0088</v>
      </c>
      <c r="BG11" t="str">
        <f>ADP!AC11</f>
        <v>211766</v>
      </c>
      <c r="BK11" s="18" t="s">
        <v>1421</v>
      </c>
      <c r="BL11" s="18" t="s">
        <v>1421</v>
      </c>
      <c r="BU11" s="18" t="str">
        <f>ADP!AO11</f>
        <v>Y</v>
      </c>
      <c r="BV11" s="18" t="str">
        <f>ADP!AO11</f>
        <v>Y</v>
      </c>
      <c r="CE11" s="18" t="s">
        <v>1421</v>
      </c>
      <c r="CH11" s="18" t="s">
        <v>1421</v>
      </c>
    </row>
    <row r="12" spans="1:137" x14ac:dyDescent="0.2">
      <c r="A12" s="39" t="s">
        <v>1420</v>
      </c>
      <c r="B12" t="str">
        <f>ADP!B12</f>
        <v>Teresa</v>
      </c>
      <c r="C12" t="str">
        <f>ADP!C12</f>
        <v/>
      </c>
      <c r="D12" t="str">
        <f>ADP!D12</f>
        <v>Bair</v>
      </c>
      <c r="E12" t="str">
        <f>ADP!P12</f>
        <v>207709</v>
      </c>
      <c r="F12" t="str">
        <f>ADP!I12&amp;".new.uat"</f>
        <v>TBair@onebarnes.com.new.uat</v>
      </c>
      <c r="G12" s="18" t="s">
        <v>1427</v>
      </c>
      <c r="H12" t="str">
        <f>ADP!I12</f>
        <v>TBair@onebarnes.com</v>
      </c>
      <c r="I12" t="str">
        <f>ADP!AJ12</f>
        <v>en_US</v>
      </c>
      <c r="J12" t="str">
        <f>ADP!AI12</f>
        <v>US</v>
      </c>
      <c r="L12" t="str">
        <f>ADP!AD12</f>
        <v>0088</v>
      </c>
      <c r="M12" t="str">
        <f>ADP!AK12</f>
        <v>USD</v>
      </c>
      <c r="O12" s="18" t="str">
        <f>ADP!AM12</f>
        <v>Y</v>
      </c>
      <c r="P12" t="str">
        <f>ADP!AD12</f>
        <v>0088</v>
      </c>
      <c r="Q12">
        <f>ADP!AE12</f>
        <v>9310</v>
      </c>
      <c r="W12" t="str">
        <f>ADP!AA12</f>
        <v>S22</v>
      </c>
      <c r="X12" t="str">
        <f>ADP!AG12</f>
        <v>Senior Leadership</v>
      </c>
      <c r="Z12" t="str">
        <f t="shared" si="0"/>
        <v>0088</v>
      </c>
      <c r="AB12" t="str">
        <f>ADP!AN12</f>
        <v/>
      </c>
      <c r="AC12" t="str">
        <f>ADP!AL12</f>
        <v/>
      </c>
      <c r="AP12" t="str">
        <f>ADP!AD12</f>
        <v>0088</v>
      </c>
      <c r="BG12" t="str">
        <f>ADP!AC12</f>
        <v/>
      </c>
      <c r="BK12" s="18" t="s">
        <v>1421</v>
      </c>
      <c r="BL12" s="18" t="s">
        <v>1421</v>
      </c>
      <c r="BU12" s="18" t="str">
        <f>ADP!AO12</f>
        <v>Y</v>
      </c>
      <c r="BV12" s="18" t="str">
        <f>ADP!AO12</f>
        <v>Y</v>
      </c>
      <c r="CE12" s="18" t="s">
        <v>1421</v>
      </c>
      <c r="CH12" s="18" t="s">
        <v>1421</v>
      </c>
    </row>
    <row r="13" spans="1:137" x14ac:dyDescent="0.2">
      <c r="A13" s="39" t="s">
        <v>1420</v>
      </c>
      <c r="B13" t="str">
        <f>ADP!B13</f>
        <v>Kirsten</v>
      </c>
      <c r="C13" t="str">
        <f>ADP!C13</f>
        <v>V</v>
      </c>
      <c r="D13" t="str">
        <f>ADP!D13</f>
        <v>Barry</v>
      </c>
      <c r="E13" t="str">
        <f>ADP!P13</f>
        <v>209579</v>
      </c>
      <c r="F13" t="str">
        <f>ADP!I13&amp;".new.uat"</f>
        <v>kbarry@onebarnes.com.new.uat</v>
      </c>
      <c r="G13" s="18" t="s">
        <v>1427</v>
      </c>
      <c r="H13" t="str">
        <f>ADP!I13</f>
        <v>kbarry@onebarnes.com</v>
      </c>
      <c r="I13" t="str">
        <f>ADP!AJ13</f>
        <v>en_US</v>
      </c>
      <c r="J13" t="str">
        <f>ADP!AI13</f>
        <v>US</v>
      </c>
      <c r="L13" t="str">
        <f>ADP!AD13</f>
        <v>0096</v>
      </c>
      <c r="M13" t="str">
        <f>ADP!AK13</f>
        <v>USD</v>
      </c>
      <c r="O13" s="18" t="str">
        <f>ADP!AM13</f>
        <v>Y</v>
      </c>
      <c r="P13" t="str">
        <f>ADP!AD13</f>
        <v>0096</v>
      </c>
      <c r="Q13">
        <f>ADP!AE13</f>
        <v>820</v>
      </c>
      <c r="W13" t="str">
        <f>ADP!AA13</f>
        <v>S15</v>
      </c>
      <c r="X13" t="str">
        <f>ADP!AG13</f>
        <v>General</v>
      </c>
      <c r="Z13" t="str">
        <f t="shared" si="0"/>
        <v>0096</v>
      </c>
      <c r="AB13" t="str">
        <f>ADP!AN13</f>
        <v/>
      </c>
      <c r="AC13" t="str">
        <f>ADP!AL13</f>
        <v/>
      </c>
      <c r="AP13" t="str">
        <f>ADP!AD13</f>
        <v>0096</v>
      </c>
      <c r="BG13" t="str">
        <f>ADP!AC13</f>
        <v>207588</v>
      </c>
      <c r="BK13" s="18" t="s">
        <v>1421</v>
      </c>
      <c r="BL13" s="18" t="s">
        <v>1421</v>
      </c>
      <c r="BU13" s="18" t="str">
        <f>ADP!AO13</f>
        <v>N</v>
      </c>
      <c r="BV13" s="18" t="str">
        <f>ADP!AO13</f>
        <v>N</v>
      </c>
      <c r="CE13" s="18" t="s">
        <v>1421</v>
      </c>
      <c r="CH13" s="18" t="s">
        <v>1421</v>
      </c>
    </row>
    <row r="14" spans="1:137" x14ac:dyDescent="0.2">
      <c r="A14" s="39" t="s">
        <v>1420</v>
      </c>
      <c r="B14" t="str">
        <f>ADP!B14</f>
        <v>Natalie</v>
      </c>
      <c r="C14" t="str">
        <f>ADP!C14</f>
        <v/>
      </c>
      <c r="D14" t="str">
        <f>ADP!D14</f>
        <v>Bate</v>
      </c>
      <c r="E14" t="str">
        <f>ADP!P14</f>
        <v>213037</v>
      </c>
      <c r="F14" t="str">
        <f>ADP!I14&amp;".new.uat"</f>
        <v>nbate@onebarnes.com.new.uat</v>
      </c>
      <c r="G14" s="18" t="s">
        <v>1427</v>
      </c>
      <c r="H14" t="str">
        <f>ADP!I14</f>
        <v>nbate@onebarnes.com</v>
      </c>
      <c r="I14" t="str">
        <f>ADP!AJ14</f>
        <v>en_US</v>
      </c>
      <c r="J14" t="str">
        <f>ADP!AI14</f>
        <v>US</v>
      </c>
      <c r="L14" t="str">
        <f>ADP!AD14</f>
        <v>0096</v>
      </c>
      <c r="M14" t="str">
        <f>ADP!AK14</f>
        <v>USD</v>
      </c>
      <c r="O14" s="18" t="str">
        <f>ADP!AM14</f>
        <v>Y</v>
      </c>
      <c r="P14" t="str">
        <f>ADP!AD14</f>
        <v>0096</v>
      </c>
      <c r="Q14">
        <f>ADP!AE14</f>
        <v>917</v>
      </c>
      <c r="W14" t="str">
        <f>ADP!AA14</f>
        <v>S19</v>
      </c>
      <c r="X14" t="str">
        <f>ADP!AG14</f>
        <v>General</v>
      </c>
      <c r="Z14" t="str">
        <f t="shared" si="0"/>
        <v>0096</v>
      </c>
      <c r="AB14" t="str">
        <f>ADP!AN14</f>
        <v/>
      </c>
      <c r="AC14" t="str">
        <f>ADP!AL14</f>
        <v/>
      </c>
      <c r="AP14" t="str">
        <f>ADP!AD14</f>
        <v>0096</v>
      </c>
      <c r="BG14" t="str">
        <f>ADP!AC14</f>
        <v>207709</v>
      </c>
      <c r="BK14" s="18" t="s">
        <v>1421</v>
      </c>
      <c r="BL14" s="18" t="s">
        <v>1421</v>
      </c>
      <c r="BU14" s="18" t="str">
        <f>ADP!AO14</f>
        <v>Y</v>
      </c>
      <c r="BV14" s="18" t="str">
        <f>ADP!AO14</f>
        <v>Y</v>
      </c>
      <c r="CE14" s="18" t="s">
        <v>1421</v>
      </c>
      <c r="CH14" s="18" t="s">
        <v>1421</v>
      </c>
    </row>
    <row r="15" spans="1:137" x14ac:dyDescent="0.2">
      <c r="A15" s="39" t="s">
        <v>1420</v>
      </c>
      <c r="B15" t="str">
        <f>ADP!B15</f>
        <v>Michael</v>
      </c>
      <c r="C15" t="str">
        <f>ADP!C15</f>
        <v>J</v>
      </c>
      <c r="D15" t="str">
        <f>ADP!D15</f>
        <v>Beasley</v>
      </c>
      <c r="E15" t="str">
        <f>ADP!P15</f>
        <v>213333</v>
      </c>
      <c r="F15" t="str">
        <f>ADP!I15&amp;".new.uat"</f>
        <v>mbeasley@onebarnes.com.new.uat</v>
      </c>
      <c r="G15" s="18" t="s">
        <v>1427</v>
      </c>
      <c r="H15" t="str">
        <f>ADP!I15</f>
        <v>mbeasley@onebarnes.com</v>
      </c>
      <c r="I15" t="str">
        <f>ADP!AJ15</f>
        <v>en_US</v>
      </c>
      <c r="J15" t="str">
        <f>ADP!AI15</f>
        <v>US</v>
      </c>
      <c r="L15" t="str">
        <f>ADP!AD15</f>
        <v>0088</v>
      </c>
      <c r="M15" t="str">
        <f>ADP!AK15</f>
        <v>USD</v>
      </c>
      <c r="O15" s="18" t="str">
        <f>ADP!AM15</f>
        <v>Y</v>
      </c>
      <c r="P15" t="str">
        <f>ADP!AD15</f>
        <v>0088</v>
      </c>
      <c r="Q15">
        <f>ADP!AE15</f>
        <v>8200</v>
      </c>
      <c r="W15" t="str">
        <f>ADP!AA15</f>
        <v>S16</v>
      </c>
      <c r="X15" t="str">
        <f>ADP!AG15</f>
        <v>General</v>
      </c>
      <c r="Z15" t="str">
        <f t="shared" si="0"/>
        <v>0088</v>
      </c>
      <c r="AB15" t="str">
        <f>ADP!AN15</f>
        <v/>
      </c>
      <c r="AC15" t="str">
        <f>ADP!AL15</f>
        <v/>
      </c>
      <c r="AP15" t="str">
        <f>ADP!AD15</f>
        <v>0088</v>
      </c>
      <c r="BG15" t="str">
        <f>ADP!AC15</f>
        <v>207588</v>
      </c>
      <c r="BK15" s="18" t="s">
        <v>1421</v>
      </c>
      <c r="BL15" s="18" t="s">
        <v>1421</v>
      </c>
      <c r="BU15" s="18" t="str">
        <f>ADP!AO15</f>
        <v>N</v>
      </c>
      <c r="BV15" s="18" t="str">
        <f>ADP!AO15</f>
        <v>N</v>
      </c>
      <c r="CE15" s="18" t="s">
        <v>1421</v>
      </c>
      <c r="CH15" s="18" t="s">
        <v>1421</v>
      </c>
    </row>
    <row r="16" spans="1:137" x14ac:dyDescent="0.2">
      <c r="A16" s="39" t="s">
        <v>1420</v>
      </c>
      <c r="B16" t="str">
        <f>ADP!B16</f>
        <v>Ella Renae</v>
      </c>
      <c r="C16" t="str">
        <f>ADP!C16</f>
        <v>E</v>
      </c>
      <c r="D16" t="str">
        <f>ADP!D16</f>
        <v>Beatrice</v>
      </c>
      <c r="E16" t="str">
        <f>ADP!P16</f>
        <v>212626</v>
      </c>
      <c r="F16" t="str">
        <f>ADP!I16&amp;".new.uat"</f>
        <v>ebeatrice@onebarnes.com.new.uat</v>
      </c>
      <c r="G16" s="18" t="s">
        <v>1427</v>
      </c>
      <c r="H16" t="str">
        <f>ADP!I16</f>
        <v>ebeatrice@onebarnes.com</v>
      </c>
      <c r="I16" t="str">
        <f>ADP!AJ16</f>
        <v>en_US</v>
      </c>
      <c r="J16" t="str">
        <f>ADP!AI16</f>
        <v>US</v>
      </c>
      <c r="L16" t="str">
        <f>ADP!AD16</f>
        <v>0088</v>
      </c>
      <c r="M16" t="str">
        <f>ADP!AK16</f>
        <v>USD</v>
      </c>
      <c r="O16" s="18" t="str">
        <f>ADP!AM16</f>
        <v>Y</v>
      </c>
      <c r="P16" t="str">
        <f>ADP!AD16</f>
        <v>0088</v>
      </c>
      <c r="Q16">
        <f>ADP!AE16</f>
        <v>5200</v>
      </c>
      <c r="W16" t="str">
        <f>ADP!AA16</f>
        <v>S05</v>
      </c>
      <c r="X16" t="str">
        <f>ADP!AG16</f>
        <v>General</v>
      </c>
      <c r="Z16" t="str">
        <f t="shared" si="0"/>
        <v>0088</v>
      </c>
      <c r="AB16" t="str">
        <f>ADP!AN16</f>
        <v/>
      </c>
      <c r="AC16" t="str">
        <f>ADP!AL16</f>
        <v/>
      </c>
      <c r="AP16" t="str">
        <f>ADP!AD16</f>
        <v>0088</v>
      </c>
      <c r="BG16" t="str">
        <f>ADP!AC16</f>
        <v>211736</v>
      </c>
      <c r="BK16" s="18" t="s">
        <v>1421</v>
      </c>
      <c r="BL16" s="18" t="s">
        <v>1421</v>
      </c>
      <c r="BU16" s="18" t="str">
        <f>ADP!AO16</f>
        <v>N</v>
      </c>
      <c r="BV16" s="18" t="str">
        <f>ADP!AO16</f>
        <v>N</v>
      </c>
      <c r="CE16" s="18" t="s">
        <v>1421</v>
      </c>
      <c r="CH16" s="18" t="s">
        <v>1421</v>
      </c>
    </row>
    <row r="17" spans="1:86" x14ac:dyDescent="0.2">
      <c r="A17" s="39" t="s">
        <v>1420</v>
      </c>
      <c r="B17" t="str">
        <f>ADP!B17</f>
        <v>John</v>
      </c>
      <c r="C17" t="str">
        <f>ADP!C17</f>
        <v/>
      </c>
      <c r="D17" t="str">
        <f>ADP!D17</f>
        <v>Bentz</v>
      </c>
      <c r="E17" t="str">
        <f>ADP!P17</f>
        <v>212639</v>
      </c>
      <c r="F17" t="str">
        <f>ADP!I17&amp;".new.uat"</f>
        <v>jbentz@onebarnes.com.new.uat</v>
      </c>
      <c r="G17" s="18" t="s">
        <v>1427</v>
      </c>
      <c r="H17" t="str">
        <f>ADP!I17</f>
        <v>jbentz@onebarnes.com</v>
      </c>
      <c r="I17" t="str">
        <f>ADP!AJ17</f>
        <v>en_US</v>
      </c>
      <c r="J17" t="str">
        <f>ADP!AI17</f>
        <v>US</v>
      </c>
      <c r="L17" t="str">
        <f>ADP!AD17</f>
        <v>0088</v>
      </c>
      <c r="M17" t="str">
        <f>ADP!AK17</f>
        <v>USD</v>
      </c>
      <c r="O17" s="18" t="str">
        <f>ADP!AM17</f>
        <v>Y</v>
      </c>
      <c r="P17" t="str">
        <f>ADP!AD17</f>
        <v>0088</v>
      </c>
      <c r="Q17">
        <f>ADP!AE17</f>
        <v>5200</v>
      </c>
      <c r="W17" t="str">
        <f>ADP!AA17</f>
        <v>S05</v>
      </c>
      <c r="X17" t="str">
        <f>ADP!AG17</f>
        <v>General</v>
      </c>
      <c r="Z17" t="str">
        <f t="shared" si="0"/>
        <v>0088</v>
      </c>
      <c r="AB17" t="str">
        <f>ADP!AN17</f>
        <v/>
      </c>
      <c r="AC17" t="str">
        <f>ADP!AL17</f>
        <v/>
      </c>
      <c r="AP17" t="str">
        <f>ADP!AD17</f>
        <v>0088</v>
      </c>
      <c r="BG17" t="str">
        <f>ADP!AC17</f>
        <v>211736</v>
      </c>
      <c r="BK17" s="18" t="s">
        <v>1421</v>
      </c>
      <c r="BL17" s="18" t="s">
        <v>1421</v>
      </c>
      <c r="BU17" s="18" t="str">
        <f>ADP!AO17</f>
        <v>N</v>
      </c>
      <c r="BV17" s="18" t="str">
        <f>ADP!AO17</f>
        <v>N</v>
      </c>
      <c r="CE17" s="18" t="s">
        <v>1421</v>
      </c>
      <c r="CH17" s="18" t="s">
        <v>1421</v>
      </c>
    </row>
    <row r="18" spans="1:86" x14ac:dyDescent="0.2">
      <c r="A18" s="39" t="s">
        <v>1420</v>
      </c>
      <c r="B18" t="str">
        <f>ADP!B18</f>
        <v>Michael</v>
      </c>
      <c r="C18" t="str">
        <f>ADP!C18</f>
        <v/>
      </c>
      <c r="D18" t="str">
        <f>ADP!D18</f>
        <v>Biniecki</v>
      </c>
      <c r="E18" t="str">
        <f>ADP!P18</f>
        <v>211464</v>
      </c>
      <c r="F18" t="str">
        <f>ADP!I18&amp;".new.uat"</f>
        <v>mbiniecki@onebarnes.com.new.uat</v>
      </c>
      <c r="G18" s="18" t="s">
        <v>1427</v>
      </c>
      <c r="H18" t="str">
        <f>ADP!I18</f>
        <v>mbiniecki@onebarnes.com</v>
      </c>
      <c r="I18" t="str">
        <f>ADP!AJ18</f>
        <v>en_US</v>
      </c>
      <c r="J18" t="str">
        <f>ADP!AI18</f>
        <v>US</v>
      </c>
      <c r="L18" t="str">
        <f>ADP!AD18</f>
        <v>0088</v>
      </c>
      <c r="M18" t="str">
        <f>ADP!AK18</f>
        <v>USD</v>
      </c>
      <c r="O18" s="18" t="str">
        <f>ADP!AM18</f>
        <v>Y</v>
      </c>
      <c r="P18" t="str">
        <f>ADP!AD18</f>
        <v>0088</v>
      </c>
      <c r="Q18">
        <f>ADP!AE18</f>
        <v>5200</v>
      </c>
      <c r="W18" t="str">
        <f>ADP!AA18</f>
        <v>S16</v>
      </c>
      <c r="X18" t="str">
        <f>ADP!AG18</f>
        <v>General</v>
      </c>
      <c r="Z18" t="str">
        <f t="shared" si="0"/>
        <v>0088</v>
      </c>
      <c r="AB18" t="str">
        <f>ADP!AN18</f>
        <v/>
      </c>
      <c r="AC18" t="str">
        <f>ADP!AL18</f>
        <v/>
      </c>
      <c r="AP18" t="str">
        <f>ADP!AD18</f>
        <v>0088</v>
      </c>
      <c r="BG18" t="str">
        <f>ADP!AC18</f>
        <v>902688</v>
      </c>
      <c r="BK18" s="18" t="s">
        <v>1421</v>
      </c>
      <c r="BL18" s="18" t="s">
        <v>1421</v>
      </c>
      <c r="BU18" s="18" t="str">
        <f>ADP!AO18</f>
        <v>Y</v>
      </c>
      <c r="BV18" s="18" t="str">
        <f>ADP!AO18</f>
        <v>Y</v>
      </c>
      <c r="CE18" s="18" t="s">
        <v>1421</v>
      </c>
      <c r="CH18" s="18" t="s">
        <v>1421</v>
      </c>
    </row>
    <row r="19" spans="1:86" x14ac:dyDescent="0.2">
      <c r="A19" s="39" t="s">
        <v>1420</v>
      </c>
      <c r="B19" t="str">
        <f>ADP!B19</f>
        <v>Nathan</v>
      </c>
      <c r="C19" t="str">
        <f>ADP!C19</f>
        <v/>
      </c>
      <c r="D19" t="str">
        <f>ADP!D19</f>
        <v>Bird</v>
      </c>
      <c r="E19" t="str">
        <f>ADP!P19</f>
        <v>210102</v>
      </c>
      <c r="F19" t="str">
        <f>ADP!I19&amp;".new.uat"</f>
        <v>nbird@onebarnes.com.new.uat</v>
      </c>
      <c r="G19" s="18" t="s">
        <v>1427</v>
      </c>
      <c r="H19" t="str">
        <f>ADP!I19</f>
        <v>nbird@onebarnes.com</v>
      </c>
      <c r="I19" t="str">
        <f>ADP!AJ19</f>
        <v>en_US</v>
      </c>
      <c r="J19" t="str">
        <f>ADP!AI19</f>
        <v>US</v>
      </c>
      <c r="L19" t="str">
        <f>ADP!AD19</f>
        <v>0096</v>
      </c>
      <c r="M19" t="str">
        <f>ADP!AK19</f>
        <v>USD</v>
      </c>
      <c r="O19" s="18" t="str">
        <f>ADP!AM19</f>
        <v>Y</v>
      </c>
      <c r="P19" t="str">
        <f>ADP!AD19</f>
        <v>0096</v>
      </c>
      <c r="Q19">
        <f>ADP!AE19</f>
        <v>820</v>
      </c>
      <c r="W19" t="str">
        <f>ADP!AA19</f>
        <v>S15</v>
      </c>
      <c r="X19" t="str">
        <f>ADP!AG19</f>
        <v>General</v>
      </c>
      <c r="Z19" t="str">
        <f t="shared" si="0"/>
        <v>0096</v>
      </c>
      <c r="AB19" t="str">
        <f>ADP!AN19</f>
        <v/>
      </c>
      <c r="AC19" t="str">
        <f>ADP!AL19</f>
        <v/>
      </c>
      <c r="AP19" t="str">
        <f>ADP!AD19</f>
        <v>0096</v>
      </c>
      <c r="BG19" t="str">
        <f>ADP!AC19</f>
        <v>901934</v>
      </c>
      <c r="BK19" s="18" t="s">
        <v>1421</v>
      </c>
      <c r="BL19" s="18" t="s">
        <v>1421</v>
      </c>
      <c r="BU19" s="18" t="str">
        <f>ADP!AO19</f>
        <v>N</v>
      </c>
      <c r="BV19" s="18" t="str">
        <f>ADP!AO19</f>
        <v>N</v>
      </c>
      <c r="CE19" s="18" t="s">
        <v>1421</v>
      </c>
      <c r="CH19" s="18" t="s">
        <v>1421</v>
      </c>
    </row>
    <row r="20" spans="1:86" x14ac:dyDescent="0.2">
      <c r="A20" s="39" t="s">
        <v>1420</v>
      </c>
      <c r="B20" t="str">
        <f>ADP!B20</f>
        <v>Brenda</v>
      </c>
      <c r="C20" t="str">
        <f>ADP!C20</f>
        <v/>
      </c>
      <c r="D20" t="str">
        <f>ADP!D20</f>
        <v>Bixler</v>
      </c>
      <c r="E20" t="str">
        <f>ADP!P20</f>
        <v>211174</v>
      </c>
      <c r="F20" t="str">
        <f>ADP!I20&amp;".new.uat"</f>
        <v>bbixler@onebarnes.com.new.uat</v>
      </c>
      <c r="G20" s="18" t="s">
        <v>1427</v>
      </c>
      <c r="H20" t="str">
        <f>ADP!I20</f>
        <v>bbixler@onebarnes.com</v>
      </c>
      <c r="I20" t="str">
        <f>ADP!AJ20</f>
        <v>en_US</v>
      </c>
      <c r="J20" t="str">
        <f>ADP!AI20</f>
        <v>US</v>
      </c>
      <c r="L20" t="str">
        <f>ADP!AD20</f>
        <v>0088</v>
      </c>
      <c r="M20" t="str">
        <f>ADP!AK20</f>
        <v>USD</v>
      </c>
      <c r="O20" s="18" t="str">
        <f>ADP!AM20</f>
        <v>Y</v>
      </c>
      <c r="P20" t="str">
        <f>ADP!AD20</f>
        <v>0088</v>
      </c>
      <c r="Q20">
        <f>ADP!AE20</f>
        <v>5200</v>
      </c>
      <c r="W20" t="str">
        <f>ADP!AA20</f>
        <v>S06</v>
      </c>
      <c r="X20" t="str">
        <f>ADP!AG20</f>
        <v>General</v>
      </c>
      <c r="Z20" t="str">
        <f t="shared" si="0"/>
        <v>0088</v>
      </c>
      <c r="AB20" t="str">
        <f>ADP!AN20</f>
        <v/>
      </c>
      <c r="AC20" t="str">
        <f>ADP!AL20</f>
        <v/>
      </c>
      <c r="AP20" t="str">
        <f>ADP!AD20</f>
        <v>0088</v>
      </c>
      <c r="BG20" t="str">
        <f>ADP!AC20</f>
        <v>211736</v>
      </c>
      <c r="BK20" s="18" t="s">
        <v>1421</v>
      </c>
      <c r="BL20" s="18" t="s">
        <v>1421</v>
      </c>
      <c r="BU20" s="18" t="str">
        <f>ADP!AO20</f>
        <v>N</v>
      </c>
      <c r="BV20" s="18" t="str">
        <f>ADP!AO20</f>
        <v>N</v>
      </c>
      <c r="CE20" s="18" t="s">
        <v>1421</v>
      </c>
      <c r="CH20" s="18" t="s">
        <v>1421</v>
      </c>
    </row>
    <row r="21" spans="1:86" x14ac:dyDescent="0.2">
      <c r="A21" s="39" t="s">
        <v>1420</v>
      </c>
      <c r="B21" t="str">
        <f>ADP!B21</f>
        <v>James</v>
      </c>
      <c r="C21" t="str">
        <f>ADP!C21</f>
        <v/>
      </c>
      <c r="D21" t="str">
        <f>ADP!D21</f>
        <v>Brower</v>
      </c>
      <c r="E21" t="str">
        <f>ADP!P21</f>
        <v>006769</v>
      </c>
      <c r="F21" t="str">
        <f>ADP!I21&amp;".new.uat"</f>
        <v>JBrower@onebarnes.com.new.uat</v>
      </c>
      <c r="G21" s="18" t="s">
        <v>1427</v>
      </c>
      <c r="H21" t="str">
        <f>ADP!I21</f>
        <v>JBrower@onebarnes.com</v>
      </c>
      <c r="I21" t="str">
        <f>ADP!AJ21</f>
        <v>en_US</v>
      </c>
      <c r="J21" t="str">
        <f>ADP!AI21</f>
        <v>US</v>
      </c>
      <c r="L21" t="str">
        <f>ADP!AD21</f>
        <v>0096</v>
      </c>
      <c r="M21" t="str">
        <f>ADP!AK21</f>
        <v>USD</v>
      </c>
      <c r="O21" s="18" t="str">
        <f>ADP!AM21</f>
        <v>Y</v>
      </c>
      <c r="P21" t="str">
        <f>ADP!AD21</f>
        <v>0096</v>
      </c>
      <c r="Q21">
        <f>ADP!AE21</f>
        <v>718</v>
      </c>
      <c r="W21" t="str">
        <f>ADP!AA21</f>
        <v>S15</v>
      </c>
      <c r="X21" t="str">
        <f>ADP!AG21</f>
        <v>General</v>
      </c>
      <c r="Z21" t="str">
        <f t="shared" si="0"/>
        <v>0096</v>
      </c>
      <c r="AB21" t="str">
        <f>ADP!AN21</f>
        <v/>
      </c>
      <c r="AC21" t="str">
        <f>ADP!AL21</f>
        <v/>
      </c>
      <c r="AP21" t="str">
        <f>ADP!AD21</f>
        <v>0096</v>
      </c>
      <c r="BG21" t="str">
        <f>ADP!AC21</f>
        <v>213037</v>
      </c>
      <c r="BK21" s="18" t="s">
        <v>1421</v>
      </c>
      <c r="BL21" s="18" t="s">
        <v>1421</v>
      </c>
      <c r="BU21" s="18" t="str">
        <f>ADP!AO21</f>
        <v>N</v>
      </c>
      <c r="BV21" s="18" t="str">
        <f>ADP!AO21</f>
        <v>N</v>
      </c>
      <c r="CE21" s="18" t="s">
        <v>1421</v>
      </c>
      <c r="CH21" s="18" t="s">
        <v>1421</v>
      </c>
    </row>
    <row r="22" spans="1:86" x14ac:dyDescent="0.2">
      <c r="A22" s="39" t="s">
        <v>1420</v>
      </c>
      <c r="B22" t="str">
        <f>ADP!B22</f>
        <v>Trevor</v>
      </c>
      <c r="C22" t="str">
        <f>ADP!C22</f>
        <v/>
      </c>
      <c r="D22" t="str">
        <f>ADP!D22</f>
        <v>Bunch</v>
      </c>
      <c r="E22" t="str">
        <f>ADP!P22</f>
        <v>209735</v>
      </c>
      <c r="F22" t="str">
        <f>ADP!I22&amp;".new.uat"</f>
        <v>Tbunch@onebarnes.com.new.uat</v>
      </c>
      <c r="G22" s="18" t="s">
        <v>1427</v>
      </c>
      <c r="H22" t="str">
        <f>ADP!I22</f>
        <v>Tbunch@onebarnes.com</v>
      </c>
      <c r="I22" t="str">
        <f>ADP!AJ22</f>
        <v>en_US</v>
      </c>
      <c r="J22" t="str">
        <f>ADP!AI22</f>
        <v>US</v>
      </c>
      <c r="L22" t="str">
        <f>ADP!AD22</f>
        <v>0088</v>
      </c>
      <c r="M22" t="str">
        <f>ADP!AK22</f>
        <v>USD</v>
      </c>
      <c r="O22" s="18" t="str">
        <f>ADP!AM22</f>
        <v>Y</v>
      </c>
      <c r="P22" t="str">
        <f>ADP!AD22</f>
        <v>0088</v>
      </c>
      <c r="Q22">
        <f>ADP!AE22</f>
        <v>8300</v>
      </c>
      <c r="W22" t="str">
        <f>ADP!AA22</f>
        <v>S13</v>
      </c>
      <c r="X22" t="str">
        <f>ADP!AG22</f>
        <v>General</v>
      </c>
      <c r="Z22" t="str">
        <f t="shared" si="0"/>
        <v>0088</v>
      </c>
      <c r="AB22" t="str">
        <f>ADP!AN22</f>
        <v/>
      </c>
      <c r="AC22" t="str">
        <f>ADP!AL22</f>
        <v/>
      </c>
      <c r="AP22" t="str">
        <f>ADP!AD22</f>
        <v>0088</v>
      </c>
      <c r="BG22" t="str">
        <f>ADP!AC22</f>
        <v>211601</v>
      </c>
      <c r="BK22" s="18" t="s">
        <v>1421</v>
      </c>
      <c r="BL22" s="18" t="s">
        <v>1421</v>
      </c>
      <c r="BU22" s="18" t="str">
        <f>ADP!AO22</f>
        <v>N</v>
      </c>
      <c r="BV22" s="18" t="str">
        <f>ADP!AO22</f>
        <v>N</v>
      </c>
      <c r="CE22" s="18" t="s">
        <v>1421</v>
      </c>
      <c r="CH22" s="18" t="s">
        <v>1421</v>
      </c>
    </row>
    <row r="23" spans="1:86" x14ac:dyDescent="0.2">
      <c r="A23" s="39" t="s">
        <v>1420</v>
      </c>
      <c r="B23" t="str">
        <f>ADP!B23</f>
        <v>Mathew</v>
      </c>
      <c r="C23" t="str">
        <f>ADP!C23</f>
        <v>A</v>
      </c>
      <c r="D23" t="str">
        <f>ADP!D23</f>
        <v>Burchell</v>
      </c>
      <c r="E23" t="str">
        <f>ADP!P23</f>
        <v>211756</v>
      </c>
      <c r="F23" t="str">
        <f>ADP!I23&amp;".new.uat"</f>
        <v>mburchell@onebarnes.com.new.uat</v>
      </c>
      <c r="G23" s="18" t="s">
        <v>1427</v>
      </c>
      <c r="H23" t="str">
        <f>ADP!I23</f>
        <v>mburchell@onebarnes.com</v>
      </c>
      <c r="I23" t="str">
        <f>ADP!AJ23</f>
        <v>en_US</v>
      </c>
      <c r="J23" t="str">
        <f>ADP!AI23</f>
        <v>US</v>
      </c>
      <c r="L23" t="str">
        <f>ADP!AD23</f>
        <v>0088</v>
      </c>
      <c r="M23" t="str">
        <f>ADP!AK23</f>
        <v>USD</v>
      </c>
      <c r="O23" s="18" t="str">
        <f>ADP!AM23</f>
        <v>Y</v>
      </c>
      <c r="P23" t="str">
        <f>ADP!AD23</f>
        <v>0088</v>
      </c>
      <c r="Q23">
        <f>ADP!AE23</f>
        <v>5100</v>
      </c>
      <c r="W23" t="str">
        <f>ADP!AA23</f>
        <v>S11</v>
      </c>
      <c r="X23" t="str">
        <f>ADP!AG23</f>
        <v>General</v>
      </c>
      <c r="Z23" t="str">
        <f t="shared" si="0"/>
        <v>0088</v>
      </c>
      <c r="AB23" t="str">
        <f>ADP!AN23</f>
        <v/>
      </c>
      <c r="AC23" t="str">
        <f>ADP!AL23</f>
        <v/>
      </c>
      <c r="AP23" t="str">
        <f>ADP!AD23</f>
        <v>0088</v>
      </c>
      <c r="BG23" t="str">
        <f>ADP!AC23</f>
        <v>902688</v>
      </c>
      <c r="BK23" s="18" t="s">
        <v>1421</v>
      </c>
      <c r="BL23" s="18" t="s">
        <v>1421</v>
      </c>
      <c r="BU23" s="18" t="str">
        <f>ADP!AO23</f>
        <v>N</v>
      </c>
      <c r="BV23" s="18" t="str">
        <f>ADP!AO23</f>
        <v>N</v>
      </c>
      <c r="CE23" s="18" t="s">
        <v>1421</v>
      </c>
      <c r="CH23" s="18" t="s">
        <v>1421</v>
      </c>
    </row>
    <row r="24" spans="1:86" x14ac:dyDescent="0.2">
      <c r="A24" s="39" t="s">
        <v>1420</v>
      </c>
      <c r="B24" t="str">
        <f>ADP!B24</f>
        <v>Kenneth</v>
      </c>
      <c r="C24" t="str">
        <f>ADP!C24</f>
        <v>D</v>
      </c>
      <c r="D24" t="str">
        <f>ADP!D24</f>
        <v>Butler</v>
      </c>
      <c r="E24" t="str">
        <f>ADP!P24</f>
        <v>206741</v>
      </c>
      <c r="F24" t="str">
        <f>ADP!I24&amp;".new.uat"</f>
        <v>kbutler@onebarnes.com.new.uat</v>
      </c>
      <c r="G24" s="18" t="s">
        <v>1427</v>
      </c>
      <c r="H24" t="str">
        <f>ADP!I24</f>
        <v>kbutler@onebarnes.com</v>
      </c>
      <c r="I24" t="str">
        <f>ADP!AJ24</f>
        <v>en_US</v>
      </c>
      <c r="J24" t="str">
        <f>ADP!AI24</f>
        <v>US</v>
      </c>
      <c r="L24" t="str">
        <f>ADP!AD24</f>
        <v>0096</v>
      </c>
      <c r="M24" t="str">
        <f>ADP!AK24</f>
        <v>USD</v>
      </c>
      <c r="O24" s="18" t="str">
        <f>ADP!AM24</f>
        <v>Y</v>
      </c>
      <c r="P24" t="str">
        <f>ADP!AD24</f>
        <v>0096</v>
      </c>
      <c r="Q24">
        <f>ADP!AE24</f>
        <v>400</v>
      </c>
      <c r="W24" t="str">
        <f>ADP!AA24</f>
        <v>H05</v>
      </c>
      <c r="X24" t="str">
        <f>ADP!AG24</f>
        <v>General</v>
      </c>
      <c r="Z24" t="str">
        <f t="shared" si="0"/>
        <v>0096</v>
      </c>
      <c r="AB24" t="str">
        <f>ADP!AN24</f>
        <v/>
      </c>
      <c r="AC24" t="str">
        <f>ADP!AL24</f>
        <v/>
      </c>
      <c r="AP24" t="str">
        <f>ADP!AD24</f>
        <v>0096</v>
      </c>
      <c r="BG24" t="str">
        <f>ADP!AC24</f>
        <v>211062</v>
      </c>
      <c r="BK24" s="18" t="s">
        <v>1421</v>
      </c>
      <c r="BL24" s="18" t="s">
        <v>1421</v>
      </c>
      <c r="BU24" s="18" t="str">
        <f>ADP!AO24</f>
        <v>N</v>
      </c>
      <c r="BV24" s="18" t="str">
        <f>ADP!AO24</f>
        <v>N</v>
      </c>
      <c r="CE24" s="18" t="s">
        <v>1421</v>
      </c>
      <c r="CH24" s="18" t="s">
        <v>1421</v>
      </c>
    </row>
    <row r="25" spans="1:86" x14ac:dyDescent="0.2">
      <c r="A25" s="39" t="s">
        <v>1420</v>
      </c>
      <c r="B25" t="str">
        <f>ADP!B25</f>
        <v>Timothy</v>
      </c>
      <c r="C25" t="str">
        <f>ADP!C25</f>
        <v>D</v>
      </c>
      <c r="D25" t="str">
        <f>ADP!D25</f>
        <v>Carmichael</v>
      </c>
      <c r="E25" t="str">
        <f>ADP!P25</f>
        <v>900826</v>
      </c>
      <c r="F25" t="str">
        <f>ADP!I25&amp;".new.uat"</f>
        <v>TCarmichael@onebarnes.com.new.uat</v>
      </c>
      <c r="G25" s="18" t="s">
        <v>1427</v>
      </c>
      <c r="H25" t="str">
        <f>ADP!I25</f>
        <v>TCarmichael@onebarnes.com</v>
      </c>
      <c r="I25" t="str">
        <f>ADP!AJ25</f>
        <v>en_US</v>
      </c>
      <c r="J25" t="str">
        <f>ADP!AI25</f>
        <v>US</v>
      </c>
      <c r="L25" t="str">
        <f>ADP!AD25</f>
        <v>0096</v>
      </c>
      <c r="M25" t="str">
        <f>ADP!AK25</f>
        <v>USD</v>
      </c>
      <c r="O25" s="18" t="str">
        <f>ADP!AM25</f>
        <v>Y</v>
      </c>
      <c r="P25" t="str">
        <f>ADP!AD25</f>
        <v>0096</v>
      </c>
      <c r="Q25">
        <f>ADP!AE25</f>
        <v>850</v>
      </c>
      <c r="W25" t="str">
        <f>ADP!AA25</f>
        <v>S13</v>
      </c>
      <c r="X25" t="str">
        <f>ADP!AG25</f>
        <v>General</v>
      </c>
      <c r="Z25" t="str">
        <f t="shared" si="0"/>
        <v>0096</v>
      </c>
      <c r="AB25" t="str">
        <f>ADP!AN25</f>
        <v/>
      </c>
      <c r="AC25" t="str">
        <f>ADP!AL25</f>
        <v/>
      </c>
      <c r="AP25" t="str">
        <f>ADP!AD25</f>
        <v>0096</v>
      </c>
      <c r="BG25" t="str">
        <f>ADP!AC25</f>
        <v>211601</v>
      </c>
      <c r="BK25" s="18" t="s">
        <v>1421</v>
      </c>
      <c r="BL25" s="18" t="s">
        <v>1421</v>
      </c>
      <c r="BU25" s="18" t="str">
        <f>ADP!AO25</f>
        <v>N</v>
      </c>
      <c r="BV25" s="18" t="str">
        <f>ADP!AO25</f>
        <v>N</v>
      </c>
      <c r="CE25" s="18" t="s">
        <v>1421</v>
      </c>
      <c r="CH25" s="18" t="s">
        <v>1421</v>
      </c>
    </row>
    <row r="26" spans="1:86" x14ac:dyDescent="0.2">
      <c r="A26" s="39" t="s">
        <v>1420</v>
      </c>
      <c r="B26" t="str">
        <f>ADP!B26</f>
        <v>Jonathan</v>
      </c>
      <c r="C26" t="str">
        <f>ADP!C26</f>
        <v/>
      </c>
      <c r="D26" t="str">
        <f>ADP!D26</f>
        <v>Carter</v>
      </c>
      <c r="E26" t="str">
        <f>ADP!P26</f>
        <v>212737</v>
      </c>
      <c r="F26" t="str">
        <f>ADP!I26&amp;".new.uat"</f>
        <v>jcarter@onebarnes.com.new.uat</v>
      </c>
      <c r="G26" s="18" t="s">
        <v>1427</v>
      </c>
      <c r="H26" t="str">
        <f>ADP!I26</f>
        <v>jcarter@onebarnes.com</v>
      </c>
      <c r="I26" t="str">
        <f>ADP!AJ26</f>
        <v>en_US</v>
      </c>
      <c r="J26" t="str">
        <f>ADP!AI26</f>
        <v>US</v>
      </c>
      <c r="L26" t="str">
        <f>ADP!AD26</f>
        <v>0096</v>
      </c>
      <c r="M26" t="str">
        <f>ADP!AK26</f>
        <v>USD</v>
      </c>
      <c r="O26" s="18" t="str">
        <f>ADP!AM26</f>
        <v>Y</v>
      </c>
      <c r="P26" t="str">
        <f>ADP!AD26</f>
        <v>0096</v>
      </c>
      <c r="Q26">
        <f>ADP!AE26</f>
        <v>718</v>
      </c>
      <c r="W26" t="str">
        <f>ADP!AA26</f>
        <v>S14</v>
      </c>
      <c r="X26" t="str">
        <f>ADP!AG26</f>
        <v>General</v>
      </c>
      <c r="Z26" t="str">
        <f t="shared" si="0"/>
        <v>0096</v>
      </c>
      <c r="AB26" t="str">
        <f>ADP!AN26</f>
        <v/>
      </c>
      <c r="AC26" t="str">
        <f>ADP!AL26</f>
        <v/>
      </c>
      <c r="AP26" t="str">
        <f>ADP!AD26</f>
        <v>0096</v>
      </c>
      <c r="BG26" t="str">
        <f>ADP!AC26</f>
        <v>213037</v>
      </c>
      <c r="BK26" s="18" t="s">
        <v>1421</v>
      </c>
      <c r="BL26" s="18" t="s">
        <v>1421</v>
      </c>
      <c r="BU26" s="18" t="str">
        <f>ADP!AO26</f>
        <v>N</v>
      </c>
      <c r="BV26" s="18" t="str">
        <f>ADP!AO26</f>
        <v>N</v>
      </c>
      <c r="CE26" s="18" t="s">
        <v>1421</v>
      </c>
      <c r="CH26" s="18" t="s">
        <v>1421</v>
      </c>
    </row>
    <row r="27" spans="1:86" x14ac:dyDescent="0.2">
      <c r="A27" s="39" t="s">
        <v>1420</v>
      </c>
      <c r="B27" t="str">
        <f>ADP!B27</f>
        <v>Tyler</v>
      </c>
      <c r="C27" t="str">
        <f>ADP!C27</f>
        <v/>
      </c>
      <c r="D27" t="str">
        <f>ADP!D27</f>
        <v>Cler</v>
      </c>
      <c r="E27" t="str">
        <f>ADP!P27</f>
        <v>902435</v>
      </c>
      <c r="F27" t="str">
        <f>ADP!I27&amp;".new.uat"</f>
        <v>tcler@onebarnes.com.new.uat</v>
      </c>
      <c r="G27" s="18" t="s">
        <v>1427</v>
      </c>
      <c r="H27" t="str">
        <f>ADP!I27</f>
        <v>tcler@onebarnes.com</v>
      </c>
      <c r="I27" t="str">
        <f>ADP!AJ27</f>
        <v>en_US</v>
      </c>
      <c r="J27" t="str">
        <f>ADP!AI27</f>
        <v>US</v>
      </c>
      <c r="L27" t="str">
        <f>ADP!AD27</f>
        <v>0088</v>
      </c>
      <c r="M27" t="str">
        <f>ADP!AK27</f>
        <v>USD</v>
      </c>
      <c r="O27" s="18" t="str">
        <f>ADP!AM27</f>
        <v>Y</v>
      </c>
      <c r="P27" t="str">
        <f>ADP!AD27</f>
        <v>0088</v>
      </c>
      <c r="Q27">
        <f>ADP!AE27</f>
        <v>9450</v>
      </c>
      <c r="W27" t="str">
        <f>ADP!AA27</f>
        <v>S14</v>
      </c>
      <c r="X27" t="str">
        <f>ADP!AG27</f>
        <v>General</v>
      </c>
      <c r="Z27" t="str">
        <f t="shared" si="0"/>
        <v>0088</v>
      </c>
      <c r="AB27" t="str">
        <f>ADP!AN27</f>
        <v/>
      </c>
      <c r="AC27" t="str">
        <f>ADP!AL27</f>
        <v/>
      </c>
      <c r="AP27" t="str">
        <f>ADP!AD27</f>
        <v>0088</v>
      </c>
      <c r="BG27" t="str">
        <f>ADP!AC27</f>
        <v>211766</v>
      </c>
      <c r="BK27" s="18" t="s">
        <v>1421</v>
      </c>
      <c r="BL27" s="18" t="s">
        <v>1421</v>
      </c>
      <c r="BU27" s="18" t="str">
        <f>ADP!AO27</f>
        <v>N</v>
      </c>
      <c r="BV27" s="18" t="str">
        <f>ADP!AO27</f>
        <v>N</v>
      </c>
      <c r="CE27" s="18" t="s">
        <v>1421</v>
      </c>
      <c r="CH27" s="18" t="s">
        <v>1421</v>
      </c>
    </row>
    <row r="28" spans="1:86" x14ac:dyDescent="0.2">
      <c r="A28" s="39" t="s">
        <v>1420</v>
      </c>
      <c r="B28" t="str">
        <f>ADP!B28</f>
        <v>Timothy</v>
      </c>
      <c r="C28" t="str">
        <f>ADP!C28</f>
        <v>E</v>
      </c>
      <c r="D28" t="str">
        <f>ADP!D28</f>
        <v>Clifton</v>
      </c>
      <c r="E28" t="str">
        <f>ADP!P28</f>
        <v>213265</v>
      </c>
      <c r="F28" t="str">
        <f>ADP!I28&amp;".new.uat"</f>
        <v>tclifton1@onebarnes.com.new.uat</v>
      </c>
      <c r="G28" s="18" t="s">
        <v>1427</v>
      </c>
      <c r="H28" t="str">
        <f>ADP!I28</f>
        <v>tclifton1@onebarnes.com</v>
      </c>
      <c r="I28" t="str">
        <f>ADP!AJ28</f>
        <v>en_US</v>
      </c>
      <c r="J28" t="str">
        <f>ADP!AI28</f>
        <v>US</v>
      </c>
      <c r="L28" t="str">
        <f>ADP!AD28</f>
        <v>0096</v>
      </c>
      <c r="M28" t="str">
        <f>ADP!AK28</f>
        <v>USD</v>
      </c>
      <c r="O28" s="18" t="str">
        <f>ADP!AM28</f>
        <v>Y</v>
      </c>
      <c r="P28" t="str">
        <f>ADP!AD28</f>
        <v>0096</v>
      </c>
      <c r="Q28">
        <f>ADP!AE28</f>
        <v>500</v>
      </c>
      <c r="W28" t="str">
        <f>ADP!AA28</f>
        <v>S10</v>
      </c>
      <c r="X28" t="str">
        <f>ADP!AG28</f>
        <v>General</v>
      </c>
      <c r="Z28" t="str">
        <f t="shared" si="0"/>
        <v>0096</v>
      </c>
      <c r="AB28" t="str">
        <f>ADP!AN28</f>
        <v/>
      </c>
      <c r="AC28" t="str">
        <f>ADP!AL28</f>
        <v/>
      </c>
      <c r="AP28" t="str">
        <f>ADP!AD28</f>
        <v>0096</v>
      </c>
      <c r="BG28" t="str">
        <f>ADP!AC28</f>
        <v>210910</v>
      </c>
      <c r="BK28" s="18" t="s">
        <v>1421</v>
      </c>
      <c r="BL28" s="18" t="s">
        <v>1421</v>
      </c>
      <c r="BU28" s="18" t="str">
        <f>ADP!AO28</f>
        <v>N</v>
      </c>
      <c r="BV28" s="18" t="str">
        <f>ADP!AO28</f>
        <v>N</v>
      </c>
      <c r="CE28" s="18" t="s">
        <v>1421</v>
      </c>
      <c r="CH28" s="18" t="s">
        <v>1421</v>
      </c>
    </row>
    <row r="29" spans="1:86" x14ac:dyDescent="0.2">
      <c r="A29" s="39" t="s">
        <v>1420</v>
      </c>
      <c r="B29" t="str">
        <f>ADP!B29</f>
        <v>Andrew</v>
      </c>
      <c r="C29" t="str">
        <f>ADP!C29</f>
        <v>J</v>
      </c>
      <c r="D29" t="str">
        <f>ADP!D29</f>
        <v>Creager</v>
      </c>
      <c r="E29" t="str">
        <f>ADP!P29</f>
        <v>212699</v>
      </c>
      <c r="F29" t="str">
        <f>ADP!I29&amp;".new.uat"</f>
        <v>acreager@onebarnes.com.new.uat</v>
      </c>
      <c r="G29" s="18" t="s">
        <v>1427</v>
      </c>
      <c r="H29" t="str">
        <f>ADP!I29</f>
        <v>acreager@onebarnes.com</v>
      </c>
      <c r="I29" t="str">
        <f>ADP!AJ29</f>
        <v>en_US</v>
      </c>
      <c r="J29" t="str">
        <f>ADP!AI29</f>
        <v>US</v>
      </c>
      <c r="L29" t="str">
        <f>ADP!AD29</f>
        <v>0088</v>
      </c>
      <c r="M29" t="str">
        <f>ADP!AK29</f>
        <v>USD</v>
      </c>
      <c r="O29" s="18" t="str">
        <f>ADP!AM29</f>
        <v>Y</v>
      </c>
      <c r="P29" t="str">
        <f>ADP!AD29</f>
        <v>0088</v>
      </c>
      <c r="Q29">
        <f>ADP!AE29</f>
        <v>9400</v>
      </c>
      <c r="W29" t="str">
        <f>ADP!AA29</f>
        <v>S17</v>
      </c>
      <c r="X29" t="str">
        <f>ADP!AG29</f>
        <v>General</v>
      </c>
      <c r="Z29" t="str">
        <f t="shared" si="0"/>
        <v>0088</v>
      </c>
      <c r="AB29" t="str">
        <f>ADP!AN29</f>
        <v/>
      </c>
      <c r="AC29" t="str">
        <f>ADP!AL29</f>
        <v/>
      </c>
      <c r="AP29" t="str">
        <f>ADP!AD29</f>
        <v>0088</v>
      </c>
      <c r="BG29" t="str">
        <f>ADP!AC29</f>
        <v>902688</v>
      </c>
      <c r="BK29" s="18" t="s">
        <v>1421</v>
      </c>
      <c r="BL29" s="18" t="s">
        <v>1421</v>
      </c>
      <c r="BU29" s="18" t="str">
        <f>ADP!AO29</f>
        <v>Y</v>
      </c>
      <c r="BV29" s="18" t="str">
        <f>ADP!AO29</f>
        <v>Y</v>
      </c>
      <c r="CE29" s="18" t="s">
        <v>1421</v>
      </c>
      <c r="CH29" s="18" t="s">
        <v>1421</v>
      </c>
    </row>
    <row r="30" spans="1:86" x14ac:dyDescent="0.2">
      <c r="A30" s="39" t="s">
        <v>1420</v>
      </c>
      <c r="B30" t="str">
        <f>ADP!B30</f>
        <v>Demetrius</v>
      </c>
      <c r="C30" t="str">
        <f>ADP!C30</f>
        <v>A</v>
      </c>
      <c r="D30" t="str">
        <f>ADP!D30</f>
        <v>Daniels</v>
      </c>
      <c r="E30" t="str">
        <f>ADP!P30</f>
        <v>006774</v>
      </c>
      <c r="F30" t="str">
        <f>ADP!I30&amp;".new.uat"</f>
        <v>ddaniels@kaller.com.new.uat</v>
      </c>
      <c r="G30" s="18" t="s">
        <v>1427</v>
      </c>
      <c r="H30" t="str">
        <f>ADP!I30</f>
        <v>ddaniels@kaller.com</v>
      </c>
      <c r="I30" t="str">
        <f>ADP!AJ30</f>
        <v>en_US</v>
      </c>
      <c r="J30" t="str">
        <f>ADP!AI30</f>
        <v>US</v>
      </c>
      <c r="L30" t="str">
        <f>ADP!AD30</f>
        <v>0096</v>
      </c>
      <c r="M30" t="str">
        <f>ADP!AK30</f>
        <v>USD</v>
      </c>
      <c r="O30" s="18" t="str">
        <f>ADP!AM30</f>
        <v>Y</v>
      </c>
      <c r="P30" t="str">
        <f>ADP!AD30</f>
        <v>0096</v>
      </c>
      <c r="Q30">
        <f>ADP!AE30</f>
        <v>850</v>
      </c>
      <c r="W30" t="str">
        <f>ADP!AA30</f>
        <v>S10</v>
      </c>
      <c r="X30" t="str">
        <f>ADP!AG30</f>
        <v>General</v>
      </c>
      <c r="Z30" t="str">
        <f t="shared" si="0"/>
        <v>0096</v>
      </c>
      <c r="AB30" t="str">
        <f>ADP!AN30</f>
        <v/>
      </c>
      <c r="AC30" t="str">
        <f>ADP!AL30</f>
        <v/>
      </c>
      <c r="AP30" t="str">
        <f>ADP!AD30</f>
        <v>0096</v>
      </c>
      <c r="BG30" t="str">
        <f>ADP!AC30</f>
        <v>211998</v>
      </c>
      <c r="BK30" s="18" t="s">
        <v>1421</v>
      </c>
      <c r="BL30" s="18" t="s">
        <v>1421</v>
      </c>
      <c r="BU30" s="18" t="str">
        <f>ADP!AO30</f>
        <v>N</v>
      </c>
      <c r="BV30" s="18" t="str">
        <f>ADP!AO30</f>
        <v>N</v>
      </c>
      <c r="CE30" s="18" t="s">
        <v>1421</v>
      </c>
      <c r="CH30" s="18" t="s">
        <v>1421</v>
      </c>
    </row>
    <row r="31" spans="1:86" x14ac:dyDescent="0.2">
      <c r="A31" s="39" t="s">
        <v>1420</v>
      </c>
      <c r="B31" t="str">
        <f>ADP!B31</f>
        <v>Crystal</v>
      </c>
      <c r="C31" t="str">
        <f>ADP!C31</f>
        <v/>
      </c>
      <c r="D31" t="str">
        <f>ADP!D31</f>
        <v>Dedes</v>
      </c>
      <c r="E31" t="str">
        <f>ADP!P31</f>
        <v>207391</v>
      </c>
      <c r="F31" t="str">
        <f>ADP!I31&amp;".new.uat"</f>
        <v>cdedes@onebarnes.com.new.uat</v>
      </c>
      <c r="G31" s="18" t="s">
        <v>1427</v>
      </c>
      <c r="H31" t="str">
        <f>ADP!I31</f>
        <v>cdedes@onebarnes.com</v>
      </c>
      <c r="I31" t="str">
        <f>ADP!AJ31</f>
        <v>en_US</v>
      </c>
      <c r="J31" t="str">
        <f>ADP!AI31</f>
        <v>US</v>
      </c>
      <c r="L31" t="str">
        <f>ADP!AD31</f>
        <v>0088</v>
      </c>
      <c r="M31" t="str">
        <f>ADP!AK31</f>
        <v>USD</v>
      </c>
      <c r="O31" s="18" t="str">
        <f>ADP!AM31</f>
        <v>Y</v>
      </c>
      <c r="P31" t="str">
        <f>ADP!AD31</f>
        <v>0088</v>
      </c>
      <c r="Q31">
        <f>ADP!AE31</f>
        <v>5200</v>
      </c>
      <c r="W31" t="str">
        <f>ADP!AA31</f>
        <v>S05</v>
      </c>
      <c r="X31" t="str">
        <f>ADP!AG31</f>
        <v>General</v>
      </c>
      <c r="Z31" t="str">
        <f t="shared" si="0"/>
        <v>0088</v>
      </c>
      <c r="AB31" t="str">
        <f>ADP!AN31</f>
        <v/>
      </c>
      <c r="AC31" t="str">
        <f>ADP!AL31</f>
        <v/>
      </c>
      <c r="AP31" t="str">
        <f>ADP!AD31</f>
        <v>0088</v>
      </c>
      <c r="BG31" t="str">
        <f>ADP!AC31</f>
        <v>211736</v>
      </c>
      <c r="BK31" s="18" t="s">
        <v>1421</v>
      </c>
      <c r="BL31" s="18" t="s">
        <v>1421</v>
      </c>
      <c r="BU31" s="18" t="str">
        <f>ADP!AO31</f>
        <v>N</v>
      </c>
      <c r="BV31" s="18" t="str">
        <f>ADP!AO31</f>
        <v>N</v>
      </c>
      <c r="CE31" s="18" t="s">
        <v>1421</v>
      </c>
      <c r="CH31" s="18" t="s">
        <v>1421</v>
      </c>
    </row>
    <row r="32" spans="1:86" x14ac:dyDescent="0.2">
      <c r="A32" s="39" t="s">
        <v>1420</v>
      </c>
      <c r="B32" t="str">
        <f>ADP!B32</f>
        <v>Amir</v>
      </c>
      <c r="C32" t="str">
        <f>ADP!C32</f>
        <v/>
      </c>
      <c r="D32" t="str">
        <f>ADP!D32</f>
        <v>Dillard</v>
      </c>
      <c r="E32" t="str">
        <f>ADP!P32</f>
        <v>211895</v>
      </c>
      <c r="F32" t="str">
        <f>ADP!I32&amp;".new.uat"</f>
        <v>adillard1@onebarnes.com.new.uat</v>
      </c>
      <c r="G32" s="18" t="s">
        <v>1427</v>
      </c>
      <c r="H32" t="str">
        <f>ADP!I32</f>
        <v>adillard1@onebarnes.com</v>
      </c>
      <c r="I32" t="str">
        <f>ADP!AJ32</f>
        <v>en_US</v>
      </c>
      <c r="J32" t="str">
        <f>ADP!AI32</f>
        <v>US</v>
      </c>
      <c r="L32" t="str">
        <f>ADP!AD32</f>
        <v>0088</v>
      </c>
      <c r="M32" t="str">
        <f>ADP!AK32</f>
        <v>USD</v>
      </c>
      <c r="O32" s="18" t="str">
        <f>ADP!AM32</f>
        <v>Y</v>
      </c>
      <c r="P32" t="str">
        <f>ADP!AD32</f>
        <v>0088</v>
      </c>
      <c r="Q32">
        <f>ADP!AE32</f>
        <v>5100</v>
      </c>
      <c r="W32" t="str">
        <f>ADP!AA32</f>
        <v>S05</v>
      </c>
      <c r="X32" t="str">
        <f>ADP!AG32</f>
        <v>General</v>
      </c>
      <c r="Z32" t="str">
        <f t="shared" si="0"/>
        <v>0088</v>
      </c>
      <c r="AB32" t="str">
        <f>ADP!AN32</f>
        <v/>
      </c>
      <c r="AC32" t="str">
        <f>ADP!AL32</f>
        <v/>
      </c>
      <c r="AP32" t="str">
        <f>ADP!AD32</f>
        <v>0088</v>
      </c>
      <c r="BG32" t="str">
        <f>ADP!AC32</f>
        <v>211756</v>
      </c>
      <c r="BK32" s="18" t="s">
        <v>1421</v>
      </c>
      <c r="BL32" s="18" t="s">
        <v>1421</v>
      </c>
      <c r="BU32" s="18" t="str">
        <f>ADP!AO32</f>
        <v>N</v>
      </c>
      <c r="BV32" s="18" t="str">
        <f>ADP!AO32</f>
        <v>N</v>
      </c>
      <c r="CE32" s="18" t="s">
        <v>1421</v>
      </c>
      <c r="CH32" s="18" t="s">
        <v>1421</v>
      </c>
    </row>
    <row r="33" spans="1:86" x14ac:dyDescent="0.2">
      <c r="A33" s="39" t="s">
        <v>1420</v>
      </c>
      <c r="B33" t="str">
        <f>ADP!B33</f>
        <v>Donald</v>
      </c>
      <c r="C33" t="str">
        <f>ADP!C33</f>
        <v>C</v>
      </c>
      <c r="D33" t="str">
        <f>ADP!D33</f>
        <v>Felts</v>
      </c>
      <c r="E33" t="str">
        <f>ADP!P33</f>
        <v>201958</v>
      </c>
      <c r="F33" t="str">
        <f>ADP!I33&amp;".new.uat"</f>
        <v>cfelts@onebarnes.com.new.uat</v>
      </c>
      <c r="G33" s="18" t="s">
        <v>1427</v>
      </c>
      <c r="H33" t="str">
        <f>ADP!I33</f>
        <v>cfelts@onebarnes.com</v>
      </c>
      <c r="I33" t="str">
        <f>ADP!AJ33</f>
        <v>en_US</v>
      </c>
      <c r="J33" t="str">
        <f>ADP!AI33</f>
        <v>US</v>
      </c>
      <c r="L33" t="str">
        <f>ADP!AD33</f>
        <v>0096</v>
      </c>
      <c r="M33" t="str">
        <f>ADP!AK33</f>
        <v>USD</v>
      </c>
      <c r="O33" s="18" t="str">
        <f>ADP!AM33</f>
        <v>Y</v>
      </c>
      <c r="P33" t="str">
        <f>ADP!AD33</f>
        <v>0096</v>
      </c>
      <c r="Q33">
        <f>ADP!AE33</f>
        <v>820</v>
      </c>
      <c r="W33" t="str">
        <f>ADP!AA33</f>
        <v>S15</v>
      </c>
      <c r="X33" t="str">
        <f>ADP!AG33</f>
        <v>General</v>
      </c>
      <c r="Z33" t="str">
        <f t="shared" si="0"/>
        <v>0096</v>
      </c>
      <c r="AB33" t="str">
        <f>ADP!AN33</f>
        <v/>
      </c>
      <c r="AC33" t="str">
        <f>ADP!AL33</f>
        <v/>
      </c>
      <c r="AP33" t="str">
        <f>ADP!AD33</f>
        <v>0096</v>
      </c>
      <c r="BG33" t="str">
        <f>ADP!AC33</f>
        <v>901934</v>
      </c>
      <c r="BK33" s="18" t="s">
        <v>1421</v>
      </c>
      <c r="BL33" s="18" t="s">
        <v>1421</v>
      </c>
      <c r="BU33" s="18" t="str">
        <f>ADP!AO33</f>
        <v>N</v>
      </c>
      <c r="BV33" s="18" t="str">
        <f>ADP!AO33</f>
        <v>N</v>
      </c>
      <c r="CE33" s="18" t="s">
        <v>1421</v>
      </c>
      <c r="CH33" s="18" t="s">
        <v>1421</v>
      </c>
    </row>
    <row r="34" spans="1:86" x14ac:dyDescent="0.2">
      <c r="A34" s="39" t="s">
        <v>1420</v>
      </c>
      <c r="B34" t="str">
        <f>ADP!B34</f>
        <v>Jeffrey</v>
      </c>
      <c r="C34" t="str">
        <f>ADP!C34</f>
        <v>L</v>
      </c>
      <c r="D34" t="str">
        <f>ADP!D34</f>
        <v>Finch</v>
      </c>
      <c r="E34" t="str">
        <f>ADP!P34</f>
        <v>900848</v>
      </c>
      <c r="F34" t="str">
        <f>ADP!I34&amp;".new.uat"</f>
        <v>Jfinch@onebarnes.com.new.uat</v>
      </c>
      <c r="G34" s="18" t="s">
        <v>1427</v>
      </c>
      <c r="H34" t="str">
        <f>ADP!I34</f>
        <v>Jfinch@onebarnes.com</v>
      </c>
      <c r="I34" t="str">
        <f>ADP!AJ34</f>
        <v>en_US</v>
      </c>
      <c r="J34" t="str">
        <f>ADP!AI34</f>
        <v>US</v>
      </c>
      <c r="L34" t="str">
        <f>ADP!AD34</f>
        <v>0088</v>
      </c>
      <c r="M34" t="str">
        <f>ADP!AK34</f>
        <v>USD</v>
      </c>
      <c r="O34" s="18" t="str">
        <f>ADP!AM34</f>
        <v>Y</v>
      </c>
      <c r="P34" t="str">
        <f>ADP!AD34</f>
        <v>0088</v>
      </c>
      <c r="Q34">
        <f>ADP!AE34</f>
        <v>9150</v>
      </c>
      <c r="W34" t="str">
        <f>ADP!AA34</f>
        <v>S15</v>
      </c>
      <c r="X34" t="str">
        <f>ADP!AG34</f>
        <v>General</v>
      </c>
      <c r="Z34" t="str">
        <f t="shared" si="0"/>
        <v>0088</v>
      </c>
      <c r="AB34" t="str">
        <f>ADP!AN34</f>
        <v/>
      </c>
      <c r="AC34" t="str">
        <f>ADP!AL34</f>
        <v/>
      </c>
      <c r="AP34" t="str">
        <f>ADP!AD34</f>
        <v>0088</v>
      </c>
      <c r="BG34" t="str">
        <f>ADP!AC34</f>
        <v>207199</v>
      </c>
      <c r="BK34" s="18" t="s">
        <v>1421</v>
      </c>
      <c r="BL34" s="18" t="s">
        <v>1421</v>
      </c>
      <c r="BU34" s="18" t="str">
        <f>ADP!AO34</f>
        <v>N</v>
      </c>
      <c r="BV34" s="18" t="str">
        <f>ADP!AO34</f>
        <v>N</v>
      </c>
      <c r="CE34" s="18" t="s">
        <v>1421</v>
      </c>
      <c r="CH34" s="18" t="s">
        <v>1421</v>
      </c>
    </row>
    <row r="35" spans="1:86" x14ac:dyDescent="0.2">
      <c r="A35" s="39" t="s">
        <v>1420</v>
      </c>
      <c r="B35" t="str">
        <f>ADP!B35</f>
        <v>John</v>
      </c>
      <c r="C35" t="str">
        <f>ADP!C35</f>
        <v/>
      </c>
      <c r="D35" t="str">
        <f>ADP!D35</f>
        <v>Foisel</v>
      </c>
      <c r="E35" t="str">
        <f>ADP!P35</f>
        <v>007863</v>
      </c>
      <c r="F35" t="str">
        <f>ADP!I35&amp;".new.uat"</f>
        <v>jfoisel@onebarnes.com.new.uat</v>
      </c>
      <c r="G35" s="18" t="s">
        <v>1427</v>
      </c>
      <c r="H35" t="str">
        <f>ADP!I35</f>
        <v>jfoisel@onebarnes.com</v>
      </c>
      <c r="I35" t="str">
        <f>ADP!AJ35</f>
        <v>en_US</v>
      </c>
      <c r="J35" t="str">
        <f>ADP!AI35</f>
        <v>US</v>
      </c>
      <c r="L35" t="str">
        <f>ADP!AD35</f>
        <v>0096</v>
      </c>
      <c r="M35" t="str">
        <f>ADP!AK35</f>
        <v>USD</v>
      </c>
      <c r="O35" s="18" t="str">
        <f>ADP!AM35</f>
        <v>Y</v>
      </c>
      <c r="P35" t="str">
        <f>ADP!AD35</f>
        <v>0096</v>
      </c>
      <c r="Q35">
        <f>ADP!AE35</f>
        <v>820</v>
      </c>
      <c r="W35" t="str">
        <f>ADP!AA35</f>
        <v>S17</v>
      </c>
      <c r="X35" t="str">
        <f>ADP!AG35</f>
        <v>General</v>
      </c>
      <c r="Z35" t="str">
        <f t="shared" si="0"/>
        <v>0096</v>
      </c>
      <c r="AB35" t="str">
        <f>ADP!AN35</f>
        <v/>
      </c>
      <c r="AC35" t="str">
        <f>ADP!AL35</f>
        <v/>
      </c>
      <c r="AP35" t="str">
        <f>ADP!AD35</f>
        <v>0096</v>
      </c>
      <c r="BG35" t="str">
        <f>ADP!AC35</f>
        <v>901934</v>
      </c>
      <c r="BK35" s="18" t="s">
        <v>1421</v>
      </c>
      <c r="BL35" s="18" t="s">
        <v>1421</v>
      </c>
      <c r="BU35" s="18" t="str">
        <f>ADP!AO35</f>
        <v>Y</v>
      </c>
      <c r="BV35" s="18" t="str">
        <f>ADP!AO35</f>
        <v>Y</v>
      </c>
      <c r="CE35" s="18" t="s">
        <v>1421</v>
      </c>
      <c r="CH35" s="18" t="s">
        <v>1421</v>
      </c>
    </row>
    <row r="36" spans="1:86" x14ac:dyDescent="0.2">
      <c r="A36" s="39" t="s">
        <v>1420</v>
      </c>
      <c r="B36" t="str">
        <f>ADP!B36</f>
        <v>Conner</v>
      </c>
      <c r="C36" t="str">
        <f>ADP!C36</f>
        <v>J</v>
      </c>
      <c r="D36" t="str">
        <f>ADP!D36</f>
        <v>Frankforther</v>
      </c>
      <c r="E36" t="str">
        <f>ADP!P36</f>
        <v>212151</v>
      </c>
      <c r="F36" t="str">
        <f>ADP!I36&amp;".new.uat"</f>
        <v>cfrankforther@onebarnes.com.new.uat</v>
      </c>
      <c r="G36" s="18" t="s">
        <v>1427</v>
      </c>
      <c r="H36" t="str">
        <f>ADP!I36</f>
        <v>cfrankforther@onebarnes.com</v>
      </c>
      <c r="I36" t="str">
        <f>ADP!AJ36</f>
        <v>en_US</v>
      </c>
      <c r="J36" t="str">
        <f>ADP!AI36</f>
        <v>US</v>
      </c>
      <c r="L36" t="str">
        <f>ADP!AD36</f>
        <v>0088</v>
      </c>
      <c r="M36" t="str">
        <f>ADP!AK36</f>
        <v>USD</v>
      </c>
      <c r="O36" s="18" t="str">
        <f>ADP!AM36</f>
        <v>Y</v>
      </c>
      <c r="P36" t="str">
        <f>ADP!AD36</f>
        <v>0088</v>
      </c>
      <c r="Q36">
        <f>ADP!AE36</f>
        <v>5100</v>
      </c>
      <c r="W36" t="str">
        <f>ADP!AA36</f>
        <v>S05</v>
      </c>
      <c r="X36" t="str">
        <f>ADP!AG36</f>
        <v>General</v>
      </c>
      <c r="Z36" t="str">
        <f t="shared" si="0"/>
        <v>0088</v>
      </c>
      <c r="AB36" t="str">
        <f>ADP!AN36</f>
        <v/>
      </c>
      <c r="AC36" t="str">
        <f>ADP!AL36</f>
        <v/>
      </c>
      <c r="AP36" t="str">
        <f>ADP!AD36</f>
        <v>0088</v>
      </c>
      <c r="BG36" t="str">
        <f>ADP!AC36</f>
        <v>211756</v>
      </c>
      <c r="BK36" s="18" t="s">
        <v>1421</v>
      </c>
      <c r="BL36" s="18" t="s">
        <v>1421</v>
      </c>
      <c r="BU36" s="18" t="str">
        <f>ADP!AO36</f>
        <v>N</v>
      </c>
      <c r="BV36" s="18" t="str">
        <f>ADP!AO36</f>
        <v>N</v>
      </c>
      <c r="CE36" s="18" t="s">
        <v>1421</v>
      </c>
      <c r="CH36" s="18" t="s">
        <v>1421</v>
      </c>
    </row>
    <row r="37" spans="1:86" x14ac:dyDescent="0.2">
      <c r="A37" s="39" t="s">
        <v>1420</v>
      </c>
      <c r="B37" t="str">
        <f>ADP!B37</f>
        <v>Dillon</v>
      </c>
      <c r="C37" t="str">
        <f>ADP!C37</f>
        <v>M</v>
      </c>
      <c r="D37" t="str">
        <f>ADP!D37</f>
        <v>Frankforther</v>
      </c>
      <c r="E37" t="str">
        <f>ADP!P37</f>
        <v>211779</v>
      </c>
      <c r="F37" t="str">
        <f>ADP!I37&amp;".new.uat"</f>
        <v>dfrankforther@onebarnes.com.new.uat</v>
      </c>
      <c r="G37" s="18" t="s">
        <v>1427</v>
      </c>
      <c r="H37" t="str">
        <f>ADP!I37</f>
        <v>dfrankforther@onebarnes.com</v>
      </c>
      <c r="I37" t="str">
        <f>ADP!AJ37</f>
        <v>en_US</v>
      </c>
      <c r="J37" t="str">
        <f>ADP!AI37</f>
        <v>US</v>
      </c>
      <c r="L37" t="str">
        <f>ADP!AD37</f>
        <v>0088</v>
      </c>
      <c r="M37" t="str">
        <f>ADP!AK37</f>
        <v>USD</v>
      </c>
      <c r="O37" s="18" t="str">
        <f>ADP!AM37</f>
        <v>Y</v>
      </c>
      <c r="P37" t="str">
        <f>ADP!AD37</f>
        <v>0088</v>
      </c>
      <c r="Q37">
        <f>ADP!AE37</f>
        <v>5200</v>
      </c>
      <c r="W37" t="str">
        <f>ADP!AA37</f>
        <v>S05</v>
      </c>
      <c r="X37" t="str">
        <f>ADP!AG37</f>
        <v>General</v>
      </c>
      <c r="Z37" t="str">
        <f t="shared" si="0"/>
        <v>0088</v>
      </c>
      <c r="AB37" t="str">
        <f>ADP!AN37</f>
        <v/>
      </c>
      <c r="AC37" t="str">
        <f>ADP!AL37</f>
        <v/>
      </c>
      <c r="AP37" t="str">
        <f>ADP!AD37</f>
        <v>0088</v>
      </c>
      <c r="BG37" t="str">
        <f>ADP!AC37</f>
        <v>211736</v>
      </c>
      <c r="BK37" s="18" t="s">
        <v>1421</v>
      </c>
      <c r="BL37" s="18" t="s">
        <v>1421</v>
      </c>
      <c r="BU37" s="18" t="str">
        <f>ADP!AO37</f>
        <v>N</v>
      </c>
      <c r="BV37" s="18" t="str">
        <f>ADP!AO37</f>
        <v>N</v>
      </c>
      <c r="CE37" s="18" t="s">
        <v>1421</v>
      </c>
      <c r="CH37" s="18" t="s">
        <v>1421</v>
      </c>
    </row>
    <row r="38" spans="1:86" x14ac:dyDescent="0.2">
      <c r="A38" s="39" t="s">
        <v>1420</v>
      </c>
      <c r="B38" t="str">
        <f>ADP!B38</f>
        <v>Anthony</v>
      </c>
      <c r="C38" t="str">
        <f>ADP!C38</f>
        <v>J</v>
      </c>
      <c r="D38" t="str">
        <f>ADP!D38</f>
        <v>Frimel</v>
      </c>
      <c r="E38" t="str">
        <f>ADP!P38</f>
        <v>004352</v>
      </c>
      <c r="F38" t="str">
        <f>ADP!I38&amp;".new.uat"</f>
        <v>afrimel@onebarnes.com.new.uat</v>
      </c>
      <c r="G38" s="18" t="s">
        <v>1427</v>
      </c>
      <c r="H38" t="str">
        <f>ADP!I38</f>
        <v>afrimel@onebarnes.com</v>
      </c>
      <c r="I38" t="str">
        <f>ADP!AJ38</f>
        <v>en_US</v>
      </c>
      <c r="J38" t="str">
        <f>ADP!AI38</f>
        <v>US</v>
      </c>
      <c r="L38" t="str">
        <f>ADP!AD38</f>
        <v>0096</v>
      </c>
      <c r="M38" t="str">
        <f>ADP!AK38</f>
        <v>USD</v>
      </c>
      <c r="O38" s="18" t="str">
        <f>ADP!AM38</f>
        <v>Y</v>
      </c>
      <c r="P38" t="str">
        <f>ADP!AD38</f>
        <v>0096</v>
      </c>
      <c r="Q38">
        <f>ADP!AE38</f>
        <v>100</v>
      </c>
      <c r="W38" t="str">
        <f>ADP!AA38</f>
        <v>H08</v>
      </c>
      <c r="X38" t="str">
        <f>ADP!AG38</f>
        <v>General</v>
      </c>
      <c r="Z38" t="str">
        <f t="shared" si="0"/>
        <v>0096</v>
      </c>
      <c r="AB38" t="str">
        <f>ADP!AN38</f>
        <v/>
      </c>
      <c r="AC38" t="str">
        <f>ADP!AL38</f>
        <v/>
      </c>
      <c r="AP38" t="str">
        <f>ADP!AD38</f>
        <v>0096</v>
      </c>
      <c r="BG38" t="str">
        <f>ADP!AC38</f>
        <v>211062</v>
      </c>
      <c r="BK38" s="18" t="s">
        <v>1421</v>
      </c>
      <c r="BL38" s="18" t="s">
        <v>1421</v>
      </c>
      <c r="BU38" s="18" t="str">
        <f>ADP!AO38</f>
        <v>N</v>
      </c>
      <c r="BV38" s="18" t="str">
        <f>ADP!AO38</f>
        <v>N</v>
      </c>
      <c r="CE38" s="18" t="s">
        <v>1421</v>
      </c>
      <c r="CH38" s="18" t="s">
        <v>1421</v>
      </c>
    </row>
    <row r="39" spans="1:86" x14ac:dyDescent="0.2">
      <c r="A39" s="39" t="s">
        <v>1420</v>
      </c>
      <c r="B39" t="str">
        <f>ADP!B39</f>
        <v>Terry</v>
      </c>
      <c r="C39" t="str">
        <f>ADP!C39</f>
        <v>L</v>
      </c>
      <c r="D39" t="str">
        <f>ADP!D39</f>
        <v>Gang</v>
      </c>
      <c r="E39" t="str">
        <f>ADP!P39</f>
        <v>006780</v>
      </c>
      <c r="F39" t="str">
        <f>ADP!I39&amp;".new.uat"</f>
        <v>TGang@onebarnes.com.new.uat</v>
      </c>
      <c r="G39" s="18" t="s">
        <v>1427</v>
      </c>
      <c r="H39" t="str">
        <f>ADP!I39</f>
        <v>TGang@onebarnes.com</v>
      </c>
      <c r="I39" t="str">
        <f>ADP!AJ39</f>
        <v>en_US</v>
      </c>
      <c r="J39" t="str">
        <f>ADP!AI39</f>
        <v>US</v>
      </c>
      <c r="L39" t="str">
        <f>ADP!AD39</f>
        <v>0096</v>
      </c>
      <c r="M39" t="str">
        <f>ADP!AK39</f>
        <v>USD</v>
      </c>
      <c r="O39" s="18" t="str">
        <f>ADP!AM39</f>
        <v>Y</v>
      </c>
      <c r="P39" t="str">
        <f>ADP!AD39</f>
        <v>0096</v>
      </c>
      <c r="Q39">
        <f>ADP!AE39</f>
        <v>555</v>
      </c>
      <c r="W39" t="str">
        <f>ADP!AA39</f>
        <v>S17</v>
      </c>
      <c r="X39" t="str">
        <f>ADP!AG39</f>
        <v>General</v>
      </c>
      <c r="Z39" t="str">
        <f t="shared" si="0"/>
        <v>0096</v>
      </c>
      <c r="AB39" t="str">
        <f>ADP!AN39</f>
        <v/>
      </c>
      <c r="AC39" t="str">
        <f>ADP!AL39</f>
        <v/>
      </c>
      <c r="AP39" t="str">
        <f>ADP!AD39</f>
        <v>0096</v>
      </c>
      <c r="BG39" t="str">
        <f>ADP!AC39</f>
        <v>213037</v>
      </c>
      <c r="BK39" s="18" t="s">
        <v>1421</v>
      </c>
      <c r="BL39" s="18" t="s">
        <v>1421</v>
      </c>
      <c r="BU39" s="18" t="str">
        <f>ADP!AO39</f>
        <v>Y</v>
      </c>
      <c r="BV39" s="18" t="str">
        <f>ADP!AO39</f>
        <v>Y</v>
      </c>
      <c r="CE39" s="18" t="s">
        <v>1421</v>
      </c>
      <c r="CH39" s="18" t="s">
        <v>1421</v>
      </c>
    </row>
    <row r="40" spans="1:86" x14ac:dyDescent="0.2">
      <c r="A40" s="39" t="s">
        <v>1420</v>
      </c>
      <c r="B40" t="str">
        <f>ADP!B40</f>
        <v>Anne</v>
      </c>
      <c r="C40" t="str">
        <f>ADP!C40</f>
        <v>M</v>
      </c>
      <c r="D40" t="str">
        <f>ADP!D40</f>
        <v>Garber</v>
      </c>
      <c r="E40" t="str">
        <f>ADP!P40</f>
        <v>902627</v>
      </c>
      <c r="F40" t="str">
        <f>ADP!I40&amp;".new.uat"</f>
        <v>agarber@onebarnes.com.new.uat</v>
      </c>
      <c r="G40" s="18" t="s">
        <v>1427</v>
      </c>
      <c r="H40" t="str">
        <f>ADP!I40</f>
        <v>agarber@onebarnes.com</v>
      </c>
      <c r="I40" t="str">
        <f>ADP!AJ40</f>
        <v>en_US</v>
      </c>
      <c r="J40" t="str">
        <f>ADP!AI40</f>
        <v>US</v>
      </c>
      <c r="L40" t="str">
        <f>ADP!AD40</f>
        <v>0096</v>
      </c>
      <c r="M40" t="str">
        <f>ADP!AK40</f>
        <v>USD</v>
      </c>
      <c r="O40" s="18" t="str">
        <f>ADP!AM40</f>
        <v>Y</v>
      </c>
      <c r="P40" t="str">
        <f>ADP!AD40</f>
        <v>0096</v>
      </c>
      <c r="Q40">
        <f>ADP!AE40</f>
        <v>917</v>
      </c>
      <c r="W40" t="str">
        <f>ADP!AA40</f>
        <v>S17</v>
      </c>
      <c r="X40" t="str">
        <f>ADP!AG40</f>
        <v>General</v>
      </c>
      <c r="Z40" t="str">
        <f t="shared" si="0"/>
        <v>0096</v>
      </c>
      <c r="AB40" t="str">
        <f>ADP!AN40</f>
        <v/>
      </c>
      <c r="AC40" t="str">
        <f>ADP!AL40</f>
        <v/>
      </c>
      <c r="AP40" t="str">
        <f>ADP!AD40</f>
        <v>0096</v>
      </c>
      <c r="BG40" t="str">
        <f>ADP!AC40</f>
        <v>213037</v>
      </c>
      <c r="BK40" s="18" t="s">
        <v>1421</v>
      </c>
      <c r="BL40" s="18" t="s">
        <v>1421</v>
      </c>
      <c r="BU40" s="18" t="str">
        <f>ADP!AO40</f>
        <v>Y</v>
      </c>
      <c r="BV40" s="18" t="str">
        <f>ADP!AO40</f>
        <v>Y</v>
      </c>
      <c r="CE40" s="18" t="s">
        <v>1421</v>
      </c>
      <c r="CH40" s="18" t="s">
        <v>1421</v>
      </c>
    </row>
    <row r="41" spans="1:86" x14ac:dyDescent="0.2">
      <c r="A41" s="39" t="s">
        <v>1420</v>
      </c>
      <c r="B41" t="str">
        <f>ADP!B41</f>
        <v>Cristel</v>
      </c>
      <c r="C41" t="str">
        <f>ADP!C41</f>
        <v/>
      </c>
      <c r="D41" t="str">
        <f>ADP!D41</f>
        <v>Grandowicz</v>
      </c>
      <c r="E41" t="str">
        <f>ADP!P41</f>
        <v>211991</v>
      </c>
      <c r="F41" t="str">
        <f>ADP!I41&amp;".new.uat"</f>
        <v>cgrandowicz@onebarnes.com.new.uat</v>
      </c>
      <c r="G41" s="18" t="s">
        <v>1427</v>
      </c>
      <c r="H41" t="str">
        <f>ADP!I41</f>
        <v>cgrandowicz@onebarnes.com</v>
      </c>
      <c r="I41" t="str">
        <f>ADP!AJ41</f>
        <v>en_US</v>
      </c>
      <c r="J41" t="str">
        <f>ADP!AI41</f>
        <v>US</v>
      </c>
      <c r="L41" t="str">
        <f>ADP!AD41</f>
        <v>0088</v>
      </c>
      <c r="M41" t="str">
        <f>ADP!AK41</f>
        <v>USD</v>
      </c>
      <c r="O41" s="18" t="str">
        <f>ADP!AM41</f>
        <v>Y</v>
      </c>
      <c r="P41" t="str">
        <f>ADP!AD41</f>
        <v>0088</v>
      </c>
      <c r="Q41">
        <f>ADP!AE41</f>
        <v>5100</v>
      </c>
      <c r="W41" t="str">
        <f>ADP!AA41</f>
        <v>S05</v>
      </c>
      <c r="X41" t="str">
        <f>ADP!AG41</f>
        <v>General</v>
      </c>
      <c r="Z41" t="str">
        <f t="shared" si="0"/>
        <v>0088</v>
      </c>
      <c r="AB41" t="str">
        <f>ADP!AN41</f>
        <v/>
      </c>
      <c r="AC41" t="str">
        <f>ADP!AL41</f>
        <v/>
      </c>
      <c r="AP41" t="str">
        <f>ADP!AD41</f>
        <v>0088</v>
      </c>
      <c r="BG41" t="str">
        <f>ADP!AC41</f>
        <v>211756</v>
      </c>
      <c r="BK41" s="18" t="s">
        <v>1421</v>
      </c>
      <c r="BL41" s="18" t="s">
        <v>1421</v>
      </c>
      <c r="BU41" s="18" t="str">
        <f>ADP!AO41</f>
        <v>N</v>
      </c>
      <c r="BV41" s="18" t="str">
        <f>ADP!AO41</f>
        <v>N</v>
      </c>
      <c r="CE41" s="18" t="s">
        <v>1421</v>
      </c>
      <c r="CH41" s="18" t="s">
        <v>1421</v>
      </c>
    </row>
    <row r="42" spans="1:86" x14ac:dyDescent="0.2">
      <c r="A42" s="39" t="s">
        <v>1420</v>
      </c>
      <c r="B42" t="str">
        <f>ADP!B42</f>
        <v>Ivy</v>
      </c>
      <c r="C42" t="str">
        <f>ADP!C42</f>
        <v>J</v>
      </c>
      <c r="D42" t="str">
        <f>ADP!D42</f>
        <v>Grant</v>
      </c>
      <c r="E42" t="str">
        <f>ADP!P42</f>
        <v>209642</v>
      </c>
      <c r="F42" t="str">
        <f>ADP!I42&amp;".new.uat"</f>
        <v>igrant1@onebarnes.com.new.uat</v>
      </c>
      <c r="G42" s="18" t="s">
        <v>1427</v>
      </c>
      <c r="H42" t="str">
        <f>ADP!I42</f>
        <v>igrant1@onebarnes.com</v>
      </c>
      <c r="I42" t="str">
        <f>ADP!AJ42</f>
        <v>en_US</v>
      </c>
      <c r="J42" t="str">
        <f>ADP!AI42</f>
        <v>US</v>
      </c>
      <c r="L42" t="str">
        <f>ADP!AD42</f>
        <v>0088</v>
      </c>
      <c r="M42" t="str">
        <f>ADP!AK42</f>
        <v>USD</v>
      </c>
      <c r="O42" s="18" t="str">
        <f>ADP!AM42</f>
        <v>Y</v>
      </c>
      <c r="P42" t="str">
        <f>ADP!AD42</f>
        <v>0088</v>
      </c>
      <c r="Q42">
        <f>ADP!AE42</f>
        <v>9100</v>
      </c>
      <c r="W42" t="str">
        <f>ADP!AA42</f>
        <v>S10</v>
      </c>
      <c r="X42" t="str">
        <f>ADP!AG42</f>
        <v>General</v>
      </c>
      <c r="Z42" t="str">
        <f t="shared" si="0"/>
        <v>0088</v>
      </c>
      <c r="AB42" t="str">
        <f>ADP!AN42</f>
        <v/>
      </c>
      <c r="AC42" t="str">
        <f>ADP!AL42</f>
        <v/>
      </c>
      <c r="AP42" t="str">
        <f>ADP!AD42</f>
        <v>0088</v>
      </c>
      <c r="BG42" t="str">
        <f>ADP!AC42</f>
        <v>008750</v>
      </c>
      <c r="BK42" s="18" t="s">
        <v>1421</v>
      </c>
      <c r="BL42" s="18" t="s">
        <v>1421</v>
      </c>
      <c r="BU42" s="18" t="str">
        <f>ADP!AO42</f>
        <v>N</v>
      </c>
      <c r="BV42" s="18" t="str">
        <f>ADP!AO42</f>
        <v>N</v>
      </c>
      <c r="CE42" s="18" t="s">
        <v>1421</v>
      </c>
      <c r="CH42" s="18" t="s">
        <v>1421</v>
      </c>
    </row>
    <row r="43" spans="1:86" x14ac:dyDescent="0.2">
      <c r="A43" s="39" t="s">
        <v>1420</v>
      </c>
      <c r="B43" t="str">
        <f>ADP!B43</f>
        <v>Tirani</v>
      </c>
      <c r="C43" t="str">
        <f>ADP!C43</f>
        <v>J</v>
      </c>
      <c r="D43" t="str">
        <f>ADP!D43</f>
        <v>Hague</v>
      </c>
      <c r="E43" t="str">
        <f>ADP!P43</f>
        <v>213224</v>
      </c>
      <c r="F43" t="str">
        <f>ADP!I43&amp;".new.uat"</f>
        <v>thague@onebarnes.com.new.uat</v>
      </c>
      <c r="G43" s="18" t="s">
        <v>1427</v>
      </c>
      <c r="H43" t="str">
        <f>ADP!I43</f>
        <v>thague@onebarnes.com</v>
      </c>
      <c r="I43" t="str">
        <f>ADP!AJ43</f>
        <v>en_US</v>
      </c>
      <c r="J43" t="str">
        <f>ADP!AI43</f>
        <v>US</v>
      </c>
      <c r="L43" t="str">
        <f>ADP!AD43</f>
        <v>0088</v>
      </c>
      <c r="M43" t="str">
        <f>ADP!AK43</f>
        <v>USD</v>
      </c>
      <c r="O43" s="18" t="str">
        <f>ADP!AM43</f>
        <v>Y</v>
      </c>
      <c r="P43" t="str">
        <f>ADP!AD43</f>
        <v>0088</v>
      </c>
      <c r="Q43">
        <f>ADP!AE43</f>
        <v>8100</v>
      </c>
      <c r="W43" t="str">
        <f>ADP!AA43</f>
        <v>S11</v>
      </c>
      <c r="X43" t="str">
        <f>ADP!AG43</f>
        <v>General</v>
      </c>
      <c r="Z43" t="str">
        <f t="shared" si="0"/>
        <v>0088</v>
      </c>
      <c r="AB43" t="str">
        <f>ADP!AN43</f>
        <v/>
      </c>
      <c r="AC43" t="str">
        <f>ADP!AL43</f>
        <v/>
      </c>
      <c r="AP43" t="str">
        <f>ADP!AD43</f>
        <v>0088</v>
      </c>
      <c r="BG43" t="str">
        <f>ADP!AC43</f>
        <v>211131</v>
      </c>
      <c r="BK43" s="18" t="s">
        <v>1421</v>
      </c>
      <c r="BL43" s="18" t="s">
        <v>1421</v>
      </c>
      <c r="BU43" s="18" t="str">
        <f>ADP!AO43</f>
        <v>N</v>
      </c>
      <c r="BV43" s="18" t="str">
        <f>ADP!AO43</f>
        <v>N</v>
      </c>
      <c r="CE43" s="18" t="s">
        <v>1421</v>
      </c>
      <c r="CH43" s="18" t="s">
        <v>1421</v>
      </c>
    </row>
    <row r="44" spans="1:86" x14ac:dyDescent="0.2">
      <c r="A44" s="39" t="s">
        <v>1420</v>
      </c>
      <c r="B44" t="str">
        <f>ADP!B44</f>
        <v>Kimberly</v>
      </c>
      <c r="C44" t="str">
        <f>ADP!C44</f>
        <v/>
      </c>
      <c r="D44" t="str">
        <f>ADP!D44</f>
        <v>Hall</v>
      </c>
      <c r="E44" t="str">
        <f>ADP!P44</f>
        <v>206228</v>
      </c>
      <c r="F44" t="str">
        <f>ADP!I44&amp;".new.uat"</f>
        <v>KHall@onebarnes.com.new.uat</v>
      </c>
      <c r="G44" s="18" t="s">
        <v>1427</v>
      </c>
      <c r="H44" t="str">
        <f>ADP!I44</f>
        <v>KHall@onebarnes.com</v>
      </c>
      <c r="I44" t="str">
        <f>ADP!AJ44</f>
        <v>en_US</v>
      </c>
      <c r="J44" t="str">
        <f>ADP!AI44</f>
        <v>US</v>
      </c>
      <c r="L44" t="str">
        <f>ADP!AD44</f>
        <v>0088</v>
      </c>
      <c r="M44" t="str">
        <f>ADP!AK44</f>
        <v>USD</v>
      </c>
      <c r="O44" s="18" t="str">
        <f>ADP!AM44</f>
        <v>Y</v>
      </c>
      <c r="P44" t="str">
        <f>ADP!AD44</f>
        <v>0088</v>
      </c>
      <c r="Q44">
        <f>ADP!AE44</f>
        <v>9500</v>
      </c>
      <c r="W44" t="str">
        <f>ADP!AA44</f>
        <v>S10</v>
      </c>
      <c r="X44" t="str">
        <f>ADP!AG44</f>
        <v>General</v>
      </c>
      <c r="Z44" t="str">
        <f t="shared" si="0"/>
        <v>0088</v>
      </c>
      <c r="AB44" t="str">
        <f>ADP!AN44</f>
        <v/>
      </c>
      <c r="AC44" t="str">
        <f>ADP!AL44</f>
        <v/>
      </c>
      <c r="AP44" t="str">
        <f>ADP!AD44</f>
        <v>0088</v>
      </c>
      <c r="BG44" t="str">
        <f>ADP!AC44</f>
        <v>210892</v>
      </c>
      <c r="BK44" s="18" t="s">
        <v>1421</v>
      </c>
      <c r="BL44" s="18" t="s">
        <v>1421</v>
      </c>
      <c r="BU44" s="18" t="str">
        <f>ADP!AO44</f>
        <v>N</v>
      </c>
      <c r="BV44" s="18" t="str">
        <f>ADP!AO44</f>
        <v>N</v>
      </c>
      <c r="CE44" s="18" t="s">
        <v>1421</v>
      </c>
      <c r="CH44" s="18" t="s">
        <v>1421</v>
      </c>
    </row>
    <row r="45" spans="1:86" x14ac:dyDescent="0.2">
      <c r="A45" s="39" t="s">
        <v>1420</v>
      </c>
      <c r="B45" t="str">
        <f>ADP!B45</f>
        <v>Emma</v>
      </c>
      <c r="C45" t="str">
        <f>ADP!C45</f>
        <v/>
      </c>
      <c r="D45" t="str">
        <f>ADP!D45</f>
        <v>Halpin</v>
      </c>
      <c r="E45" t="str">
        <f>ADP!P45</f>
        <v>211489</v>
      </c>
      <c r="F45" t="str">
        <f>ADP!I45&amp;".new.uat"</f>
        <v>ehalpin@onebarnes.com.new.uat</v>
      </c>
      <c r="G45" s="18" t="s">
        <v>1427</v>
      </c>
      <c r="H45" t="str">
        <f>ADP!I45</f>
        <v>ehalpin@onebarnes.com</v>
      </c>
      <c r="I45" t="str">
        <f>ADP!AJ45</f>
        <v>en_US</v>
      </c>
      <c r="J45" t="str">
        <f>ADP!AI45</f>
        <v>US</v>
      </c>
      <c r="L45" t="str">
        <f>ADP!AD45</f>
        <v>0088</v>
      </c>
      <c r="M45" t="str">
        <f>ADP!AK45</f>
        <v>USD</v>
      </c>
      <c r="O45" s="18" t="str">
        <f>ADP!AM45</f>
        <v>Y</v>
      </c>
      <c r="P45" t="str">
        <f>ADP!AD45</f>
        <v>0088</v>
      </c>
      <c r="Q45">
        <f>ADP!AE45</f>
        <v>8300</v>
      </c>
      <c r="W45" t="str">
        <f>ADP!AA45</f>
        <v>S16</v>
      </c>
      <c r="X45" t="str">
        <f>ADP!AG45</f>
        <v>General</v>
      </c>
      <c r="Z45" t="str">
        <f t="shared" si="0"/>
        <v>0088</v>
      </c>
      <c r="AB45" t="str">
        <f>ADP!AN45</f>
        <v/>
      </c>
      <c r="AC45" t="str">
        <f>ADP!AL45</f>
        <v/>
      </c>
      <c r="AP45" t="str">
        <f>ADP!AD45</f>
        <v>0088</v>
      </c>
      <c r="BG45" t="str">
        <f>ADP!AC45</f>
        <v>211766</v>
      </c>
      <c r="BK45" s="18" t="s">
        <v>1421</v>
      </c>
      <c r="BL45" s="18" t="s">
        <v>1421</v>
      </c>
      <c r="BU45" s="18" t="str">
        <f>ADP!AO45</f>
        <v>Y</v>
      </c>
      <c r="BV45" s="18" t="str">
        <f>ADP!AO45</f>
        <v>Y</v>
      </c>
      <c r="CE45" s="18" t="s">
        <v>1421</v>
      </c>
      <c r="CH45" s="18" t="s">
        <v>1421</v>
      </c>
    </row>
    <row r="46" spans="1:86" x14ac:dyDescent="0.2">
      <c r="A46" s="39" t="s">
        <v>1420</v>
      </c>
      <c r="B46" t="str">
        <f>ADP!B46</f>
        <v>Michael</v>
      </c>
      <c r="C46" t="str">
        <f>ADP!C46</f>
        <v>J</v>
      </c>
      <c r="D46" t="str">
        <f>ADP!D46</f>
        <v>Hamar</v>
      </c>
      <c r="E46" t="str">
        <f>ADP!P46</f>
        <v>901454</v>
      </c>
      <c r="F46" t="str">
        <f>ADP!I46&amp;".new.uat"</f>
        <v>mhamar@onebarnes.com.new.uat</v>
      </c>
      <c r="G46" s="18" t="s">
        <v>1427</v>
      </c>
      <c r="H46" t="str">
        <f>ADP!I46</f>
        <v>mhamar@onebarnes.com</v>
      </c>
      <c r="I46" t="str">
        <f>ADP!AJ46</f>
        <v>en_US</v>
      </c>
      <c r="J46" t="str">
        <f>ADP!AI46</f>
        <v>US</v>
      </c>
      <c r="L46" t="str">
        <f>ADP!AD46</f>
        <v>0096</v>
      </c>
      <c r="M46" t="str">
        <f>ADP!AK46</f>
        <v>USD</v>
      </c>
      <c r="O46" s="18" t="str">
        <f>ADP!AM46</f>
        <v>Y</v>
      </c>
      <c r="P46" t="str">
        <f>ADP!AD46</f>
        <v>0096</v>
      </c>
      <c r="Q46">
        <f>ADP!AE46</f>
        <v>200</v>
      </c>
      <c r="W46" t="str">
        <f>ADP!AA46</f>
        <v>H06</v>
      </c>
      <c r="X46" t="str">
        <f>ADP!AG46</f>
        <v>General</v>
      </c>
      <c r="Z46" t="str">
        <f t="shared" si="0"/>
        <v>0096</v>
      </c>
      <c r="AB46" t="str">
        <f>ADP!AN46</f>
        <v/>
      </c>
      <c r="AC46" t="str">
        <f>ADP!AL46</f>
        <v/>
      </c>
      <c r="AP46" t="str">
        <f>ADP!AD46</f>
        <v>0096</v>
      </c>
      <c r="BG46" t="str">
        <f>ADP!AC46</f>
        <v>211998</v>
      </c>
      <c r="BK46" s="18" t="s">
        <v>1421</v>
      </c>
      <c r="BL46" s="18" t="s">
        <v>1421</v>
      </c>
      <c r="BU46" s="18" t="str">
        <f>ADP!AO46</f>
        <v>N</v>
      </c>
      <c r="BV46" s="18" t="str">
        <f>ADP!AO46</f>
        <v>N</v>
      </c>
      <c r="CE46" s="18" t="s">
        <v>1421</v>
      </c>
      <c r="CH46" s="18" t="s">
        <v>1421</v>
      </c>
    </row>
    <row r="47" spans="1:86" x14ac:dyDescent="0.2">
      <c r="A47" s="39" t="s">
        <v>1420</v>
      </c>
      <c r="B47" t="str">
        <f>ADP!B47</f>
        <v>Patsy</v>
      </c>
      <c r="C47" t="str">
        <f>ADP!C47</f>
        <v/>
      </c>
      <c r="D47" t="str">
        <f>ADP!D47</f>
        <v>Hamby</v>
      </c>
      <c r="E47" t="str">
        <f>ADP!P47</f>
        <v>209425</v>
      </c>
      <c r="F47" t="str">
        <f>ADP!I47&amp;".new.uat"</f>
        <v>PHamby@onebarnes.com.new.uat</v>
      </c>
      <c r="G47" s="18" t="s">
        <v>1427</v>
      </c>
      <c r="H47" t="str">
        <f>ADP!I47</f>
        <v>PHamby@onebarnes.com</v>
      </c>
      <c r="I47" t="str">
        <f>ADP!AJ47</f>
        <v>en_US</v>
      </c>
      <c r="J47" t="str">
        <f>ADP!AI47</f>
        <v>US</v>
      </c>
      <c r="L47" t="str">
        <f>ADP!AD47</f>
        <v>0088</v>
      </c>
      <c r="M47" t="str">
        <f>ADP!AK47</f>
        <v>USD</v>
      </c>
      <c r="O47" s="18" t="str">
        <f>ADP!AM47</f>
        <v>Y</v>
      </c>
      <c r="P47" t="str">
        <f>ADP!AD47</f>
        <v>0088</v>
      </c>
      <c r="Q47">
        <f>ADP!AE47</f>
        <v>5100</v>
      </c>
      <c r="W47" t="str">
        <f>ADP!AA47</f>
        <v>S05</v>
      </c>
      <c r="X47" t="str">
        <f>ADP!AG47</f>
        <v>General</v>
      </c>
      <c r="Z47" t="str">
        <f t="shared" si="0"/>
        <v>0088</v>
      </c>
      <c r="AB47" t="str">
        <f>ADP!AN47</f>
        <v/>
      </c>
      <c r="AC47" t="str">
        <f>ADP!AL47</f>
        <v/>
      </c>
      <c r="AP47" t="str">
        <f>ADP!AD47</f>
        <v>0088</v>
      </c>
      <c r="BG47" t="str">
        <f>ADP!AC47</f>
        <v>211756</v>
      </c>
      <c r="BK47" s="18" t="s">
        <v>1421</v>
      </c>
      <c r="BL47" s="18" t="s">
        <v>1421</v>
      </c>
      <c r="BU47" s="18" t="str">
        <f>ADP!AO47</f>
        <v>N</v>
      </c>
      <c r="BV47" s="18" t="str">
        <f>ADP!AO47</f>
        <v>N</v>
      </c>
      <c r="CE47" s="18" t="s">
        <v>1421</v>
      </c>
      <c r="CH47" s="18" t="s">
        <v>1421</v>
      </c>
    </row>
    <row r="48" spans="1:86" x14ac:dyDescent="0.2">
      <c r="A48" s="39" t="s">
        <v>1420</v>
      </c>
      <c r="B48" t="str">
        <f>ADP!B48</f>
        <v>Cherie</v>
      </c>
      <c r="C48" t="str">
        <f>ADP!C48</f>
        <v/>
      </c>
      <c r="D48" t="str">
        <f>ADP!D48</f>
        <v>Hassey</v>
      </c>
      <c r="E48" t="str">
        <f>ADP!P48</f>
        <v>213144</v>
      </c>
      <c r="F48" t="str">
        <f>ADP!I48&amp;".new.uat"</f>
        <v>chassey@onebarnes.com.new.uat</v>
      </c>
      <c r="G48" s="18" t="s">
        <v>1427</v>
      </c>
      <c r="H48" t="str">
        <f>ADP!I48</f>
        <v>chassey@onebarnes.com</v>
      </c>
      <c r="I48" t="str">
        <f>ADP!AJ48</f>
        <v>en_US</v>
      </c>
      <c r="J48" t="str">
        <f>ADP!AI48</f>
        <v>US</v>
      </c>
      <c r="L48" t="str">
        <f>ADP!AD48</f>
        <v>0096</v>
      </c>
      <c r="M48" t="str">
        <f>ADP!AK48</f>
        <v>USD</v>
      </c>
      <c r="O48" s="18" t="str">
        <f>ADP!AM48</f>
        <v>Y</v>
      </c>
      <c r="P48" t="str">
        <f>ADP!AD48</f>
        <v>0096</v>
      </c>
      <c r="Q48">
        <f>ADP!AE48</f>
        <v>850</v>
      </c>
      <c r="W48" t="str">
        <f>ADP!AA48</f>
        <v>S10</v>
      </c>
      <c r="X48" t="str">
        <f>ADP!AG48</f>
        <v>General</v>
      </c>
      <c r="Z48" t="str">
        <f t="shared" si="0"/>
        <v>0096</v>
      </c>
      <c r="AB48" t="str">
        <f>ADP!AN48</f>
        <v/>
      </c>
      <c r="AC48" t="str">
        <f>ADP!AL48</f>
        <v/>
      </c>
      <c r="AP48" t="str">
        <f>ADP!AD48</f>
        <v>0096</v>
      </c>
      <c r="BG48" t="str">
        <f>ADP!AC48</f>
        <v>211998</v>
      </c>
      <c r="BK48" s="18" t="s">
        <v>1421</v>
      </c>
      <c r="BL48" s="18" t="s">
        <v>1421</v>
      </c>
      <c r="BU48" s="18" t="str">
        <f>ADP!AO48</f>
        <v>N</v>
      </c>
      <c r="BV48" s="18" t="str">
        <f>ADP!AO48</f>
        <v>N</v>
      </c>
      <c r="CE48" s="18" t="s">
        <v>1421</v>
      </c>
      <c r="CH48" s="18" t="s">
        <v>1421</v>
      </c>
    </row>
    <row r="49" spans="1:86" x14ac:dyDescent="0.2">
      <c r="A49" s="39" t="s">
        <v>1420</v>
      </c>
      <c r="B49" t="str">
        <f>ADP!B49</f>
        <v>Karla</v>
      </c>
      <c r="C49" t="str">
        <f>ADP!C49</f>
        <v/>
      </c>
      <c r="D49" t="str">
        <f>ADP!D49</f>
        <v>Hershberger</v>
      </c>
      <c r="E49" t="str">
        <f>ADP!P49</f>
        <v>209424</v>
      </c>
      <c r="F49" t="str">
        <f>ADP!I49&amp;".new.uat"</f>
        <v>khershberger@onebarnes.com.new.uat</v>
      </c>
      <c r="G49" s="18" t="s">
        <v>1427</v>
      </c>
      <c r="H49" t="str">
        <f>ADP!I49</f>
        <v>khershberger@onebarnes.com</v>
      </c>
      <c r="I49" t="str">
        <f>ADP!AJ49</f>
        <v>en_US</v>
      </c>
      <c r="J49" t="str">
        <f>ADP!AI49</f>
        <v>US</v>
      </c>
      <c r="L49" t="str">
        <f>ADP!AD49</f>
        <v>0088</v>
      </c>
      <c r="M49" t="str">
        <f>ADP!AK49</f>
        <v>USD</v>
      </c>
      <c r="O49" s="18" t="str">
        <f>ADP!AM49</f>
        <v>Y</v>
      </c>
      <c r="P49" t="str">
        <f>ADP!AD49</f>
        <v>0088</v>
      </c>
      <c r="Q49">
        <f>ADP!AE49</f>
        <v>5100</v>
      </c>
      <c r="W49" t="str">
        <f>ADP!AA49</f>
        <v>S05</v>
      </c>
      <c r="X49" t="str">
        <f>ADP!AG49</f>
        <v>General</v>
      </c>
      <c r="Z49" t="str">
        <f t="shared" si="0"/>
        <v>0088</v>
      </c>
      <c r="AB49" t="str">
        <f>ADP!AN49</f>
        <v/>
      </c>
      <c r="AC49" t="str">
        <f>ADP!AL49</f>
        <v/>
      </c>
      <c r="AP49" t="str">
        <f>ADP!AD49</f>
        <v>0088</v>
      </c>
      <c r="BG49" t="str">
        <f>ADP!AC49</f>
        <v>211756</v>
      </c>
      <c r="BK49" s="18" t="s">
        <v>1421</v>
      </c>
      <c r="BL49" s="18" t="s">
        <v>1421</v>
      </c>
      <c r="BU49" s="18" t="str">
        <f>ADP!AO49</f>
        <v>N</v>
      </c>
      <c r="BV49" s="18" t="str">
        <f>ADP!AO49</f>
        <v>N</v>
      </c>
      <c r="CE49" s="18" t="s">
        <v>1421</v>
      </c>
      <c r="CH49" s="18" t="s">
        <v>1421</v>
      </c>
    </row>
    <row r="50" spans="1:86" x14ac:dyDescent="0.2">
      <c r="A50" s="39" t="s">
        <v>1420</v>
      </c>
      <c r="B50" t="str">
        <f>ADP!B50</f>
        <v>Brandon</v>
      </c>
      <c r="C50" t="str">
        <f>ADP!C50</f>
        <v/>
      </c>
      <c r="D50" t="str">
        <f>ADP!D50</f>
        <v>Hibbitts</v>
      </c>
      <c r="E50" t="str">
        <f>ADP!P50</f>
        <v>211181</v>
      </c>
      <c r="F50" t="str">
        <f>ADP!I50&amp;".new.uat"</f>
        <v>bhibbitts@onebarnes.com.new.uat</v>
      </c>
      <c r="G50" s="18" t="s">
        <v>1427</v>
      </c>
      <c r="H50" t="str">
        <f>ADP!I50</f>
        <v>bhibbitts@onebarnes.com</v>
      </c>
      <c r="I50" t="str">
        <f>ADP!AJ50</f>
        <v>en_US</v>
      </c>
      <c r="J50" t="str">
        <f>ADP!AI50</f>
        <v>US</v>
      </c>
      <c r="L50" t="str">
        <f>ADP!AD50</f>
        <v>0088</v>
      </c>
      <c r="M50" t="str">
        <f>ADP!AK50</f>
        <v>USD</v>
      </c>
      <c r="O50" s="18" t="str">
        <f>ADP!AM50</f>
        <v>Y</v>
      </c>
      <c r="P50" t="str">
        <f>ADP!AD50</f>
        <v>0088</v>
      </c>
      <c r="Q50">
        <f>ADP!AE50</f>
        <v>9150</v>
      </c>
      <c r="W50" t="str">
        <f>ADP!AA50</f>
        <v>S12</v>
      </c>
      <c r="X50" t="str">
        <f>ADP!AG50</f>
        <v>General</v>
      </c>
      <c r="Z50" t="str">
        <f t="shared" si="0"/>
        <v>0088</v>
      </c>
      <c r="AB50" t="str">
        <f>ADP!AN50</f>
        <v/>
      </c>
      <c r="AC50" t="str">
        <f>ADP!AL50</f>
        <v/>
      </c>
      <c r="AP50" t="str">
        <f>ADP!AD50</f>
        <v>0088</v>
      </c>
      <c r="BG50" t="str">
        <f>ADP!AC50</f>
        <v>207199</v>
      </c>
      <c r="BK50" s="18" t="s">
        <v>1421</v>
      </c>
      <c r="BL50" s="18" t="s">
        <v>1421</v>
      </c>
      <c r="BU50" s="18" t="str">
        <f>ADP!AO50</f>
        <v>N</v>
      </c>
      <c r="BV50" s="18" t="str">
        <f>ADP!AO50</f>
        <v>N</v>
      </c>
      <c r="CE50" s="18" t="s">
        <v>1421</v>
      </c>
      <c r="CH50" s="18" t="s">
        <v>1421</v>
      </c>
    </row>
    <row r="51" spans="1:86" x14ac:dyDescent="0.2">
      <c r="A51" s="39" t="s">
        <v>1420</v>
      </c>
      <c r="B51" t="str">
        <f>ADP!B51</f>
        <v>Bobby</v>
      </c>
      <c r="C51" t="str">
        <f>ADP!C51</f>
        <v/>
      </c>
      <c r="D51" t="str">
        <f>ADP!D51</f>
        <v>Hicks</v>
      </c>
      <c r="E51" t="str">
        <f>ADP!P51</f>
        <v>211145</v>
      </c>
      <c r="F51" t="str">
        <f>ADP!I51&amp;".new.uat"</f>
        <v>bhicks@onebarnes.com.new.uat</v>
      </c>
      <c r="G51" s="18" t="s">
        <v>1427</v>
      </c>
      <c r="H51" t="str">
        <f>ADP!I51</f>
        <v>bhicks@onebarnes.com</v>
      </c>
      <c r="I51" t="str">
        <f>ADP!AJ51</f>
        <v>en_US</v>
      </c>
      <c r="J51" t="str">
        <f>ADP!AI51</f>
        <v>US</v>
      </c>
      <c r="L51" t="str">
        <f>ADP!AD51</f>
        <v>0096</v>
      </c>
      <c r="M51" t="str">
        <f>ADP!AK51</f>
        <v>USD</v>
      </c>
      <c r="O51" s="18" t="str">
        <f>ADP!AM51</f>
        <v>Y</v>
      </c>
      <c r="P51" t="str">
        <f>ADP!AD51</f>
        <v>0096</v>
      </c>
      <c r="Q51">
        <f>ADP!AE51</f>
        <v>200</v>
      </c>
      <c r="W51" t="str">
        <f>ADP!AA51</f>
        <v>H08</v>
      </c>
      <c r="X51" t="str">
        <f>ADP!AG51</f>
        <v>General</v>
      </c>
      <c r="Z51" t="str">
        <f t="shared" si="0"/>
        <v>0096</v>
      </c>
      <c r="AB51" t="str">
        <f>ADP!AN51</f>
        <v/>
      </c>
      <c r="AC51" t="str">
        <f>ADP!AL51</f>
        <v/>
      </c>
      <c r="AP51" t="str">
        <f>ADP!AD51</f>
        <v>0096</v>
      </c>
      <c r="BG51" t="str">
        <f>ADP!AC51</f>
        <v>211998</v>
      </c>
      <c r="BK51" s="18" t="s">
        <v>1421</v>
      </c>
      <c r="BL51" s="18" t="s">
        <v>1421</v>
      </c>
      <c r="BU51" s="18" t="str">
        <f>ADP!AO51</f>
        <v>N</v>
      </c>
      <c r="BV51" s="18" t="str">
        <f>ADP!AO51</f>
        <v>N</v>
      </c>
      <c r="CE51" s="18" t="s">
        <v>1421</v>
      </c>
      <c r="CH51" s="18" t="s">
        <v>1421</v>
      </c>
    </row>
    <row r="52" spans="1:86" x14ac:dyDescent="0.2">
      <c r="A52" s="39" t="s">
        <v>1420</v>
      </c>
      <c r="B52" t="str">
        <f>ADP!B52</f>
        <v>Darin</v>
      </c>
      <c r="C52" t="str">
        <f>ADP!C52</f>
        <v/>
      </c>
      <c r="D52" t="str">
        <f>ADP!D52</f>
        <v>Hitti</v>
      </c>
      <c r="E52" t="str">
        <f>ADP!P52</f>
        <v>006792</v>
      </c>
      <c r="F52" t="str">
        <f>ADP!I52&amp;".new.uat"</f>
        <v>DHitti@onebarnes.com.new.uat</v>
      </c>
      <c r="G52" s="18" t="s">
        <v>1427</v>
      </c>
      <c r="H52" t="str">
        <f>ADP!I52</f>
        <v>DHitti@onebarnes.com</v>
      </c>
      <c r="I52" t="str">
        <f>ADP!AJ52</f>
        <v>en_US</v>
      </c>
      <c r="J52" t="str">
        <f>ADP!AI52</f>
        <v>US</v>
      </c>
      <c r="L52" t="str">
        <f>ADP!AD52</f>
        <v>0096</v>
      </c>
      <c r="M52" t="str">
        <f>ADP!AK52</f>
        <v>USD</v>
      </c>
      <c r="O52" s="18" t="str">
        <f>ADP!AM52</f>
        <v>Y</v>
      </c>
      <c r="P52" t="str">
        <f>ADP!AD52</f>
        <v>0096</v>
      </c>
      <c r="Q52">
        <f>ADP!AE52</f>
        <v>450</v>
      </c>
      <c r="W52" t="str">
        <f>ADP!AA52</f>
        <v>H08</v>
      </c>
      <c r="X52" t="str">
        <f>ADP!AG52</f>
        <v>General</v>
      </c>
      <c r="Z52" t="str">
        <f t="shared" si="0"/>
        <v>0096</v>
      </c>
      <c r="AB52" t="str">
        <f>ADP!AN52</f>
        <v/>
      </c>
      <c r="AC52" t="str">
        <f>ADP!AL52</f>
        <v/>
      </c>
      <c r="AP52" t="str">
        <f>ADP!AD52</f>
        <v>0096</v>
      </c>
      <c r="BG52" t="str">
        <f>ADP!AC52</f>
        <v>006780</v>
      </c>
      <c r="BK52" s="18" t="s">
        <v>1421</v>
      </c>
      <c r="BL52" s="18" t="s">
        <v>1421</v>
      </c>
      <c r="BU52" s="18" t="str">
        <f>ADP!AO52</f>
        <v>N</v>
      </c>
      <c r="BV52" s="18" t="str">
        <f>ADP!AO52</f>
        <v>N</v>
      </c>
      <c r="CE52" s="18" t="s">
        <v>1421</v>
      </c>
      <c r="CH52" s="18" t="s">
        <v>1421</v>
      </c>
    </row>
    <row r="53" spans="1:86" x14ac:dyDescent="0.2">
      <c r="A53" s="39" t="s">
        <v>1420</v>
      </c>
      <c r="B53" t="str">
        <f>ADP!B53</f>
        <v>Carrie</v>
      </c>
      <c r="C53" t="str">
        <f>ADP!C53</f>
        <v>M</v>
      </c>
      <c r="D53" t="str">
        <f>ADP!D53</f>
        <v>Hoffman</v>
      </c>
      <c r="E53" t="str">
        <f>ADP!P53</f>
        <v>902349</v>
      </c>
      <c r="F53" t="str">
        <f>ADP!I53&amp;".new.uat"</f>
        <v>choffman@onebarnes.com.new.uat</v>
      </c>
      <c r="G53" s="18" t="s">
        <v>1427</v>
      </c>
      <c r="H53" t="str">
        <f>ADP!I53</f>
        <v>choffman@onebarnes.com</v>
      </c>
      <c r="I53" t="str">
        <f>ADP!AJ53</f>
        <v>en_US</v>
      </c>
      <c r="J53" t="str">
        <f>ADP!AI53</f>
        <v>US</v>
      </c>
      <c r="L53" t="str">
        <f>ADP!AD53</f>
        <v>0088</v>
      </c>
      <c r="M53" t="str">
        <f>ADP!AK53</f>
        <v>USD</v>
      </c>
      <c r="O53" s="18" t="str">
        <f>ADP!AM53</f>
        <v>Y</v>
      </c>
      <c r="P53" t="str">
        <f>ADP!AD53</f>
        <v>0088</v>
      </c>
      <c r="Q53">
        <f>ADP!AE53</f>
        <v>9200</v>
      </c>
      <c r="W53" t="str">
        <f>ADP!AA53</f>
        <v>S11</v>
      </c>
      <c r="X53" t="str">
        <f>ADP!AG53</f>
        <v>General</v>
      </c>
      <c r="Z53" t="str">
        <f t="shared" si="0"/>
        <v>0088</v>
      </c>
      <c r="AB53" t="str">
        <f>ADP!AN53</f>
        <v/>
      </c>
      <c r="AC53" t="str">
        <f>ADP!AL53</f>
        <v/>
      </c>
      <c r="AP53" t="str">
        <f>ADP!AD53</f>
        <v>0088</v>
      </c>
      <c r="BG53" t="str">
        <f>ADP!AC53</f>
        <v>209181</v>
      </c>
      <c r="BK53" s="18" t="s">
        <v>1421</v>
      </c>
      <c r="BL53" s="18" t="s">
        <v>1421</v>
      </c>
      <c r="BU53" s="18" t="str">
        <f>ADP!AO53</f>
        <v>N</v>
      </c>
      <c r="BV53" s="18" t="str">
        <f>ADP!AO53</f>
        <v>N</v>
      </c>
      <c r="CE53" s="18" t="s">
        <v>1421</v>
      </c>
      <c r="CH53" s="18" t="s">
        <v>1421</v>
      </c>
    </row>
    <row r="54" spans="1:86" x14ac:dyDescent="0.2">
      <c r="A54" s="39" t="s">
        <v>1420</v>
      </c>
      <c r="B54" t="str">
        <f>ADP!B54</f>
        <v>Richard</v>
      </c>
      <c r="C54" t="str">
        <f>ADP!C54</f>
        <v>W</v>
      </c>
      <c r="D54" t="str">
        <f>ADP!D54</f>
        <v>Hutt</v>
      </c>
      <c r="E54" t="str">
        <f>ADP!P54</f>
        <v>211932</v>
      </c>
      <c r="F54" t="str">
        <f>ADP!I54&amp;".new.uat"</f>
        <v>rhutt@onebarnes.com.new.uat</v>
      </c>
      <c r="G54" s="18" t="s">
        <v>1427</v>
      </c>
      <c r="H54" t="str">
        <f>ADP!I54</f>
        <v>rhutt@onebarnes.com</v>
      </c>
      <c r="I54" t="str">
        <f>ADP!AJ54</f>
        <v>en_US</v>
      </c>
      <c r="J54" t="str">
        <f>ADP!AI54</f>
        <v>US</v>
      </c>
      <c r="L54" t="str">
        <f>ADP!AD54</f>
        <v>0088</v>
      </c>
      <c r="M54" t="str">
        <f>ADP!AK54</f>
        <v>USD</v>
      </c>
      <c r="O54" s="18" t="str">
        <f>ADP!AM54</f>
        <v>Y</v>
      </c>
      <c r="P54" t="str">
        <f>ADP!AD54</f>
        <v>0088</v>
      </c>
      <c r="Q54">
        <f>ADP!AE54</f>
        <v>5200</v>
      </c>
      <c r="W54" t="str">
        <f>ADP!AA54</f>
        <v>S06</v>
      </c>
      <c r="X54" t="str">
        <f>ADP!AG54</f>
        <v>General</v>
      </c>
      <c r="Z54" t="str">
        <f t="shared" si="0"/>
        <v>0088</v>
      </c>
      <c r="AB54" t="str">
        <f>ADP!AN54</f>
        <v/>
      </c>
      <c r="AC54" t="str">
        <f>ADP!AL54</f>
        <v/>
      </c>
      <c r="AP54" t="str">
        <f>ADP!AD54</f>
        <v>0088</v>
      </c>
      <c r="BG54" t="str">
        <f>ADP!AC54</f>
        <v>211736</v>
      </c>
      <c r="BK54" s="18" t="s">
        <v>1421</v>
      </c>
      <c r="BL54" s="18" t="s">
        <v>1421</v>
      </c>
      <c r="BU54" s="18" t="str">
        <f>ADP!AO54</f>
        <v>N</v>
      </c>
      <c r="BV54" s="18" t="str">
        <f>ADP!AO54</f>
        <v>N</v>
      </c>
      <c r="CE54" s="18" t="s">
        <v>1421</v>
      </c>
      <c r="CH54" s="18" t="s">
        <v>1421</v>
      </c>
    </row>
    <row r="55" spans="1:86" x14ac:dyDescent="0.2">
      <c r="A55" s="39" t="s">
        <v>1420</v>
      </c>
      <c r="B55" t="str">
        <f>ADP!B55</f>
        <v>Frank</v>
      </c>
      <c r="C55" t="str">
        <f>ADP!C55</f>
        <v/>
      </c>
      <c r="D55" t="str">
        <f>ADP!D55</f>
        <v>Izzo</v>
      </c>
      <c r="E55" t="str">
        <f>ADP!P55</f>
        <v>206442</v>
      </c>
      <c r="F55" t="str">
        <f>ADP!I55&amp;".new.uat"</f>
        <v>FIzzo@onebarnes.com.new.uat</v>
      </c>
      <c r="G55" s="18" t="s">
        <v>1427</v>
      </c>
      <c r="H55" t="str">
        <f>ADP!I55</f>
        <v>FIzzo@onebarnes.com</v>
      </c>
      <c r="I55" t="str">
        <f>ADP!AJ55</f>
        <v>en_US</v>
      </c>
      <c r="J55" t="str">
        <f>ADP!AI55</f>
        <v>US</v>
      </c>
      <c r="L55" t="str">
        <f>ADP!AD55</f>
        <v>0096</v>
      </c>
      <c r="M55" t="str">
        <f>ADP!AK55</f>
        <v>USD</v>
      </c>
      <c r="O55" s="18" t="str">
        <f>ADP!AM55</f>
        <v>Y</v>
      </c>
      <c r="P55" t="str">
        <f>ADP!AD55</f>
        <v>0096</v>
      </c>
      <c r="Q55">
        <f>ADP!AE55</f>
        <v>801</v>
      </c>
      <c r="W55" t="str">
        <f>ADP!AA55</f>
        <v>S16</v>
      </c>
      <c r="X55" t="str">
        <f>ADP!AG55</f>
        <v>General</v>
      </c>
      <c r="Z55" t="str">
        <f t="shared" si="0"/>
        <v>0096</v>
      </c>
      <c r="AB55" t="str">
        <f>ADP!AN55</f>
        <v/>
      </c>
      <c r="AC55" t="str">
        <f>ADP!AL55</f>
        <v/>
      </c>
      <c r="AP55" t="str">
        <f>ADP!AD55</f>
        <v>0096</v>
      </c>
      <c r="BG55" t="str">
        <f>ADP!AC55</f>
        <v>211601</v>
      </c>
      <c r="BK55" s="18" t="s">
        <v>1421</v>
      </c>
      <c r="BL55" s="18" t="s">
        <v>1421</v>
      </c>
      <c r="BU55" s="18" t="str">
        <f>ADP!AO55</f>
        <v>Y</v>
      </c>
      <c r="BV55" s="18" t="str">
        <f>ADP!AO55</f>
        <v>Y</v>
      </c>
      <c r="CE55" s="18" t="s">
        <v>1421</v>
      </c>
      <c r="CH55" s="18" t="s">
        <v>1421</v>
      </c>
    </row>
    <row r="56" spans="1:86" x14ac:dyDescent="0.2">
      <c r="A56" s="39" t="s">
        <v>1420</v>
      </c>
      <c r="B56" t="str">
        <f>ADP!B56</f>
        <v>Keith</v>
      </c>
      <c r="C56" t="str">
        <f>ADP!C56</f>
        <v>L</v>
      </c>
      <c r="D56" t="str">
        <f>ADP!D56</f>
        <v>James</v>
      </c>
      <c r="E56" t="str">
        <f>ADP!P56</f>
        <v>902026</v>
      </c>
      <c r="F56" t="str">
        <f>ADP!I56&amp;".new.uat"</f>
        <v>kjames@onebarnes.com.new.uat</v>
      </c>
      <c r="G56" s="18" t="s">
        <v>1427</v>
      </c>
      <c r="H56" t="str">
        <f>ADP!I56</f>
        <v>kjames@onebarnes.com</v>
      </c>
      <c r="I56" t="str">
        <f>ADP!AJ56</f>
        <v>en_US</v>
      </c>
      <c r="J56" t="str">
        <f>ADP!AI56</f>
        <v>US</v>
      </c>
      <c r="L56" t="str">
        <f>ADP!AD56</f>
        <v>0088</v>
      </c>
      <c r="M56" t="str">
        <f>ADP!AK56</f>
        <v>USD</v>
      </c>
      <c r="O56" s="18" t="str">
        <f>ADP!AM56</f>
        <v>Y</v>
      </c>
      <c r="P56" t="str">
        <f>ADP!AD56</f>
        <v>0088</v>
      </c>
      <c r="Q56">
        <f>ADP!AE56</f>
        <v>5200</v>
      </c>
      <c r="W56" t="str">
        <f>ADP!AA56</f>
        <v>S05</v>
      </c>
      <c r="X56" t="str">
        <f>ADP!AG56</f>
        <v>General</v>
      </c>
      <c r="Z56" t="str">
        <f t="shared" si="0"/>
        <v>0088</v>
      </c>
      <c r="AB56" t="str">
        <f>ADP!AN56</f>
        <v/>
      </c>
      <c r="AC56" t="str">
        <f>ADP!AL56</f>
        <v/>
      </c>
      <c r="AP56" t="str">
        <f>ADP!AD56</f>
        <v>0088</v>
      </c>
      <c r="BG56" t="str">
        <f>ADP!AC56</f>
        <v>207487</v>
      </c>
      <c r="BK56" s="18" t="s">
        <v>1421</v>
      </c>
      <c r="BL56" s="18" t="s">
        <v>1421</v>
      </c>
      <c r="BU56" s="18" t="str">
        <f>ADP!AO56</f>
        <v>N</v>
      </c>
      <c r="BV56" s="18" t="str">
        <f>ADP!AO56</f>
        <v>N</v>
      </c>
      <c r="CE56" s="18" t="s">
        <v>1421</v>
      </c>
      <c r="CH56" s="18" t="s">
        <v>1421</v>
      </c>
    </row>
    <row r="57" spans="1:86" x14ac:dyDescent="0.2">
      <c r="A57" s="39" t="s">
        <v>1420</v>
      </c>
      <c r="B57" t="str">
        <f>ADP!B57</f>
        <v>Michael</v>
      </c>
      <c r="C57" t="str">
        <f>ADP!C57</f>
        <v/>
      </c>
      <c r="D57" t="str">
        <f>ADP!D57</f>
        <v>Jones</v>
      </c>
      <c r="E57" t="str">
        <f>ADP!P57</f>
        <v>212418</v>
      </c>
      <c r="F57" t="str">
        <f>ADP!I57&amp;".new.uat"</f>
        <v>mjones@onebarnes.com.new.uat</v>
      </c>
      <c r="G57" s="18" t="s">
        <v>1427</v>
      </c>
      <c r="H57" t="str">
        <f>ADP!I57</f>
        <v>mjones@onebarnes.com</v>
      </c>
      <c r="I57" t="str">
        <f>ADP!AJ57</f>
        <v>en_US</v>
      </c>
      <c r="J57" t="str">
        <f>ADP!AI57</f>
        <v>US</v>
      </c>
      <c r="L57" t="str">
        <f>ADP!AD57</f>
        <v>0088</v>
      </c>
      <c r="M57" t="str">
        <f>ADP!AK57</f>
        <v>USD</v>
      </c>
      <c r="O57" s="18" t="str">
        <f>ADP!AM57</f>
        <v>Y</v>
      </c>
      <c r="P57" t="str">
        <f>ADP!AD57</f>
        <v>0088</v>
      </c>
      <c r="Q57">
        <f>ADP!AE57</f>
        <v>8200</v>
      </c>
      <c r="W57" t="str">
        <f>ADP!AA57</f>
        <v>S16</v>
      </c>
      <c r="X57" t="str">
        <f>ADP!AG57</f>
        <v>General</v>
      </c>
      <c r="Z57" t="str">
        <f t="shared" si="0"/>
        <v>0088</v>
      </c>
      <c r="AB57" t="str">
        <f>ADP!AN57</f>
        <v/>
      </c>
      <c r="AC57" t="str">
        <f>ADP!AL57</f>
        <v/>
      </c>
      <c r="AP57" t="str">
        <f>ADP!AD57</f>
        <v>0088</v>
      </c>
      <c r="BG57" t="str">
        <f>ADP!AC57</f>
        <v>207588</v>
      </c>
      <c r="BK57" s="18" t="s">
        <v>1421</v>
      </c>
      <c r="BL57" s="18" t="s">
        <v>1421</v>
      </c>
      <c r="BU57" s="18" t="str">
        <f>ADP!AO57</f>
        <v>N</v>
      </c>
      <c r="BV57" s="18" t="str">
        <f>ADP!AO57</f>
        <v>N</v>
      </c>
      <c r="CE57" s="18" t="s">
        <v>1421</v>
      </c>
      <c r="CH57" s="18" t="s">
        <v>1421</v>
      </c>
    </row>
    <row r="58" spans="1:86" x14ac:dyDescent="0.2">
      <c r="A58" s="39" t="s">
        <v>1420</v>
      </c>
      <c r="B58" t="str">
        <f>ADP!B58</f>
        <v>Greg</v>
      </c>
      <c r="C58" t="str">
        <f>ADP!C58</f>
        <v/>
      </c>
      <c r="D58" t="str">
        <f>ADP!D58</f>
        <v>Kemenah</v>
      </c>
      <c r="E58" t="str">
        <f>ADP!P58</f>
        <v>211766</v>
      </c>
      <c r="F58" t="str">
        <f>ADP!I58&amp;".new.uat"</f>
        <v>gkemenah@onebarnes.com.new.uat</v>
      </c>
      <c r="G58" s="18" t="s">
        <v>1427</v>
      </c>
      <c r="H58" t="str">
        <f>ADP!I58</f>
        <v>gkemenah@onebarnes.com</v>
      </c>
      <c r="I58" t="str">
        <f>ADP!AJ58</f>
        <v>en_US</v>
      </c>
      <c r="J58" t="str">
        <f>ADP!AI58</f>
        <v>US</v>
      </c>
      <c r="L58" t="str">
        <f>ADP!AD58</f>
        <v>0088</v>
      </c>
      <c r="M58" t="str">
        <f>ADP!AK58</f>
        <v>USD</v>
      </c>
      <c r="O58" s="18" t="str">
        <f>ADP!AM58</f>
        <v>Y</v>
      </c>
      <c r="P58" t="str">
        <f>ADP!AD58</f>
        <v>0088</v>
      </c>
      <c r="Q58">
        <f>ADP!AE58</f>
        <v>9450</v>
      </c>
      <c r="W58" t="str">
        <f>ADP!AA58</f>
        <v>S19</v>
      </c>
      <c r="X58" t="str">
        <f>ADP!AG58</f>
        <v>General</v>
      </c>
      <c r="Z58" t="str">
        <f t="shared" si="0"/>
        <v>0088</v>
      </c>
      <c r="AB58" t="str">
        <f>ADP!AN58</f>
        <v/>
      </c>
      <c r="AC58" t="str">
        <f>ADP!AL58</f>
        <v/>
      </c>
      <c r="AP58" t="str">
        <f>ADP!AD58</f>
        <v>0088</v>
      </c>
      <c r="BG58" t="str">
        <f>ADP!AC58</f>
        <v>207709</v>
      </c>
      <c r="BK58" s="18" t="s">
        <v>1421</v>
      </c>
      <c r="BL58" s="18" t="s">
        <v>1421</v>
      </c>
      <c r="BU58" s="18" t="str">
        <f>ADP!AO58</f>
        <v>Y</v>
      </c>
      <c r="BV58" s="18" t="str">
        <f>ADP!AO58</f>
        <v>Y</v>
      </c>
      <c r="CE58" s="18" t="s">
        <v>1421</v>
      </c>
      <c r="CH58" s="18" t="s">
        <v>1421</v>
      </c>
    </row>
    <row r="59" spans="1:86" x14ac:dyDescent="0.2">
      <c r="A59" s="39" t="s">
        <v>1420</v>
      </c>
      <c r="B59" t="str">
        <f>ADP!B59</f>
        <v>Wendy</v>
      </c>
      <c r="C59" t="str">
        <f>ADP!C59</f>
        <v/>
      </c>
      <c r="D59" t="str">
        <f>ADP!D59</f>
        <v>Kozicki</v>
      </c>
      <c r="E59" t="str">
        <f>ADP!P59</f>
        <v>213298</v>
      </c>
      <c r="F59" t="str">
        <f>ADP!I59&amp;".new.uat"</f>
        <v>wkozicki@onebarnes.com.new.uat</v>
      </c>
      <c r="G59" s="18" t="s">
        <v>1427</v>
      </c>
      <c r="H59" t="str">
        <f>ADP!I59</f>
        <v>wkozicki@onebarnes.com</v>
      </c>
      <c r="I59" t="str">
        <f>ADP!AJ59</f>
        <v>en_US</v>
      </c>
      <c r="J59" t="str">
        <f>ADP!AI59</f>
        <v>US</v>
      </c>
      <c r="L59" t="str">
        <f>ADP!AD59</f>
        <v>0088</v>
      </c>
      <c r="M59" t="str">
        <f>ADP!AK59</f>
        <v>USD</v>
      </c>
      <c r="O59" s="18" t="str">
        <f>ADP!AM59</f>
        <v>Y</v>
      </c>
      <c r="P59" t="str">
        <f>ADP!AD59</f>
        <v>0088</v>
      </c>
      <c r="Q59">
        <f>ADP!AE59</f>
        <v>8100</v>
      </c>
      <c r="W59" t="str">
        <f>ADP!AA59</f>
        <v>S08</v>
      </c>
      <c r="X59" t="str">
        <f>ADP!AG59</f>
        <v>General</v>
      </c>
      <c r="Z59" t="str">
        <f t="shared" si="0"/>
        <v>0088</v>
      </c>
      <c r="AB59" t="str">
        <f>ADP!AN59</f>
        <v/>
      </c>
      <c r="AC59" t="str">
        <f>ADP!AL59</f>
        <v/>
      </c>
      <c r="AP59" t="str">
        <f>ADP!AD59</f>
        <v>0088</v>
      </c>
      <c r="BG59" t="str">
        <f>ADP!AC59</f>
        <v>202533</v>
      </c>
      <c r="BK59" s="18" t="s">
        <v>1421</v>
      </c>
      <c r="BL59" s="18" t="s">
        <v>1421</v>
      </c>
      <c r="BU59" s="18" t="str">
        <f>ADP!AO59</f>
        <v>N</v>
      </c>
      <c r="BV59" s="18" t="str">
        <f>ADP!AO59</f>
        <v>N</v>
      </c>
      <c r="CE59" s="18" t="s">
        <v>1421</v>
      </c>
      <c r="CH59" s="18" t="s">
        <v>1421</v>
      </c>
    </row>
    <row r="60" spans="1:86" x14ac:dyDescent="0.2">
      <c r="A60" s="39" t="s">
        <v>1420</v>
      </c>
      <c r="B60" t="str">
        <f>ADP!B60</f>
        <v>Derek</v>
      </c>
      <c r="C60" t="str">
        <f>ADP!C60</f>
        <v/>
      </c>
      <c r="D60" t="str">
        <f>ADP!D60</f>
        <v>LaPlante</v>
      </c>
      <c r="E60" t="str">
        <f>ADP!P60</f>
        <v>211736</v>
      </c>
      <c r="F60" t="str">
        <f>ADP!I60&amp;".new.uat"</f>
        <v>dlaplante@onebarnes.com.new.uat</v>
      </c>
      <c r="G60" s="18" t="s">
        <v>1427</v>
      </c>
      <c r="H60" t="str">
        <f>ADP!I60</f>
        <v>dlaplante@onebarnes.com</v>
      </c>
      <c r="I60" t="str">
        <f>ADP!AJ60</f>
        <v>en_US</v>
      </c>
      <c r="J60" t="str">
        <f>ADP!AI60</f>
        <v>US</v>
      </c>
      <c r="L60" t="str">
        <f>ADP!AD60</f>
        <v>0088</v>
      </c>
      <c r="M60" t="str">
        <f>ADP!AK60</f>
        <v>USD</v>
      </c>
      <c r="O60" s="18" t="str">
        <f>ADP!AM60</f>
        <v>Y</v>
      </c>
      <c r="P60" t="str">
        <f>ADP!AD60</f>
        <v>0088</v>
      </c>
      <c r="Q60">
        <f>ADP!AE60</f>
        <v>5200</v>
      </c>
      <c r="W60" t="str">
        <f>ADP!AA60</f>
        <v>S11</v>
      </c>
      <c r="X60" t="str">
        <f>ADP!AG60</f>
        <v>General</v>
      </c>
      <c r="Z60" t="str">
        <f t="shared" si="0"/>
        <v>0088</v>
      </c>
      <c r="AB60" t="str">
        <f>ADP!AN60</f>
        <v/>
      </c>
      <c r="AC60" t="str">
        <f>ADP!AL60</f>
        <v/>
      </c>
      <c r="AP60" t="str">
        <f>ADP!AD60</f>
        <v>0088</v>
      </c>
      <c r="BG60" t="str">
        <f>ADP!AC60</f>
        <v>902688</v>
      </c>
      <c r="BK60" s="18" t="s">
        <v>1421</v>
      </c>
      <c r="BL60" s="18" t="s">
        <v>1421</v>
      </c>
      <c r="BU60" s="18" t="str">
        <f>ADP!AO60</f>
        <v>N</v>
      </c>
      <c r="BV60" s="18" t="str">
        <f>ADP!AO60</f>
        <v>N</v>
      </c>
      <c r="CE60" s="18" t="s">
        <v>1421</v>
      </c>
      <c r="CH60" s="18" t="s">
        <v>1421</v>
      </c>
    </row>
    <row r="61" spans="1:86" x14ac:dyDescent="0.2">
      <c r="A61" s="39" t="s">
        <v>1420</v>
      </c>
      <c r="B61" t="str">
        <f>ADP!B61</f>
        <v>Wayne</v>
      </c>
      <c r="C61" t="str">
        <f>ADP!C61</f>
        <v/>
      </c>
      <c r="D61" t="str">
        <f>ADP!D61</f>
        <v>Leftrict</v>
      </c>
      <c r="E61" t="str">
        <f>ADP!P61</f>
        <v>210910</v>
      </c>
      <c r="F61" t="str">
        <f>ADP!I61&amp;".new.uat"</f>
        <v>wleftrict@onebarnes.com.new.uat</v>
      </c>
      <c r="G61" s="18" t="s">
        <v>1427</v>
      </c>
      <c r="H61" t="str">
        <f>ADP!I61</f>
        <v>wleftrict@onebarnes.com</v>
      </c>
      <c r="I61" t="str">
        <f>ADP!AJ61</f>
        <v>en_US</v>
      </c>
      <c r="J61" t="str">
        <f>ADP!AI61</f>
        <v>US</v>
      </c>
      <c r="L61" t="str">
        <f>ADP!AD61</f>
        <v>0096</v>
      </c>
      <c r="M61" t="str">
        <f>ADP!AK61</f>
        <v>USD</v>
      </c>
      <c r="O61" s="18" t="str">
        <f>ADP!AM61</f>
        <v>Y</v>
      </c>
      <c r="P61" t="str">
        <f>ADP!AD61</f>
        <v>0096</v>
      </c>
      <c r="Q61">
        <f>ADP!AE61</f>
        <v>555</v>
      </c>
      <c r="W61" t="str">
        <f>ADP!AA61</f>
        <v>S16</v>
      </c>
      <c r="X61" t="str">
        <f>ADP!AG61</f>
        <v>General</v>
      </c>
      <c r="Z61" t="str">
        <f t="shared" si="0"/>
        <v>0096</v>
      </c>
      <c r="AB61" t="str">
        <f>ADP!AN61</f>
        <v/>
      </c>
      <c r="AC61" t="str">
        <f>ADP!AL61</f>
        <v/>
      </c>
      <c r="AP61" t="str">
        <f>ADP!AD61</f>
        <v>0096</v>
      </c>
      <c r="BG61" t="str">
        <f>ADP!AC61</f>
        <v>213037</v>
      </c>
      <c r="BK61" s="18" t="s">
        <v>1421</v>
      </c>
      <c r="BL61" s="18" t="s">
        <v>1421</v>
      </c>
      <c r="BU61" s="18" t="str">
        <f>ADP!AO61</f>
        <v>Y</v>
      </c>
      <c r="BV61" s="18" t="str">
        <f>ADP!AO61</f>
        <v>Y</v>
      </c>
      <c r="CE61" s="18" t="s">
        <v>1421</v>
      </c>
      <c r="CH61" s="18" t="s">
        <v>1421</v>
      </c>
    </row>
    <row r="62" spans="1:86" x14ac:dyDescent="0.2">
      <c r="A62" s="39" t="s">
        <v>1420</v>
      </c>
      <c r="B62" t="str">
        <f>ADP!B62</f>
        <v>Tamara</v>
      </c>
      <c r="C62" t="str">
        <f>ADP!C62</f>
        <v>K</v>
      </c>
      <c r="D62" t="str">
        <f>ADP!D62</f>
        <v>Lipp</v>
      </c>
      <c r="E62" t="str">
        <f>ADP!P62</f>
        <v>212990</v>
      </c>
      <c r="F62" t="str">
        <f>ADP!I62&amp;".new.uat"</f>
        <v>tlipp@onebarnes.com.new.uat</v>
      </c>
      <c r="G62" s="18" t="s">
        <v>1427</v>
      </c>
      <c r="H62" t="str">
        <f>ADP!I62</f>
        <v>tlipp@onebarnes.com</v>
      </c>
      <c r="I62" t="str">
        <f>ADP!AJ62</f>
        <v>en_US</v>
      </c>
      <c r="J62" t="str">
        <f>ADP!AI62</f>
        <v>US</v>
      </c>
      <c r="L62" t="str">
        <f>ADP!AD62</f>
        <v>0088</v>
      </c>
      <c r="M62" t="str">
        <f>ADP!AK62</f>
        <v>USD</v>
      </c>
      <c r="O62" s="18" t="str">
        <f>ADP!AM62</f>
        <v>Y</v>
      </c>
      <c r="P62" t="str">
        <f>ADP!AD62</f>
        <v>0088</v>
      </c>
      <c r="Q62">
        <f>ADP!AE62</f>
        <v>9200</v>
      </c>
      <c r="W62" t="str">
        <f>ADP!AA62</f>
        <v>S14</v>
      </c>
      <c r="X62" t="str">
        <f>ADP!AG62</f>
        <v>General</v>
      </c>
      <c r="Z62" t="str">
        <f t="shared" si="0"/>
        <v>0088</v>
      </c>
      <c r="AB62" t="str">
        <f>ADP!AN62</f>
        <v/>
      </c>
      <c r="AC62" t="str">
        <f>ADP!AL62</f>
        <v/>
      </c>
      <c r="AP62" t="str">
        <f>ADP!AD62</f>
        <v>0088</v>
      </c>
      <c r="BG62" t="str">
        <f>ADP!AC62</f>
        <v>209181</v>
      </c>
      <c r="BK62" s="18" t="s">
        <v>1421</v>
      </c>
      <c r="BL62" s="18" t="s">
        <v>1421</v>
      </c>
      <c r="BU62" s="18" t="str">
        <f>ADP!AO62</f>
        <v>N</v>
      </c>
      <c r="BV62" s="18" t="str">
        <f>ADP!AO62</f>
        <v>N</v>
      </c>
      <c r="CE62" s="18" t="s">
        <v>1421</v>
      </c>
      <c r="CH62" s="18" t="s">
        <v>1421</v>
      </c>
    </row>
    <row r="63" spans="1:86" x14ac:dyDescent="0.2">
      <c r="A63" s="39" t="s">
        <v>1420</v>
      </c>
      <c r="B63" t="str">
        <f>ADP!B63</f>
        <v>Joseph</v>
      </c>
      <c r="C63" t="str">
        <f>ADP!C63</f>
        <v>M</v>
      </c>
      <c r="D63" t="str">
        <f>ADP!D63</f>
        <v>Lorenz</v>
      </c>
      <c r="E63" t="str">
        <f>ADP!P63</f>
        <v>212598</v>
      </c>
      <c r="F63" t="str">
        <f>ADP!I63&amp;".new.uat"</f>
        <v>Jlorenz@onebarnes.com.new.uat</v>
      </c>
      <c r="G63" s="18" t="s">
        <v>1427</v>
      </c>
      <c r="H63" t="str">
        <f>ADP!I63</f>
        <v>Jlorenz@onebarnes.com</v>
      </c>
      <c r="I63" t="str">
        <f>ADP!AJ63</f>
        <v>en_US</v>
      </c>
      <c r="J63" t="str">
        <f>ADP!AI63</f>
        <v>US</v>
      </c>
      <c r="L63" t="str">
        <f>ADP!AD63</f>
        <v>0096</v>
      </c>
      <c r="M63" t="str">
        <f>ADP!AK63</f>
        <v>USD</v>
      </c>
      <c r="O63" s="18" t="str">
        <f>ADP!AM63</f>
        <v>Y</v>
      </c>
      <c r="P63" t="str">
        <f>ADP!AD63</f>
        <v>0096</v>
      </c>
      <c r="Q63">
        <f>ADP!AE63</f>
        <v>850</v>
      </c>
      <c r="W63" t="str">
        <f>ADP!AA63</f>
        <v>S10</v>
      </c>
      <c r="X63" t="str">
        <f>ADP!AG63</f>
        <v>General</v>
      </c>
      <c r="Z63" t="str">
        <f t="shared" si="0"/>
        <v>0096</v>
      </c>
      <c r="AB63" t="str">
        <f>ADP!AN63</f>
        <v/>
      </c>
      <c r="AC63" t="str">
        <f>ADP!AL63</f>
        <v/>
      </c>
      <c r="AP63" t="str">
        <f>ADP!AD63</f>
        <v>0096</v>
      </c>
      <c r="BG63" t="str">
        <f>ADP!AC63</f>
        <v>211998</v>
      </c>
      <c r="BK63" s="18" t="s">
        <v>1421</v>
      </c>
      <c r="BL63" s="18" t="s">
        <v>1421</v>
      </c>
      <c r="BU63" s="18" t="str">
        <f>ADP!AO63</f>
        <v>N</v>
      </c>
      <c r="BV63" s="18" t="str">
        <f>ADP!AO63</f>
        <v>N</v>
      </c>
      <c r="CE63" s="18" t="s">
        <v>1421</v>
      </c>
      <c r="CH63" s="18" t="s">
        <v>1421</v>
      </c>
    </row>
    <row r="64" spans="1:86" x14ac:dyDescent="0.2">
      <c r="A64" s="39" t="s">
        <v>1420</v>
      </c>
      <c r="B64" t="str">
        <f>ADP!B64</f>
        <v>Jason</v>
      </c>
      <c r="C64" t="str">
        <f>ADP!C64</f>
        <v/>
      </c>
      <c r="D64" t="str">
        <f>ADP!D64</f>
        <v>Majewski</v>
      </c>
      <c r="E64" t="str">
        <f>ADP!P64</f>
        <v>006809</v>
      </c>
      <c r="F64" t="str">
        <f>ADP!I64&amp;".new.uat"</f>
        <v>JMajewski@onebarnes.com.new.uat</v>
      </c>
      <c r="G64" s="18" t="s">
        <v>1427</v>
      </c>
      <c r="H64" t="str">
        <f>ADP!I64</f>
        <v>JMajewski@onebarnes.com</v>
      </c>
      <c r="I64" t="str">
        <f>ADP!AJ64</f>
        <v>en_US</v>
      </c>
      <c r="J64" t="str">
        <f>ADP!AI64</f>
        <v>US</v>
      </c>
      <c r="L64" t="str">
        <f>ADP!AD64</f>
        <v>0088</v>
      </c>
      <c r="M64" t="str">
        <f>ADP!AK64</f>
        <v>USD</v>
      </c>
      <c r="O64" s="18" t="str">
        <f>ADP!AM64</f>
        <v>Y</v>
      </c>
      <c r="P64" t="str">
        <f>ADP!AD64</f>
        <v>0088</v>
      </c>
      <c r="Q64">
        <f>ADP!AE64</f>
        <v>9400</v>
      </c>
      <c r="W64" t="str">
        <f>ADP!AA64</f>
        <v>S17</v>
      </c>
      <c r="X64" t="str">
        <f>ADP!AG64</f>
        <v>General</v>
      </c>
      <c r="Z64" t="str">
        <f t="shared" si="0"/>
        <v>0088</v>
      </c>
      <c r="AB64" t="str">
        <f>ADP!AN64</f>
        <v/>
      </c>
      <c r="AC64" t="str">
        <f>ADP!AL64</f>
        <v/>
      </c>
      <c r="AP64" t="str">
        <f>ADP!AD64</f>
        <v>0088</v>
      </c>
      <c r="BG64" t="str">
        <f>ADP!AC64</f>
        <v>212699</v>
      </c>
      <c r="BK64" s="18" t="s">
        <v>1421</v>
      </c>
      <c r="BL64" s="18" t="s">
        <v>1421</v>
      </c>
      <c r="BU64" s="18" t="str">
        <f>ADP!AO64</f>
        <v>Y</v>
      </c>
      <c r="BV64" s="18" t="str">
        <f>ADP!AO64</f>
        <v>Y</v>
      </c>
      <c r="CE64" s="18" t="s">
        <v>1421</v>
      </c>
      <c r="CH64" s="18" t="s">
        <v>1421</v>
      </c>
    </row>
    <row r="65" spans="1:86" x14ac:dyDescent="0.2">
      <c r="A65" s="39" t="s">
        <v>1420</v>
      </c>
      <c r="B65" t="str">
        <f>ADP!B65</f>
        <v>Chris</v>
      </c>
      <c r="C65" t="str">
        <f>ADP!C65</f>
        <v>F</v>
      </c>
      <c r="D65" t="str">
        <f>ADP!D65</f>
        <v>Martin</v>
      </c>
      <c r="E65" t="str">
        <f>ADP!P65</f>
        <v>202609</v>
      </c>
      <c r="F65" t="str">
        <f>ADP!I65&amp;".new.uat"</f>
        <v>cmartin@onebarnes.com.new.uat</v>
      </c>
      <c r="G65" s="18" t="s">
        <v>1427</v>
      </c>
      <c r="H65" t="str">
        <f>ADP!I65</f>
        <v>cmartin@onebarnes.com</v>
      </c>
      <c r="I65" t="str">
        <f>ADP!AJ65</f>
        <v>en_US</v>
      </c>
      <c r="J65" t="str">
        <f>ADP!AI65</f>
        <v>US</v>
      </c>
      <c r="L65" t="str">
        <f>ADP!AD65</f>
        <v>0096</v>
      </c>
      <c r="M65" t="str">
        <f>ADP!AK65</f>
        <v>USD</v>
      </c>
      <c r="O65" s="18" t="str">
        <f>ADP!AM65</f>
        <v>Y</v>
      </c>
      <c r="P65" t="str">
        <f>ADP!AD65</f>
        <v>0096</v>
      </c>
      <c r="Q65">
        <f>ADP!AE65</f>
        <v>500</v>
      </c>
      <c r="W65" t="str">
        <f>ADP!AA65</f>
        <v>S15</v>
      </c>
      <c r="X65" t="str">
        <f>ADP!AG65</f>
        <v>General</v>
      </c>
      <c r="Z65" t="str">
        <f t="shared" si="0"/>
        <v>0096</v>
      </c>
      <c r="AB65" t="str">
        <f>ADP!AN65</f>
        <v/>
      </c>
      <c r="AC65" t="str">
        <f>ADP!AL65</f>
        <v/>
      </c>
      <c r="AP65" t="str">
        <f>ADP!AD65</f>
        <v>0096</v>
      </c>
      <c r="BG65" t="str">
        <f>ADP!AC65</f>
        <v>210910</v>
      </c>
      <c r="BK65" s="18" t="s">
        <v>1421</v>
      </c>
      <c r="BL65" s="18" t="s">
        <v>1421</v>
      </c>
      <c r="BU65" s="18" t="str">
        <f>ADP!AO65</f>
        <v>N</v>
      </c>
      <c r="BV65" s="18" t="str">
        <f>ADP!AO65</f>
        <v>N</v>
      </c>
      <c r="CE65" s="18" t="s">
        <v>1421</v>
      </c>
      <c r="CH65" s="18" t="s">
        <v>1421</v>
      </c>
    </row>
    <row r="66" spans="1:86" x14ac:dyDescent="0.2">
      <c r="A66" s="39" t="s">
        <v>1420</v>
      </c>
      <c r="B66" t="str">
        <f>ADP!B66</f>
        <v>Martin</v>
      </c>
      <c r="C66" t="str">
        <f>ADP!C66</f>
        <v/>
      </c>
      <c r="D66" t="str">
        <f>ADP!D66</f>
        <v>Martinez</v>
      </c>
      <c r="E66" t="str">
        <f>ADP!P66</f>
        <v>902563</v>
      </c>
      <c r="F66" t="str">
        <f>ADP!I66&amp;".new.uat"</f>
        <v>martinezmartin161@gmail.com.new.uat</v>
      </c>
      <c r="G66" s="18" t="s">
        <v>1427</v>
      </c>
      <c r="H66" t="str">
        <f>ADP!I66</f>
        <v>martinezmartin161@gmail.com</v>
      </c>
      <c r="I66" t="str">
        <f>ADP!AJ66</f>
        <v>en_US</v>
      </c>
      <c r="J66" t="str">
        <f>ADP!AI66</f>
        <v>US</v>
      </c>
      <c r="L66" t="str">
        <f>ADP!AD66</f>
        <v>0088</v>
      </c>
      <c r="M66" t="str">
        <f>ADP!AK66</f>
        <v>USD</v>
      </c>
      <c r="O66" s="18" t="str">
        <f>ADP!AM66</f>
        <v>Y</v>
      </c>
      <c r="P66" t="str">
        <f>ADP!AD66</f>
        <v>0088</v>
      </c>
      <c r="Q66">
        <f>ADP!AE66</f>
        <v>5100</v>
      </c>
      <c r="W66" t="str">
        <f>ADP!AA66</f>
        <v>S05</v>
      </c>
      <c r="X66" t="str">
        <f>ADP!AG66</f>
        <v>General</v>
      </c>
      <c r="Z66" t="str">
        <f t="shared" si="0"/>
        <v>0088</v>
      </c>
      <c r="AB66" t="str">
        <f>ADP!AN66</f>
        <v/>
      </c>
      <c r="AC66" t="str">
        <f>ADP!AL66</f>
        <v/>
      </c>
      <c r="AP66" t="str">
        <f>ADP!AD66</f>
        <v>0088</v>
      </c>
      <c r="BG66" t="str">
        <f>ADP!AC66</f>
        <v>211756</v>
      </c>
      <c r="BK66" s="18" t="s">
        <v>1421</v>
      </c>
      <c r="BL66" s="18" t="s">
        <v>1421</v>
      </c>
      <c r="BU66" s="18" t="str">
        <f>ADP!AO66</f>
        <v>N</v>
      </c>
      <c r="BV66" s="18" t="str">
        <f>ADP!AO66</f>
        <v>N</v>
      </c>
      <c r="CE66" s="18" t="s">
        <v>1421</v>
      </c>
      <c r="CH66" s="18" t="s">
        <v>1421</v>
      </c>
    </row>
    <row r="67" spans="1:86" x14ac:dyDescent="0.2">
      <c r="A67" s="39" t="s">
        <v>1420</v>
      </c>
      <c r="B67" t="str">
        <f>ADP!B67</f>
        <v>Bradley</v>
      </c>
      <c r="C67" t="str">
        <f>ADP!C67</f>
        <v/>
      </c>
      <c r="D67" t="str">
        <f>ADP!D67</f>
        <v>Masters</v>
      </c>
      <c r="E67" t="str">
        <f>ADP!P67</f>
        <v>902437</v>
      </c>
      <c r="F67" t="str">
        <f>ADP!I67&amp;".new.uat"</f>
        <v>bmasters@onebarnes.com.new.uat</v>
      </c>
      <c r="G67" s="18" t="s">
        <v>1427</v>
      </c>
      <c r="H67" t="str">
        <f>ADP!I67</f>
        <v>bmasters@onebarnes.com</v>
      </c>
      <c r="I67" t="str">
        <f>ADP!AJ67</f>
        <v>en_US</v>
      </c>
      <c r="J67" t="str">
        <f>ADP!AI67</f>
        <v>US</v>
      </c>
      <c r="L67" t="str">
        <f>ADP!AD67</f>
        <v>0088</v>
      </c>
      <c r="M67" t="str">
        <f>ADP!AK67</f>
        <v>USD</v>
      </c>
      <c r="O67" s="18" t="str">
        <f>ADP!AM67</f>
        <v>Y</v>
      </c>
      <c r="P67" t="str">
        <f>ADP!AD67</f>
        <v>0088</v>
      </c>
      <c r="Q67">
        <f>ADP!AE67</f>
        <v>8200</v>
      </c>
      <c r="W67" t="str">
        <f>ADP!AA67</f>
        <v>S16</v>
      </c>
      <c r="X67" t="str">
        <f>ADP!AG67</f>
        <v>General</v>
      </c>
      <c r="Z67" t="str">
        <f t="shared" si="0"/>
        <v>0088</v>
      </c>
      <c r="AB67" t="str">
        <f>ADP!AN67</f>
        <v/>
      </c>
      <c r="AC67" t="str">
        <f>ADP!AL67</f>
        <v>Brad Masters</v>
      </c>
      <c r="AP67" t="str">
        <f>ADP!AD67</f>
        <v>0088</v>
      </c>
      <c r="BG67" t="str">
        <f>ADP!AC67</f>
        <v>207588</v>
      </c>
      <c r="BK67" s="18" t="s">
        <v>1421</v>
      </c>
      <c r="BL67" s="18" t="s">
        <v>1421</v>
      </c>
      <c r="BU67" s="18" t="str">
        <f>ADP!AO67</f>
        <v>N</v>
      </c>
      <c r="BV67" s="18" t="str">
        <f>ADP!AO67</f>
        <v>N</v>
      </c>
      <c r="CE67" s="18" t="s">
        <v>1421</v>
      </c>
      <c r="CH67" s="18" t="s">
        <v>1421</v>
      </c>
    </row>
    <row r="68" spans="1:86" x14ac:dyDescent="0.2">
      <c r="A68" s="39" t="s">
        <v>1420</v>
      </c>
      <c r="B68" t="str">
        <f>ADP!B68</f>
        <v>Craig</v>
      </c>
      <c r="C68" t="str">
        <f>ADP!C68</f>
        <v/>
      </c>
      <c r="D68" t="str">
        <f>ADP!D68</f>
        <v>Mata</v>
      </c>
      <c r="E68" t="str">
        <f>ADP!P68</f>
        <v>201343</v>
      </c>
      <c r="F68" t="str">
        <f>ADP!I68&amp;".new.uat"</f>
        <v>cmata@onebarnes.com.new.uat</v>
      </c>
      <c r="G68" s="18" t="s">
        <v>1427</v>
      </c>
      <c r="H68" t="str">
        <f>ADP!I68</f>
        <v>cmata@onebarnes.com</v>
      </c>
      <c r="I68" t="str">
        <f>ADP!AJ68</f>
        <v>en_US</v>
      </c>
      <c r="J68" t="str">
        <f>ADP!AI68</f>
        <v>US</v>
      </c>
      <c r="L68" t="str">
        <f>ADP!AD68</f>
        <v>0088</v>
      </c>
      <c r="M68" t="str">
        <f>ADP!AK68</f>
        <v>USD</v>
      </c>
      <c r="O68" s="18" t="str">
        <f>ADP!AM68</f>
        <v>Y</v>
      </c>
      <c r="P68" t="str">
        <f>ADP!AD68</f>
        <v>0088</v>
      </c>
      <c r="Q68">
        <f>ADP!AE68</f>
        <v>5200</v>
      </c>
      <c r="W68" t="str">
        <f>ADP!AA68</f>
        <v>S05</v>
      </c>
      <c r="X68" t="str">
        <f>ADP!AG68</f>
        <v>General</v>
      </c>
      <c r="Z68" t="str">
        <f t="shared" si="0"/>
        <v>0088</v>
      </c>
      <c r="AB68" t="str">
        <f>ADP!AN68</f>
        <v/>
      </c>
      <c r="AC68" t="str">
        <f>ADP!AL68</f>
        <v/>
      </c>
      <c r="AP68" t="str">
        <f>ADP!AD68</f>
        <v>0088</v>
      </c>
      <c r="BG68" t="str">
        <f>ADP!AC68</f>
        <v>211736</v>
      </c>
      <c r="BK68" s="18" t="s">
        <v>1421</v>
      </c>
      <c r="BL68" s="18" t="s">
        <v>1421</v>
      </c>
      <c r="BU68" s="18" t="str">
        <f>ADP!AO68</f>
        <v>N</v>
      </c>
      <c r="BV68" s="18" t="str">
        <f>ADP!AO68</f>
        <v>N</v>
      </c>
      <c r="CE68" s="18" t="s">
        <v>1421</v>
      </c>
      <c r="CH68" s="18" t="s">
        <v>1421</v>
      </c>
    </row>
    <row r="69" spans="1:86" x14ac:dyDescent="0.2">
      <c r="A69" s="39" t="s">
        <v>1420</v>
      </c>
      <c r="B69" t="str">
        <f>ADP!B69</f>
        <v>Scott</v>
      </c>
      <c r="C69" t="str">
        <f>ADP!C69</f>
        <v>T</v>
      </c>
      <c r="D69" t="str">
        <f>ADP!D69</f>
        <v>Mazzei</v>
      </c>
      <c r="E69" t="str">
        <f>ADP!P69</f>
        <v>662995</v>
      </c>
      <c r="F69" t="str">
        <f>ADP!I69&amp;".new.uat"</f>
        <v>SMazzei@onebarnes.com.new.uat</v>
      </c>
      <c r="G69" s="18" t="s">
        <v>1427</v>
      </c>
      <c r="H69" t="str">
        <f>ADP!I69</f>
        <v>SMazzei@onebarnes.com</v>
      </c>
      <c r="I69" t="str">
        <f>ADP!AJ69</f>
        <v>en_US</v>
      </c>
      <c r="J69" t="str">
        <f>ADP!AI69</f>
        <v>US</v>
      </c>
      <c r="L69" t="str">
        <f>ADP!AD69</f>
        <v>0088</v>
      </c>
      <c r="M69" t="str">
        <f>ADP!AK69</f>
        <v>USD</v>
      </c>
      <c r="O69" s="18" t="str">
        <f>ADP!AM69</f>
        <v>Y</v>
      </c>
      <c r="P69" t="str">
        <f>ADP!AD69</f>
        <v>0088</v>
      </c>
      <c r="Q69">
        <f>ADP!AE69</f>
        <v>5100</v>
      </c>
      <c r="W69" t="str">
        <f>ADP!AA69</f>
        <v>S08</v>
      </c>
      <c r="X69" t="str">
        <f>ADP!AG69</f>
        <v>General</v>
      </c>
      <c r="Z69" t="str">
        <f t="shared" si="0"/>
        <v>0088</v>
      </c>
      <c r="AB69" t="str">
        <f>ADP!AN69</f>
        <v/>
      </c>
      <c r="AC69" t="str">
        <f>ADP!AL69</f>
        <v/>
      </c>
      <c r="AP69" t="str">
        <f>ADP!AD69</f>
        <v>0088</v>
      </c>
      <c r="BG69" t="str">
        <f>ADP!AC69</f>
        <v>211756</v>
      </c>
      <c r="BK69" s="18" t="s">
        <v>1421</v>
      </c>
      <c r="BL69" s="18" t="s">
        <v>1421</v>
      </c>
      <c r="BU69" s="18" t="str">
        <f>ADP!AO69</f>
        <v>N</v>
      </c>
      <c r="BV69" s="18" t="str">
        <f>ADP!AO69</f>
        <v>N</v>
      </c>
      <c r="CE69" s="18" t="s">
        <v>1421</v>
      </c>
      <c r="CH69" s="18" t="s">
        <v>1421</v>
      </c>
    </row>
    <row r="70" spans="1:86" x14ac:dyDescent="0.2">
      <c r="A70" s="39" t="s">
        <v>1420</v>
      </c>
      <c r="B70" t="str">
        <f>ADP!B70</f>
        <v>Joel</v>
      </c>
      <c r="C70" t="str">
        <f>ADP!C70</f>
        <v>E</v>
      </c>
      <c r="D70" t="str">
        <f>ADP!D70</f>
        <v>McCoy</v>
      </c>
      <c r="E70" t="str">
        <f>ADP!P70</f>
        <v>901213</v>
      </c>
      <c r="F70" t="str">
        <f>ADP!I70&amp;".new.uat"</f>
        <v>jmccoy@onebarnes.com.new.uat</v>
      </c>
      <c r="G70" s="18" t="s">
        <v>1427</v>
      </c>
      <c r="H70" t="str">
        <f>ADP!I70</f>
        <v>jmccoy@onebarnes.com</v>
      </c>
      <c r="I70" t="str">
        <f>ADP!AJ70</f>
        <v>en_US</v>
      </c>
      <c r="J70" t="str">
        <f>ADP!AI70</f>
        <v>US</v>
      </c>
      <c r="L70" t="str">
        <f>ADP!AD70</f>
        <v>0088</v>
      </c>
      <c r="M70" t="str">
        <f>ADP!AK70</f>
        <v>USD</v>
      </c>
      <c r="O70" s="18" t="str">
        <f>ADP!AM70</f>
        <v>Y</v>
      </c>
      <c r="P70" t="str">
        <f>ADP!AD70</f>
        <v>0088</v>
      </c>
      <c r="Q70">
        <f>ADP!AE70</f>
        <v>9450</v>
      </c>
      <c r="W70" t="str">
        <f>ADP!AA70</f>
        <v>S15</v>
      </c>
      <c r="X70" t="str">
        <f>ADP!AG70</f>
        <v>General</v>
      </c>
      <c r="Z70" t="str">
        <f t="shared" ref="Z70:Z133" si="1">P70</f>
        <v>0088</v>
      </c>
      <c r="AB70" t="str">
        <f>ADP!AN70</f>
        <v/>
      </c>
      <c r="AC70" t="str">
        <f>ADP!AL70</f>
        <v/>
      </c>
      <c r="AP70" t="str">
        <f>ADP!AD70</f>
        <v>0088</v>
      </c>
      <c r="BG70" t="str">
        <f>ADP!AC70</f>
        <v>211766</v>
      </c>
      <c r="BK70" s="18" t="s">
        <v>1421</v>
      </c>
      <c r="BL70" s="18" t="s">
        <v>1421</v>
      </c>
      <c r="BU70" s="18" t="str">
        <f>ADP!AO70</f>
        <v>N</v>
      </c>
      <c r="BV70" s="18" t="str">
        <f>ADP!AO70</f>
        <v>N</v>
      </c>
      <c r="CE70" s="18" t="s">
        <v>1421</v>
      </c>
      <c r="CH70" s="18" t="s">
        <v>1421</v>
      </c>
    </row>
    <row r="71" spans="1:86" x14ac:dyDescent="0.2">
      <c r="A71" s="39" t="s">
        <v>1420</v>
      </c>
      <c r="B71" t="str">
        <f>ADP!B71</f>
        <v>Amy</v>
      </c>
      <c r="C71" t="str">
        <f>ADP!C71</f>
        <v>C</v>
      </c>
      <c r="D71" t="str">
        <f>ADP!D71</f>
        <v>McGuire</v>
      </c>
      <c r="E71" t="str">
        <f>ADP!P71</f>
        <v>007861</v>
      </c>
      <c r="F71" t="str">
        <f>ADP!I71&amp;".new.uat"</f>
        <v>AMcGuire@onebarnes.com.new.uat</v>
      </c>
      <c r="G71" s="18" t="s">
        <v>1427</v>
      </c>
      <c r="H71" t="str">
        <f>ADP!I71</f>
        <v>AMcGuire@onebarnes.com</v>
      </c>
      <c r="I71" t="str">
        <f>ADP!AJ71</f>
        <v>en_US</v>
      </c>
      <c r="J71" t="str">
        <f>ADP!AI71</f>
        <v>US</v>
      </c>
      <c r="L71" t="str">
        <f>ADP!AD71</f>
        <v>0096</v>
      </c>
      <c r="M71" t="str">
        <f>ADP!AK71</f>
        <v>USD</v>
      </c>
      <c r="O71" s="18" t="str">
        <f>ADP!AM71</f>
        <v>Y</v>
      </c>
      <c r="P71" t="str">
        <f>ADP!AD71</f>
        <v>0096</v>
      </c>
      <c r="Q71">
        <f>ADP!AE71</f>
        <v>910</v>
      </c>
      <c r="W71" t="str">
        <f>ADP!AA71</f>
        <v>S13</v>
      </c>
      <c r="X71" t="str">
        <f>ADP!AG71</f>
        <v>General</v>
      </c>
      <c r="Z71" t="str">
        <f t="shared" si="1"/>
        <v>0096</v>
      </c>
      <c r="AB71" t="str">
        <f>ADP!AN71</f>
        <v/>
      </c>
      <c r="AC71" t="str">
        <f>ADP!AL71</f>
        <v/>
      </c>
      <c r="AP71" t="str">
        <f>ADP!AD71</f>
        <v>0096</v>
      </c>
      <c r="BG71" t="str">
        <f>ADP!AC71</f>
        <v>008750</v>
      </c>
      <c r="BK71" s="18" t="s">
        <v>1421</v>
      </c>
      <c r="BL71" s="18" t="s">
        <v>1421</v>
      </c>
      <c r="BU71" s="18" t="str">
        <f>ADP!AO71</f>
        <v>Y</v>
      </c>
      <c r="BV71" s="18" t="str">
        <f>ADP!AO71</f>
        <v>Y</v>
      </c>
      <c r="CE71" s="18" t="s">
        <v>1421</v>
      </c>
      <c r="CH71" s="18" t="s">
        <v>1421</v>
      </c>
    </row>
    <row r="72" spans="1:86" x14ac:dyDescent="0.2">
      <c r="A72" s="39" t="s">
        <v>1420</v>
      </c>
      <c r="B72" t="str">
        <f>ADP!B72</f>
        <v>Michael</v>
      </c>
      <c r="C72" t="str">
        <f>ADP!C72</f>
        <v/>
      </c>
      <c r="D72" t="str">
        <f>ADP!D72</f>
        <v>Molnar</v>
      </c>
      <c r="E72" t="str">
        <f>ADP!P72</f>
        <v>209746</v>
      </c>
      <c r="F72" t="str">
        <f>ADP!I72&amp;".new.uat"</f>
        <v>Mmolnar@onebarnes.com.new.uat</v>
      </c>
      <c r="G72" s="18" t="s">
        <v>1427</v>
      </c>
      <c r="H72" t="str">
        <f>ADP!I72</f>
        <v>Mmolnar@onebarnes.com</v>
      </c>
      <c r="I72" t="str">
        <f>ADP!AJ72</f>
        <v>en_US</v>
      </c>
      <c r="J72" t="str">
        <f>ADP!AI72</f>
        <v>US</v>
      </c>
      <c r="L72" t="str">
        <f>ADP!AD72</f>
        <v>0088</v>
      </c>
      <c r="M72" t="str">
        <f>ADP!AK72</f>
        <v>USD</v>
      </c>
      <c r="O72" s="18" t="str">
        <f>ADP!AM72</f>
        <v>Y</v>
      </c>
      <c r="P72" t="str">
        <f>ADP!AD72</f>
        <v>0088</v>
      </c>
      <c r="Q72">
        <f>ADP!AE72</f>
        <v>8100</v>
      </c>
      <c r="W72" t="str">
        <f>ADP!AA72</f>
        <v>S11</v>
      </c>
      <c r="X72" t="str">
        <f>ADP!AG72</f>
        <v>General</v>
      </c>
      <c r="Z72" t="str">
        <f t="shared" si="1"/>
        <v>0088</v>
      </c>
      <c r="AB72" t="str">
        <f>ADP!AN72</f>
        <v/>
      </c>
      <c r="AC72" t="str">
        <f>ADP!AL72</f>
        <v/>
      </c>
      <c r="AP72" t="str">
        <f>ADP!AD72</f>
        <v>0088</v>
      </c>
      <c r="BG72" t="str">
        <f>ADP!AC72</f>
        <v>211131</v>
      </c>
      <c r="BK72" s="18" t="s">
        <v>1421</v>
      </c>
      <c r="BL72" s="18" t="s">
        <v>1421</v>
      </c>
      <c r="BU72" s="18" t="str">
        <f>ADP!AO72</f>
        <v>N</v>
      </c>
      <c r="BV72" s="18" t="str">
        <f>ADP!AO72</f>
        <v>N</v>
      </c>
      <c r="CE72" s="18" t="s">
        <v>1421</v>
      </c>
      <c r="CH72" s="18" t="s">
        <v>1421</v>
      </c>
    </row>
    <row r="73" spans="1:86" x14ac:dyDescent="0.2">
      <c r="A73" s="39" t="s">
        <v>1420</v>
      </c>
      <c r="B73" t="str">
        <f>ADP!B73</f>
        <v>Candi</v>
      </c>
      <c r="C73" t="str">
        <f>ADP!C73</f>
        <v>M</v>
      </c>
      <c r="D73" t="str">
        <f>ADP!D73</f>
        <v>Morales</v>
      </c>
      <c r="E73" t="str">
        <f>ADP!P73</f>
        <v>007630</v>
      </c>
      <c r="F73" t="str">
        <f>ADP!I73&amp;".new.uat"</f>
        <v>cburris@onebarnes.com.new.uat</v>
      </c>
      <c r="G73" s="18" t="s">
        <v>1427</v>
      </c>
      <c r="H73" t="str">
        <f>ADP!I73</f>
        <v>cburris@onebarnes.com</v>
      </c>
      <c r="I73" t="str">
        <f>ADP!AJ73</f>
        <v>en_US</v>
      </c>
      <c r="J73" t="str">
        <f>ADP!AI73</f>
        <v>US</v>
      </c>
      <c r="L73" t="str">
        <f>ADP!AD73</f>
        <v>0088</v>
      </c>
      <c r="M73" t="str">
        <f>ADP!AK73</f>
        <v>USD</v>
      </c>
      <c r="O73" s="18" t="str">
        <f>ADP!AM73</f>
        <v>Y</v>
      </c>
      <c r="P73" t="str">
        <f>ADP!AD73</f>
        <v>0088</v>
      </c>
      <c r="Q73">
        <f>ADP!AE73</f>
        <v>9500</v>
      </c>
      <c r="W73" t="str">
        <f>ADP!AA73</f>
        <v>S10</v>
      </c>
      <c r="X73" t="str">
        <f>ADP!AG73</f>
        <v>General</v>
      </c>
      <c r="Z73" t="str">
        <f t="shared" si="1"/>
        <v>0088</v>
      </c>
      <c r="AB73" t="str">
        <f>ADP!AN73</f>
        <v/>
      </c>
      <c r="AC73" t="str">
        <f>ADP!AL73</f>
        <v/>
      </c>
      <c r="AP73" t="str">
        <f>ADP!AD73</f>
        <v>0088</v>
      </c>
      <c r="BG73" t="str">
        <f>ADP!AC73</f>
        <v>210892</v>
      </c>
      <c r="BK73" s="18" t="s">
        <v>1421</v>
      </c>
      <c r="BL73" s="18" t="s">
        <v>1421</v>
      </c>
      <c r="BU73" s="18" t="str">
        <f>ADP!AO73</f>
        <v>Y</v>
      </c>
      <c r="BV73" s="18" t="str">
        <f>ADP!AO73</f>
        <v>Y</v>
      </c>
      <c r="CE73" s="18" t="s">
        <v>1421</v>
      </c>
      <c r="CH73" s="18" t="s">
        <v>1421</v>
      </c>
    </row>
    <row r="74" spans="1:86" x14ac:dyDescent="0.2">
      <c r="A74" s="39" t="s">
        <v>1420</v>
      </c>
      <c r="B74" t="str">
        <f>ADP!B74</f>
        <v>Peter</v>
      </c>
      <c r="C74" t="str">
        <f>ADP!C74</f>
        <v/>
      </c>
      <c r="D74" t="str">
        <f>ADP!D74</f>
        <v>Morgan</v>
      </c>
      <c r="E74" t="str">
        <f>ADP!P74</f>
        <v>213225</v>
      </c>
      <c r="F74" t="str">
        <f>ADP!I74&amp;".new.uat"</f>
        <v>pmorgan@onebarnes.com.new.uat</v>
      </c>
      <c r="G74" s="18" t="s">
        <v>1427</v>
      </c>
      <c r="H74" t="str">
        <f>ADP!I74</f>
        <v>pmorgan@onebarnes.com</v>
      </c>
      <c r="I74" t="str">
        <f>ADP!AJ74</f>
        <v>en_US</v>
      </c>
      <c r="J74" t="str">
        <f>ADP!AI74</f>
        <v>US</v>
      </c>
      <c r="L74" t="str">
        <f>ADP!AD74</f>
        <v>0088</v>
      </c>
      <c r="M74" t="str">
        <f>ADP!AK74</f>
        <v>USD</v>
      </c>
      <c r="O74" s="18" t="str">
        <f>ADP!AM74</f>
        <v>Y</v>
      </c>
      <c r="P74" t="str">
        <f>ADP!AD74</f>
        <v>0088</v>
      </c>
      <c r="Q74">
        <f>ADP!AE74</f>
        <v>8100</v>
      </c>
      <c r="W74" t="str">
        <f>ADP!AA74</f>
        <v>S11</v>
      </c>
      <c r="X74" t="str">
        <f>ADP!AG74</f>
        <v>General</v>
      </c>
      <c r="Z74" t="str">
        <f t="shared" si="1"/>
        <v>0088</v>
      </c>
      <c r="AB74" t="str">
        <f>ADP!AN74</f>
        <v/>
      </c>
      <c r="AC74" t="str">
        <f>ADP!AL74</f>
        <v/>
      </c>
      <c r="AP74" t="str">
        <f>ADP!AD74</f>
        <v>0088</v>
      </c>
      <c r="BG74" t="str">
        <f>ADP!AC74</f>
        <v>211131</v>
      </c>
      <c r="BK74" s="18" t="s">
        <v>1421</v>
      </c>
      <c r="BL74" s="18" t="s">
        <v>1421</v>
      </c>
      <c r="BU74" s="18" t="str">
        <f>ADP!AO74</f>
        <v>N</v>
      </c>
      <c r="BV74" s="18" t="str">
        <f>ADP!AO74</f>
        <v>N</v>
      </c>
      <c r="CE74" s="18" t="s">
        <v>1421</v>
      </c>
      <c r="CH74" s="18" t="s">
        <v>1421</v>
      </c>
    </row>
    <row r="75" spans="1:86" x14ac:dyDescent="0.2">
      <c r="A75" s="39" t="s">
        <v>1420</v>
      </c>
      <c r="B75" t="str">
        <f>ADP!B75</f>
        <v>Rachel</v>
      </c>
      <c r="C75" t="str">
        <f>ADP!C75</f>
        <v>E</v>
      </c>
      <c r="D75" t="str">
        <f>ADP!D75</f>
        <v>Neri</v>
      </c>
      <c r="E75" t="str">
        <f>ADP!P75</f>
        <v>212129</v>
      </c>
      <c r="F75" t="str">
        <f>ADP!I75&amp;".new.uat"</f>
        <v>rneri@onebarnes.com.new.uat</v>
      </c>
      <c r="G75" s="18" t="s">
        <v>1427</v>
      </c>
      <c r="H75" t="str">
        <f>ADP!I75</f>
        <v>rneri@onebarnes.com</v>
      </c>
      <c r="I75" t="str">
        <f>ADP!AJ75</f>
        <v>en_US</v>
      </c>
      <c r="J75" t="str">
        <f>ADP!AI75</f>
        <v>US</v>
      </c>
      <c r="L75" t="str">
        <f>ADP!AD75</f>
        <v>0088</v>
      </c>
      <c r="M75" t="str">
        <f>ADP!AK75</f>
        <v>USD</v>
      </c>
      <c r="O75" s="18" t="str">
        <f>ADP!AM75</f>
        <v>Y</v>
      </c>
      <c r="P75" t="str">
        <f>ADP!AD75</f>
        <v>0088</v>
      </c>
      <c r="Q75">
        <f>ADP!AE75</f>
        <v>8100</v>
      </c>
      <c r="W75" t="str">
        <f>ADP!AA75</f>
        <v>S15</v>
      </c>
      <c r="X75" t="str">
        <f>ADP!AG75</f>
        <v>General</v>
      </c>
      <c r="Z75" t="str">
        <f t="shared" si="1"/>
        <v>0088</v>
      </c>
      <c r="AB75" t="str">
        <f>ADP!AN75</f>
        <v/>
      </c>
      <c r="AC75" t="str">
        <f>ADP!AL75</f>
        <v/>
      </c>
      <c r="AP75" t="str">
        <f>ADP!AD75</f>
        <v>0088</v>
      </c>
      <c r="BG75" t="str">
        <f>ADP!AC75</f>
        <v>211766</v>
      </c>
      <c r="BK75" s="18" t="s">
        <v>1421</v>
      </c>
      <c r="BL75" s="18" t="s">
        <v>1421</v>
      </c>
      <c r="BU75" s="18" t="str">
        <f>ADP!AO75</f>
        <v>N</v>
      </c>
      <c r="BV75" s="18" t="str">
        <f>ADP!AO75</f>
        <v>N</v>
      </c>
      <c r="CE75" s="18" t="s">
        <v>1421</v>
      </c>
      <c r="CH75" s="18" t="s">
        <v>1421</v>
      </c>
    </row>
    <row r="76" spans="1:86" x14ac:dyDescent="0.2">
      <c r="A76" s="39" t="s">
        <v>1420</v>
      </c>
      <c r="B76" t="str">
        <f>ADP!B76</f>
        <v>Kevin</v>
      </c>
      <c r="C76" t="str">
        <f>ADP!C76</f>
        <v>D</v>
      </c>
      <c r="D76" t="str">
        <f>ADP!D76</f>
        <v>OConnor</v>
      </c>
      <c r="E76" t="str">
        <f>ADP!P76</f>
        <v>212678</v>
      </c>
      <c r="F76" t="str">
        <f>ADP!I76&amp;".new.uat"</f>
        <v>koconnor@onebarnes.com.new.uat</v>
      </c>
      <c r="G76" s="18" t="s">
        <v>1427</v>
      </c>
      <c r="H76" t="str">
        <f>ADP!I76</f>
        <v>koconnor@onebarnes.com</v>
      </c>
      <c r="I76" t="str">
        <f>ADP!AJ76</f>
        <v>en_US</v>
      </c>
      <c r="J76" t="str">
        <f>ADP!AI76</f>
        <v>US</v>
      </c>
      <c r="L76" t="str">
        <f>ADP!AD76</f>
        <v>0096</v>
      </c>
      <c r="M76" t="str">
        <f>ADP!AK76</f>
        <v>USD</v>
      </c>
      <c r="O76" s="18" t="str">
        <f>ADP!AM76</f>
        <v>Y</v>
      </c>
      <c r="P76" t="str">
        <f>ADP!AD76</f>
        <v>0096</v>
      </c>
      <c r="Q76">
        <f>ADP!AE76</f>
        <v>820</v>
      </c>
      <c r="W76" t="str">
        <f>ADP!AA76</f>
        <v>S16</v>
      </c>
      <c r="X76" t="str">
        <f>ADP!AG76</f>
        <v>General</v>
      </c>
      <c r="Z76" t="str">
        <f t="shared" si="1"/>
        <v>0096</v>
      </c>
      <c r="AB76" t="str">
        <f>ADP!AN76</f>
        <v/>
      </c>
      <c r="AC76" t="str">
        <f>ADP!AL76</f>
        <v/>
      </c>
      <c r="AP76" t="str">
        <f>ADP!AD76</f>
        <v>0096</v>
      </c>
      <c r="BG76" t="str">
        <f>ADP!AC76</f>
        <v>901934</v>
      </c>
      <c r="BK76" s="18" t="s">
        <v>1421</v>
      </c>
      <c r="BL76" s="18" t="s">
        <v>1421</v>
      </c>
      <c r="BU76" s="18" t="str">
        <f>ADP!AO76</f>
        <v>Y</v>
      </c>
      <c r="BV76" s="18" t="str">
        <f>ADP!AO76</f>
        <v>Y</v>
      </c>
      <c r="CE76" s="18" t="s">
        <v>1421</v>
      </c>
      <c r="CH76" s="18" t="s">
        <v>1421</v>
      </c>
    </row>
    <row r="77" spans="1:86" x14ac:dyDescent="0.2">
      <c r="A77" s="39" t="s">
        <v>1420</v>
      </c>
      <c r="B77" t="str">
        <f>ADP!B77</f>
        <v>Laura</v>
      </c>
      <c r="C77" t="str">
        <f>ADP!C77</f>
        <v>Z</v>
      </c>
      <c r="D77" t="str">
        <f>ADP!D77</f>
        <v>Oleksa</v>
      </c>
      <c r="E77" t="str">
        <f>ADP!P77</f>
        <v>209181</v>
      </c>
      <c r="F77" t="str">
        <f>ADP!I77&amp;".new.uat"</f>
        <v>LOleksa@onebarnes.com.new.uat</v>
      </c>
      <c r="G77" s="18" t="s">
        <v>1427</v>
      </c>
      <c r="H77" t="str">
        <f>ADP!I77</f>
        <v>LOleksa@onebarnes.com</v>
      </c>
      <c r="I77" t="str">
        <f>ADP!AJ77</f>
        <v>en_US</v>
      </c>
      <c r="J77" t="str">
        <f>ADP!AI77</f>
        <v>US</v>
      </c>
      <c r="L77" t="str">
        <f>ADP!AD77</f>
        <v>0096</v>
      </c>
      <c r="M77" t="str">
        <f>ADP!AK77</f>
        <v>USD</v>
      </c>
      <c r="O77" s="18" t="str">
        <f>ADP!AM77</f>
        <v>Y</v>
      </c>
      <c r="P77" t="str">
        <f>ADP!AD77</f>
        <v>0096</v>
      </c>
      <c r="Q77">
        <f>ADP!AE77</f>
        <v>920</v>
      </c>
      <c r="W77" t="str">
        <f>ADP!AA77</f>
        <v>S17</v>
      </c>
      <c r="X77" t="str">
        <f>ADP!AG77</f>
        <v>General</v>
      </c>
      <c r="Z77" t="str">
        <f t="shared" si="1"/>
        <v>0096</v>
      </c>
      <c r="AB77" t="str">
        <f>ADP!AN77</f>
        <v/>
      </c>
      <c r="AC77" t="str">
        <f>ADP!AL77</f>
        <v/>
      </c>
      <c r="AP77" t="str">
        <f>ADP!AD77</f>
        <v>0096</v>
      </c>
      <c r="BG77" t="str">
        <f>ADP!AC77</f>
        <v>203011</v>
      </c>
      <c r="BK77" s="18" t="s">
        <v>1421</v>
      </c>
      <c r="BL77" s="18" t="s">
        <v>1421</v>
      </c>
      <c r="BU77" s="18" t="str">
        <f>ADP!AO77</f>
        <v>Y</v>
      </c>
      <c r="BV77" s="18" t="str">
        <f>ADP!AO77</f>
        <v>Y</v>
      </c>
      <c r="CE77" s="18" t="s">
        <v>1421</v>
      </c>
      <c r="CH77" s="18" t="s">
        <v>1421</v>
      </c>
    </row>
    <row r="78" spans="1:86" x14ac:dyDescent="0.2">
      <c r="A78" s="39" t="s">
        <v>1420</v>
      </c>
      <c r="B78" t="str">
        <f>ADP!B78</f>
        <v>David</v>
      </c>
      <c r="C78" t="str">
        <f>ADP!C78</f>
        <v>J</v>
      </c>
      <c r="D78" t="str">
        <f>ADP!D78</f>
        <v>Page</v>
      </c>
      <c r="E78" t="str">
        <f>ADP!P78</f>
        <v>212725</v>
      </c>
      <c r="F78" t="str">
        <f>ADP!I78&amp;".new.uat"</f>
        <v>dpage@onebarnes.com.new.uat</v>
      </c>
      <c r="G78" s="18" t="s">
        <v>1427</v>
      </c>
      <c r="H78" t="str">
        <f>ADP!I78</f>
        <v>dpage@onebarnes.com</v>
      </c>
      <c r="I78" t="str">
        <f>ADP!AJ78</f>
        <v>en_US</v>
      </c>
      <c r="J78" t="str">
        <f>ADP!AI78</f>
        <v>US</v>
      </c>
      <c r="L78" t="str">
        <f>ADP!AD78</f>
        <v>0088</v>
      </c>
      <c r="M78" t="str">
        <f>ADP!AK78</f>
        <v>USD</v>
      </c>
      <c r="O78" s="18" t="str">
        <f>ADP!AM78</f>
        <v>Y</v>
      </c>
      <c r="P78" t="str">
        <f>ADP!AD78</f>
        <v>0088</v>
      </c>
      <c r="Q78">
        <f>ADP!AE78</f>
        <v>9450</v>
      </c>
      <c r="W78" t="str">
        <f>ADP!AA78</f>
        <v>S16</v>
      </c>
      <c r="X78" t="str">
        <f>ADP!AG78</f>
        <v>General</v>
      </c>
      <c r="Z78" t="str">
        <f t="shared" si="1"/>
        <v>0088</v>
      </c>
      <c r="AB78" t="str">
        <f>ADP!AN78</f>
        <v/>
      </c>
      <c r="AC78" t="str">
        <f>ADP!AL78</f>
        <v/>
      </c>
      <c r="AP78" t="str">
        <f>ADP!AD78</f>
        <v>0088</v>
      </c>
      <c r="BG78" t="str">
        <f>ADP!AC78</f>
        <v>213037</v>
      </c>
      <c r="BK78" s="18" t="s">
        <v>1421</v>
      </c>
      <c r="BL78" s="18" t="s">
        <v>1421</v>
      </c>
      <c r="BU78" s="18" t="str">
        <f>ADP!AO78</f>
        <v>Y</v>
      </c>
      <c r="BV78" s="18" t="str">
        <f>ADP!AO78</f>
        <v>Y</v>
      </c>
      <c r="CE78" s="18" t="s">
        <v>1421</v>
      </c>
      <c r="CH78" s="18" t="s">
        <v>1421</v>
      </c>
    </row>
    <row r="79" spans="1:86" x14ac:dyDescent="0.2">
      <c r="A79" s="39" t="s">
        <v>1420</v>
      </c>
      <c r="B79" t="str">
        <f>ADP!B79</f>
        <v>Alex</v>
      </c>
      <c r="C79" t="str">
        <f>ADP!C79</f>
        <v/>
      </c>
      <c r="D79" t="str">
        <f>ADP!D79</f>
        <v>Palicki</v>
      </c>
      <c r="E79" t="str">
        <f>ADP!P79</f>
        <v>212119</v>
      </c>
      <c r="F79" t="str">
        <f>ADP!I79&amp;".new.uat"</f>
        <v>apalicki@onebarnes.com.new.uat</v>
      </c>
      <c r="G79" s="18" t="s">
        <v>1427</v>
      </c>
      <c r="H79" t="str">
        <f>ADP!I79</f>
        <v>apalicki@onebarnes.com</v>
      </c>
      <c r="I79" t="str">
        <f>ADP!AJ79</f>
        <v>en_US</v>
      </c>
      <c r="J79" t="str">
        <f>ADP!AI79</f>
        <v>US</v>
      </c>
      <c r="L79" t="str">
        <f>ADP!AD79</f>
        <v>0088</v>
      </c>
      <c r="M79" t="str">
        <f>ADP!AK79</f>
        <v>USD</v>
      </c>
      <c r="O79" s="18" t="str">
        <f>ADP!AM79</f>
        <v>Y</v>
      </c>
      <c r="P79" t="str">
        <f>ADP!AD79</f>
        <v>0088</v>
      </c>
      <c r="Q79">
        <f>ADP!AE79</f>
        <v>9400</v>
      </c>
      <c r="W79" t="str">
        <f>ADP!AA79</f>
        <v>S13</v>
      </c>
      <c r="X79" t="str">
        <f>ADP!AG79</f>
        <v>General</v>
      </c>
      <c r="Z79" t="str">
        <f t="shared" si="1"/>
        <v>0088</v>
      </c>
      <c r="AB79" t="str">
        <f>ADP!AN79</f>
        <v/>
      </c>
      <c r="AC79" t="str">
        <f>ADP!AL79</f>
        <v/>
      </c>
      <c r="AP79" t="str">
        <f>ADP!AD79</f>
        <v>0088</v>
      </c>
      <c r="BG79" t="str">
        <f>ADP!AC79</f>
        <v>212699</v>
      </c>
      <c r="BK79" s="18" t="s">
        <v>1421</v>
      </c>
      <c r="BL79" s="18" t="s">
        <v>1421</v>
      </c>
      <c r="BU79" s="18" t="str">
        <f>ADP!AO79</f>
        <v>N</v>
      </c>
      <c r="BV79" s="18" t="str">
        <f>ADP!AO79</f>
        <v>N</v>
      </c>
      <c r="CE79" s="18" t="s">
        <v>1421</v>
      </c>
      <c r="CH79" s="18" t="s">
        <v>1421</v>
      </c>
    </row>
    <row r="80" spans="1:86" x14ac:dyDescent="0.2">
      <c r="A80" s="39" t="s">
        <v>1420</v>
      </c>
      <c r="B80" t="str">
        <f>ADP!B80</f>
        <v>Linette</v>
      </c>
      <c r="C80" t="str">
        <f>ADP!C80</f>
        <v>W</v>
      </c>
      <c r="D80" t="str">
        <f>ADP!D80</f>
        <v>Parks</v>
      </c>
      <c r="E80" t="str">
        <f>ADP!P80</f>
        <v>902690</v>
      </c>
      <c r="F80" t="str">
        <f>ADP!I80&amp;".new.uat"</f>
        <v>Lparks@onebarnes.com.new.uat</v>
      </c>
      <c r="G80" s="18" t="s">
        <v>1427</v>
      </c>
      <c r="H80" t="str">
        <f>ADP!I80</f>
        <v>Lparks@onebarnes.com</v>
      </c>
      <c r="I80" t="str">
        <f>ADP!AJ80</f>
        <v>en_US</v>
      </c>
      <c r="J80" t="str">
        <f>ADP!AI80</f>
        <v>US</v>
      </c>
      <c r="L80" t="str">
        <f>ADP!AD80</f>
        <v>0088</v>
      </c>
      <c r="M80" t="str">
        <f>ADP!AK80</f>
        <v>USD</v>
      </c>
      <c r="O80" s="18" t="str">
        <f>ADP!AM80</f>
        <v>Y</v>
      </c>
      <c r="P80" t="str">
        <f>ADP!AD80</f>
        <v>0088</v>
      </c>
      <c r="Q80">
        <f>ADP!AE80</f>
        <v>8100</v>
      </c>
      <c r="W80" t="str">
        <f>ADP!AA80</f>
        <v>S11</v>
      </c>
      <c r="X80" t="str">
        <f>ADP!AG80</f>
        <v>General</v>
      </c>
      <c r="Z80" t="str">
        <f t="shared" si="1"/>
        <v>0088</v>
      </c>
      <c r="AB80" t="str">
        <f>ADP!AN80</f>
        <v/>
      </c>
      <c r="AC80" t="str">
        <f>ADP!AL80</f>
        <v/>
      </c>
      <c r="AP80" t="str">
        <f>ADP!AD80</f>
        <v>0088</v>
      </c>
      <c r="BG80" t="str">
        <f>ADP!AC80</f>
        <v>211131</v>
      </c>
      <c r="BK80" s="18" t="s">
        <v>1421</v>
      </c>
      <c r="BL80" s="18" t="s">
        <v>1421</v>
      </c>
      <c r="BU80" s="18" t="str">
        <f>ADP!AO80</f>
        <v>N</v>
      </c>
      <c r="BV80" s="18" t="str">
        <f>ADP!AO80</f>
        <v>N</v>
      </c>
      <c r="CE80" s="18" t="s">
        <v>1421</v>
      </c>
      <c r="CH80" s="18" t="s">
        <v>1421</v>
      </c>
    </row>
    <row r="81" spans="1:86" x14ac:dyDescent="0.2">
      <c r="A81" s="39" t="s">
        <v>1420</v>
      </c>
      <c r="B81" t="str">
        <f>ADP!B81</f>
        <v>Shivam</v>
      </c>
      <c r="C81" t="str">
        <f>ADP!C81</f>
        <v/>
      </c>
      <c r="D81" t="str">
        <f>ADP!D81</f>
        <v>Patel</v>
      </c>
      <c r="E81" t="str">
        <f>ADP!P81</f>
        <v>201903</v>
      </c>
      <c r="F81" t="str">
        <f>ADP!I81&amp;".new.uat"</f>
        <v>spatel@onebarnes.com.new.uat</v>
      </c>
      <c r="G81" s="18" t="s">
        <v>1427</v>
      </c>
      <c r="H81" t="str">
        <f>ADP!I81</f>
        <v>spatel@onebarnes.com</v>
      </c>
      <c r="I81" t="str">
        <f>ADP!AJ81</f>
        <v>en_US</v>
      </c>
      <c r="J81" t="str">
        <f>ADP!AI81</f>
        <v>US</v>
      </c>
      <c r="L81" t="str">
        <f>ADP!AD81</f>
        <v>0088</v>
      </c>
      <c r="M81" t="str">
        <f>ADP!AK81</f>
        <v>USD</v>
      </c>
      <c r="O81" s="18" t="str">
        <f>ADP!AM81</f>
        <v>Y</v>
      </c>
      <c r="P81" t="str">
        <f>ADP!AD81</f>
        <v>0088</v>
      </c>
      <c r="Q81">
        <f>ADP!AE81</f>
        <v>9400</v>
      </c>
      <c r="W81" t="str">
        <f>ADP!AA81</f>
        <v>S12</v>
      </c>
      <c r="X81" t="str">
        <f>ADP!AG81</f>
        <v>General</v>
      </c>
      <c r="Z81" t="str">
        <f t="shared" si="1"/>
        <v>0088</v>
      </c>
      <c r="AB81" t="str">
        <f>ADP!AN81</f>
        <v/>
      </c>
      <c r="AC81" t="str">
        <f>ADP!AL81</f>
        <v/>
      </c>
      <c r="AP81" t="str">
        <f>ADP!AD81</f>
        <v>0088</v>
      </c>
      <c r="BG81" t="str">
        <f>ADP!AC81</f>
        <v>212699</v>
      </c>
      <c r="BK81" s="18" t="s">
        <v>1421</v>
      </c>
      <c r="BL81" s="18" t="s">
        <v>1421</v>
      </c>
      <c r="BU81" s="18" t="str">
        <f>ADP!AO81</f>
        <v>N</v>
      </c>
      <c r="BV81" s="18" t="str">
        <f>ADP!AO81</f>
        <v>N</v>
      </c>
      <c r="CE81" s="18" t="s">
        <v>1421</v>
      </c>
      <c r="CH81" s="18" t="s">
        <v>1421</v>
      </c>
    </row>
    <row r="82" spans="1:86" x14ac:dyDescent="0.2">
      <c r="A82" s="39" t="s">
        <v>1420</v>
      </c>
      <c r="B82" t="str">
        <f>ADP!B82</f>
        <v>Joshua</v>
      </c>
      <c r="C82" t="str">
        <f>ADP!C82</f>
        <v>S</v>
      </c>
      <c r="D82" t="str">
        <f>ADP!D82</f>
        <v>Paulsen</v>
      </c>
      <c r="E82" t="str">
        <f>ADP!P82</f>
        <v>900851</v>
      </c>
      <c r="F82" t="str">
        <f>ADP!I82&amp;".new.uat"</f>
        <v>jpaulsen@onebarnes.com.new.uat</v>
      </c>
      <c r="G82" s="18" t="s">
        <v>1427</v>
      </c>
      <c r="H82" t="str">
        <f>ADP!I82</f>
        <v>jpaulsen@onebarnes.com</v>
      </c>
      <c r="I82" t="str">
        <f>ADP!AJ82</f>
        <v>en_US</v>
      </c>
      <c r="J82" t="str">
        <f>ADP!AI82</f>
        <v>US</v>
      </c>
      <c r="L82" t="str">
        <f>ADP!AD82</f>
        <v>0088</v>
      </c>
      <c r="M82" t="str">
        <f>ADP!AK82</f>
        <v>USD</v>
      </c>
      <c r="O82" s="18" t="str">
        <f>ADP!AM82</f>
        <v>Y</v>
      </c>
      <c r="P82" t="str">
        <f>ADP!AD82</f>
        <v>0088</v>
      </c>
      <c r="Q82">
        <f>ADP!AE82</f>
        <v>5200</v>
      </c>
      <c r="W82" t="str">
        <f>ADP!AA82</f>
        <v>S05</v>
      </c>
      <c r="X82" t="str">
        <f>ADP!AG82</f>
        <v>General</v>
      </c>
      <c r="Z82" t="str">
        <f t="shared" si="1"/>
        <v>0088</v>
      </c>
      <c r="AB82" t="str">
        <f>ADP!AN82</f>
        <v/>
      </c>
      <c r="AC82" t="str">
        <f>ADP!AL82</f>
        <v/>
      </c>
      <c r="AP82" t="str">
        <f>ADP!AD82</f>
        <v>0088</v>
      </c>
      <c r="BG82" t="str">
        <f>ADP!AC82</f>
        <v>211736</v>
      </c>
      <c r="BK82" s="18" t="s">
        <v>1421</v>
      </c>
      <c r="BL82" s="18" t="s">
        <v>1421</v>
      </c>
      <c r="BU82" s="18" t="str">
        <f>ADP!AO82</f>
        <v>N</v>
      </c>
      <c r="BV82" s="18" t="str">
        <f>ADP!AO82</f>
        <v>N</v>
      </c>
      <c r="CE82" s="18" t="s">
        <v>1421</v>
      </c>
      <c r="CH82" s="18" t="s">
        <v>1421</v>
      </c>
    </row>
    <row r="83" spans="1:86" x14ac:dyDescent="0.2">
      <c r="A83" s="39" t="s">
        <v>1420</v>
      </c>
      <c r="B83" t="str">
        <f>ADP!B83</f>
        <v>Carol</v>
      </c>
      <c r="C83" t="str">
        <f>ADP!C83</f>
        <v/>
      </c>
      <c r="D83" t="str">
        <f>ADP!D83</f>
        <v>Phillips</v>
      </c>
      <c r="E83" t="str">
        <f>ADP!P83</f>
        <v>212478</v>
      </c>
      <c r="F83" t="str">
        <f>ADP!I83&amp;".new.uat"</f>
        <v>cphillips1@onebarnes.com.new.uat</v>
      </c>
      <c r="G83" s="18" t="s">
        <v>1427</v>
      </c>
      <c r="H83" t="str">
        <f>ADP!I83</f>
        <v>cphillips1@onebarnes.com</v>
      </c>
      <c r="I83" t="str">
        <f>ADP!AJ83</f>
        <v>en_US</v>
      </c>
      <c r="J83" t="str">
        <f>ADP!AI83</f>
        <v>US</v>
      </c>
      <c r="L83" t="str">
        <f>ADP!AD83</f>
        <v>0088</v>
      </c>
      <c r="M83" t="str">
        <f>ADP!AK83</f>
        <v>USD</v>
      </c>
      <c r="O83" s="18" t="str">
        <f>ADP!AM83</f>
        <v>Y</v>
      </c>
      <c r="P83" t="str">
        <f>ADP!AD83</f>
        <v>0088</v>
      </c>
      <c r="Q83">
        <f>ADP!AE83</f>
        <v>8200</v>
      </c>
      <c r="W83" t="str">
        <f>ADP!AA83</f>
        <v>S16</v>
      </c>
      <c r="X83" t="str">
        <f>ADP!AG83</f>
        <v>General</v>
      </c>
      <c r="Z83" t="str">
        <f t="shared" si="1"/>
        <v>0088</v>
      </c>
      <c r="AB83" t="str">
        <f>ADP!AN83</f>
        <v/>
      </c>
      <c r="AC83" t="str">
        <f>ADP!AL83</f>
        <v/>
      </c>
      <c r="AP83" t="str">
        <f>ADP!AD83</f>
        <v>0088</v>
      </c>
      <c r="BG83" t="str">
        <f>ADP!AC83</f>
        <v>207588</v>
      </c>
      <c r="BK83" s="18" t="s">
        <v>1421</v>
      </c>
      <c r="BL83" s="18" t="s">
        <v>1421</v>
      </c>
      <c r="BU83" s="18" t="str">
        <f>ADP!AO83</f>
        <v>N</v>
      </c>
      <c r="BV83" s="18" t="str">
        <f>ADP!AO83</f>
        <v>N</v>
      </c>
      <c r="CE83" s="18" t="s">
        <v>1421</v>
      </c>
      <c r="CH83" s="18" t="s">
        <v>1421</v>
      </c>
    </row>
    <row r="84" spans="1:86" x14ac:dyDescent="0.2">
      <c r="A84" s="39" t="s">
        <v>1420</v>
      </c>
      <c r="B84" t="str">
        <f>ADP!B84</f>
        <v>William</v>
      </c>
      <c r="C84" t="str">
        <f>ADP!C84</f>
        <v/>
      </c>
      <c r="D84" t="str">
        <f>ADP!D84</f>
        <v>Phoenix</v>
      </c>
      <c r="E84" t="str">
        <f>ADP!P84</f>
        <v>211531</v>
      </c>
      <c r="F84" t="str">
        <f>ADP!I84&amp;".new.uat"</f>
        <v>wphoenix1@onebarnes.com.new.uat</v>
      </c>
      <c r="G84" s="18" t="s">
        <v>1427</v>
      </c>
      <c r="H84" t="str">
        <f>ADP!I84</f>
        <v>wphoenix1@onebarnes.com</v>
      </c>
      <c r="I84" t="str">
        <f>ADP!AJ84</f>
        <v>en_US</v>
      </c>
      <c r="J84" t="str">
        <f>ADP!AI84</f>
        <v>US</v>
      </c>
      <c r="L84" t="str">
        <f>ADP!AD84</f>
        <v>0088</v>
      </c>
      <c r="M84" t="str">
        <f>ADP!AK84</f>
        <v>USD</v>
      </c>
      <c r="O84" s="18" t="str">
        <f>ADP!AM84</f>
        <v>Y</v>
      </c>
      <c r="P84" t="str">
        <f>ADP!AD84</f>
        <v>0088</v>
      </c>
      <c r="Q84">
        <f>ADP!AE84</f>
        <v>5200</v>
      </c>
      <c r="W84" t="str">
        <f>ADP!AA84</f>
        <v>S05</v>
      </c>
      <c r="X84" t="str">
        <f>ADP!AG84</f>
        <v>General</v>
      </c>
      <c r="Z84" t="str">
        <f t="shared" si="1"/>
        <v>0088</v>
      </c>
      <c r="AB84" t="str">
        <f>ADP!AN84</f>
        <v/>
      </c>
      <c r="AC84" t="str">
        <f>ADP!AL84</f>
        <v/>
      </c>
      <c r="AP84" t="str">
        <f>ADP!AD84</f>
        <v>0088</v>
      </c>
      <c r="BG84" t="str">
        <f>ADP!AC84</f>
        <v>211736</v>
      </c>
      <c r="BK84" s="18" t="s">
        <v>1421</v>
      </c>
      <c r="BL84" s="18" t="s">
        <v>1421</v>
      </c>
      <c r="BU84" s="18" t="str">
        <f>ADP!AO84</f>
        <v>N</v>
      </c>
      <c r="BV84" s="18" t="str">
        <f>ADP!AO84</f>
        <v>N</v>
      </c>
      <c r="CE84" s="18" t="s">
        <v>1421</v>
      </c>
      <c r="CH84" s="18" t="s">
        <v>1421</v>
      </c>
    </row>
    <row r="85" spans="1:86" x14ac:dyDescent="0.2">
      <c r="A85" s="39" t="s">
        <v>1420</v>
      </c>
      <c r="B85" t="str">
        <f>ADP!B85</f>
        <v>Zachary</v>
      </c>
      <c r="C85" t="str">
        <f>ADP!C85</f>
        <v/>
      </c>
      <c r="D85" t="str">
        <f>ADP!D85</f>
        <v>Plotts</v>
      </c>
      <c r="E85" t="str">
        <f>ADP!P85</f>
        <v>201895</v>
      </c>
      <c r="F85" t="str">
        <f>ADP!I85&amp;".new.uat"</f>
        <v>zplotts@onebarnes.com.new.uat</v>
      </c>
      <c r="G85" s="18" t="s">
        <v>1427</v>
      </c>
      <c r="H85" t="str">
        <f>ADP!I85</f>
        <v>zplotts@onebarnes.com</v>
      </c>
      <c r="I85" t="str">
        <f>ADP!AJ85</f>
        <v>en_US</v>
      </c>
      <c r="J85" t="str">
        <f>ADP!AI85</f>
        <v>US</v>
      </c>
      <c r="L85" t="str">
        <f>ADP!AD85</f>
        <v>0088</v>
      </c>
      <c r="M85" t="str">
        <f>ADP!AK85</f>
        <v>USD</v>
      </c>
      <c r="O85" s="18" t="str">
        <f>ADP!AM85</f>
        <v>Y</v>
      </c>
      <c r="P85" t="str">
        <f>ADP!AD85</f>
        <v>0088</v>
      </c>
      <c r="Q85">
        <f>ADP!AE85</f>
        <v>9400</v>
      </c>
      <c r="W85" t="str">
        <f>ADP!AA85</f>
        <v>S13</v>
      </c>
      <c r="X85" t="str">
        <f>ADP!AG85</f>
        <v>General</v>
      </c>
      <c r="Z85" t="str">
        <f t="shared" si="1"/>
        <v>0088</v>
      </c>
      <c r="AB85" t="str">
        <f>ADP!AN85</f>
        <v/>
      </c>
      <c r="AC85" t="str">
        <f>ADP!AL85</f>
        <v/>
      </c>
      <c r="AP85" t="str">
        <f>ADP!AD85</f>
        <v>0088</v>
      </c>
      <c r="BG85" t="str">
        <f>ADP!AC85</f>
        <v>212699</v>
      </c>
      <c r="BK85" s="18" t="s">
        <v>1421</v>
      </c>
      <c r="BL85" s="18" t="s">
        <v>1421</v>
      </c>
      <c r="BU85" s="18" t="str">
        <f>ADP!AO85</f>
        <v>N</v>
      </c>
      <c r="BV85" s="18" t="str">
        <f>ADP!AO85</f>
        <v>N</v>
      </c>
      <c r="CE85" s="18" t="s">
        <v>1421</v>
      </c>
      <c r="CH85" s="18" t="s">
        <v>1421</v>
      </c>
    </row>
    <row r="86" spans="1:86" x14ac:dyDescent="0.2">
      <c r="A86" s="39" t="s">
        <v>1420</v>
      </c>
      <c r="B86" t="str">
        <f>ADP!B86</f>
        <v>Robert</v>
      </c>
      <c r="C86" t="str">
        <f>ADP!C86</f>
        <v/>
      </c>
      <c r="D86" t="str">
        <f>ADP!D86</f>
        <v>Prosowski</v>
      </c>
      <c r="E86" t="str">
        <f>ADP!P86</f>
        <v>206738</v>
      </c>
      <c r="F86" t="str">
        <f>ADP!I86&amp;".new.uat"</f>
        <v>rprosowski@onebarnes.com.new.uat</v>
      </c>
      <c r="G86" s="18" t="s">
        <v>1427</v>
      </c>
      <c r="H86" t="str">
        <f>ADP!I86</f>
        <v>rprosowski@onebarnes.com</v>
      </c>
      <c r="I86" t="str">
        <f>ADP!AJ86</f>
        <v>en_US</v>
      </c>
      <c r="J86" t="str">
        <f>ADP!AI86</f>
        <v>US</v>
      </c>
      <c r="L86" t="str">
        <f>ADP!AD86</f>
        <v>0096</v>
      </c>
      <c r="M86" t="str">
        <f>ADP!AK86</f>
        <v>USD</v>
      </c>
      <c r="O86" s="18" t="str">
        <f>ADP!AM86</f>
        <v>Y</v>
      </c>
      <c r="P86" t="str">
        <f>ADP!AD86</f>
        <v>0096</v>
      </c>
      <c r="Q86">
        <f>ADP!AE86</f>
        <v>718</v>
      </c>
      <c r="W86" t="str">
        <f>ADP!AA86</f>
        <v>S13</v>
      </c>
      <c r="X86" t="str">
        <f>ADP!AG86</f>
        <v>General</v>
      </c>
      <c r="Z86" t="str">
        <f t="shared" si="1"/>
        <v>0096</v>
      </c>
      <c r="AB86" t="str">
        <f>ADP!AN86</f>
        <v/>
      </c>
      <c r="AC86" t="str">
        <f>ADP!AL86</f>
        <v/>
      </c>
      <c r="AP86" t="str">
        <f>ADP!AD86</f>
        <v>0096</v>
      </c>
      <c r="BG86" t="str">
        <f>ADP!AC86</f>
        <v>213037</v>
      </c>
      <c r="BK86" s="18" t="s">
        <v>1421</v>
      </c>
      <c r="BL86" s="18" t="s">
        <v>1421</v>
      </c>
      <c r="BU86" s="18" t="str">
        <f>ADP!AO86</f>
        <v>N</v>
      </c>
      <c r="BV86" s="18" t="str">
        <f>ADP!AO86</f>
        <v>N</v>
      </c>
      <c r="CE86" s="18" t="s">
        <v>1421</v>
      </c>
      <c r="CH86" s="18" t="s">
        <v>1421</v>
      </c>
    </row>
    <row r="87" spans="1:86" x14ac:dyDescent="0.2">
      <c r="A87" s="39" t="s">
        <v>1420</v>
      </c>
      <c r="B87" t="str">
        <f>ADP!B87</f>
        <v>Jeff</v>
      </c>
      <c r="C87" t="str">
        <f>ADP!C87</f>
        <v/>
      </c>
      <c r="D87" t="str">
        <f>ADP!D87</f>
        <v>Raese</v>
      </c>
      <c r="E87" t="str">
        <f>ADP!P87</f>
        <v>210018</v>
      </c>
      <c r="F87" t="str">
        <f>ADP!I87&amp;".new.uat"</f>
        <v>jraese@onebarnes.com.new.uat</v>
      </c>
      <c r="G87" s="18" t="s">
        <v>1427</v>
      </c>
      <c r="H87" t="str">
        <f>ADP!I87</f>
        <v>jraese@onebarnes.com</v>
      </c>
      <c r="I87" t="str">
        <f>ADP!AJ87</f>
        <v>en_US</v>
      </c>
      <c r="J87" t="str">
        <f>ADP!AI87</f>
        <v>US</v>
      </c>
      <c r="L87" t="str">
        <f>ADP!AD87</f>
        <v>0088</v>
      </c>
      <c r="M87" t="str">
        <f>ADP!AK87</f>
        <v>USD</v>
      </c>
      <c r="O87" s="18" t="str">
        <f>ADP!AM87</f>
        <v>Y</v>
      </c>
      <c r="P87" t="str">
        <f>ADP!AD87</f>
        <v>0088</v>
      </c>
      <c r="Q87">
        <f>ADP!AE87</f>
        <v>8200</v>
      </c>
      <c r="W87" t="str">
        <f>ADP!AA87</f>
        <v>S16</v>
      </c>
      <c r="X87" t="str">
        <f>ADP!AG87</f>
        <v>General</v>
      </c>
      <c r="Z87" t="str">
        <f t="shared" si="1"/>
        <v>0088</v>
      </c>
      <c r="AB87" t="str">
        <f>ADP!AN87</f>
        <v/>
      </c>
      <c r="AC87" t="str">
        <f>ADP!AL87</f>
        <v/>
      </c>
      <c r="AP87" t="str">
        <f>ADP!AD87</f>
        <v>0088</v>
      </c>
      <c r="BG87" t="str">
        <f>ADP!AC87</f>
        <v>207588</v>
      </c>
      <c r="BK87" s="18" t="s">
        <v>1421</v>
      </c>
      <c r="BL87" s="18" t="s">
        <v>1421</v>
      </c>
      <c r="BU87" s="18" t="str">
        <f>ADP!AO87</f>
        <v>N</v>
      </c>
      <c r="BV87" s="18" t="str">
        <f>ADP!AO87</f>
        <v>N</v>
      </c>
      <c r="CE87" s="18" t="s">
        <v>1421</v>
      </c>
      <c r="CH87" s="18" t="s">
        <v>1421</v>
      </c>
    </row>
    <row r="88" spans="1:86" x14ac:dyDescent="0.2">
      <c r="A88" s="39" t="s">
        <v>1420</v>
      </c>
      <c r="B88" t="str">
        <f>ADP!B88</f>
        <v>Jonathan</v>
      </c>
      <c r="C88" t="str">
        <f>ADP!C88</f>
        <v/>
      </c>
      <c r="D88" t="str">
        <f>ADP!D88</f>
        <v>Rafferty</v>
      </c>
      <c r="E88" t="str">
        <f>ADP!P88</f>
        <v>211131</v>
      </c>
      <c r="F88" t="str">
        <f>ADP!I88&amp;".new.uat"</f>
        <v>jrafferty@onebarnes.com.new.uat</v>
      </c>
      <c r="G88" s="18" t="s">
        <v>1427</v>
      </c>
      <c r="H88" t="str">
        <f>ADP!I88</f>
        <v>jrafferty@onebarnes.com</v>
      </c>
      <c r="I88" t="str">
        <f>ADP!AJ88</f>
        <v>en_US</v>
      </c>
      <c r="J88" t="str">
        <f>ADP!AI88</f>
        <v>US</v>
      </c>
      <c r="L88" t="str">
        <f>ADP!AD88</f>
        <v>0088</v>
      </c>
      <c r="M88" t="str">
        <f>ADP!AK88</f>
        <v>USD</v>
      </c>
      <c r="O88" s="18" t="str">
        <f>ADP!AM88</f>
        <v>Y</v>
      </c>
      <c r="P88" t="str">
        <f>ADP!AD88</f>
        <v>0088</v>
      </c>
      <c r="Q88">
        <f>ADP!AE88</f>
        <v>8100</v>
      </c>
      <c r="W88" t="str">
        <f>ADP!AA88</f>
        <v>S16</v>
      </c>
      <c r="X88" t="str">
        <f>ADP!AG88</f>
        <v>General</v>
      </c>
      <c r="Z88" t="str">
        <f t="shared" si="1"/>
        <v>0088</v>
      </c>
      <c r="AB88" t="str">
        <f>ADP!AN88</f>
        <v/>
      </c>
      <c r="AC88" t="str">
        <f>ADP!AL88</f>
        <v/>
      </c>
      <c r="AP88" t="str">
        <f>ADP!AD88</f>
        <v>0088</v>
      </c>
      <c r="BG88" t="str">
        <f>ADP!AC88</f>
        <v>211766</v>
      </c>
      <c r="BK88" s="18" t="s">
        <v>1421</v>
      </c>
      <c r="BL88" s="18" t="s">
        <v>1421</v>
      </c>
      <c r="BU88" s="18" t="str">
        <f>ADP!AO88</f>
        <v>Y</v>
      </c>
      <c r="BV88" s="18" t="str">
        <f>ADP!AO88</f>
        <v>Y</v>
      </c>
      <c r="CE88" s="18" t="s">
        <v>1421</v>
      </c>
      <c r="CH88" s="18" t="s">
        <v>1421</v>
      </c>
    </row>
    <row r="89" spans="1:86" x14ac:dyDescent="0.2">
      <c r="A89" s="39" t="s">
        <v>1420</v>
      </c>
      <c r="B89" t="str">
        <f>ADP!B89</f>
        <v>Jacqueline</v>
      </c>
      <c r="C89" t="str">
        <f>ADP!C89</f>
        <v>M</v>
      </c>
      <c r="D89" t="str">
        <f>ADP!D89</f>
        <v>Reed</v>
      </c>
      <c r="E89" t="str">
        <f>ADP!P89</f>
        <v>210035</v>
      </c>
      <c r="F89" t="str">
        <f>ADP!I89&amp;".new.uat"</f>
        <v>jfoggyrobinson@onebarnes.com.new.uat</v>
      </c>
      <c r="G89" s="18" t="s">
        <v>1427</v>
      </c>
      <c r="H89" t="str">
        <f>ADP!I89</f>
        <v>jfoggyrobinson@onebarnes.com</v>
      </c>
      <c r="I89" t="str">
        <f>ADP!AJ89</f>
        <v>en_US</v>
      </c>
      <c r="J89" t="str">
        <f>ADP!AI89</f>
        <v>US</v>
      </c>
      <c r="L89" t="str">
        <f>ADP!AD89</f>
        <v>0088</v>
      </c>
      <c r="M89" t="str">
        <f>ADP!AK89</f>
        <v>USD</v>
      </c>
      <c r="O89" s="18" t="str">
        <f>ADP!AM89</f>
        <v>Y</v>
      </c>
      <c r="P89" t="str">
        <f>ADP!AD89</f>
        <v>0088</v>
      </c>
      <c r="Q89">
        <f>ADP!AE89</f>
        <v>5200</v>
      </c>
      <c r="W89" t="str">
        <f>ADP!AA89</f>
        <v>S05</v>
      </c>
      <c r="X89" t="str">
        <f>ADP!AG89</f>
        <v>General</v>
      </c>
      <c r="Z89" t="str">
        <f t="shared" si="1"/>
        <v>0088</v>
      </c>
      <c r="AB89" t="str">
        <f>ADP!AN89</f>
        <v/>
      </c>
      <c r="AC89" t="str">
        <f>ADP!AL89</f>
        <v/>
      </c>
      <c r="AP89" t="str">
        <f>ADP!AD89</f>
        <v>0088</v>
      </c>
      <c r="BG89" t="str">
        <f>ADP!AC89</f>
        <v>211736</v>
      </c>
      <c r="BK89" s="18" t="s">
        <v>1421</v>
      </c>
      <c r="BL89" s="18" t="s">
        <v>1421</v>
      </c>
      <c r="BU89" s="18" t="str">
        <f>ADP!AO89</f>
        <v>N</v>
      </c>
      <c r="BV89" s="18" t="str">
        <f>ADP!AO89</f>
        <v>N</v>
      </c>
      <c r="CE89" s="18" t="s">
        <v>1421</v>
      </c>
      <c r="CH89" s="18" t="s">
        <v>1421</v>
      </c>
    </row>
    <row r="90" spans="1:86" x14ac:dyDescent="0.2">
      <c r="A90" s="39" t="s">
        <v>1420</v>
      </c>
      <c r="B90" t="str">
        <f>ADP!B90</f>
        <v>Johnny</v>
      </c>
      <c r="C90" t="str">
        <f>ADP!C90</f>
        <v>A</v>
      </c>
      <c r="D90" t="str">
        <f>ADP!D90</f>
        <v>Reyes</v>
      </c>
      <c r="E90" t="str">
        <f>ADP!P90</f>
        <v>212074</v>
      </c>
      <c r="F90" t="str">
        <f>ADP!I90&amp;".new.uat"</f>
        <v>jreyes@onebarnes.com.new.uat</v>
      </c>
      <c r="G90" s="18" t="s">
        <v>1427</v>
      </c>
      <c r="H90" t="str">
        <f>ADP!I90</f>
        <v>jreyes@onebarnes.com</v>
      </c>
      <c r="I90" t="str">
        <f>ADP!AJ90</f>
        <v>en_US</v>
      </c>
      <c r="J90" t="str">
        <f>ADP!AI90</f>
        <v>US</v>
      </c>
      <c r="L90" t="str">
        <f>ADP!AD90</f>
        <v>0088</v>
      </c>
      <c r="M90" t="str">
        <f>ADP!AK90</f>
        <v>USD</v>
      </c>
      <c r="O90" s="18" t="str">
        <f>ADP!AM90</f>
        <v>Y</v>
      </c>
      <c r="P90" t="str">
        <f>ADP!AD90</f>
        <v>0088</v>
      </c>
      <c r="Q90">
        <f>ADP!AE90</f>
        <v>5100</v>
      </c>
      <c r="W90" t="str">
        <f>ADP!AA90</f>
        <v>S05</v>
      </c>
      <c r="X90" t="str">
        <f>ADP!AG90</f>
        <v>General</v>
      </c>
      <c r="Z90" t="str">
        <f t="shared" si="1"/>
        <v>0088</v>
      </c>
      <c r="AB90" t="str">
        <f>ADP!AN90</f>
        <v/>
      </c>
      <c r="AC90" t="str">
        <f>ADP!AL90</f>
        <v/>
      </c>
      <c r="AP90" t="str">
        <f>ADP!AD90</f>
        <v>0088</v>
      </c>
      <c r="BG90" t="str">
        <f>ADP!AC90</f>
        <v>211756</v>
      </c>
      <c r="BK90" s="18" t="s">
        <v>1421</v>
      </c>
      <c r="BL90" s="18" t="s">
        <v>1421</v>
      </c>
      <c r="BU90" s="18" t="str">
        <f>ADP!AO90</f>
        <v>N</v>
      </c>
      <c r="BV90" s="18" t="str">
        <f>ADP!AO90</f>
        <v>N</v>
      </c>
      <c r="CE90" s="18" t="s">
        <v>1421</v>
      </c>
      <c r="CH90" s="18" t="s">
        <v>1421</v>
      </c>
    </row>
    <row r="91" spans="1:86" x14ac:dyDescent="0.2">
      <c r="A91" s="39" t="s">
        <v>1420</v>
      </c>
      <c r="B91" t="str">
        <f>ADP!B91</f>
        <v>Siobhan</v>
      </c>
      <c r="C91" t="str">
        <f>ADP!C91</f>
        <v/>
      </c>
      <c r="D91" t="str">
        <f>ADP!D91</f>
        <v>Rodriguez</v>
      </c>
      <c r="E91" t="str">
        <f>ADP!P91</f>
        <v>207588</v>
      </c>
      <c r="F91" t="str">
        <f>ADP!I91&amp;".new.uat"</f>
        <v>srodriguez@onebarnes.com.new.uat</v>
      </c>
      <c r="G91" s="18" t="s">
        <v>1427</v>
      </c>
      <c r="H91" t="str">
        <f>ADP!I91</f>
        <v>srodriguez@onebarnes.com</v>
      </c>
      <c r="I91" t="str">
        <f>ADP!AJ91</f>
        <v>en_US</v>
      </c>
      <c r="J91" t="str">
        <f>ADP!AI91</f>
        <v>US</v>
      </c>
      <c r="L91" t="str">
        <f>ADP!AD91</f>
        <v>0096</v>
      </c>
      <c r="M91" t="str">
        <f>ADP!AK91</f>
        <v>USD</v>
      </c>
      <c r="O91" s="18" t="str">
        <f>ADP!AM91</f>
        <v>Y</v>
      </c>
      <c r="P91" t="str">
        <f>ADP!AD91</f>
        <v>0096</v>
      </c>
      <c r="Q91">
        <f>ADP!AE91</f>
        <v>820</v>
      </c>
      <c r="W91" t="str">
        <f>ADP!AA91</f>
        <v>S18</v>
      </c>
      <c r="X91" t="str">
        <f>ADP!AG91</f>
        <v>General</v>
      </c>
      <c r="Z91" t="str">
        <f t="shared" si="1"/>
        <v>0096</v>
      </c>
      <c r="AB91" t="str">
        <f>ADP!AN91</f>
        <v/>
      </c>
      <c r="AC91" t="str">
        <f>ADP!AL91</f>
        <v/>
      </c>
      <c r="AP91" t="str">
        <f>ADP!AD91</f>
        <v>0096</v>
      </c>
      <c r="BG91" t="str">
        <f>ADP!AC91</f>
        <v>207709</v>
      </c>
      <c r="BK91" s="18" t="s">
        <v>1421</v>
      </c>
      <c r="BL91" s="18" t="s">
        <v>1421</v>
      </c>
      <c r="BU91" s="18" t="str">
        <f>ADP!AO91</f>
        <v>Y</v>
      </c>
      <c r="BV91" s="18" t="str">
        <f>ADP!AO91</f>
        <v>Y</v>
      </c>
      <c r="CE91" s="18" t="s">
        <v>1421</v>
      </c>
      <c r="CH91" s="18" t="s">
        <v>1421</v>
      </c>
    </row>
    <row r="92" spans="1:86" x14ac:dyDescent="0.2">
      <c r="A92" s="39" t="s">
        <v>1420</v>
      </c>
      <c r="B92" t="str">
        <f>ADP!B92</f>
        <v>Wayne</v>
      </c>
      <c r="C92" t="str">
        <f>ADP!C92</f>
        <v>A</v>
      </c>
      <c r="D92" t="str">
        <f>ADP!D92</f>
        <v>Rogers</v>
      </c>
      <c r="E92" t="str">
        <f>ADP!P92</f>
        <v>207487</v>
      </c>
      <c r="F92" t="str">
        <f>ADP!I92&amp;".new.uat"</f>
        <v>wrogers@onebarnes.com.new.uat</v>
      </c>
      <c r="G92" s="18" t="s">
        <v>1427</v>
      </c>
      <c r="H92" t="str">
        <f>ADP!I92</f>
        <v>wrogers@onebarnes.com</v>
      </c>
      <c r="I92" t="str">
        <f>ADP!AJ92</f>
        <v>en_US</v>
      </c>
      <c r="J92" t="str">
        <f>ADP!AI92</f>
        <v>US</v>
      </c>
      <c r="L92" t="str">
        <f>ADP!AD92</f>
        <v>0088</v>
      </c>
      <c r="M92" t="str">
        <f>ADP!AK92</f>
        <v>USD</v>
      </c>
      <c r="O92" s="18" t="str">
        <f>ADP!AM92</f>
        <v>Y</v>
      </c>
      <c r="P92" t="str">
        <f>ADP!AD92</f>
        <v>0088</v>
      </c>
      <c r="Q92">
        <f>ADP!AE92</f>
        <v>5200</v>
      </c>
      <c r="W92" t="str">
        <f>ADP!AA92</f>
        <v>S11</v>
      </c>
      <c r="X92" t="str">
        <f>ADP!AG92</f>
        <v>General</v>
      </c>
      <c r="Z92" t="str">
        <f t="shared" si="1"/>
        <v>0088</v>
      </c>
      <c r="AB92" t="str">
        <f>ADP!AN92</f>
        <v/>
      </c>
      <c r="AC92" t="str">
        <f>ADP!AL92</f>
        <v/>
      </c>
      <c r="AP92" t="str">
        <f>ADP!AD92</f>
        <v>0088</v>
      </c>
      <c r="BG92" t="str">
        <f>ADP!AC92</f>
        <v>902688</v>
      </c>
      <c r="BK92" s="18" t="s">
        <v>1421</v>
      </c>
      <c r="BL92" s="18" t="s">
        <v>1421</v>
      </c>
      <c r="BU92" s="18" t="str">
        <f>ADP!AO92</f>
        <v>N</v>
      </c>
      <c r="BV92" s="18" t="str">
        <f>ADP!AO92</f>
        <v>N</v>
      </c>
      <c r="CE92" s="18" t="s">
        <v>1421</v>
      </c>
      <c r="CH92" s="18" t="s">
        <v>1421</v>
      </c>
    </row>
    <row r="93" spans="1:86" x14ac:dyDescent="0.2">
      <c r="A93" s="39" t="s">
        <v>1420</v>
      </c>
      <c r="B93" t="str">
        <f>ADP!B93</f>
        <v>Gwendolyn</v>
      </c>
      <c r="C93" t="str">
        <f>ADP!C93</f>
        <v>L</v>
      </c>
      <c r="D93" t="str">
        <f>ADP!D93</f>
        <v>Rome</v>
      </c>
      <c r="E93" t="str">
        <f>ADP!P93</f>
        <v>007647</v>
      </c>
      <c r="F93" t="str">
        <f>ADP!I93&amp;".new.uat"</f>
        <v>grome@onebarnes.com.new.uat</v>
      </c>
      <c r="G93" s="18" t="s">
        <v>1427</v>
      </c>
      <c r="H93" t="str">
        <f>ADP!I93</f>
        <v>grome@onebarnes.com</v>
      </c>
      <c r="I93" t="str">
        <f>ADP!AJ93</f>
        <v>en_US</v>
      </c>
      <c r="J93" t="str">
        <f>ADP!AI93</f>
        <v>US</v>
      </c>
      <c r="L93" t="str">
        <f>ADP!AD93</f>
        <v>0088</v>
      </c>
      <c r="M93" t="str">
        <f>ADP!AK93</f>
        <v>USD</v>
      </c>
      <c r="O93" s="18" t="str">
        <f>ADP!AM93</f>
        <v>Y</v>
      </c>
      <c r="P93" t="str">
        <f>ADP!AD93</f>
        <v>0088</v>
      </c>
      <c r="Q93">
        <f>ADP!AE93</f>
        <v>9100</v>
      </c>
      <c r="W93" t="str">
        <f>ADP!AA93</f>
        <v>S11</v>
      </c>
      <c r="X93" t="str">
        <f>ADP!AG93</f>
        <v>General</v>
      </c>
      <c r="Z93" t="str">
        <f t="shared" si="1"/>
        <v>0088</v>
      </c>
      <c r="AB93" t="str">
        <f>ADP!AN93</f>
        <v/>
      </c>
      <c r="AC93" t="str">
        <f>ADP!AL93</f>
        <v/>
      </c>
      <c r="AP93" t="str">
        <f>ADP!AD93</f>
        <v>0088</v>
      </c>
      <c r="BG93" t="str">
        <f>ADP!AC93</f>
        <v>008750</v>
      </c>
      <c r="BK93" s="18" t="s">
        <v>1421</v>
      </c>
      <c r="BL93" s="18" t="s">
        <v>1421</v>
      </c>
      <c r="BU93" s="18" t="str">
        <f>ADP!AO93</f>
        <v>N</v>
      </c>
      <c r="BV93" s="18" t="str">
        <f>ADP!AO93</f>
        <v>N</v>
      </c>
      <c r="CE93" s="18" t="s">
        <v>1421</v>
      </c>
      <c r="CH93" s="18" t="s">
        <v>1421</v>
      </c>
    </row>
    <row r="94" spans="1:86" x14ac:dyDescent="0.2">
      <c r="A94" s="39" t="s">
        <v>1420</v>
      </c>
      <c r="B94" t="str">
        <f>ADP!B94</f>
        <v>Christopher</v>
      </c>
      <c r="C94" t="str">
        <f>ADP!C94</f>
        <v>D</v>
      </c>
      <c r="D94" t="str">
        <f>ADP!D94</f>
        <v>Sanderson</v>
      </c>
      <c r="E94" t="str">
        <f>ADP!P94</f>
        <v>213091</v>
      </c>
      <c r="F94" t="str">
        <f>ADP!I94&amp;".new.uat"</f>
        <v>csanderson@onebarnes.com.new.uat</v>
      </c>
      <c r="G94" s="18" t="s">
        <v>1427</v>
      </c>
      <c r="H94" t="str">
        <f>ADP!I94</f>
        <v>csanderson@onebarnes.com</v>
      </c>
      <c r="I94" t="str">
        <f>ADP!AJ94</f>
        <v>en_US</v>
      </c>
      <c r="J94" t="str">
        <f>ADP!AI94</f>
        <v>US</v>
      </c>
      <c r="L94" t="str">
        <f>ADP!AD94</f>
        <v>0088</v>
      </c>
      <c r="M94" t="str">
        <f>ADP!AK94</f>
        <v>USD</v>
      </c>
      <c r="O94" s="18" t="str">
        <f>ADP!AM94</f>
        <v>Y</v>
      </c>
      <c r="P94" t="str">
        <f>ADP!AD94</f>
        <v>0088</v>
      </c>
      <c r="Q94">
        <f>ADP!AE94</f>
        <v>5200</v>
      </c>
      <c r="W94" t="str">
        <f>ADP!AA94</f>
        <v>S05</v>
      </c>
      <c r="X94" t="str">
        <f>ADP!AG94</f>
        <v>General</v>
      </c>
      <c r="Z94" t="str">
        <f t="shared" si="1"/>
        <v>0088</v>
      </c>
      <c r="AB94" t="str">
        <f>ADP!AN94</f>
        <v/>
      </c>
      <c r="AC94" t="str">
        <f>ADP!AL94</f>
        <v/>
      </c>
      <c r="AP94" t="str">
        <f>ADP!AD94</f>
        <v>0088</v>
      </c>
      <c r="BG94" t="str">
        <f>ADP!AC94</f>
        <v>207487</v>
      </c>
      <c r="BK94" s="18" t="s">
        <v>1421</v>
      </c>
      <c r="BL94" s="18" t="s">
        <v>1421</v>
      </c>
      <c r="BU94" s="18" t="str">
        <f>ADP!AO94</f>
        <v>N</v>
      </c>
      <c r="BV94" s="18" t="str">
        <f>ADP!AO94</f>
        <v>N</v>
      </c>
      <c r="CE94" s="18" t="s">
        <v>1421</v>
      </c>
      <c r="CH94" s="18" t="s">
        <v>1421</v>
      </c>
    </row>
    <row r="95" spans="1:86" x14ac:dyDescent="0.2">
      <c r="A95" s="39" t="s">
        <v>1420</v>
      </c>
      <c r="B95" t="str">
        <f>ADP!B95</f>
        <v>Richard</v>
      </c>
      <c r="C95" t="str">
        <f>ADP!C95</f>
        <v/>
      </c>
      <c r="D95" t="str">
        <f>ADP!D95</f>
        <v>Sasak</v>
      </c>
      <c r="E95" t="str">
        <f>ADP!P95</f>
        <v>900439</v>
      </c>
      <c r="F95" t="str">
        <f>ADP!I95&amp;".new.uat"</f>
        <v>RXSasak@onebarnes.com.new.uat</v>
      </c>
      <c r="G95" s="18" t="s">
        <v>1427</v>
      </c>
      <c r="H95" t="str">
        <f>ADP!I95</f>
        <v>RXSasak@onebarnes.com</v>
      </c>
      <c r="I95" t="str">
        <f>ADP!AJ95</f>
        <v>en_US</v>
      </c>
      <c r="J95" t="str">
        <f>ADP!AI95</f>
        <v>US</v>
      </c>
      <c r="L95" t="str">
        <f>ADP!AD95</f>
        <v>0096</v>
      </c>
      <c r="M95" t="str">
        <f>ADP!AK95</f>
        <v>USD</v>
      </c>
      <c r="O95" s="18" t="str">
        <f>ADP!AM95</f>
        <v>Y</v>
      </c>
      <c r="P95" t="str">
        <f>ADP!AD95</f>
        <v>0096</v>
      </c>
      <c r="Q95">
        <f>ADP!AE95</f>
        <v>718</v>
      </c>
      <c r="W95" t="str">
        <f>ADP!AA95</f>
        <v>S14</v>
      </c>
      <c r="X95" t="str">
        <f>ADP!AG95</f>
        <v>General</v>
      </c>
      <c r="Z95" t="str">
        <f t="shared" si="1"/>
        <v>0096</v>
      </c>
      <c r="AB95" t="str">
        <f>ADP!AN95</f>
        <v/>
      </c>
      <c r="AC95" t="str">
        <f>ADP!AL95</f>
        <v/>
      </c>
      <c r="AP95" t="str">
        <f>ADP!AD95</f>
        <v>0096</v>
      </c>
      <c r="BG95" t="str">
        <f>ADP!AC95</f>
        <v>213037</v>
      </c>
      <c r="BK95" s="18" t="s">
        <v>1421</v>
      </c>
      <c r="BL95" s="18" t="s">
        <v>1421</v>
      </c>
      <c r="BU95" s="18" t="str">
        <f>ADP!AO95</f>
        <v>N</v>
      </c>
      <c r="BV95" s="18" t="str">
        <f>ADP!AO95</f>
        <v>N</v>
      </c>
      <c r="CE95" s="18" t="s">
        <v>1421</v>
      </c>
      <c r="CH95" s="18" t="s">
        <v>1421</v>
      </c>
    </row>
    <row r="96" spans="1:86" x14ac:dyDescent="0.2">
      <c r="A96" s="39" t="s">
        <v>1420</v>
      </c>
      <c r="B96" t="str">
        <f>ADP!B96</f>
        <v>Heather</v>
      </c>
      <c r="C96" t="str">
        <f>ADP!C96</f>
        <v>A</v>
      </c>
      <c r="D96" t="str">
        <f>ADP!D96</f>
        <v>Schmidt</v>
      </c>
      <c r="E96" t="str">
        <f>ADP!P96</f>
        <v>210127</v>
      </c>
      <c r="F96" t="str">
        <f>ADP!I96&amp;".new.uat"</f>
        <v>hschmidt2@onebarnes.com.new.uat</v>
      </c>
      <c r="G96" s="18" t="s">
        <v>1427</v>
      </c>
      <c r="H96" t="str">
        <f>ADP!I96</f>
        <v>hschmidt2@onebarnes.com</v>
      </c>
      <c r="I96" t="str">
        <f>ADP!AJ96</f>
        <v>en_US</v>
      </c>
      <c r="J96" t="str">
        <f>ADP!AI96</f>
        <v>US</v>
      </c>
      <c r="L96" t="str">
        <f>ADP!AD96</f>
        <v>0088</v>
      </c>
      <c r="M96" t="str">
        <f>ADP!AK96</f>
        <v>USD</v>
      </c>
      <c r="O96" s="18" t="str">
        <f>ADP!AM96</f>
        <v>Y</v>
      </c>
      <c r="P96" t="str">
        <f>ADP!AD96</f>
        <v>0088</v>
      </c>
      <c r="Q96">
        <f>ADP!AE96</f>
        <v>5200</v>
      </c>
      <c r="W96" t="str">
        <f>ADP!AA96</f>
        <v>S08</v>
      </c>
      <c r="X96" t="str">
        <f>ADP!AG96</f>
        <v>General</v>
      </c>
      <c r="Z96" t="str">
        <f t="shared" si="1"/>
        <v>0088</v>
      </c>
      <c r="AB96" t="str">
        <f>ADP!AN96</f>
        <v/>
      </c>
      <c r="AC96" t="str">
        <f>ADP!AL96</f>
        <v/>
      </c>
      <c r="AP96" t="str">
        <f>ADP!AD96</f>
        <v>0088</v>
      </c>
      <c r="BG96" t="str">
        <f>ADP!AC96</f>
        <v>211736</v>
      </c>
      <c r="BK96" s="18" t="s">
        <v>1421</v>
      </c>
      <c r="BL96" s="18" t="s">
        <v>1421</v>
      </c>
      <c r="BU96" s="18" t="str">
        <f>ADP!AO96</f>
        <v>N</v>
      </c>
      <c r="BV96" s="18" t="str">
        <f>ADP!AO96</f>
        <v>N</v>
      </c>
      <c r="CE96" s="18" t="s">
        <v>1421</v>
      </c>
      <c r="CH96" s="18" t="s">
        <v>1421</v>
      </c>
    </row>
    <row r="97" spans="1:86" x14ac:dyDescent="0.2">
      <c r="A97" s="39" t="s">
        <v>1420</v>
      </c>
      <c r="B97" t="str">
        <f>ADP!B97</f>
        <v>Momika</v>
      </c>
      <c r="C97" t="str">
        <f>ADP!C97</f>
        <v/>
      </c>
      <c r="D97" t="str">
        <f>ADP!D97</f>
        <v>Smith</v>
      </c>
      <c r="E97" t="str">
        <f>ADP!P97</f>
        <v>210281</v>
      </c>
      <c r="F97" t="str">
        <f>ADP!I97&amp;".new.uat"</f>
        <v>msmith@onebarnes.com.new.uat</v>
      </c>
      <c r="G97" s="18" t="s">
        <v>1427</v>
      </c>
      <c r="H97" t="str">
        <f>ADP!I97</f>
        <v>msmith@onebarnes.com</v>
      </c>
      <c r="I97" t="str">
        <f>ADP!AJ97</f>
        <v>en_US</v>
      </c>
      <c r="J97" t="str">
        <f>ADP!AI97</f>
        <v>US</v>
      </c>
      <c r="L97" t="str">
        <f>ADP!AD97</f>
        <v>0088</v>
      </c>
      <c r="M97" t="str">
        <f>ADP!AK97</f>
        <v>USD</v>
      </c>
      <c r="O97" s="18" t="str">
        <f>ADP!AM97</f>
        <v>Y</v>
      </c>
      <c r="P97" t="str">
        <f>ADP!AD97</f>
        <v>0088</v>
      </c>
      <c r="Q97">
        <f>ADP!AE97</f>
        <v>5200</v>
      </c>
      <c r="W97" t="str">
        <f>ADP!AA97</f>
        <v>S05</v>
      </c>
      <c r="X97" t="str">
        <f>ADP!AG97</f>
        <v>General</v>
      </c>
      <c r="Z97" t="str">
        <f t="shared" si="1"/>
        <v>0088</v>
      </c>
      <c r="AB97" t="str">
        <f>ADP!AN97</f>
        <v/>
      </c>
      <c r="AC97" t="str">
        <f>ADP!AL97</f>
        <v/>
      </c>
      <c r="AP97" t="str">
        <f>ADP!AD97</f>
        <v>0088</v>
      </c>
      <c r="BG97" t="str">
        <f>ADP!AC97</f>
        <v>211736</v>
      </c>
      <c r="BK97" s="18" t="s">
        <v>1421</v>
      </c>
      <c r="BL97" s="18" t="s">
        <v>1421</v>
      </c>
      <c r="BU97" s="18" t="str">
        <f>ADP!AO97</f>
        <v>N</v>
      </c>
      <c r="BV97" s="18" t="str">
        <f>ADP!AO97</f>
        <v>N</v>
      </c>
      <c r="CE97" s="18" t="s">
        <v>1421</v>
      </c>
      <c r="CH97" s="18" t="s">
        <v>1421</v>
      </c>
    </row>
    <row r="98" spans="1:86" x14ac:dyDescent="0.2">
      <c r="A98" s="39" t="s">
        <v>1420</v>
      </c>
      <c r="B98" t="str">
        <f>ADP!B98</f>
        <v>Michael</v>
      </c>
      <c r="C98" t="str">
        <f>ADP!C98</f>
        <v/>
      </c>
      <c r="D98" t="str">
        <f>ADP!D98</f>
        <v>Steen</v>
      </c>
      <c r="E98" t="str">
        <f>ADP!P98</f>
        <v>211062</v>
      </c>
      <c r="F98" t="str">
        <f>ADP!I98&amp;".new.uat"</f>
        <v>msteen@onebarnes.com.new.uat</v>
      </c>
      <c r="G98" s="18" t="s">
        <v>1427</v>
      </c>
      <c r="H98" t="str">
        <f>ADP!I98</f>
        <v>msteen@onebarnes.com</v>
      </c>
      <c r="I98" t="str">
        <f>ADP!AJ98</f>
        <v>en_US</v>
      </c>
      <c r="J98" t="str">
        <f>ADP!AI98</f>
        <v>US</v>
      </c>
      <c r="L98" t="str">
        <f>ADP!AD98</f>
        <v>0096</v>
      </c>
      <c r="M98" t="str">
        <f>ADP!AK98</f>
        <v>USD</v>
      </c>
      <c r="O98" s="18" t="str">
        <f>ADP!AM98</f>
        <v>Y</v>
      </c>
      <c r="P98" t="str">
        <f>ADP!AD98</f>
        <v>0096</v>
      </c>
      <c r="Q98">
        <f>ADP!AE98</f>
        <v>515</v>
      </c>
      <c r="W98" t="str">
        <f>ADP!AA98</f>
        <v>S14</v>
      </c>
      <c r="X98" t="str">
        <f>ADP!AG98</f>
        <v>General</v>
      </c>
      <c r="Z98" t="str">
        <f t="shared" si="1"/>
        <v>0096</v>
      </c>
      <c r="AB98" t="str">
        <f>ADP!AN98</f>
        <v/>
      </c>
      <c r="AC98" t="str">
        <f>ADP!AL98</f>
        <v/>
      </c>
      <c r="AP98" t="str">
        <f>ADP!AD98</f>
        <v>0096</v>
      </c>
      <c r="BG98" t="str">
        <f>ADP!AC98</f>
        <v>006780</v>
      </c>
      <c r="BK98" s="18" t="s">
        <v>1421</v>
      </c>
      <c r="BL98" s="18" t="s">
        <v>1421</v>
      </c>
      <c r="BU98" s="18" t="str">
        <f>ADP!AO98</f>
        <v>N</v>
      </c>
      <c r="BV98" s="18" t="str">
        <f>ADP!AO98</f>
        <v>N</v>
      </c>
      <c r="CE98" s="18" t="s">
        <v>1421</v>
      </c>
      <c r="CH98" s="18" t="s">
        <v>1421</v>
      </c>
    </row>
    <row r="99" spans="1:86" x14ac:dyDescent="0.2">
      <c r="A99" s="39" t="s">
        <v>1420</v>
      </c>
      <c r="B99" t="str">
        <f>ADP!B99</f>
        <v>James</v>
      </c>
      <c r="C99" t="str">
        <f>ADP!C99</f>
        <v/>
      </c>
      <c r="D99" t="str">
        <f>ADP!D99</f>
        <v>Stefancin</v>
      </c>
      <c r="E99" t="str">
        <f>ADP!P99</f>
        <v>212191</v>
      </c>
      <c r="F99" t="str">
        <f>ADP!I99&amp;".new.uat"</f>
        <v>jstefancin@onebarnes.com.new.uat</v>
      </c>
      <c r="G99" s="18" t="s">
        <v>1427</v>
      </c>
      <c r="H99" t="str">
        <f>ADP!I99</f>
        <v>jstefancin@onebarnes.com</v>
      </c>
      <c r="I99" t="str">
        <f>ADP!AJ99</f>
        <v>en_US</v>
      </c>
      <c r="J99" t="str">
        <f>ADP!AI99</f>
        <v>US</v>
      </c>
      <c r="L99" t="str">
        <f>ADP!AD99</f>
        <v>0096</v>
      </c>
      <c r="M99" t="str">
        <f>ADP!AK99</f>
        <v>USD</v>
      </c>
      <c r="O99" s="18" t="str">
        <f>ADP!AM99</f>
        <v>Y</v>
      </c>
      <c r="P99" t="str">
        <f>ADP!AD99</f>
        <v>0096</v>
      </c>
      <c r="Q99">
        <f>ADP!AE99</f>
        <v>917</v>
      </c>
      <c r="W99" t="str">
        <f>ADP!AA99</f>
        <v>S17</v>
      </c>
      <c r="X99" t="str">
        <f>ADP!AG99</f>
        <v>General</v>
      </c>
      <c r="Z99" t="str">
        <f t="shared" si="1"/>
        <v>0096</v>
      </c>
      <c r="AB99" t="str">
        <f>ADP!AN99</f>
        <v/>
      </c>
      <c r="AC99" t="str">
        <f>ADP!AL99</f>
        <v/>
      </c>
      <c r="AP99" t="str">
        <f>ADP!AD99</f>
        <v>0096</v>
      </c>
      <c r="BG99" t="str">
        <f>ADP!AC99</f>
        <v>213037</v>
      </c>
      <c r="BK99" s="18" t="s">
        <v>1421</v>
      </c>
      <c r="BL99" s="18" t="s">
        <v>1421</v>
      </c>
      <c r="BU99" s="18" t="str">
        <f>ADP!AO99</f>
        <v>Y</v>
      </c>
      <c r="BV99" s="18" t="str">
        <f>ADP!AO99</f>
        <v>Y</v>
      </c>
      <c r="CE99" s="18" t="s">
        <v>1421</v>
      </c>
      <c r="CH99" s="18" t="s">
        <v>1421</v>
      </c>
    </row>
    <row r="100" spans="1:86" x14ac:dyDescent="0.2">
      <c r="A100" s="39" t="s">
        <v>1420</v>
      </c>
      <c r="B100" t="str">
        <f>ADP!B100</f>
        <v>Benjamin</v>
      </c>
      <c r="C100" t="str">
        <f>ADP!C100</f>
        <v/>
      </c>
      <c r="D100" t="str">
        <f>ADP!D100</f>
        <v>Sullivan</v>
      </c>
      <c r="E100" t="str">
        <f>ADP!P100</f>
        <v>210103</v>
      </c>
      <c r="F100" t="str">
        <f>ADP!I100&amp;".new.uat"</f>
        <v>bsullivan@onebarnes.com.new.uat</v>
      </c>
      <c r="G100" s="18" t="s">
        <v>1427</v>
      </c>
      <c r="H100" t="str">
        <f>ADP!I100</f>
        <v>bsullivan@onebarnes.com</v>
      </c>
      <c r="I100" t="str">
        <f>ADP!AJ100</f>
        <v>en_US</v>
      </c>
      <c r="J100" t="str">
        <f>ADP!AI100</f>
        <v>US</v>
      </c>
      <c r="L100" t="str">
        <f>ADP!AD100</f>
        <v>0088</v>
      </c>
      <c r="M100" t="str">
        <f>ADP!AK100</f>
        <v>USD</v>
      </c>
      <c r="O100" s="18" t="str">
        <f>ADP!AM100</f>
        <v>Y</v>
      </c>
      <c r="P100" t="str">
        <f>ADP!AD100</f>
        <v>0088</v>
      </c>
      <c r="Q100">
        <f>ADP!AE100</f>
        <v>9400</v>
      </c>
      <c r="W100" t="str">
        <f>ADP!AA100</f>
        <v>S12</v>
      </c>
      <c r="X100" t="str">
        <f>ADP!AG100</f>
        <v>General</v>
      </c>
      <c r="Z100" t="str">
        <f t="shared" si="1"/>
        <v>0088</v>
      </c>
      <c r="AB100" t="str">
        <f>ADP!AN100</f>
        <v/>
      </c>
      <c r="AC100" t="str">
        <f>ADP!AL100</f>
        <v/>
      </c>
      <c r="AP100" t="str">
        <f>ADP!AD100</f>
        <v>0088</v>
      </c>
      <c r="BG100" t="str">
        <f>ADP!AC100</f>
        <v>212699</v>
      </c>
      <c r="BK100" s="18" t="s">
        <v>1421</v>
      </c>
      <c r="BL100" s="18" t="s">
        <v>1421</v>
      </c>
      <c r="BU100" s="18" t="str">
        <f>ADP!AO100</f>
        <v>N</v>
      </c>
      <c r="BV100" s="18" t="str">
        <f>ADP!AO100</f>
        <v>N</v>
      </c>
      <c r="CE100" s="18" t="s">
        <v>1421</v>
      </c>
      <c r="CH100" s="18" t="s">
        <v>1421</v>
      </c>
    </row>
    <row r="101" spans="1:86" x14ac:dyDescent="0.2">
      <c r="A101" s="39" t="s">
        <v>1420</v>
      </c>
      <c r="B101" t="str">
        <f>ADP!B101</f>
        <v>Joyce</v>
      </c>
      <c r="C101" t="str">
        <f>ADP!C101</f>
        <v>L</v>
      </c>
      <c r="D101" t="str">
        <f>ADP!D101</f>
        <v>Szpila</v>
      </c>
      <c r="E101" t="str">
        <f>ADP!P101</f>
        <v>212146</v>
      </c>
      <c r="F101" t="str">
        <f>ADP!I101&amp;".new.uat"</f>
        <v>jszpila@onebarnes.com.new.uat</v>
      </c>
      <c r="G101" s="18" t="s">
        <v>1427</v>
      </c>
      <c r="H101" t="str">
        <f>ADP!I101</f>
        <v>jszpila@onebarnes.com</v>
      </c>
      <c r="I101" t="str">
        <f>ADP!AJ101</f>
        <v>en_US</v>
      </c>
      <c r="J101" t="str">
        <f>ADP!AI101</f>
        <v>US</v>
      </c>
      <c r="L101" t="str">
        <f>ADP!AD101</f>
        <v>0088</v>
      </c>
      <c r="M101" t="str">
        <f>ADP!AK101</f>
        <v>USD</v>
      </c>
      <c r="O101" s="18" t="str">
        <f>ADP!AM101</f>
        <v>Y</v>
      </c>
      <c r="P101" t="str">
        <f>ADP!AD101</f>
        <v>0088</v>
      </c>
      <c r="Q101">
        <f>ADP!AE101</f>
        <v>9100</v>
      </c>
      <c r="W101" t="str">
        <f>ADP!AA101</f>
        <v>S11</v>
      </c>
      <c r="X101" t="str">
        <f>ADP!AG101</f>
        <v>General</v>
      </c>
      <c r="Z101" t="str">
        <f t="shared" si="1"/>
        <v>0088</v>
      </c>
      <c r="AB101" t="str">
        <f>ADP!AN101</f>
        <v/>
      </c>
      <c r="AC101" t="str">
        <f>ADP!AL101</f>
        <v/>
      </c>
      <c r="AP101" t="str">
        <f>ADP!AD101</f>
        <v>0088</v>
      </c>
      <c r="BG101" t="str">
        <f>ADP!AC101</f>
        <v>008750</v>
      </c>
      <c r="BK101" s="18" t="s">
        <v>1421</v>
      </c>
      <c r="BL101" s="18" t="s">
        <v>1421</v>
      </c>
      <c r="BU101" s="18" t="str">
        <f>ADP!AO101</f>
        <v>Y</v>
      </c>
      <c r="BV101" s="18" t="str">
        <f>ADP!AO101</f>
        <v>Y</v>
      </c>
      <c r="CE101" s="18" t="s">
        <v>1421</v>
      </c>
      <c r="CH101" s="18" t="s">
        <v>1421</v>
      </c>
    </row>
    <row r="102" spans="1:86" x14ac:dyDescent="0.2">
      <c r="A102" s="39" t="s">
        <v>1420</v>
      </c>
      <c r="B102" t="str">
        <f>ADP!B102</f>
        <v>Richard</v>
      </c>
      <c r="C102" t="str">
        <f>ADP!C102</f>
        <v>E</v>
      </c>
      <c r="D102" t="str">
        <f>ADP!D102</f>
        <v>Taiclet</v>
      </c>
      <c r="E102" t="str">
        <f>ADP!P102</f>
        <v>901943</v>
      </c>
      <c r="F102" t="str">
        <f>ADP!I102&amp;".new.uat"</f>
        <v>RTaiclet@onebarnes.com.new.uat</v>
      </c>
      <c r="G102" s="18" t="s">
        <v>1427</v>
      </c>
      <c r="H102" t="str">
        <f>ADP!I102</f>
        <v>RTaiclet@onebarnes.com</v>
      </c>
      <c r="I102" t="str">
        <f>ADP!AJ102</f>
        <v>en_US</v>
      </c>
      <c r="J102" t="str">
        <f>ADP!AI102</f>
        <v>US</v>
      </c>
      <c r="L102" t="str">
        <f>ADP!AD102</f>
        <v>0096</v>
      </c>
      <c r="M102" t="str">
        <f>ADP!AK102</f>
        <v>USD</v>
      </c>
      <c r="O102" s="18" t="str">
        <f>ADP!AM102</f>
        <v>Y</v>
      </c>
      <c r="P102" t="str">
        <f>ADP!AD102</f>
        <v>0096</v>
      </c>
      <c r="Q102">
        <f>ADP!AE102</f>
        <v>910</v>
      </c>
      <c r="W102" t="str">
        <f>ADP!AA102</f>
        <v>S14</v>
      </c>
      <c r="X102" t="str">
        <f>ADP!AG102</f>
        <v>General</v>
      </c>
      <c r="Z102" t="str">
        <f t="shared" si="1"/>
        <v>0096</v>
      </c>
      <c r="AB102" t="str">
        <f>ADP!AN102</f>
        <v/>
      </c>
      <c r="AC102" t="str">
        <f>ADP!AL102</f>
        <v/>
      </c>
      <c r="AP102" t="str">
        <f>ADP!AD102</f>
        <v>0096</v>
      </c>
      <c r="BG102" t="str">
        <f>ADP!AC102</f>
        <v>008750</v>
      </c>
      <c r="BK102" s="18" t="s">
        <v>1421</v>
      </c>
      <c r="BL102" s="18" t="s">
        <v>1421</v>
      </c>
      <c r="BU102" s="18" t="str">
        <f>ADP!AO102</f>
        <v>Y</v>
      </c>
      <c r="BV102" s="18" t="str">
        <f>ADP!AO102</f>
        <v>Y</v>
      </c>
      <c r="CE102" s="18" t="s">
        <v>1421</v>
      </c>
      <c r="CH102" s="18" t="s">
        <v>1421</v>
      </c>
    </row>
    <row r="103" spans="1:86" x14ac:dyDescent="0.2">
      <c r="A103" s="39" t="s">
        <v>1420</v>
      </c>
      <c r="B103" t="str">
        <f>ADP!B103</f>
        <v>Kevin</v>
      </c>
      <c r="C103" t="str">
        <f>ADP!C103</f>
        <v/>
      </c>
      <c r="D103" t="str">
        <f>ADP!D103</f>
        <v>Thaboun</v>
      </c>
      <c r="E103" t="str">
        <f>ADP!P103</f>
        <v>211521</v>
      </c>
      <c r="F103" t="str">
        <f>ADP!I103&amp;".new.uat"</f>
        <v>kthaboun1@onebarnes.com.new.uat</v>
      </c>
      <c r="G103" s="18" t="s">
        <v>1427</v>
      </c>
      <c r="H103" t="str">
        <f>ADP!I103</f>
        <v>kthaboun1@onebarnes.com</v>
      </c>
      <c r="I103" t="str">
        <f>ADP!AJ103</f>
        <v>en_US</v>
      </c>
      <c r="J103" t="str">
        <f>ADP!AI103</f>
        <v>US</v>
      </c>
      <c r="L103" t="str">
        <f>ADP!AD103</f>
        <v>0088</v>
      </c>
      <c r="M103" t="str">
        <f>ADP!AK103</f>
        <v>USD</v>
      </c>
      <c r="O103" s="18" t="str">
        <f>ADP!AM103</f>
        <v>Y</v>
      </c>
      <c r="P103" t="str">
        <f>ADP!AD103</f>
        <v>0088</v>
      </c>
      <c r="Q103">
        <f>ADP!AE103</f>
        <v>5200</v>
      </c>
      <c r="W103" t="str">
        <f>ADP!AA103</f>
        <v>S05</v>
      </c>
      <c r="X103" t="str">
        <f>ADP!AG103</f>
        <v>General</v>
      </c>
      <c r="Z103" t="str">
        <f t="shared" si="1"/>
        <v>0088</v>
      </c>
      <c r="AB103" t="str">
        <f>ADP!AN103</f>
        <v/>
      </c>
      <c r="AC103" t="str">
        <f>ADP!AL103</f>
        <v/>
      </c>
      <c r="AP103" t="str">
        <f>ADP!AD103</f>
        <v>0088</v>
      </c>
      <c r="BG103" t="str">
        <f>ADP!AC103</f>
        <v>211736</v>
      </c>
      <c r="BK103" s="18" t="s">
        <v>1421</v>
      </c>
      <c r="BL103" s="18" t="s">
        <v>1421</v>
      </c>
      <c r="BU103" s="18" t="str">
        <f>ADP!AO103</f>
        <v>N</v>
      </c>
      <c r="BV103" s="18" t="str">
        <f>ADP!AO103</f>
        <v>N</v>
      </c>
      <c r="CE103" s="18" t="s">
        <v>1421</v>
      </c>
      <c r="CH103" s="18" t="s">
        <v>1421</v>
      </c>
    </row>
    <row r="104" spans="1:86" x14ac:dyDescent="0.2">
      <c r="A104" s="39" t="s">
        <v>1420</v>
      </c>
      <c r="B104" t="str">
        <f>ADP!B104</f>
        <v>Kugagini</v>
      </c>
      <c r="C104" t="str">
        <f>ADP!C104</f>
        <v/>
      </c>
      <c r="D104" t="str">
        <f>ADP!D104</f>
        <v>Thineshkumar</v>
      </c>
      <c r="E104" t="str">
        <f>ADP!P104</f>
        <v>902013</v>
      </c>
      <c r="F104" t="str">
        <f>ADP!I104&amp;".new.uat"</f>
        <v>Kthineshkumar@onebarnes.com.new.uat</v>
      </c>
      <c r="G104" s="18" t="s">
        <v>1427</v>
      </c>
      <c r="H104" t="str">
        <f>ADP!I104</f>
        <v>Kthineshkumar@onebarnes.com</v>
      </c>
      <c r="I104" t="str">
        <f>ADP!AJ104</f>
        <v>en_US</v>
      </c>
      <c r="J104" t="str">
        <f>ADP!AI104</f>
        <v>US</v>
      </c>
      <c r="L104" t="str">
        <f>ADP!AD104</f>
        <v>0088</v>
      </c>
      <c r="M104" t="str">
        <f>ADP!AK104</f>
        <v>USD</v>
      </c>
      <c r="O104" s="18" t="str">
        <f>ADP!AM104</f>
        <v>Y</v>
      </c>
      <c r="P104" t="str">
        <f>ADP!AD104</f>
        <v>0088</v>
      </c>
      <c r="Q104">
        <f>ADP!AE104</f>
        <v>9100</v>
      </c>
      <c r="W104" t="str">
        <f>ADP!AA104</f>
        <v>S11</v>
      </c>
      <c r="X104" t="str">
        <f>ADP!AG104</f>
        <v>General</v>
      </c>
      <c r="Z104" t="str">
        <f t="shared" si="1"/>
        <v>0088</v>
      </c>
      <c r="AB104" t="str">
        <f>ADP!AN104</f>
        <v/>
      </c>
      <c r="AC104" t="str">
        <f>ADP!AL104</f>
        <v/>
      </c>
      <c r="AP104" t="str">
        <f>ADP!AD104</f>
        <v>0088</v>
      </c>
      <c r="BG104" t="str">
        <f>ADP!AC104</f>
        <v>008750</v>
      </c>
      <c r="BK104" s="18" t="s">
        <v>1421</v>
      </c>
      <c r="BL104" s="18" t="s">
        <v>1421</v>
      </c>
      <c r="BU104" s="18" t="str">
        <f>ADP!AO104</f>
        <v>Y</v>
      </c>
      <c r="BV104" s="18" t="str">
        <f>ADP!AO104</f>
        <v>Y</v>
      </c>
      <c r="CE104" s="18" t="s">
        <v>1421</v>
      </c>
      <c r="CH104" s="18" t="s">
        <v>1421</v>
      </c>
    </row>
    <row r="105" spans="1:86" x14ac:dyDescent="0.2">
      <c r="A105" s="39" t="s">
        <v>1420</v>
      </c>
      <c r="B105" t="str">
        <f>ADP!B105</f>
        <v>Tadeyshia</v>
      </c>
      <c r="C105" t="str">
        <f>ADP!C105</f>
        <v/>
      </c>
      <c r="D105" t="str">
        <f>ADP!D105</f>
        <v>Toney</v>
      </c>
      <c r="E105" t="str">
        <f>ADP!P105</f>
        <v>213241</v>
      </c>
      <c r="F105" t="str">
        <f>ADP!I105&amp;".new.uat"</f>
        <v>ttoney@onebarnes.com.new.uat</v>
      </c>
      <c r="G105" s="18" t="s">
        <v>1427</v>
      </c>
      <c r="H105" t="str">
        <f>ADP!I105</f>
        <v>ttoney@onebarnes.com</v>
      </c>
      <c r="I105" t="str">
        <f>ADP!AJ105</f>
        <v>en_US</v>
      </c>
      <c r="J105" t="str">
        <f>ADP!AI105</f>
        <v>US</v>
      </c>
      <c r="L105" t="str">
        <f>ADP!AD105</f>
        <v>0088</v>
      </c>
      <c r="M105" t="str">
        <f>ADP!AK105</f>
        <v>USD</v>
      </c>
      <c r="O105" s="18" t="str">
        <f>ADP!AM105</f>
        <v>Y</v>
      </c>
      <c r="P105" t="str">
        <f>ADP!AD105</f>
        <v>0088</v>
      </c>
      <c r="Q105">
        <f>ADP!AE105</f>
        <v>8100</v>
      </c>
      <c r="W105" t="str">
        <f>ADP!AA105</f>
        <v>S11</v>
      </c>
      <c r="X105" t="str">
        <f>ADP!AG105</f>
        <v>General</v>
      </c>
      <c r="Z105" t="str">
        <f t="shared" si="1"/>
        <v>0088</v>
      </c>
      <c r="AB105" t="str">
        <f>ADP!AN105</f>
        <v/>
      </c>
      <c r="AC105" t="str">
        <f>ADP!AL105</f>
        <v/>
      </c>
      <c r="AP105" t="str">
        <f>ADP!AD105</f>
        <v>0088</v>
      </c>
      <c r="BG105" t="str">
        <f>ADP!AC105</f>
        <v>211131</v>
      </c>
      <c r="BK105" s="18" t="s">
        <v>1421</v>
      </c>
      <c r="BL105" s="18" t="s">
        <v>1421</v>
      </c>
      <c r="BU105" s="18" t="str">
        <f>ADP!AO105</f>
        <v>N</v>
      </c>
      <c r="BV105" s="18" t="str">
        <f>ADP!AO105</f>
        <v>N</v>
      </c>
      <c r="CE105" s="18" t="s">
        <v>1421</v>
      </c>
      <c r="CH105" s="18" t="s">
        <v>1421</v>
      </c>
    </row>
    <row r="106" spans="1:86" x14ac:dyDescent="0.2">
      <c r="A106" s="39" t="s">
        <v>1420</v>
      </c>
      <c r="B106" t="str">
        <f>ADP!B106</f>
        <v>Macy</v>
      </c>
      <c r="C106" t="str">
        <f>ADP!C106</f>
        <v>J</v>
      </c>
      <c r="D106" t="str">
        <f>ADP!D106</f>
        <v>Tudor</v>
      </c>
      <c r="E106" t="str">
        <f>ADP!P106</f>
        <v>206638</v>
      </c>
      <c r="F106" t="str">
        <f>ADP!I106&amp;".new.uat"</f>
        <v>mtudor@onebarnes.com.new.uat</v>
      </c>
      <c r="G106" s="18" t="s">
        <v>1427</v>
      </c>
      <c r="H106" t="str">
        <f>ADP!I106</f>
        <v>mtudor@onebarnes.com</v>
      </c>
      <c r="I106" t="str">
        <f>ADP!AJ106</f>
        <v>en_US</v>
      </c>
      <c r="J106" t="str">
        <f>ADP!AI106</f>
        <v>US</v>
      </c>
      <c r="L106" t="str">
        <f>ADP!AD106</f>
        <v>0088</v>
      </c>
      <c r="M106" t="str">
        <f>ADP!AK106</f>
        <v>USD</v>
      </c>
      <c r="O106" s="18" t="str">
        <f>ADP!AM106</f>
        <v>Y</v>
      </c>
      <c r="P106" t="str">
        <f>ADP!AD106</f>
        <v>0088</v>
      </c>
      <c r="Q106">
        <f>ADP!AE106</f>
        <v>9400</v>
      </c>
      <c r="W106" t="str">
        <f>ADP!AA106</f>
        <v>S13</v>
      </c>
      <c r="X106" t="str">
        <f>ADP!AG106</f>
        <v>General</v>
      </c>
      <c r="Z106" t="str">
        <f t="shared" si="1"/>
        <v>0088</v>
      </c>
      <c r="AB106" t="str">
        <f>ADP!AN106</f>
        <v/>
      </c>
      <c r="AC106" t="str">
        <f>ADP!AL106</f>
        <v/>
      </c>
      <c r="AP106" t="str">
        <f>ADP!AD106</f>
        <v>0088</v>
      </c>
      <c r="BG106" t="str">
        <f>ADP!AC106</f>
        <v>212699</v>
      </c>
      <c r="BK106" s="18" t="s">
        <v>1421</v>
      </c>
      <c r="BL106" s="18" t="s">
        <v>1421</v>
      </c>
      <c r="BU106" s="18" t="str">
        <f>ADP!AO106</f>
        <v>N</v>
      </c>
      <c r="BV106" s="18" t="str">
        <f>ADP!AO106</f>
        <v>N</v>
      </c>
      <c r="CE106" s="18" t="s">
        <v>1421</v>
      </c>
      <c r="CH106" s="18" t="s">
        <v>1421</v>
      </c>
    </row>
    <row r="107" spans="1:86" x14ac:dyDescent="0.2">
      <c r="A107" s="39" t="s">
        <v>1420</v>
      </c>
      <c r="B107" t="str">
        <f>ADP!B107</f>
        <v>Benjamin</v>
      </c>
      <c r="C107" t="str">
        <f>ADP!C107</f>
        <v>D</v>
      </c>
      <c r="D107" t="str">
        <f>ADP!D107</f>
        <v>Uncapher</v>
      </c>
      <c r="E107" t="str">
        <f>ADP!P107</f>
        <v>212254</v>
      </c>
      <c r="F107" t="str">
        <f>ADP!I107&amp;".new.uat"</f>
        <v>buncapher@onebarnes.com.new.uat</v>
      </c>
      <c r="G107" s="18" t="s">
        <v>1427</v>
      </c>
      <c r="H107" t="str">
        <f>ADP!I107</f>
        <v>buncapher@onebarnes.com</v>
      </c>
      <c r="I107" t="str">
        <f>ADP!AJ107</f>
        <v>en_US</v>
      </c>
      <c r="J107" t="str">
        <f>ADP!AI107</f>
        <v>US</v>
      </c>
      <c r="L107" t="str">
        <f>ADP!AD107</f>
        <v>0088</v>
      </c>
      <c r="M107" t="str">
        <f>ADP!AK107</f>
        <v>USD</v>
      </c>
      <c r="O107" s="18" t="str">
        <f>ADP!AM107</f>
        <v>Y</v>
      </c>
      <c r="P107" t="str">
        <f>ADP!AD107</f>
        <v>0088</v>
      </c>
      <c r="Q107">
        <f>ADP!AE107</f>
        <v>8100</v>
      </c>
      <c r="W107" t="str">
        <f>ADP!AA107</f>
        <v>S11</v>
      </c>
      <c r="X107" t="str">
        <f>ADP!AG107</f>
        <v>General</v>
      </c>
      <c r="Z107" t="str">
        <f t="shared" si="1"/>
        <v>0088</v>
      </c>
      <c r="AB107" t="str">
        <f>ADP!AN107</f>
        <v/>
      </c>
      <c r="AC107" t="str">
        <f>ADP!AL107</f>
        <v/>
      </c>
      <c r="AP107" t="str">
        <f>ADP!AD107</f>
        <v>0088</v>
      </c>
      <c r="BG107" t="str">
        <f>ADP!AC107</f>
        <v>211131</v>
      </c>
      <c r="BK107" s="18" t="s">
        <v>1421</v>
      </c>
      <c r="BL107" s="18" t="s">
        <v>1421</v>
      </c>
      <c r="BU107" s="18" t="str">
        <f>ADP!AO107</f>
        <v>N</v>
      </c>
      <c r="BV107" s="18" t="str">
        <f>ADP!AO107</f>
        <v>N</v>
      </c>
      <c r="CE107" s="18" t="s">
        <v>1421</v>
      </c>
      <c r="CH107" s="18" t="s">
        <v>1421</v>
      </c>
    </row>
    <row r="108" spans="1:86" x14ac:dyDescent="0.2">
      <c r="A108" s="39" t="s">
        <v>1420</v>
      </c>
      <c r="B108" t="str">
        <f>ADP!B108</f>
        <v>David</v>
      </c>
      <c r="C108" t="str">
        <f>ADP!C108</f>
        <v/>
      </c>
      <c r="D108" t="str">
        <f>ADP!D108</f>
        <v>Valetta</v>
      </c>
      <c r="E108" t="str">
        <f>ADP!P108</f>
        <v>211601</v>
      </c>
      <c r="F108" t="str">
        <f>ADP!I108&amp;".new.uat"</f>
        <v>dvaletta@onebarnes.com.new.uat</v>
      </c>
      <c r="G108" s="18" t="s">
        <v>1427</v>
      </c>
      <c r="H108" t="str">
        <f>ADP!I108</f>
        <v>dvaletta@onebarnes.com</v>
      </c>
      <c r="I108" t="str">
        <f>ADP!AJ108</f>
        <v>en_US</v>
      </c>
      <c r="J108" t="str">
        <f>ADP!AI108</f>
        <v>US</v>
      </c>
      <c r="L108" t="str">
        <f>ADP!AD108</f>
        <v>0096</v>
      </c>
      <c r="M108" t="str">
        <f>ADP!AK108</f>
        <v>USD</v>
      </c>
      <c r="O108" s="18" t="str">
        <f>ADP!AM108</f>
        <v>Y</v>
      </c>
      <c r="P108" t="str">
        <f>ADP!AD108</f>
        <v>0096</v>
      </c>
      <c r="Q108">
        <f>ADP!AE108</f>
        <v>820</v>
      </c>
      <c r="W108" t="str">
        <f>ADP!AA108</f>
        <v>S19</v>
      </c>
      <c r="X108" t="str">
        <f>ADP!AG108</f>
        <v>General</v>
      </c>
      <c r="Z108" t="str">
        <f t="shared" si="1"/>
        <v>0096</v>
      </c>
      <c r="AB108" t="str">
        <f>ADP!AN108</f>
        <v/>
      </c>
      <c r="AC108" t="str">
        <f>ADP!AL108</f>
        <v/>
      </c>
      <c r="AP108" t="str">
        <f>ADP!AD108</f>
        <v>0096</v>
      </c>
      <c r="BG108" t="str">
        <f>ADP!AC108</f>
        <v>207709</v>
      </c>
      <c r="BK108" s="18" t="s">
        <v>1421</v>
      </c>
      <c r="BL108" s="18" t="s">
        <v>1421</v>
      </c>
      <c r="BU108" s="18" t="str">
        <f>ADP!AO108</f>
        <v>Y</v>
      </c>
      <c r="BV108" s="18" t="str">
        <f>ADP!AO108</f>
        <v>Y</v>
      </c>
      <c r="CE108" s="18" t="s">
        <v>1421</v>
      </c>
      <c r="CH108" s="18" t="s">
        <v>1421</v>
      </c>
    </row>
    <row r="109" spans="1:86" x14ac:dyDescent="0.2">
      <c r="A109" s="39" t="s">
        <v>1420</v>
      </c>
      <c r="B109" t="str">
        <f>ADP!B109</f>
        <v>Brennen</v>
      </c>
      <c r="C109" t="str">
        <f>ADP!C109</f>
        <v>G</v>
      </c>
      <c r="D109" t="str">
        <f>ADP!D109</f>
        <v>Valley</v>
      </c>
      <c r="E109" t="str">
        <f>ADP!P109</f>
        <v>206287</v>
      </c>
      <c r="F109" t="str">
        <f>ADP!I109&amp;".new.uat"</f>
        <v>bvalley@onebarnes.com.new.uat</v>
      </c>
      <c r="G109" s="18" t="s">
        <v>1427</v>
      </c>
      <c r="H109" t="str">
        <f>ADP!I109</f>
        <v>bvalley@onebarnes.com</v>
      </c>
      <c r="I109" t="str">
        <f>ADP!AJ109</f>
        <v>en_US</v>
      </c>
      <c r="J109" t="str">
        <f>ADP!AI109</f>
        <v>US</v>
      </c>
      <c r="L109" t="str">
        <f>ADP!AD109</f>
        <v>0096</v>
      </c>
      <c r="M109" t="str">
        <f>ADP!AK109</f>
        <v>USD</v>
      </c>
      <c r="O109" s="18" t="str">
        <f>ADP!AM109</f>
        <v>Y</v>
      </c>
      <c r="P109" t="str">
        <f>ADP!AD109</f>
        <v>0096</v>
      </c>
      <c r="Q109">
        <f>ADP!AE109</f>
        <v>100</v>
      </c>
      <c r="W109" t="str">
        <f>ADP!AA109</f>
        <v>H04</v>
      </c>
      <c r="X109" t="str">
        <f>ADP!AG109</f>
        <v>General</v>
      </c>
      <c r="Z109" t="str">
        <f t="shared" si="1"/>
        <v>0096</v>
      </c>
      <c r="AB109" t="str">
        <f>ADP!AN109</f>
        <v/>
      </c>
      <c r="AC109" t="str">
        <f>ADP!AL109</f>
        <v/>
      </c>
      <c r="AP109" t="str">
        <f>ADP!AD109</f>
        <v>0096</v>
      </c>
      <c r="BG109" t="str">
        <f>ADP!AC109</f>
        <v>211062</v>
      </c>
      <c r="BK109" s="18" t="s">
        <v>1421</v>
      </c>
      <c r="BL109" s="18" t="s">
        <v>1421</v>
      </c>
      <c r="BU109" s="18" t="str">
        <f>ADP!AO109</f>
        <v>N</v>
      </c>
      <c r="BV109" s="18" t="str">
        <f>ADP!AO109</f>
        <v>N</v>
      </c>
      <c r="CE109" s="18" t="s">
        <v>1421</v>
      </c>
      <c r="CH109" s="18" t="s">
        <v>1421</v>
      </c>
    </row>
    <row r="110" spans="1:86" x14ac:dyDescent="0.2">
      <c r="A110" s="39" t="s">
        <v>1420</v>
      </c>
      <c r="B110" t="str">
        <f>ADP!B110</f>
        <v>Craig</v>
      </c>
      <c r="C110" t="str">
        <f>ADP!C110</f>
        <v/>
      </c>
      <c r="D110" t="str">
        <f>ADP!D110</f>
        <v>Wagner</v>
      </c>
      <c r="E110" t="str">
        <f>ADP!P110</f>
        <v>206272</v>
      </c>
      <c r="F110" t="str">
        <f>ADP!I110&amp;".new.uat"</f>
        <v>cwagner@onebarnes.com.new.uat</v>
      </c>
      <c r="G110" s="18" t="s">
        <v>1427</v>
      </c>
      <c r="H110" t="str">
        <f>ADP!I110</f>
        <v>cwagner@onebarnes.com</v>
      </c>
      <c r="I110" t="str">
        <f>ADP!AJ110</f>
        <v>en_US</v>
      </c>
      <c r="J110" t="str">
        <f>ADP!AI110</f>
        <v>US</v>
      </c>
      <c r="L110" t="str">
        <f>ADP!AD110</f>
        <v>0088</v>
      </c>
      <c r="M110" t="str">
        <f>ADP!AK110</f>
        <v>USD</v>
      </c>
      <c r="O110" s="18" t="str">
        <f>ADP!AM110</f>
        <v>Y</v>
      </c>
      <c r="P110" t="str">
        <f>ADP!AD110</f>
        <v>0088</v>
      </c>
      <c r="Q110">
        <f>ADP!AE110</f>
        <v>5100</v>
      </c>
      <c r="W110" t="str">
        <f>ADP!AA110</f>
        <v>S08</v>
      </c>
      <c r="X110" t="str">
        <f>ADP!AG110</f>
        <v>General</v>
      </c>
      <c r="Z110" t="str">
        <f t="shared" si="1"/>
        <v>0088</v>
      </c>
      <c r="AB110" t="str">
        <f>ADP!AN110</f>
        <v/>
      </c>
      <c r="AC110" t="str">
        <f>ADP!AL110</f>
        <v/>
      </c>
      <c r="AP110" t="str">
        <f>ADP!AD110</f>
        <v>0088</v>
      </c>
      <c r="BG110" t="str">
        <f>ADP!AC110</f>
        <v>211756</v>
      </c>
      <c r="BK110" s="18" t="s">
        <v>1421</v>
      </c>
      <c r="BL110" s="18" t="s">
        <v>1421</v>
      </c>
      <c r="BU110" s="18" t="str">
        <f>ADP!AO110</f>
        <v>N</v>
      </c>
      <c r="BV110" s="18" t="str">
        <f>ADP!AO110</f>
        <v>N</v>
      </c>
      <c r="CE110" s="18" t="s">
        <v>1421</v>
      </c>
      <c r="CH110" s="18" t="s">
        <v>1421</v>
      </c>
    </row>
    <row r="111" spans="1:86" x14ac:dyDescent="0.2">
      <c r="A111" s="39" t="s">
        <v>1420</v>
      </c>
      <c r="B111" t="str">
        <f>ADP!B111</f>
        <v>Terry</v>
      </c>
      <c r="C111" t="str">
        <f>ADP!C111</f>
        <v/>
      </c>
      <c r="D111" t="str">
        <f>ADP!D111</f>
        <v>Wagner</v>
      </c>
      <c r="E111" t="str">
        <f>ADP!P111</f>
        <v>211022</v>
      </c>
      <c r="F111" t="str">
        <f>ADP!I111&amp;".new.uat"</f>
        <v>Twagner@onebarnes.com.new.uat</v>
      </c>
      <c r="G111" s="18" t="s">
        <v>1427</v>
      </c>
      <c r="H111" t="str">
        <f>ADP!I111</f>
        <v>Twagner@onebarnes.com</v>
      </c>
      <c r="I111" t="str">
        <f>ADP!AJ111</f>
        <v>en_US</v>
      </c>
      <c r="J111" t="str">
        <f>ADP!AI111</f>
        <v>US</v>
      </c>
      <c r="L111" t="str">
        <f>ADP!AD111</f>
        <v>0096</v>
      </c>
      <c r="M111" t="str">
        <f>ADP!AK111</f>
        <v>USD</v>
      </c>
      <c r="O111" s="18" t="str">
        <f>ADP!AM111</f>
        <v>Y</v>
      </c>
      <c r="P111" t="str">
        <f>ADP!AD111</f>
        <v>0096</v>
      </c>
      <c r="Q111">
        <f>ADP!AE111</f>
        <v>850</v>
      </c>
      <c r="W111" t="str">
        <f>ADP!AA111</f>
        <v>S11</v>
      </c>
      <c r="X111" t="str">
        <f>ADP!AG111</f>
        <v>General</v>
      </c>
      <c r="Z111" t="str">
        <f t="shared" si="1"/>
        <v>0096</v>
      </c>
      <c r="AB111" t="str">
        <f>ADP!AN111</f>
        <v/>
      </c>
      <c r="AC111" t="str">
        <f>ADP!AL111</f>
        <v/>
      </c>
      <c r="AP111" t="str">
        <f>ADP!AD111</f>
        <v>0096</v>
      </c>
      <c r="BG111" t="str">
        <f>ADP!AC111</f>
        <v>211998</v>
      </c>
      <c r="BK111" s="18" t="s">
        <v>1421</v>
      </c>
      <c r="BL111" s="18" t="s">
        <v>1421</v>
      </c>
      <c r="BU111" s="18" t="str">
        <f>ADP!AO111</f>
        <v>N</v>
      </c>
      <c r="BV111" s="18" t="str">
        <f>ADP!AO111</f>
        <v>N</v>
      </c>
      <c r="CE111" s="18" t="s">
        <v>1421</v>
      </c>
      <c r="CH111" s="18" t="s">
        <v>1421</v>
      </c>
    </row>
    <row r="112" spans="1:86" x14ac:dyDescent="0.2">
      <c r="A112" s="39" t="s">
        <v>1420</v>
      </c>
      <c r="B112" t="str">
        <f>ADP!B112</f>
        <v>Derron</v>
      </c>
      <c r="C112" t="str">
        <f>ADP!C112</f>
        <v/>
      </c>
      <c r="D112" t="str">
        <f>ADP!D112</f>
        <v>Wallace</v>
      </c>
      <c r="E112" t="str">
        <f>ADP!P112</f>
        <v>211998</v>
      </c>
      <c r="F112" t="str">
        <f>ADP!I112&amp;".new.uat"</f>
        <v>dwallace@onebarnes.com.new.uat</v>
      </c>
      <c r="G112" s="18" t="s">
        <v>1427</v>
      </c>
      <c r="H112" t="str">
        <f>ADP!I112</f>
        <v>dwallace@onebarnes.com</v>
      </c>
      <c r="I112" t="str">
        <f>ADP!AJ112</f>
        <v>en_US</v>
      </c>
      <c r="J112" t="str">
        <f>ADP!AI112</f>
        <v>US</v>
      </c>
      <c r="L112" t="str">
        <f>ADP!AD112</f>
        <v>0096</v>
      </c>
      <c r="M112" t="str">
        <f>ADP!AK112</f>
        <v>USD</v>
      </c>
      <c r="O112" s="18" t="str">
        <f>ADP!AM112</f>
        <v>Y</v>
      </c>
      <c r="P112" t="str">
        <f>ADP!AD112</f>
        <v>0096</v>
      </c>
      <c r="Q112">
        <f>ADP!AE112</f>
        <v>850</v>
      </c>
      <c r="W112" t="str">
        <f>ADP!AA112</f>
        <v>S15</v>
      </c>
      <c r="X112" t="str">
        <f>ADP!AG112</f>
        <v>General</v>
      </c>
      <c r="Z112" t="str">
        <f t="shared" si="1"/>
        <v>0096</v>
      </c>
      <c r="AB112" t="str">
        <f>ADP!AN112</f>
        <v/>
      </c>
      <c r="AC112" t="str">
        <f>ADP!AL112</f>
        <v/>
      </c>
      <c r="AP112" t="str">
        <f>ADP!AD112</f>
        <v>0096</v>
      </c>
      <c r="BG112" t="str">
        <f>ADP!AC112</f>
        <v>213037</v>
      </c>
      <c r="BK112" s="18" t="s">
        <v>1421</v>
      </c>
      <c r="BL112" s="18" t="s">
        <v>1421</v>
      </c>
      <c r="BU112" s="18" t="str">
        <f>ADP!AO112</f>
        <v>N</v>
      </c>
      <c r="BV112" s="18" t="str">
        <f>ADP!AO112</f>
        <v>N</v>
      </c>
      <c r="CE112" s="18" t="s">
        <v>1421</v>
      </c>
      <c r="CH112" s="18" t="s">
        <v>1421</v>
      </c>
    </row>
    <row r="113" spans="1:86" x14ac:dyDescent="0.2">
      <c r="A113" s="39" t="s">
        <v>1420</v>
      </c>
      <c r="B113" t="str">
        <f>ADP!B113</f>
        <v>Dwight</v>
      </c>
      <c r="C113" t="str">
        <f>ADP!C113</f>
        <v>A</v>
      </c>
      <c r="D113" t="str">
        <f>ADP!D113</f>
        <v>Warner</v>
      </c>
      <c r="E113" t="str">
        <f>ADP!P113</f>
        <v>008750</v>
      </c>
      <c r="F113" t="str">
        <f>ADP!I113&amp;".new.uat"</f>
        <v>DWarner@onebarnes.com.new.uat</v>
      </c>
      <c r="G113" s="18" t="s">
        <v>1427</v>
      </c>
      <c r="H113" t="str">
        <f>ADP!I113</f>
        <v>DWarner@onebarnes.com</v>
      </c>
      <c r="I113" t="str">
        <f>ADP!AJ113</f>
        <v>en_US</v>
      </c>
      <c r="J113" t="str">
        <f>ADP!AI113</f>
        <v>US</v>
      </c>
      <c r="L113" t="str">
        <f>ADP!AD113</f>
        <v>0096</v>
      </c>
      <c r="M113" t="str">
        <f>ADP!AK113</f>
        <v>USD</v>
      </c>
      <c r="O113" s="18" t="str">
        <f>ADP!AM113</f>
        <v>Y</v>
      </c>
      <c r="P113" t="str">
        <f>ADP!AD113</f>
        <v>0096</v>
      </c>
      <c r="Q113">
        <f>ADP!AE113</f>
        <v>910</v>
      </c>
      <c r="W113" t="str">
        <f>ADP!AA113</f>
        <v>S18</v>
      </c>
      <c r="X113" t="str">
        <f>ADP!AG113</f>
        <v>General</v>
      </c>
      <c r="Z113" t="str">
        <f t="shared" si="1"/>
        <v>0096</v>
      </c>
      <c r="AB113" t="str">
        <f>ADP!AN113</f>
        <v/>
      </c>
      <c r="AC113" t="str">
        <f>ADP!AL113</f>
        <v/>
      </c>
      <c r="AP113" t="str">
        <f>ADP!AD113</f>
        <v>0096</v>
      </c>
      <c r="BG113" t="str">
        <f>ADP!AC113</f>
        <v>207709</v>
      </c>
      <c r="BK113" s="18" t="s">
        <v>1421</v>
      </c>
      <c r="BL113" s="18" t="s">
        <v>1421</v>
      </c>
      <c r="BU113" s="18" t="str">
        <f>ADP!AO113</f>
        <v>Y</v>
      </c>
      <c r="BV113" s="18" t="str">
        <f>ADP!AO113</f>
        <v>Y</v>
      </c>
      <c r="CE113" s="18" t="s">
        <v>1421</v>
      </c>
      <c r="CH113" s="18" t="s">
        <v>1421</v>
      </c>
    </row>
    <row r="114" spans="1:86" x14ac:dyDescent="0.2">
      <c r="A114" s="39" t="s">
        <v>1420</v>
      </c>
      <c r="B114" t="str">
        <f>ADP!B114</f>
        <v>Bonnetta</v>
      </c>
      <c r="C114" t="str">
        <f>ADP!C114</f>
        <v>D</v>
      </c>
      <c r="D114" t="str">
        <f>ADP!D114</f>
        <v>Warren</v>
      </c>
      <c r="E114" t="str">
        <f>ADP!P114</f>
        <v>212705</v>
      </c>
      <c r="F114" t="str">
        <f>ADP!I114&amp;".new.uat"</f>
        <v>bwarren@onebarnes.com.new.uat</v>
      </c>
      <c r="G114" s="18" t="s">
        <v>1427</v>
      </c>
      <c r="H114" t="str">
        <f>ADP!I114</f>
        <v>bwarren@onebarnes.com</v>
      </c>
      <c r="I114" t="str">
        <f>ADP!AJ114</f>
        <v>en_US</v>
      </c>
      <c r="J114" t="str">
        <f>ADP!AI114</f>
        <v>US</v>
      </c>
      <c r="L114" t="str">
        <f>ADP!AD114</f>
        <v>0088</v>
      </c>
      <c r="M114" t="str">
        <f>ADP!AK114</f>
        <v>USD</v>
      </c>
      <c r="O114" s="18" t="str">
        <f>ADP!AM114</f>
        <v>Y</v>
      </c>
      <c r="P114" t="str">
        <f>ADP!AD114</f>
        <v>0088</v>
      </c>
      <c r="Q114">
        <f>ADP!AE114</f>
        <v>9210</v>
      </c>
      <c r="W114" t="str">
        <f>ADP!AA114</f>
        <v>S15</v>
      </c>
      <c r="X114" t="str">
        <f>ADP!AG114</f>
        <v>General</v>
      </c>
      <c r="Z114" t="str">
        <f t="shared" si="1"/>
        <v>0088</v>
      </c>
      <c r="AB114" t="str">
        <f>ADP!AN114</f>
        <v/>
      </c>
      <c r="AC114" t="str">
        <f>ADP!AL114</f>
        <v/>
      </c>
      <c r="AP114" t="str">
        <f>ADP!AD114</f>
        <v>0088</v>
      </c>
      <c r="BG114" t="str">
        <f>ADP!AC114</f>
        <v>209181</v>
      </c>
      <c r="BK114" s="18" t="s">
        <v>1421</v>
      </c>
      <c r="BL114" s="18" t="s">
        <v>1421</v>
      </c>
      <c r="BU114" s="18" t="str">
        <f>ADP!AO114</f>
        <v>N</v>
      </c>
      <c r="BV114" s="18" t="str">
        <f>ADP!AO114</f>
        <v>N</v>
      </c>
      <c r="CE114" s="18" t="s">
        <v>1421</v>
      </c>
      <c r="CH114" s="18" t="s">
        <v>1421</v>
      </c>
    </row>
    <row r="115" spans="1:86" x14ac:dyDescent="0.2">
      <c r="A115" s="39" t="s">
        <v>1420</v>
      </c>
      <c r="B115" t="str">
        <f>ADP!B115</f>
        <v>Russell</v>
      </c>
      <c r="C115" t="str">
        <f>ADP!C115</f>
        <v>L</v>
      </c>
      <c r="D115" t="str">
        <f>ADP!D115</f>
        <v>Weaver</v>
      </c>
      <c r="E115" t="str">
        <f>ADP!P115</f>
        <v>901090</v>
      </c>
      <c r="F115" t="str">
        <f>ADP!I115&amp;".new.uat"</f>
        <v>RLWeaver@onebarnes.com.new.uat</v>
      </c>
      <c r="G115" s="18" t="s">
        <v>1427</v>
      </c>
      <c r="H115" t="str">
        <f>ADP!I115</f>
        <v>RLWeaver@onebarnes.com</v>
      </c>
      <c r="I115" t="str">
        <f>ADP!AJ115</f>
        <v>en_US</v>
      </c>
      <c r="J115" t="str">
        <f>ADP!AI115</f>
        <v>US</v>
      </c>
      <c r="L115" t="str">
        <f>ADP!AD115</f>
        <v>0096</v>
      </c>
      <c r="M115" t="str">
        <f>ADP!AK115</f>
        <v>USD</v>
      </c>
      <c r="O115" s="18" t="str">
        <f>ADP!AM115</f>
        <v>Y</v>
      </c>
      <c r="P115" t="str">
        <f>ADP!AD115</f>
        <v>0096</v>
      </c>
      <c r="Q115">
        <f>ADP!AE115</f>
        <v>713</v>
      </c>
      <c r="W115" t="str">
        <f>ADP!AA115</f>
        <v>S14</v>
      </c>
      <c r="X115" t="str">
        <f>ADP!AG115</f>
        <v>General</v>
      </c>
      <c r="Z115" t="str">
        <f t="shared" si="1"/>
        <v>0096</v>
      </c>
      <c r="AB115" t="str">
        <f>ADP!AN115</f>
        <v/>
      </c>
      <c r="AC115" t="str">
        <f>ADP!AL115</f>
        <v/>
      </c>
      <c r="AP115" t="str">
        <f>ADP!AD115</f>
        <v>0096</v>
      </c>
      <c r="BG115" t="str">
        <f>ADP!AC115</f>
        <v>213037</v>
      </c>
      <c r="BK115" s="18" t="s">
        <v>1421</v>
      </c>
      <c r="BL115" s="18" t="s">
        <v>1421</v>
      </c>
      <c r="BU115" s="18" t="str">
        <f>ADP!AO115</f>
        <v>N</v>
      </c>
      <c r="BV115" s="18" t="str">
        <f>ADP!AO115</f>
        <v>N</v>
      </c>
      <c r="CE115" s="18" t="s">
        <v>1421</v>
      </c>
      <c r="CH115" s="18" t="s">
        <v>1421</v>
      </c>
    </row>
    <row r="116" spans="1:86" x14ac:dyDescent="0.2">
      <c r="A116" s="39" t="s">
        <v>1420</v>
      </c>
      <c r="B116" t="str">
        <f>ADP!B116</f>
        <v>Joann</v>
      </c>
      <c r="C116" t="str">
        <f>ADP!C116</f>
        <v/>
      </c>
      <c r="D116" t="str">
        <f>ADP!D116</f>
        <v>Whaley</v>
      </c>
      <c r="E116" t="str">
        <f>ADP!P116</f>
        <v>207850</v>
      </c>
      <c r="F116" t="str">
        <f>ADP!I116&amp;".new.uat"</f>
        <v>jwhaley@asraymond.com.new.uat</v>
      </c>
      <c r="G116" s="18" t="s">
        <v>1427</v>
      </c>
      <c r="H116" t="str">
        <f>ADP!I116</f>
        <v>jwhaley@asraymond.com</v>
      </c>
      <c r="I116" t="str">
        <f>ADP!AJ116</f>
        <v>en_US</v>
      </c>
      <c r="J116" t="str">
        <f>ADP!AI116</f>
        <v>US</v>
      </c>
      <c r="L116" t="str">
        <f>ADP!AD116</f>
        <v>0088</v>
      </c>
      <c r="M116" t="str">
        <f>ADP!AK116</f>
        <v>USD</v>
      </c>
      <c r="O116" s="18" t="str">
        <f>ADP!AM116</f>
        <v>Y</v>
      </c>
      <c r="P116" t="str">
        <f>ADP!AD116</f>
        <v>0088</v>
      </c>
      <c r="Q116">
        <f>ADP!AE116</f>
        <v>8200</v>
      </c>
      <c r="W116" t="str">
        <f>ADP!AA116</f>
        <v>S10</v>
      </c>
      <c r="X116" t="str">
        <f>ADP!AG116</f>
        <v>General</v>
      </c>
      <c r="Z116" t="str">
        <f t="shared" si="1"/>
        <v>0088</v>
      </c>
      <c r="AB116" t="str">
        <f>ADP!AN116</f>
        <v/>
      </c>
      <c r="AC116" t="str">
        <f>ADP!AL116</f>
        <v/>
      </c>
      <c r="AP116" t="str">
        <f>ADP!AD116</f>
        <v>0088</v>
      </c>
      <c r="BG116" t="str">
        <f>ADP!AC116</f>
        <v>211601</v>
      </c>
      <c r="BK116" s="18" t="s">
        <v>1421</v>
      </c>
      <c r="BL116" s="18" t="s">
        <v>1421</v>
      </c>
      <c r="BU116" s="18" t="str">
        <f>ADP!AO116</f>
        <v>N</v>
      </c>
      <c r="BV116" s="18" t="str">
        <f>ADP!AO116</f>
        <v>N</v>
      </c>
      <c r="CE116" s="18" t="s">
        <v>1421</v>
      </c>
      <c r="CH116" s="18" t="s">
        <v>1421</v>
      </c>
    </row>
    <row r="117" spans="1:86" x14ac:dyDescent="0.2">
      <c r="A117" s="39" t="s">
        <v>1420</v>
      </c>
      <c r="B117" t="str">
        <f>ADP!B117</f>
        <v>Daniel</v>
      </c>
      <c r="C117" t="str">
        <f>ADP!C117</f>
        <v/>
      </c>
      <c r="D117" t="str">
        <f>ADP!D117</f>
        <v>White</v>
      </c>
      <c r="E117" t="str">
        <f>ADP!P117</f>
        <v>211939</v>
      </c>
      <c r="F117" t="str">
        <f>ADP!I117&amp;".new.uat"</f>
        <v>dwhite@onebarnes.com.new.uat</v>
      </c>
      <c r="G117" s="18" t="s">
        <v>1427</v>
      </c>
      <c r="H117" t="str">
        <f>ADP!I117</f>
        <v>dwhite@onebarnes.com</v>
      </c>
      <c r="I117" t="str">
        <f>ADP!AJ117</f>
        <v>en_US</v>
      </c>
      <c r="J117" t="str">
        <f>ADP!AI117</f>
        <v>US</v>
      </c>
      <c r="L117" t="str">
        <f>ADP!AD117</f>
        <v>0096</v>
      </c>
      <c r="M117" t="str">
        <f>ADP!AK117</f>
        <v>USD</v>
      </c>
      <c r="O117" s="18" t="str">
        <f>ADP!AM117</f>
        <v>Y</v>
      </c>
      <c r="P117" t="str">
        <f>ADP!AD117</f>
        <v>0096</v>
      </c>
      <c r="Q117">
        <f>ADP!AE117</f>
        <v>850</v>
      </c>
      <c r="W117" t="str">
        <f>ADP!AA117</f>
        <v>S10</v>
      </c>
      <c r="X117" t="str">
        <f>ADP!AG117</f>
        <v>General</v>
      </c>
      <c r="Z117" t="str">
        <f t="shared" si="1"/>
        <v>0096</v>
      </c>
      <c r="AB117" t="str">
        <f>ADP!AN117</f>
        <v/>
      </c>
      <c r="AC117" t="str">
        <f>ADP!AL117</f>
        <v/>
      </c>
      <c r="AP117" t="str">
        <f>ADP!AD117</f>
        <v>0096</v>
      </c>
      <c r="BG117" t="str">
        <f>ADP!AC117</f>
        <v>211998</v>
      </c>
      <c r="BK117" s="18" t="s">
        <v>1421</v>
      </c>
      <c r="BL117" s="18" t="s">
        <v>1421</v>
      </c>
      <c r="BU117" s="18" t="str">
        <f>ADP!AO117</f>
        <v>N</v>
      </c>
      <c r="BV117" s="18" t="str">
        <f>ADP!AO117</f>
        <v>N</v>
      </c>
      <c r="CE117" s="18" t="s">
        <v>1421</v>
      </c>
      <c r="CH117" s="18" t="s">
        <v>1421</v>
      </c>
    </row>
    <row r="118" spans="1:86" x14ac:dyDescent="0.2">
      <c r="A118" s="39" t="s">
        <v>1420</v>
      </c>
      <c r="B118" t="str">
        <f>ADP!B118</f>
        <v>William</v>
      </c>
      <c r="C118" t="str">
        <f>ADP!C118</f>
        <v>M</v>
      </c>
      <c r="D118" t="str">
        <f>ADP!D118</f>
        <v>Wilkins</v>
      </c>
      <c r="E118" t="str">
        <f>ADP!P118</f>
        <v>901934</v>
      </c>
      <c r="F118" t="str">
        <f>ADP!I118&amp;".new.uat"</f>
        <v>wwilkins@onebarnes.com.new.uat</v>
      </c>
      <c r="G118" s="18" t="s">
        <v>1427</v>
      </c>
      <c r="H118" t="str">
        <f>ADP!I118</f>
        <v>wwilkins@onebarnes.com</v>
      </c>
      <c r="I118" t="str">
        <f>ADP!AJ118</f>
        <v>en_US</v>
      </c>
      <c r="J118" t="str">
        <f>ADP!AI118</f>
        <v>US</v>
      </c>
      <c r="L118" t="str">
        <f>ADP!AD118</f>
        <v>0096</v>
      </c>
      <c r="M118" t="str">
        <f>ADP!AK118</f>
        <v>USD</v>
      </c>
      <c r="O118" s="18" t="str">
        <f>ADP!AM118</f>
        <v>Y</v>
      </c>
      <c r="P118" t="str">
        <f>ADP!AD118</f>
        <v>0096</v>
      </c>
      <c r="Q118">
        <f>ADP!AE118</f>
        <v>820</v>
      </c>
      <c r="W118" t="str">
        <f>ADP!AA118</f>
        <v>S17</v>
      </c>
      <c r="X118" t="str">
        <f>ADP!AG118</f>
        <v>General</v>
      </c>
      <c r="Z118" t="str">
        <f t="shared" si="1"/>
        <v>0096</v>
      </c>
      <c r="AB118" t="str">
        <f>ADP!AN118</f>
        <v/>
      </c>
      <c r="AC118" t="str">
        <f>ADP!AL118</f>
        <v/>
      </c>
      <c r="AP118" t="str">
        <f>ADP!AD118</f>
        <v>0096</v>
      </c>
      <c r="BG118" t="str">
        <f>ADP!AC118</f>
        <v>207588</v>
      </c>
      <c r="BK118" s="18" t="s">
        <v>1421</v>
      </c>
      <c r="BL118" s="18" t="s">
        <v>1421</v>
      </c>
      <c r="BU118" s="18" t="str">
        <f>ADP!AO118</f>
        <v>Y</v>
      </c>
      <c r="BV118" s="18" t="str">
        <f>ADP!AO118</f>
        <v>Y</v>
      </c>
      <c r="CE118" s="18" t="s">
        <v>1421</v>
      </c>
      <c r="CH118" s="18" t="s">
        <v>1421</v>
      </c>
    </row>
    <row r="119" spans="1:86" x14ac:dyDescent="0.2">
      <c r="A119" s="39" t="s">
        <v>1420</v>
      </c>
      <c r="B119" t="str">
        <f>ADP!B119</f>
        <v>Rachel</v>
      </c>
      <c r="C119" t="str">
        <f>ADP!C119</f>
        <v>L</v>
      </c>
      <c r="D119" t="str">
        <f>ADP!D119</f>
        <v>Williams</v>
      </c>
      <c r="E119" t="str">
        <f>ADP!P119</f>
        <v>202533</v>
      </c>
      <c r="F119" t="str">
        <f>ADP!I119&amp;".new.uat"</f>
        <v>rmarchyok@onebarnes.com.new.uat</v>
      </c>
      <c r="G119" s="18" t="s">
        <v>1427</v>
      </c>
      <c r="H119" t="str">
        <f>ADP!I119</f>
        <v>rmarchyok@onebarnes.com</v>
      </c>
      <c r="I119" t="str">
        <f>ADP!AJ119</f>
        <v>en_US</v>
      </c>
      <c r="J119" t="str">
        <f>ADP!AI119</f>
        <v>US</v>
      </c>
      <c r="L119" t="str">
        <f>ADP!AD119</f>
        <v>0088</v>
      </c>
      <c r="M119" t="str">
        <f>ADP!AK119</f>
        <v>USD</v>
      </c>
      <c r="O119" s="18" t="str">
        <f>ADP!AM119</f>
        <v>Y</v>
      </c>
      <c r="P119" t="str">
        <f>ADP!AD119</f>
        <v>0088</v>
      </c>
      <c r="Q119">
        <f>ADP!AE119</f>
        <v>8100</v>
      </c>
      <c r="W119" t="str">
        <f>ADP!AA119</f>
        <v>S14</v>
      </c>
      <c r="X119" t="str">
        <f>ADP!AG119</f>
        <v>General</v>
      </c>
      <c r="Z119" t="str">
        <f t="shared" si="1"/>
        <v>0088</v>
      </c>
      <c r="AB119" t="str">
        <f>ADP!AN119</f>
        <v/>
      </c>
      <c r="AC119" t="str">
        <f>ADP!AL119</f>
        <v/>
      </c>
      <c r="AP119" t="str">
        <f>ADP!AD119</f>
        <v>0088</v>
      </c>
      <c r="BG119" t="str">
        <f>ADP!AC119</f>
        <v>211766</v>
      </c>
      <c r="BK119" s="18" t="s">
        <v>1421</v>
      </c>
      <c r="BL119" s="18" t="s">
        <v>1421</v>
      </c>
      <c r="BU119" s="18" t="str">
        <f>ADP!AO119</f>
        <v>N</v>
      </c>
      <c r="BV119" s="18" t="str">
        <f>ADP!AO119</f>
        <v>N</v>
      </c>
      <c r="CE119" s="18" t="s">
        <v>1421</v>
      </c>
      <c r="CH119" s="18" t="s">
        <v>1421</v>
      </c>
    </row>
    <row r="120" spans="1:86" x14ac:dyDescent="0.2">
      <c r="A120" s="39" t="s">
        <v>1420</v>
      </c>
      <c r="B120" t="str">
        <f>ADP!B120</f>
        <v>Shelly</v>
      </c>
      <c r="C120" t="str">
        <f>ADP!C120</f>
        <v>R</v>
      </c>
      <c r="D120" t="str">
        <f>ADP!D120</f>
        <v>Willis-Garza</v>
      </c>
      <c r="E120" t="str">
        <f>ADP!P120</f>
        <v>206672</v>
      </c>
      <c r="F120" t="str">
        <f>ADP!I120&amp;".new.uat"</f>
        <v>swillis-garza@onebarnes.com.new.uat</v>
      </c>
      <c r="G120" s="18" t="s">
        <v>1427</v>
      </c>
      <c r="H120" t="str">
        <f>ADP!I120</f>
        <v>swillis-garza@onebarnes.com</v>
      </c>
      <c r="I120" t="str">
        <f>ADP!AJ120</f>
        <v>en_US</v>
      </c>
      <c r="J120" t="str">
        <f>ADP!AI120</f>
        <v>US</v>
      </c>
      <c r="L120" t="str">
        <f>ADP!AD120</f>
        <v>0088</v>
      </c>
      <c r="M120" t="str">
        <f>ADP!AK120</f>
        <v>USD</v>
      </c>
      <c r="O120" s="18" t="str">
        <f>ADP!AM120</f>
        <v>Y</v>
      </c>
      <c r="P120" t="str">
        <f>ADP!AD120</f>
        <v>0088</v>
      </c>
      <c r="Q120">
        <f>ADP!AE120</f>
        <v>9400</v>
      </c>
      <c r="W120" t="str">
        <f>ADP!AA120</f>
        <v>S12</v>
      </c>
      <c r="X120" t="str">
        <f>ADP!AG120</f>
        <v>General</v>
      </c>
      <c r="Z120" t="str">
        <f t="shared" si="1"/>
        <v>0088</v>
      </c>
      <c r="AB120" t="str">
        <f>ADP!AN120</f>
        <v/>
      </c>
      <c r="AC120" t="str">
        <f>ADP!AL120</f>
        <v/>
      </c>
      <c r="AP120" t="str">
        <f>ADP!AD120</f>
        <v>0088</v>
      </c>
      <c r="BG120" t="str">
        <f>ADP!AC120</f>
        <v>212699</v>
      </c>
      <c r="BK120" s="18" t="s">
        <v>1421</v>
      </c>
      <c r="BL120" s="18" t="s">
        <v>1421</v>
      </c>
      <c r="BU120" s="18" t="str">
        <f>ADP!AO120</f>
        <v>N</v>
      </c>
      <c r="BV120" s="18" t="str">
        <f>ADP!AO120</f>
        <v>N</v>
      </c>
      <c r="CE120" s="18" t="s">
        <v>1421</v>
      </c>
      <c r="CH120" s="18" t="s">
        <v>1421</v>
      </c>
    </row>
    <row r="121" spans="1:86" x14ac:dyDescent="0.2">
      <c r="A121" s="39" t="s">
        <v>1420</v>
      </c>
      <c r="B121" t="str">
        <f>ADP!B121</f>
        <v>David</v>
      </c>
      <c r="C121" t="str">
        <f>ADP!C121</f>
        <v/>
      </c>
      <c r="D121" t="str">
        <f>ADP!D121</f>
        <v>Wilson</v>
      </c>
      <c r="E121" t="str">
        <f>ADP!P121</f>
        <v>207809</v>
      </c>
      <c r="F121" t="str">
        <f>ADP!I121&amp;".new.uat"</f>
        <v>dwilson@onebarnes.com.new.uat</v>
      </c>
      <c r="G121" s="18" t="s">
        <v>1427</v>
      </c>
      <c r="H121" t="str">
        <f>ADP!I121</f>
        <v>dwilson@onebarnes.com</v>
      </c>
      <c r="I121" t="str">
        <f>ADP!AJ121</f>
        <v>en_US</v>
      </c>
      <c r="J121" t="str">
        <f>ADP!AI121</f>
        <v>US</v>
      </c>
      <c r="L121" t="str">
        <f>ADP!AD121</f>
        <v>0088</v>
      </c>
      <c r="M121" t="str">
        <f>ADP!AK121</f>
        <v>USD</v>
      </c>
      <c r="O121" s="18" t="str">
        <f>ADP!AM121</f>
        <v>Y</v>
      </c>
      <c r="P121" t="str">
        <f>ADP!AD121</f>
        <v>0088</v>
      </c>
      <c r="Q121">
        <f>ADP!AE121</f>
        <v>9500</v>
      </c>
      <c r="W121" t="str">
        <f>ADP!AA121</f>
        <v>S12</v>
      </c>
      <c r="X121" t="str">
        <f>ADP!AG121</f>
        <v>General</v>
      </c>
      <c r="Z121" t="str">
        <f t="shared" si="1"/>
        <v>0088</v>
      </c>
      <c r="AB121" t="str">
        <f>ADP!AN121</f>
        <v/>
      </c>
      <c r="AC121" t="str">
        <f>ADP!AL121</f>
        <v/>
      </c>
      <c r="AP121" t="str">
        <f>ADP!AD121</f>
        <v>0088</v>
      </c>
      <c r="BG121" t="str">
        <f>ADP!AC121</f>
        <v>210892</v>
      </c>
      <c r="BK121" s="18" t="s">
        <v>1421</v>
      </c>
      <c r="BL121" s="18" t="s">
        <v>1421</v>
      </c>
      <c r="BU121" s="18" t="str">
        <f>ADP!AO121</f>
        <v>N</v>
      </c>
      <c r="BV121" s="18" t="str">
        <f>ADP!AO121</f>
        <v>N</v>
      </c>
      <c r="CE121" s="18" t="s">
        <v>1421</v>
      </c>
      <c r="CH121" s="18" t="s">
        <v>1421</v>
      </c>
    </row>
    <row r="122" spans="1:86" x14ac:dyDescent="0.2">
      <c r="A122" s="39" t="s">
        <v>1420</v>
      </c>
      <c r="B122" t="str">
        <f>ADP!B122</f>
        <v>Richard</v>
      </c>
      <c r="C122" t="str">
        <f>ADP!C122</f>
        <v>M</v>
      </c>
      <c r="D122" t="str">
        <f>ADP!D122</f>
        <v>Wright</v>
      </c>
      <c r="E122" t="str">
        <f>ADP!P122</f>
        <v>212100</v>
      </c>
      <c r="F122" t="str">
        <f>ADP!I122&amp;".new.uat"</f>
        <v>mwright@onebarnes.com.new.uat</v>
      </c>
      <c r="G122" s="18" t="s">
        <v>1427</v>
      </c>
      <c r="H122" t="str">
        <f>ADP!I122</f>
        <v>mwright@onebarnes.com</v>
      </c>
      <c r="I122" t="str">
        <f>ADP!AJ122</f>
        <v>en_US</v>
      </c>
      <c r="J122" t="str">
        <f>ADP!AI122</f>
        <v>US</v>
      </c>
      <c r="L122" t="str">
        <f>ADP!AD122</f>
        <v>0096</v>
      </c>
      <c r="M122" t="str">
        <f>ADP!AK122</f>
        <v>USD</v>
      </c>
      <c r="O122" s="18" t="str">
        <f>ADP!AM122</f>
        <v>Y</v>
      </c>
      <c r="P122" t="str">
        <f>ADP!AD122</f>
        <v>0096</v>
      </c>
      <c r="Q122">
        <f>ADP!AE122</f>
        <v>450</v>
      </c>
      <c r="W122" t="str">
        <f>ADP!AA122</f>
        <v>H08</v>
      </c>
      <c r="X122" t="str">
        <f>ADP!AG122</f>
        <v>General</v>
      </c>
      <c r="Z122" t="str">
        <f t="shared" si="1"/>
        <v>0096</v>
      </c>
      <c r="AB122" t="str">
        <f>ADP!AN122</f>
        <v/>
      </c>
      <c r="AC122" t="str">
        <f>ADP!AL122</f>
        <v>Max Wright</v>
      </c>
      <c r="AP122" t="str">
        <f>ADP!AD122</f>
        <v>0096</v>
      </c>
      <c r="BG122" t="str">
        <f>ADP!AC122</f>
        <v>006780</v>
      </c>
      <c r="BK122" s="18" t="s">
        <v>1421</v>
      </c>
      <c r="BL122" s="18" t="s">
        <v>1421</v>
      </c>
      <c r="BU122" s="18" t="str">
        <f>ADP!AO122</f>
        <v>N</v>
      </c>
      <c r="BV122" s="18" t="str">
        <f>ADP!AO122</f>
        <v>N</v>
      </c>
      <c r="CE122" s="18" t="s">
        <v>1421</v>
      </c>
      <c r="CH122" s="18" t="s">
        <v>1421</v>
      </c>
    </row>
    <row r="123" spans="1:86" x14ac:dyDescent="0.2">
      <c r="A123" s="39" t="s">
        <v>1420</v>
      </c>
      <c r="B123" t="str">
        <f>ADP!B123</f>
        <v>John</v>
      </c>
      <c r="C123" t="str">
        <f>ADP!C123</f>
        <v/>
      </c>
      <c r="D123" t="str">
        <f>ADP!D123</f>
        <v>Eward</v>
      </c>
      <c r="E123" t="str">
        <f>ADP!P123</f>
        <v>212921</v>
      </c>
      <c r="F123" t="str">
        <f>ADP!I123&amp;".new.uat"</f>
        <v>jeward@onebarnes.com.new.uat</v>
      </c>
      <c r="G123" s="18" t="s">
        <v>1427</v>
      </c>
      <c r="H123" t="str">
        <f>ADP!I123</f>
        <v>jeward@onebarnes.com</v>
      </c>
      <c r="I123" t="str">
        <f>ADP!AJ123</f>
        <v>en_US</v>
      </c>
      <c r="J123" t="str">
        <f>ADP!AI123</f>
        <v>US</v>
      </c>
      <c r="L123" t="str">
        <f>ADP!AD123</f>
        <v>0088</v>
      </c>
      <c r="M123" t="str">
        <f>ADP!AK123</f>
        <v>USD</v>
      </c>
      <c r="O123" s="18" t="str">
        <f>ADP!AM123</f>
        <v>Y</v>
      </c>
      <c r="P123" t="str">
        <f>ADP!AD123</f>
        <v>0088</v>
      </c>
      <c r="Q123">
        <f>ADP!AE123</f>
        <v>5200</v>
      </c>
      <c r="W123" t="str">
        <f>ADP!AA123</f>
        <v>S08</v>
      </c>
      <c r="X123" t="str">
        <f>ADP!AG123</f>
        <v>General</v>
      </c>
      <c r="Z123" t="str">
        <f t="shared" si="1"/>
        <v>0088</v>
      </c>
      <c r="AB123" t="str">
        <f>ADP!AN123</f>
        <v/>
      </c>
      <c r="AC123" t="str">
        <f>ADP!AL123</f>
        <v/>
      </c>
      <c r="AP123" t="str">
        <f>ADP!AD123</f>
        <v>0088</v>
      </c>
      <c r="BG123" t="str">
        <f>ADP!AC123</f>
        <v>207487</v>
      </c>
      <c r="BK123" s="18" t="s">
        <v>1421</v>
      </c>
      <c r="BL123" s="18" t="s">
        <v>1421</v>
      </c>
      <c r="BU123" s="18" t="str">
        <f>ADP!AO123</f>
        <v>N</v>
      </c>
      <c r="BV123" s="18" t="str">
        <f>ADP!AO123</f>
        <v>N</v>
      </c>
      <c r="CE123" s="18" t="s">
        <v>1421</v>
      </c>
      <c r="CH123" s="18" t="s">
        <v>1421</v>
      </c>
    </row>
    <row r="124" spans="1:86" x14ac:dyDescent="0.2">
      <c r="A124" s="39" t="s">
        <v>1420</v>
      </c>
      <c r="B124" t="str">
        <f>ADP!B124</f>
        <v>Sai Anusha</v>
      </c>
      <c r="C124" t="str">
        <f>ADP!C124</f>
        <v/>
      </c>
      <c r="D124" t="str">
        <f>ADP!D124</f>
        <v>Kodali</v>
      </c>
      <c r="E124" t="str">
        <f>ADP!P124</f>
        <v>211085</v>
      </c>
      <c r="F124" t="str">
        <f>ADP!I124&amp;".new.uat"</f>
        <v>skodalii@onebarnes.com.new.uat</v>
      </c>
      <c r="G124" s="18" t="s">
        <v>1427</v>
      </c>
      <c r="H124" t="str">
        <f>ADP!I124</f>
        <v>skodalii@onebarnes.com</v>
      </c>
      <c r="I124" t="str">
        <f>ADP!AJ124</f>
        <v>en_US</v>
      </c>
      <c r="J124" t="str">
        <f>ADP!AI124</f>
        <v>US</v>
      </c>
      <c r="L124" t="str">
        <f>ADP!AD124</f>
        <v>0088</v>
      </c>
      <c r="M124" t="str">
        <f>ADP!AK124</f>
        <v>USD</v>
      </c>
      <c r="O124" s="18" t="str">
        <f>ADP!AM124</f>
        <v>Y</v>
      </c>
      <c r="P124" t="str">
        <f>ADP!AD124</f>
        <v>0088</v>
      </c>
      <c r="Q124">
        <f>ADP!AE124</f>
        <v>8300</v>
      </c>
      <c r="W124" t="str">
        <f>ADP!AA124</f>
        <v>S12</v>
      </c>
      <c r="X124" t="str">
        <f>ADP!AG124</f>
        <v>General</v>
      </c>
      <c r="Z124" t="str">
        <f t="shared" si="1"/>
        <v>0088</v>
      </c>
      <c r="AB124" t="str">
        <f>ADP!AN124</f>
        <v/>
      </c>
      <c r="AC124" t="str">
        <f>ADP!AL124</f>
        <v/>
      </c>
      <c r="AP124" t="str">
        <f>ADP!AD124</f>
        <v>0088</v>
      </c>
      <c r="BG124" t="str">
        <f>ADP!AC124</f>
        <v>211766</v>
      </c>
      <c r="BK124" s="18" t="s">
        <v>1421</v>
      </c>
      <c r="BL124" s="18" t="s">
        <v>1421</v>
      </c>
      <c r="BU124" s="18" t="str">
        <f>ADP!AO124</f>
        <v>N</v>
      </c>
      <c r="BV124" s="18" t="str">
        <f>ADP!AO124</f>
        <v>N</v>
      </c>
      <c r="CE124" s="18" t="s">
        <v>1421</v>
      </c>
      <c r="CH124" s="18" t="s">
        <v>1421</v>
      </c>
    </row>
    <row r="125" spans="1:86" x14ac:dyDescent="0.2">
      <c r="A125" s="39" t="s">
        <v>1420</v>
      </c>
      <c r="B125" t="str">
        <f>ADP!B125</f>
        <v>Shannon</v>
      </c>
      <c r="C125" t="str">
        <f>ADP!C125</f>
        <v>K</v>
      </c>
      <c r="D125" t="str">
        <f>ADP!D125</f>
        <v>O'Day</v>
      </c>
      <c r="E125" t="str">
        <f>ADP!P125</f>
        <v>663830</v>
      </c>
      <c r="F125" t="str">
        <f>ADP!I125&amp;".new.uat"</f>
        <v>soday@onebarnes.com.new.uat</v>
      </c>
      <c r="G125" s="18" t="s">
        <v>1427</v>
      </c>
      <c r="H125" t="str">
        <f>ADP!I125</f>
        <v>soday@onebarnes.com</v>
      </c>
      <c r="I125" t="str">
        <f>ADP!AJ125</f>
        <v>en_US</v>
      </c>
      <c r="J125" t="str">
        <f>ADP!AI125</f>
        <v>US</v>
      </c>
      <c r="L125" t="str">
        <f>ADP!AD125</f>
        <v>0088</v>
      </c>
      <c r="M125" t="str">
        <f>ADP!AK125</f>
        <v>USD</v>
      </c>
      <c r="O125" s="18" t="str">
        <f>ADP!AM125</f>
        <v>Y</v>
      </c>
      <c r="P125" t="str">
        <f>ADP!AD125</f>
        <v>0088</v>
      </c>
      <c r="Q125">
        <f>ADP!AE125</f>
        <v>5100</v>
      </c>
      <c r="W125" t="str">
        <f>ADP!AA125</f>
        <v>S05</v>
      </c>
      <c r="X125" t="str">
        <f>ADP!AG125</f>
        <v>General</v>
      </c>
      <c r="Z125" t="str">
        <f t="shared" si="1"/>
        <v>0088</v>
      </c>
      <c r="AB125" t="str">
        <f>ADP!AN125</f>
        <v/>
      </c>
      <c r="AC125" t="str">
        <f>ADP!AL125</f>
        <v/>
      </c>
      <c r="AP125" t="str">
        <f>ADP!AD125</f>
        <v>0088</v>
      </c>
      <c r="BG125" t="str">
        <f>ADP!AC125</f>
        <v>211756</v>
      </c>
      <c r="BK125" s="18" t="s">
        <v>1421</v>
      </c>
      <c r="BL125" s="18" t="s">
        <v>1421</v>
      </c>
      <c r="BU125" s="18" t="str">
        <f>ADP!AO125</f>
        <v>N</v>
      </c>
      <c r="BV125" s="18" t="str">
        <f>ADP!AO125</f>
        <v>N</v>
      </c>
      <c r="CE125" s="18" t="s">
        <v>1421</v>
      </c>
      <c r="CH125" s="18" t="s">
        <v>1421</v>
      </c>
    </row>
    <row r="126" spans="1:86" x14ac:dyDescent="0.2">
      <c r="A126" s="39" t="s">
        <v>1420</v>
      </c>
      <c r="B126" t="str">
        <f>ADP!B126</f>
        <v>Roger</v>
      </c>
      <c r="C126" t="str">
        <f>ADP!C126</f>
        <v>l</v>
      </c>
      <c r="D126" t="str">
        <f>ADP!D126</f>
        <v>Shook</v>
      </c>
      <c r="E126" t="str">
        <f>ADP!P126</f>
        <v>207466</v>
      </c>
      <c r="F126" t="str">
        <f>ADP!I126&amp;".new.uat"</f>
        <v>rshook@onebarnes.com.new.uat</v>
      </c>
      <c r="G126" s="18" t="s">
        <v>1427</v>
      </c>
      <c r="H126" t="str">
        <f>ADP!I126</f>
        <v>rshook@onebarnes.com</v>
      </c>
      <c r="I126" t="str">
        <f>ADP!AJ126</f>
        <v>en_US</v>
      </c>
      <c r="J126" t="str">
        <f>ADP!AI126</f>
        <v>US</v>
      </c>
      <c r="L126" t="str">
        <f>ADP!AD126</f>
        <v>0088</v>
      </c>
      <c r="M126" t="str">
        <f>ADP!AK126</f>
        <v>USD</v>
      </c>
      <c r="O126" s="18" t="str">
        <f>ADP!AM126</f>
        <v>Y</v>
      </c>
      <c r="P126" t="str">
        <f>ADP!AD126</f>
        <v>0088</v>
      </c>
      <c r="Q126">
        <f>ADP!AE126</f>
        <v>5100</v>
      </c>
      <c r="W126" t="str">
        <f>ADP!AA126</f>
        <v>S05</v>
      </c>
      <c r="X126" t="str">
        <f>ADP!AG126</f>
        <v>General</v>
      </c>
      <c r="Z126" t="str">
        <f t="shared" si="1"/>
        <v>0088</v>
      </c>
      <c r="AB126" t="str">
        <f>ADP!AN126</f>
        <v/>
      </c>
      <c r="AC126" t="str">
        <f>ADP!AL126</f>
        <v/>
      </c>
      <c r="AP126" t="str">
        <f>ADP!AD126</f>
        <v>0088</v>
      </c>
      <c r="BG126" t="str">
        <f>ADP!AC126</f>
        <v>211756</v>
      </c>
      <c r="BK126" s="18" t="s">
        <v>1421</v>
      </c>
      <c r="BL126" s="18" t="s">
        <v>1421</v>
      </c>
      <c r="BU126" s="18" t="str">
        <f>ADP!AO126</f>
        <v>N</v>
      </c>
      <c r="BV126" s="18" t="str">
        <f>ADP!AO126</f>
        <v>N</v>
      </c>
      <c r="CE126" s="18" t="s">
        <v>1421</v>
      </c>
      <c r="CH126" s="18" t="s">
        <v>1421</v>
      </c>
    </row>
    <row r="127" spans="1:86" x14ac:dyDescent="0.2">
      <c r="A127" s="39" t="s">
        <v>1420</v>
      </c>
      <c r="B127" t="str">
        <f>ADP!B127</f>
        <v>Shawnta</v>
      </c>
      <c r="C127" t="str">
        <f>ADP!C127</f>
        <v/>
      </c>
      <c r="D127" t="str">
        <f>ADP!D127</f>
        <v>Mcglory</v>
      </c>
      <c r="E127" t="str">
        <f>ADP!P127</f>
        <v>211456</v>
      </c>
      <c r="F127" t="str">
        <f>ADP!I127&amp;".new.uat"</f>
        <v>smcglory@onebarnes.com.new.uat</v>
      </c>
      <c r="G127" s="18" t="s">
        <v>1427</v>
      </c>
      <c r="H127" t="str">
        <f>ADP!I127</f>
        <v>smcglory@onebarnes.com</v>
      </c>
      <c r="I127" t="str">
        <f>ADP!AJ127</f>
        <v>en_US</v>
      </c>
      <c r="J127" t="str">
        <f>ADP!AI127</f>
        <v>US</v>
      </c>
      <c r="L127" t="str">
        <f>ADP!AD127</f>
        <v>0088</v>
      </c>
      <c r="M127" t="str">
        <f>ADP!AK127</f>
        <v>USD</v>
      </c>
      <c r="O127" s="18" t="str">
        <f>ADP!AM127</f>
        <v>N</v>
      </c>
      <c r="P127" t="str">
        <f>ADP!AD127</f>
        <v>0088</v>
      </c>
      <c r="Q127">
        <f>ADP!AE127</f>
        <v>5100</v>
      </c>
      <c r="W127" t="str">
        <f>ADP!AA127</f>
        <v>S05</v>
      </c>
      <c r="X127" t="str">
        <f>ADP!AG127</f>
        <v>General</v>
      </c>
      <c r="Z127" t="str">
        <f t="shared" si="1"/>
        <v>0088</v>
      </c>
      <c r="AB127" t="str">
        <f>ADP!AN127</f>
        <v>20260902</v>
      </c>
      <c r="AC127" t="str">
        <f>ADP!AL127</f>
        <v/>
      </c>
      <c r="AP127" t="str">
        <f>ADP!AD127</f>
        <v>0088</v>
      </c>
      <c r="BG127" t="str">
        <f>ADP!AC127</f>
        <v>211756</v>
      </c>
      <c r="BK127" s="18" t="s">
        <v>1421</v>
      </c>
      <c r="BL127" s="18" t="s">
        <v>1421</v>
      </c>
      <c r="BU127" s="18" t="str">
        <f>ADP!AO127</f>
        <v>N</v>
      </c>
      <c r="BV127" s="18" t="str">
        <f>ADP!AO127</f>
        <v>N</v>
      </c>
      <c r="CE127" s="18" t="s">
        <v>1421</v>
      </c>
      <c r="CH127" s="18" t="s">
        <v>1421</v>
      </c>
    </row>
    <row r="128" spans="1:86" x14ac:dyDescent="0.2">
      <c r="A128" s="39" t="s">
        <v>1420</v>
      </c>
      <c r="B128" t="str">
        <f>ADP!B128</f>
        <v>Cassandra</v>
      </c>
      <c r="C128" t="str">
        <f>ADP!C128</f>
        <v>G</v>
      </c>
      <c r="D128" t="str">
        <f>ADP!D128</f>
        <v>Richards</v>
      </c>
      <c r="E128" t="str">
        <f>ADP!P128</f>
        <v>210727</v>
      </c>
      <c r="F128" t="str">
        <f>ADP!I128&amp;".new.uat"</f>
        <v>crichards@onebarnes.com.new.uat</v>
      </c>
      <c r="G128" s="18" t="s">
        <v>1427</v>
      </c>
      <c r="H128" t="str">
        <f>ADP!I128</f>
        <v>crichards@onebarnes.com</v>
      </c>
      <c r="I128" t="str">
        <f>ADP!AJ128</f>
        <v>en_US</v>
      </c>
      <c r="J128" t="str">
        <f>ADP!AI128</f>
        <v>US</v>
      </c>
      <c r="L128" t="str">
        <f>ADP!AD128</f>
        <v>0088</v>
      </c>
      <c r="M128" t="str">
        <f>ADP!AK128</f>
        <v>USD</v>
      </c>
      <c r="O128" s="18" t="str">
        <f>ADP!AM128</f>
        <v>N</v>
      </c>
      <c r="P128" t="str">
        <f>ADP!AD128</f>
        <v>0088</v>
      </c>
      <c r="Q128">
        <f>ADP!AE128</f>
        <v>5200</v>
      </c>
      <c r="W128" t="str">
        <f>ADP!AA128</f>
        <v>S05</v>
      </c>
      <c r="X128" t="str">
        <f>ADP!AG128</f>
        <v>General</v>
      </c>
      <c r="Z128" t="str">
        <f t="shared" si="1"/>
        <v>0088</v>
      </c>
      <c r="AB128" t="str">
        <f>ADP!AN128</f>
        <v>20260828</v>
      </c>
      <c r="AC128" t="str">
        <f>ADP!AL128</f>
        <v/>
      </c>
      <c r="AP128" t="str">
        <f>ADP!AD128</f>
        <v>0088</v>
      </c>
      <c r="BG128" t="str">
        <f>ADP!AC128</f>
        <v>211736</v>
      </c>
      <c r="BK128" s="18" t="s">
        <v>1421</v>
      </c>
      <c r="BL128" s="18" t="s">
        <v>1421</v>
      </c>
      <c r="BU128" s="18" t="str">
        <f>ADP!AO128</f>
        <v>N</v>
      </c>
      <c r="BV128" s="18" t="str">
        <f>ADP!AO128</f>
        <v>N</v>
      </c>
      <c r="CE128" s="18" t="s">
        <v>1421</v>
      </c>
      <c r="CH128" s="18" t="s">
        <v>1421</v>
      </c>
    </row>
    <row r="129" spans="1:86" x14ac:dyDescent="0.2">
      <c r="A129" s="39" t="s">
        <v>1420</v>
      </c>
      <c r="B129" t="str">
        <f>ADP!B129</f>
        <v>Isaak</v>
      </c>
      <c r="C129" t="str">
        <f>ADP!C129</f>
        <v>R</v>
      </c>
      <c r="D129" t="str">
        <f>ADP!D129</f>
        <v>Taiclet</v>
      </c>
      <c r="E129" t="str">
        <f>ADP!P129</f>
        <v>213227</v>
      </c>
      <c r="F129" t="str">
        <f>ADP!I129&amp;".new.uat"</f>
        <v>itaiclet@onebarnes.com.new.uat</v>
      </c>
      <c r="G129" s="18" t="s">
        <v>1427</v>
      </c>
      <c r="H129" t="str">
        <f>ADP!I129</f>
        <v>itaiclet@onebarnes.com</v>
      </c>
      <c r="I129" t="str">
        <f>ADP!AJ129</f>
        <v>en_US</v>
      </c>
      <c r="J129" t="str">
        <f>ADP!AI129</f>
        <v>US</v>
      </c>
      <c r="L129" t="str">
        <f>ADP!AD129</f>
        <v>0096</v>
      </c>
      <c r="M129" t="str">
        <f>ADP!AK129</f>
        <v>USD</v>
      </c>
      <c r="O129" s="18" t="str">
        <f>ADP!AM129</f>
        <v>N</v>
      </c>
      <c r="P129" t="str">
        <f>ADP!AD129</f>
        <v>0096</v>
      </c>
      <c r="Q129">
        <f>ADP!AE129</f>
        <v>500</v>
      </c>
      <c r="W129" t="str">
        <f>ADP!AA129</f>
        <v>H05</v>
      </c>
      <c r="X129" t="str">
        <f>ADP!AG129</f>
        <v>General</v>
      </c>
      <c r="Z129" t="str">
        <f t="shared" si="1"/>
        <v>0096</v>
      </c>
      <c r="AB129" t="str">
        <f>ADP!AN129</f>
        <v>20260821</v>
      </c>
      <c r="AC129" t="str">
        <f>ADP!AL129</f>
        <v/>
      </c>
      <c r="AP129" t="str">
        <f>ADP!AD129</f>
        <v>0096</v>
      </c>
      <c r="BG129" t="str">
        <f>ADP!AC129</f>
        <v>210910</v>
      </c>
      <c r="BK129" s="18" t="s">
        <v>1421</v>
      </c>
      <c r="BL129" s="18" t="s">
        <v>1421</v>
      </c>
      <c r="BU129" s="18" t="str">
        <f>ADP!AO129</f>
        <v>N</v>
      </c>
      <c r="BV129" s="18" t="str">
        <f>ADP!AO129</f>
        <v>N</v>
      </c>
      <c r="CE129" s="18" t="s">
        <v>1421</v>
      </c>
      <c r="CH129" s="18" t="s">
        <v>1421</v>
      </c>
    </row>
    <row r="130" spans="1:86" x14ac:dyDescent="0.2">
      <c r="A130" s="39" t="s">
        <v>1420</v>
      </c>
      <c r="B130" t="str">
        <f>ADP!B130</f>
        <v>Anthony</v>
      </c>
      <c r="C130" t="str">
        <f>ADP!C130</f>
        <v>J</v>
      </c>
      <c r="D130" t="str">
        <f>ADP!D130</f>
        <v>Moavero</v>
      </c>
      <c r="E130" t="str">
        <f>ADP!P130</f>
        <v>212052</v>
      </c>
      <c r="F130" t="str">
        <f>ADP!I130&amp;".new.uat"</f>
        <v>amoavero1@onebarnes.com.new.uat</v>
      </c>
      <c r="G130" s="18" t="s">
        <v>1427</v>
      </c>
      <c r="H130" t="str">
        <f>ADP!I130</f>
        <v>amoavero1@onebarnes.com</v>
      </c>
      <c r="I130" t="str">
        <f>ADP!AJ130</f>
        <v>en_US</v>
      </c>
      <c r="J130" t="str">
        <f>ADP!AI130</f>
        <v>US</v>
      </c>
      <c r="L130" t="str">
        <f>ADP!AD130</f>
        <v>0096</v>
      </c>
      <c r="M130" t="str">
        <f>ADP!AK130</f>
        <v>USD</v>
      </c>
      <c r="O130" s="18" t="str">
        <f>ADP!AM130</f>
        <v>N</v>
      </c>
      <c r="P130" t="str">
        <f>ADP!AD130</f>
        <v>0096</v>
      </c>
      <c r="Q130">
        <f>ADP!AE130</f>
        <v>900</v>
      </c>
      <c r="W130" t="str">
        <f>ADP!AA130</f>
        <v>H05</v>
      </c>
      <c r="X130" t="str">
        <f>ADP!AG130</f>
        <v>General</v>
      </c>
      <c r="Z130" t="str">
        <f t="shared" si="1"/>
        <v>0096</v>
      </c>
      <c r="AB130" t="str">
        <f>ADP!AN130</f>
        <v>20260814</v>
      </c>
      <c r="AC130" t="str">
        <f>ADP!AL130</f>
        <v/>
      </c>
      <c r="AP130" t="str">
        <f>ADP!AD130</f>
        <v>0096</v>
      </c>
      <c r="BG130" t="str">
        <f>ADP!AC130</f>
        <v>006769</v>
      </c>
      <c r="BK130" s="18" t="s">
        <v>1421</v>
      </c>
      <c r="BL130" s="18" t="s">
        <v>1421</v>
      </c>
      <c r="BU130" s="18" t="str">
        <f>ADP!AO130</f>
        <v>N</v>
      </c>
      <c r="BV130" s="18" t="str">
        <f>ADP!AO130</f>
        <v>N</v>
      </c>
      <c r="CE130" s="18" t="s">
        <v>1421</v>
      </c>
      <c r="CH130" s="18" t="s">
        <v>1421</v>
      </c>
    </row>
    <row r="131" spans="1:86" x14ac:dyDescent="0.2">
      <c r="A131" s="39" t="s">
        <v>1420</v>
      </c>
      <c r="B131" t="str">
        <f>ADP!B131</f>
        <v>Chad</v>
      </c>
      <c r="C131" t="str">
        <f>ADP!C131</f>
        <v/>
      </c>
      <c r="D131" t="str">
        <f>ADP!D131</f>
        <v>Phillips</v>
      </c>
      <c r="E131" t="str">
        <f>ADP!P131</f>
        <v>210402</v>
      </c>
      <c r="F131" t="str">
        <f>ADP!I131&amp;".new.uat"</f>
        <v>cphillips@onebarnes.com.new.uat</v>
      </c>
      <c r="G131" s="18" t="s">
        <v>1427</v>
      </c>
      <c r="H131" t="str">
        <f>ADP!I131</f>
        <v>cphillips@onebarnes.com</v>
      </c>
      <c r="I131" t="str">
        <f>ADP!AJ131</f>
        <v>en_US</v>
      </c>
      <c r="J131" t="str">
        <f>ADP!AI131</f>
        <v>US</v>
      </c>
      <c r="L131" t="str">
        <f>ADP!AD131</f>
        <v>0096</v>
      </c>
      <c r="M131" t="str">
        <f>ADP!AK131</f>
        <v>USD</v>
      </c>
      <c r="O131" s="18" t="str">
        <f>ADP!AM131</f>
        <v>N</v>
      </c>
      <c r="P131" t="str">
        <f>ADP!AD131</f>
        <v>0096</v>
      </c>
      <c r="Q131">
        <f>ADP!AE131</f>
        <v>820</v>
      </c>
      <c r="W131" t="str">
        <f>ADP!AA131</f>
        <v>S15</v>
      </c>
      <c r="X131" t="str">
        <f>ADP!AG131</f>
        <v>General</v>
      </c>
      <c r="Z131" t="str">
        <f t="shared" si="1"/>
        <v>0096</v>
      </c>
      <c r="AB131" t="str">
        <f>ADP!AN131</f>
        <v>20260814</v>
      </c>
      <c r="AC131" t="str">
        <f>ADP!AL131</f>
        <v/>
      </c>
      <c r="AP131" t="str">
        <f>ADP!AD131</f>
        <v>0096</v>
      </c>
      <c r="BG131" t="str">
        <f>ADP!AC131</f>
        <v>901934</v>
      </c>
      <c r="BK131" s="18" t="s">
        <v>1421</v>
      </c>
      <c r="BL131" s="18" t="s">
        <v>1421</v>
      </c>
      <c r="BU131" s="18" t="str">
        <f>ADP!AO131</f>
        <v>N</v>
      </c>
      <c r="BV131" s="18" t="str">
        <f>ADP!AO131</f>
        <v>N</v>
      </c>
      <c r="CE131" s="18" t="s">
        <v>1421</v>
      </c>
      <c r="CH131" s="18" t="s">
        <v>1421</v>
      </c>
    </row>
    <row r="132" spans="1:86" x14ac:dyDescent="0.2">
      <c r="A132" s="39" t="s">
        <v>1420</v>
      </c>
      <c r="B132" t="str">
        <f>ADP!B132</f>
        <v>Daniel</v>
      </c>
      <c r="C132" t="str">
        <f>ADP!C132</f>
        <v>P</v>
      </c>
      <c r="D132" t="str">
        <f>ADP!D132</f>
        <v>Tuller</v>
      </c>
      <c r="E132" t="str">
        <f>ADP!P132</f>
        <v>210339</v>
      </c>
      <c r="F132" t="str">
        <f>ADP!I132&amp;".new.uat"</f>
        <v>dtuller@onebarnes.com.new.uat</v>
      </c>
      <c r="G132" s="18" t="s">
        <v>1427</v>
      </c>
      <c r="H132" t="str">
        <f>ADP!I132</f>
        <v>dtuller@onebarnes.com</v>
      </c>
      <c r="I132" t="str">
        <f>ADP!AJ132</f>
        <v>en_US</v>
      </c>
      <c r="J132" t="str">
        <f>ADP!AI132</f>
        <v>US</v>
      </c>
      <c r="L132" t="str">
        <f>ADP!AD132</f>
        <v>0088</v>
      </c>
      <c r="M132" t="str">
        <f>ADP!AK132</f>
        <v>USD</v>
      </c>
      <c r="O132" s="18" t="str">
        <f>ADP!AM132</f>
        <v>N</v>
      </c>
      <c r="P132" t="str">
        <f>ADP!AD132</f>
        <v>0088</v>
      </c>
      <c r="Q132">
        <f>ADP!AE132</f>
        <v>9100</v>
      </c>
      <c r="W132" t="str">
        <f>ADP!AA132</f>
        <v>S17</v>
      </c>
      <c r="X132" t="str">
        <f>ADP!AG132</f>
        <v>General</v>
      </c>
      <c r="Z132" t="str">
        <f t="shared" si="1"/>
        <v>0088</v>
      </c>
      <c r="AB132" t="str">
        <f>ADP!AN132</f>
        <v>20260724</v>
      </c>
      <c r="AC132" t="str">
        <f>ADP!AL132</f>
        <v/>
      </c>
      <c r="AP132" t="str">
        <f>ADP!AD132</f>
        <v>0088</v>
      </c>
      <c r="BG132" t="str">
        <f>ADP!AC132</f>
        <v>008750</v>
      </c>
      <c r="BK132" s="18" t="s">
        <v>1421</v>
      </c>
      <c r="BL132" s="18" t="s">
        <v>1421</v>
      </c>
      <c r="BU132" s="18" t="str">
        <f>ADP!AO132</f>
        <v>Y</v>
      </c>
      <c r="BV132" s="18" t="str">
        <f>ADP!AO132</f>
        <v>Y</v>
      </c>
      <c r="CE132" s="18" t="s">
        <v>1421</v>
      </c>
      <c r="CH132" s="18" t="s">
        <v>1421</v>
      </c>
    </row>
    <row r="133" spans="1:86" x14ac:dyDescent="0.2">
      <c r="A133" s="39" t="s">
        <v>1420</v>
      </c>
      <c r="B133" t="str">
        <f>ADP!B133</f>
        <v>Kyle</v>
      </c>
      <c r="C133" t="str">
        <f>ADP!C133</f>
        <v/>
      </c>
      <c r="D133" t="str">
        <f>ADP!D133</f>
        <v>Outhouse</v>
      </c>
      <c r="E133" t="str">
        <f>ADP!P133</f>
        <v>209634</v>
      </c>
      <c r="F133" t="str">
        <f>ADP!I133&amp;".new.uat"</f>
        <v>KOuthouse@onebarnes.com.new.uat</v>
      </c>
      <c r="G133" s="18" t="s">
        <v>1427</v>
      </c>
      <c r="H133" t="str">
        <f>ADP!I133</f>
        <v>KOuthouse@onebarnes.com</v>
      </c>
      <c r="I133" t="str">
        <f>ADP!AJ133</f>
        <v>en_US</v>
      </c>
      <c r="J133" t="str">
        <f>ADP!AI133</f>
        <v>US</v>
      </c>
      <c r="L133" t="str">
        <f>ADP!AD133</f>
        <v>0088</v>
      </c>
      <c r="M133" t="str">
        <f>ADP!AK133</f>
        <v>USD</v>
      </c>
      <c r="O133" s="18" t="str">
        <f>ADP!AM133</f>
        <v>N</v>
      </c>
      <c r="P133" t="str">
        <f>ADP!AD133</f>
        <v>0088</v>
      </c>
      <c r="Q133">
        <f>ADP!AE133</f>
        <v>9400</v>
      </c>
      <c r="W133" t="str">
        <f>ADP!AA133</f>
        <v>S15</v>
      </c>
      <c r="X133" t="str">
        <f>ADP!AG133</f>
        <v>General</v>
      </c>
      <c r="Z133" t="str">
        <f t="shared" si="1"/>
        <v>0088</v>
      </c>
      <c r="AB133" t="str">
        <f>ADP!AN133</f>
        <v>20260710</v>
      </c>
      <c r="AC133" t="str">
        <f>ADP!AL133</f>
        <v/>
      </c>
      <c r="AP133" t="str">
        <f>ADP!AD133</f>
        <v>0088</v>
      </c>
      <c r="BG133" t="str">
        <f>ADP!AC133</f>
        <v>212699</v>
      </c>
      <c r="BK133" s="18" t="s">
        <v>1421</v>
      </c>
      <c r="BL133" s="18" t="s">
        <v>1421</v>
      </c>
      <c r="BU133" s="18" t="str">
        <f>ADP!AO133</f>
        <v>N</v>
      </c>
      <c r="BV133" s="18" t="str">
        <f>ADP!AO133</f>
        <v>N</v>
      </c>
      <c r="CE133" s="18" t="s">
        <v>1421</v>
      </c>
      <c r="CH133" s="18" t="s">
        <v>1421</v>
      </c>
    </row>
    <row r="134" spans="1:86" x14ac:dyDescent="0.2">
      <c r="A134" s="39" t="s">
        <v>1420</v>
      </c>
      <c r="B134" t="str">
        <f>ADP!B134</f>
        <v>Jon</v>
      </c>
      <c r="C134" t="str">
        <f>ADP!C134</f>
        <v/>
      </c>
      <c r="D134" t="str">
        <f>ADP!D134</f>
        <v>Hartman</v>
      </c>
      <c r="E134" t="str">
        <f>ADP!P134</f>
        <v>211045</v>
      </c>
      <c r="F134" t="str">
        <f>ADP!I134&amp;".new.uat"</f>
        <v>jhartman@onebarnes.com.new.uat</v>
      </c>
      <c r="G134" s="18" t="s">
        <v>1427</v>
      </c>
      <c r="H134" t="str">
        <f>ADP!I134</f>
        <v>jhartman@onebarnes.com</v>
      </c>
      <c r="I134" t="str">
        <f>ADP!AJ134</f>
        <v>en_US</v>
      </c>
      <c r="J134" t="str">
        <f>ADP!AI134</f>
        <v>US</v>
      </c>
      <c r="L134" t="str">
        <f>ADP!AD134</f>
        <v>0096</v>
      </c>
      <c r="M134" t="str">
        <f>ADP!AK134</f>
        <v>USD</v>
      </c>
      <c r="O134" s="18" t="str">
        <f>ADP!AM134</f>
        <v>N</v>
      </c>
      <c r="P134" t="str">
        <f>ADP!AD134</f>
        <v>0096</v>
      </c>
      <c r="Q134">
        <f>ADP!AE134</f>
        <v>820</v>
      </c>
      <c r="W134" t="str">
        <f>ADP!AA134</f>
        <v>S16</v>
      </c>
      <c r="X134" t="str">
        <f>ADP!AG134</f>
        <v>General</v>
      </c>
      <c r="Z134" t="str">
        <f t="shared" ref="Z134:Z197" si="2">P134</f>
        <v>0096</v>
      </c>
      <c r="AB134" t="str">
        <f>ADP!AN134</f>
        <v>20260610</v>
      </c>
      <c r="AC134" t="str">
        <f>ADP!AL134</f>
        <v/>
      </c>
      <c r="AP134" t="str">
        <f>ADP!AD134</f>
        <v>0096</v>
      </c>
      <c r="BG134" t="str">
        <f>ADP!AC134</f>
        <v>901934</v>
      </c>
      <c r="BK134" s="18" t="s">
        <v>1421</v>
      </c>
      <c r="BL134" s="18" t="s">
        <v>1421</v>
      </c>
      <c r="BU134" s="18" t="str">
        <f>ADP!AO134</f>
        <v>Y</v>
      </c>
      <c r="BV134" s="18" t="str">
        <f>ADP!AO134</f>
        <v>Y</v>
      </c>
      <c r="CE134" s="18" t="s">
        <v>1421</v>
      </c>
      <c r="CH134" s="18" t="s">
        <v>1421</v>
      </c>
    </row>
    <row r="135" spans="1:86" x14ac:dyDescent="0.2">
      <c r="A135" s="39" t="s">
        <v>1420</v>
      </c>
      <c r="B135" t="str">
        <f>ADP!B135</f>
        <v>Timothy</v>
      </c>
      <c r="C135" t="str">
        <f>ADP!C135</f>
        <v>R</v>
      </c>
      <c r="D135" t="str">
        <f>ADP!D135</f>
        <v>Seksinsky</v>
      </c>
      <c r="E135" t="str">
        <f>ADP!P135</f>
        <v>212421</v>
      </c>
      <c r="F135" t="str">
        <f>ADP!I135&amp;".new.uat"</f>
        <v>tseksinsky@onebarnes.com.new.uat</v>
      </c>
      <c r="G135" s="18" t="s">
        <v>1427</v>
      </c>
      <c r="H135" t="str">
        <f>ADP!I135</f>
        <v>tseksinsky@onebarnes.com</v>
      </c>
      <c r="I135" t="str">
        <f>ADP!AJ135</f>
        <v>en_US</v>
      </c>
      <c r="J135" t="str">
        <f>ADP!AI135</f>
        <v>US</v>
      </c>
      <c r="L135" t="str">
        <f>ADP!AD135</f>
        <v>0088</v>
      </c>
      <c r="M135" t="str">
        <f>ADP!AK135</f>
        <v>USD</v>
      </c>
      <c r="O135" s="18" t="str">
        <f>ADP!AM135</f>
        <v>N</v>
      </c>
      <c r="P135" t="str">
        <f>ADP!AD135</f>
        <v>0088</v>
      </c>
      <c r="Q135">
        <f>ADP!AE135</f>
        <v>8200</v>
      </c>
      <c r="W135" t="str">
        <f>ADP!AA135</f>
        <v>S16</v>
      </c>
      <c r="X135" t="str">
        <f>ADP!AG135</f>
        <v>General</v>
      </c>
      <c r="Z135" t="str">
        <f t="shared" si="2"/>
        <v>0088</v>
      </c>
      <c r="AB135" t="str">
        <f>ADP!AN135</f>
        <v>20260602</v>
      </c>
      <c r="AC135" t="str">
        <f>ADP!AL135</f>
        <v/>
      </c>
      <c r="AP135" t="str">
        <f>ADP!AD135</f>
        <v>0088</v>
      </c>
      <c r="BG135" t="str">
        <f>ADP!AC135</f>
        <v/>
      </c>
      <c r="BK135" s="18" t="s">
        <v>1421</v>
      </c>
      <c r="BL135" s="18" t="s">
        <v>1421</v>
      </c>
      <c r="BU135" s="18" t="str">
        <f>ADP!AO135</f>
        <v>Y</v>
      </c>
      <c r="BV135" s="18" t="str">
        <f>ADP!AO135</f>
        <v>Y</v>
      </c>
      <c r="CE135" s="18" t="s">
        <v>1421</v>
      </c>
      <c r="CH135" s="18" t="s">
        <v>1421</v>
      </c>
    </row>
    <row r="136" spans="1:86" x14ac:dyDescent="0.2">
      <c r="A136" s="39" t="s">
        <v>1420</v>
      </c>
      <c r="B136" t="str">
        <f>ADP!B136</f>
        <v>Evelyn</v>
      </c>
      <c r="C136" t="str">
        <f>ADP!C136</f>
        <v/>
      </c>
      <c r="D136" t="str">
        <f>ADP!D136</f>
        <v>Gonzalez</v>
      </c>
      <c r="E136" t="str">
        <f>ADP!P136</f>
        <v>209540</v>
      </c>
      <c r="F136" t="str">
        <f>ADP!I136&amp;".new.uat"</f>
        <v>EGonzalez@onebarnes.com.new.uat</v>
      </c>
      <c r="G136" s="18" t="s">
        <v>1427</v>
      </c>
      <c r="H136" t="str">
        <f>ADP!I136</f>
        <v>EGonzalez@onebarnes.com</v>
      </c>
      <c r="I136" t="str">
        <f>ADP!AJ136</f>
        <v>en_US</v>
      </c>
      <c r="J136" t="str">
        <f>ADP!AI136</f>
        <v>US</v>
      </c>
      <c r="L136" t="str">
        <f>ADP!AD136</f>
        <v>0088</v>
      </c>
      <c r="M136" t="str">
        <f>ADP!AK136</f>
        <v>USD</v>
      </c>
      <c r="O136" s="18" t="str">
        <f>ADP!AM136</f>
        <v>N</v>
      </c>
      <c r="P136" t="str">
        <f>ADP!AD136</f>
        <v>0088</v>
      </c>
      <c r="Q136" t="str">
        <f>ADP!AE136</f>
        <v>0004</v>
      </c>
      <c r="W136" t="str">
        <f>ADP!AA136</f>
        <v>S05</v>
      </c>
      <c r="X136" t="str">
        <f>ADP!AG136</f>
        <v>General</v>
      </c>
      <c r="Z136" t="str">
        <f t="shared" si="2"/>
        <v>0088</v>
      </c>
      <c r="AB136" t="str">
        <f>ADP!AN136</f>
        <v>20260506</v>
      </c>
      <c r="AC136" t="str">
        <f>ADP!AL136</f>
        <v/>
      </c>
      <c r="AP136" t="str">
        <f>ADP!AD136</f>
        <v>0088</v>
      </c>
      <c r="BG136" t="str">
        <f>ADP!AC136</f>
        <v/>
      </c>
      <c r="BK136" s="18" t="s">
        <v>1421</v>
      </c>
      <c r="BL136" s="18" t="s">
        <v>1421</v>
      </c>
      <c r="BU136" s="18" t="str">
        <f>ADP!AO136</f>
        <v>N</v>
      </c>
      <c r="BV136" s="18" t="str">
        <f>ADP!AO136</f>
        <v>N</v>
      </c>
      <c r="CE136" s="18" t="s">
        <v>1421</v>
      </c>
      <c r="CH136" s="18" t="s">
        <v>1421</v>
      </c>
    </row>
    <row r="137" spans="1:86" x14ac:dyDescent="0.2">
      <c r="A137" s="39" t="s">
        <v>1420</v>
      </c>
      <c r="B137" t="str">
        <f>ADP!B137</f>
        <v>Kyle</v>
      </c>
      <c r="C137" t="str">
        <f>ADP!C137</f>
        <v>J</v>
      </c>
      <c r="D137" t="str">
        <f>ADP!D137</f>
        <v>Mickens</v>
      </c>
      <c r="E137" t="str">
        <f>ADP!P137</f>
        <v>210134</v>
      </c>
      <c r="F137" t="str">
        <f>ADP!I137&amp;".new.uat"</f>
        <v>kmickens@onebarnes.com.new.uat</v>
      </c>
      <c r="G137" s="18" t="s">
        <v>1427</v>
      </c>
      <c r="H137" t="str">
        <f>ADP!I137</f>
        <v>kmickens@onebarnes.com</v>
      </c>
      <c r="I137" t="str">
        <f>ADP!AJ137</f>
        <v>en_US</v>
      </c>
      <c r="J137" t="str">
        <f>ADP!AI137</f>
        <v>US</v>
      </c>
      <c r="L137" t="str">
        <f>ADP!AD137</f>
        <v>0088</v>
      </c>
      <c r="M137" t="str">
        <f>ADP!AK137</f>
        <v>USD</v>
      </c>
      <c r="O137" s="18" t="str">
        <f>ADP!AM137</f>
        <v>N</v>
      </c>
      <c r="P137" t="str">
        <f>ADP!AD137</f>
        <v>0088</v>
      </c>
      <c r="Q137">
        <f>ADP!AE137</f>
        <v>5100</v>
      </c>
      <c r="W137" t="str">
        <f>ADP!AA137</f>
        <v>S05</v>
      </c>
      <c r="X137" t="str">
        <f>ADP!AG137</f>
        <v>General</v>
      </c>
      <c r="Z137" t="str">
        <f t="shared" si="2"/>
        <v>0088</v>
      </c>
      <c r="AB137" t="str">
        <f>ADP!AN137</f>
        <v>20260506</v>
      </c>
      <c r="AC137" t="str">
        <f>ADP!AL137</f>
        <v/>
      </c>
      <c r="AP137" t="str">
        <f>ADP!AD137</f>
        <v>0088</v>
      </c>
      <c r="BG137" t="str">
        <f>ADP!AC137</f>
        <v/>
      </c>
      <c r="BK137" s="18" t="s">
        <v>1421</v>
      </c>
      <c r="BL137" s="18" t="s">
        <v>1421</v>
      </c>
      <c r="BU137" s="18" t="str">
        <f>ADP!AO137</f>
        <v>N</v>
      </c>
      <c r="BV137" s="18" t="str">
        <f>ADP!AO137</f>
        <v>N</v>
      </c>
      <c r="CE137" s="18" t="s">
        <v>1421</v>
      </c>
      <c r="CH137" s="18" t="s">
        <v>1421</v>
      </c>
    </row>
    <row r="138" spans="1:86" x14ac:dyDescent="0.2">
      <c r="A138" s="39" t="s">
        <v>1420</v>
      </c>
      <c r="B138" t="str">
        <f>ADP!B138</f>
        <v>Brittany</v>
      </c>
      <c r="C138" t="str">
        <f>ADP!C138</f>
        <v>M</v>
      </c>
      <c r="D138" t="str">
        <f>ADP!D138</f>
        <v>Velner</v>
      </c>
      <c r="E138" t="str">
        <f>ADP!P138</f>
        <v>212687</v>
      </c>
      <c r="F138" t="str">
        <f>ADP!I138&amp;".new.uat"</f>
        <v>bvelner@onebarnes.com.new.uat</v>
      </c>
      <c r="G138" s="18" t="s">
        <v>1427</v>
      </c>
      <c r="H138" t="str">
        <f>ADP!I138</f>
        <v>bvelner@onebarnes.com</v>
      </c>
      <c r="I138" t="str">
        <f>ADP!AJ138</f>
        <v>en_US</v>
      </c>
      <c r="J138" t="str">
        <f>ADP!AI138</f>
        <v>US</v>
      </c>
      <c r="L138" t="str">
        <f>ADP!AD138</f>
        <v>0088</v>
      </c>
      <c r="M138" t="str">
        <f>ADP!AK138</f>
        <v>USD</v>
      </c>
      <c r="O138" s="18" t="str">
        <f>ADP!AM138</f>
        <v>N</v>
      </c>
      <c r="P138" t="str">
        <f>ADP!AD138</f>
        <v>0088</v>
      </c>
      <c r="Q138">
        <f>ADP!AE138</f>
        <v>8100</v>
      </c>
      <c r="W138" t="str">
        <f>ADP!AA138</f>
        <v>S12</v>
      </c>
      <c r="X138" t="str">
        <f>ADP!AG138</f>
        <v>General</v>
      </c>
      <c r="Z138" t="str">
        <f t="shared" si="2"/>
        <v>0088</v>
      </c>
      <c r="AB138" t="str">
        <f>ADP!AN138</f>
        <v>20260424</v>
      </c>
      <c r="AC138" t="str">
        <f>ADP!AL138</f>
        <v/>
      </c>
      <c r="AP138" t="str">
        <f>ADP!AD138</f>
        <v>0088</v>
      </c>
      <c r="BG138" t="str">
        <f>ADP!AC138</f>
        <v/>
      </c>
      <c r="BK138" s="18" t="s">
        <v>1421</v>
      </c>
      <c r="BL138" s="18" t="s">
        <v>1421</v>
      </c>
      <c r="BU138" s="18" t="str">
        <f>ADP!AO138</f>
        <v>N</v>
      </c>
      <c r="BV138" s="18" t="str">
        <f>ADP!AO138</f>
        <v>N</v>
      </c>
      <c r="CE138" s="18" t="s">
        <v>1421</v>
      </c>
      <c r="CH138" s="18" t="s">
        <v>1421</v>
      </c>
    </row>
    <row r="139" spans="1:86" x14ac:dyDescent="0.2">
      <c r="A139" s="39" t="s">
        <v>1420</v>
      </c>
      <c r="B139">
        <f>ADP!B139</f>
        <v>0</v>
      </c>
      <c r="C139">
        <f>ADP!C139</f>
        <v>0</v>
      </c>
      <c r="D139">
        <f>ADP!D139</f>
        <v>0</v>
      </c>
      <c r="E139">
        <f>ADP!P139</f>
        <v>0</v>
      </c>
      <c r="F139" t="str">
        <f>ADP!I139&amp;".new.uat"</f>
        <v>.new.uat</v>
      </c>
      <c r="G139" s="18" t="s">
        <v>1427</v>
      </c>
      <c r="H139">
        <f>ADP!I139</f>
        <v>0</v>
      </c>
      <c r="I139" t="str">
        <f>ADP!AJ139</f>
        <v>ADP and BU Language Code Not MappedLegal Country Not Mapped</v>
      </c>
      <c r="J139" t="str">
        <f>ADP!AI139</f>
        <v>Legal Country Not Mapped</v>
      </c>
      <c r="L139" t="str">
        <f>ADP!AD139</f>
        <v>BU Description Not Mapped</v>
      </c>
      <c r="M139" t="str">
        <f>ADP!AK139</f>
        <v>BU Currency Not Mapped</v>
      </c>
      <c r="O139" s="18" t="str">
        <f>ADP!AM139</f>
        <v>Position Status Not Mapped</v>
      </c>
      <c r="P139" t="str">
        <f>ADP!AD139</f>
        <v>BU Description Not Mapped</v>
      </c>
      <c r="Q139" t="str">
        <f>ADP!AE139</f>
        <v>Home Department Code Not Mapped</v>
      </c>
      <c r="W139">
        <f>ADP!AA139</f>
        <v>0</v>
      </c>
      <c r="X139" t="str">
        <f>ADP!AG139</f>
        <v>Salary Code Not Mapped</v>
      </c>
      <c r="Z139" t="str">
        <f t="shared" si="2"/>
        <v>BU Description Not Mapped</v>
      </c>
      <c r="AB139" t="str">
        <f>ADP!AN139</f>
        <v/>
      </c>
      <c r="AC139" t="str">
        <f>ADP!AL139</f>
        <v/>
      </c>
      <c r="AP139" t="str">
        <f>ADP!AD139</f>
        <v>BU Description Not Mapped</v>
      </c>
      <c r="BG139" t="e">
        <f>ADP!AC139</f>
        <v>#N/A</v>
      </c>
      <c r="BK139" s="18" t="s">
        <v>1421</v>
      </c>
      <c r="BL139" s="18" t="s">
        <v>1421</v>
      </c>
      <c r="BU139" s="18" t="str">
        <f>ADP!AO139</f>
        <v>Y</v>
      </c>
      <c r="BV139" s="18" t="str">
        <f>ADP!AO139</f>
        <v>Y</v>
      </c>
      <c r="CE139" s="18" t="s">
        <v>1421</v>
      </c>
      <c r="CH139" s="18" t="s">
        <v>1421</v>
      </c>
    </row>
    <row r="140" spans="1:86" x14ac:dyDescent="0.2">
      <c r="A140" s="39" t="s">
        <v>1420</v>
      </c>
      <c r="B140">
        <f>ADP!B140</f>
        <v>0</v>
      </c>
      <c r="C140">
        <f>ADP!C140</f>
        <v>0</v>
      </c>
      <c r="D140">
        <f>ADP!D140</f>
        <v>0</v>
      </c>
      <c r="E140">
        <f>ADP!P140</f>
        <v>0</v>
      </c>
      <c r="F140" t="str">
        <f>ADP!I140&amp;".new.uat"</f>
        <v>.new.uat</v>
      </c>
      <c r="G140" s="18" t="s">
        <v>1427</v>
      </c>
      <c r="H140">
        <f>ADP!I140</f>
        <v>0</v>
      </c>
      <c r="I140" t="str">
        <f>ADP!AJ140</f>
        <v>ADP and BU Language Code Not MappedLegal Country Not Mapped</v>
      </c>
      <c r="J140" t="str">
        <f>ADP!AI140</f>
        <v>Legal Country Not Mapped</v>
      </c>
      <c r="L140" t="str">
        <f>ADP!AD140</f>
        <v>BU Description Not Mapped</v>
      </c>
      <c r="M140" t="str">
        <f>ADP!AK140</f>
        <v>BU Currency Not Mapped</v>
      </c>
      <c r="O140" s="18" t="str">
        <f>ADP!AM140</f>
        <v>Position Status Not Mapped</v>
      </c>
      <c r="P140" t="str">
        <f>ADP!AD140</f>
        <v>BU Description Not Mapped</v>
      </c>
      <c r="Q140" t="str">
        <f>ADP!AE140</f>
        <v>Home Department Code Not Mapped</v>
      </c>
      <c r="W140">
        <f>ADP!AA140</f>
        <v>0</v>
      </c>
      <c r="X140" t="str">
        <f>ADP!AG140</f>
        <v>Salary Code Not Mapped</v>
      </c>
      <c r="Z140" t="str">
        <f t="shared" si="2"/>
        <v>BU Description Not Mapped</v>
      </c>
      <c r="AB140" t="str">
        <f>ADP!AN140</f>
        <v/>
      </c>
      <c r="AC140" t="str">
        <f>ADP!AL140</f>
        <v/>
      </c>
      <c r="AP140" t="str">
        <f>ADP!AD140</f>
        <v>BU Description Not Mapped</v>
      </c>
      <c r="BG140" t="e">
        <f>ADP!AC140</f>
        <v>#N/A</v>
      </c>
      <c r="BK140" s="18" t="s">
        <v>1421</v>
      </c>
      <c r="BL140" s="18" t="s">
        <v>1421</v>
      </c>
      <c r="BU140" s="18" t="str">
        <f>ADP!AO140</f>
        <v>Y</v>
      </c>
      <c r="BV140" s="18" t="str">
        <f>ADP!AO140</f>
        <v>Y</v>
      </c>
      <c r="CE140" s="18" t="s">
        <v>1421</v>
      </c>
      <c r="CH140" s="18" t="s">
        <v>1421</v>
      </c>
    </row>
    <row r="141" spans="1:86" x14ac:dyDescent="0.2">
      <c r="A141" s="39" t="s">
        <v>1420</v>
      </c>
      <c r="B141">
        <f>ADP!B141</f>
        <v>0</v>
      </c>
      <c r="C141">
        <f>ADP!C141</f>
        <v>0</v>
      </c>
      <c r="D141">
        <f>ADP!D141</f>
        <v>0</v>
      </c>
      <c r="E141">
        <f>ADP!P141</f>
        <v>0</v>
      </c>
      <c r="F141" t="str">
        <f>ADP!I141&amp;".new.uat"</f>
        <v>.new.uat</v>
      </c>
      <c r="G141" s="18" t="s">
        <v>1427</v>
      </c>
      <c r="H141">
        <f>ADP!I141</f>
        <v>0</v>
      </c>
      <c r="I141" t="str">
        <f>ADP!AJ141</f>
        <v>ADP and BU Language Code Not MappedLegal Country Not Mapped</v>
      </c>
      <c r="J141" t="str">
        <f>ADP!AI141</f>
        <v>Legal Country Not Mapped</v>
      </c>
      <c r="L141" t="str">
        <f>ADP!AD141</f>
        <v>BU Description Not Mapped</v>
      </c>
      <c r="M141" t="str">
        <f>ADP!AK141</f>
        <v>BU Currency Not Mapped</v>
      </c>
      <c r="O141" s="18" t="str">
        <f>ADP!AM141</f>
        <v>Position Status Not Mapped</v>
      </c>
      <c r="P141" t="str">
        <f>ADP!AD141</f>
        <v>BU Description Not Mapped</v>
      </c>
      <c r="Q141" t="str">
        <f>ADP!AE141</f>
        <v>Home Department Code Not Mapped</v>
      </c>
      <c r="W141">
        <f>ADP!AA141</f>
        <v>0</v>
      </c>
      <c r="X141" t="str">
        <f>ADP!AG141</f>
        <v>Salary Code Not Mapped</v>
      </c>
      <c r="Z141" t="str">
        <f t="shared" si="2"/>
        <v>BU Description Not Mapped</v>
      </c>
      <c r="AB141" t="str">
        <f>ADP!AN141</f>
        <v/>
      </c>
      <c r="AC141" t="str">
        <f>ADP!AL141</f>
        <v/>
      </c>
      <c r="AP141" t="str">
        <f>ADP!AD141</f>
        <v>BU Description Not Mapped</v>
      </c>
      <c r="BG141" t="e">
        <f>ADP!AC141</f>
        <v>#N/A</v>
      </c>
      <c r="BK141" s="18" t="s">
        <v>1421</v>
      </c>
      <c r="BL141" s="18" t="s">
        <v>1421</v>
      </c>
      <c r="BU141" s="18" t="str">
        <f>ADP!AO141</f>
        <v>Y</v>
      </c>
      <c r="BV141" s="18" t="str">
        <f>ADP!AO141</f>
        <v>Y</v>
      </c>
      <c r="CE141" s="18" t="s">
        <v>1421</v>
      </c>
      <c r="CH141" s="18" t="s">
        <v>1421</v>
      </c>
    </row>
    <row r="142" spans="1:86" x14ac:dyDescent="0.2">
      <c r="A142" s="39" t="s">
        <v>1420</v>
      </c>
      <c r="B142">
        <f>ADP!B142</f>
        <v>0</v>
      </c>
      <c r="C142">
        <f>ADP!C142</f>
        <v>0</v>
      </c>
      <c r="D142">
        <f>ADP!D142</f>
        <v>0</v>
      </c>
      <c r="E142">
        <f>ADP!P142</f>
        <v>0</v>
      </c>
      <c r="F142" t="str">
        <f>ADP!I142&amp;".new.uat"</f>
        <v>.new.uat</v>
      </c>
      <c r="G142" s="18" t="s">
        <v>1427</v>
      </c>
      <c r="H142">
        <f>ADP!I142</f>
        <v>0</v>
      </c>
      <c r="I142" t="str">
        <f>ADP!AJ142</f>
        <v>ADP and BU Language Code Not MappedLegal Country Not Mapped</v>
      </c>
      <c r="J142" t="str">
        <f>ADP!AI142</f>
        <v>Legal Country Not Mapped</v>
      </c>
      <c r="L142" t="str">
        <f>ADP!AD142</f>
        <v>BU Description Not Mapped</v>
      </c>
      <c r="M142" t="str">
        <f>ADP!AK142</f>
        <v>BU Currency Not Mapped</v>
      </c>
      <c r="O142" s="18" t="str">
        <f>ADP!AM142</f>
        <v>Position Status Not Mapped</v>
      </c>
      <c r="P142" t="str">
        <f>ADP!AD142</f>
        <v>BU Description Not Mapped</v>
      </c>
      <c r="Q142" t="str">
        <f>ADP!AE142</f>
        <v>Home Department Code Not Mapped</v>
      </c>
      <c r="W142">
        <f>ADP!AA142</f>
        <v>0</v>
      </c>
      <c r="X142" t="str">
        <f>ADP!AG142</f>
        <v>Salary Code Not Mapped</v>
      </c>
      <c r="Z142" t="str">
        <f t="shared" si="2"/>
        <v>BU Description Not Mapped</v>
      </c>
      <c r="AB142" t="str">
        <f>ADP!AN142</f>
        <v/>
      </c>
      <c r="AC142" t="str">
        <f>ADP!AL142</f>
        <v/>
      </c>
      <c r="AP142" t="str">
        <f>ADP!AD142</f>
        <v>BU Description Not Mapped</v>
      </c>
      <c r="BG142" t="e">
        <f>ADP!AC142</f>
        <v>#N/A</v>
      </c>
      <c r="BK142" s="18" t="s">
        <v>1421</v>
      </c>
      <c r="BL142" s="18" t="s">
        <v>1421</v>
      </c>
      <c r="BU142" s="18" t="str">
        <f>ADP!AO142</f>
        <v>Y</v>
      </c>
      <c r="BV142" s="18" t="str">
        <f>ADP!AO142</f>
        <v>Y</v>
      </c>
      <c r="CE142" s="18" t="s">
        <v>1421</v>
      </c>
      <c r="CH142" s="18" t="s">
        <v>1421</v>
      </c>
    </row>
    <row r="143" spans="1:86" x14ac:dyDescent="0.2">
      <c r="A143" s="39" t="s">
        <v>1420</v>
      </c>
      <c r="B143">
        <f>ADP!B143</f>
        <v>0</v>
      </c>
      <c r="C143">
        <f>ADP!C143</f>
        <v>0</v>
      </c>
      <c r="D143">
        <f>ADP!D143</f>
        <v>0</v>
      </c>
      <c r="E143">
        <f>ADP!P143</f>
        <v>0</v>
      </c>
      <c r="F143" t="str">
        <f>ADP!I143&amp;".new.uat"</f>
        <v>.new.uat</v>
      </c>
      <c r="G143" s="18" t="s">
        <v>1427</v>
      </c>
      <c r="H143">
        <f>ADP!I143</f>
        <v>0</v>
      </c>
      <c r="I143" t="str">
        <f>ADP!AJ143</f>
        <v>ADP and BU Language Code Not MappedLegal Country Not Mapped</v>
      </c>
      <c r="J143" t="str">
        <f>ADP!AI143</f>
        <v>Legal Country Not Mapped</v>
      </c>
      <c r="L143" t="str">
        <f>ADP!AD143</f>
        <v>BU Description Not Mapped</v>
      </c>
      <c r="M143" t="str">
        <f>ADP!AK143</f>
        <v>BU Currency Not Mapped</v>
      </c>
      <c r="O143" s="18" t="str">
        <f>ADP!AM143</f>
        <v>Position Status Not Mapped</v>
      </c>
      <c r="P143" t="str">
        <f>ADP!AD143</f>
        <v>BU Description Not Mapped</v>
      </c>
      <c r="Q143" t="str">
        <f>ADP!AE143</f>
        <v>Home Department Code Not Mapped</v>
      </c>
      <c r="W143">
        <f>ADP!AA143</f>
        <v>0</v>
      </c>
      <c r="X143" t="str">
        <f>ADP!AG143</f>
        <v>Salary Code Not Mapped</v>
      </c>
      <c r="Z143" t="str">
        <f t="shared" si="2"/>
        <v>BU Description Not Mapped</v>
      </c>
      <c r="AB143" t="str">
        <f>ADP!AN143</f>
        <v/>
      </c>
      <c r="AC143" t="str">
        <f>ADP!AL143</f>
        <v/>
      </c>
      <c r="AP143" t="str">
        <f>ADP!AD143</f>
        <v>BU Description Not Mapped</v>
      </c>
      <c r="BG143" t="e">
        <f>ADP!AC143</f>
        <v>#N/A</v>
      </c>
      <c r="BK143" s="18" t="s">
        <v>1421</v>
      </c>
      <c r="BL143" s="18" t="s">
        <v>1421</v>
      </c>
      <c r="BU143" s="18" t="str">
        <f>ADP!AO143</f>
        <v>Y</v>
      </c>
      <c r="BV143" s="18" t="str">
        <f>ADP!AO143</f>
        <v>Y</v>
      </c>
      <c r="CE143" s="18" t="s">
        <v>1421</v>
      </c>
      <c r="CH143" s="18" t="s">
        <v>1421</v>
      </c>
    </row>
    <row r="144" spans="1:86" x14ac:dyDescent="0.2">
      <c r="A144" s="39" t="s">
        <v>1420</v>
      </c>
      <c r="B144">
        <f>ADP!B144</f>
        <v>0</v>
      </c>
      <c r="C144">
        <f>ADP!C144</f>
        <v>0</v>
      </c>
      <c r="D144">
        <f>ADP!D144</f>
        <v>0</v>
      </c>
      <c r="E144">
        <f>ADP!P144</f>
        <v>0</v>
      </c>
      <c r="F144" t="str">
        <f>ADP!I144&amp;".new.uat"</f>
        <v>.new.uat</v>
      </c>
      <c r="G144" s="18" t="s">
        <v>1427</v>
      </c>
      <c r="H144">
        <f>ADP!I144</f>
        <v>0</v>
      </c>
      <c r="I144" t="str">
        <f>ADP!AJ144</f>
        <v>ADP and BU Language Code Not MappedLegal Country Not Mapped</v>
      </c>
      <c r="J144" t="str">
        <f>ADP!AI144</f>
        <v>Legal Country Not Mapped</v>
      </c>
      <c r="L144" t="str">
        <f>ADP!AD144</f>
        <v>BU Description Not Mapped</v>
      </c>
      <c r="M144" t="str">
        <f>ADP!AK144</f>
        <v>BU Currency Not Mapped</v>
      </c>
      <c r="O144" s="18" t="str">
        <f>ADP!AM144</f>
        <v>Position Status Not Mapped</v>
      </c>
      <c r="P144" t="str">
        <f>ADP!AD144</f>
        <v>BU Description Not Mapped</v>
      </c>
      <c r="Q144" t="str">
        <f>ADP!AE144</f>
        <v>Home Department Code Not Mapped</v>
      </c>
      <c r="W144">
        <f>ADP!AA144</f>
        <v>0</v>
      </c>
      <c r="X144" t="str">
        <f>ADP!AG144</f>
        <v>Salary Code Not Mapped</v>
      </c>
      <c r="Z144" t="str">
        <f t="shared" si="2"/>
        <v>BU Description Not Mapped</v>
      </c>
      <c r="AB144" t="str">
        <f>ADP!AN144</f>
        <v/>
      </c>
      <c r="AC144" t="str">
        <f>ADP!AL144</f>
        <v/>
      </c>
      <c r="AP144" t="str">
        <f>ADP!AD144</f>
        <v>BU Description Not Mapped</v>
      </c>
      <c r="BG144" t="e">
        <f>ADP!AC144</f>
        <v>#N/A</v>
      </c>
      <c r="BK144" s="18" t="s">
        <v>1421</v>
      </c>
      <c r="BL144" s="18" t="s">
        <v>1421</v>
      </c>
      <c r="BU144" s="18" t="str">
        <f>ADP!AO144</f>
        <v>Y</v>
      </c>
      <c r="BV144" s="18" t="str">
        <f>ADP!AO144</f>
        <v>Y</v>
      </c>
      <c r="CE144" s="18" t="s">
        <v>1421</v>
      </c>
      <c r="CH144" s="18" t="s">
        <v>1421</v>
      </c>
    </row>
    <row r="145" spans="1:86" x14ac:dyDescent="0.2">
      <c r="A145" s="39" t="s">
        <v>1420</v>
      </c>
      <c r="B145">
        <f>ADP!B145</f>
        <v>0</v>
      </c>
      <c r="C145">
        <f>ADP!C145</f>
        <v>0</v>
      </c>
      <c r="D145">
        <f>ADP!D145</f>
        <v>0</v>
      </c>
      <c r="E145">
        <f>ADP!P145</f>
        <v>0</v>
      </c>
      <c r="F145" t="str">
        <f>ADP!I145&amp;".new.uat"</f>
        <v>.new.uat</v>
      </c>
      <c r="G145" s="18" t="s">
        <v>1427</v>
      </c>
      <c r="H145">
        <f>ADP!I145</f>
        <v>0</v>
      </c>
      <c r="I145" t="str">
        <f>ADP!AJ145</f>
        <v>ADP and BU Language Code Not MappedLegal Country Not Mapped</v>
      </c>
      <c r="J145" t="str">
        <f>ADP!AI145</f>
        <v>Legal Country Not Mapped</v>
      </c>
      <c r="L145" t="str">
        <f>ADP!AD145</f>
        <v>BU Description Not Mapped</v>
      </c>
      <c r="M145" t="str">
        <f>ADP!AK145</f>
        <v>BU Currency Not Mapped</v>
      </c>
      <c r="O145" s="18" t="str">
        <f>ADP!AM145</f>
        <v>Position Status Not Mapped</v>
      </c>
      <c r="P145" t="str">
        <f>ADP!AD145</f>
        <v>BU Description Not Mapped</v>
      </c>
      <c r="Q145" t="str">
        <f>ADP!AE145</f>
        <v>Home Department Code Not Mapped</v>
      </c>
      <c r="W145">
        <f>ADP!AA145</f>
        <v>0</v>
      </c>
      <c r="X145" t="str">
        <f>ADP!AG145</f>
        <v>Salary Code Not Mapped</v>
      </c>
      <c r="Z145" t="str">
        <f t="shared" si="2"/>
        <v>BU Description Not Mapped</v>
      </c>
      <c r="AB145" t="str">
        <f>ADP!AN145</f>
        <v/>
      </c>
      <c r="AC145" t="str">
        <f>ADP!AL145</f>
        <v/>
      </c>
      <c r="AP145" t="str">
        <f>ADP!AD145</f>
        <v>BU Description Not Mapped</v>
      </c>
      <c r="BG145" t="e">
        <f>ADP!AC145</f>
        <v>#N/A</v>
      </c>
      <c r="BK145" s="18" t="s">
        <v>1421</v>
      </c>
      <c r="BL145" s="18" t="s">
        <v>1421</v>
      </c>
      <c r="BU145" s="18" t="str">
        <f>ADP!AO145</f>
        <v>Y</v>
      </c>
      <c r="BV145" s="18" t="str">
        <f>ADP!AO145</f>
        <v>Y</v>
      </c>
      <c r="CE145" s="18" t="s">
        <v>1421</v>
      </c>
      <c r="CH145" s="18" t="s">
        <v>1421</v>
      </c>
    </row>
    <row r="146" spans="1:86" x14ac:dyDescent="0.2">
      <c r="A146" s="39" t="s">
        <v>1420</v>
      </c>
      <c r="B146">
        <f>ADP!B146</f>
        <v>0</v>
      </c>
      <c r="C146">
        <f>ADP!C146</f>
        <v>0</v>
      </c>
      <c r="D146">
        <f>ADP!D146</f>
        <v>0</v>
      </c>
      <c r="E146">
        <f>ADP!P146</f>
        <v>0</v>
      </c>
      <c r="F146" t="str">
        <f>ADP!I146&amp;".new.uat"</f>
        <v>.new.uat</v>
      </c>
      <c r="G146" s="18" t="s">
        <v>1427</v>
      </c>
      <c r="H146">
        <f>ADP!I146</f>
        <v>0</v>
      </c>
      <c r="I146" t="str">
        <f>ADP!AJ146</f>
        <v>ADP and BU Language Code Not MappedLegal Country Not Mapped</v>
      </c>
      <c r="J146" t="str">
        <f>ADP!AI146</f>
        <v>Legal Country Not Mapped</v>
      </c>
      <c r="L146" t="str">
        <f>ADP!AD146</f>
        <v>BU Description Not Mapped</v>
      </c>
      <c r="M146" t="str">
        <f>ADP!AK146</f>
        <v>BU Currency Not Mapped</v>
      </c>
      <c r="O146" s="18" t="str">
        <f>ADP!AM146</f>
        <v>Position Status Not Mapped</v>
      </c>
      <c r="P146" t="str">
        <f>ADP!AD146</f>
        <v>BU Description Not Mapped</v>
      </c>
      <c r="Q146" t="str">
        <f>ADP!AE146</f>
        <v>Home Department Code Not Mapped</v>
      </c>
      <c r="W146">
        <f>ADP!AA146</f>
        <v>0</v>
      </c>
      <c r="X146" t="str">
        <f>ADP!AG146</f>
        <v>Salary Code Not Mapped</v>
      </c>
      <c r="Z146" t="str">
        <f t="shared" si="2"/>
        <v>BU Description Not Mapped</v>
      </c>
      <c r="AB146" t="str">
        <f>ADP!AN146</f>
        <v/>
      </c>
      <c r="AC146" t="str">
        <f>ADP!AL146</f>
        <v/>
      </c>
      <c r="AP146" t="str">
        <f>ADP!AD146</f>
        <v>BU Description Not Mapped</v>
      </c>
      <c r="BG146" t="e">
        <f>ADP!AC146</f>
        <v>#N/A</v>
      </c>
      <c r="BK146" s="18" t="s">
        <v>1421</v>
      </c>
      <c r="BL146" s="18" t="s">
        <v>1421</v>
      </c>
      <c r="BU146" s="18" t="str">
        <f>ADP!AO146</f>
        <v>Y</v>
      </c>
      <c r="BV146" s="18" t="str">
        <f>ADP!AO146</f>
        <v>Y</v>
      </c>
      <c r="CE146" s="18" t="s">
        <v>1421</v>
      </c>
      <c r="CH146" s="18" t="s">
        <v>1421</v>
      </c>
    </row>
    <row r="147" spans="1:86" x14ac:dyDescent="0.2">
      <c r="A147" s="39" t="s">
        <v>1420</v>
      </c>
      <c r="B147">
        <f>ADP!B147</f>
        <v>0</v>
      </c>
      <c r="C147">
        <f>ADP!C147</f>
        <v>0</v>
      </c>
      <c r="D147">
        <f>ADP!D147</f>
        <v>0</v>
      </c>
      <c r="E147">
        <f>ADP!P147</f>
        <v>0</v>
      </c>
      <c r="F147" t="str">
        <f>ADP!I147&amp;".new.uat"</f>
        <v>.new.uat</v>
      </c>
      <c r="G147" s="18" t="s">
        <v>1427</v>
      </c>
      <c r="H147">
        <f>ADP!I147</f>
        <v>0</v>
      </c>
      <c r="I147" t="str">
        <f>ADP!AJ147</f>
        <v>ADP and BU Language Code Not MappedLegal Country Not Mapped</v>
      </c>
      <c r="J147" t="str">
        <f>ADP!AI147</f>
        <v>Legal Country Not Mapped</v>
      </c>
      <c r="L147" t="str">
        <f>ADP!AD147</f>
        <v>BU Description Not Mapped</v>
      </c>
      <c r="M147" t="str">
        <f>ADP!AK147</f>
        <v>BU Currency Not Mapped</v>
      </c>
      <c r="O147" s="18" t="str">
        <f>ADP!AM147</f>
        <v>Position Status Not Mapped</v>
      </c>
      <c r="P147" t="str">
        <f>ADP!AD147</f>
        <v>BU Description Not Mapped</v>
      </c>
      <c r="Q147" t="str">
        <f>ADP!AE147</f>
        <v>Home Department Code Not Mapped</v>
      </c>
      <c r="W147">
        <f>ADP!AA147</f>
        <v>0</v>
      </c>
      <c r="X147" t="str">
        <f>ADP!AG147</f>
        <v>Salary Code Not Mapped</v>
      </c>
      <c r="Z147" t="str">
        <f t="shared" si="2"/>
        <v>BU Description Not Mapped</v>
      </c>
      <c r="AB147" t="str">
        <f>ADP!AN147</f>
        <v/>
      </c>
      <c r="AC147" t="str">
        <f>ADP!AL147</f>
        <v/>
      </c>
      <c r="AP147" t="str">
        <f>ADP!AD147</f>
        <v>BU Description Not Mapped</v>
      </c>
      <c r="BG147" t="e">
        <f>ADP!AC147</f>
        <v>#N/A</v>
      </c>
      <c r="BK147" s="18" t="s">
        <v>1421</v>
      </c>
      <c r="BL147" s="18" t="s">
        <v>1421</v>
      </c>
      <c r="BU147" s="18" t="str">
        <f>ADP!AO147</f>
        <v>Y</v>
      </c>
      <c r="BV147" s="18" t="str">
        <f>ADP!AO147</f>
        <v>Y</v>
      </c>
      <c r="CE147" s="18" t="s">
        <v>1421</v>
      </c>
      <c r="CH147" s="18" t="s">
        <v>1421</v>
      </c>
    </row>
    <row r="148" spans="1:86" x14ac:dyDescent="0.2">
      <c r="A148" s="39" t="s">
        <v>1420</v>
      </c>
      <c r="B148">
        <f>ADP!B148</f>
        <v>0</v>
      </c>
      <c r="C148">
        <f>ADP!C148</f>
        <v>0</v>
      </c>
      <c r="D148">
        <f>ADP!D148</f>
        <v>0</v>
      </c>
      <c r="E148">
        <f>ADP!P148</f>
        <v>0</v>
      </c>
      <c r="F148" t="str">
        <f>ADP!I148&amp;".new.uat"</f>
        <v>.new.uat</v>
      </c>
      <c r="G148" s="18" t="s">
        <v>1427</v>
      </c>
      <c r="H148">
        <f>ADP!I148</f>
        <v>0</v>
      </c>
      <c r="I148" t="str">
        <f>ADP!AJ148</f>
        <v>ADP and BU Language Code Not MappedLegal Country Not Mapped</v>
      </c>
      <c r="J148" t="str">
        <f>ADP!AI148</f>
        <v>Legal Country Not Mapped</v>
      </c>
      <c r="L148" t="str">
        <f>ADP!AD148</f>
        <v>BU Description Not Mapped</v>
      </c>
      <c r="M148" t="str">
        <f>ADP!AK148</f>
        <v>BU Currency Not Mapped</v>
      </c>
      <c r="O148" s="18" t="str">
        <f>ADP!AM148</f>
        <v>Position Status Not Mapped</v>
      </c>
      <c r="P148" t="str">
        <f>ADP!AD148</f>
        <v>BU Description Not Mapped</v>
      </c>
      <c r="Q148" t="str">
        <f>ADP!AE148</f>
        <v>Home Department Code Not Mapped</v>
      </c>
      <c r="W148">
        <f>ADP!AA148</f>
        <v>0</v>
      </c>
      <c r="X148" t="str">
        <f>ADP!AG148</f>
        <v>Salary Code Not Mapped</v>
      </c>
      <c r="Z148" t="str">
        <f t="shared" si="2"/>
        <v>BU Description Not Mapped</v>
      </c>
      <c r="AB148" t="str">
        <f>ADP!AN148</f>
        <v/>
      </c>
      <c r="AC148" t="str">
        <f>ADP!AL148</f>
        <v/>
      </c>
      <c r="AP148" t="str">
        <f>ADP!AD148</f>
        <v>BU Description Not Mapped</v>
      </c>
      <c r="BG148" t="e">
        <f>ADP!AC148</f>
        <v>#N/A</v>
      </c>
      <c r="BK148" s="18" t="s">
        <v>1421</v>
      </c>
      <c r="BL148" s="18" t="s">
        <v>1421</v>
      </c>
      <c r="BU148" s="18" t="str">
        <f>ADP!AO148</f>
        <v>Y</v>
      </c>
      <c r="BV148" s="18" t="str">
        <f>ADP!AO148</f>
        <v>Y</v>
      </c>
      <c r="CE148" s="18" t="s">
        <v>1421</v>
      </c>
      <c r="CH148" s="18" t="s">
        <v>1421</v>
      </c>
    </row>
    <row r="149" spans="1:86" x14ac:dyDescent="0.2">
      <c r="A149" s="39" t="s">
        <v>1420</v>
      </c>
      <c r="B149">
        <f>ADP!B149</f>
        <v>0</v>
      </c>
      <c r="C149">
        <f>ADP!C149</f>
        <v>0</v>
      </c>
      <c r="D149">
        <f>ADP!D149</f>
        <v>0</v>
      </c>
      <c r="E149">
        <f>ADP!P149</f>
        <v>0</v>
      </c>
      <c r="F149" t="str">
        <f>ADP!I149&amp;".new.uat"</f>
        <v>.new.uat</v>
      </c>
      <c r="G149" s="18" t="s">
        <v>1427</v>
      </c>
      <c r="H149">
        <f>ADP!I149</f>
        <v>0</v>
      </c>
      <c r="I149" t="str">
        <f>ADP!AJ149</f>
        <v>ADP and BU Language Code Not MappedLegal Country Not Mapped</v>
      </c>
      <c r="J149" t="str">
        <f>ADP!AI149</f>
        <v>Legal Country Not Mapped</v>
      </c>
      <c r="L149" t="str">
        <f>ADP!AD149</f>
        <v>BU Description Not Mapped</v>
      </c>
      <c r="M149" t="str">
        <f>ADP!AK149</f>
        <v>BU Currency Not Mapped</v>
      </c>
      <c r="O149" s="18" t="str">
        <f>ADP!AM149</f>
        <v>Position Status Not Mapped</v>
      </c>
      <c r="P149" t="str">
        <f>ADP!AD149</f>
        <v>BU Description Not Mapped</v>
      </c>
      <c r="Q149" t="str">
        <f>ADP!AE149</f>
        <v>Home Department Code Not Mapped</v>
      </c>
      <c r="W149">
        <f>ADP!AA149</f>
        <v>0</v>
      </c>
      <c r="X149" t="str">
        <f>ADP!AG149</f>
        <v>Salary Code Not Mapped</v>
      </c>
      <c r="Z149" t="str">
        <f t="shared" si="2"/>
        <v>BU Description Not Mapped</v>
      </c>
      <c r="AB149" t="str">
        <f>ADP!AN149</f>
        <v/>
      </c>
      <c r="AC149" t="str">
        <f>ADP!AL149</f>
        <v/>
      </c>
      <c r="AP149" t="str">
        <f>ADP!AD149</f>
        <v>BU Description Not Mapped</v>
      </c>
      <c r="BG149" t="e">
        <f>ADP!AC149</f>
        <v>#N/A</v>
      </c>
      <c r="BK149" s="18" t="s">
        <v>1421</v>
      </c>
      <c r="BL149" s="18" t="s">
        <v>1421</v>
      </c>
      <c r="BU149" s="18" t="str">
        <f>ADP!AO149</f>
        <v>Y</v>
      </c>
      <c r="BV149" s="18" t="str">
        <f>ADP!AO149</f>
        <v>Y</v>
      </c>
      <c r="CE149" s="18" t="s">
        <v>1421</v>
      </c>
      <c r="CH149" s="18" t="s">
        <v>1421</v>
      </c>
    </row>
    <row r="150" spans="1:86" x14ac:dyDescent="0.2">
      <c r="A150" s="39" t="s">
        <v>1420</v>
      </c>
      <c r="B150">
        <f>ADP!B150</f>
        <v>0</v>
      </c>
      <c r="C150">
        <f>ADP!C150</f>
        <v>0</v>
      </c>
      <c r="D150">
        <f>ADP!D150</f>
        <v>0</v>
      </c>
      <c r="E150">
        <f>ADP!P150</f>
        <v>0</v>
      </c>
      <c r="F150" t="str">
        <f>ADP!I150&amp;".new.uat"</f>
        <v>.new.uat</v>
      </c>
      <c r="G150" s="18" t="s">
        <v>1427</v>
      </c>
      <c r="H150">
        <f>ADP!I150</f>
        <v>0</v>
      </c>
      <c r="I150" t="str">
        <f>ADP!AJ150</f>
        <v>ADP and BU Language Code Not MappedLegal Country Not Mapped</v>
      </c>
      <c r="J150" t="str">
        <f>ADP!AI150</f>
        <v>Legal Country Not Mapped</v>
      </c>
      <c r="L150" t="str">
        <f>ADP!AD150</f>
        <v>BU Description Not Mapped</v>
      </c>
      <c r="M150" t="str">
        <f>ADP!AK150</f>
        <v>BU Currency Not Mapped</v>
      </c>
      <c r="O150" s="18" t="str">
        <f>ADP!AM150</f>
        <v>Position Status Not Mapped</v>
      </c>
      <c r="P150" t="str">
        <f>ADP!AD150</f>
        <v>BU Description Not Mapped</v>
      </c>
      <c r="Q150" t="str">
        <f>ADP!AE150</f>
        <v>Home Department Code Not Mapped</v>
      </c>
      <c r="W150">
        <f>ADP!AA150</f>
        <v>0</v>
      </c>
      <c r="X150" t="str">
        <f>ADP!AG150</f>
        <v>Salary Code Not Mapped</v>
      </c>
      <c r="Z150" t="str">
        <f t="shared" si="2"/>
        <v>BU Description Not Mapped</v>
      </c>
      <c r="AB150" t="str">
        <f>ADP!AN150</f>
        <v/>
      </c>
      <c r="AC150" t="str">
        <f>ADP!AL150</f>
        <v/>
      </c>
      <c r="AP150" t="str">
        <f>ADP!AD150</f>
        <v>BU Description Not Mapped</v>
      </c>
      <c r="BG150" t="e">
        <f>ADP!AC150</f>
        <v>#N/A</v>
      </c>
      <c r="BK150" s="18" t="s">
        <v>1421</v>
      </c>
      <c r="BL150" s="18" t="s">
        <v>1421</v>
      </c>
      <c r="BU150" s="18" t="str">
        <f>ADP!AO150</f>
        <v>Y</v>
      </c>
      <c r="BV150" s="18" t="str">
        <f>ADP!AO150</f>
        <v>Y</v>
      </c>
      <c r="CE150" s="18" t="s">
        <v>1421</v>
      </c>
      <c r="CH150" s="18" t="s">
        <v>1421</v>
      </c>
    </row>
    <row r="151" spans="1:86" x14ac:dyDescent="0.2">
      <c r="A151" s="39" t="s">
        <v>1420</v>
      </c>
      <c r="B151">
        <f>ADP!B151</f>
        <v>0</v>
      </c>
      <c r="C151">
        <f>ADP!C151</f>
        <v>0</v>
      </c>
      <c r="D151">
        <f>ADP!D151</f>
        <v>0</v>
      </c>
      <c r="E151">
        <f>ADP!P151</f>
        <v>0</v>
      </c>
      <c r="F151" t="str">
        <f>ADP!I151&amp;".new.uat"</f>
        <v>.new.uat</v>
      </c>
      <c r="G151" s="18" t="s">
        <v>1427</v>
      </c>
      <c r="H151">
        <f>ADP!I151</f>
        <v>0</v>
      </c>
      <c r="I151" t="str">
        <f>ADP!AJ151</f>
        <v>ADP and BU Language Code Not MappedLegal Country Not Mapped</v>
      </c>
      <c r="J151" t="str">
        <f>ADP!AI151</f>
        <v>Legal Country Not Mapped</v>
      </c>
      <c r="L151" t="str">
        <f>ADP!AD151</f>
        <v>BU Description Not Mapped</v>
      </c>
      <c r="M151" t="str">
        <f>ADP!AK151</f>
        <v>BU Currency Not Mapped</v>
      </c>
      <c r="O151" s="18" t="str">
        <f>ADP!AM151</f>
        <v>Position Status Not Mapped</v>
      </c>
      <c r="P151" t="str">
        <f>ADP!AD151</f>
        <v>BU Description Not Mapped</v>
      </c>
      <c r="Q151" t="str">
        <f>ADP!AE151</f>
        <v>Home Department Code Not Mapped</v>
      </c>
      <c r="W151">
        <f>ADP!AA151</f>
        <v>0</v>
      </c>
      <c r="X151" t="str">
        <f>ADP!AG151</f>
        <v>Salary Code Not Mapped</v>
      </c>
      <c r="Z151" t="str">
        <f t="shared" si="2"/>
        <v>BU Description Not Mapped</v>
      </c>
      <c r="AB151" t="str">
        <f>ADP!AN151</f>
        <v/>
      </c>
      <c r="AC151" t="str">
        <f>ADP!AL151</f>
        <v/>
      </c>
      <c r="AP151" t="str">
        <f>ADP!AD151</f>
        <v>BU Description Not Mapped</v>
      </c>
      <c r="BG151" t="e">
        <f>ADP!AC151</f>
        <v>#N/A</v>
      </c>
      <c r="BK151" s="18" t="s">
        <v>1421</v>
      </c>
      <c r="BL151" s="18" t="s">
        <v>1421</v>
      </c>
      <c r="BU151" s="18" t="str">
        <f>ADP!AO151</f>
        <v>Y</v>
      </c>
      <c r="BV151" s="18" t="str">
        <f>ADP!AO151</f>
        <v>Y</v>
      </c>
      <c r="CE151" s="18" t="s">
        <v>1421</v>
      </c>
      <c r="CH151" s="18" t="s">
        <v>1421</v>
      </c>
    </row>
    <row r="152" spans="1:86" x14ac:dyDescent="0.2">
      <c r="A152" s="39" t="s">
        <v>1420</v>
      </c>
      <c r="B152">
        <f>ADP!B152</f>
        <v>0</v>
      </c>
      <c r="C152">
        <f>ADP!C152</f>
        <v>0</v>
      </c>
      <c r="D152">
        <f>ADP!D152</f>
        <v>0</v>
      </c>
      <c r="E152">
        <f>ADP!P152</f>
        <v>0</v>
      </c>
      <c r="F152" t="str">
        <f>ADP!I152&amp;".new.uat"</f>
        <v>.new.uat</v>
      </c>
      <c r="G152" s="18" t="s">
        <v>1427</v>
      </c>
      <c r="H152">
        <f>ADP!I152</f>
        <v>0</v>
      </c>
      <c r="I152" t="str">
        <f>ADP!AJ152</f>
        <v>ADP and BU Language Code Not MappedLegal Country Not Mapped</v>
      </c>
      <c r="J152" t="str">
        <f>ADP!AI152</f>
        <v>Legal Country Not Mapped</v>
      </c>
      <c r="L152" t="str">
        <f>ADP!AD152</f>
        <v>BU Description Not Mapped</v>
      </c>
      <c r="M152" t="str">
        <f>ADP!AK152</f>
        <v>BU Currency Not Mapped</v>
      </c>
      <c r="O152" s="18" t="str">
        <f>ADP!AM152</f>
        <v>Position Status Not Mapped</v>
      </c>
      <c r="P152" t="str">
        <f>ADP!AD152</f>
        <v>BU Description Not Mapped</v>
      </c>
      <c r="Q152" t="str">
        <f>ADP!AE152</f>
        <v>Home Department Code Not Mapped</v>
      </c>
      <c r="W152">
        <f>ADP!AA152</f>
        <v>0</v>
      </c>
      <c r="X152" t="str">
        <f>ADP!AG152</f>
        <v>Salary Code Not Mapped</v>
      </c>
      <c r="Z152" t="str">
        <f t="shared" si="2"/>
        <v>BU Description Not Mapped</v>
      </c>
      <c r="AB152" t="str">
        <f>ADP!AN152</f>
        <v/>
      </c>
      <c r="AC152" t="str">
        <f>ADP!AL152</f>
        <v/>
      </c>
      <c r="AP152" t="str">
        <f>ADP!AD152</f>
        <v>BU Description Not Mapped</v>
      </c>
      <c r="BG152" t="e">
        <f>ADP!AC152</f>
        <v>#N/A</v>
      </c>
      <c r="BK152" s="18" t="s">
        <v>1421</v>
      </c>
      <c r="BL152" s="18" t="s">
        <v>1421</v>
      </c>
      <c r="BU152" s="18" t="str">
        <f>ADP!AO152</f>
        <v>Y</v>
      </c>
      <c r="BV152" s="18" t="str">
        <f>ADP!AO152</f>
        <v>Y</v>
      </c>
      <c r="CE152" s="18" t="s">
        <v>1421</v>
      </c>
      <c r="CH152" s="18" t="s">
        <v>1421</v>
      </c>
    </row>
    <row r="153" spans="1:86" x14ac:dyDescent="0.2">
      <c r="A153" s="39" t="s">
        <v>1420</v>
      </c>
      <c r="B153">
        <f>ADP!B153</f>
        <v>0</v>
      </c>
      <c r="C153">
        <f>ADP!C153</f>
        <v>0</v>
      </c>
      <c r="D153">
        <f>ADP!D153</f>
        <v>0</v>
      </c>
      <c r="E153">
        <f>ADP!P153</f>
        <v>0</v>
      </c>
      <c r="F153" t="str">
        <f>ADP!I153&amp;".new.uat"</f>
        <v>.new.uat</v>
      </c>
      <c r="G153" s="18" t="s">
        <v>1427</v>
      </c>
      <c r="H153">
        <f>ADP!I153</f>
        <v>0</v>
      </c>
      <c r="I153" t="str">
        <f>ADP!AJ153</f>
        <v>ADP and BU Language Code Not MappedLegal Country Not Mapped</v>
      </c>
      <c r="J153" t="str">
        <f>ADP!AI153</f>
        <v>Legal Country Not Mapped</v>
      </c>
      <c r="L153" t="str">
        <f>ADP!AD153</f>
        <v>BU Description Not Mapped</v>
      </c>
      <c r="M153" t="str">
        <f>ADP!AK153</f>
        <v>BU Currency Not Mapped</v>
      </c>
      <c r="O153" s="18" t="str">
        <f>ADP!AM153</f>
        <v>Position Status Not Mapped</v>
      </c>
      <c r="P153" t="str">
        <f>ADP!AD153</f>
        <v>BU Description Not Mapped</v>
      </c>
      <c r="Q153" t="str">
        <f>ADP!AE153</f>
        <v>Home Department Code Not Mapped</v>
      </c>
      <c r="W153">
        <f>ADP!AA153</f>
        <v>0</v>
      </c>
      <c r="X153" t="str">
        <f>ADP!AG153</f>
        <v>Salary Code Not Mapped</v>
      </c>
      <c r="Z153" t="str">
        <f t="shared" si="2"/>
        <v>BU Description Not Mapped</v>
      </c>
      <c r="AB153" t="str">
        <f>ADP!AN153</f>
        <v/>
      </c>
      <c r="AC153" t="str">
        <f>ADP!AL153</f>
        <v/>
      </c>
      <c r="AP153" t="str">
        <f>ADP!AD153</f>
        <v>BU Description Not Mapped</v>
      </c>
      <c r="BG153" t="e">
        <f>ADP!AC153</f>
        <v>#N/A</v>
      </c>
      <c r="BK153" s="18" t="s">
        <v>1421</v>
      </c>
      <c r="BL153" s="18" t="s">
        <v>1421</v>
      </c>
      <c r="BU153" s="18" t="str">
        <f>ADP!AO153</f>
        <v>Y</v>
      </c>
      <c r="BV153" s="18" t="str">
        <f>ADP!AO153</f>
        <v>Y</v>
      </c>
      <c r="CE153" s="18" t="s">
        <v>1421</v>
      </c>
      <c r="CH153" s="18" t="s">
        <v>1421</v>
      </c>
    </row>
    <row r="154" spans="1:86" x14ac:dyDescent="0.2">
      <c r="A154" s="39" t="s">
        <v>1420</v>
      </c>
      <c r="B154">
        <f>ADP!B154</f>
        <v>0</v>
      </c>
      <c r="C154">
        <f>ADP!C154</f>
        <v>0</v>
      </c>
      <c r="D154">
        <f>ADP!D154</f>
        <v>0</v>
      </c>
      <c r="E154">
        <f>ADP!P154</f>
        <v>0</v>
      </c>
      <c r="F154" t="str">
        <f>ADP!I154&amp;".new.uat"</f>
        <v>.new.uat</v>
      </c>
      <c r="G154" s="18" t="s">
        <v>1427</v>
      </c>
      <c r="H154">
        <f>ADP!I154</f>
        <v>0</v>
      </c>
      <c r="I154" t="str">
        <f>ADP!AJ154</f>
        <v>ADP and BU Language Code Not MappedLegal Country Not Mapped</v>
      </c>
      <c r="J154" t="str">
        <f>ADP!AI154</f>
        <v>Legal Country Not Mapped</v>
      </c>
      <c r="L154" t="str">
        <f>ADP!AD154</f>
        <v>BU Description Not Mapped</v>
      </c>
      <c r="M154" t="str">
        <f>ADP!AK154</f>
        <v>BU Currency Not Mapped</v>
      </c>
      <c r="O154" s="18" t="str">
        <f>ADP!AM154</f>
        <v>Position Status Not Mapped</v>
      </c>
      <c r="P154" t="str">
        <f>ADP!AD154</f>
        <v>BU Description Not Mapped</v>
      </c>
      <c r="Q154" t="str">
        <f>ADP!AE154</f>
        <v>Home Department Code Not Mapped</v>
      </c>
      <c r="W154">
        <f>ADP!AA154</f>
        <v>0</v>
      </c>
      <c r="X154" t="str">
        <f>ADP!AG154</f>
        <v>Salary Code Not Mapped</v>
      </c>
      <c r="Z154" t="str">
        <f t="shared" si="2"/>
        <v>BU Description Not Mapped</v>
      </c>
      <c r="AB154" t="str">
        <f>ADP!AN154</f>
        <v/>
      </c>
      <c r="AC154" t="str">
        <f>ADP!AL154</f>
        <v/>
      </c>
      <c r="AP154" t="str">
        <f>ADP!AD154</f>
        <v>BU Description Not Mapped</v>
      </c>
      <c r="BG154" t="e">
        <f>ADP!AC154</f>
        <v>#N/A</v>
      </c>
      <c r="BK154" s="18" t="s">
        <v>1421</v>
      </c>
      <c r="BL154" s="18" t="s">
        <v>1421</v>
      </c>
      <c r="BU154" s="18" t="str">
        <f>ADP!AO154</f>
        <v>Y</v>
      </c>
      <c r="BV154" s="18" t="str">
        <f>ADP!AO154</f>
        <v>Y</v>
      </c>
      <c r="CE154" s="18" t="s">
        <v>1421</v>
      </c>
      <c r="CH154" s="18" t="s">
        <v>1421</v>
      </c>
    </row>
    <row r="155" spans="1:86" x14ac:dyDescent="0.2">
      <c r="A155" s="39" t="s">
        <v>1420</v>
      </c>
      <c r="B155">
        <f>ADP!B155</f>
        <v>0</v>
      </c>
      <c r="C155">
        <f>ADP!C155</f>
        <v>0</v>
      </c>
      <c r="D155">
        <f>ADP!D155</f>
        <v>0</v>
      </c>
      <c r="E155">
        <f>ADP!P155</f>
        <v>0</v>
      </c>
      <c r="F155" t="str">
        <f>ADP!I155&amp;".new.uat"</f>
        <v>.new.uat</v>
      </c>
      <c r="G155" s="18" t="s">
        <v>1427</v>
      </c>
      <c r="H155">
        <f>ADP!I155</f>
        <v>0</v>
      </c>
      <c r="I155" t="str">
        <f>ADP!AJ155</f>
        <v>ADP and BU Language Code Not MappedLegal Country Not Mapped</v>
      </c>
      <c r="J155" t="str">
        <f>ADP!AI155</f>
        <v>Legal Country Not Mapped</v>
      </c>
      <c r="L155" t="str">
        <f>ADP!AD155</f>
        <v>BU Description Not Mapped</v>
      </c>
      <c r="M155" t="str">
        <f>ADP!AK155</f>
        <v>BU Currency Not Mapped</v>
      </c>
      <c r="O155" s="18" t="str">
        <f>ADP!AM155</f>
        <v>Position Status Not Mapped</v>
      </c>
      <c r="P155" t="str">
        <f>ADP!AD155</f>
        <v>BU Description Not Mapped</v>
      </c>
      <c r="Q155" t="str">
        <f>ADP!AE155</f>
        <v>Home Department Code Not Mapped</v>
      </c>
      <c r="W155">
        <f>ADP!AA155</f>
        <v>0</v>
      </c>
      <c r="X155" t="str">
        <f>ADP!AG155</f>
        <v>Salary Code Not Mapped</v>
      </c>
      <c r="Z155" t="str">
        <f t="shared" si="2"/>
        <v>BU Description Not Mapped</v>
      </c>
      <c r="AB155" t="str">
        <f>ADP!AN155</f>
        <v/>
      </c>
      <c r="AC155" t="str">
        <f>ADP!AL155</f>
        <v/>
      </c>
      <c r="AP155" t="str">
        <f>ADP!AD155</f>
        <v>BU Description Not Mapped</v>
      </c>
      <c r="BG155" t="e">
        <f>ADP!AC155</f>
        <v>#N/A</v>
      </c>
      <c r="BK155" s="18" t="s">
        <v>1421</v>
      </c>
      <c r="BL155" s="18" t="s">
        <v>1421</v>
      </c>
      <c r="BU155" s="18" t="str">
        <f>ADP!AO155</f>
        <v>Y</v>
      </c>
      <c r="BV155" s="18" t="str">
        <f>ADP!AO155</f>
        <v>Y</v>
      </c>
      <c r="CE155" s="18" t="s">
        <v>1421</v>
      </c>
      <c r="CH155" s="18" t="s">
        <v>1421</v>
      </c>
    </row>
    <row r="156" spans="1:86" x14ac:dyDescent="0.2">
      <c r="A156" s="39" t="s">
        <v>1420</v>
      </c>
      <c r="B156">
        <f>ADP!B156</f>
        <v>0</v>
      </c>
      <c r="C156">
        <f>ADP!C156</f>
        <v>0</v>
      </c>
      <c r="D156">
        <f>ADP!D156</f>
        <v>0</v>
      </c>
      <c r="E156">
        <f>ADP!P156</f>
        <v>0</v>
      </c>
      <c r="F156" t="str">
        <f>ADP!I156&amp;".new.uat"</f>
        <v>.new.uat</v>
      </c>
      <c r="G156" s="18" t="s">
        <v>1427</v>
      </c>
      <c r="H156">
        <f>ADP!I156</f>
        <v>0</v>
      </c>
      <c r="I156" t="str">
        <f>ADP!AJ156</f>
        <v>ADP and BU Language Code Not MappedLegal Country Not Mapped</v>
      </c>
      <c r="J156" t="str">
        <f>ADP!AI156</f>
        <v>Legal Country Not Mapped</v>
      </c>
      <c r="L156" t="str">
        <f>ADP!AD156</f>
        <v>BU Description Not Mapped</v>
      </c>
      <c r="M156" t="str">
        <f>ADP!AK156</f>
        <v>BU Currency Not Mapped</v>
      </c>
      <c r="O156" s="18" t="str">
        <f>ADP!AM156</f>
        <v>Position Status Not Mapped</v>
      </c>
      <c r="P156" t="str">
        <f>ADP!AD156</f>
        <v>BU Description Not Mapped</v>
      </c>
      <c r="Q156" t="str">
        <f>ADP!AE156</f>
        <v>Home Department Code Not Mapped</v>
      </c>
      <c r="W156">
        <f>ADP!AA156</f>
        <v>0</v>
      </c>
      <c r="X156" t="str">
        <f>ADP!AG156</f>
        <v>Salary Code Not Mapped</v>
      </c>
      <c r="Z156" t="str">
        <f t="shared" si="2"/>
        <v>BU Description Not Mapped</v>
      </c>
      <c r="AB156" t="str">
        <f>ADP!AN156</f>
        <v/>
      </c>
      <c r="AC156" t="str">
        <f>ADP!AL156</f>
        <v/>
      </c>
      <c r="AP156" t="str">
        <f>ADP!AD156</f>
        <v>BU Description Not Mapped</v>
      </c>
      <c r="BG156" t="e">
        <f>ADP!AC156</f>
        <v>#N/A</v>
      </c>
      <c r="BK156" s="18" t="s">
        <v>1421</v>
      </c>
      <c r="BL156" s="18" t="s">
        <v>1421</v>
      </c>
      <c r="BU156" s="18" t="str">
        <f>ADP!AO156</f>
        <v>Y</v>
      </c>
      <c r="BV156" s="18" t="str">
        <f>ADP!AO156</f>
        <v>Y</v>
      </c>
      <c r="CE156" s="18" t="s">
        <v>1421</v>
      </c>
      <c r="CH156" s="18" t="s">
        <v>1421</v>
      </c>
    </row>
    <row r="157" spans="1:86" x14ac:dyDescent="0.2">
      <c r="A157" s="39" t="s">
        <v>1420</v>
      </c>
      <c r="B157">
        <f>ADP!B157</f>
        <v>0</v>
      </c>
      <c r="C157">
        <f>ADP!C157</f>
        <v>0</v>
      </c>
      <c r="D157">
        <f>ADP!D157</f>
        <v>0</v>
      </c>
      <c r="E157">
        <f>ADP!P157</f>
        <v>0</v>
      </c>
      <c r="F157" t="str">
        <f>ADP!I157&amp;".new.uat"</f>
        <v>.new.uat</v>
      </c>
      <c r="G157" s="18" t="s">
        <v>1427</v>
      </c>
      <c r="H157">
        <f>ADP!I157</f>
        <v>0</v>
      </c>
      <c r="I157" t="str">
        <f>ADP!AJ157</f>
        <v>ADP and BU Language Code Not MappedLegal Country Not Mapped</v>
      </c>
      <c r="J157" t="str">
        <f>ADP!AI157</f>
        <v>Legal Country Not Mapped</v>
      </c>
      <c r="L157" t="str">
        <f>ADP!AD157</f>
        <v>BU Description Not Mapped</v>
      </c>
      <c r="M157" t="str">
        <f>ADP!AK157</f>
        <v>BU Currency Not Mapped</v>
      </c>
      <c r="O157" s="18" t="str">
        <f>ADP!AM157</f>
        <v>Position Status Not Mapped</v>
      </c>
      <c r="P157" t="str">
        <f>ADP!AD157</f>
        <v>BU Description Not Mapped</v>
      </c>
      <c r="Q157" t="str">
        <f>ADP!AE157</f>
        <v>Home Department Code Not Mapped</v>
      </c>
      <c r="W157">
        <f>ADP!AA157</f>
        <v>0</v>
      </c>
      <c r="X157" t="str">
        <f>ADP!AG157</f>
        <v>Salary Code Not Mapped</v>
      </c>
      <c r="Z157" t="str">
        <f t="shared" si="2"/>
        <v>BU Description Not Mapped</v>
      </c>
      <c r="AB157" t="str">
        <f>ADP!AN157</f>
        <v/>
      </c>
      <c r="AC157" t="str">
        <f>ADP!AL157</f>
        <v/>
      </c>
      <c r="AP157" t="str">
        <f>ADP!AD157</f>
        <v>BU Description Not Mapped</v>
      </c>
      <c r="BG157" t="e">
        <f>ADP!AC157</f>
        <v>#N/A</v>
      </c>
      <c r="BK157" s="18" t="s">
        <v>1421</v>
      </c>
      <c r="BL157" s="18" t="s">
        <v>1421</v>
      </c>
      <c r="BU157" s="18" t="str">
        <f>ADP!AO157</f>
        <v>Y</v>
      </c>
      <c r="BV157" s="18" t="str">
        <f>ADP!AO157</f>
        <v>Y</v>
      </c>
      <c r="CE157" s="18" t="s">
        <v>1421</v>
      </c>
      <c r="CH157" s="18" t="s">
        <v>1421</v>
      </c>
    </row>
    <row r="158" spans="1:86" x14ac:dyDescent="0.2">
      <c r="A158" s="39" t="s">
        <v>1420</v>
      </c>
      <c r="B158">
        <f>ADP!B158</f>
        <v>0</v>
      </c>
      <c r="C158">
        <f>ADP!C158</f>
        <v>0</v>
      </c>
      <c r="D158">
        <f>ADP!D158</f>
        <v>0</v>
      </c>
      <c r="E158">
        <f>ADP!P158</f>
        <v>0</v>
      </c>
      <c r="F158" t="str">
        <f>ADP!I158&amp;".new.uat"</f>
        <v>.new.uat</v>
      </c>
      <c r="G158" s="18" t="s">
        <v>1427</v>
      </c>
      <c r="H158">
        <f>ADP!I158</f>
        <v>0</v>
      </c>
      <c r="I158" t="str">
        <f>ADP!AJ158</f>
        <v>ADP and BU Language Code Not MappedLegal Country Not Mapped</v>
      </c>
      <c r="J158" t="str">
        <f>ADP!AI158</f>
        <v>Legal Country Not Mapped</v>
      </c>
      <c r="L158" t="str">
        <f>ADP!AD158</f>
        <v>BU Description Not Mapped</v>
      </c>
      <c r="M158" t="str">
        <f>ADP!AK158</f>
        <v>BU Currency Not Mapped</v>
      </c>
      <c r="O158" s="18" t="str">
        <f>ADP!AM158</f>
        <v>Position Status Not Mapped</v>
      </c>
      <c r="P158" t="str">
        <f>ADP!AD158</f>
        <v>BU Description Not Mapped</v>
      </c>
      <c r="Q158" t="str">
        <f>ADP!AE158</f>
        <v>Home Department Code Not Mapped</v>
      </c>
      <c r="W158">
        <f>ADP!AA158</f>
        <v>0</v>
      </c>
      <c r="X158" t="str">
        <f>ADP!AG158</f>
        <v>Salary Code Not Mapped</v>
      </c>
      <c r="Z158" t="str">
        <f t="shared" si="2"/>
        <v>BU Description Not Mapped</v>
      </c>
      <c r="AB158" t="str">
        <f>ADP!AN158</f>
        <v/>
      </c>
      <c r="AC158" t="str">
        <f>ADP!AL158</f>
        <v/>
      </c>
      <c r="AP158" t="str">
        <f>ADP!AD158</f>
        <v>BU Description Not Mapped</v>
      </c>
      <c r="BG158" t="e">
        <f>ADP!AC158</f>
        <v>#N/A</v>
      </c>
      <c r="BK158" s="18" t="s">
        <v>1421</v>
      </c>
      <c r="BL158" s="18" t="s">
        <v>1421</v>
      </c>
      <c r="BU158" s="18" t="str">
        <f>ADP!AO158</f>
        <v>Y</v>
      </c>
      <c r="BV158" s="18" t="str">
        <f>ADP!AO158</f>
        <v>Y</v>
      </c>
      <c r="CE158" s="18" t="s">
        <v>1421</v>
      </c>
      <c r="CH158" s="18" t="s">
        <v>1421</v>
      </c>
    </row>
    <row r="159" spans="1:86" x14ac:dyDescent="0.2">
      <c r="A159" s="39" t="s">
        <v>1420</v>
      </c>
      <c r="B159">
        <f>ADP!B159</f>
        <v>0</v>
      </c>
      <c r="C159">
        <f>ADP!C159</f>
        <v>0</v>
      </c>
      <c r="D159">
        <f>ADP!D159</f>
        <v>0</v>
      </c>
      <c r="E159">
        <f>ADP!P159</f>
        <v>0</v>
      </c>
      <c r="F159" t="str">
        <f>ADP!I159&amp;".new.uat"</f>
        <v>.new.uat</v>
      </c>
      <c r="G159" s="18" t="s">
        <v>1427</v>
      </c>
      <c r="H159">
        <f>ADP!I159</f>
        <v>0</v>
      </c>
      <c r="I159" t="str">
        <f>ADP!AJ159</f>
        <v>ADP and BU Language Code Not MappedLegal Country Not Mapped</v>
      </c>
      <c r="J159" t="str">
        <f>ADP!AI159</f>
        <v>Legal Country Not Mapped</v>
      </c>
      <c r="L159" t="str">
        <f>ADP!AD159</f>
        <v>BU Description Not Mapped</v>
      </c>
      <c r="M159" t="str">
        <f>ADP!AK159</f>
        <v>BU Currency Not Mapped</v>
      </c>
      <c r="O159" s="18" t="str">
        <f>ADP!AM159</f>
        <v>Position Status Not Mapped</v>
      </c>
      <c r="P159" t="str">
        <f>ADP!AD159</f>
        <v>BU Description Not Mapped</v>
      </c>
      <c r="Q159" t="str">
        <f>ADP!AE159</f>
        <v>Home Department Code Not Mapped</v>
      </c>
      <c r="W159">
        <f>ADP!AA159</f>
        <v>0</v>
      </c>
      <c r="X159" t="str">
        <f>ADP!AG159</f>
        <v>Salary Code Not Mapped</v>
      </c>
      <c r="Z159" t="str">
        <f t="shared" si="2"/>
        <v>BU Description Not Mapped</v>
      </c>
      <c r="AB159" t="str">
        <f>ADP!AN159</f>
        <v/>
      </c>
      <c r="AC159" t="str">
        <f>ADP!AL159</f>
        <v/>
      </c>
      <c r="AP159" t="str">
        <f>ADP!AD159</f>
        <v>BU Description Not Mapped</v>
      </c>
      <c r="BG159" t="e">
        <f>ADP!AC159</f>
        <v>#N/A</v>
      </c>
      <c r="BK159" s="18" t="s">
        <v>1421</v>
      </c>
      <c r="BL159" s="18" t="s">
        <v>1421</v>
      </c>
      <c r="BU159" s="18" t="str">
        <f>ADP!AO159</f>
        <v>Y</v>
      </c>
      <c r="BV159" s="18" t="str">
        <f>ADP!AO159</f>
        <v>Y</v>
      </c>
      <c r="CE159" s="18" t="s">
        <v>1421</v>
      </c>
      <c r="CH159" s="18" t="s">
        <v>1421</v>
      </c>
    </row>
    <row r="160" spans="1:86" x14ac:dyDescent="0.2">
      <c r="A160" s="39" t="s">
        <v>1420</v>
      </c>
      <c r="B160">
        <f>ADP!B160</f>
        <v>0</v>
      </c>
      <c r="C160">
        <f>ADP!C160</f>
        <v>0</v>
      </c>
      <c r="D160">
        <f>ADP!D160</f>
        <v>0</v>
      </c>
      <c r="E160">
        <f>ADP!P160</f>
        <v>0</v>
      </c>
      <c r="F160" t="str">
        <f>ADP!I160&amp;".new.uat"</f>
        <v>.new.uat</v>
      </c>
      <c r="G160" s="18" t="s">
        <v>1427</v>
      </c>
      <c r="H160">
        <f>ADP!I160</f>
        <v>0</v>
      </c>
      <c r="I160" t="str">
        <f>ADP!AJ160</f>
        <v>ADP and BU Language Code Not MappedLegal Country Not Mapped</v>
      </c>
      <c r="J160" t="str">
        <f>ADP!AI160</f>
        <v>Legal Country Not Mapped</v>
      </c>
      <c r="L160" t="str">
        <f>ADP!AD160</f>
        <v>BU Description Not Mapped</v>
      </c>
      <c r="M160" t="str">
        <f>ADP!AK160</f>
        <v>BU Currency Not Mapped</v>
      </c>
      <c r="O160" s="18" t="str">
        <f>ADP!AM160</f>
        <v>Position Status Not Mapped</v>
      </c>
      <c r="P160" t="str">
        <f>ADP!AD160</f>
        <v>BU Description Not Mapped</v>
      </c>
      <c r="Q160" t="str">
        <f>ADP!AE160</f>
        <v>Home Department Code Not Mapped</v>
      </c>
      <c r="W160">
        <f>ADP!AA160</f>
        <v>0</v>
      </c>
      <c r="X160" t="str">
        <f>ADP!AG160</f>
        <v>Salary Code Not Mapped</v>
      </c>
      <c r="Z160" t="str">
        <f t="shared" si="2"/>
        <v>BU Description Not Mapped</v>
      </c>
      <c r="AB160" t="str">
        <f>ADP!AN160</f>
        <v/>
      </c>
      <c r="AC160" t="str">
        <f>ADP!AL160</f>
        <v/>
      </c>
      <c r="AP160" t="str">
        <f>ADP!AD160</f>
        <v>BU Description Not Mapped</v>
      </c>
      <c r="BG160" t="e">
        <f>ADP!AC160</f>
        <v>#N/A</v>
      </c>
      <c r="BK160" s="18" t="s">
        <v>1421</v>
      </c>
      <c r="BL160" s="18" t="s">
        <v>1421</v>
      </c>
      <c r="BU160" s="18" t="str">
        <f>ADP!AO160</f>
        <v>Y</v>
      </c>
      <c r="BV160" s="18" t="str">
        <f>ADP!AO160</f>
        <v>Y</v>
      </c>
      <c r="CE160" s="18" t="s">
        <v>1421</v>
      </c>
      <c r="CH160" s="18" t="s">
        <v>1421</v>
      </c>
    </row>
    <row r="161" spans="1:86" x14ac:dyDescent="0.2">
      <c r="A161" s="39" t="s">
        <v>1420</v>
      </c>
      <c r="B161">
        <f>ADP!B161</f>
        <v>0</v>
      </c>
      <c r="C161">
        <f>ADP!C161</f>
        <v>0</v>
      </c>
      <c r="D161">
        <f>ADP!D161</f>
        <v>0</v>
      </c>
      <c r="E161">
        <f>ADP!P161</f>
        <v>0</v>
      </c>
      <c r="F161" t="str">
        <f>ADP!I161&amp;".new.uat"</f>
        <v>.new.uat</v>
      </c>
      <c r="G161" s="18" t="s">
        <v>1427</v>
      </c>
      <c r="H161">
        <f>ADP!I161</f>
        <v>0</v>
      </c>
      <c r="I161" t="str">
        <f>ADP!AJ161</f>
        <v>ADP and BU Language Code Not MappedLegal Country Not Mapped</v>
      </c>
      <c r="J161" t="str">
        <f>ADP!AI161</f>
        <v>Legal Country Not Mapped</v>
      </c>
      <c r="L161" t="str">
        <f>ADP!AD161</f>
        <v>BU Description Not Mapped</v>
      </c>
      <c r="M161" t="str">
        <f>ADP!AK161</f>
        <v>BU Currency Not Mapped</v>
      </c>
      <c r="O161" s="18" t="str">
        <f>ADP!AM161</f>
        <v>Position Status Not Mapped</v>
      </c>
      <c r="P161" t="str">
        <f>ADP!AD161</f>
        <v>BU Description Not Mapped</v>
      </c>
      <c r="Q161" t="str">
        <f>ADP!AE161</f>
        <v>Home Department Code Not Mapped</v>
      </c>
      <c r="W161">
        <f>ADP!AA161</f>
        <v>0</v>
      </c>
      <c r="X161" t="str">
        <f>ADP!AG161</f>
        <v>Salary Code Not Mapped</v>
      </c>
      <c r="Z161" t="str">
        <f t="shared" si="2"/>
        <v>BU Description Not Mapped</v>
      </c>
      <c r="AB161" t="str">
        <f>ADP!AN161</f>
        <v/>
      </c>
      <c r="AC161" t="str">
        <f>ADP!AL161</f>
        <v/>
      </c>
      <c r="AP161" t="str">
        <f>ADP!AD161</f>
        <v>BU Description Not Mapped</v>
      </c>
      <c r="BG161" t="e">
        <f>ADP!AC161</f>
        <v>#N/A</v>
      </c>
      <c r="BK161" s="18" t="s">
        <v>1421</v>
      </c>
      <c r="BL161" s="18" t="s">
        <v>1421</v>
      </c>
      <c r="BU161" s="18" t="str">
        <f>ADP!AO161</f>
        <v>Y</v>
      </c>
      <c r="BV161" s="18" t="str">
        <f>ADP!AO161</f>
        <v>Y</v>
      </c>
      <c r="CE161" s="18" t="s">
        <v>1421</v>
      </c>
      <c r="CH161" s="18" t="s">
        <v>1421</v>
      </c>
    </row>
    <row r="162" spans="1:86" x14ac:dyDescent="0.2">
      <c r="A162" s="39" t="s">
        <v>1420</v>
      </c>
      <c r="B162">
        <f>ADP!B162</f>
        <v>0</v>
      </c>
      <c r="C162">
        <f>ADP!C162</f>
        <v>0</v>
      </c>
      <c r="D162">
        <f>ADP!D162</f>
        <v>0</v>
      </c>
      <c r="E162">
        <f>ADP!P162</f>
        <v>0</v>
      </c>
      <c r="F162" t="str">
        <f>ADP!I162&amp;".new.uat"</f>
        <v>.new.uat</v>
      </c>
      <c r="G162" s="18" t="s">
        <v>1427</v>
      </c>
      <c r="H162">
        <f>ADP!I162</f>
        <v>0</v>
      </c>
      <c r="I162" t="str">
        <f>ADP!AJ162</f>
        <v>ADP and BU Language Code Not MappedLegal Country Not Mapped</v>
      </c>
      <c r="J162" t="str">
        <f>ADP!AI162</f>
        <v>Legal Country Not Mapped</v>
      </c>
      <c r="L162" t="str">
        <f>ADP!AD162</f>
        <v>BU Description Not Mapped</v>
      </c>
      <c r="M162" t="str">
        <f>ADP!AK162</f>
        <v>BU Currency Not Mapped</v>
      </c>
      <c r="O162" s="18" t="str">
        <f>ADP!AM162</f>
        <v>Position Status Not Mapped</v>
      </c>
      <c r="P162" t="str">
        <f>ADP!AD162</f>
        <v>BU Description Not Mapped</v>
      </c>
      <c r="Q162" t="str">
        <f>ADP!AE162</f>
        <v>Home Department Code Not Mapped</v>
      </c>
      <c r="W162">
        <f>ADP!AA162</f>
        <v>0</v>
      </c>
      <c r="X162" t="str">
        <f>ADP!AG162</f>
        <v>Salary Code Not Mapped</v>
      </c>
      <c r="Z162" t="str">
        <f t="shared" si="2"/>
        <v>BU Description Not Mapped</v>
      </c>
      <c r="AB162" t="str">
        <f>ADP!AN162</f>
        <v/>
      </c>
      <c r="AC162" t="str">
        <f>ADP!AL162</f>
        <v/>
      </c>
      <c r="AP162" t="str">
        <f>ADP!AD162</f>
        <v>BU Description Not Mapped</v>
      </c>
      <c r="BG162" t="e">
        <f>ADP!AC162</f>
        <v>#N/A</v>
      </c>
      <c r="BK162" s="18" t="s">
        <v>1421</v>
      </c>
      <c r="BL162" s="18" t="s">
        <v>1421</v>
      </c>
      <c r="BU162" s="18" t="str">
        <f>ADP!AO162</f>
        <v>Y</v>
      </c>
      <c r="BV162" s="18" t="str">
        <f>ADP!AO162</f>
        <v>Y</v>
      </c>
      <c r="CE162" s="18" t="s">
        <v>1421</v>
      </c>
      <c r="CH162" s="18" t="s">
        <v>1421</v>
      </c>
    </row>
    <row r="163" spans="1:86" x14ac:dyDescent="0.2">
      <c r="A163" s="39" t="s">
        <v>1420</v>
      </c>
      <c r="B163">
        <f>ADP!B163</f>
        <v>0</v>
      </c>
      <c r="C163">
        <f>ADP!C163</f>
        <v>0</v>
      </c>
      <c r="D163">
        <f>ADP!D163</f>
        <v>0</v>
      </c>
      <c r="E163">
        <f>ADP!P163</f>
        <v>0</v>
      </c>
      <c r="F163" t="str">
        <f>ADP!I163&amp;".new.uat"</f>
        <v>.new.uat</v>
      </c>
      <c r="G163" s="18" t="s">
        <v>1427</v>
      </c>
      <c r="H163">
        <f>ADP!I163</f>
        <v>0</v>
      </c>
      <c r="I163" t="str">
        <f>ADP!AJ163</f>
        <v>ADP and BU Language Code Not MappedLegal Country Not Mapped</v>
      </c>
      <c r="J163" t="str">
        <f>ADP!AI163</f>
        <v>Legal Country Not Mapped</v>
      </c>
      <c r="L163" t="str">
        <f>ADP!AD163</f>
        <v>BU Description Not Mapped</v>
      </c>
      <c r="M163" t="str">
        <f>ADP!AK163</f>
        <v>BU Currency Not Mapped</v>
      </c>
      <c r="O163" s="18" t="str">
        <f>ADP!AM163</f>
        <v>Position Status Not Mapped</v>
      </c>
      <c r="P163" t="str">
        <f>ADP!AD163</f>
        <v>BU Description Not Mapped</v>
      </c>
      <c r="Q163" t="str">
        <f>ADP!AE163</f>
        <v>Home Department Code Not Mapped</v>
      </c>
      <c r="W163">
        <f>ADP!AA163</f>
        <v>0</v>
      </c>
      <c r="X163" t="str">
        <f>ADP!AG163</f>
        <v>Salary Code Not Mapped</v>
      </c>
      <c r="Z163" t="str">
        <f t="shared" si="2"/>
        <v>BU Description Not Mapped</v>
      </c>
      <c r="AB163" t="str">
        <f>ADP!AN163</f>
        <v/>
      </c>
      <c r="AC163" t="str">
        <f>ADP!AL163</f>
        <v/>
      </c>
      <c r="AP163" t="str">
        <f>ADP!AD163</f>
        <v>BU Description Not Mapped</v>
      </c>
      <c r="BG163" t="e">
        <f>ADP!AC163</f>
        <v>#N/A</v>
      </c>
      <c r="BK163" s="18" t="s">
        <v>1421</v>
      </c>
      <c r="BL163" s="18" t="s">
        <v>1421</v>
      </c>
      <c r="BU163" s="18" t="str">
        <f>ADP!AO163</f>
        <v>Y</v>
      </c>
      <c r="BV163" s="18" t="str">
        <f>ADP!AO163</f>
        <v>Y</v>
      </c>
      <c r="CE163" s="18" t="s">
        <v>1421</v>
      </c>
      <c r="CH163" s="18" t="s">
        <v>1421</v>
      </c>
    </row>
    <row r="164" spans="1:86" x14ac:dyDescent="0.2">
      <c r="A164" s="39" t="s">
        <v>1420</v>
      </c>
      <c r="B164">
        <f>ADP!B164</f>
        <v>0</v>
      </c>
      <c r="C164">
        <f>ADP!C164</f>
        <v>0</v>
      </c>
      <c r="D164">
        <f>ADP!D164</f>
        <v>0</v>
      </c>
      <c r="E164">
        <f>ADP!P164</f>
        <v>0</v>
      </c>
      <c r="F164" t="str">
        <f>ADP!I164&amp;".new.uat"</f>
        <v>.new.uat</v>
      </c>
      <c r="G164" s="18" t="s">
        <v>1427</v>
      </c>
      <c r="H164">
        <f>ADP!I164</f>
        <v>0</v>
      </c>
      <c r="I164" t="str">
        <f>ADP!AJ164</f>
        <v>ADP and BU Language Code Not MappedLegal Country Not Mapped</v>
      </c>
      <c r="J164" t="str">
        <f>ADP!AI164</f>
        <v>Legal Country Not Mapped</v>
      </c>
      <c r="L164" t="str">
        <f>ADP!AD164</f>
        <v>BU Description Not Mapped</v>
      </c>
      <c r="M164" t="str">
        <f>ADP!AK164</f>
        <v>BU Currency Not Mapped</v>
      </c>
      <c r="O164" s="18" t="str">
        <f>ADP!AM164</f>
        <v>Position Status Not Mapped</v>
      </c>
      <c r="P164" t="str">
        <f>ADP!AD164</f>
        <v>BU Description Not Mapped</v>
      </c>
      <c r="Q164" t="str">
        <f>ADP!AE164</f>
        <v>Home Department Code Not Mapped</v>
      </c>
      <c r="W164">
        <f>ADP!AA164</f>
        <v>0</v>
      </c>
      <c r="X164" t="str">
        <f>ADP!AG164</f>
        <v>Salary Code Not Mapped</v>
      </c>
      <c r="Z164" t="str">
        <f t="shared" si="2"/>
        <v>BU Description Not Mapped</v>
      </c>
      <c r="AB164" t="str">
        <f>ADP!AN164</f>
        <v/>
      </c>
      <c r="AC164" t="str">
        <f>ADP!AL164</f>
        <v/>
      </c>
      <c r="AP164" t="str">
        <f>ADP!AD164</f>
        <v>BU Description Not Mapped</v>
      </c>
      <c r="BG164" t="e">
        <f>ADP!AC164</f>
        <v>#N/A</v>
      </c>
      <c r="BK164" s="18" t="s">
        <v>1421</v>
      </c>
      <c r="BL164" s="18" t="s">
        <v>1421</v>
      </c>
      <c r="BU164" s="18" t="str">
        <f>ADP!AO164</f>
        <v>Y</v>
      </c>
      <c r="BV164" s="18" t="str">
        <f>ADP!AO164</f>
        <v>Y</v>
      </c>
      <c r="CE164" s="18" t="s">
        <v>1421</v>
      </c>
      <c r="CH164" s="18" t="s">
        <v>1421</v>
      </c>
    </row>
    <row r="165" spans="1:86" x14ac:dyDescent="0.2">
      <c r="A165" s="39" t="s">
        <v>1420</v>
      </c>
      <c r="B165">
        <f>ADP!B165</f>
        <v>0</v>
      </c>
      <c r="C165">
        <f>ADP!C165</f>
        <v>0</v>
      </c>
      <c r="D165">
        <f>ADP!D165</f>
        <v>0</v>
      </c>
      <c r="E165">
        <f>ADP!P165</f>
        <v>0</v>
      </c>
      <c r="F165" t="str">
        <f>ADP!I165&amp;".new.uat"</f>
        <v>.new.uat</v>
      </c>
      <c r="G165" s="18" t="s">
        <v>1427</v>
      </c>
      <c r="H165">
        <f>ADP!I165</f>
        <v>0</v>
      </c>
      <c r="I165" t="str">
        <f>ADP!AJ165</f>
        <v>ADP and BU Language Code Not MappedLegal Country Not Mapped</v>
      </c>
      <c r="J165" t="str">
        <f>ADP!AI165</f>
        <v>Legal Country Not Mapped</v>
      </c>
      <c r="L165" t="str">
        <f>ADP!AD165</f>
        <v>BU Description Not Mapped</v>
      </c>
      <c r="M165" t="str">
        <f>ADP!AK165</f>
        <v>BU Currency Not Mapped</v>
      </c>
      <c r="O165" s="18" t="str">
        <f>ADP!AM165</f>
        <v>Position Status Not Mapped</v>
      </c>
      <c r="P165" t="str">
        <f>ADP!AD165</f>
        <v>BU Description Not Mapped</v>
      </c>
      <c r="Q165" t="str">
        <f>ADP!AE165</f>
        <v>Home Department Code Not Mapped</v>
      </c>
      <c r="W165">
        <f>ADP!AA165</f>
        <v>0</v>
      </c>
      <c r="X165" t="str">
        <f>ADP!AG165</f>
        <v>Salary Code Not Mapped</v>
      </c>
      <c r="Z165" t="str">
        <f t="shared" si="2"/>
        <v>BU Description Not Mapped</v>
      </c>
      <c r="AB165" t="str">
        <f>ADP!AN165</f>
        <v/>
      </c>
      <c r="AC165" t="str">
        <f>ADP!AL165</f>
        <v/>
      </c>
      <c r="AP165" t="str">
        <f>ADP!AD165</f>
        <v>BU Description Not Mapped</v>
      </c>
      <c r="BG165" t="e">
        <f>ADP!AC165</f>
        <v>#N/A</v>
      </c>
      <c r="BK165" s="18" t="s">
        <v>1421</v>
      </c>
      <c r="BL165" s="18" t="s">
        <v>1421</v>
      </c>
      <c r="BU165" s="18" t="str">
        <f>ADP!AO165</f>
        <v>Y</v>
      </c>
      <c r="BV165" s="18" t="str">
        <f>ADP!AO165</f>
        <v>Y</v>
      </c>
      <c r="CE165" s="18" t="s">
        <v>1421</v>
      </c>
      <c r="CH165" s="18" t="s">
        <v>1421</v>
      </c>
    </row>
    <row r="166" spans="1:86" x14ac:dyDescent="0.2">
      <c r="A166" s="39" t="s">
        <v>1420</v>
      </c>
      <c r="B166">
        <f>ADP!B166</f>
        <v>0</v>
      </c>
      <c r="C166">
        <f>ADP!C166</f>
        <v>0</v>
      </c>
      <c r="D166">
        <f>ADP!D166</f>
        <v>0</v>
      </c>
      <c r="E166">
        <f>ADP!P166</f>
        <v>0</v>
      </c>
      <c r="F166" t="str">
        <f>ADP!I166&amp;".new.uat"</f>
        <v>.new.uat</v>
      </c>
      <c r="G166" s="18" t="s">
        <v>1427</v>
      </c>
      <c r="H166">
        <f>ADP!I166</f>
        <v>0</v>
      </c>
      <c r="I166" t="str">
        <f>ADP!AJ166</f>
        <v>ADP and BU Language Code Not MappedLegal Country Not Mapped</v>
      </c>
      <c r="J166" t="str">
        <f>ADP!AI166</f>
        <v>Legal Country Not Mapped</v>
      </c>
      <c r="L166" t="str">
        <f>ADP!AD166</f>
        <v>BU Description Not Mapped</v>
      </c>
      <c r="M166" t="str">
        <f>ADP!AK166</f>
        <v>BU Currency Not Mapped</v>
      </c>
      <c r="O166" s="18" t="str">
        <f>ADP!AM166</f>
        <v>Position Status Not Mapped</v>
      </c>
      <c r="P166" t="str">
        <f>ADP!AD166</f>
        <v>BU Description Not Mapped</v>
      </c>
      <c r="Q166" t="str">
        <f>ADP!AE166</f>
        <v>Home Department Code Not Mapped</v>
      </c>
      <c r="W166">
        <f>ADP!AA166</f>
        <v>0</v>
      </c>
      <c r="X166" t="str">
        <f>ADP!AG166</f>
        <v>Salary Code Not Mapped</v>
      </c>
      <c r="Z166" t="str">
        <f t="shared" si="2"/>
        <v>BU Description Not Mapped</v>
      </c>
      <c r="AB166" t="str">
        <f>ADP!AN166</f>
        <v/>
      </c>
      <c r="AC166" t="str">
        <f>ADP!AL166</f>
        <v/>
      </c>
      <c r="AP166" t="str">
        <f>ADP!AD166</f>
        <v>BU Description Not Mapped</v>
      </c>
      <c r="BG166" t="e">
        <f>ADP!AC166</f>
        <v>#N/A</v>
      </c>
      <c r="BK166" s="18" t="s">
        <v>1421</v>
      </c>
      <c r="BL166" s="18" t="s">
        <v>1421</v>
      </c>
      <c r="BU166" s="18" t="str">
        <f>ADP!AO166</f>
        <v>Y</v>
      </c>
      <c r="BV166" s="18" t="str">
        <f>ADP!AO166</f>
        <v>Y</v>
      </c>
      <c r="CE166" s="18" t="s">
        <v>1421</v>
      </c>
      <c r="CH166" s="18" t="s">
        <v>1421</v>
      </c>
    </row>
    <row r="167" spans="1:86" x14ac:dyDescent="0.2">
      <c r="A167" s="39" t="s">
        <v>1420</v>
      </c>
      <c r="B167">
        <f>ADP!B167</f>
        <v>0</v>
      </c>
      <c r="C167">
        <f>ADP!C167</f>
        <v>0</v>
      </c>
      <c r="D167">
        <f>ADP!D167</f>
        <v>0</v>
      </c>
      <c r="E167">
        <f>ADP!P167</f>
        <v>0</v>
      </c>
      <c r="F167" t="str">
        <f>ADP!I167&amp;".new.uat"</f>
        <v>.new.uat</v>
      </c>
      <c r="G167" s="18" t="s">
        <v>1427</v>
      </c>
      <c r="H167">
        <f>ADP!I167</f>
        <v>0</v>
      </c>
      <c r="I167" t="str">
        <f>ADP!AJ167</f>
        <v>ADP and BU Language Code Not MappedLegal Country Not Mapped</v>
      </c>
      <c r="J167" t="str">
        <f>ADP!AI167</f>
        <v>Legal Country Not Mapped</v>
      </c>
      <c r="L167" t="str">
        <f>ADP!AD167</f>
        <v>BU Description Not Mapped</v>
      </c>
      <c r="M167" t="str">
        <f>ADP!AK167</f>
        <v>BU Currency Not Mapped</v>
      </c>
      <c r="O167" s="18" t="str">
        <f>ADP!AM167</f>
        <v>Position Status Not Mapped</v>
      </c>
      <c r="P167" t="str">
        <f>ADP!AD167</f>
        <v>BU Description Not Mapped</v>
      </c>
      <c r="Q167" t="str">
        <f>ADP!AE167</f>
        <v>Home Department Code Not Mapped</v>
      </c>
      <c r="W167">
        <f>ADP!AA167</f>
        <v>0</v>
      </c>
      <c r="X167" t="str">
        <f>ADP!AG167</f>
        <v>Salary Code Not Mapped</v>
      </c>
      <c r="Z167" t="str">
        <f t="shared" si="2"/>
        <v>BU Description Not Mapped</v>
      </c>
      <c r="AB167" t="str">
        <f>ADP!AN167</f>
        <v/>
      </c>
      <c r="AC167" t="str">
        <f>ADP!AL167</f>
        <v/>
      </c>
      <c r="AP167" t="str">
        <f>ADP!AD167</f>
        <v>BU Description Not Mapped</v>
      </c>
      <c r="BG167" t="e">
        <f>ADP!AC167</f>
        <v>#N/A</v>
      </c>
      <c r="BK167" s="18" t="s">
        <v>1421</v>
      </c>
      <c r="BL167" s="18" t="s">
        <v>1421</v>
      </c>
      <c r="BU167" s="18" t="str">
        <f>ADP!AO167</f>
        <v>Y</v>
      </c>
      <c r="BV167" s="18" t="str">
        <f>ADP!AO167</f>
        <v>Y</v>
      </c>
      <c r="CE167" s="18" t="s">
        <v>1421</v>
      </c>
      <c r="CH167" s="18" t="s">
        <v>1421</v>
      </c>
    </row>
    <row r="168" spans="1:86" x14ac:dyDescent="0.2">
      <c r="A168" s="39" t="s">
        <v>1420</v>
      </c>
      <c r="B168">
        <f>ADP!B168</f>
        <v>0</v>
      </c>
      <c r="C168">
        <f>ADP!C168</f>
        <v>0</v>
      </c>
      <c r="D168">
        <f>ADP!D168</f>
        <v>0</v>
      </c>
      <c r="E168">
        <f>ADP!P168</f>
        <v>0</v>
      </c>
      <c r="F168" t="str">
        <f>ADP!I168&amp;".new.uat"</f>
        <v>.new.uat</v>
      </c>
      <c r="G168" s="18" t="s">
        <v>1427</v>
      </c>
      <c r="H168">
        <f>ADP!I168</f>
        <v>0</v>
      </c>
      <c r="I168" t="str">
        <f>ADP!AJ168</f>
        <v>ADP and BU Language Code Not MappedLegal Country Not Mapped</v>
      </c>
      <c r="J168" t="str">
        <f>ADP!AI168</f>
        <v>Legal Country Not Mapped</v>
      </c>
      <c r="L168" t="str">
        <f>ADP!AD168</f>
        <v>BU Description Not Mapped</v>
      </c>
      <c r="M168" t="str">
        <f>ADP!AK168</f>
        <v>BU Currency Not Mapped</v>
      </c>
      <c r="O168" s="18" t="str">
        <f>ADP!AM168</f>
        <v>Position Status Not Mapped</v>
      </c>
      <c r="P168" t="str">
        <f>ADP!AD168</f>
        <v>BU Description Not Mapped</v>
      </c>
      <c r="Q168" t="str">
        <f>ADP!AE168</f>
        <v>Home Department Code Not Mapped</v>
      </c>
      <c r="W168">
        <f>ADP!AA168</f>
        <v>0</v>
      </c>
      <c r="X168" t="str">
        <f>ADP!AG168</f>
        <v>Salary Code Not Mapped</v>
      </c>
      <c r="Z168" t="str">
        <f t="shared" si="2"/>
        <v>BU Description Not Mapped</v>
      </c>
      <c r="AB168" t="str">
        <f>ADP!AN168</f>
        <v/>
      </c>
      <c r="AC168" t="str">
        <f>ADP!AL168</f>
        <v/>
      </c>
      <c r="AP168" t="str">
        <f>ADP!AD168</f>
        <v>BU Description Not Mapped</v>
      </c>
      <c r="BG168" t="e">
        <f>ADP!AC168</f>
        <v>#N/A</v>
      </c>
      <c r="BK168" s="18" t="s">
        <v>1421</v>
      </c>
      <c r="BL168" s="18" t="s">
        <v>1421</v>
      </c>
      <c r="BU168" s="18" t="str">
        <f>ADP!AO168</f>
        <v>Y</v>
      </c>
      <c r="BV168" s="18" t="str">
        <f>ADP!AO168</f>
        <v>Y</v>
      </c>
      <c r="CE168" s="18" t="s">
        <v>1421</v>
      </c>
      <c r="CH168" s="18" t="s">
        <v>1421</v>
      </c>
    </row>
    <row r="169" spans="1:86" x14ac:dyDescent="0.2">
      <c r="A169" s="39" t="s">
        <v>1420</v>
      </c>
      <c r="B169">
        <f>ADP!B169</f>
        <v>0</v>
      </c>
      <c r="C169">
        <f>ADP!C169</f>
        <v>0</v>
      </c>
      <c r="D169">
        <f>ADP!D169</f>
        <v>0</v>
      </c>
      <c r="E169">
        <f>ADP!P169</f>
        <v>0</v>
      </c>
      <c r="F169" t="str">
        <f>ADP!I169&amp;".new.uat"</f>
        <v>.new.uat</v>
      </c>
      <c r="G169" s="18" t="s">
        <v>1427</v>
      </c>
      <c r="H169">
        <f>ADP!I169</f>
        <v>0</v>
      </c>
      <c r="I169" t="str">
        <f>ADP!AJ169</f>
        <v>ADP and BU Language Code Not MappedLegal Country Not Mapped</v>
      </c>
      <c r="J169" t="str">
        <f>ADP!AI169</f>
        <v>Legal Country Not Mapped</v>
      </c>
      <c r="L169" t="str">
        <f>ADP!AD169</f>
        <v>BU Description Not Mapped</v>
      </c>
      <c r="M169" t="str">
        <f>ADP!AK169</f>
        <v>BU Currency Not Mapped</v>
      </c>
      <c r="O169" s="18" t="str">
        <f>ADP!AM169</f>
        <v>Position Status Not Mapped</v>
      </c>
      <c r="P169" t="str">
        <f>ADP!AD169</f>
        <v>BU Description Not Mapped</v>
      </c>
      <c r="Q169" t="str">
        <f>ADP!AE169</f>
        <v>Home Department Code Not Mapped</v>
      </c>
      <c r="W169">
        <f>ADP!AA169</f>
        <v>0</v>
      </c>
      <c r="X169" t="str">
        <f>ADP!AG169</f>
        <v>Salary Code Not Mapped</v>
      </c>
      <c r="Z169" t="str">
        <f t="shared" si="2"/>
        <v>BU Description Not Mapped</v>
      </c>
      <c r="AB169" t="str">
        <f>ADP!AN169</f>
        <v/>
      </c>
      <c r="AC169" t="str">
        <f>ADP!AL169</f>
        <v/>
      </c>
      <c r="AP169" t="str">
        <f>ADP!AD169</f>
        <v>BU Description Not Mapped</v>
      </c>
      <c r="BG169" t="e">
        <f>ADP!AC169</f>
        <v>#N/A</v>
      </c>
      <c r="BK169" s="18" t="s">
        <v>1421</v>
      </c>
      <c r="BL169" s="18" t="s">
        <v>1421</v>
      </c>
      <c r="BU169" s="18" t="str">
        <f>ADP!AO169</f>
        <v>Y</v>
      </c>
      <c r="BV169" s="18" t="str">
        <f>ADP!AO169</f>
        <v>Y</v>
      </c>
      <c r="CE169" s="18" t="s">
        <v>1421</v>
      </c>
      <c r="CH169" s="18" t="s">
        <v>1421</v>
      </c>
    </row>
    <row r="170" spans="1:86" x14ac:dyDescent="0.2">
      <c r="A170" s="39" t="s">
        <v>1420</v>
      </c>
      <c r="B170" t="e">
        <f>ADP!#REF!</f>
        <v>#REF!</v>
      </c>
      <c r="C170" t="e">
        <f>ADP!#REF!</f>
        <v>#REF!</v>
      </c>
      <c r="D170" t="e">
        <f>ADP!#REF!</f>
        <v>#REF!</v>
      </c>
      <c r="E170" t="e">
        <f>ADP!#REF!</f>
        <v>#REF!</v>
      </c>
      <c r="F170" t="e">
        <f>ADP!#REF!&amp;".new.uat"</f>
        <v>#REF!</v>
      </c>
      <c r="G170" s="18" t="s">
        <v>1427</v>
      </c>
      <c r="H170" t="e">
        <f>ADP!#REF!</f>
        <v>#REF!</v>
      </c>
      <c r="I170" t="e">
        <f>ADP!#REF!</f>
        <v>#REF!</v>
      </c>
      <c r="J170" t="e">
        <f>ADP!#REF!</f>
        <v>#REF!</v>
      </c>
      <c r="L170" t="e">
        <f>ADP!#REF!</f>
        <v>#REF!</v>
      </c>
      <c r="M170" t="e">
        <f>ADP!#REF!</f>
        <v>#REF!</v>
      </c>
      <c r="O170" s="18" t="e">
        <f>ADP!#REF!</f>
        <v>#REF!</v>
      </c>
      <c r="P170" t="e">
        <f>ADP!#REF!</f>
        <v>#REF!</v>
      </c>
      <c r="Q170" t="e">
        <f>ADP!#REF!</f>
        <v>#REF!</v>
      </c>
      <c r="W170" t="e">
        <f>ADP!#REF!</f>
        <v>#REF!</v>
      </c>
      <c r="X170" t="e">
        <f>ADP!#REF!</f>
        <v>#REF!</v>
      </c>
      <c r="Z170" t="e">
        <f t="shared" si="2"/>
        <v>#REF!</v>
      </c>
      <c r="AB170" t="e">
        <f>ADP!#REF!</f>
        <v>#REF!</v>
      </c>
      <c r="AC170" t="e">
        <f>ADP!#REF!</f>
        <v>#REF!</v>
      </c>
      <c r="AP170" t="e">
        <f>ADP!#REF!</f>
        <v>#REF!</v>
      </c>
      <c r="BG170" t="e">
        <f>ADP!#REF!</f>
        <v>#REF!</v>
      </c>
      <c r="BK170" s="18" t="s">
        <v>1421</v>
      </c>
      <c r="BL170" s="18" t="s">
        <v>1421</v>
      </c>
      <c r="BU170" s="18">
        <f>ADP!AO170</f>
        <v>0</v>
      </c>
      <c r="BV170" s="18">
        <f>ADP!AO170</f>
        <v>0</v>
      </c>
      <c r="CE170" s="18" t="s">
        <v>1421</v>
      </c>
      <c r="CH170" s="18" t="s">
        <v>1421</v>
      </c>
    </row>
    <row r="171" spans="1:86" x14ac:dyDescent="0.2">
      <c r="A171" s="39" t="s">
        <v>1420</v>
      </c>
      <c r="B171" t="e">
        <f>ADP!#REF!</f>
        <v>#REF!</v>
      </c>
      <c r="C171" t="e">
        <f>ADP!#REF!</f>
        <v>#REF!</v>
      </c>
      <c r="D171" t="e">
        <f>ADP!#REF!</f>
        <v>#REF!</v>
      </c>
      <c r="E171" t="e">
        <f>ADP!#REF!</f>
        <v>#REF!</v>
      </c>
      <c r="F171" t="e">
        <f>ADP!#REF!&amp;".new.uat"</f>
        <v>#REF!</v>
      </c>
      <c r="G171" s="18" t="s">
        <v>1427</v>
      </c>
      <c r="H171" t="e">
        <f>ADP!#REF!</f>
        <v>#REF!</v>
      </c>
      <c r="I171" t="e">
        <f>ADP!#REF!</f>
        <v>#REF!</v>
      </c>
      <c r="J171" t="e">
        <f>ADP!#REF!</f>
        <v>#REF!</v>
      </c>
      <c r="L171" t="e">
        <f>ADP!#REF!</f>
        <v>#REF!</v>
      </c>
      <c r="M171" t="e">
        <f>ADP!#REF!</f>
        <v>#REF!</v>
      </c>
      <c r="O171" s="18" t="e">
        <f>ADP!#REF!</f>
        <v>#REF!</v>
      </c>
      <c r="P171" t="e">
        <f>ADP!#REF!</f>
        <v>#REF!</v>
      </c>
      <c r="Q171" t="e">
        <f>ADP!#REF!</f>
        <v>#REF!</v>
      </c>
      <c r="W171" t="e">
        <f>ADP!#REF!</f>
        <v>#REF!</v>
      </c>
      <c r="X171" t="e">
        <f>ADP!#REF!</f>
        <v>#REF!</v>
      </c>
      <c r="Z171" t="e">
        <f t="shared" si="2"/>
        <v>#REF!</v>
      </c>
      <c r="AB171" t="e">
        <f>ADP!#REF!</f>
        <v>#REF!</v>
      </c>
      <c r="AC171" t="e">
        <f>ADP!#REF!</f>
        <v>#REF!</v>
      </c>
      <c r="AP171" t="e">
        <f>ADP!#REF!</f>
        <v>#REF!</v>
      </c>
      <c r="BG171" t="e">
        <f>ADP!#REF!</f>
        <v>#REF!</v>
      </c>
      <c r="BK171" s="18" t="s">
        <v>1421</v>
      </c>
      <c r="BL171" s="18" t="s">
        <v>1421</v>
      </c>
      <c r="BU171" s="18">
        <f>ADP!AO171</f>
        <v>0</v>
      </c>
      <c r="BV171" s="18">
        <f>ADP!AO171</f>
        <v>0</v>
      </c>
      <c r="CE171" s="18" t="s">
        <v>1421</v>
      </c>
      <c r="CH171" s="18" t="s">
        <v>1421</v>
      </c>
    </row>
    <row r="172" spans="1:86" x14ac:dyDescent="0.2">
      <c r="A172" s="39" t="s">
        <v>1420</v>
      </c>
      <c r="B172" t="e">
        <f>ADP!#REF!</f>
        <v>#REF!</v>
      </c>
      <c r="C172" t="e">
        <f>ADP!#REF!</f>
        <v>#REF!</v>
      </c>
      <c r="D172" t="e">
        <f>ADP!#REF!</f>
        <v>#REF!</v>
      </c>
      <c r="E172" t="e">
        <f>ADP!#REF!</f>
        <v>#REF!</v>
      </c>
      <c r="F172" t="e">
        <f>ADP!#REF!&amp;".new.uat"</f>
        <v>#REF!</v>
      </c>
      <c r="G172" s="18" t="s">
        <v>1427</v>
      </c>
      <c r="H172" t="e">
        <f>ADP!#REF!</f>
        <v>#REF!</v>
      </c>
      <c r="I172" t="e">
        <f>ADP!#REF!</f>
        <v>#REF!</v>
      </c>
      <c r="J172" t="e">
        <f>ADP!#REF!</f>
        <v>#REF!</v>
      </c>
      <c r="L172" t="e">
        <f>ADP!#REF!</f>
        <v>#REF!</v>
      </c>
      <c r="M172" t="e">
        <f>ADP!#REF!</f>
        <v>#REF!</v>
      </c>
      <c r="O172" s="18" t="e">
        <f>ADP!#REF!</f>
        <v>#REF!</v>
      </c>
      <c r="P172" t="e">
        <f>ADP!#REF!</f>
        <v>#REF!</v>
      </c>
      <c r="Q172" t="e">
        <f>ADP!#REF!</f>
        <v>#REF!</v>
      </c>
      <c r="W172" t="e">
        <f>ADP!#REF!</f>
        <v>#REF!</v>
      </c>
      <c r="X172" t="e">
        <f>ADP!#REF!</f>
        <v>#REF!</v>
      </c>
      <c r="Z172" t="e">
        <f t="shared" si="2"/>
        <v>#REF!</v>
      </c>
      <c r="AB172" t="e">
        <f>ADP!#REF!</f>
        <v>#REF!</v>
      </c>
      <c r="AC172" t="e">
        <f>ADP!#REF!</f>
        <v>#REF!</v>
      </c>
      <c r="AP172" t="e">
        <f>ADP!#REF!</f>
        <v>#REF!</v>
      </c>
      <c r="BG172" t="e">
        <f>ADP!#REF!</f>
        <v>#REF!</v>
      </c>
      <c r="BK172" s="18" t="s">
        <v>1421</v>
      </c>
      <c r="BL172" s="18" t="s">
        <v>1421</v>
      </c>
      <c r="BU172" s="18">
        <f>ADP!AO172</f>
        <v>0</v>
      </c>
      <c r="BV172" s="18">
        <f>ADP!AO172</f>
        <v>0</v>
      </c>
      <c r="CE172" s="18" t="s">
        <v>1421</v>
      </c>
      <c r="CH172" s="18" t="s">
        <v>1421</v>
      </c>
    </row>
    <row r="173" spans="1:86" x14ac:dyDescent="0.2">
      <c r="A173" s="39" t="s">
        <v>1420</v>
      </c>
      <c r="B173" t="e">
        <f>ADP!#REF!</f>
        <v>#REF!</v>
      </c>
      <c r="C173" t="e">
        <f>ADP!#REF!</f>
        <v>#REF!</v>
      </c>
      <c r="D173" t="e">
        <f>ADP!#REF!</f>
        <v>#REF!</v>
      </c>
      <c r="E173" t="e">
        <f>ADP!#REF!</f>
        <v>#REF!</v>
      </c>
      <c r="F173" t="e">
        <f>ADP!#REF!&amp;".new.uat"</f>
        <v>#REF!</v>
      </c>
      <c r="G173" s="18" t="s">
        <v>1427</v>
      </c>
      <c r="H173" t="e">
        <f>ADP!#REF!</f>
        <v>#REF!</v>
      </c>
      <c r="I173" t="e">
        <f>ADP!#REF!</f>
        <v>#REF!</v>
      </c>
      <c r="J173" t="e">
        <f>ADP!#REF!</f>
        <v>#REF!</v>
      </c>
      <c r="L173" t="e">
        <f>ADP!#REF!</f>
        <v>#REF!</v>
      </c>
      <c r="M173" t="e">
        <f>ADP!#REF!</f>
        <v>#REF!</v>
      </c>
      <c r="O173" s="18" t="e">
        <f>ADP!#REF!</f>
        <v>#REF!</v>
      </c>
      <c r="P173" t="e">
        <f>ADP!#REF!</f>
        <v>#REF!</v>
      </c>
      <c r="Q173" t="e">
        <f>ADP!#REF!</f>
        <v>#REF!</v>
      </c>
      <c r="W173" t="e">
        <f>ADP!#REF!</f>
        <v>#REF!</v>
      </c>
      <c r="X173" t="e">
        <f>ADP!#REF!</f>
        <v>#REF!</v>
      </c>
      <c r="Z173" t="e">
        <f t="shared" si="2"/>
        <v>#REF!</v>
      </c>
      <c r="AB173" t="e">
        <f>ADP!#REF!</f>
        <v>#REF!</v>
      </c>
      <c r="AC173" t="e">
        <f>ADP!#REF!</f>
        <v>#REF!</v>
      </c>
      <c r="AP173" t="e">
        <f>ADP!#REF!</f>
        <v>#REF!</v>
      </c>
      <c r="BG173" t="e">
        <f>ADP!#REF!</f>
        <v>#REF!</v>
      </c>
      <c r="BK173" s="18" t="s">
        <v>1421</v>
      </c>
      <c r="BL173" s="18" t="s">
        <v>1421</v>
      </c>
      <c r="BU173" s="18">
        <f>ADP!AO173</f>
        <v>0</v>
      </c>
      <c r="BV173" s="18">
        <f>ADP!AO173</f>
        <v>0</v>
      </c>
      <c r="CE173" s="18" t="s">
        <v>1421</v>
      </c>
      <c r="CH173" s="18" t="s">
        <v>1421</v>
      </c>
    </row>
    <row r="174" spans="1:86" x14ac:dyDescent="0.2">
      <c r="A174" s="39" t="s">
        <v>1420</v>
      </c>
      <c r="B174" t="e">
        <f>ADP!#REF!</f>
        <v>#REF!</v>
      </c>
      <c r="C174" t="e">
        <f>ADP!#REF!</f>
        <v>#REF!</v>
      </c>
      <c r="D174" t="e">
        <f>ADP!#REF!</f>
        <v>#REF!</v>
      </c>
      <c r="E174" t="e">
        <f>ADP!#REF!</f>
        <v>#REF!</v>
      </c>
      <c r="F174" t="e">
        <f>ADP!#REF!&amp;".new.uat"</f>
        <v>#REF!</v>
      </c>
      <c r="G174" s="18" t="s">
        <v>1427</v>
      </c>
      <c r="H174" t="e">
        <f>ADP!#REF!</f>
        <v>#REF!</v>
      </c>
      <c r="I174" t="e">
        <f>ADP!#REF!</f>
        <v>#REF!</v>
      </c>
      <c r="J174" t="e">
        <f>ADP!#REF!</f>
        <v>#REF!</v>
      </c>
      <c r="L174" t="e">
        <f>ADP!#REF!</f>
        <v>#REF!</v>
      </c>
      <c r="M174" t="e">
        <f>ADP!#REF!</f>
        <v>#REF!</v>
      </c>
      <c r="O174" s="18" t="e">
        <f>ADP!#REF!</f>
        <v>#REF!</v>
      </c>
      <c r="P174" t="e">
        <f>ADP!#REF!</f>
        <v>#REF!</v>
      </c>
      <c r="Q174" t="e">
        <f>ADP!#REF!</f>
        <v>#REF!</v>
      </c>
      <c r="W174" t="e">
        <f>ADP!#REF!</f>
        <v>#REF!</v>
      </c>
      <c r="X174" t="e">
        <f>ADP!#REF!</f>
        <v>#REF!</v>
      </c>
      <c r="Z174" t="e">
        <f t="shared" si="2"/>
        <v>#REF!</v>
      </c>
      <c r="AB174" t="e">
        <f>ADP!#REF!</f>
        <v>#REF!</v>
      </c>
      <c r="AC174" t="e">
        <f>ADP!#REF!</f>
        <v>#REF!</v>
      </c>
      <c r="AP174" t="e">
        <f>ADP!#REF!</f>
        <v>#REF!</v>
      </c>
      <c r="BG174" t="e">
        <f>ADP!#REF!</f>
        <v>#REF!</v>
      </c>
      <c r="BK174" s="18" t="s">
        <v>1421</v>
      </c>
      <c r="BL174" s="18" t="s">
        <v>1421</v>
      </c>
      <c r="BU174" s="18">
        <f>ADP!AO174</f>
        <v>0</v>
      </c>
      <c r="BV174" s="18">
        <f>ADP!AO174</f>
        <v>0</v>
      </c>
      <c r="CE174" s="18" t="s">
        <v>1421</v>
      </c>
      <c r="CH174" s="18" t="s">
        <v>1421</v>
      </c>
    </row>
    <row r="175" spans="1:86" x14ac:dyDescent="0.2">
      <c r="A175" s="39" t="s">
        <v>1420</v>
      </c>
      <c r="B175" t="e">
        <f>ADP!#REF!</f>
        <v>#REF!</v>
      </c>
      <c r="C175" t="e">
        <f>ADP!#REF!</f>
        <v>#REF!</v>
      </c>
      <c r="D175" t="e">
        <f>ADP!#REF!</f>
        <v>#REF!</v>
      </c>
      <c r="E175" t="e">
        <f>ADP!#REF!</f>
        <v>#REF!</v>
      </c>
      <c r="F175" t="e">
        <f>ADP!#REF!&amp;".new.uat"</f>
        <v>#REF!</v>
      </c>
      <c r="G175" s="18" t="s">
        <v>1427</v>
      </c>
      <c r="H175" t="e">
        <f>ADP!#REF!</f>
        <v>#REF!</v>
      </c>
      <c r="I175" t="e">
        <f>ADP!#REF!</f>
        <v>#REF!</v>
      </c>
      <c r="J175" t="e">
        <f>ADP!#REF!</f>
        <v>#REF!</v>
      </c>
      <c r="L175" t="e">
        <f>ADP!#REF!</f>
        <v>#REF!</v>
      </c>
      <c r="M175" t="e">
        <f>ADP!#REF!</f>
        <v>#REF!</v>
      </c>
      <c r="O175" s="18" t="e">
        <f>ADP!#REF!</f>
        <v>#REF!</v>
      </c>
      <c r="P175" t="e">
        <f>ADP!#REF!</f>
        <v>#REF!</v>
      </c>
      <c r="Q175" t="e">
        <f>ADP!#REF!</f>
        <v>#REF!</v>
      </c>
      <c r="W175" t="e">
        <f>ADP!#REF!</f>
        <v>#REF!</v>
      </c>
      <c r="X175" t="e">
        <f>ADP!#REF!</f>
        <v>#REF!</v>
      </c>
      <c r="Z175" t="e">
        <f t="shared" si="2"/>
        <v>#REF!</v>
      </c>
      <c r="AB175" t="e">
        <f>ADP!#REF!</f>
        <v>#REF!</v>
      </c>
      <c r="AC175" t="e">
        <f>ADP!#REF!</f>
        <v>#REF!</v>
      </c>
      <c r="AP175" t="e">
        <f>ADP!#REF!</f>
        <v>#REF!</v>
      </c>
      <c r="BG175" t="e">
        <f>ADP!#REF!</f>
        <v>#REF!</v>
      </c>
      <c r="BK175" s="18" t="s">
        <v>1421</v>
      </c>
      <c r="BL175" s="18" t="s">
        <v>1421</v>
      </c>
      <c r="BU175" s="18">
        <f>ADP!AO175</f>
        <v>0</v>
      </c>
      <c r="BV175" s="18">
        <f>ADP!AO175</f>
        <v>0</v>
      </c>
      <c r="CE175" s="18" t="s">
        <v>1421</v>
      </c>
      <c r="CH175" s="18" t="s">
        <v>1421</v>
      </c>
    </row>
    <row r="176" spans="1:86" x14ac:dyDescent="0.2">
      <c r="A176" s="39" t="s">
        <v>1420</v>
      </c>
      <c r="B176" t="e">
        <f>ADP!#REF!</f>
        <v>#REF!</v>
      </c>
      <c r="C176" t="e">
        <f>ADP!#REF!</f>
        <v>#REF!</v>
      </c>
      <c r="D176" t="e">
        <f>ADP!#REF!</f>
        <v>#REF!</v>
      </c>
      <c r="E176" t="e">
        <f>ADP!#REF!</f>
        <v>#REF!</v>
      </c>
      <c r="F176" t="e">
        <f>ADP!#REF!&amp;".new.uat"</f>
        <v>#REF!</v>
      </c>
      <c r="G176" s="18" t="s">
        <v>1427</v>
      </c>
      <c r="H176" t="e">
        <f>ADP!#REF!</f>
        <v>#REF!</v>
      </c>
      <c r="I176" t="e">
        <f>ADP!#REF!</f>
        <v>#REF!</v>
      </c>
      <c r="J176" t="e">
        <f>ADP!#REF!</f>
        <v>#REF!</v>
      </c>
      <c r="L176" t="e">
        <f>ADP!#REF!</f>
        <v>#REF!</v>
      </c>
      <c r="M176" t="e">
        <f>ADP!#REF!</f>
        <v>#REF!</v>
      </c>
      <c r="O176" s="18" t="e">
        <f>ADP!#REF!</f>
        <v>#REF!</v>
      </c>
      <c r="P176" t="e">
        <f>ADP!#REF!</f>
        <v>#REF!</v>
      </c>
      <c r="Q176" t="e">
        <f>ADP!#REF!</f>
        <v>#REF!</v>
      </c>
      <c r="W176" t="e">
        <f>ADP!#REF!</f>
        <v>#REF!</v>
      </c>
      <c r="X176" t="e">
        <f>ADP!#REF!</f>
        <v>#REF!</v>
      </c>
      <c r="Z176" t="e">
        <f t="shared" si="2"/>
        <v>#REF!</v>
      </c>
      <c r="AB176" t="e">
        <f>ADP!#REF!</f>
        <v>#REF!</v>
      </c>
      <c r="AC176" t="e">
        <f>ADP!#REF!</f>
        <v>#REF!</v>
      </c>
      <c r="AP176" t="e">
        <f>ADP!#REF!</f>
        <v>#REF!</v>
      </c>
      <c r="BG176" t="e">
        <f>ADP!#REF!</f>
        <v>#REF!</v>
      </c>
      <c r="BK176" s="18" t="s">
        <v>1421</v>
      </c>
      <c r="BL176" s="18" t="s">
        <v>1421</v>
      </c>
      <c r="BU176" s="18">
        <f>ADP!AO176</f>
        <v>0</v>
      </c>
      <c r="BV176" s="18">
        <f>ADP!AO176</f>
        <v>0</v>
      </c>
      <c r="CE176" s="18" t="s">
        <v>1421</v>
      </c>
      <c r="CH176" s="18" t="s">
        <v>1421</v>
      </c>
    </row>
    <row r="177" spans="1:86" x14ac:dyDescent="0.2">
      <c r="A177" s="39" t="s">
        <v>1420</v>
      </c>
      <c r="B177" t="e">
        <f>ADP!#REF!</f>
        <v>#REF!</v>
      </c>
      <c r="C177" t="e">
        <f>ADP!#REF!</f>
        <v>#REF!</v>
      </c>
      <c r="D177" t="e">
        <f>ADP!#REF!</f>
        <v>#REF!</v>
      </c>
      <c r="E177" t="e">
        <f>ADP!#REF!</f>
        <v>#REF!</v>
      </c>
      <c r="F177" t="e">
        <f>ADP!#REF!&amp;".new.uat"</f>
        <v>#REF!</v>
      </c>
      <c r="G177" s="18" t="s">
        <v>1427</v>
      </c>
      <c r="H177" t="e">
        <f>ADP!#REF!</f>
        <v>#REF!</v>
      </c>
      <c r="I177" t="e">
        <f>ADP!#REF!</f>
        <v>#REF!</v>
      </c>
      <c r="J177" t="e">
        <f>ADP!#REF!</f>
        <v>#REF!</v>
      </c>
      <c r="L177" t="e">
        <f>ADP!#REF!</f>
        <v>#REF!</v>
      </c>
      <c r="M177" t="e">
        <f>ADP!#REF!</f>
        <v>#REF!</v>
      </c>
      <c r="O177" s="18" t="e">
        <f>ADP!#REF!</f>
        <v>#REF!</v>
      </c>
      <c r="P177" t="e">
        <f>ADP!#REF!</f>
        <v>#REF!</v>
      </c>
      <c r="Q177" t="e">
        <f>ADP!#REF!</f>
        <v>#REF!</v>
      </c>
      <c r="W177" t="e">
        <f>ADP!#REF!</f>
        <v>#REF!</v>
      </c>
      <c r="X177" t="e">
        <f>ADP!#REF!</f>
        <v>#REF!</v>
      </c>
      <c r="Z177" t="e">
        <f t="shared" si="2"/>
        <v>#REF!</v>
      </c>
      <c r="AB177" t="e">
        <f>ADP!#REF!</f>
        <v>#REF!</v>
      </c>
      <c r="AC177" t="e">
        <f>ADP!#REF!</f>
        <v>#REF!</v>
      </c>
      <c r="AP177" t="e">
        <f>ADP!#REF!</f>
        <v>#REF!</v>
      </c>
      <c r="BG177" t="e">
        <f>ADP!#REF!</f>
        <v>#REF!</v>
      </c>
      <c r="BK177" s="18" t="s">
        <v>1421</v>
      </c>
      <c r="BL177" s="18" t="s">
        <v>1421</v>
      </c>
      <c r="BU177" s="18">
        <f>ADP!AO177</f>
        <v>0</v>
      </c>
      <c r="BV177" s="18">
        <f>ADP!AO177</f>
        <v>0</v>
      </c>
      <c r="CE177" s="18" t="s">
        <v>1421</v>
      </c>
      <c r="CH177" s="18" t="s">
        <v>1421</v>
      </c>
    </row>
    <row r="178" spans="1:86" x14ac:dyDescent="0.2">
      <c r="A178" s="39" t="s">
        <v>1420</v>
      </c>
      <c r="B178" t="e">
        <f>ADP!#REF!</f>
        <v>#REF!</v>
      </c>
      <c r="C178" t="e">
        <f>ADP!#REF!</f>
        <v>#REF!</v>
      </c>
      <c r="D178" t="e">
        <f>ADP!#REF!</f>
        <v>#REF!</v>
      </c>
      <c r="E178" t="e">
        <f>ADP!#REF!</f>
        <v>#REF!</v>
      </c>
      <c r="F178" t="e">
        <f>ADP!#REF!&amp;".new.uat"</f>
        <v>#REF!</v>
      </c>
      <c r="G178" s="18" t="s">
        <v>1427</v>
      </c>
      <c r="H178" t="e">
        <f>ADP!#REF!</f>
        <v>#REF!</v>
      </c>
      <c r="I178" t="e">
        <f>ADP!#REF!</f>
        <v>#REF!</v>
      </c>
      <c r="J178" t="e">
        <f>ADP!#REF!</f>
        <v>#REF!</v>
      </c>
      <c r="L178" t="e">
        <f>ADP!#REF!</f>
        <v>#REF!</v>
      </c>
      <c r="M178" t="e">
        <f>ADP!#REF!</f>
        <v>#REF!</v>
      </c>
      <c r="O178" s="18" t="e">
        <f>ADP!#REF!</f>
        <v>#REF!</v>
      </c>
      <c r="P178" t="e">
        <f>ADP!#REF!</f>
        <v>#REF!</v>
      </c>
      <c r="Q178" t="e">
        <f>ADP!#REF!</f>
        <v>#REF!</v>
      </c>
      <c r="W178" t="e">
        <f>ADP!#REF!</f>
        <v>#REF!</v>
      </c>
      <c r="X178" t="e">
        <f>ADP!#REF!</f>
        <v>#REF!</v>
      </c>
      <c r="Z178" t="e">
        <f t="shared" si="2"/>
        <v>#REF!</v>
      </c>
      <c r="AB178" t="e">
        <f>ADP!#REF!</f>
        <v>#REF!</v>
      </c>
      <c r="AC178" t="e">
        <f>ADP!#REF!</f>
        <v>#REF!</v>
      </c>
      <c r="AP178" t="e">
        <f>ADP!#REF!</f>
        <v>#REF!</v>
      </c>
      <c r="BG178" t="e">
        <f>ADP!#REF!</f>
        <v>#REF!</v>
      </c>
      <c r="BK178" s="18" t="s">
        <v>1421</v>
      </c>
      <c r="BL178" s="18" t="s">
        <v>1421</v>
      </c>
      <c r="BU178" s="18">
        <f>ADP!AO178</f>
        <v>0</v>
      </c>
      <c r="BV178" s="18">
        <f>ADP!AO178</f>
        <v>0</v>
      </c>
      <c r="CE178" s="18" t="s">
        <v>1421</v>
      </c>
      <c r="CH178" s="18" t="s">
        <v>1421</v>
      </c>
    </row>
    <row r="179" spans="1:86" x14ac:dyDescent="0.2">
      <c r="A179" s="39" t="s">
        <v>1420</v>
      </c>
      <c r="B179" t="e">
        <f>ADP!#REF!</f>
        <v>#REF!</v>
      </c>
      <c r="C179" t="e">
        <f>ADP!#REF!</f>
        <v>#REF!</v>
      </c>
      <c r="D179" t="e">
        <f>ADP!#REF!</f>
        <v>#REF!</v>
      </c>
      <c r="E179" t="e">
        <f>ADP!#REF!</f>
        <v>#REF!</v>
      </c>
      <c r="F179" t="e">
        <f>ADP!#REF!&amp;".new.uat"</f>
        <v>#REF!</v>
      </c>
      <c r="G179" s="18" t="s">
        <v>1427</v>
      </c>
      <c r="H179" t="e">
        <f>ADP!#REF!</f>
        <v>#REF!</v>
      </c>
      <c r="I179" t="e">
        <f>ADP!#REF!</f>
        <v>#REF!</v>
      </c>
      <c r="J179" t="e">
        <f>ADP!#REF!</f>
        <v>#REF!</v>
      </c>
      <c r="L179" t="e">
        <f>ADP!#REF!</f>
        <v>#REF!</v>
      </c>
      <c r="M179" t="e">
        <f>ADP!#REF!</f>
        <v>#REF!</v>
      </c>
      <c r="O179" s="18" t="e">
        <f>ADP!#REF!</f>
        <v>#REF!</v>
      </c>
      <c r="P179" t="e">
        <f>ADP!#REF!</f>
        <v>#REF!</v>
      </c>
      <c r="Q179" t="e">
        <f>ADP!#REF!</f>
        <v>#REF!</v>
      </c>
      <c r="W179" t="e">
        <f>ADP!#REF!</f>
        <v>#REF!</v>
      </c>
      <c r="X179" t="e">
        <f>ADP!#REF!</f>
        <v>#REF!</v>
      </c>
      <c r="Z179" t="e">
        <f t="shared" si="2"/>
        <v>#REF!</v>
      </c>
      <c r="AB179" t="e">
        <f>ADP!#REF!</f>
        <v>#REF!</v>
      </c>
      <c r="AC179" t="e">
        <f>ADP!#REF!</f>
        <v>#REF!</v>
      </c>
      <c r="AP179" t="e">
        <f>ADP!#REF!</f>
        <v>#REF!</v>
      </c>
      <c r="BG179" t="e">
        <f>ADP!#REF!</f>
        <v>#REF!</v>
      </c>
      <c r="BK179" s="18" t="s">
        <v>1421</v>
      </c>
      <c r="BL179" s="18" t="s">
        <v>1421</v>
      </c>
      <c r="BU179" s="18">
        <f>ADP!AO179</f>
        <v>0</v>
      </c>
      <c r="BV179" s="18">
        <f>ADP!AO179</f>
        <v>0</v>
      </c>
      <c r="CE179" s="18" t="s">
        <v>1421</v>
      </c>
      <c r="CH179" s="18" t="s">
        <v>1421</v>
      </c>
    </row>
    <row r="180" spans="1:86" x14ac:dyDescent="0.2">
      <c r="A180" s="39" t="s">
        <v>1420</v>
      </c>
      <c r="B180" t="e">
        <f>ADP!#REF!</f>
        <v>#REF!</v>
      </c>
      <c r="C180" t="e">
        <f>ADP!#REF!</f>
        <v>#REF!</v>
      </c>
      <c r="D180" t="e">
        <f>ADP!#REF!</f>
        <v>#REF!</v>
      </c>
      <c r="E180" t="e">
        <f>ADP!#REF!</f>
        <v>#REF!</v>
      </c>
      <c r="F180" t="e">
        <f>ADP!#REF!&amp;".new.uat"</f>
        <v>#REF!</v>
      </c>
      <c r="G180" s="18" t="s">
        <v>1427</v>
      </c>
      <c r="H180" t="e">
        <f>ADP!#REF!</f>
        <v>#REF!</v>
      </c>
      <c r="I180" t="e">
        <f>ADP!#REF!</f>
        <v>#REF!</v>
      </c>
      <c r="J180" t="e">
        <f>ADP!#REF!</f>
        <v>#REF!</v>
      </c>
      <c r="L180" t="e">
        <f>ADP!#REF!</f>
        <v>#REF!</v>
      </c>
      <c r="M180" t="e">
        <f>ADP!#REF!</f>
        <v>#REF!</v>
      </c>
      <c r="O180" s="18" t="e">
        <f>ADP!#REF!</f>
        <v>#REF!</v>
      </c>
      <c r="P180" t="e">
        <f>ADP!#REF!</f>
        <v>#REF!</v>
      </c>
      <c r="Q180" t="e">
        <f>ADP!#REF!</f>
        <v>#REF!</v>
      </c>
      <c r="W180" t="e">
        <f>ADP!#REF!</f>
        <v>#REF!</v>
      </c>
      <c r="X180" t="e">
        <f>ADP!#REF!</f>
        <v>#REF!</v>
      </c>
      <c r="Z180" t="e">
        <f t="shared" si="2"/>
        <v>#REF!</v>
      </c>
      <c r="AB180" t="e">
        <f>ADP!#REF!</f>
        <v>#REF!</v>
      </c>
      <c r="AC180" t="e">
        <f>ADP!#REF!</f>
        <v>#REF!</v>
      </c>
      <c r="AP180" t="e">
        <f>ADP!#REF!</f>
        <v>#REF!</v>
      </c>
      <c r="BG180" t="e">
        <f>ADP!#REF!</f>
        <v>#REF!</v>
      </c>
      <c r="BK180" s="18" t="s">
        <v>1421</v>
      </c>
      <c r="BL180" s="18" t="s">
        <v>1421</v>
      </c>
      <c r="BU180" s="18">
        <f>ADP!AO180</f>
        <v>0</v>
      </c>
      <c r="BV180" s="18">
        <f>ADP!AO180</f>
        <v>0</v>
      </c>
      <c r="CE180" s="18" t="s">
        <v>1421</v>
      </c>
      <c r="CH180" s="18" t="s">
        <v>1421</v>
      </c>
    </row>
    <row r="181" spans="1:86" x14ac:dyDescent="0.2">
      <c r="A181" s="39" t="s">
        <v>1420</v>
      </c>
      <c r="B181" t="e">
        <f>ADP!#REF!</f>
        <v>#REF!</v>
      </c>
      <c r="C181" t="e">
        <f>ADP!#REF!</f>
        <v>#REF!</v>
      </c>
      <c r="D181" t="e">
        <f>ADP!#REF!</f>
        <v>#REF!</v>
      </c>
      <c r="E181" t="e">
        <f>ADP!#REF!</f>
        <v>#REF!</v>
      </c>
      <c r="F181" t="e">
        <f>ADP!#REF!&amp;".new.uat"</f>
        <v>#REF!</v>
      </c>
      <c r="G181" s="18" t="s">
        <v>1427</v>
      </c>
      <c r="H181" t="e">
        <f>ADP!#REF!</f>
        <v>#REF!</v>
      </c>
      <c r="I181" t="e">
        <f>ADP!#REF!</f>
        <v>#REF!</v>
      </c>
      <c r="J181" t="e">
        <f>ADP!#REF!</f>
        <v>#REF!</v>
      </c>
      <c r="L181" t="e">
        <f>ADP!#REF!</f>
        <v>#REF!</v>
      </c>
      <c r="M181" t="e">
        <f>ADP!#REF!</f>
        <v>#REF!</v>
      </c>
      <c r="O181" s="18" t="e">
        <f>ADP!#REF!</f>
        <v>#REF!</v>
      </c>
      <c r="P181" t="e">
        <f>ADP!#REF!</f>
        <v>#REF!</v>
      </c>
      <c r="Q181" t="e">
        <f>ADP!#REF!</f>
        <v>#REF!</v>
      </c>
      <c r="W181" t="e">
        <f>ADP!#REF!</f>
        <v>#REF!</v>
      </c>
      <c r="X181" t="e">
        <f>ADP!#REF!</f>
        <v>#REF!</v>
      </c>
      <c r="Z181" t="e">
        <f t="shared" si="2"/>
        <v>#REF!</v>
      </c>
      <c r="AB181" t="e">
        <f>ADP!#REF!</f>
        <v>#REF!</v>
      </c>
      <c r="AC181" t="e">
        <f>ADP!#REF!</f>
        <v>#REF!</v>
      </c>
      <c r="AP181" t="e">
        <f>ADP!#REF!</f>
        <v>#REF!</v>
      </c>
      <c r="BG181" t="e">
        <f>ADP!#REF!</f>
        <v>#REF!</v>
      </c>
      <c r="BK181" s="18" t="s">
        <v>1421</v>
      </c>
      <c r="BL181" s="18" t="s">
        <v>1421</v>
      </c>
      <c r="BU181" s="18">
        <f>ADP!AO181</f>
        <v>0</v>
      </c>
      <c r="BV181" s="18">
        <f>ADP!AO181</f>
        <v>0</v>
      </c>
      <c r="CE181" s="18" t="s">
        <v>1421</v>
      </c>
      <c r="CH181" s="18" t="s">
        <v>1421</v>
      </c>
    </row>
    <row r="182" spans="1:86" x14ac:dyDescent="0.2">
      <c r="A182" s="39" t="s">
        <v>1420</v>
      </c>
      <c r="B182" t="e">
        <f>ADP!#REF!</f>
        <v>#REF!</v>
      </c>
      <c r="C182" t="e">
        <f>ADP!#REF!</f>
        <v>#REF!</v>
      </c>
      <c r="D182" t="e">
        <f>ADP!#REF!</f>
        <v>#REF!</v>
      </c>
      <c r="E182" t="e">
        <f>ADP!#REF!</f>
        <v>#REF!</v>
      </c>
      <c r="F182" t="e">
        <f>ADP!#REF!&amp;".new.uat"</f>
        <v>#REF!</v>
      </c>
      <c r="G182" s="18" t="s">
        <v>1427</v>
      </c>
      <c r="H182" t="e">
        <f>ADP!#REF!</f>
        <v>#REF!</v>
      </c>
      <c r="I182" t="e">
        <f>ADP!#REF!</f>
        <v>#REF!</v>
      </c>
      <c r="J182" t="e">
        <f>ADP!#REF!</f>
        <v>#REF!</v>
      </c>
      <c r="L182" t="e">
        <f>ADP!#REF!</f>
        <v>#REF!</v>
      </c>
      <c r="M182" t="e">
        <f>ADP!#REF!</f>
        <v>#REF!</v>
      </c>
      <c r="O182" s="18" t="e">
        <f>ADP!#REF!</f>
        <v>#REF!</v>
      </c>
      <c r="P182" t="e">
        <f>ADP!#REF!</f>
        <v>#REF!</v>
      </c>
      <c r="Q182" t="e">
        <f>ADP!#REF!</f>
        <v>#REF!</v>
      </c>
      <c r="W182" t="e">
        <f>ADP!#REF!</f>
        <v>#REF!</v>
      </c>
      <c r="X182" t="e">
        <f>ADP!#REF!</f>
        <v>#REF!</v>
      </c>
      <c r="Z182" t="e">
        <f t="shared" si="2"/>
        <v>#REF!</v>
      </c>
      <c r="AB182" t="e">
        <f>ADP!#REF!</f>
        <v>#REF!</v>
      </c>
      <c r="AC182" t="e">
        <f>ADP!#REF!</f>
        <v>#REF!</v>
      </c>
      <c r="AP182" t="e">
        <f>ADP!#REF!</f>
        <v>#REF!</v>
      </c>
      <c r="BG182" t="e">
        <f>ADP!#REF!</f>
        <v>#REF!</v>
      </c>
      <c r="BK182" s="18" t="s">
        <v>1421</v>
      </c>
      <c r="BL182" s="18" t="s">
        <v>1421</v>
      </c>
      <c r="BU182" s="18">
        <f>ADP!AO182</f>
        <v>0</v>
      </c>
      <c r="BV182" s="18">
        <f>ADP!AO182</f>
        <v>0</v>
      </c>
      <c r="CE182" s="18" t="s">
        <v>1421</v>
      </c>
      <c r="CH182" s="18" t="s">
        <v>1421</v>
      </c>
    </row>
    <row r="183" spans="1:86" x14ac:dyDescent="0.2">
      <c r="A183" s="39" t="s">
        <v>1420</v>
      </c>
      <c r="B183" t="e">
        <f>ADP!#REF!</f>
        <v>#REF!</v>
      </c>
      <c r="C183" t="e">
        <f>ADP!#REF!</f>
        <v>#REF!</v>
      </c>
      <c r="D183" t="e">
        <f>ADP!#REF!</f>
        <v>#REF!</v>
      </c>
      <c r="E183" t="e">
        <f>ADP!#REF!</f>
        <v>#REF!</v>
      </c>
      <c r="F183" t="e">
        <f>ADP!#REF!&amp;".new.uat"</f>
        <v>#REF!</v>
      </c>
      <c r="G183" s="18" t="s">
        <v>1427</v>
      </c>
      <c r="H183" t="e">
        <f>ADP!#REF!</f>
        <v>#REF!</v>
      </c>
      <c r="I183" t="e">
        <f>ADP!#REF!</f>
        <v>#REF!</v>
      </c>
      <c r="J183" t="e">
        <f>ADP!#REF!</f>
        <v>#REF!</v>
      </c>
      <c r="L183" t="e">
        <f>ADP!#REF!</f>
        <v>#REF!</v>
      </c>
      <c r="M183" t="e">
        <f>ADP!#REF!</f>
        <v>#REF!</v>
      </c>
      <c r="O183" s="18" t="e">
        <f>ADP!#REF!</f>
        <v>#REF!</v>
      </c>
      <c r="P183" t="e">
        <f>ADP!#REF!</f>
        <v>#REF!</v>
      </c>
      <c r="Q183" t="e">
        <f>ADP!#REF!</f>
        <v>#REF!</v>
      </c>
      <c r="W183" t="e">
        <f>ADP!#REF!</f>
        <v>#REF!</v>
      </c>
      <c r="X183" t="e">
        <f>ADP!#REF!</f>
        <v>#REF!</v>
      </c>
      <c r="Z183" t="e">
        <f t="shared" si="2"/>
        <v>#REF!</v>
      </c>
      <c r="AB183" t="e">
        <f>ADP!#REF!</f>
        <v>#REF!</v>
      </c>
      <c r="AC183" t="e">
        <f>ADP!#REF!</f>
        <v>#REF!</v>
      </c>
      <c r="AP183" t="e">
        <f>ADP!#REF!</f>
        <v>#REF!</v>
      </c>
      <c r="BG183" t="e">
        <f>ADP!#REF!</f>
        <v>#REF!</v>
      </c>
      <c r="BK183" s="18" t="s">
        <v>1421</v>
      </c>
      <c r="BL183" s="18" t="s">
        <v>1421</v>
      </c>
      <c r="BU183" s="18">
        <f>ADP!AO183</f>
        <v>0</v>
      </c>
      <c r="BV183" s="18">
        <f>ADP!AO183</f>
        <v>0</v>
      </c>
      <c r="CE183" s="18" t="s">
        <v>1421</v>
      </c>
      <c r="CH183" s="18" t="s">
        <v>1421</v>
      </c>
    </row>
    <row r="184" spans="1:86" x14ac:dyDescent="0.2">
      <c r="A184" s="39" t="s">
        <v>1420</v>
      </c>
      <c r="B184" t="e">
        <f>ADP!#REF!</f>
        <v>#REF!</v>
      </c>
      <c r="C184" t="e">
        <f>ADP!#REF!</f>
        <v>#REF!</v>
      </c>
      <c r="D184" t="e">
        <f>ADP!#REF!</f>
        <v>#REF!</v>
      </c>
      <c r="E184" t="e">
        <f>ADP!#REF!</f>
        <v>#REF!</v>
      </c>
      <c r="F184" t="e">
        <f>ADP!#REF!&amp;".new.uat"</f>
        <v>#REF!</v>
      </c>
      <c r="G184" s="18" t="s">
        <v>1427</v>
      </c>
      <c r="H184" t="e">
        <f>ADP!#REF!</f>
        <v>#REF!</v>
      </c>
      <c r="I184" t="e">
        <f>ADP!#REF!</f>
        <v>#REF!</v>
      </c>
      <c r="J184" t="e">
        <f>ADP!#REF!</f>
        <v>#REF!</v>
      </c>
      <c r="L184" t="e">
        <f>ADP!#REF!</f>
        <v>#REF!</v>
      </c>
      <c r="M184" t="e">
        <f>ADP!#REF!</f>
        <v>#REF!</v>
      </c>
      <c r="O184" s="18" t="e">
        <f>ADP!#REF!</f>
        <v>#REF!</v>
      </c>
      <c r="P184" t="e">
        <f>ADP!#REF!</f>
        <v>#REF!</v>
      </c>
      <c r="Q184" t="e">
        <f>ADP!#REF!</f>
        <v>#REF!</v>
      </c>
      <c r="W184" t="e">
        <f>ADP!#REF!</f>
        <v>#REF!</v>
      </c>
      <c r="X184" t="e">
        <f>ADP!#REF!</f>
        <v>#REF!</v>
      </c>
      <c r="Z184" t="e">
        <f t="shared" si="2"/>
        <v>#REF!</v>
      </c>
      <c r="AB184" t="e">
        <f>ADP!#REF!</f>
        <v>#REF!</v>
      </c>
      <c r="AC184" t="e">
        <f>ADP!#REF!</f>
        <v>#REF!</v>
      </c>
      <c r="AP184" t="e">
        <f>ADP!#REF!</f>
        <v>#REF!</v>
      </c>
      <c r="BG184" t="e">
        <f>ADP!#REF!</f>
        <v>#REF!</v>
      </c>
      <c r="BK184" s="18" t="s">
        <v>1421</v>
      </c>
      <c r="BL184" s="18" t="s">
        <v>1421</v>
      </c>
      <c r="BU184" s="18">
        <f>ADP!AO184</f>
        <v>0</v>
      </c>
      <c r="BV184" s="18">
        <f>ADP!AO184</f>
        <v>0</v>
      </c>
      <c r="CE184" s="18" t="s">
        <v>1421</v>
      </c>
      <c r="CH184" s="18" t="s">
        <v>1421</v>
      </c>
    </row>
    <row r="185" spans="1:86" x14ac:dyDescent="0.2">
      <c r="A185" s="39" t="s">
        <v>1420</v>
      </c>
      <c r="B185" t="e">
        <f>ADP!#REF!</f>
        <v>#REF!</v>
      </c>
      <c r="C185" t="e">
        <f>ADP!#REF!</f>
        <v>#REF!</v>
      </c>
      <c r="D185" t="e">
        <f>ADP!#REF!</f>
        <v>#REF!</v>
      </c>
      <c r="E185" t="e">
        <f>ADP!#REF!</f>
        <v>#REF!</v>
      </c>
      <c r="F185" t="e">
        <f>ADP!#REF!&amp;".new.uat"</f>
        <v>#REF!</v>
      </c>
      <c r="G185" s="18" t="s">
        <v>1427</v>
      </c>
      <c r="H185" t="e">
        <f>ADP!#REF!</f>
        <v>#REF!</v>
      </c>
      <c r="I185" t="e">
        <f>ADP!#REF!</f>
        <v>#REF!</v>
      </c>
      <c r="J185" t="e">
        <f>ADP!#REF!</f>
        <v>#REF!</v>
      </c>
      <c r="L185" t="e">
        <f>ADP!#REF!</f>
        <v>#REF!</v>
      </c>
      <c r="M185" t="e">
        <f>ADP!#REF!</f>
        <v>#REF!</v>
      </c>
      <c r="O185" s="18" t="e">
        <f>ADP!#REF!</f>
        <v>#REF!</v>
      </c>
      <c r="P185" t="e">
        <f>ADP!#REF!</f>
        <v>#REF!</v>
      </c>
      <c r="Q185" t="e">
        <f>ADP!#REF!</f>
        <v>#REF!</v>
      </c>
      <c r="W185" t="e">
        <f>ADP!#REF!</f>
        <v>#REF!</v>
      </c>
      <c r="X185" t="e">
        <f>ADP!#REF!</f>
        <v>#REF!</v>
      </c>
      <c r="Z185" t="e">
        <f t="shared" si="2"/>
        <v>#REF!</v>
      </c>
      <c r="AB185" t="e">
        <f>ADP!#REF!</f>
        <v>#REF!</v>
      </c>
      <c r="AC185" t="e">
        <f>ADP!#REF!</f>
        <v>#REF!</v>
      </c>
      <c r="AP185" t="e">
        <f>ADP!#REF!</f>
        <v>#REF!</v>
      </c>
      <c r="BG185" t="e">
        <f>ADP!#REF!</f>
        <v>#REF!</v>
      </c>
      <c r="BK185" s="18" t="s">
        <v>1421</v>
      </c>
      <c r="BL185" s="18" t="s">
        <v>1421</v>
      </c>
      <c r="BU185" s="18">
        <f>ADP!AO185</f>
        <v>0</v>
      </c>
      <c r="BV185" s="18">
        <f>ADP!AO185</f>
        <v>0</v>
      </c>
      <c r="CE185" s="18" t="s">
        <v>1421</v>
      </c>
      <c r="CH185" s="18" t="s">
        <v>1421</v>
      </c>
    </row>
    <row r="186" spans="1:86" x14ac:dyDescent="0.2">
      <c r="A186" s="39" t="s">
        <v>1420</v>
      </c>
      <c r="B186" t="e">
        <f>ADP!#REF!</f>
        <v>#REF!</v>
      </c>
      <c r="C186" t="e">
        <f>ADP!#REF!</f>
        <v>#REF!</v>
      </c>
      <c r="D186" t="e">
        <f>ADP!#REF!</f>
        <v>#REF!</v>
      </c>
      <c r="E186" t="e">
        <f>ADP!#REF!</f>
        <v>#REF!</v>
      </c>
      <c r="F186" t="e">
        <f>ADP!#REF!&amp;".new.uat"</f>
        <v>#REF!</v>
      </c>
      <c r="G186" s="18" t="s">
        <v>1427</v>
      </c>
      <c r="H186" t="e">
        <f>ADP!#REF!</f>
        <v>#REF!</v>
      </c>
      <c r="I186" t="e">
        <f>ADP!#REF!</f>
        <v>#REF!</v>
      </c>
      <c r="J186" t="e">
        <f>ADP!#REF!</f>
        <v>#REF!</v>
      </c>
      <c r="L186" t="e">
        <f>ADP!#REF!</f>
        <v>#REF!</v>
      </c>
      <c r="M186" t="e">
        <f>ADP!#REF!</f>
        <v>#REF!</v>
      </c>
      <c r="O186" s="18" t="e">
        <f>ADP!#REF!</f>
        <v>#REF!</v>
      </c>
      <c r="P186" t="e">
        <f>ADP!#REF!</f>
        <v>#REF!</v>
      </c>
      <c r="Q186" t="e">
        <f>ADP!#REF!</f>
        <v>#REF!</v>
      </c>
      <c r="W186" t="e">
        <f>ADP!#REF!</f>
        <v>#REF!</v>
      </c>
      <c r="X186" t="e">
        <f>ADP!#REF!</f>
        <v>#REF!</v>
      </c>
      <c r="Z186" t="e">
        <f t="shared" si="2"/>
        <v>#REF!</v>
      </c>
      <c r="AB186" t="e">
        <f>ADP!#REF!</f>
        <v>#REF!</v>
      </c>
      <c r="AC186" t="e">
        <f>ADP!#REF!</f>
        <v>#REF!</v>
      </c>
      <c r="AP186" t="e">
        <f>ADP!#REF!</f>
        <v>#REF!</v>
      </c>
      <c r="BG186" t="e">
        <f>ADP!#REF!</f>
        <v>#REF!</v>
      </c>
      <c r="BK186" s="18" t="s">
        <v>1421</v>
      </c>
      <c r="BL186" s="18" t="s">
        <v>1421</v>
      </c>
      <c r="BU186" s="18">
        <f>ADP!AO186</f>
        <v>0</v>
      </c>
      <c r="BV186" s="18">
        <f>ADP!AO186</f>
        <v>0</v>
      </c>
      <c r="CE186" s="18" t="s">
        <v>1421</v>
      </c>
      <c r="CH186" s="18" t="s">
        <v>1421</v>
      </c>
    </row>
    <row r="187" spans="1:86" x14ac:dyDescent="0.2">
      <c r="A187" s="39" t="s">
        <v>1420</v>
      </c>
      <c r="B187" t="e">
        <f>ADP!#REF!</f>
        <v>#REF!</v>
      </c>
      <c r="C187" t="e">
        <f>ADP!#REF!</f>
        <v>#REF!</v>
      </c>
      <c r="D187" t="e">
        <f>ADP!#REF!</f>
        <v>#REF!</v>
      </c>
      <c r="E187" t="e">
        <f>ADP!#REF!</f>
        <v>#REF!</v>
      </c>
      <c r="F187" t="e">
        <f>ADP!#REF!&amp;".new.uat"</f>
        <v>#REF!</v>
      </c>
      <c r="G187" s="18" t="s">
        <v>1427</v>
      </c>
      <c r="H187" t="e">
        <f>ADP!#REF!</f>
        <v>#REF!</v>
      </c>
      <c r="I187" t="e">
        <f>ADP!#REF!</f>
        <v>#REF!</v>
      </c>
      <c r="J187" t="e">
        <f>ADP!#REF!</f>
        <v>#REF!</v>
      </c>
      <c r="L187" t="e">
        <f>ADP!#REF!</f>
        <v>#REF!</v>
      </c>
      <c r="M187" t="e">
        <f>ADP!#REF!</f>
        <v>#REF!</v>
      </c>
      <c r="O187" s="18" t="e">
        <f>ADP!#REF!</f>
        <v>#REF!</v>
      </c>
      <c r="P187" t="e">
        <f>ADP!#REF!</f>
        <v>#REF!</v>
      </c>
      <c r="Q187" t="e">
        <f>ADP!#REF!</f>
        <v>#REF!</v>
      </c>
      <c r="W187" t="e">
        <f>ADP!#REF!</f>
        <v>#REF!</v>
      </c>
      <c r="X187" t="e">
        <f>ADP!#REF!</f>
        <v>#REF!</v>
      </c>
      <c r="Z187" t="e">
        <f t="shared" si="2"/>
        <v>#REF!</v>
      </c>
      <c r="AB187" t="e">
        <f>ADP!#REF!</f>
        <v>#REF!</v>
      </c>
      <c r="AC187" t="e">
        <f>ADP!#REF!</f>
        <v>#REF!</v>
      </c>
      <c r="AP187" t="e">
        <f>ADP!#REF!</f>
        <v>#REF!</v>
      </c>
      <c r="BG187" t="e">
        <f>ADP!#REF!</f>
        <v>#REF!</v>
      </c>
      <c r="BK187" s="18" t="s">
        <v>1421</v>
      </c>
      <c r="BL187" s="18" t="s">
        <v>1421</v>
      </c>
      <c r="BU187" s="18">
        <f>ADP!AO187</f>
        <v>0</v>
      </c>
      <c r="BV187" s="18">
        <f>ADP!AO187</f>
        <v>0</v>
      </c>
      <c r="CE187" s="18" t="s">
        <v>1421</v>
      </c>
      <c r="CH187" s="18" t="s">
        <v>1421</v>
      </c>
    </row>
    <row r="188" spans="1:86" x14ac:dyDescent="0.2">
      <c r="A188" s="39" t="s">
        <v>1420</v>
      </c>
      <c r="B188" t="e">
        <f>ADP!#REF!</f>
        <v>#REF!</v>
      </c>
      <c r="C188" t="e">
        <f>ADP!#REF!</f>
        <v>#REF!</v>
      </c>
      <c r="D188" t="e">
        <f>ADP!#REF!</f>
        <v>#REF!</v>
      </c>
      <c r="E188" t="e">
        <f>ADP!#REF!</f>
        <v>#REF!</v>
      </c>
      <c r="F188" t="e">
        <f>ADP!#REF!&amp;".new.uat"</f>
        <v>#REF!</v>
      </c>
      <c r="G188" s="18" t="s">
        <v>1427</v>
      </c>
      <c r="H188" t="e">
        <f>ADP!#REF!</f>
        <v>#REF!</v>
      </c>
      <c r="I188" t="e">
        <f>ADP!#REF!</f>
        <v>#REF!</v>
      </c>
      <c r="J188" t="e">
        <f>ADP!#REF!</f>
        <v>#REF!</v>
      </c>
      <c r="L188" t="e">
        <f>ADP!#REF!</f>
        <v>#REF!</v>
      </c>
      <c r="M188" t="e">
        <f>ADP!#REF!</f>
        <v>#REF!</v>
      </c>
      <c r="O188" s="18" t="e">
        <f>ADP!#REF!</f>
        <v>#REF!</v>
      </c>
      <c r="P188" t="e">
        <f>ADP!#REF!</f>
        <v>#REF!</v>
      </c>
      <c r="Q188" t="e">
        <f>ADP!#REF!</f>
        <v>#REF!</v>
      </c>
      <c r="W188" t="e">
        <f>ADP!#REF!</f>
        <v>#REF!</v>
      </c>
      <c r="X188" t="e">
        <f>ADP!#REF!</f>
        <v>#REF!</v>
      </c>
      <c r="Z188" t="e">
        <f t="shared" si="2"/>
        <v>#REF!</v>
      </c>
      <c r="AB188" t="e">
        <f>ADP!#REF!</f>
        <v>#REF!</v>
      </c>
      <c r="AC188" t="e">
        <f>ADP!#REF!</f>
        <v>#REF!</v>
      </c>
      <c r="AP188" t="e">
        <f>ADP!#REF!</f>
        <v>#REF!</v>
      </c>
      <c r="BG188" t="e">
        <f>ADP!#REF!</f>
        <v>#REF!</v>
      </c>
      <c r="BK188" s="18" t="s">
        <v>1421</v>
      </c>
      <c r="BL188" s="18" t="s">
        <v>1421</v>
      </c>
      <c r="BU188" s="18">
        <f>ADP!AO188</f>
        <v>0</v>
      </c>
      <c r="BV188" s="18">
        <f>ADP!AO188</f>
        <v>0</v>
      </c>
      <c r="CE188" s="18" t="s">
        <v>1421</v>
      </c>
      <c r="CH188" s="18" t="s">
        <v>1421</v>
      </c>
    </row>
    <row r="189" spans="1:86" x14ac:dyDescent="0.2">
      <c r="A189" s="39" t="s">
        <v>1420</v>
      </c>
      <c r="B189" t="e">
        <f>ADP!#REF!</f>
        <v>#REF!</v>
      </c>
      <c r="C189" t="e">
        <f>ADP!#REF!</f>
        <v>#REF!</v>
      </c>
      <c r="D189" t="e">
        <f>ADP!#REF!</f>
        <v>#REF!</v>
      </c>
      <c r="E189" t="e">
        <f>ADP!#REF!</f>
        <v>#REF!</v>
      </c>
      <c r="F189" t="e">
        <f>ADP!#REF!&amp;".new.uat"</f>
        <v>#REF!</v>
      </c>
      <c r="G189" s="18" t="s">
        <v>1427</v>
      </c>
      <c r="H189" t="e">
        <f>ADP!#REF!</f>
        <v>#REF!</v>
      </c>
      <c r="I189" t="e">
        <f>ADP!#REF!</f>
        <v>#REF!</v>
      </c>
      <c r="J189" t="e">
        <f>ADP!#REF!</f>
        <v>#REF!</v>
      </c>
      <c r="L189" t="e">
        <f>ADP!#REF!</f>
        <v>#REF!</v>
      </c>
      <c r="M189" t="e">
        <f>ADP!#REF!</f>
        <v>#REF!</v>
      </c>
      <c r="O189" s="18" t="e">
        <f>ADP!#REF!</f>
        <v>#REF!</v>
      </c>
      <c r="P189" t="e">
        <f>ADP!#REF!</f>
        <v>#REF!</v>
      </c>
      <c r="Q189" t="e">
        <f>ADP!#REF!</f>
        <v>#REF!</v>
      </c>
      <c r="W189" t="e">
        <f>ADP!#REF!</f>
        <v>#REF!</v>
      </c>
      <c r="X189" t="e">
        <f>ADP!#REF!</f>
        <v>#REF!</v>
      </c>
      <c r="Z189" t="e">
        <f t="shared" si="2"/>
        <v>#REF!</v>
      </c>
      <c r="AB189" t="e">
        <f>ADP!#REF!</f>
        <v>#REF!</v>
      </c>
      <c r="AC189" t="e">
        <f>ADP!#REF!</f>
        <v>#REF!</v>
      </c>
      <c r="AP189" t="e">
        <f>ADP!#REF!</f>
        <v>#REF!</v>
      </c>
      <c r="BG189" t="e">
        <f>ADP!#REF!</f>
        <v>#REF!</v>
      </c>
      <c r="BK189" s="18" t="s">
        <v>1421</v>
      </c>
      <c r="BL189" s="18" t="s">
        <v>1421</v>
      </c>
      <c r="BU189" s="18">
        <f>ADP!AO189</f>
        <v>0</v>
      </c>
      <c r="BV189" s="18">
        <f>ADP!AO189</f>
        <v>0</v>
      </c>
      <c r="CE189" s="18" t="s">
        <v>1421</v>
      </c>
      <c r="CH189" s="18" t="s">
        <v>1421</v>
      </c>
    </row>
    <row r="190" spans="1:86" x14ac:dyDescent="0.2">
      <c r="A190" s="39" t="s">
        <v>1420</v>
      </c>
      <c r="B190" t="e">
        <f>ADP!#REF!</f>
        <v>#REF!</v>
      </c>
      <c r="C190" t="e">
        <f>ADP!#REF!</f>
        <v>#REF!</v>
      </c>
      <c r="D190" t="e">
        <f>ADP!#REF!</f>
        <v>#REF!</v>
      </c>
      <c r="E190" t="e">
        <f>ADP!#REF!</f>
        <v>#REF!</v>
      </c>
      <c r="F190" t="e">
        <f>ADP!#REF!&amp;".new.uat"</f>
        <v>#REF!</v>
      </c>
      <c r="G190" s="18" t="s">
        <v>1427</v>
      </c>
      <c r="H190" t="e">
        <f>ADP!#REF!</f>
        <v>#REF!</v>
      </c>
      <c r="I190" t="e">
        <f>ADP!#REF!</f>
        <v>#REF!</v>
      </c>
      <c r="J190" t="e">
        <f>ADP!#REF!</f>
        <v>#REF!</v>
      </c>
      <c r="L190" t="e">
        <f>ADP!#REF!</f>
        <v>#REF!</v>
      </c>
      <c r="M190" t="e">
        <f>ADP!#REF!</f>
        <v>#REF!</v>
      </c>
      <c r="O190" s="18" t="e">
        <f>ADP!#REF!</f>
        <v>#REF!</v>
      </c>
      <c r="P190" t="e">
        <f>ADP!#REF!</f>
        <v>#REF!</v>
      </c>
      <c r="Q190" t="e">
        <f>ADP!#REF!</f>
        <v>#REF!</v>
      </c>
      <c r="W190" t="e">
        <f>ADP!#REF!</f>
        <v>#REF!</v>
      </c>
      <c r="X190" t="e">
        <f>ADP!#REF!</f>
        <v>#REF!</v>
      </c>
      <c r="Z190" t="e">
        <f t="shared" si="2"/>
        <v>#REF!</v>
      </c>
      <c r="AB190" t="e">
        <f>ADP!#REF!</f>
        <v>#REF!</v>
      </c>
      <c r="AC190" t="e">
        <f>ADP!#REF!</f>
        <v>#REF!</v>
      </c>
      <c r="AP190" t="e">
        <f>ADP!#REF!</f>
        <v>#REF!</v>
      </c>
      <c r="BG190" t="e">
        <f>ADP!#REF!</f>
        <v>#REF!</v>
      </c>
      <c r="BK190" s="18" t="s">
        <v>1421</v>
      </c>
      <c r="BL190" s="18" t="s">
        <v>1421</v>
      </c>
      <c r="BU190" s="18">
        <f>ADP!AO190</f>
        <v>0</v>
      </c>
      <c r="BV190" s="18">
        <f>ADP!AO190</f>
        <v>0</v>
      </c>
      <c r="CE190" s="18" t="s">
        <v>1421</v>
      </c>
      <c r="CH190" s="18" t="s">
        <v>1421</v>
      </c>
    </row>
    <row r="191" spans="1:86" x14ac:dyDescent="0.2">
      <c r="A191" s="39" t="s">
        <v>1420</v>
      </c>
      <c r="B191" t="e">
        <f>ADP!#REF!</f>
        <v>#REF!</v>
      </c>
      <c r="C191" t="e">
        <f>ADP!#REF!</f>
        <v>#REF!</v>
      </c>
      <c r="D191" t="e">
        <f>ADP!#REF!</f>
        <v>#REF!</v>
      </c>
      <c r="E191" t="e">
        <f>ADP!#REF!</f>
        <v>#REF!</v>
      </c>
      <c r="F191" t="e">
        <f>ADP!#REF!&amp;".new.uat"</f>
        <v>#REF!</v>
      </c>
      <c r="G191" s="18" t="s">
        <v>1427</v>
      </c>
      <c r="H191" t="e">
        <f>ADP!#REF!</f>
        <v>#REF!</v>
      </c>
      <c r="I191" t="e">
        <f>ADP!#REF!</f>
        <v>#REF!</v>
      </c>
      <c r="J191" t="e">
        <f>ADP!#REF!</f>
        <v>#REF!</v>
      </c>
      <c r="L191" t="e">
        <f>ADP!#REF!</f>
        <v>#REF!</v>
      </c>
      <c r="M191" t="e">
        <f>ADP!#REF!</f>
        <v>#REF!</v>
      </c>
      <c r="O191" s="18" t="e">
        <f>ADP!#REF!</f>
        <v>#REF!</v>
      </c>
      <c r="P191" t="e">
        <f>ADP!#REF!</f>
        <v>#REF!</v>
      </c>
      <c r="Q191" t="e">
        <f>ADP!#REF!</f>
        <v>#REF!</v>
      </c>
      <c r="W191" t="e">
        <f>ADP!#REF!</f>
        <v>#REF!</v>
      </c>
      <c r="X191" t="e">
        <f>ADP!#REF!</f>
        <v>#REF!</v>
      </c>
      <c r="Z191" t="e">
        <f t="shared" si="2"/>
        <v>#REF!</v>
      </c>
      <c r="AB191" t="e">
        <f>ADP!#REF!</f>
        <v>#REF!</v>
      </c>
      <c r="AC191" t="e">
        <f>ADP!#REF!</f>
        <v>#REF!</v>
      </c>
      <c r="AP191" t="e">
        <f>ADP!#REF!</f>
        <v>#REF!</v>
      </c>
      <c r="BG191" t="e">
        <f>ADP!#REF!</f>
        <v>#REF!</v>
      </c>
      <c r="BK191" s="18" t="s">
        <v>1421</v>
      </c>
      <c r="BL191" s="18" t="s">
        <v>1421</v>
      </c>
      <c r="BU191" s="18">
        <f>ADP!AO191</f>
        <v>0</v>
      </c>
      <c r="BV191" s="18">
        <f>ADP!AO191</f>
        <v>0</v>
      </c>
      <c r="CE191" s="18" t="s">
        <v>1421</v>
      </c>
      <c r="CH191" s="18" t="s">
        <v>1421</v>
      </c>
    </row>
    <row r="192" spans="1:86" x14ac:dyDescent="0.2">
      <c r="A192" s="39" t="s">
        <v>1420</v>
      </c>
      <c r="B192" t="e">
        <f>ADP!#REF!</f>
        <v>#REF!</v>
      </c>
      <c r="C192" t="e">
        <f>ADP!#REF!</f>
        <v>#REF!</v>
      </c>
      <c r="D192" t="e">
        <f>ADP!#REF!</f>
        <v>#REF!</v>
      </c>
      <c r="E192" t="e">
        <f>ADP!#REF!</f>
        <v>#REF!</v>
      </c>
      <c r="F192" t="e">
        <f>ADP!#REF!&amp;".new.uat"</f>
        <v>#REF!</v>
      </c>
      <c r="G192" s="18" t="s">
        <v>1427</v>
      </c>
      <c r="H192" t="e">
        <f>ADP!#REF!</f>
        <v>#REF!</v>
      </c>
      <c r="I192" t="e">
        <f>ADP!#REF!</f>
        <v>#REF!</v>
      </c>
      <c r="J192" t="e">
        <f>ADP!#REF!</f>
        <v>#REF!</v>
      </c>
      <c r="L192" t="e">
        <f>ADP!#REF!</f>
        <v>#REF!</v>
      </c>
      <c r="M192" t="e">
        <f>ADP!#REF!</f>
        <v>#REF!</v>
      </c>
      <c r="O192" s="18" t="e">
        <f>ADP!#REF!</f>
        <v>#REF!</v>
      </c>
      <c r="P192" t="e">
        <f>ADP!#REF!</f>
        <v>#REF!</v>
      </c>
      <c r="Q192" t="e">
        <f>ADP!#REF!</f>
        <v>#REF!</v>
      </c>
      <c r="W192" t="e">
        <f>ADP!#REF!</f>
        <v>#REF!</v>
      </c>
      <c r="X192" t="e">
        <f>ADP!#REF!</f>
        <v>#REF!</v>
      </c>
      <c r="Z192" t="e">
        <f t="shared" si="2"/>
        <v>#REF!</v>
      </c>
      <c r="AB192" t="e">
        <f>ADP!#REF!</f>
        <v>#REF!</v>
      </c>
      <c r="AC192" t="e">
        <f>ADP!#REF!</f>
        <v>#REF!</v>
      </c>
      <c r="AP192" t="e">
        <f>ADP!#REF!</f>
        <v>#REF!</v>
      </c>
      <c r="BG192" t="e">
        <f>ADP!#REF!</f>
        <v>#REF!</v>
      </c>
      <c r="BK192" s="18" t="s">
        <v>1421</v>
      </c>
      <c r="BL192" s="18" t="s">
        <v>1421</v>
      </c>
      <c r="BU192" s="18">
        <f>ADP!AO192</f>
        <v>0</v>
      </c>
      <c r="BV192" s="18">
        <f>ADP!AO192</f>
        <v>0</v>
      </c>
      <c r="CE192" s="18" t="s">
        <v>1421</v>
      </c>
      <c r="CH192" s="18" t="s">
        <v>1421</v>
      </c>
    </row>
    <row r="193" spans="1:86" x14ac:dyDescent="0.2">
      <c r="A193" s="39" t="s">
        <v>1420</v>
      </c>
      <c r="B193" t="e">
        <f>ADP!#REF!</f>
        <v>#REF!</v>
      </c>
      <c r="C193" t="e">
        <f>ADP!#REF!</f>
        <v>#REF!</v>
      </c>
      <c r="D193" t="e">
        <f>ADP!#REF!</f>
        <v>#REF!</v>
      </c>
      <c r="E193" t="e">
        <f>ADP!#REF!</f>
        <v>#REF!</v>
      </c>
      <c r="F193" t="e">
        <f>ADP!#REF!&amp;".new.uat"</f>
        <v>#REF!</v>
      </c>
      <c r="G193" s="18" t="s">
        <v>1427</v>
      </c>
      <c r="H193" t="e">
        <f>ADP!#REF!</f>
        <v>#REF!</v>
      </c>
      <c r="I193" t="e">
        <f>ADP!#REF!</f>
        <v>#REF!</v>
      </c>
      <c r="J193" t="e">
        <f>ADP!#REF!</f>
        <v>#REF!</v>
      </c>
      <c r="L193" t="e">
        <f>ADP!#REF!</f>
        <v>#REF!</v>
      </c>
      <c r="M193" t="e">
        <f>ADP!#REF!</f>
        <v>#REF!</v>
      </c>
      <c r="O193" s="18" t="e">
        <f>ADP!#REF!</f>
        <v>#REF!</v>
      </c>
      <c r="P193" t="e">
        <f>ADP!#REF!</f>
        <v>#REF!</v>
      </c>
      <c r="Q193" t="e">
        <f>ADP!#REF!</f>
        <v>#REF!</v>
      </c>
      <c r="W193" t="e">
        <f>ADP!#REF!</f>
        <v>#REF!</v>
      </c>
      <c r="X193" t="e">
        <f>ADP!#REF!</f>
        <v>#REF!</v>
      </c>
      <c r="Z193" t="e">
        <f t="shared" si="2"/>
        <v>#REF!</v>
      </c>
      <c r="AB193" t="e">
        <f>ADP!#REF!</f>
        <v>#REF!</v>
      </c>
      <c r="AC193" t="e">
        <f>ADP!#REF!</f>
        <v>#REF!</v>
      </c>
      <c r="AP193" t="e">
        <f>ADP!#REF!</f>
        <v>#REF!</v>
      </c>
      <c r="BG193" t="e">
        <f>ADP!#REF!</f>
        <v>#REF!</v>
      </c>
      <c r="BK193" s="18" t="s">
        <v>1421</v>
      </c>
      <c r="BL193" s="18" t="s">
        <v>1421</v>
      </c>
      <c r="BU193" s="18">
        <f>ADP!AO193</f>
        <v>0</v>
      </c>
      <c r="BV193" s="18">
        <f>ADP!AO193</f>
        <v>0</v>
      </c>
      <c r="CE193" s="18" t="s">
        <v>1421</v>
      </c>
      <c r="CH193" s="18" t="s">
        <v>1421</v>
      </c>
    </row>
    <row r="194" spans="1:86" x14ac:dyDescent="0.2">
      <c r="A194" s="39" t="s">
        <v>1420</v>
      </c>
      <c r="B194" t="e">
        <f>ADP!#REF!</f>
        <v>#REF!</v>
      </c>
      <c r="C194" t="e">
        <f>ADP!#REF!</f>
        <v>#REF!</v>
      </c>
      <c r="D194" t="e">
        <f>ADP!#REF!</f>
        <v>#REF!</v>
      </c>
      <c r="E194" t="e">
        <f>ADP!#REF!</f>
        <v>#REF!</v>
      </c>
      <c r="F194" t="e">
        <f>ADP!#REF!&amp;".new.uat"</f>
        <v>#REF!</v>
      </c>
      <c r="G194" s="18" t="s">
        <v>1427</v>
      </c>
      <c r="H194" t="e">
        <f>ADP!#REF!</f>
        <v>#REF!</v>
      </c>
      <c r="I194" t="e">
        <f>ADP!#REF!</f>
        <v>#REF!</v>
      </c>
      <c r="J194" t="e">
        <f>ADP!#REF!</f>
        <v>#REF!</v>
      </c>
      <c r="L194" t="e">
        <f>ADP!#REF!</f>
        <v>#REF!</v>
      </c>
      <c r="M194" t="e">
        <f>ADP!#REF!</f>
        <v>#REF!</v>
      </c>
      <c r="O194" s="18" t="e">
        <f>ADP!#REF!</f>
        <v>#REF!</v>
      </c>
      <c r="P194" t="e">
        <f>ADP!#REF!</f>
        <v>#REF!</v>
      </c>
      <c r="Q194" t="e">
        <f>ADP!#REF!</f>
        <v>#REF!</v>
      </c>
      <c r="W194" t="e">
        <f>ADP!#REF!</f>
        <v>#REF!</v>
      </c>
      <c r="X194" t="e">
        <f>ADP!#REF!</f>
        <v>#REF!</v>
      </c>
      <c r="Z194" t="e">
        <f t="shared" si="2"/>
        <v>#REF!</v>
      </c>
      <c r="AB194" t="e">
        <f>ADP!#REF!</f>
        <v>#REF!</v>
      </c>
      <c r="AC194" t="e">
        <f>ADP!#REF!</f>
        <v>#REF!</v>
      </c>
      <c r="AP194" t="e">
        <f>ADP!#REF!</f>
        <v>#REF!</v>
      </c>
      <c r="BG194" t="e">
        <f>ADP!#REF!</f>
        <v>#REF!</v>
      </c>
      <c r="BK194" s="18" t="s">
        <v>1421</v>
      </c>
      <c r="BL194" s="18" t="s">
        <v>1421</v>
      </c>
      <c r="BU194" s="18">
        <f>ADP!AO194</f>
        <v>0</v>
      </c>
      <c r="BV194" s="18">
        <f>ADP!AO194</f>
        <v>0</v>
      </c>
      <c r="CE194" s="18" t="s">
        <v>1421</v>
      </c>
      <c r="CH194" s="18" t="s">
        <v>1421</v>
      </c>
    </row>
    <row r="195" spans="1:86" x14ac:dyDescent="0.2">
      <c r="A195" s="39" t="s">
        <v>1420</v>
      </c>
      <c r="B195" t="e">
        <f>ADP!#REF!</f>
        <v>#REF!</v>
      </c>
      <c r="C195" t="e">
        <f>ADP!#REF!</f>
        <v>#REF!</v>
      </c>
      <c r="D195" t="e">
        <f>ADP!#REF!</f>
        <v>#REF!</v>
      </c>
      <c r="E195" t="e">
        <f>ADP!#REF!</f>
        <v>#REF!</v>
      </c>
      <c r="F195" t="e">
        <f>ADP!#REF!&amp;".new.uat"</f>
        <v>#REF!</v>
      </c>
      <c r="G195" s="18" t="s">
        <v>1427</v>
      </c>
      <c r="H195" t="e">
        <f>ADP!#REF!</f>
        <v>#REF!</v>
      </c>
      <c r="I195" t="e">
        <f>ADP!#REF!</f>
        <v>#REF!</v>
      </c>
      <c r="J195" t="e">
        <f>ADP!#REF!</f>
        <v>#REF!</v>
      </c>
      <c r="L195" t="e">
        <f>ADP!#REF!</f>
        <v>#REF!</v>
      </c>
      <c r="M195" t="e">
        <f>ADP!#REF!</f>
        <v>#REF!</v>
      </c>
      <c r="O195" s="18" t="e">
        <f>ADP!#REF!</f>
        <v>#REF!</v>
      </c>
      <c r="P195" t="e">
        <f>ADP!#REF!</f>
        <v>#REF!</v>
      </c>
      <c r="Q195" t="e">
        <f>ADP!#REF!</f>
        <v>#REF!</v>
      </c>
      <c r="W195" t="e">
        <f>ADP!#REF!</f>
        <v>#REF!</v>
      </c>
      <c r="X195" t="e">
        <f>ADP!#REF!</f>
        <v>#REF!</v>
      </c>
      <c r="Z195" t="e">
        <f t="shared" si="2"/>
        <v>#REF!</v>
      </c>
      <c r="AB195" t="e">
        <f>ADP!#REF!</f>
        <v>#REF!</v>
      </c>
      <c r="AC195" t="e">
        <f>ADP!#REF!</f>
        <v>#REF!</v>
      </c>
      <c r="AP195" t="e">
        <f>ADP!#REF!</f>
        <v>#REF!</v>
      </c>
      <c r="BG195" t="e">
        <f>ADP!#REF!</f>
        <v>#REF!</v>
      </c>
      <c r="BK195" s="18" t="s">
        <v>1421</v>
      </c>
      <c r="BL195" s="18" t="s">
        <v>1421</v>
      </c>
      <c r="BU195" s="18">
        <f>ADP!AO195</f>
        <v>0</v>
      </c>
      <c r="BV195" s="18">
        <f>ADP!AO195</f>
        <v>0</v>
      </c>
      <c r="CE195" s="18" t="s">
        <v>1421</v>
      </c>
      <c r="CH195" s="18" t="s">
        <v>1421</v>
      </c>
    </row>
    <row r="196" spans="1:86" x14ac:dyDescent="0.2">
      <c r="A196" s="39" t="s">
        <v>1420</v>
      </c>
      <c r="B196" t="e">
        <f>ADP!#REF!</f>
        <v>#REF!</v>
      </c>
      <c r="C196" t="e">
        <f>ADP!#REF!</f>
        <v>#REF!</v>
      </c>
      <c r="D196" t="e">
        <f>ADP!#REF!</f>
        <v>#REF!</v>
      </c>
      <c r="E196" t="e">
        <f>ADP!#REF!</f>
        <v>#REF!</v>
      </c>
      <c r="F196" t="e">
        <f>ADP!#REF!&amp;".new.uat"</f>
        <v>#REF!</v>
      </c>
      <c r="G196" s="18" t="s">
        <v>1427</v>
      </c>
      <c r="H196" t="e">
        <f>ADP!#REF!</f>
        <v>#REF!</v>
      </c>
      <c r="I196" t="e">
        <f>ADP!#REF!</f>
        <v>#REF!</v>
      </c>
      <c r="J196" t="e">
        <f>ADP!#REF!</f>
        <v>#REF!</v>
      </c>
      <c r="L196" t="e">
        <f>ADP!#REF!</f>
        <v>#REF!</v>
      </c>
      <c r="M196" t="e">
        <f>ADP!#REF!</f>
        <v>#REF!</v>
      </c>
      <c r="O196" s="18" t="e">
        <f>ADP!#REF!</f>
        <v>#REF!</v>
      </c>
      <c r="P196" t="e">
        <f>ADP!#REF!</f>
        <v>#REF!</v>
      </c>
      <c r="Q196" t="e">
        <f>ADP!#REF!</f>
        <v>#REF!</v>
      </c>
      <c r="W196" t="e">
        <f>ADP!#REF!</f>
        <v>#REF!</v>
      </c>
      <c r="X196" t="e">
        <f>ADP!#REF!</f>
        <v>#REF!</v>
      </c>
      <c r="Z196" t="e">
        <f t="shared" si="2"/>
        <v>#REF!</v>
      </c>
      <c r="AB196" t="e">
        <f>ADP!#REF!</f>
        <v>#REF!</v>
      </c>
      <c r="AC196" t="e">
        <f>ADP!#REF!</f>
        <v>#REF!</v>
      </c>
      <c r="AP196" t="e">
        <f>ADP!#REF!</f>
        <v>#REF!</v>
      </c>
      <c r="BG196" t="e">
        <f>ADP!#REF!</f>
        <v>#REF!</v>
      </c>
      <c r="BK196" s="18" t="s">
        <v>1421</v>
      </c>
      <c r="BL196" s="18" t="s">
        <v>1421</v>
      </c>
      <c r="BU196" s="18">
        <f>ADP!AO196</f>
        <v>0</v>
      </c>
      <c r="BV196" s="18">
        <f>ADP!AO196</f>
        <v>0</v>
      </c>
      <c r="CE196" s="18" t="s">
        <v>1421</v>
      </c>
      <c r="CH196" s="18" t="s">
        <v>1421</v>
      </c>
    </row>
    <row r="197" spans="1:86" x14ac:dyDescent="0.2">
      <c r="A197" s="39" t="s">
        <v>1420</v>
      </c>
      <c r="B197" t="e">
        <f>ADP!#REF!</f>
        <v>#REF!</v>
      </c>
      <c r="C197" t="e">
        <f>ADP!#REF!</f>
        <v>#REF!</v>
      </c>
      <c r="D197" t="e">
        <f>ADP!#REF!</f>
        <v>#REF!</v>
      </c>
      <c r="E197" t="e">
        <f>ADP!#REF!</f>
        <v>#REF!</v>
      </c>
      <c r="F197" t="e">
        <f>ADP!#REF!&amp;".new.uat"</f>
        <v>#REF!</v>
      </c>
      <c r="G197" s="18" t="s">
        <v>1427</v>
      </c>
      <c r="H197" t="e">
        <f>ADP!#REF!</f>
        <v>#REF!</v>
      </c>
      <c r="I197" t="e">
        <f>ADP!#REF!</f>
        <v>#REF!</v>
      </c>
      <c r="J197" t="e">
        <f>ADP!#REF!</f>
        <v>#REF!</v>
      </c>
      <c r="L197" t="e">
        <f>ADP!#REF!</f>
        <v>#REF!</v>
      </c>
      <c r="M197" t="e">
        <f>ADP!#REF!</f>
        <v>#REF!</v>
      </c>
      <c r="O197" s="18" t="e">
        <f>ADP!#REF!</f>
        <v>#REF!</v>
      </c>
      <c r="P197" t="e">
        <f>ADP!#REF!</f>
        <v>#REF!</v>
      </c>
      <c r="Q197" t="e">
        <f>ADP!#REF!</f>
        <v>#REF!</v>
      </c>
      <c r="W197" t="e">
        <f>ADP!#REF!</f>
        <v>#REF!</v>
      </c>
      <c r="X197" t="e">
        <f>ADP!#REF!</f>
        <v>#REF!</v>
      </c>
      <c r="Z197" t="e">
        <f t="shared" si="2"/>
        <v>#REF!</v>
      </c>
      <c r="AB197" t="e">
        <f>ADP!#REF!</f>
        <v>#REF!</v>
      </c>
      <c r="AC197" t="e">
        <f>ADP!#REF!</f>
        <v>#REF!</v>
      </c>
      <c r="AP197" t="e">
        <f>ADP!#REF!</f>
        <v>#REF!</v>
      </c>
      <c r="BG197" t="e">
        <f>ADP!#REF!</f>
        <v>#REF!</v>
      </c>
      <c r="BK197" s="18" t="s">
        <v>1421</v>
      </c>
      <c r="BL197" s="18" t="s">
        <v>1421</v>
      </c>
      <c r="BU197" s="18">
        <f>ADP!AO197</f>
        <v>0</v>
      </c>
      <c r="BV197" s="18">
        <f>ADP!AO197</f>
        <v>0</v>
      </c>
      <c r="CE197" s="18" t="s">
        <v>1421</v>
      </c>
      <c r="CH197" s="18" t="s">
        <v>1421</v>
      </c>
    </row>
    <row r="198" spans="1:86" x14ac:dyDescent="0.2">
      <c r="A198" s="39" t="s">
        <v>1420</v>
      </c>
      <c r="B198" t="e">
        <f>ADP!#REF!</f>
        <v>#REF!</v>
      </c>
      <c r="C198" t="e">
        <f>ADP!#REF!</f>
        <v>#REF!</v>
      </c>
      <c r="D198" t="e">
        <f>ADP!#REF!</f>
        <v>#REF!</v>
      </c>
      <c r="E198" t="e">
        <f>ADP!#REF!</f>
        <v>#REF!</v>
      </c>
      <c r="F198" t="e">
        <f>ADP!#REF!&amp;".new.uat"</f>
        <v>#REF!</v>
      </c>
      <c r="G198" s="18" t="s">
        <v>1427</v>
      </c>
      <c r="H198" t="e">
        <f>ADP!#REF!</f>
        <v>#REF!</v>
      </c>
      <c r="I198" t="e">
        <f>ADP!#REF!</f>
        <v>#REF!</v>
      </c>
      <c r="J198" t="e">
        <f>ADP!#REF!</f>
        <v>#REF!</v>
      </c>
      <c r="L198" t="e">
        <f>ADP!#REF!</f>
        <v>#REF!</v>
      </c>
      <c r="M198" t="e">
        <f>ADP!#REF!</f>
        <v>#REF!</v>
      </c>
      <c r="O198" s="18" t="e">
        <f>ADP!#REF!</f>
        <v>#REF!</v>
      </c>
      <c r="P198" t="e">
        <f>ADP!#REF!</f>
        <v>#REF!</v>
      </c>
      <c r="Q198" t="e">
        <f>ADP!#REF!</f>
        <v>#REF!</v>
      </c>
      <c r="W198" t="e">
        <f>ADP!#REF!</f>
        <v>#REF!</v>
      </c>
      <c r="X198" t="e">
        <f>ADP!#REF!</f>
        <v>#REF!</v>
      </c>
      <c r="Z198" t="e">
        <f t="shared" ref="Z198:Z203" si="3">P198</f>
        <v>#REF!</v>
      </c>
      <c r="AB198" t="e">
        <f>ADP!#REF!</f>
        <v>#REF!</v>
      </c>
      <c r="AC198" t="e">
        <f>ADP!#REF!</f>
        <v>#REF!</v>
      </c>
      <c r="AP198" t="e">
        <f>ADP!#REF!</f>
        <v>#REF!</v>
      </c>
      <c r="BG198" t="e">
        <f>ADP!#REF!</f>
        <v>#REF!</v>
      </c>
      <c r="BK198" s="18" t="s">
        <v>1421</v>
      </c>
      <c r="BL198" s="18" t="s">
        <v>1421</v>
      </c>
      <c r="BU198" s="18">
        <f>ADP!AO198</f>
        <v>0</v>
      </c>
      <c r="BV198" s="18">
        <f>ADP!AO198</f>
        <v>0</v>
      </c>
      <c r="CE198" s="18" t="s">
        <v>1421</v>
      </c>
      <c r="CH198" s="18" t="s">
        <v>1421</v>
      </c>
    </row>
    <row r="199" spans="1:86" x14ac:dyDescent="0.2">
      <c r="A199" s="39" t="s">
        <v>1420</v>
      </c>
      <c r="B199" t="e">
        <f>ADP!#REF!</f>
        <v>#REF!</v>
      </c>
      <c r="C199" t="e">
        <f>ADP!#REF!</f>
        <v>#REF!</v>
      </c>
      <c r="D199" t="e">
        <f>ADP!#REF!</f>
        <v>#REF!</v>
      </c>
      <c r="E199" t="e">
        <f>ADP!#REF!</f>
        <v>#REF!</v>
      </c>
      <c r="F199" t="e">
        <f>ADP!#REF!&amp;".new.uat"</f>
        <v>#REF!</v>
      </c>
      <c r="G199" s="18" t="s">
        <v>1427</v>
      </c>
      <c r="H199" t="e">
        <f>ADP!#REF!</f>
        <v>#REF!</v>
      </c>
      <c r="I199" t="e">
        <f>ADP!#REF!</f>
        <v>#REF!</v>
      </c>
      <c r="J199" t="e">
        <f>ADP!#REF!</f>
        <v>#REF!</v>
      </c>
      <c r="L199" t="e">
        <f>ADP!#REF!</f>
        <v>#REF!</v>
      </c>
      <c r="M199" t="e">
        <f>ADP!#REF!</f>
        <v>#REF!</v>
      </c>
      <c r="O199" s="18" t="e">
        <f>ADP!#REF!</f>
        <v>#REF!</v>
      </c>
      <c r="P199" t="e">
        <f>ADP!#REF!</f>
        <v>#REF!</v>
      </c>
      <c r="Q199" t="e">
        <f>ADP!#REF!</f>
        <v>#REF!</v>
      </c>
      <c r="W199" t="e">
        <f>ADP!#REF!</f>
        <v>#REF!</v>
      </c>
      <c r="X199" t="e">
        <f>ADP!#REF!</f>
        <v>#REF!</v>
      </c>
      <c r="Z199" t="e">
        <f t="shared" si="3"/>
        <v>#REF!</v>
      </c>
      <c r="AB199" t="e">
        <f>ADP!#REF!</f>
        <v>#REF!</v>
      </c>
      <c r="AC199" t="e">
        <f>ADP!#REF!</f>
        <v>#REF!</v>
      </c>
      <c r="AP199" t="e">
        <f>ADP!#REF!</f>
        <v>#REF!</v>
      </c>
      <c r="BG199" t="e">
        <f>ADP!#REF!</f>
        <v>#REF!</v>
      </c>
      <c r="BK199" s="18" t="s">
        <v>1421</v>
      </c>
      <c r="BL199" s="18" t="s">
        <v>1421</v>
      </c>
      <c r="BU199" s="18">
        <f>ADP!AO199</f>
        <v>0</v>
      </c>
      <c r="BV199" s="18">
        <f>ADP!AO199</f>
        <v>0</v>
      </c>
      <c r="CE199" s="18" t="s">
        <v>1421</v>
      </c>
      <c r="CH199" s="18" t="s">
        <v>1421</v>
      </c>
    </row>
    <row r="200" spans="1:86" x14ac:dyDescent="0.2">
      <c r="A200" s="39" t="s">
        <v>1420</v>
      </c>
      <c r="B200" t="e">
        <f>ADP!#REF!</f>
        <v>#REF!</v>
      </c>
      <c r="C200" t="e">
        <f>ADP!#REF!</f>
        <v>#REF!</v>
      </c>
      <c r="D200" t="e">
        <f>ADP!#REF!</f>
        <v>#REF!</v>
      </c>
      <c r="E200" t="e">
        <f>ADP!#REF!</f>
        <v>#REF!</v>
      </c>
      <c r="F200" t="e">
        <f>ADP!#REF!&amp;".new.uat"</f>
        <v>#REF!</v>
      </c>
      <c r="G200" s="18" t="s">
        <v>1427</v>
      </c>
      <c r="H200" t="e">
        <f>ADP!#REF!</f>
        <v>#REF!</v>
      </c>
      <c r="I200" t="e">
        <f>ADP!#REF!</f>
        <v>#REF!</v>
      </c>
      <c r="J200" t="e">
        <f>ADP!#REF!</f>
        <v>#REF!</v>
      </c>
      <c r="L200" t="e">
        <f>ADP!#REF!</f>
        <v>#REF!</v>
      </c>
      <c r="M200" t="e">
        <f>ADP!#REF!</f>
        <v>#REF!</v>
      </c>
      <c r="O200" s="18" t="e">
        <f>ADP!#REF!</f>
        <v>#REF!</v>
      </c>
      <c r="P200" t="e">
        <f>ADP!#REF!</f>
        <v>#REF!</v>
      </c>
      <c r="Q200" t="e">
        <f>ADP!#REF!</f>
        <v>#REF!</v>
      </c>
      <c r="W200" t="e">
        <f>ADP!#REF!</f>
        <v>#REF!</v>
      </c>
      <c r="X200" t="e">
        <f>ADP!#REF!</f>
        <v>#REF!</v>
      </c>
      <c r="Z200" t="e">
        <f t="shared" si="3"/>
        <v>#REF!</v>
      </c>
      <c r="AB200" t="e">
        <f>ADP!#REF!</f>
        <v>#REF!</v>
      </c>
      <c r="AC200" t="e">
        <f>ADP!#REF!</f>
        <v>#REF!</v>
      </c>
      <c r="AP200" t="e">
        <f>ADP!#REF!</f>
        <v>#REF!</v>
      </c>
      <c r="BG200" t="e">
        <f>ADP!#REF!</f>
        <v>#REF!</v>
      </c>
      <c r="BK200" s="18" t="s">
        <v>1421</v>
      </c>
      <c r="BL200" s="18" t="s">
        <v>1421</v>
      </c>
      <c r="BU200" s="18">
        <f>ADP!AO200</f>
        <v>0</v>
      </c>
      <c r="BV200" s="18">
        <f>ADP!AO200</f>
        <v>0</v>
      </c>
      <c r="CE200" s="18" t="s">
        <v>1421</v>
      </c>
      <c r="CH200" s="18" t="s">
        <v>1421</v>
      </c>
    </row>
    <row r="201" spans="1:86" x14ac:dyDescent="0.2">
      <c r="A201" s="39" t="s">
        <v>1420</v>
      </c>
      <c r="B201" t="e">
        <f>ADP!#REF!</f>
        <v>#REF!</v>
      </c>
      <c r="C201" t="e">
        <f>ADP!#REF!</f>
        <v>#REF!</v>
      </c>
      <c r="D201" t="e">
        <f>ADP!#REF!</f>
        <v>#REF!</v>
      </c>
      <c r="E201" t="e">
        <f>ADP!#REF!</f>
        <v>#REF!</v>
      </c>
      <c r="F201" t="e">
        <f>ADP!#REF!&amp;".new.uat"</f>
        <v>#REF!</v>
      </c>
      <c r="G201" s="18" t="s">
        <v>1427</v>
      </c>
      <c r="H201" t="e">
        <f>ADP!#REF!</f>
        <v>#REF!</v>
      </c>
      <c r="I201" t="e">
        <f>ADP!#REF!</f>
        <v>#REF!</v>
      </c>
      <c r="J201" t="e">
        <f>ADP!#REF!</f>
        <v>#REF!</v>
      </c>
      <c r="L201" t="e">
        <f>ADP!#REF!</f>
        <v>#REF!</v>
      </c>
      <c r="M201" t="e">
        <f>ADP!#REF!</f>
        <v>#REF!</v>
      </c>
      <c r="O201" s="18" t="e">
        <f>ADP!#REF!</f>
        <v>#REF!</v>
      </c>
      <c r="P201" t="e">
        <f>ADP!#REF!</f>
        <v>#REF!</v>
      </c>
      <c r="Q201" t="e">
        <f>ADP!#REF!</f>
        <v>#REF!</v>
      </c>
      <c r="W201" t="e">
        <f>ADP!#REF!</f>
        <v>#REF!</v>
      </c>
      <c r="X201" t="e">
        <f>ADP!#REF!</f>
        <v>#REF!</v>
      </c>
      <c r="Z201" t="e">
        <f t="shared" si="3"/>
        <v>#REF!</v>
      </c>
      <c r="AB201" t="e">
        <f>ADP!#REF!</f>
        <v>#REF!</v>
      </c>
      <c r="AC201" t="e">
        <f>ADP!#REF!</f>
        <v>#REF!</v>
      </c>
      <c r="AP201" t="e">
        <f>ADP!#REF!</f>
        <v>#REF!</v>
      </c>
      <c r="BG201" t="e">
        <f>ADP!#REF!</f>
        <v>#REF!</v>
      </c>
      <c r="BK201" s="18" t="s">
        <v>1421</v>
      </c>
      <c r="BL201" s="18" t="s">
        <v>1421</v>
      </c>
      <c r="BU201" s="18">
        <f>ADP!AO201</f>
        <v>0</v>
      </c>
      <c r="BV201" s="18">
        <f>ADP!AO201</f>
        <v>0</v>
      </c>
      <c r="CE201" s="18" t="s">
        <v>1421</v>
      </c>
      <c r="CH201" s="18" t="s">
        <v>1421</v>
      </c>
    </row>
    <row r="202" spans="1:86" x14ac:dyDescent="0.2">
      <c r="A202" s="39" t="s">
        <v>1420</v>
      </c>
      <c r="B202" t="e">
        <f>ADP!#REF!</f>
        <v>#REF!</v>
      </c>
      <c r="C202" t="e">
        <f>ADP!#REF!</f>
        <v>#REF!</v>
      </c>
      <c r="D202" t="e">
        <f>ADP!#REF!</f>
        <v>#REF!</v>
      </c>
      <c r="E202" t="e">
        <f>ADP!#REF!</f>
        <v>#REF!</v>
      </c>
      <c r="F202" t="e">
        <f>ADP!#REF!&amp;".new.uat"</f>
        <v>#REF!</v>
      </c>
      <c r="G202" s="18" t="s">
        <v>1427</v>
      </c>
      <c r="H202" t="e">
        <f>ADP!#REF!</f>
        <v>#REF!</v>
      </c>
      <c r="I202" t="e">
        <f>ADP!#REF!</f>
        <v>#REF!</v>
      </c>
      <c r="J202" t="e">
        <f>ADP!#REF!</f>
        <v>#REF!</v>
      </c>
      <c r="L202" t="e">
        <f>ADP!#REF!</f>
        <v>#REF!</v>
      </c>
      <c r="M202" t="e">
        <f>ADP!#REF!</f>
        <v>#REF!</v>
      </c>
      <c r="O202" s="18" t="e">
        <f>ADP!#REF!</f>
        <v>#REF!</v>
      </c>
      <c r="P202" t="e">
        <f>ADP!#REF!</f>
        <v>#REF!</v>
      </c>
      <c r="Q202" t="e">
        <f>ADP!#REF!</f>
        <v>#REF!</v>
      </c>
      <c r="W202" t="e">
        <f>ADP!#REF!</f>
        <v>#REF!</v>
      </c>
      <c r="X202" t="e">
        <f>ADP!#REF!</f>
        <v>#REF!</v>
      </c>
      <c r="Z202" t="e">
        <f t="shared" si="3"/>
        <v>#REF!</v>
      </c>
      <c r="AB202" t="e">
        <f>ADP!#REF!</f>
        <v>#REF!</v>
      </c>
      <c r="AC202" t="e">
        <f>ADP!#REF!</f>
        <v>#REF!</v>
      </c>
      <c r="AP202" t="e">
        <f>ADP!#REF!</f>
        <v>#REF!</v>
      </c>
      <c r="BG202" t="e">
        <f>ADP!#REF!</f>
        <v>#REF!</v>
      </c>
      <c r="BK202" s="18" t="s">
        <v>1421</v>
      </c>
      <c r="BL202" s="18" t="s">
        <v>1421</v>
      </c>
      <c r="BU202" s="18">
        <f>ADP!AO202</f>
        <v>0</v>
      </c>
      <c r="BV202" s="18">
        <f>ADP!AO202</f>
        <v>0</v>
      </c>
      <c r="CE202" s="18" t="s">
        <v>1421</v>
      </c>
      <c r="CH202" s="18" t="s">
        <v>1421</v>
      </c>
    </row>
    <row r="203" spans="1:86" x14ac:dyDescent="0.2">
      <c r="A203" s="39" t="s">
        <v>1420</v>
      </c>
      <c r="B203" t="e">
        <f>ADP!#REF!</f>
        <v>#REF!</v>
      </c>
      <c r="C203" t="e">
        <f>ADP!#REF!</f>
        <v>#REF!</v>
      </c>
      <c r="D203" t="e">
        <f>ADP!#REF!</f>
        <v>#REF!</v>
      </c>
      <c r="E203" t="e">
        <f>ADP!#REF!</f>
        <v>#REF!</v>
      </c>
      <c r="F203" t="e">
        <f>ADP!#REF!&amp;".new.uat"</f>
        <v>#REF!</v>
      </c>
      <c r="G203" s="18" t="s">
        <v>1427</v>
      </c>
      <c r="H203" t="e">
        <f>ADP!#REF!</f>
        <v>#REF!</v>
      </c>
      <c r="I203" t="e">
        <f>ADP!#REF!</f>
        <v>#REF!</v>
      </c>
      <c r="J203" t="e">
        <f>ADP!#REF!</f>
        <v>#REF!</v>
      </c>
      <c r="L203" t="e">
        <f>ADP!#REF!</f>
        <v>#REF!</v>
      </c>
      <c r="M203" t="e">
        <f>ADP!#REF!</f>
        <v>#REF!</v>
      </c>
      <c r="O203" s="18" t="e">
        <f>ADP!#REF!</f>
        <v>#REF!</v>
      </c>
      <c r="P203" t="e">
        <f>ADP!#REF!</f>
        <v>#REF!</v>
      </c>
      <c r="Q203" t="e">
        <f>ADP!#REF!</f>
        <v>#REF!</v>
      </c>
      <c r="W203" t="e">
        <f>ADP!#REF!</f>
        <v>#REF!</v>
      </c>
      <c r="X203" t="e">
        <f>ADP!#REF!</f>
        <v>#REF!</v>
      </c>
      <c r="Z203" t="e">
        <f t="shared" si="3"/>
        <v>#REF!</v>
      </c>
      <c r="AB203" t="e">
        <f>ADP!#REF!</f>
        <v>#REF!</v>
      </c>
      <c r="AC203" t="e">
        <f>ADP!#REF!</f>
        <v>#REF!</v>
      </c>
      <c r="AP203" t="e">
        <f>ADP!#REF!</f>
        <v>#REF!</v>
      </c>
      <c r="BG203" t="e">
        <f>ADP!#REF!</f>
        <v>#REF!</v>
      </c>
      <c r="BK203" s="18" t="s">
        <v>1421</v>
      </c>
      <c r="BL203" s="18" t="s">
        <v>1421</v>
      </c>
      <c r="BU203" s="18">
        <f>ADP!AO203</f>
        <v>0</v>
      </c>
      <c r="BV203" s="18">
        <f>ADP!AO203</f>
        <v>0</v>
      </c>
      <c r="CE203" s="18" t="s">
        <v>1421</v>
      </c>
      <c r="CH203" s="18" t="s">
        <v>1421</v>
      </c>
    </row>
  </sheetData>
  <autoFilter ref="A3:EG203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3" tint="0.249977111117893"/>
  </sheetPr>
  <dimension ref="A1:BQ203"/>
  <sheetViews>
    <sheetView topLeftCell="A3" workbookViewId="0">
      <selection activeCell="D4" sqref="D4"/>
    </sheetView>
  </sheetViews>
  <sheetFormatPr baseColWidth="10" defaultRowHeight="15" x14ac:dyDescent="0.2"/>
  <sheetData>
    <row r="1" spans="1:69" x14ac:dyDescent="0.2">
      <c r="C1" s="47" t="s">
        <v>1433</v>
      </c>
    </row>
    <row r="2" spans="1:69" x14ac:dyDescent="0.2">
      <c r="C2" s="28">
        <v>1</v>
      </c>
      <c r="D2" s="48">
        <v>2</v>
      </c>
      <c r="E2" s="29">
        <v>3</v>
      </c>
      <c r="F2" s="29">
        <v>4</v>
      </c>
      <c r="G2" s="29">
        <v>5</v>
      </c>
      <c r="H2" s="29">
        <v>6</v>
      </c>
      <c r="I2" s="29">
        <v>7</v>
      </c>
      <c r="J2" s="29">
        <v>8</v>
      </c>
      <c r="K2" s="29">
        <v>9</v>
      </c>
      <c r="L2" s="29">
        <v>10</v>
      </c>
      <c r="M2" s="29">
        <v>11</v>
      </c>
      <c r="N2" s="29">
        <v>12</v>
      </c>
      <c r="O2" s="29">
        <v>13</v>
      </c>
      <c r="P2" s="29">
        <v>14</v>
      </c>
      <c r="Q2" s="29">
        <v>15</v>
      </c>
      <c r="R2" s="29">
        <v>16</v>
      </c>
      <c r="S2" s="29">
        <v>17</v>
      </c>
      <c r="T2" s="29">
        <v>18</v>
      </c>
      <c r="U2" s="29">
        <v>19</v>
      </c>
      <c r="V2" s="29">
        <v>20</v>
      </c>
      <c r="W2" s="29">
        <v>21</v>
      </c>
      <c r="X2" s="29">
        <v>22</v>
      </c>
      <c r="Y2" s="29">
        <v>23</v>
      </c>
      <c r="Z2" s="29">
        <v>24</v>
      </c>
      <c r="AA2" s="29">
        <v>25</v>
      </c>
      <c r="AB2" s="29">
        <v>26</v>
      </c>
      <c r="AC2" s="29">
        <v>27</v>
      </c>
      <c r="AD2" s="29">
        <v>28</v>
      </c>
      <c r="AE2" s="29">
        <v>29</v>
      </c>
      <c r="AF2" s="29">
        <v>30</v>
      </c>
      <c r="AG2" s="29">
        <v>31</v>
      </c>
      <c r="AH2" s="29">
        <v>32</v>
      </c>
      <c r="AI2" s="29">
        <v>33</v>
      </c>
      <c r="AJ2" s="29">
        <v>34</v>
      </c>
      <c r="AK2" s="29">
        <v>35</v>
      </c>
      <c r="AL2" s="29">
        <v>36</v>
      </c>
      <c r="AM2" s="29">
        <v>37</v>
      </c>
      <c r="AN2" s="29">
        <v>38</v>
      </c>
      <c r="AO2" s="29">
        <v>39</v>
      </c>
      <c r="AP2" s="29">
        <v>40</v>
      </c>
      <c r="AQ2" s="29">
        <v>41</v>
      </c>
      <c r="AR2" s="29">
        <v>42</v>
      </c>
      <c r="AS2" s="29">
        <v>43</v>
      </c>
      <c r="AT2" s="29">
        <v>44</v>
      </c>
      <c r="AU2" s="29">
        <v>45</v>
      </c>
      <c r="AV2" s="29">
        <v>46</v>
      </c>
      <c r="AW2" s="29">
        <v>47</v>
      </c>
      <c r="AX2" s="29">
        <v>48</v>
      </c>
      <c r="AY2" s="29">
        <v>49</v>
      </c>
      <c r="AZ2" s="29">
        <v>50</v>
      </c>
      <c r="BA2" s="29">
        <v>51</v>
      </c>
      <c r="BB2" s="29">
        <v>52</v>
      </c>
      <c r="BC2" s="29">
        <v>53</v>
      </c>
      <c r="BD2" s="29">
        <v>54</v>
      </c>
      <c r="BE2" s="29">
        <v>55</v>
      </c>
      <c r="BF2" s="29">
        <v>56</v>
      </c>
      <c r="BG2" s="29">
        <v>57</v>
      </c>
      <c r="BH2" s="29">
        <v>58</v>
      </c>
      <c r="BI2" s="29">
        <v>59</v>
      </c>
      <c r="BJ2" s="29">
        <v>60</v>
      </c>
      <c r="BK2" s="29">
        <v>61</v>
      </c>
      <c r="BL2" s="29">
        <v>62</v>
      </c>
      <c r="BM2" s="29">
        <v>63</v>
      </c>
      <c r="BN2" s="29">
        <v>64</v>
      </c>
      <c r="BO2" s="29">
        <v>65</v>
      </c>
      <c r="BP2" s="29">
        <v>66</v>
      </c>
      <c r="BQ2" s="29">
        <v>67</v>
      </c>
    </row>
    <row r="3" spans="1:69" ht="168.75" customHeight="1" x14ac:dyDescent="0.2">
      <c r="A3" s="18" t="s">
        <v>3007</v>
      </c>
      <c r="B3" s="18" t="s">
        <v>1075</v>
      </c>
      <c r="C3" s="28" t="s">
        <v>1434</v>
      </c>
      <c r="D3" s="28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29" t="s">
        <v>1449</v>
      </c>
      <c r="S3" s="29" t="s">
        <v>1450</v>
      </c>
      <c r="T3" s="31" t="s">
        <v>1451</v>
      </c>
      <c r="U3" s="29" t="s">
        <v>1452</v>
      </c>
      <c r="V3" s="31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29" t="s">
        <v>1464</v>
      </c>
      <c r="AH3" s="29" t="s">
        <v>1465</v>
      </c>
      <c r="AI3" s="31" t="s">
        <v>1466</v>
      </c>
      <c r="AJ3" s="31" t="s">
        <v>1467</v>
      </c>
      <c r="AK3" s="31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  <c r="BP3" s="29" t="s">
        <v>1499</v>
      </c>
      <c r="BQ3" s="29" t="s">
        <v>1500</v>
      </c>
    </row>
    <row r="4" spans="1:69" x14ac:dyDescent="0.2">
      <c r="C4" s="33">
        <v>3</v>
      </c>
      <c r="D4" s="33">
        <v>48</v>
      </c>
      <c r="E4" s="33">
        <v>60</v>
      </c>
      <c r="F4" s="33">
        <v>60</v>
      </c>
      <c r="G4" s="33">
        <v>60</v>
      </c>
      <c r="H4" s="33">
        <v>13</v>
      </c>
      <c r="I4" s="33">
        <v>1</v>
      </c>
      <c r="J4" s="33">
        <v>10</v>
      </c>
      <c r="K4" s="33">
        <v>128</v>
      </c>
      <c r="L4" s="33">
        <v>255</v>
      </c>
      <c r="M4" s="33">
        <v>60</v>
      </c>
      <c r="N4" s="33">
        <v>60</v>
      </c>
      <c r="O4" s="33">
        <v>60</v>
      </c>
      <c r="P4" s="33">
        <v>60</v>
      </c>
      <c r="Q4" s="33">
        <v>60</v>
      </c>
      <c r="R4" s="33">
        <v>60</v>
      </c>
      <c r="S4" s="33">
        <v>30</v>
      </c>
      <c r="T4" s="33">
        <v>60</v>
      </c>
      <c r="U4" s="33">
        <v>60</v>
      </c>
      <c r="V4" s="33">
        <v>60</v>
      </c>
      <c r="W4" s="33">
        <v>255</v>
      </c>
      <c r="X4" s="33">
        <v>30</v>
      </c>
      <c r="Y4" s="33">
        <v>30</v>
      </c>
      <c r="Z4" s="33">
        <v>20</v>
      </c>
      <c r="AA4" s="33">
        <v>2</v>
      </c>
      <c r="AB4" s="33">
        <v>255</v>
      </c>
      <c r="AC4" s="33">
        <v>30</v>
      </c>
      <c r="AD4" s="33">
        <v>30</v>
      </c>
      <c r="AE4" s="33">
        <v>20</v>
      </c>
      <c r="AF4" s="33">
        <v>2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255</v>
      </c>
      <c r="BG4" s="33">
        <v>255</v>
      </c>
      <c r="BH4" s="33">
        <v>64</v>
      </c>
      <c r="BI4" s="33">
        <v>1</v>
      </c>
      <c r="BJ4" s="33">
        <v>1</v>
      </c>
      <c r="BK4" s="33">
        <v>1</v>
      </c>
      <c r="BL4" s="33" t="s">
        <v>1130</v>
      </c>
      <c r="BM4" s="33" t="s">
        <v>1130</v>
      </c>
      <c r="BN4" s="33" t="s">
        <v>1130</v>
      </c>
      <c r="BO4" s="33" t="s">
        <v>1130</v>
      </c>
      <c r="BP4" s="33" t="s">
        <v>1130</v>
      </c>
      <c r="BQ4" s="33" t="s">
        <v>1130</v>
      </c>
    </row>
    <row r="5" spans="1:69" x14ac:dyDescent="0.2">
      <c r="A5" t="str">
        <f>ADP!B5</f>
        <v>Tammie</v>
      </c>
      <c r="B5" t="str">
        <f>ADP!D5</f>
        <v>Abitua</v>
      </c>
      <c r="C5" s="39" t="s">
        <v>1501</v>
      </c>
      <c r="D5" t="str">
        <f>ADP!P5</f>
        <v>211837</v>
      </c>
      <c r="T5" t="str">
        <f>ADP!AG5</f>
        <v>General</v>
      </c>
      <c r="V5" t="str">
        <f>ADP!AD5</f>
        <v>0088</v>
      </c>
    </row>
    <row r="6" spans="1:69" x14ac:dyDescent="0.2">
      <c r="A6" t="str">
        <f>ADP!B6</f>
        <v>Gregory</v>
      </c>
      <c r="B6" t="str">
        <f>ADP!D6</f>
        <v>Adams</v>
      </c>
      <c r="C6" s="39" t="s">
        <v>1501</v>
      </c>
      <c r="D6" t="str">
        <f>ADP!P6</f>
        <v>213331</v>
      </c>
      <c r="T6" t="str">
        <f>ADP!AG6</f>
        <v>General</v>
      </c>
      <c r="V6" t="str">
        <f>ADP!AD6</f>
        <v>0088</v>
      </c>
    </row>
    <row r="7" spans="1:69" x14ac:dyDescent="0.2">
      <c r="A7" t="str">
        <f>ADP!B7</f>
        <v>Krystle</v>
      </c>
      <c r="B7" t="str">
        <f>ADP!D7</f>
        <v>Agler</v>
      </c>
      <c r="C7" s="39" t="s">
        <v>1501</v>
      </c>
      <c r="D7" t="str">
        <f>ADP!P7</f>
        <v>213226</v>
      </c>
      <c r="T7" t="str">
        <f>ADP!AG7</f>
        <v>General</v>
      </c>
      <c r="V7" t="str">
        <f>ADP!AD7</f>
        <v>0088</v>
      </c>
    </row>
    <row r="8" spans="1:69" x14ac:dyDescent="0.2">
      <c r="A8" t="str">
        <f>ADP!B8</f>
        <v>Thomas</v>
      </c>
      <c r="B8" t="str">
        <f>ADP!D8</f>
        <v>Alexander</v>
      </c>
      <c r="C8" s="39" t="s">
        <v>1501</v>
      </c>
      <c r="D8" t="str">
        <f>ADP!P8</f>
        <v>210892</v>
      </c>
      <c r="T8" t="str">
        <f>ADP!AG8</f>
        <v>General</v>
      </c>
      <c r="V8" t="str">
        <f>ADP!AD8</f>
        <v>0088</v>
      </c>
    </row>
    <row r="9" spans="1:69" x14ac:dyDescent="0.2">
      <c r="A9" t="str">
        <f>ADP!B9</f>
        <v>Tina</v>
      </c>
      <c r="B9" t="str">
        <f>ADP!D9</f>
        <v>Allen</v>
      </c>
      <c r="C9" s="39" t="s">
        <v>1501</v>
      </c>
      <c r="D9" t="str">
        <f>ADP!P9</f>
        <v>206848</v>
      </c>
      <c r="T9" t="str">
        <f>ADP!AG9</f>
        <v>General</v>
      </c>
      <c r="V9" t="str">
        <f>ADP!AD9</f>
        <v>0088</v>
      </c>
    </row>
    <row r="10" spans="1:69" x14ac:dyDescent="0.2">
      <c r="A10" t="str">
        <f>ADP!B10</f>
        <v>Kimberly</v>
      </c>
      <c r="B10" t="str">
        <f>ADP!D10</f>
        <v>Ashley</v>
      </c>
      <c r="C10" s="39" t="s">
        <v>1501</v>
      </c>
      <c r="D10" t="str">
        <f>ADP!P10</f>
        <v>201688</v>
      </c>
      <c r="T10" t="str">
        <f>ADP!AG10</f>
        <v>General</v>
      </c>
      <c r="V10" t="str">
        <f>ADP!AD10</f>
        <v>0088</v>
      </c>
    </row>
    <row r="11" spans="1:69" x14ac:dyDescent="0.2">
      <c r="A11" t="str">
        <f>ADP!B11</f>
        <v>Jason</v>
      </c>
      <c r="B11" t="str">
        <f>ADP!D11</f>
        <v>Bailey</v>
      </c>
      <c r="C11" s="39" t="s">
        <v>1501</v>
      </c>
      <c r="D11" t="str">
        <f>ADP!P11</f>
        <v>902688</v>
      </c>
      <c r="T11" t="str">
        <f>ADP!AG11</f>
        <v>General</v>
      </c>
      <c r="V11" t="str">
        <f>ADP!AD11</f>
        <v>0088</v>
      </c>
    </row>
    <row r="12" spans="1:69" x14ac:dyDescent="0.2">
      <c r="A12" t="str">
        <f>ADP!B12</f>
        <v>Teresa</v>
      </c>
      <c r="B12" t="str">
        <f>ADP!D12</f>
        <v>Bair</v>
      </c>
      <c r="C12" s="39" t="s">
        <v>1501</v>
      </c>
      <c r="D12" t="str">
        <f>ADP!P12</f>
        <v>207709</v>
      </c>
      <c r="T12" t="str">
        <f>ADP!AG12</f>
        <v>Senior Leadership</v>
      </c>
      <c r="V12" t="str">
        <f>ADP!AD12</f>
        <v>0088</v>
      </c>
    </row>
    <row r="13" spans="1:69" x14ac:dyDescent="0.2">
      <c r="A13" t="str">
        <f>ADP!B13</f>
        <v>Kirsten</v>
      </c>
      <c r="B13" t="str">
        <f>ADP!D13</f>
        <v>Barry</v>
      </c>
      <c r="C13" s="39" t="s">
        <v>1501</v>
      </c>
      <c r="D13" t="str">
        <f>ADP!P13</f>
        <v>209579</v>
      </c>
      <c r="T13" t="str">
        <f>ADP!AG13</f>
        <v>General</v>
      </c>
      <c r="V13" t="str">
        <f>ADP!AD13</f>
        <v>0096</v>
      </c>
    </row>
    <row r="14" spans="1:69" x14ac:dyDescent="0.2">
      <c r="A14" t="str">
        <f>ADP!B14</f>
        <v>Natalie</v>
      </c>
      <c r="B14" t="str">
        <f>ADP!D14</f>
        <v>Bate</v>
      </c>
      <c r="C14" s="39" t="s">
        <v>1501</v>
      </c>
      <c r="D14" t="str">
        <f>ADP!P14</f>
        <v>213037</v>
      </c>
      <c r="T14" t="str">
        <f>ADP!AG14</f>
        <v>General</v>
      </c>
      <c r="V14" t="str">
        <f>ADP!AD14</f>
        <v>0096</v>
      </c>
    </row>
    <row r="15" spans="1:69" x14ac:dyDescent="0.2">
      <c r="A15" t="str">
        <f>ADP!B15</f>
        <v>Michael</v>
      </c>
      <c r="B15" t="str">
        <f>ADP!D15</f>
        <v>Beasley</v>
      </c>
      <c r="C15" s="39" t="s">
        <v>1501</v>
      </c>
      <c r="D15" t="str">
        <f>ADP!P15</f>
        <v>213333</v>
      </c>
      <c r="T15" t="str">
        <f>ADP!AG15</f>
        <v>General</v>
      </c>
      <c r="V15" t="str">
        <f>ADP!AD15</f>
        <v>0088</v>
      </c>
    </row>
    <row r="16" spans="1:69" x14ac:dyDescent="0.2">
      <c r="A16" t="str">
        <f>ADP!B16</f>
        <v>Ella Renae</v>
      </c>
      <c r="B16" t="str">
        <f>ADP!D16</f>
        <v>Beatrice</v>
      </c>
      <c r="C16" s="39" t="s">
        <v>1501</v>
      </c>
      <c r="D16" t="str">
        <f>ADP!P16</f>
        <v>212626</v>
      </c>
      <c r="T16" t="str">
        <f>ADP!AG16</f>
        <v>General</v>
      </c>
      <c r="V16" t="str">
        <f>ADP!AD16</f>
        <v>0088</v>
      </c>
    </row>
    <row r="17" spans="1:22" x14ac:dyDescent="0.2">
      <c r="A17" t="str">
        <f>ADP!B17</f>
        <v>John</v>
      </c>
      <c r="B17" t="str">
        <f>ADP!D17</f>
        <v>Bentz</v>
      </c>
      <c r="C17" s="39" t="s">
        <v>1501</v>
      </c>
      <c r="D17" t="str">
        <f>ADP!P17</f>
        <v>212639</v>
      </c>
      <c r="T17" t="str">
        <f>ADP!AG17</f>
        <v>General</v>
      </c>
      <c r="V17" t="str">
        <f>ADP!AD17</f>
        <v>0088</v>
      </c>
    </row>
    <row r="18" spans="1:22" x14ac:dyDescent="0.2">
      <c r="A18" t="str">
        <f>ADP!B18</f>
        <v>Michael</v>
      </c>
      <c r="B18" t="str">
        <f>ADP!D18</f>
        <v>Biniecki</v>
      </c>
      <c r="C18" s="39" t="s">
        <v>1501</v>
      </c>
      <c r="D18" t="str">
        <f>ADP!P18</f>
        <v>211464</v>
      </c>
      <c r="T18" t="str">
        <f>ADP!AG18</f>
        <v>General</v>
      </c>
      <c r="V18" t="str">
        <f>ADP!AD18</f>
        <v>0088</v>
      </c>
    </row>
    <row r="19" spans="1:22" x14ac:dyDescent="0.2">
      <c r="A19" t="str">
        <f>ADP!B19</f>
        <v>Nathan</v>
      </c>
      <c r="B19" t="str">
        <f>ADP!D19</f>
        <v>Bird</v>
      </c>
      <c r="C19" s="39" t="s">
        <v>1501</v>
      </c>
      <c r="D19" t="str">
        <f>ADP!P19</f>
        <v>210102</v>
      </c>
      <c r="T19" t="str">
        <f>ADP!AG19</f>
        <v>General</v>
      </c>
      <c r="V19" t="str">
        <f>ADP!AD19</f>
        <v>0096</v>
      </c>
    </row>
    <row r="20" spans="1:22" x14ac:dyDescent="0.2">
      <c r="A20" t="str">
        <f>ADP!B20</f>
        <v>Brenda</v>
      </c>
      <c r="B20" t="str">
        <f>ADP!D20</f>
        <v>Bixler</v>
      </c>
      <c r="C20" s="39" t="s">
        <v>1501</v>
      </c>
      <c r="D20" t="str">
        <f>ADP!P20</f>
        <v>211174</v>
      </c>
      <c r="T20" t="str">
        <f>ADP!AG20</f>
        <v>General</v>
      </c>
      <c r="V20" t="str">
        <f>ADP!AD20</f>
        <v>0088</v>
      </c>
    </row>
    <row r="21" spans="1:22" x14ac:dyDescent="0.2">
      <c r="A21" t="str">
        <f>ADP!B21</f>
        <v>James</v>
      </c>
      <c r="B21" t="str">
        <f>ADP!D21</f>
        <v>Brower</v>
      </c>
      <c r="C21" s="39" t="s">
        <v>1501</v>
      </c>
      <c r="D21" t="str">
        <f>ADP!P21</f>
        <v>006769</v>
      </c>
      <c r="T21" t="str">
        <f>ADP!AG21</f>
        <v>General</v>
      </c>
      <c r="V21" t="str">
        <f>ADP!AD21</f>
        <v>0096</v>
      </c>
    </row>
    <row r="22" spans="1:22" x14ac:dyDescent="0.2">
      <c r="A22" t="str">
        <f>ADP!B22</f>
        <v>Trevor</v>
      </c>
      <c r="B22" t="str">
        <f>ADP!D22</f>
        <v>Bunch</v>
      </c>
      <c r="C22" s="39" t="s">
        <v>1501</v>
      </c>
      <c r="D22" t="str">
        <f>ADP!P22</f>
        <v>209735</v>
      </c>
      <c r="T22" t="str">
        <f>ADP!AG22</f>
        <v>General</v>
      </c>
      <c r="V22" t="str">
        <f>ADP!AD22</f>
        <v>0088</v>
      </c>
    </row>
    <row r="23" spans="1:22" x14ac:dyDescent="0.2">
      <c r="A23" t="str">
        <f>ADP!B23</f>
        <v>Mathew</v>
      </c>
      <c r="B23" t="str">
        <f>ADP!D23</f>
        <v>Burchell</v>
      </c>
      <c r="C23" s="39" t="s">
        <v>1501</v>
      </c>
      <c r="D23" t="str">
        <f>ADP!P23</f>
        <v>211756</v>
      </c>
      <c r="T23" t="str">
        <f>ADP!AG23</f>
        <v>General</v>
      </c>
      <c r="V23" t="str">
        <f>ADP!AD23</f>
        <v>0088</v>
      </c>
    </row>
    <row r="24" spans="1:22" x14ac:dyDescent="0.2">
      <c r="A24" t="str">
        <f>ADP!B24</f>
        <v>Kenneth</v>
      </c>
      <c r="B24" t="str">
        <f>ADP!D24</f>
        <v>Butler</v>
      </c>
      <c r="C24" s="39" t="s">
        <v>1501</v>
      </c>
      <c r="D24" t="str">
        <f>ADP!P24</f>
        <v>206741</v>
      </c>
      <c r="T24" t="str">
        <f>ADP!AG24</f>
        <v>General</v>
      </c>
      <c r="V24" t="str">
        <f>ADP!AD24</f>
        <v>0096</v>
      </c>
    </row>
    <row r="25" spans="1:22" x14ac:dyDescent="0.2">
      <c r="A25" t="str">
        <f>ADP!B25</f>
        <v>Timothy</v>
      </c>
      <c r="B25" t="str">
        <f>ADP!D25</f>
        <v>Carmichael</v>
      </c>
      <c r="C25" s="39" t="s">
        <v>1501</v>
      </c>
      <c r="D25" t="str">
        <f>ADP!P25</f>
        <v>900826</v>
      </c>
      <c r="T25" t="str">
        <f>ADP!AG25</f>
        <v>General</v>
      </c>
      <c r="V25" t="str">
        <f>ADP!AD25</f>
        <v>0096</v>
      </c>
    </row>
    <row r="26" spans="1:22" x14ac:dyDescent="0.2">
      <c r="A26" t="str">
        <f>ADP!B26</f>
        <v>Jonathan</v>
      </c>
      <c r="B26" t="str">
        <f>ADP!D26</f>
        <v>Carter</v>
      </c>
      <c r="C26" s="39" t="s">
        <v>1501</v>
      </c>
      <c r="D26" t="str">
        <f>ADP!P26</f>
        <v>212737</v>
      </c>
      <c r="T26" t="str">
        <f>ADP!AG26</f>
        <v>General</v>
      </c>
      <c r="V26" t="str">
        <f>ADP!AD26</f>
        <v>0096</v>
      </c>
    </row>
    <row r="27" spans="1:22" x14ac:dyDescent="0.2">
      <c r="A27" t="str">
        <f>ADP!B27</f>
        <v>Tyler</v>
      </c>
      <c r="B27" t="str">
        <f>ADP!D27</f>
        <v>Cler</v>
      </c>
      <c r="C27" s="39" t="s">
        <v>1501</v>
      </c>
      <c r="D27" t="str">
        <f>ADP!P27</f>
        <v>902435</v>
      </c>
      <c r="T27" t="str">
        <f>ADP!AG27</f>
        <v>General</v>
      </c>
      <c r="V27" t="str">
        <f>ADP!AD27</f>
        <v>0088</v>
      </c>
    </row>
    <row r="28" spans="1:22" x14ac:dyDescent="0.2">
      <c r="A28" t="str">
        <f>ADP!B28</f>
        <v>Timothy</v>
      </c>
      <c r="B28" t="str">
        <f>ADP!D28</f>
        <v>Clifton</v>
      </c>
      <c r="C28" s="39" t="s">
        <v>1501</v>
      </c>
      <c r="D28" t="str">
        <f>ADP!P28</f>
        <v>213265</v>
      </c>
      <c r="T28" t="str">
        <f>ADP!AG28</f>
        <v>General</v>
      </c>
      <c r="V28" t="str">
        <f>ADP!AD28</f>
        <v>0096</v>
      </c>
    </row>
    <row r="29" spans="1:22" x14ac:dyDescent="0.2">
      <c r="A29" t="str">
        <f>ADP!B29</f>
        <v>Andrew</v>
      </c>
      <c r="B29" t="str">
        <f>ADP!D29</f>
        <v>Creager</v>
      </c>
      <c r="C29" s="39" t="s">
        <v>1501</v>
      </c>
      <c r="D29" t="str">
        <f>ADP!P29</f>
        <v>212699</v>
      </c>
      <c r="T29" t="str">
        <f>ADP!AG29</f>
        <v>General</v>
      </c>
      <c r="V29" t="str">
        <f>ADP!AD29</f>
        <v>0088</v>
      </c>
    </row>
    <row r="30" spans="1:22" x14ac:dyDescent="0.2">
      <c r="A30" t="str">
        <f>ADP!B30</f>
        <v>Demetrius</v>
      </c>
      <c r="B30" t="str">
        <f>ADP!D30</f>
        <v>Daniels</v>
      </c>
      <c r="C30" s="39" t="s">
        <v>1501</v>
      </c>
      <c r="D30" t="str">
        <f>ADP!P30</f>
        <v>006774</v>
      </c>
      <c r="T30" t="str">
        <f>ADP!AG30</f>
        <v>General</v>
      </c>
      <c r="V30" t="str">
        <f>ADP!AD30</f>
        <v>0096</v>
      </c>
    </row>
    <row r="31" spans="1:22" x14ac:dyDescent="0.2">
      <c r="A31" t="str">
        <f>ADP!B31</f>
        <v>Crystal</v>
      </c>
      <c r="B31" t="str">
        <f>ADP!D31</f>
        <v>Dedes</v>
      </c>
      <c r="C31" s="39" t="s">
        <v>1501</v>
      </c>
      <c r="D31" t="str">
        <f>ADP!P31</f>
        <v>207391</v>
      </c>
      <c r="T31" t="str">
        <f>ADP!AG31</f>
        <v>General</v>
      </c>
      <c r="V31" t="str">
        <f>ADP!AD31</f>
        <v>0088</v>
      </c>
    </row>
    <row r="32" spans="1:22" x14ac:dyDescent="0.2">
      <c r="A32" t="str">
        <f>ADP!B32</f>
        <v>Amir</v>
      </c>
      <c r="B32" t="str">
        <f>ADP!D32</f>
        <v>Dillard</v>
      </c>
      <c r="C32" s="39" t="s">
        <v>1501</v>
      </c>
      <c r="D32" t="str">
        <f>ADP!P32</f>
        <v>211895</v>
      </c>
      <c r="T32" t="str">
        <f>ADP!AG32</f>
        <v>General</v>
      </c>
      <c r="V32" t="str">
        <f>ADP!AD32</f>
        <v>0088</v>
      </c>
    </row>
    <row r="33" spans="1:22" x14ac:dyDescent="0.2">
      <c r="A33" t="str">
        <f>ADP!B33</f>
        <v>Donald</v>
      </c>
      <c r="B33" t="str">
        <f>ADP!D33</f>
        <v>Felts</v>
      </c>
      <c r="C33" s="39" t="s">
        <v>1501</v>
      </c>
      <c r="D33" t="str">
        <f>ADP!P33</f>
        <v>201958</v>
      </c>
      <c r="T33" t="str">
        <f>ADP!AG33</f>
        <v>General</v>
      </c>
      <c r="V33" t="str">
        <f>ADP!AD33</f>
        <v>0096</v>
      </c>
    </row>
    <row r="34" spans="1:22" x14ac:dyDescent="0.2">
      <c r="A34" t="str">
        <f>ADP!B34</f>
        <v>Jeffrey</v>
      </c>
      <c r="B34" t="str">
        <f>ADP!D34</f>
        <v>Finch</v>
      </c>
      <c r="C34" s="39" t="s">
        <v>1501</v>
      </c>
      <c r="D34" t="str">
        <f>ADP!P34</f>
        <v>900848</v>
      </c>
      <c r="T34" t="str">
        <f>ADP!AG34</f>
        <v>General</v>
      </c>
      <c r="V34" t="str">
        <f>ADP!AD34</f>
        <v>0088</v>
      </c>
    </row>
    <row r="35" spans="1:22" x14ac:dyDescent="0.2">
      <c r="A35" t="str">
        <f>ADP!B35</f>
        <v>John</v>
      </c>
      <c r="B35" t="str">
        <f>ADP!D35</f>
        <v>Foisel</v>
      </c>
      <c r="C35" s="39" t="s">
        <v>1501</v>
      </c>
      <c r="D35" t="str">
        <f>ADP!P35</f>
        <v>007863</v>
      </c>
      <c r="T35" t="str">
        <f>ADP!AG35</f>
        <v>General</v>
      </c>
      <c r="V35" t="str">
        <f>ADP!AD35</f>
        <v>0096</v>
      </c>
    </row>
    <row r="36" spans="1:22" x14ac:dyDescent="0.2">
      <c r="A36" t="str">
        <f>ADP!B36</f>
        <v>Conner</v>
      </c>
      <c r="B36" t="str">
        <f>ADP!D36</f>
        <v>Frankforther</v>
      </c>
      <c r="C36" s="39" t="s">
        <v>1501</v>
      </c>
      <c r="D36" t="str">
        <f>ADP!P36</f>
        <v>212151</v>
      </c>
      <c r="T36" t="str">
        <f>ADP!AG36</f>
        <v>General</v>
      </c>
      <c r="V36" t="str">
        <f>ADP!AD36</f>
        <v>0088</v>
      </c>
    </row>
    <row r="37" spans="1:22" x14ac:dyDescent="0.2">
      <c r="A37" t="str">
        <f>ADP!B37</f>
        <v>Dillon</v>
      </c>
      <c r="B37" t="str">
        <f>ADP!D37</f>
        <v>Frankforther</v>
      </c>
      <c r="C37" s="39" t="s">
        <v>1501</v>
      </c>
      <c r="D37" t="str">
        <f>ADP!P37</f>
        <v>211779</v>
      </c>
      <c r="T37" t="str">
        <f>ADP!AG37</f>
        <v>General</v>
      </c>
      <c r="V37" t="str">
        <f>ADP!AD37</f>
        <v>0088</v>
      </c>
    </row>
    <row r="38" spans="1:22" x14ac:dyDescent="0.2">
      <c r="A38" t="str">
        <f>ADP!B38</f>
        <v>Anthony</v>
      </c>
      <c r="B38" t="str">
        <f>ADP!D38</f>
        <v>Frimel</v>
      </c>
      <c r="C38" s="39" t="s">
        <v>1501</v>
      </c>
      <c r="D38" t="str">
        <f>ADP!P38</f>
        <v>004352</v>
      </c>
      <c r="T38" t="str">
        <f>ADP!AG38</f>
        <v>General</v>
      </c>
      <c r="V38" t="str">
        <f>ADP!AD38</f>
        <v>0096</v>
      </c>
    </row>
    <row r="39" spans="1:22" x14ac:dyDescent="0.2">
      <c r="A39" t="str">
        <f>ADP!B39</f>
        <v>Terry</v>
      </c>
      <c r="B39" t="str">
        <f>ADP!D39</f>
        <v>Gang</v>
      </c>
      <c r="C39" s="39" t="s">
        <v>1501</v>
      </c>
      <c r="D39" t="str">
        <f>ADP!P39</f>
        <v>006780</v>
      </c>
      <c r="T39" t="str">
        <f>ADP!AG39</f>
        <v>General</v>
      </c>
      <c r="V39" t="str">
        <f>ADP!AD39</f>
        <v>0096</v>
      </c>
    </row>
    <row r="40" spans="1:22" x14ac:dyDescent="0.2">
      <c r="A40" t="str">
        <f>ADP!B40</f>
        <v>Anne</v>
      </c>
      <c r="B40" t="str">
        <f>ADP!D40</f>
        <v>Garber</v>
      </c>
      <c r="C40" s="39" t="s">
        <v>1501</v>
      </c>
      <c r="D40" t="str">
        <f>ADP!P40</f>
        <v>902627</v>
      </c>
      <c r="T40" t="str">
        <f>ADP!AG40</f>
        <v>General</v>
      </c>
      <c r="V40" t="str">
        <f>ADP!AD40</f>
        <v>0096</v>
      </c>
    </row>
    <row r="41" spans="1:22" x14ac:dyDescent="0.2">
      <c r="A41" t="str">
        <f>ADP!B41</f>
        <v>Cristel</v>
      </c>
      <c r="B41" t="str">
        <f>ADP!D41</f>
        <v>Grandowicz</v>
      </c>
      <c r="C41" s="39" t="s">
        <v>1501</v>
      </c>
      <c r="D41" t="str">
        <f>ADP!P41</f>
        <v>211991</v>
      </c>
      <c r="T41" t="str">
        <f>ADP!AG41</f>
        <v>General</v>
      </c>
      <c r="V41" t="str">
        <f>ADP!AD41</f>
        <v>0088</v>
      </c>
    </row>
    <row r="42" spans="1:22" x14ac:dyDescent="0.2">
      <c r="A42" t="str">
        <f>ADP!B42</f>
        <v>Ivy</v>
      </c>
      <c r="B42" t="str">
        <f>ADP!D42</f>
        <v>Grant</v>
      </c>
      <c r="C42" s="39" t="s">
        <v>1501</v>
      </c>
      <c r="D42" t="str">
        <f>ADP!P42</f>
        <v>209642</v>
      </c>
      <c r="T42" t="str">
        <f>ADP!AG42</f>
        <v>General</v>
      </c>
      <c r="V42" t="str">
        <f>ADP!AD42</f>
        <v>0088</v>
      </c>
    </row>
    <row r="43" spans="1:22" x14ac:dyDescent="0.2">
      <c r="A43" t="str">
        <f>ADP!B43</f>
        <v>Tirani</v>
      </c>
      <c r="B43" t="str">
        <f>ADP!D43</f>
        <v>Hague</v>
      </c>
      <c r="C43" s="39" t="s">
        <v>1501</v>
      </c>
      <c r="D43" t="str">
        <f>ADP!P43</f>
        <v>213224</v>
      </c>
      <c r="T43" t="str">
        <f>ADP!AG43</f>
        <v>General</v>
      </c>
      <c r="V43" t="str">
        <f>ADP!AD43</f>
        <v>0088</v>
      </c>
    </row>
    <row r="44" spans="1:22" x14ac:dyDescent="0.2">
      <c r="A44" t="str">
        <f>ADP!B44</f>
        <v>Kimberly</v>
      </c>
      <c r="B44" t="str">
        <f>ADP!D44</f>
        <v>Hall</v>
      </c>
      <c r="C44" s="39" t="s">
        <v>1501</v>
      </c>
      <c r="D44" t="str">
        <f>ADP!P44</f>
        <v>206228</v>
      </c>
      <c r="T44" t="str">
        <f>ADP!AG44</f>
        <v>General</v>
      </c>
      <c r="V44" t="str">
        <f>ADP!AD44</f>
        <v>0088</v>
      </c>
    </row>
    <row r="45" spans="1:22" x14ac:dyDescent="0.2">
      <c r="A45" t="str">
        <f>ADP!B45</f>
        <v>Emma</v>
      </c>
      <c r="B45" t="str">
        <f>ADP!D45</f>
        <v>Halpin</v>
      </c>
      <c r="C45" s="39" t="s">
        <v>1501</v>
      </c>
      <c r="D45" t="str">
        <f>ADP!P45</f>
        <v>211489</v>
      </c>
      <c r="T45" t="str">
        <f>ADP!AG45</f>
        <v>General</v>
      </c>
      <c r="V45" t="str">
        <f>ADP!AD45</f>
        <v>0088</v>
      </c>
    </row>
    <row r="46" spans="1:22" x14ac:dyDescent="0.2">
      <c r="A46" t="str">
        <f>ADP!B46</f>
        <v>Michael</v>
      </c>
      <c r="B46" t="str">
        <f>ADP!D46</f>
        <v>Hamar</v>
      </c>
      <c r="C46" s="39" t="s">
        <v>1501</v>
      </c>
      <c r="D46" t="str">
        <f>ADP!P46</f>
        <v>901454</v>
      </c>
      <c r="T46" t="str">
        <f>ADP!AG46</f>
        <v>General</v>
      </c>
      <c r="V46" t="str">
        <f>ADP!AD46</f>
        <v>0096</v>
      </c>
    </row>
    <row r="47" spans="1:22" x14ac:dyDescent="0.2">
      <c r="A47" t="str">
        <f>ADP!B47</f>
        <v>Patsy</v>
      </c>
      <c r="B47" t="str">
        <f>ADP!D47</f>
        <v>Hamby</v>
      </c>
      <c r="C47" s="39" t="s">
        <v>1501</v>
      </c>
      <c r="D47" t="str">
        <f>ADP!P47</f>
        <v>209425</v>
      </c>
      <c r="T47" t="str">
        <f>ADP!AG47</f>
        <v>General</v>
      </c>
      <c r="V47" t="str">
        <f>ADP!AD47</f>
        <v>0088</v>
      </c>
    </row>
    <row r="48" spans="1:22" x14ac:dyDescent="0.2">
      <c r="A48" t="str">
        <f>ADP!B48</f>
        <v>Cherie</v>
      </c>
      <c r="B48" t="str">
        <f>ADP!D48</f>
        <v>Hassey</v>
      </c>
      <c r="C48" s="39" t="s">
        <v>1501</v>
      </c>
      <c r="D48" t="str">
        <f>ADP!P48</f>
        <v>213144</v>
      </c>
      <c r="T48" t="str">
        <f>ADP!AG48</f>
        <v>General</v>
      </c>
      <c r="V48" t="str">
        <f>ADP!AD48</f>
        <v>0096</v>
      </c>
    </row>
    <row r="49" spans="1:22" x14ac:dyDescent="0.2">
      <c r="A49" t="str">
        <f>ADP!B49</f>
        <v>Karla</v>
      </c>
      <c r="B49" t="str">
        <f>ADP!D49</f>
        <v>Hershberger</v>
      </c>
      <c r="C49" s="39" t="s">
        <v>1501</v>
      </c>
      <c r="D49" t="str">
        <f>ADP!P49</f>
        <v>209424</v>
      </c>
      <c r="T49" t="str">
        <f>ADP!AG49</f>
        <v>General</v>
      </c>
      <c r="V49" t="str">
        <f>ADP!AD49</f>
        <v>0088</v>
      </c>
    </row>
    <row r="50" spans="1:22" x14ac:dyDescent="0.2">
      <c r="A50" t="str">
        <f>ADP!B50</f>
        <v>Brandon</v>
      </c>
      <c r="B50" t="str">
        <f>ADP!D50</f>
        <v>Hibbitts</v>
      </c>
      <c r="C50" s="39" t="s">
        <v>1501</v>
      </c>
      <c r="D50" t="str">
        <f>ADP!P50</f>
        <v>211181</v>
      </c>
      <c r="T50" t="str">
        <f>ADP!AG50</f>
        <v>General</v>
      </c>
      <c r="V50" t="str">
        <f>ADP!AD50</f>
        <v>0088</v>
      </c>
    </row>
    <row r="51" spans="1:22" x14ac:dyDescent="0.2">
      <c r="A51" t="str">
        <f>ADP!B51</f>
        <v>Bobby</v>
      </c>
      <c r="B51" t="str">
        <f>ADP!D51</f>
        <v>Hicks</v>
      </c>
      <c r="C51" s="39" t="s">
        <v>1501</v>
      </c>
      <c r="D51" t="str">
        <f>ADP!P51</f>
        <v>211145</v>
      </c>
      <c r="T51" t="str">
        <f>ADP!AG51</f>
        <v>General</v>
      </c>
      <c r="V51" t="str">
        <f>ADP!AD51</f>
        <v>0096</v>
      </c>
    </row>
    <row r="52" spans="1:22" x14ac:dyDescent="0.2">
      <c r="A52" t="str">
        <f>ADP!B52</f>
        <v>Darin</v>
      </c>
      <c r="B52" t="str">
        <f>ADP!D52</f>
        <v>Hitti</v>
      </c>
      <c r="C52" s="39" t="s">
        <v>1501</v>
      </c>
      <c r="D52" t="str">
        <f>ADP!P52</f>
        <v>006792</v>
      </c>
      <c r="T52" t="str">
        <f>ADP!AG52</f>
        <v>General</v>
      </c>
      <c r="V52" t="str">
        <f>ADP!AD52</f>
        <v>0096</v>
      </c>
    </row>
    <row r="53" spans="1:22" x14ac:dyDescent="0.2">
      <c r="A53" t="str">
        <f>ADP!B53</f>
        <v>Carrie</v>
      </c>
      <c r="B53" t="str">
        <f>ADP!D53</f>
        <v>Hoffman</v>
      </c>
      <c r="C53" s="39" t="s">
        <v>1501</v>
      </c>
      <c r="D53" t="str">
        <f>ADP!P53</f>
        <v>902349</v>
      </c>
      <c r="T53" t="str">
        <f>ADP!AG53</f>
        <v>General</v>
      </c>
      <c r="V53" t="str">
        <f>ADP!AD53</f>
        <v>0088</v>
      </c>
    </row>
    <row r="54" spans="1:22" x14ac:dyDescent="0.2">
      <c r="A54" t="str">
        <f>ADP!B54</f>
        <v>Richard</v>
      </c>
      <c r="B54" t="str">
        <f>ADP!D54</f>
        <v>Hutt</v>
      </c>
      <c r="C54" s="39" t="s">
        <v>1501</v>
      </c>
      <c r="D54" t="str">
        <f>ADP!P54</f>
        <v>211932</v>
      </c>
      <c r="T54" t="str">
        <f>ADP!AG54</f>
        <v>General</v>
      </c>
      <c r="V54" t="str">
        <f>ADP!AD54</f>
        <v>0088</v>
      </c>
    </row>
    <row r="55" spans="1:22" x14ac:dyDescent="0.2">
      <c r="A55" t="str">
        <f>ADP!B55</f>
        <v>Frank</v>
      </c>
      <c r="B55" t="str">
        <f>ADP!D55</f>
        <v>Izzo</v>
      </c>
      <c r="C55" s="39" t="s">
        <v>1501</v>
      </c>
      <c r="D55" t="str">
        <f>ADP!P55</f>
        <v>206442</v>
      </c>
      <c r="T55" t="str">
        <f>ADP!AG55</f>
        <v>General</v>
      </c>
      <c r="V55" t="str">
        <f>ADP!AD55</f>
        <v>0096</v>
      </c>
    </row>
    <row r="56" spans="1:22" x14ac:dyDescent="0.2">
      <c r="A56" t="str">
        <f>ADP!B56</f>
        <v>Keith</v>
      </c>
      <c r="B56" t="str">
        <f>ADP!D56</f>
        <v>James</v>
      </c>
      <c r="C56" s="39" t="s">
        <v>1501</v>
      </c>
      <c r="D56" t="str">
        <f>ADP!P56</f>
        <v>902026</v>
      </c>
      <c r="T56" t="str">
        <f>ADP!AG56</f>
        <v>General</v>
      </c>
      <c r="V56" t="str">
        <f>ADP!AD56</f>
        <v>0088</v>
      </c>
    </row>
    <row r="57" spans="1:22" x14ac:dyDescent="0.2">
      <c r="A57" t="str">
        <f>ADP!B57</f>
        <v>Michael</v>
      </c>
      <c r="B57" t="str">
        <f>ADP!D57</f>
        <v>Jones</v>
      </c>
      <c r="C57" s="39" t="s">
        <v>1501</v>
      </c>
      <c r="D57" t="str">
        <f>ADP!P57</f>
        <v>212418</v>
      </c>
      <c r="T57" t="str">
        <f>ADP!AG57</f>
        <v>General</v>
      </c>
      <c r="V57" t="str">
        <f>ADP!AD57</f>
        <v>0088</v>
      </c>
    </row>
    <row r="58" spans="1:22" x14ac:dyDescent="0.2">
      <c r="A58" t="str">
        <f>ADP!B58</f>
        <v>Greg</v>
      </c>
      <c r="B58" t="str">
        <f>ADP!D58</f>
        <v>Kemenah</v>
      </c>
      <c r="C58" s="39" t="s">
        <v>1501</v>
      </c>
      <c r="D58" t="str">
        <f>ADP!P58</f>
        <v>211766</v>
      </c>
      <c r="T58" t="str">
        <f>ADP!AG58</f>
        <v>General</v>
      </c>
      <c r="V58" t="str">
        <f>ADP!AD58</f>
        <v>0088</v>
      </c>
    </row>
    <row r="59" spans="1:22" x14ac:dyDescent="0.2">
      <c r="A59" t="str">
        <f>ADP!B59</f>
        <v>Wendy</v>
      </c>
      <c r="B59" t="str">
        <f>ADP!D59</f>
        <v>Kozicki</v>
      </c>
      <c r="C59" s="39" t="s">
        <v>1501</v>
      </c>
      <c r="D59" t="str">
        <f>ADP!P59</f>
        <v>213298</v>
      </c>
      <c r="T59" t="str">
        <f>ADP!AG59</f>
        <v>General</v>
      </c>
      <c r="V59" t="str">
        <f>ADP!AD59</f>
        <v>0088</v>
      </c>
    </row>
    <row r="60" spans="1:22" x14ac:dyDescent="0.2">
      <c r="A60" t="str">
        <f>ADP!B60</f>
        <v>Derek</v>
      </c>
      <c r="B60" t="str">
        <f>ADP!D60</f>
        <v>LaPlante</v>
      </c>
      <c r="C60" s="39" t="s">
        <v>1501</v>
      </c>
      <c r="D60" t="str">
        <f>ADP!P60</f>
        <v>211736</v>
      </c>
      <c r="T60" t="str">
        <f>ADP!AG60</f>
        <v>General</v>
      </c>
      <c r="V60" t="str">
        <f>ADP!AD60</f>
        <v>0088</v>
      </c>
    </row>
    <row r="61" spans="1:22" x14ac:dyDescent="0.2">
      <c r="A61" t="str">
        <f>ADP!B61</f>
        <v>Wayne</v>
      </c>
      <c r="B61" t="str">
        <f>ADP!D61</f>
        <v>Leftrict</v>
      </c>
      <c r="C61" s="39" t="s">
        <v>1501</v>
      </c>
      <c r="D61" t="str">
        <f>ADP!P61</f>
        <v>210910</v>
      </c>
      <c r="T61" t="str">
        <f>ADP!AG61</f>
        <v>General</v>
      </c>
      <c r="V61" t="str">
        <f>ADP!AD61</f>
        <v>0096</v>
      </c>
    </row>
    <row r="62" spans="1:22" x14ac:dyDescent="0.2">
      <c r="A62" t="str">
        <f>ADP!B62</f>
        <v>Tamara</v>
      </c>
      <c r="B62" t="str">
        <f>ADP!D62</f>
        <v>Lipp</v>
      </c>
      <c r="C62" s="39" t="s">
        <v>1501</v>
      </c>
      <c r="D62" t="str">
        <f>ADP!P62</f>
        <v>212990</v>
      </c>
      <c r="T62" t="str">
        <f>ADP!AG62</f>
        <v>General</v>
      </c>
      <c r="V62" t="str">
        <f>ADP!AD62</f>
        <v>0088</v>
      </c>
    </row>
    <row r="63" spans="1:22" x14ac:dyDescent="0.2">
      <c r="A63" t="str">
        <f>ADP!B63</f>
        <v>Joseph</v>
      </c>
      <c r="B63" t="str">
        <f>ADP!D63</f>
        <v>Lorenz</v>
      </c>
      <c r="C63" s="39" t="s">
        <v>1501</v>
      </c>
      <c r="D63" t="str">
        <f>ADP!P63</f>
        <v>212598</v>
      </c>
      <c r="T63" t="str">
        <f>ADP!AG63</f>
        <v>General</v>
      </c>
      <c r="V63" t="str">
        <f>ADP!AD63</f>
        <v>0096</v>
      </c>
    </row>
    <row r="64" spans="1:22" x14ac:dyDescent="0.2">
      <c r="A64" t="str">
        <f>ADP!B64</f>
        <v>Jason</v>
      </c>
      <c r="B64" t="str">
        <f>ADP!D64</f>
        <v>Majewski</v>
      </c>
      <c r="C64" s="39" t="s">
        <v>1501</v>
      </c>
      <c r="D64" t="str">
        <f>ADP!P64</f>
        <v>006809</v>
      </c>
      <c r="T64" t="str">
        <f>ADP!AG64</f>
        <v>General</v>
      </c>
      <c r="V64" t="str">
        <f>ADP!AD64</f>
        <v>0088</v>
      </c>
    </row>
    <row r="65" spans="1:22" x14ac:dyDescent="0.2">
      <c r="A65" t="str">
        <f>ADP!B65</f>
        <v>Chris</v>
      </c>
      <c r="B65" t="str">
        <f>ADP!D65</f>
        <v>Martin</v>
      </c>
      <c r="C65" s="39" t="s">
        <v>1501</v>
      </c>
      <c r="D65" t="str">
        <f>ADP!P65</f>
        <v>202609</v>
      </c>
      <c r="T65" t="str">
        <f>ADP!AG65</f>
        <v>General</v>
      </c>
      <c r="V65" t="str">
        <f>ADP!AD65</f>
        <v>0096</v>
      </c>
    </row>
    <row r="66" spans="1:22" x14ac:dyDescent="0.2">
      <c r="A66" t="str">
        <f>ADP!B66</f>
        <v>Martin</v>
      </c>
      <c r="B66" t="str">
        <f>ADP!D66</f>
        <v>Martinez</v>
      </c>
      <c r="C66" s="39" t="s">
        <v>1501</v>
      </c>
      <c r="D66" t="str">
        <f>ADP!P66</f>
        <v>902563</v>
      </c>
      <c r="T66" t="str">
        <f>ADP!AG66</f>
        <v>General</v>
      </c>
      <c r="V66" t="str">
        <f>ADP!AD66</f>
        <v>0088</v>
      </c>
    </row>
    <row r="67" spans="1:22" x14ac:dyDescent="0.2">
      <c r="A67" t="str">
        <f>ADP!B67</f>
        <v>Bradley</v>
      </c>
      <c r="B67" t="str">
        <f>ADP!D67</f>
        <v>Masters</v>
      </c>
      <c r="C67" s="39" t="s">
        <v>1501</v>
      </c>
      <c r="D67" t="str">
        <f>ADP!P67</f>
        <v>902437</v>
      </c>
      <c r="T67" t="str">
        <f>ADP!AG67</f>
        <v>General</v>
      </c>
      <c r="V67" t="str">
        <f>ADP!AD67</f>
        <v>0088</v>
      </c>
    </row>
    <row r="68" spans="1:22" x14ac:dyDescent="0.2">
      <c r="A68" t="str">
        <f>ADP!B68</f>
        <v>Craig</v>
      </c>
      <c r="B68" t="str">
        <f>ADP!D68</f>
        <v>Mata</v>
      </c>
      <c r="C68" s="39" t="s">
        <v>1501</v>
      </c>
      <c r="D68" t="str">
        <f>ADP!P68</f>
        <v>201343</v>
      </c>
      <c r="T68" t="str">
        <f>ADP!AG68</f>
        <v>General</v>
      </c>
      <c r="V68" t="str">
        <f>ADP!AD68</f>
        <v>0088</v>
      </c>
    </row>
    <row r="69" spans="1:22" x14ac:dyDescent="0.2">
      <c r="A69" t="str">
        <f>ADP!B69</f>
        <v>Scott</v>
      </c>
      <c r="B69" t="str">
        <f>ADP!D69</f>
        <v>Mazzei</v>
      </c>
      <c r="C69" s="39" t="s">
        <v>1501</v>
      </c>
      <c r="D69" t="str">
        <f>ADP!P69</f>
        <v>662995</v>
      </c>
      <c r="T69" t="str">
        <f>ADP!AG69</f>
        <v>General</v>
      </c>
      <c r="V69" t="str">
        <f>ADP!AD69</f>
        <v>0088</v>
      </c>
    </row>
    <row r="70" spans="1:22" x14ac:dyDescent="0.2">
      <c r="A70" t="str">
        <f>ADP!B70</f>
        <v>Joel</v>
      </c>
      <c r="B70" t="str">
        <f>ADP!D70</f>
        <v>McCoy</v>
      </c>
      <c r="C70" s="39" t="s">
        <v>1501</v>
      </c>
      <c r="D70" t="str">
        <f>ADP!P70</f>
        <v>901213</v>
      </c>
      <c r="T70" t="str">
        <f>ADP!AG70</f>
        <v>General</v>
      </c>
      <c r="V70" t="str">
        <f>ADP!AD70</f>
        <v>0088</v>
      </c>
    </row>
    <row r="71" spans="1:22" x14ac:dyDescent="0.2">
      <c r="A71" t="str">
        <f>ADP!B71</f>
        <v>Amy</v>
      </c>
      <c r="B71" t="str">
        <f>ADP!D71</f>
        <v>McGuire</v>
      </c>
      <c r="C71" s="39" t="s">
        <v>1501</v>
      </c>
      <c r="D71" t="str">
        <f>ADP!P71</f>
        <v>007861</v>
      </c>
      <c r="T71" t="str">
        <f>ADP!AG71</f>
        <v>General</v>
      </c>
      <c r="V71" t="str">
        <f>ADP!AD71</f>
        <v>0096</v>
      </c>
    </row>
    <row r="72" spans="1:22" x14ac:dyDescent="0.2">
      <c r="A72" t="str">
        <f>ADP!B72</f>
        <v>Michael</v>
      </c>
      <c r="B72" t="str">
        <f>ADP!D72</f>
        <v>Molnar</v>
      </c>
      <c r="C72" s="39" t="s">
        <v>1501</v>
      </c>
      <c r="D72" t="str">
        <f>ADP!P72</f>
        <v>209746</v>
      </c>
      <c r="T72" t="str">
        <f>ADP!AG72</f>
        <v>General</v>
      </c>
      <c r="V72" t="str">
        <f>ADP!AD72</f>
        <v>0088</v>
      </c>
    </row>
    <row r="73" spans="1:22" x14ac:dyDescent="0.2">
      <c r="A73" t="str">
        <f>ADP!B73</f>
        <v>Candi</v>
      </c>
      <c r="B73" t="str">
        <f>ADP!D73</f>
        <v>Morales</v>
      </c>
      <c r="C73" s="39" t="s">
        <v>1501</v>
      </c>
      <c r="D73" t="str">
        <f>ADP!P73</f>
        <v>007630</v>
      </c>
      <c r="T73" t="str">
        <f>ADP!AG73</f>
        <v>General</v>
      </c>
      <c r="V73" t="str">
        <f>ADP!AD73</f>
        <v>0088</v>
      </c>
    </row>
    <row r="74" spans="1:22" x14ac:dyDescent="0.2">
      <c r="A74" t="str">
        <f>ADP!B74</f>
        <v>Peter</v>
      </c>
      <c r="B74" t="str">
        <f>ADP!D74</f>
        <v>Morgan</v>
      </c>
      <c r="C74" s="39" t="s">
        <v>1501</v>
      </c>
      <c r="D74" t="str">
        <f>ADP!P74</f>
        <v>213225</v>
      </c>
      <c r="T74" t="str">
        <f>ADP!AG74</f>
        <v>General</v>
      </c>
      <c r="V74" t="str">
        <f>ADP!AD74</f>
        <v>0088</v>
      </c>
    </row>
    <row r="75" spans="1:22" x14ac:dyDescent="0.2">
      <c r="A75" t="str">
        <f>ADP!B75</f>
        <v>Rachel</v>
      </c>
      <c r="B75" t="str">
        <f>ADP!D75</f>
        <v>Neri</v>
      </c>
      <c r="C75" s="39" t="s">
        <v>1501</v>
      </c>
      <c r="D75" t="str">
        <f>ADP!P75</f>
        <v>212129</v>
      </c>
      <c r="T75" t="str">
        <f>ADP!AG75</f>
        <v>General</v>
      </c>
      <c r="V75" t="str">
        <f>ADP!AD75</f>
        <v>0088</v>
      </c>
    </row>
    <row r="76" spans="1:22" x14ac:dyDescent="0.2">
      <c r="A76" t="str">
        <f>ADP!B76</f>
        <v>Kevin</v>
      </c>
      <c r="B76" t="str">
        <f>ADP!D76</f>
        <v>OConnor</v>
      </c>
      <c r="C76" s="39" t="s">
        <v>1501</v>
      </c>
      <c r="D76" t="str">
        <f>ADP!P76</f>
        <v>212678</v>
      </c>
      <c r="T76" t="str">
        <f>ADP!AG76</f>
        <v>General</v>
      </c>
      <c r="V76" t="str">
        <f>ADP!AD76</f>
        <v>0096</v>
      </c>
    </row>
    <row r="77" spans="1:22" x14ac:dyDescent="0.2">
      <c r="A77" t="str">
        <f>ADP!B77</f>
        <v>Laura</v>
      </c>
      <c r="B77" t="str">
        <f>ADP!D77</f>
        <v>Oleksa</v>
      </c>
      <c r="C77" s="39" t="s">
        <v>1501</v>
      </c>
      <c r="D77" t="str">
        <f>ADP!P77</f>
        <v>209181</v>
      </c>
      <c r="T77" t="str">
        <f>ADP!AG77</f>
        <v>General</v>
      </c>
      <c r="V77" t="str">
        <f>ADP!AD77</f>
        <v>0096</v>
      </c>
    </row>
    <row r="78" spans="1:22" x14ac:dyDescent="0.2">
      <c r="A78" t="str">
        <f>ADP!B78</f>
        <v>David</v>
      </c>
      <c r="B78" t="str">
        <f>ADP!D78</f>
        <v>Page</v>
      </c>
      <c r="C78" s="39" t="s">
        <v>1501</v>
      </c>
      <c r="D78" t="str">
        <f>ADP!P78</f>
        <v>212725</v>
      </c>
      <c r="T78" t="str">
        <f>ADP!AG78</f>
        <v>General</v>
      </c>
      <c r="V78" t="str">
        <f>ADP!AD78</f>
        <v>0088</v>
      </c>
    </row>
    <row r="79" spans="1:22" x14ac:dyDescent="0.2">
      <c r="A79" t="str">
        <f>ADP!B79</f>
        <v>Alex</v>
      </c>
      <c r="B79" t="str">
        <f>ADP!D79</f>
        <v>Palicki</v>
      </c>
      <c r="C79" s="39" t="s">
        <v>1501</v>
      </c>
      <c r="D79" t="str">
        <f>ADP!P79</f>
        <v>212119</v>
      </c>
      <c r="T79" t="str">
        <f>ADP!AG79</f>
        <v>General</v>
      </c>
      <c r="V79" t="str">
        <f>ADP!AD79</f>
        <v>0088</v>
      </c>
    </row>
    <row r="80" spans="1:22" x14ac:dyDescent="0.2">
      <c r="A80" t="str">
        <f>ADP!B80</f>
        <v>Linette</v>
      </c>
      <c r="B80" t="str">
        <f>ADP!D80</f>
        <v>Parks</v>
      </c>
      <c r="C80" s="39" t="s">
        <v>1501</v>
      </c>
      <c r="D80" t="str">
        <f>ADP!P80</f>
        <v>902690</v>
      </c>
      <c r="T80" t="str">
        <f>ADP!AG80</f>
        <v>General</v>
      </c>
      <c r="V80" t="str">
        <f>ADP!AD80</f>
        <v>0088</v>
      </c>
    </row>
    <row r="81" spans="1:22" x14ac:dyDescent="0.2">
      <c r="A81" t="str">
        <f>ADP!B81</f>
        <v>Shivam</v>
      </c>
      <c r="B81" t="str">
        <f>ADP!D81</f>
        <v>Patel</v>
      </c>
      <c r="C81" s="39" t="s">
        <v>1501</v>
      </c>
      <c r="D81" t="str">
        <f>ADP!P81</f>
        <v>201903</v>
      </c>
      <c r="T81" t="str">
        <f>ADP!AG81</f>
        <v>General</v>
      </c>
      <c r="V81" t="str">
        <f>ADP!AD81</f>
        <v>0088</v>
      </c>
    </row>
    <row r="82" spans="1:22" x14ac:dyDescent="0.2">
      <c r="A82" t="str">
        <f>ADP!B82</f>
        <v>Joshua</v>
      </c>
      <c r="B82" t="str">
        <f>ADP!D82</f>
        <v>Paulsen</v>
      </c>
      <c r="C82" s="39" t="s">
        <v>1501</v>
      </c>
      <c r="D82" t="str">
        <f>ADP!P82</f>
        <v>900851</v>
      </c>
      <c r="T82" t="str">
        <f>ADP!AG82</f>
        <v>General</v>
      </c>
      <c r="V82" t="str">
        <f>ADP!AD82</f>
        <v>0088</v>
      </c>
    </row>
    <row r="83" spans="1:22" x14ac:dyDescent="0.2">
      <c r="A83" t="str">
        <f>ADP!B83</f>
        <v>Carol</v>
      </c>
      <c r="B83" t="str">
        <f>ADP!D83</f>
        <v>Phillips</v>
      </c>
      <c r="C83" s="39" t="s">
        <v>1501</v>
      </c>
      <c r="D83" t="str">
        <f>ADP!P83</f>
        <v>212478</v>
      </c>
      <c r="T83" t="str">
        <f>ADP!AG83</f>
        <v>General</v>
      </c>
      <c r="V83" t="str">
        <f>ADP!AD83</f>
        <v>0088</v>
      </c>
    </row>
    <row r="84" spans="1:22" x14ac:dyDescent="0.2">
      <c r="A84" t="str">
        <f>ADP!B84</f>
        <v>William</v>
      </c>
      <c r="B84" t="str">
        <f>ADP!D84</f>
        <v>Phoenix</v>
      </c>
      <c r="C84" s="39" t="s">
        <v>1501</v>
      </c>
      <c r="D84" t="str">
        <f>ADP!P84</f>
        <v>211531</v>
      </c>
      <c r="T84" t="str">
        <f>ADP!AG84</f>
        <v>General</v>
      </c>
      <c r="V84" t="str">
        <f>ADP!AD84</f>
        <v>0088</v>
      </c>
    </row>
    <row r="85" spans="1:22" x14ac:dyDescent="0.2">
      <c r="A85" t="str">
        <f>ADP!B85</f>
        <v>Zachary</v>
      </c>
      <c r="B85" t="str">
        <f>ADP!D85</f>
        <v>Plotts</v>
      </c>
      <c r="C85" s="39" t="s">
        <v>1501</v>
      </c>
      <c r="D85" t="str">
        <f>ADP!P85</f>
        <v>201895</v>
      </c>
      <c r="T85" t="str">
        <f>ADP!AG85</f>
        <v>General</v>
      </c>
      <c r="V85" t="str">
        <f>ADP!AD85</f>
        <v>0088</v>
      </c>
    </row>
    <row r="86" spans="1:22" x14ac:dyDescent="0.2">
      <c r="A86" t="str">
        <f>ADP!B86</f>
        <v>Robert</v>
      </c>
      <c r="B86" t="str">
        <f>ADP!D86</f>
        <v>Prosowski</v>
      </c>
      <c r="C86" s="39" t="s">
        <v>1501</v>
      </c>
      <c r="D86" t="str">
        <f>ADP!P86</f>
        <v>206738</v>
      </c>
      <c r="T86" t="str">
        <f>ADP!AG86</f>
        <v>General</v>
      </c>
      <c r="V86" t="str">
        <f>ADP!AD86</f>
        <v>0096</v>
      </c>
    </row>
    <row r="87" spans="1:22" x14ac:dyDescent="0.2">
      <c r="A87" t="str">
        <f>ADP!B87</f>
        <v>Jeff</v>
      </c>
      <c r="B87" t="str">
        <f>ADP!D87</f>
        <v>Raese</v>
      </c>
      <c r="C87" s="39" t="s">
        <v>1501</v>
      </c>
      <c r="D87" t="str">
        <f>ADP!P87</f>
        <v>210018</v>
      </c>
      <c r="T87" t="str">
        <f>ADP!AG87</f>
        <v>General</v>
      </c>
      <c r="V87" t="str">
        <f>ADP!AD87</f>
        <v>0088</v>
      </c>
    </row>
    <row r="88" spans="1:22" x14ac:dyDescent="0.2">
      <c r="A88" t="str">
        <f>ADP!B88</f>
        <v>Jonathan</v>
      </c>
      <c r="B88" t="str">
        <f>ADP!D88</f>
        <v>Rafferty</v>
      </c>
      <c r="C88" s="39" t="s">
        <v>1501</v>
      </c>
      <c r="D88" t="str">
        <f>ADP!P88</f>
        <v>211131</v>
      </c>
      <c r="T88" t="str">
        <f>ADP!AG88</f>
        <v>General</v>
      </c>
      <c r="V88" t="str">
        <f>ADP!AD88</f>
        <v>0088</v>
      </c>
    </row>
    <row r="89" spans="1:22" x14ac:dyDescent="0.2">
      <c r="A89" t="str">
        <f>ADP!B89</f>
        <v>Jacqueline</v>
      </c>
      <c r="B89" t="str">
        <f>ADP!D89</f>
        <v>Reed</v>
      </c>
      <c r="C89" s="39" t="s">
        <v>1501</v>
      </c>
      <c r="D89" t="str">
        <f>ADP!P89</f>
        <v>210035</v>
      </c>
      <c r="T89" t="str">
        <f>ADP!AG89</f>
        <v>General</v>
      </c>
      <c r="V89" t="str">
        <f>ADP!AD89</f>
        <v>0088</v>
      </c>
    </row>
    <row r="90" spans="1:22" x14ac:dyDescent="0.2">
      <c r="A90" t="str">
        <f>ADP!B90</f>
        <v>Johnny</v>
      </c>
      <c r="B90" t="str">
        <f>ADP!D90</f>
        <v>Reyes</v>
      </c>
      <c r="C90" s="39" t="s">
        <v>1501</v>
      </c>
      <c r="D90" t="str">
        <f>ADP!P90</f>
        <v>212074</v>
      </c>
      <c r="T90" t="str">
        <f>ADP!AG90</f>
        <v>General</v>
      </c>
      <c r="V90" t="str">
        <f>ADP!AD90</f>
        <v>0088</v>
      </c>
    </row>
    <row r="91" spans="1:22" x14ac:dyDescent="0.2">
      <c r="A91" t="str">
        <f>ADP!B91</f>
        <v>Siobhan</v>
      </c>
      <c r="B91" t="str">
        <f>ADP!D91</f>
        <v>Rodriguez</v>
      </c>
      <c r="C91" s="39" t="s">
        <v>1501</v>
      </c>
      <c r="D91" t="str">
        <f>ADP!P91</f>
        <v>207588</v>
      </c>
      <c r="T91" t="str">
        <f>ADP!AG91</f>
        <v>General</v>
      </c>
      <c r="V91" t="str">
        <f>ADP!AD91</f>
        <v>0096</v>
      </c>
    </row>
    <row r="92" spans="1:22" x14ac:dyDescent="0.2">
      <c r="A92" t="str">
        <f>ADP!B92</f>
        <v>Wayne</v>
      </c>
      <c r="B92" t="str">
        <f>ADP!D92</f>
        <v>Rogers</v>
      </c>
      <c r="C92" s="39" t="s">
        <v>1501</v>
      </c>
      <c r="D92" t="str">
        <f>ADP!P92</f>
        <v>207487</v>
      </c>
      <c r="T92" t="str">
        <f>ADP!AG92</f>
        <v>General</v>
      </c>
      <c r="V92" t="str">
        <f>ADP!AD92</f>
        <v>0088</v>
      </c>
    </row>
    <row r="93" spans="1:22" x14ac:dyDescent="0.2">
      <c r="A93" t="str">
        <f>ADP!B93</f>
        <v>Gwendolyn</v>
      </c>
      <c r="B93" t="str">
        <f>ADP!D93</f>
        <v>Rome</v>
      </c>
      <c r="C93" s="39" t="s">
        <v>1501</v>
      </c>
      <c r="D93" t="str">
        <f>ADP!P93</f>
        <v>007647</v>
      </c>
      <c r="T93" t="str">
        <f>ADP!AG93</f>
        <v>General</v>
      </c>
      <c r="V93" t="str">
        <f>ADP!AD93</f>
        <v>0088</v>
      </c>
    </row>
    <row r="94" spans="1:22" x14ac:dyDescent="0.2">
      <c r="A94" t="str">
        <f>ADP!B94</f>
        <v>Christopher</v>
      </c>
      <c r="B94" t="str">
        <f>ADP!D94</f>
        <v>Sanderson</v>
      </c>
      <c r="C94" s="39" t="s">
        <v>1501</v>
      </c>
      <c r="D94" t="str">
        <f>ADP!P94</f>
        <v>213091</v>
      </c>
      <c r="T94" t="str">
        <f>ADP!AG94</f>
        <v>General</v>
      </c>
      <c r="V94" t="str">
        <f>ADP!AD94</f>
        <v>0088</v>
      </c>
    </row>
    <row r="95" spans="1:22" x14ac:dyDescent="0.2">
      <c r="A95" t="str">
        <f>ADP!B95</f>
        <v>Richard</v>
      </c>
      <c r="B95" t="str">
        <f>ADP!D95</f>
        <v>Sasak</v>
      </c>
      <c r="C95" s="39" t="s">
        <v>1501</v>
      </c>
      <c r="D95" t="str">
        <f>ADP!P95</f>
        <v>900439</v>
      </c>
      <c r="T95" t="str">
        <f>ADP!AG95</f>
        <v>General</v>
      </c>
      <c r="V95" t="str">
        <f>ADP!AD95</f>
        <v>0096</v>
      </c>
    </row>
    <row r="96" spans="1:22" x14ac:dyDescent="0.2">
      <c r="A96" t="str">
        <f>ADP!B96</f>
        <v>Heather</v>
      </c>
      <c r="B96" t="str">
        <f>ADP!D96</f>
        <v>Schmidt</v>
      </c>
      <c r="C96" s="39" t="s">
        <v>1501</v>
      </c>
      <c r="D96" t="str">
        <f>ADP!P96</f>
        <v>210127</v>
      </c>
      <c r="T96" t="str">
        <f>ADP!AG96</f>
        <v>General</v>
      </c>
      <c r="V96" t="str">
        <f>ADP!AD96</f>
        <v>0088</v>
      </c>
    </row>
    <row r="97" spans="1:22" x14ac:dyDescent="0.2">
      <c r="A97" t="str">
        <f>ADP!B97</f>
        <v>Momika</v>
      </c>
      <c r="B97" t="str">
        <f>ADP!D97</f>
        <v>Smith</v>
      </c>
      <c r="C97" s="39" t="s">
        <v>1501</v>
      </c>
      <c r="D97" t="str">
        <f>ADP!P97</f>
        <v>210281</v>
      </c>
      <c r="T97" t="str">
        <f>ADP!AG97</f>
        <v>General</v>
      </c>
      <c r="V97" t="str">
        <f>ADP!AD97</f>
        <v>0088</v>
      </c>
    </row>
    <row r="98" spans="1:22" x14ac:dyDescent="0.2">
      <c r="A98" t="str">
        <f>ADP!B98</f>
        <v>Michael</v>
      </c>
      <c r="B98" t="str">
        <f>ADP!D98</f>
        <v>Steen</v>
      </c>
      <c r="C98" s="39" t="s">
        <v>1501</v>
      </c>
      <c r="D98" t="str">
        <f>ADP!P98</f>
        <v>211062</v>
      </c>
      <c r="T98" t="str">
        <f>ADP!AG98</f>
        <v>General</v>
      </c>
      <c r="V98" t="str">
        <f>ADP!AD98</f>
        <v>0096</v>
      </c>
    </row>
    <row r="99" spans="1:22" x14ac:dyDescent="0.2">
      <c r="A99" t="str">
        <f>ADP!B99</f>
        <v>James</v>
      </c>
      <c r="B99" t="str">
        <f>ADP!D99</f>
        <v>Stefancin</v>
      </c>
      <c r="C99" s="39" t="s">
        <v>1501</v>
      </c>
      <c r="D99" t="str">
        <f>ADP!P99</f>
        <v>212191</v>
      </c>
      <c r="T99" t="str">
        <f>ADP!AG99</f>
        <v>General</v>
      </c>
      <c r="V99" t="str">
        <f>ADP!AD99</f>
        <v>0096</v>
      </c>
    </row>
    <row r="100" spans="1:22" x14ac:dyDescent="0.2">
      <c r="A100" t="str">
        <f>ADP!B100</f>
        <v>Benjamin</v>
      </c>
      <c r="B100" t="str">
        <f>ADP!D100</f>
        <v>Sullivan</v>
      </c>
      <c r="C100" s="39" t="s">
        <v>1501</v>
      </c>
      <c r="D100" t="str">
        <f>ADP!P100</f>
        <v>210103</v>
      </c>
      <c r="T100" t="str">
        <f>ADP!AG100</f>
        <v>General</v>
      </c>
      <c r="V100" t="str">
        <f>ADP!AD100</f>
        <v>0088</v>
      </c>
    </row>
    <row r="101" spans="1:22" x14ac:dyDescent="0.2">
      <c r="A101" t="str">
        <f>ADP!B101</f>
        <v>Joyce</v>
      </c>
      <c r="B101" t="str">
        <f>ADP!D101</f>
        <v>Szpila</v>
      </c>
      <c r="C101" s="39" t="s">
        <v>1501</v>
      </c>
      <c r="D101" t="str">
        <f>ADP!P101</f>
        <v>212146</v>
      </c>
      <c r="T101" t="str">
        <f>ADP!AG101</f>
        <v>General</v>
      </c>
      <c r="V101" t="str">
        <f>ADP!AD101</f>
        <v>0088</v>
      </c>
    </row>
    <row r="102" spans="1:22" x14ac:dyDescent="0.2">
      <c r="A102" t="str">
        <f>ADP!B102</f>
        <v>Richard</v>
      </c>
      <c r="B102" t="str">
        <f>ADP!D102</f>
        <v>Taiclet</v>
      </c>
      <c r="C102" s="39" t="s">
        <v>1501</v>
      </c>
      <c r="D102" t="str">
        <f>ADP!P102</f>
        <v>901943</v>
      </c>
      <c r="T102" t="str">
        <f>ADP!AG102</f>
        <v>General</v>
      </c>
      <c r="V102" t="str">
        <f>ADP!AD102</f>
        <v>0096</v>
      </c>
    </row>
    <row r="103" spans="1:22" x14ac:dyDescent="0.2">
      <c r="A103" t="str">
        <f>ADP!B103</f>
        <v>Kevin</v>
      </c>
      <c r="B103" t="str">
        <f>ADP!D103</f>
        <v>Thaboun</v>
      </c>
      <c r="C103" s="39" t="s">
        <v>1501</v>
      </c>
      <c r="D103" t="str">
        <f>ADP!P103</f>
        <v>211521</v>
      </c>
      <c r="T103" t="str">
        <f>ADP!AG103</f>
        <v>General</v>
      </c>
      <c r="V103" t="str">
        <f>ADP!AD103</f>
        <v>0088</v>
      </c>
    </row>
    <row r="104" spans="1:22" x14ac:dyDescent="0.2">
      <c r="A104" t="str">
        <f>ADP!B104</f>
        <v>Kugagini</v>
      </c>
      <c r="B104" t="str">
        <f>ADP!D104</f>
        <v>Thineshkumar</v>
      </c>
      <c r="C104" s="39" t="s">
        <v>1501</v>
      </c>
      <c r="D104" t="str">
        <f>ADP!P104</f>
        <v>902013</v>
      </c>
      <c r="T104" t="str">
        <f>ADP!AG104</f>
        <v>General</v>
      </c>
      <c r="V104" t="str">
        <f>ADP!AD104</f>
        <v>0088</v>
      </c>
    </row>
    <row r="105" spans="1:22" x14ac:dyDescent="0.2">
      <c r="A105" t="str">
        <f>ADP!B105</f>
        <v>Tadeyshia</v>
      </c>
      <c r="B105" t="str">
        <f>ADP!D105</f>
        <v>Toney</v>
      </c>
      <c r="C105" s="39" t="s">
        <v>1501</v>
      </c>
      <c r="D105" t="str">
        <f>ADP!P105</f>
        <v>213241</v>
      </c>
      <c r="T105" t="str">
        <f>ADP!AG105</f>
        <v>General</v>
      </c>
      <c r="V105" t="str">
        <f>ADP!AD105</f>
        <v>0088</v>
      </c>
    </row>
    <row r="106" spans="1:22" x14ac:dyDescent="0.2">
      <c r="A106" t="str">
        <f>ADP!B106</f>
        <v>Macy</v>
      </c>
      <c r="B106" t="str">
        <f>ADP!D106</f>
        <v>Tudor</v>
      </c>
      <c r="C106" s="39" t="s">
        <v>1501</v>
      </c>
      <c r="D106" t="str">
        <f>ADP!P106</f>
        <v>206638</v>
      </c>
      <c r="T106" t="str">
        <f>ADP!AG106</f>
        <v>General</v>
      </c>
      <c r="V106" t="str">
        <f>ADP!AD106</f>
        <v>0088</v>
      </c>
    </row>
    <row r="107" spans="1:22" x14ac:dyDescent="0.2">
      <c r="A107" t="str">
        <f>ADP!B107</f>
        <v>Benjamin</v>
      </c>
      <c r="B107" t="str">
        <f>ADP!D107</f>
        <v>Uncapher</v>
      </c>
      <c r="C107" s="39" t="s">
        <v>1501</v>
      </c>
      <c r="D107" t="str">
        <f>ADP!P107</f>
        <v>212254</v>
      </c>
      <c r="T107" t="str">
        <f>ADP!AG107</f>
        <v>General</v>
      </c>
      <c r="V107" t="str">
        <f>ADP!AD107</f>
        <v>0088</v>
      </c>
    </row>
    <row r="108" spans="1:22" x14ac:dyDescent="0.2">
      <c r="A108" t="str">
        <f>ADP!B108</f>
        <v>David</v>
      </c>
      <c r="B108" t="str">
        <f>ADP!D108</f>
        <v>Valetta</v>
      </c>
      <c r="C108" s="39" t="s">
        <v>1501</v>
      </c>
      <c r="D108" t="str">
        <f>ADP!P108</f>
        <v>211601</v>
      </c>
      <c r="T108" t="str">
        <f>ADP!AG108</f>
        <v>General</v>
      </c>
      <c r="V108" t="str">
        <f>ADP!AD108</f>
        <v>0096</v>
      </c>
    </row>
    <row r="109" spans="1:22" x14ac:dyDescent="0.2">
      <c r="A109" t="str">
        <f>ADP!B109</f>
        <v>Brennen</v>
      </c>
      <c r="B109" t="str">
        <f>ADP!D109</f>
        <v>Valley</v>
      </c>
      <c r="C109" s="39" t="s">
        <v>1501</v>
      </c>
      <c r="D109" t="str">
        <f>ADP!P109</f>
        <v>206287</v>
      </c>
      <c r="T109" t="str">
        <f>ADP!AG109</f>
        <v>General</v>
      </c>
      <c r="V109" t="str">
        <f>ADP!AD109</f>
        <v>0096</v>
      </c>
    </row>
    <row r="110" spans="1:22" x14ac:dyDescent="0.2">
      <c r="A110" t="str">
        <f>ADP!B110</f>
        <v>Craig</v>
      </c>
      <c r="B110" t="str">
        <f>ADP!D110</f>
        <v>Wagner</v>
      </c>
      <c r="C110" s="39" t="s">
        <v>1501</v>
      </c>
      <c r="D110" t="str">
        <f>ADP!P110</f>
        <v>206272</v>
      </c>
      <c r="T110" t="str">
        <f>ADP!AG110</f>
        <v>General</v>
      </c>
      <c r="V110" t="str">
        <f>ADP!AD110</f>
        <v>0088</v>
      </c>
    </row>
    <row r="111" spans="1:22" x14ac:dyDescent="0.2">
      <c r="A111" t="str">
        <f>ADP!B111</f>
        <v>Terry</v>
      </c>
      <c r="B111" t="str">
        <f>ADP!D111</f>
        <v>Wagner</v>
      </c>
      <c r="C111" s="39" t="s">
        <v>1501</v>
      </c>
      <c r="D111" t="str">
        <f>ADP!P111</f>
        <v>211022</v>
      </c>
      <c r="T111" t="str">
        <f>ADP!AG111</f>
        <v>General</v>
      </c>
      <c r="V111" t="str">
        <f>ADP!AD111</f>
        <v>0096</v>
      </c>
    </row>
    <row r="112" spans="1:22" x14ac:dyDescent="0.2">
      <c r="A112" t="str">
        <f>ADP!B112</f>
        <v>Derron</v>
      </c>
      <c r="B112" t="str">
        <f>ADP!D112</f>
        <v>Wallace</v>
      </c>
      <c r="C112" s="39" t="s">
        <v>1501</v>
      </c>
      <c r="D112" t="str">
        <f>ADP!P112</f>
        <v>211998</v>
      </c>
      <c r="T112" t="str">
        <f>ADP!AG112</f>
        <v>General</v>
      </c>
      <c r="V112" t="str">
        <f>ADP!AD112</f>
        <v>0096</v>
      </c>
    </row>
    <row r="113" spans="1:22" x14ac:dyDescent="0.2">
      <c r="A113" t="str">
        <f>ADP!B113</f>
        <v>Dwight</v>
      </c>
      <c r="B113" t="str">
        <f>ADP!D113</f>
        <v>Warner</v>
      </c>
      <c r="C113" s="39" t="s">
        <v>1501</v>
      </c>
      <c r="D113" t="str">
        <f>ADP!P113</f>
        <v>008750</v>
      </c>
      <c r="T113" t="str">
        <f>ADP!AG113</f>
        <v>General</v>
      </c>
      <c r="V113" t="str">
        <f>ADP!AD113</f>
        <v>0096</v>
      </c>
    </row>
    <row r="114" spans="1:22" x14ac:dyDescent="0.2">
      <c r="A114" t="str">
        <f>ADP!B114</f>
        <v>Bonnetta</v>
      </c>
      <c r="B114" t="str">
        <f>ADP!D114</f>
        <v>Warren</v>
      </c>
      <c r="C114" s="39" t="s">
        <v>1501</v>
      </c>
      <c r="D114" t="str">
        <f>ADP!P114</f>
        <v>212705</v>
      </c>
      <c r="T114" t="str">
        <f>ADP!AG114</f>
        <v>General</v>
      </c>
      <c r="V114" t="str">
        <f>ADP!AD114</f>
        <v>0088</v>
      </c>
    </row>
    <row r="115" spans="1:22" x14ac:dyDescent="0.2">
      <c r="A115" t="str">
        <f>ADP!B115</f>
        <v>Russell</v>
      </c>
      <c r="B115" t="str">
        <f>ADP!D115</f>
        <v>Weaver</v>
      </c>
      <c r="C115" s="39" t="s">
        <v>1501</v>
      </c>
      <c r="D115" t="str">
        <f>ADP!P115</f>
        <v>901090</v>
      </c>
      <c r="T115" t="str">
        <f>ADP!AG115</f>
        <v>General</v>
      </c>
      <c r="V115" t="str">
        <f>ADP!AD115</f>
        <v>0096</v>
      </c>
    </row>
    <row r="116" spans="1:22" x14ac:dyDescent="0.2">
      <c r="A116" t="str">
        <f>ADP!B116</f>
        <v>Joann</v>
      </c>
      <c r="B116" t="str">
        <f>ADP!D116</f>
        <v>Whaley</v>
      </c>
      <c r="C116" s="39" t="s">
        <v>1501</v>
      </c>
      <c r="D116" t="str">
        <f>ADP!P116</f>
        <v>207850</v>
      </c>
      <c r="T116" t="str">
        <f>ADP!AG116</f>
        <v>General</v>
      </c>
      <c r="V116" t="str">
        <f>ADP!AD116</f>
        <v>0088</v>
      </c>
    </row>
    <row r="117" spans="1:22" x14ac:dyDescent="0.2">
      <c r="A117" t="str">
        <f>ADP!B117</f>
        <v>Daniel</v>
      </c>
      <c r="B117" t="str">
        <f>ADP!D117</f>
        <v>White</v>
      </c>
      <c r="C117" s="39" t="s">
        <v>1501</v>
      </c>
      <c r="D117" t="str">
        <f>ADP!P117</f>
        <v>211939</v>
      </c>
      <c r="T117" t="str">
        <f>ADP!AG117</f>
        <v>General</v>
      </c>
      <c r="V117" t="str">
        <f>ADP!AD117</f>
        <v>0096</v>
      </c>
    </row>
    <row r="118" spans="1:22" x14ac:dyDescent="0.2">
      <c r="A118" t="str">
        <f>ADP!B118</f>
        <v>William</v>
      </c>
      <c r="B118" t="str">
        <f>ADP!D118</f>
        <v>Wilkins</v>
      </c>
      <c r="C118" s="39" t="s">
        <v>1501</v>
      </c>
      <c r="D118" t="str">
        <f>ADP!P118</f>
        <v>901934</v>
      </c>
      <c r="T118" t="str">
        <f>ADP!AG118</f>
        <v>General</v>
      </c>
      <c r="V118" t="str">
        <f>ADP!AD118</f>
        <v>0096</v>
      </c>
    </row>
    <row r="119" spans="1:22" x14ac:dyDescent="0.2">
      <c r="A119" t="str">
        <f>ADP!B119</f>
        <v>Rachel</v>
      </c>
      <c r="B119" t="str">
        <f>ADP!D119</f>
        <v>Williams</v>
      </c>
      <c r="C119" s="39" t="s">
        <v>1501</v>
      </c>
      <c r="D119" t="str">
        <f>ADP!P119</f>
        <v>202533</v>
      </c>
      <c r="T119" t="str">
        <f>ADP!AG119</f>
        <v>General</v>
      </c>
      <c r="V119" t="str">
        <f>ADP!AD119</f>
        <v>0088</v>
      </c>
    </row>
    <row r="120" spans="1:22" x14ac:dyDescent="0.2">
      <c r="A120" t="str">
        <f>ADP!B120</f>
        <v>Shelly</v>
      </c>
      <c r="B120" t="str">
        <f>ADP!D120</f>
        <v>Willis-Garza</v>
      </c>
      <c r="C120" s="39" t="s">
        <v>1501</v>
      </c>
      <c r="D120" t="str">
        <f>ADP!P120</f>
        <v>206672</v>
      </c>
      <c r="T120" t="str">
        <f>ADP!AG120</f>
        <v>General</v>
      </c>
      <c r="V120" t="str">
        <f>ADP!AD120</f>
        <v>0088</v>
      </c>
    </row>
    <row r="121" spans="1:22" x14ac:dyDescent="0.2">
      <c r="A121" t="str">
        <f>ADP!B121</f>
        <v>David</v>
      </c>
      <c r="B121" t="str">
        <f>ADP!D121</f>
        <v>Wilson</v>
      </c>
      <c r="C121" s="39" t="s">
        <v>1501</v>
      </c>
      <c r="D121" t="str">
        <f>ADP!P121</f>
        <v>207809</v>
      </c>
      <c r="T121" t="str">
        <f>ADP!AG121</f>
        <v>General</v>
      </c>
      <c r="V121" t="str">
        <f>ADP!AD121</f>
        <v>0088</v>
      </c>
    </row>
    <row r="122" spans="1:22" x14ac:dyDescent="0.2">
      <c r="A122" t="str">
        <f>ADP!B122</f>
        <v>Richard</v>
      </c>
      <c r="B122" t="str">
        <f>ADP!D122</f>
        <v>Wright</v>
      </c>
      <c r="C122" s="39" t="s">
        <v>1501</v>
      </c>
      <c r="D122" t="str">
        <f>ADP!P122</f>
        <v>212100</v>
      </c>
      <c r="T122" t="str">
        <f>ADP!AG122</f>
        <v>General</v>
      </c>
      <c r="V122" t="str">
        <f>ADP!AD122</f>
        <v>0096</v>
      </c>
    </row>
    <row r="123" spans="1:22" x14ac:dyDescent="0.2">
      <c r="A123" t="str">
        <f>ADP!B123</f>
        <v>John</v>
      </c>
      <c r="B123" t="str">
        <f>ADP!D123</f>
        <v>Eward</v>
      </c>
      <c r="C123" s="39" t="s">
        <v>1501</v>
      </c>
      <c r="D123" t="str">
        <f>ADP!P123</f>
        <v>212921</v>
      </c>
      <c r="T123" t="str">
        <f>ADP!AG123</f>
        <v>General</v>
      </c>
      <c r="V123" t="str">
        <f>ADP!AD123</f>
        <v>0088</v>
      </c>
    </row>
    <row r="124" spans="1:22" x14ac:dyDescent="0.2">
      <c r="A124" t="str">
        <f>ADP!B124</f>
        <v>Sai Anusha</v>
      </c>
      <c r="B124" t="str">
        <f>ADP!D124</f>
        <v>Kodali</v>
      </c>
      <c r="C124" s="39" t="s">
        <v>1501</v>
      </c>
      <c r="D124" t="str">
        <f>ADP!P124</f>
        <v>211085</v>
      </c>
      <c r="T124" t="str">
        <f>ADP!AG124</f>
        <v>General</v>
      </c>
      <c r="V124" t="str">
        <f>ADP!AD124</f>
        <v>0088</v>
      </c>
    </row>
    <row r="125" spans="1:22" x14ac:dyDescent="0.2">
      <c r="A125" t="str">
        <f>ADP!B125</f>
        <v>Shannon</v>
      </c>
      <c r="B125" t="str">
        <f>ADP!D125</f>
        <v>O'Day</v>
      </c>
      <c r="C125" s="39" t="s">
        <v>1501</v>
      </c>
      <c r="D125" t="str">
        <f>ADP!P125</f>
        <v>663830</v>
      </c>
      <c r="T125" t="str">
        <f>ADP!AG125</f>
        <v>General</v>
      </c>
      <c r="V125" t="str">
        <f>ADP!AD125</f>
        <v>0088</v>
      </c>
    </row>
    <row r="126" spans="1:22" x14ac:dyDescent="0.2">
      <c r="A126" t="str">
        <f>ADP!B126</f>
        <v>Roger</v>
      </c>
      <c r="B126" t="str">
        <f>ADP!D126</f>
        <v>Shook</v>
      </c>
      <c r="C126" s="39" t="s">
        <v>1501</v>
      </c>
      <c r="D126" t="str">
        <f>ADP!P126</f>
        <v>207466</v>
      </c>
      <c r="T126" t="str">
        <f>ADP!AG126</f>
        <v>General</v>
      </c>
      <c r="V126" t="str">
        <f>ADP!AD126</f>
        <v>0088</v>
      </c>
    </row>
    <row r="127" spans="1:22" x14ac:dyDescent="0.2">
      <c r="A127" t="str">
        <f>ADP!B127</f>
        <v>Shawnta</v>
      </c>
      <c r="B127" t="str">
        <f>ADP!D127</f>
        <v>Mcglory</v>
      </c>
      <c r="C127" s="39" t="s">
        <v>1501</v>
      </c>
      <c r="D127" t="str">
        <f>ADP!P127</f>
        <v>211456</v>
      </c>
      <c r="T127" t="str">
        <f>ADP!AG127</f>
        <v>General</v>
      </c>
      <c r="V127" t="str">
        <f>ADP!AD127</f>
        <v>0088</v>
      </c>
    </row>
    <row r="128" spans="1:22" x14ac:dyDescent="0.2">
      <c r="A128" t="str">
        <f>ADP!B128</f>
        <v>Cassandra</v>
      </c>
      <c r="B128" t="str">
        <f>ADP!D128</f>
        <v>Richards</v>
      </c>
      <c r="C128" s="39" t="s">
        <v>1501</v>
      </c>
      <c r="D128" t="str">
        <f>ADP!P128</f>
        <v>210727</v>
      </c>
      <c r="T128" t="str">
        <f>ADP!AG128</f>
        <v>General</v>
      </c>
      <c r="V128" t="str">
        <f>ADP!AD128</f>
        <v>0088</v>
      </c>
    </row>
    <row r="129" spans="1:22" x14ac:dyDescent="0.2">
      <c r="A129" t="str">
        <f>ADP!B129</f>
        <v>Isaak</v>
      </c>
      <c r="B129" t="str">
        <f>ADP!D129</f>
        <v>Taiclet</v>
      </c>
      <c r="C129" s="39" t="s">
        <v>1501</v>
      </c>
      <c r="D129" t="str">
        <f>ADP!P129</f>
        <v>213227</v>
      </c>
      <c r="T129" t="str">
        <f>ADP!AG129</f>
        <v>General</v>
      </c>
      <c r="V129" t="str">
        <f>ADP!AD129</f>
        <v>0096</v>
      </c>
    </row>
    <row r="130" spans="1:22" x14ac:dyDescent="0.2">
      <c r="A130" t="str">
        <f>ADP!B130</f>
        <v>Anthony</v>
      </c>
      <c r="B130" t="str">
        <f>ADP!D130</f>
        <v>Moavero</v>
      </c>
      <c r="C130" s="39" t="s">
        <v>1501</v>
      </c>
      <c r="D130" t="str">
        <f>ADP!P130</f>
        <v>212052</v>
      </c>
      <c r="T130" t="str">
        <f>ADP!AG130</f>
        <v>General</v>
      </c>
      <c r="V130" t="str">
        <f>ADP!AD130</f>
        <v>0096</v>
      </c>
    </row>
    <row r="131" spans="1:22" x14ac:dyDescent="0.2">
      <c r="A131" t="str">
        <f>ADP!B131</f>
        <v>Chad</v>
      </c>
      <c r="B131" t="str">
        <f>ADP!D131</f>
        <v>Phillips</v>
      </c>
      <c r="C131" s="39" t="s">
        <v>1501</v>
      </c>
      <c r="D131" t="str">
        <f>ADP!P131</f>
        <v>210402</v>
      </c>
      <c r="T131" t="str">
        <f>ADP!AG131</f>
        <v>General</v>
      </c>
      <c r="V131" t="str">
        <f>ADP!AD131</f>
        <v>0096</v>
      </c>
    </row>
    <row r="132" spans="1:22" x14ac:dyDescent="0.2">
      <c r="A132" t="str">
        <f>ADP!B132</f>
        <v>Daniel</v>
      </c>
      <c r="B132" t="str">
        <f>ADP!D132</f>
        <v>Tuller</v>
      </c>
      <c r="C132" s="39" t="s">
        <v>1501</v>
      </c>
      <c r="D132" t="str">
        <f>ADP!P132</f>
        <v>210339</v>
      </c>
      <c r="T132" t="str">
        <f>ADP!AG132</f>
        <v>General</v>
      </c>
      <c r="V132" t="str">
        <f>ADP!AD132</f>
        <v>0088</v>
      </c>
    </row>
    <row r="133" spans="1:22" x14ac:dyDescent="0.2">
      <c r="A133" t="str">
        <f>ADP!B133</f>
        <v>Kyle</v>
      </c>
      <c r="B133" t="str">
        <f>ADP!D133</f>
        <v>Outhouse</v>
      </c>
      <c r="C133" s="39" t="s">
        <v>1501</v>
      </c>
      <c r="D133" t="str">
        <f>ADP!P133</f>
        <v>209634</v>
      </c>
      <c r="T133" t="str">
        <f>ADP!AG133</f>
        <v>General</v>
      </c>
      <c r="V133" t="str">
        <f>ADP!AD133</f>
        <v>0088</v>
      </c>
    </row>
    <row r="134" spans="1:22" x14ac:dyDescent="0.2">
      <c r="A134" t="str">
        <f>ADP!B134</f>
        <v>Jon</v>
      </c>
      <c r="B134" t="str">
        <f>ADP!D134</f>
        <v>Hartman</v>
      </c>
      <c r="C134" s="39" t="s">
        <v>1501</v>
      </c>
      <c r="D134" t="str">
        <f>ADP!P134</f>
        <v>211045</v>
      </c>
      <c r="T134" t="str">
        <f>ADP!AG134</f>
        <v>General</v>
      </c>
      <c r="V134" t="str">
        <f>ADP!AD134</f>
        <v>0096</v>
      </c>
    </row>
    <row r="135" spans="1:22" x14ac:dyDescent="0.2">
      <c r="A135" t="str">
        <f>ADP!B135</f>
        <v>Timothy</v>
      </c>
      <c r="B135" t="str">
        <f>ADP!D135</f>
        <v>Seksinsky</v>
      </c>
      <c r="C135" s="39" t="s">
        <v>1501</v>
      </c>
      <c r="D135" t="str">
        <f>ADP!P135</f>
        <v>212421</v>
      </c>
      <c r="T135" t="str">
        <f>ADP!AG135</f>
        <v>General</v>
      </c>
      <c r="V135" t="str">
        <f>ADP!AD135</f>
        <v>0088</v>
      </c>
    </row>
    <row r="136" spans="1:22" x14ac:dyDescent="0.2">
      <c r="A136" t="str">
        <f>ADP!B136</f>
        <v>Evelyn</v>
      </c>
      <c r="B136" t="str">
        <f>ADP!D136</f>
        <v>Gonzalez</v>
      </c>
      <c r="C136" s="39" t="s">
        <v>1501</v>
      </c>
      <c r="D136" t="str">
        <f>ADP!P136</f>
        <v>209540</v>
      </c>
      <c r="T136" t="str">
        <f>ADP!AG136</f>
        <v>General</v>
      </c>
      <c r="V136" t="str">
        <f>ADP!AD136</f>
        <v>0088</v>
      </c>
    </row>
    <row r="137" spans="1:22" x14ac:dyDescent="0.2">
      <c r="A137" t="str">
        <f>ADP!B137</f>
        <v>Kyle</v>
      </c>
      <c r="B137" t="str">
        <f>ADP!D137</f>
        <v>Mickens</v>
      </c>
      <c r="C137" s="39" t="s">
        <v>1501</v>
      </c>
      <c r="D137" t="str">
        <f>ADP!P137</f>
        <v>210134</v>
      </c>
      <c r="T137" t="str">
        <f>ADP!AG137</f>
        <v>General</v>
      </c>
      <c r="V137" t="str">
        <f>ADP!AD137</f>
        <v>0088</v>
      </c>
    </row>
    <row r="138" spans="1:22" x14ac:dyDescent="0.2">
      <c r="A138" t="str">
        <f>ADP!B138</f>
        <v>Brittany</v>
      </c>
      <c r="B138" t="str">
        <f>ADP!D138</f>
        <v>Velner</v>
      </c>
      <c r="C138" s="39" t="s">
        <v>1501</v>
      </c>
      <c r="D138" t="str">
        <f>ADP!P138</f>
        <v>212687</v>
      </c>
      <c r="T138" t="str">
        <f>ADP!AG138</f>
        <v>General</v>
      </c>
      <c r="V138" t="str">
        <f>ADP!AD138</f>
        <v>0088</v>
      </c>
    </row>
    <row r="139" spans="1:22" x14ac:dyDescent="0.2">
      <c r="A139">
        <f>ADP!B139</f>
        <v>0</v>
      </c>
      <c r="B139">
        <f>ADP!D139</f>
        <v>0</v>
      </c>
      <c r="C139" s="39" t="s">
        <v>1501</v>
      </c>
      <c r="D139">
        <f>ADP!P139</f>
        <v>0</v>
      </c>
      <c r="T139" t="str">
        <f>ADP!AG139</f>
        <v>Salary Code Not Mapped</v>
      </c>
      <c r="V139" t="str">
        <f>ADP!AD139</f>
        <v>BU Description Not Mapped</v>
      </c>
    </row>
    <row r="140" spans="1:22" x14ac:dyDescent="0.2">
      <c r="A140">
        <f>ADP!B140</f>
        <v>0</v>
      </c>
      <c r="B140">
        <f>ADP!D140</f>
        <v>0</v>
      </c>
      <c r="C140" s="39" t="s">
        <v>1501</v>
      </c>
      <c r="D140">
        <f>ADP!P140</f>
        <v>0</v>
      </c>
      <c r="T140" t="str">
        <f>ADP!AG140</f>
        <v>Salary Code Not Mapped</v>
      </c>
      <c r="V140" t="str">
        <f>ADP!AD140</f>
        <v>BU Description Not Mapped</v>
      </c>
    </row>
    <row r="141" spans="1:22" x14ac:dyDescent="0.2">
      <c r="A141">
        <f>ADP!B141</f>
        <v>0</v>
      </c>
      <c r="B141">
        <f>ADP!D141</f>
        <v>0</v>
      </c>
      <c r="C141" s="39" t="s">
        <v>1501</v>
      </c>
      <c r="D141">
        <f>ADP!P141</f>
        <v>0</v>
      </c>
      <c r="T141" t="str">
        <f>ADP!AG141</f>
        <v>Salary Code Not Mapped</v>
      </c>
      <c r="V141" t="str">
        <f>ADP!AD141</f>
        <v>BU Description Not Mapped</v>
      </c>
    </row>
    <row r="142" spans="1:22" x14ac:dyDescent="0.2">
      <c r="A142">
        <f>ADP!B142</f>
        <v>0</v>
      </c>
      <c r="B142">
        <f>ADP!D142</f>
        <v>0</v>
      </c>
      <c r="C142" s="39" t="s">
        <v>1501</v>
      </c>
      <c r="D142">
        <f>ADP!P142</f>
        <v>0</v>
      </c>
      <c r="T142" t="str">
        <f>ADP!AG142</f>
        <v>Salary Code Not Mapped</v>
      </c>
      <c r="V142" t="str">
        <f>ADP!AD142</f>
        <v>BU Description Not Mapped</v>
      </c>
    </row>
    <row r="143" spans="1:22" x14ac:dyDescent="0.2">
      <c r="A143">
        <f>ADP!B143</f>
        <v>0</v>
      </c>
      <c r="B143">
        <f>ADP!D143</f>
        <v>0</v>
      </c>
      <c r="C143" s="39" t="s">
        <v>1501</v>
      </c>
      <c r="D143">
        <f>ADP!P143</f>
        <v>0</v>
      </c>
      <c r="T143" t="str">
        <f>ADP!AG143</f>
        <v>Salary Code Not Mapped</v>
      </c>
      <c r="V143" t="str">
        <f>ADP!AD143</f>
        <v>BU Description Not Mapped</v>
      </c>
    </row>
    <row r="144" spans="1:22" x14ac:dyDescent="0.2">
      <c r="A144">
        <f>ADP!B144</f>
        <v>0</v>
      </c>
      <c r="B144">
        <f>ADP!D144</f>
        <v>0</v>
      </c>
      <c r="C144" s="39" t="s">
        <v>1501</v>
      </c>
      <c r="D144">
        <f>ADP!P144</f>
        <v>0</v>
      </c>
      <c r="T144" t="str">
        <f>ADP!AG144</f>
        <v>Salary Code Not Mapped</v>
      </c>
      <c r="V144" t="str">
        <f>ADP!AD144</f>
        <v>BU Description Not Mapped</v>
      </c>
    </row>
    <row r="145" spans="1:22" x14ac:dyDescent="0.2">
      <c r="A145">
        <f>ADP!B145</f>
        <v>0</v>
      </c>
      <c r="B145">
        <f>ADP!D145</f>
        <v>0</v>
      </c>
      <c r="C145" s="39" t="s">
        <v>1501</v>
      </c>
      <c r="D145">
        <f>ADP!P145</f>
        <v>0</v>
      </c>
      <c r="T145" t="str">
        <f>ADP!AG145</f>
        <v>Salary Code Not Mapped</v>
      </c>
      <c r="V145" t="str">
        <f>ADP!AD145</f>
        <v>BU Description Not Mapped</v>
      </c>
    </row>
    <row r="146" spans="1:22" x14ac:dyDescent="0.2">
      <c r="A146">
        <f>ADP!B146</f>
        <v>0</v>
      </c>
      <c r="B146">
        <f>ADP!D146</f>
        <v>0</v>
      </c>
      <c r="C146" s="39" t="s">
        <v>1501</v>
      </c>
      <c r="D146">
        <f>ADP!P146</f>
        <v>0</v>
      </c>
      <c r="T146" t="str">
        <f>ADP!AG146</f>
        <v>Salary Code Not Mapped</v>
      </c>
      <c r="V146" t="str">
        <f>ADP!AD146</f>
        <v>BU Description Not Mapped</v>
      </c>
    </row>
    <row r="147" spans="1:22" x14ac:dyDescent="0.2">
      <c r="A147">
        <f>ADP!B147</f>
        <v>0</v>
      </c>
      <c r="B147">
        <f>ADP!D147</f>
        <v>0</v>
      </c>
      <c r="C147" s="39" t="s">
        <v>1501</v>
      </c>
      <c r="D147">
        <f>ADP!P147</f>
        <v>0</v>
      </c>
      <c r="T147" t="str">
        <f>ADP!AG147</f>
        <v>Salary Code Not Mapped</v>
      </c>
      <c r="V147" t="str">
        <f>ADP!AD147</f>
        <v>BU Description Not Mapped</v>
      </c>
    </row>
    <row r="148" spans="1:22" x14ac:dyDescent="0.2">
      <c r="A148">
        <f>ADP!B148</f>
        <v>0</v>
      </c>
      <c r="B148">
        <f>ADP!D148</f>
        <v>0</v>
      </c>
      <c r="C148" s="39" t="s">
        <v>1501</v>
      </c>
      <c r="D148">
        <f>ADP!P148</f>
        <v>0</v>
      </c>
      <c r="T148" t="str">
        <f>ADP!AG148</f>
        <v>Salary Code Not Mapped</v>
      </c>
      <c r="V148" t="str">
        <f>ADP!AD148</f>
        <v>BU Description Not Mapped</v>
      </c>
    </row>
    <row r="149" spans="1:22" x14ac:dyDescent="0.2">
      <c r="A149">
        <f>ADP!B149</f>
        <v>0</v>
      </c>
      <c r="B149">
        <f>ADP!D149</f>
        <v>0</v>
      </c>
      <c r="C149" s="39" t="s">
        <v>1501</v>
      </c>
      <c r="D149">
        <f>ADP!P149</f>
        <v>0</v>
      </c>
      <c r="T149" t="str">
        <f>ADP!AG149</f>
        <v>Salary Code Not Mapped</v>
      </c>
      <c r="V149" t="str">
        <f>ADP!AD149</f>
        <v>BU Description Not Mapped</v>
      </c>
    </row>
    <row r="150" spans="1:22" x14ac:dyDescent="0.2">
      <c r="A150">
        <f>ADP!B150</f>
        <v>0</v>
      </c>
      <c r="B150">
        <f>ADP!D150</f>
        <v>0</v>
      </c>
      <c r="C150" s="39" t="s">
        <v>1501</v>
      </c>
      <c r="D150">
        <f>ADP!P150</f>
        <v>0</v>
      </c>
      <c r="T150" t="str">
        <f>ADP!AG150</f>
        <v>Salary Code Not Mapped</v>
      </c>
      <c r="V150" t="str">
        <f>ADP!AD150</f>
        <v>BU Description Not Mapped</v>
      </c>
    </row>
    <row r="151" spans="1:22" x14ac:dyDescent="0.2">
      <c r="A151">
        <f>ADP!B151</f>
        <v>0</v>
      </c>
      <c r="B151">
        <f>ADP!D151</f>
        <v>0</v>
      </c>
      <c r="C151" s="39" t="s">
        <v>1501</v>
      </c>
      <c r="D151">
        <f>ADP!P151</f>
        <v>0</v>
      </c>
      <c r="T151" t="str">
        <f>ADP!AG151</f>
        <v>Salary Code Not Mapped</v>
      </c>
      <c r="V151" t="str">
        <f>ADP!AD151</f>
        <v>BU Description Not Mapped</v>
      </c>
    </row>
    <row r="152" spans="1:22" x14ac:dyDescent="0.2">
      <c r="A152">
        <f>ADP!B152</f>
        <v>0</v>
      </c>
      <c r="B152">
        <f>ADP!D152</f>
        <v>0</v>
      </c>
      <c r="C152" s="39" t="s">
        <v>1501</v>
      </c>
      <c r="D152">
        <f>ADP!P152</f>
        <v>0</v>
      </c>
      <c r="T152" t="str">
        <f>ADP!AG152</f>
        <v>Salary Code Not Mapped</v>
      </c>
      <c r="V152" t="str">
        <f>ADP!AD152</f>
        <v>BU Description Not Mapped</v>
      </c>
    </row>
    <row r="153" spans="1:22" x14ac:dyDescent="0.2">
      <c r="A153">
        <f>ADP!B153</f>
        <v>0</v>
      </c>
      <c r="B153">
        <f>ADP!D153</f>
        <v>0</v>
      </c>
      <c r="C153" s="39" t="s">
        <v>1501</v>
      </c>
      <c r="D153">
        <f>ADP!P153</f>
        <v>0</v>
      </c>
      <c r="T153" t="str">
        <f>ADP!AG153</f>
        <v>Salary Code Not Mapped</v>
      </c>
      <c r="V153" t="str">
        <f>ADP!AD153</f>
        <v>BU Description Not Mapped</v>
      </c>
    </row>
    <row r="154" spans="1:22" x14ac:dyDescent="0.2">
      <c r="A154">
        <f>ADP!B154</f>
        <v>0</v>
      </c>
      <c r="B154">
        <f>ADP!D154</f>
        <v>0</v>
      </c>
      <c r="C154" s="39" t="s">
        <v>1501</v>
      </c>
      <c r="D154">
        <f>ADP!P154</f>
        <v>0</v>
      </c>
      <c r="T154" t="str">
        <f>ADP!AG154</f>
        <v>Salary Code Not Mapped</v>
      </c>
      <c r="V154" t="str">
        <f>ADP!AD154</f>
        <v>BU Description Not Mapped</v>
      </c>
    </row>
    <row r="155" spans="1:22" x14ac:dyDescent="0.2">
      <c r="A155">
        <f>ADP!B155</f>
        <v>0</v>
      </c>
      <c r="B155">
        <f>ADP!D155</f>
        <v>0</v>
      </c>
      <c r="C155" s="39" t="s">
        <v>1501</v>
      </c>
      <c r="D155">
        <f>ADP!P155</f>
        <v>0</v>
      </c>
      <c r="T155" t="str">
        <f>ADP!AG155</f>
        <v>Salary Code Not Mapped</v>
      </c>
      <c r="V155" t="str">
        <f>ADP!AD155</f>
        <v>BU Description Not Mapped</v>
      </c>
    </row>
    <row r="156" spans="1:22" x14ac:dyDescent="0.2">
      <c r="A156">
        <f>ADP!B156</f>
        <v>0</v>
      </c>
      <c r="B156">
        <f>ADP!D156</f>
        <v>0</v>
      </c>
      <c r="C156" s="39" t="s">
        <v>1501</v>
      </c>
      <c r="D156">
        <f>ADP!P156</f>
        <v>0</v>
      </c>
      <c r="T156" t="str">
        <f>ADP!AG156</f>
        <v>Salary Code Not Mapped</v>
      </c>
      <c r="V156" t="str">
        <f>ADP!AD156</f>
        <v>BU Description Not Mapped</v>
      </c>
    </row>
    <row r="157" spans="1:22" x14ac:dyDescent="0.2">
      <c r="A157">
        <f>ADP!B157</f>
        <v>0</v>
      </c>
      <c r="B157">
        <f>ADP!D157</f>
        <v>0</v>
      </c>
      <c r="C157" s="39" t="s">
        <v>1501</v>
      </c>
      <c r="D157">
        <f>ADP!P157</f>
        <v>0</v>
      </c>
      <c r="T157" t="str">
        <f>ADP!AG157</f>
        <v>Salary Code Not Mapped</v>
      </c>
      <c r="V157" t="str">
        <f>ADP!AD157</f>
        <v>BU Description Not Mapped</v>
      </c>
    </row>
    <row r="158" spans="1:22" x14ac:dyDescent="0.2">
      <c r="A158">
        <f>ADP!B158</f>
        <v>0</v>
      </c>
      <c r="B158">
        <f>ADP!D158</f>
        <v>0</v>
      </c>
      <c r="C158" s="39" t="s">
        <v>1501</v>
      </c>
      <c r="D158">
        <f>ADP!P158</f>
        <v>0</v>
      </c>
      <c r="T158" t="str">
        <f>ADP!AG158</f>
        <v>Salary Code Not Mapped</v>
      </c>
      <c r="V158" t="str">
        <f>ADP!AD158</f>
        <v>BU Description Not Mapped</v>
      </c>
    </row>
    <row r="159" spans="1:22" x14ac:dyDescent="0.2">
      <c r="A159">
        <f>ADP!B159</f>
        <v>0</v>
      </c>
      <c r="B159">
        <f>ADP!D159</f>
        <v>0</v>
      </c>
      <c r="C159" s="39" t="s">
        <v>1501</v>
      </c>
      <c r="D159">
        <f>ADP!P159</f>
        <v>0</v>
      </c>
      <c r="T159" t="str">
        <f>ADP!AG159</f>
        <v>Salary Code Not Mapped</v>
      </c>
      <c r="V159" t="str">
        <f>ADP!AD159</f>
        <v>BU Description Not Mapped</v>
      </c>
    </row>
    <row r="160" spans="1:22" x14ac:dyDescent="0.2">
      <c r="A160">
        <f>ADP!B160</f>
        <v>0</v>
      </c>
      <c r="B160">
        <f>ADP!D160</f>
        <v>0</v>
      </c>
      <c r="C160" s="39" t="s">
        <v>1501</v>
      </c>
      <c r="D160">
        <f>ADP!P160</f>
        <v>0</v>
      </c>
      <c r="T160" t="str">
        <f>ADP!AG160</f>
        <v>Salary Code Not Mapped</v>
      </c>
      <c r="V160" t="str">
        <f>ADP!AD160</f>
        <v>BU Description Not Mapped</v>
      </c>
    </row>
    <row r="161" spans="1:22" x14ac:dyDescent="0.2">
      <c r="A161">
        <f>ADP!B161</f>
        <v>0</v>
      </c>
      <c r="B161">
        <f>ADP!D161</f>
        <v>0</v>
      </c>
      <c r="C161" s="39" t="s">
        <v>1501</v>
      </c>
      <c r="D161">
        <f>ADP!P161</f>
        <v>0</v>
      </c>
      <c r="T161" t="str">
        <f>ADP!AG161</f>
        <v>Salary Code Not Mapped</v>
      </c>
      <c r="V161" t="str">
        <f>ADP!AD161</f>
        <v>BU Description Not Mapped</v>
      </c>
    </row>
    <row r="162" spans="1:22" x14ac:dyDescent="0.2">
      <c r="A162">
        <f>ADP!B162</f>
        <v>0</v>
      </c>
      <c r="B162">
        <f>ADP!D162</f>
        <v>0</v>
      </c>
      <c r="C162" s="39" t="s">
        <v>1501</v>
      </c>
      <c r="D162">
        <f>ADP!P162</f>
        <v>0</v>
      </c>
      <c r="T162" t="str">
        <f>ADP!AG162</f>
        <v>Salary Code Not Mapped</v>
      </c>
      <c r="V162" t="str">
        <f>ADP!AD162</f>
        <v>BU Description Not Mapped</v>
      </c>
    </row>
    <row r="163" spans="1:22" x14ac:dyDescent="0.2">
      <c r="A163">
        <f>ADP!B163</f>
        <v>0</v>
      </c>
      <c r="B163">
        <f>ADP!D163</f>
        <v>0</v>
      </c>
      <c r="C163" s="39" t="s">
        <v>1501</v>
      </c>
      <c r="D163">
        <f>ADP!P163</f>
        <v>0</v>
      </c>
      <c r="T163" t="str">
        <f>ADP!AG163</f>
        <v>Salary Code Not Mapped</v>
      </c>
      <c r="V163" t="str">
        <f>ADP!AD163</f>
        <v>BU Description Not Mapped</v>
      </c>
    </row>
    <row r="164" spans="1:22" x14ac:dyDescent="0.2">
      <c r="A164">
        <f>ADP!B164</f>
        <v>0</v>
      </c>
      <c r="B164">
        <f>ADP!D164</f>
        <v>0</v>
      </c>
      <c r="C164" s="39" t="s">
        <v>1501</v>
      </c>
      <c r="D164">
        <f>ADP!P164</f>
        <v>0</v>
      </c>
      <c r="T164" t="str">
        <f>ADP!AG164</f>
        <v>Salary Code Not Mapped</v>
      </c>
      <c r="V164" t="str">
        <f>ADP!AD164</f>
        <v>BU Description Not Mapped</v>
      </c>
    </row>
    <row r="165" spans="1:22" x14ac:dyDescent="0.2">
      <c r="A165">
        <f>ADP!B165</f>
        <v>0</v>
      </c>
      <c r="B165">
        <f>ADP!D165</f>
        <v>0</v>
      </c>
      <c r="C165" s="39" t="s">
        <v>1501</v>
      </c>
      <c r="D165">
        <f>ADP!P165</f>
        <v>0</v>
      </c>
      <c r="T165" t="str">
        <f>ADP!AG165</f>
        <v>Salary Code Not Mapped</v>
      </c>
      <c r="V165" t="str">
        <f>ADP!AD165</f>
        <v>BU Description Not Mapped</v>
      </c>
    </row>
    <row r="166" spans="1:22" x14ac:dyDescent="0.2">
      <c r="A166">
        <f>ADP!B166</f>
        <v>0</v>
      </c>
      <c r="B166">
        <f>ADP!D166</f>
        <v>0</v>
      </c>
      <c r="C166" s="39" t="s">
        <v>1501</v>
      </c>
      <c r="D166">
        <f>ADP!P166</f>
        <v>0</v>
      </c>
      <c r="T166" t="str">
        <f>ADP!AG166</f>
        <v>Salary Code Not Mapped</v>
      </c>
      <c r="V166" t="str">
        <f>ADP!AD166</f>
        <v>BU Description Not Mapped</v>
      </c>
    </row>
    <row r="167" spans="1:22" x14ac:dyDescent="0.2">
      <c r="A167">
        <f>ADP!B167</f>
        <v>0</v>
      </c>
      <c r="B167">
        <f>ADP!D167</f>
        <v>0</v>
      </c>
      <c r="C167" s="39" t="s">
        <v>1501</v>
      </c>
      <c r="D167">
        <f>ADP!P167</f>
        <v>0</v>
      </c>
      <c r="T167" t="str">
        <f>ADP!AG167</f>
        <v>Salary Code Not Mapped</v>
      </c>
      <c r="V167" t="str">
        <f>ADP!AD167</f>
        <v>BU Description Not Mapped</v>
      </c>
    </row>
    <row r="168" spans="1:22" x14ac:dyDescent="0.2">
      <c r="A168">
        <f>ADP!B168</f>
        <v>0</v>
      </c>
      <c r="B168">
        <f>ADP!D168</f>
        <v>0</v>
      </c>
      <c r="C168" s="39" t="s">
        <v>1501</v>
      </c>
      <c r="D168">
        <f>ADP!P168</f>
        <v>0</v>
      </c>
      <c r="T168" t="str">
        <f>ADP!AG168</f>
        <v>Salary Code Not Mapped</v>
      </c>
      <c r="V168" t="str">
        <f>ADP!AD168</f>
        <v>BU Description Not Mapped</v>
      </c>
    </row>
    <row r="169" spans="1:22" x14ac:dyDescent="0.2">
      <c r="A169">
        <f>ADP!B169</f>
        <v>0</v>
      </c>
      <c r="B169">
        <f>ADP!D169</f>
        <v>0</v>
      </c>
      <c r="C169" s="39" t="s">
        <v>1501</v>
      </c>
      <c r="D169">
        <f>ADP!P169</f>
        <v>0</v>
      </c>
      <c r="T169" t="str">
        <f>ADP!AG169</f>
        <v>Salary Code Not Mapped</v>
      </c>
      <c r="V169" t="str">
        <f>ADP!AD169</f>
        <v>BU Description Not Mapped</v>
      </c>
    </row>
    <row r="170" spans="1:22" x14ac:dyDescent="0.2">
      <c r="A170">
        <f>ADP!B170</f>
        <v>0</v>
      </c>
      <c r="B170">
        <f>ADP!D170</f>
        <v>0</v>
      </c>
      <c r="C170" s="39" t="s">
        <v>1501</v>
      </c>
      <c r="D170" t="e">
        <f>ADP!#REF!</f>
        <v>#REF!</v>
      </c>
      <c r="T170" t="e">
        <f>ADP!#REF!</f>
        <v>#REF!</v>
      </c>
      <c r="V170" t="e">
        <f>ADP!#REF!</f>
        <v>#REF!</v>
      </c>
    </row>
    <row r="171" spans="1:22" x14ac:dyDescent="0.2">
      <c r="A171">
        <f>ADP!B171</f>
        <v>0</v>
      </c>
      <c r="B171">
        <f>ADP!D171</f>
        <v>0</v>
      </c>
      <c r="C171" s="39" t="s">
        <v>1501</v>
      </c>
      <c r="D171" t="e">
        <f>ADP!#REF!</f>
        <v>#REF!</v>
      </c>
      <c r="T171" t="e">
        <f>ADP!#REF!</f>
        <v>#REF!</v>
      </c>
      <c r="V171" t="e">
        <f>ADP!#REF!</f>
        <v>#REF!</v>
      </c>
    </row>
    <row r="172" spans="1:22" x14ac:dyDescent="0.2">
      <c r="A172">
        <f>ADP!B172</f>
        <v>0</v>
      </c>
      <c r="B172">
        <f>ADP!D172</f>
        <v>0</v>
      </c>
      <c r="C172" s="39" t="s">
        <v>1501</v>
      </c>
      <c r="D172" t="e">
        <f>ADP!#REF!</f>
        <v>#REF!</v>
      </c>
      <c r="T172" t="e">
        <f>ADP!#REF!</f>
        <v>#REF!</v>
      </c>
      <c r="V172" t="e">
        <f>ADP!#REF!</f>
        <v>#REF!</v>
      </c>
    </row>
    <row r="173" spans="1:22" x14ac:dyDescent="0.2">
      <c r="A173">
        <f>ADP!B173</f>
        <v>0</v>
      </c>
      <c r="B173">
        <f>ADP!D173</f>
        <v>0</v>
      </c>
      <c r="C173" s="39" t="s">
        <v>1501</v>
      </c>
      <c r="D173" t="e">
        <f>ADP!#REF!</f>
        <v>#REF!</v>
      </c>
      <c r="T173" t="e">
        <f>ADP!#REF!</f>
        <v>#REF!</v>
      </c>
      <c r="V173" t="e">
        <f>ADP!#REF!</f>
        <v>#REF!</v>
      </c>
    </row>
    <row r="174" spans="1:22" x14ac:dyDescent="0.2">
      <c r="A174">
        <f>ADP!B174</f>
        <v>0</v>
      </c>
      <c r="B174">
        <f>ADP!D174</f>
        <v>0</v>
      </c>
      <c r="C174" s="39" t="s">
        <v>1501</v>
      </c>
      <c r="D174" t="e">
        <f>ADP!#REF!</f>
        <v>#REF!</v>
      </c>
      <c r="T174" t="e">
        <f>ADP!#REF!</f>
        <v>#REF!</v>
      </c>
      <c r="V174" t="e">
        <f>ADP!#REF!</f>
        <v>#REF!</v>
      </c>
    </row>
    <row r="175" spans="1:22" x14ac:dyDescent="0.2">
      <c r="A175">
        <f>ADP!B175</f>
        <v>0</v>
      </c>
      <c r="B175">
        <f>ADP!D175</f>
        <v>0</v>
      </c>
      <c r="C175" s="39" t="s">
        <v>1501</v>
      </c>
      <c r="D175" t="e">
        <f>ADP!#REF!</f>
        <v>#REF!</v>
      </c>
      <c r="T175" t="e">
        <f>ADP!#REF!</f>
        <v>#REF!</v>
      </c>
      <c r="V175" t="e">
        <f>ADP!#REF!</f>
        <v>#REF!</v>
      </c>
    </row>
    <row r="176" spans="1:22" x14ac:dyDescent="0.2">
      <c r="A176">
        <f>ADP!B176</f>
        <v>0</v>
      </c>
      <c r="B176">
        <f>ADP!D176</f>
        <v>0</v>
      </c>
      <c r="C176" s="39" t="s">
        <v>1501</v>
      </c>
      <c r="D176" t="e">
        <f>ADP!#REF!</f>
        <v>#REF!</v>
      </c>
      <c r="T176" t="e">
        <f>ADP!#REF!</f>
        <v>#REF!</v>
      </c>
      <c r="V176" t="e">
        <f>ADP!#REF!</f>
        <v>#REF!</v>
      </c>
    </row>
    <row r="177" spans="1:22" x14ac:dyDescent="0.2">
      <c r="A177">
        <f>ADP!B177</f>
        <v>0</v>
      </c>
      <c r="B177">
        <f>ADP!D177</f>
        <v>0</v>
      </c>
      <c r="C177" s="39" t="s">
        <v>1501</v>
      </c>
      <c r="D177" t="e">
        <f>ADP!#REF!</f>
        <v>#REF!</v>
      </c>
      <c r="T177" t="e">
        <f>ADP!#REF!</f>
        <v>#REF!</v>
      </c>
      <c r="V177" t="e">
        <f>ADP!#REF!</f>
        <v>#REF!</v>
      </c>
    </row>
    <row r="178" spans="1:22" x14ac:dyDescent="0.2">
      <c r="A178">
        <f>ADP!B178</f>
        <v>0</v>
      </c>
      <c r="B178">
        <f>ADP!D178</f>
        <v>0</v>
      </c>
      <c r="C178" s="39" t="s">
        <v>1501</v>
      </c>
      <c r="D178" t="e">
        <f>ADP!#REF!</f>
        <v>#REF!</v>
      </c>
      <c r="T178" t="e">
        <f>ADP!#REF!</f>
        <v>#REF!</v>
      </c>
      <c r="V178" t="e">
        <f>ADP!#REF!</f>
        <v>#REF!</v>
      </c>
    </row>
    <row r="179" spans="1:22" x14ac:dyDescent="0.2">
      <c r="A179">
        <f>ADP!B179</f>
        <v>0</v>
      </c>
      <c r="B179">
        <f>ADP!D179</f>
        <v>0</v>
      </c>
      <c r="C179" s="39" t="s">
        <v>1501</v>
      </c>
      <c r="D179" t="e">
        <f>ADP!#REF!</f>
        <v>#REF!</v>
      </c>
      <c r="T179" t="e">
        <f>ADP!#REF!</f>
        <v>#REF!</v>
      </c>
      <c r="V179" t="e">
        <f>ADP!#REF!</f>
        <v>#REF!</v>
      </c>
    </row>
    <row r="180" spans="1:22" x14ac:dyDescent="0.2">
      <c r="A180">
        <f>ADP!B180</f>
        <v>0</v>
      </c>
      <c r="B180">
        <f>ADP!D180</f>
        <v>0</v>
      </c>
      <c r="C180" s="39" t="s">
        <v>1501</v>
      </c>
      <c r="D180" t="e">
        <f>ADP!#REF!</f>
        <v>#REF!</v>
      </c>
      <c r="T180" t="e">
        <f>ADP!#REF!</f>
        <v>#REF!</v>
      </c>
      <c r="V180" t="e">
        <f>ADP!#REF!</f>
        <v>#REF!</v>
      </c>
    </row>
    <row r="181" spans="1:22" x14ac:dyDescent="0.2">
      <c r="A181">
        <f>ADP!B181</f>
        <v>0</v>
      </c>
      <c r="B181">
        <f>ADP!D181</f>
        <v>0</v>
      </c>
      <c r="C181" s="39" t="s">
        <v>1501</v>
      </c>
      <c r="D181" t="e">
        <f>ADP!#REF!</f>
        <v>#REF!</v>
      </c>
      <c r="T181" t="e">
        <f>ADP!#REF!</f>
        <v>#REF!</v>
      </c>
      <c r="V181" t="e">
        <f>ADP!#REF!</f>
        <v>#REF!</v>
      </c>
    </row>
    <row r="182" spans="1:22" x14ac:dyDescent="0.2">
      <c r="A182">
        <f>ADP!B182</f>
        <v>0</v>
      </c>
      <c r="B182">
        <f>ADP!D182</f>
        <v>0</v>
      </c>
      <c r="C182" s="39" t="s">
        <v>1501</v>
      </c>
      <c r="D182" t="e">
        <f>ADP!#REF!</f>
        <v>#REF!</v>
      </c>
      <c r="T182" t="e">
        <f>ADP!#REF!</f>
        <v>#REF!</v>
      </c>
      <c r="V182" t="e">
        <f>ADP!#REF!</f>
        <v>#REF!</v>
      </c>
    </row>
    <row r="183" spans="1:22" x14ac:dyDescent="0.2">
      <c r="A183">
        <f>ADP!B183</f>
        <v>0</v>
      </c>
      <c r="B183">
        <f>ADP!D183</f>
        <v>0</v>
      </c>
      <c r="C183" s="39" t="s">
        <v>1501</v>
      </c>
      <c r="D183" t="e">
        <f>ADP!#REF!</f>
        <v>#REF!</v>
      </c>
      <c r="T183" t="e">
        <f>ADP!#REF!</f>
        <v>#REF!</v>
      </c>
      <c r="V183" t="e">
        <f>ADP!#REF!</f>
        <v>#REF!</v>
      </c>
    </row>
    <row r="184" spans="1:22" x14ac:dyDescent="0.2">
      <c r="A184">
        <f>ADP!B184</f>
        <v>0</v>
      </c>
      <c r="B184">
        <f>ADP!D184</f>
        <v>0</v>
      </c>
      <c r="C184" s="39" t="s">
        <v>1501</v>
      </c>
      <c r="D184" t="e">
        <f>ADP!#REF!</f>
        <v>#REF!</v>
      </c>
      <c r="T184" t="e">
        <f>ADP!#REF!</f>
        <v>#REF!</v>
      </c>
      <c r="V184" t="e">
        <f>ADP!#REF!</f>
        <v>#REF!</v>
      </c>
    </row>
    <row r="185" spans="1:22" x14ac:dyDescent="0.2">
      <c r="A185">
        <f>ADP!B185</f>
        <v>0</v>
      </c>
      <c r="B185">
        <f>ADP!D185</f>
        <v>0</v>
      </c>
      <c r="C185" s="39" t="s">
        <v>1501</v>
      </c>
      <c r="D185" t="e">
        <f>ADP!#REF!</f>
        <v>#REF!</v>
      </c>
      <c r="T185" t="e">
        <f>ADP!#REF!</f>
        <v>#REF!</v>
      </c>
      <c r="V185" t="e">
        <f>ADP!#REF!</f>
        <v>#REF!</v>
      </c>
    </row>
    <row r="186" spans="1:22" x14ac:dyDescent="0.2">
      <c r="A186">
        <f>ADP!B186</f>
        <v>0</v>
      </c>
      <c r="B186">
        <f>ADP!D186</f>
        <v>0</v>
      </c>
      <c r="C186" s="39" t="s">
        <v>1501</v>
      </c>
      <c r="D186" t="e">
        <f>ADP!#REF!</f>
        <v>#REF!</v>
      </c>
      <c r="T186" t="e">
        <f>ADP!#REF!</f>
        <v>#REF!</v>
      </c>
      <c r="V186" t="e">
        <f>ADP!#REF!</f>
        <v>#REF!</v>
      </c>
    </row>
    <row r="187" spans="1:22" x14ac:dyDescent="0.2">
      <c r="A187">
        <f>ADP!B187</f>
        <v>0</v>
      </c>
      <c r="B187">
        <f>ADP!D187</f>
        <v>0</v>
      </c>
      <c r="C187" s="39" t="s">
        <v>1501</v>
      </c>
      <c r="D187" t="e">
        <f>ADP!#REF!</f>
        <v>#REF!</v>
      </c>
      <c r="T187" t="e">
        <f>ADP!#REF!</f>
        <v>#REF!</v>
      </c>
      <c r="V187" t="e">
        <f>ADP!#REF!</f>
        <v>#REF!</v>
      </c>
    </row>
    <row r="188" spans="1:22" x14ac:dyDescent="0.2">
      <c r="A188">
        <f>ADP!B188</f>
        <v>0</v>
      </c>
      <c r="B188">
        <f>ADP!D188</f>
        <v>0</v>
      </c>
      <c r="C188" s="39" t="s">
        <v>1501</v>
      </c>
      <c r="D188" t="e">
        <f>ADP!#REF!</f>
        <v>#REF!</v>
      </c>
      <c r="T188" t="e">
        <f>ADP!#REF!</f>
        <v>#REF!</v>
      </c>
      <c r="V188" t="e">
        <f>ADP!#REF!</f>
        <v>#REF!</v>
      </c>
    </row>
    <row r="189" spans="1:22" x14ac:dyDescent="0.2">
      <c r="A189">
        <f>ADP!B189</f>
        <v>0</v>
      </c>
      <c r="B189">
        <f>ADP!D189</f>
        <v>0</v>
      </c>
      <c r="C189" s="39" t="s">
        <v>1501</v>
      </c>
      <c r="D189" t="e">
        <f>ADP!#REF!</f>
        <v>#REF!</v>
      </c>
      <c r="T189" t="e">
        <f>ADP!#REF!</f>
        <v>#REF!</v>
      </c>
      <c r="V189" t="e">
        <f>ADP!#REF!</f>
        <v>#REF!</v>
      </c>
    </row>
    <row r="190" spans="1:22" x14ac:dyDescent="0.2">
      <c r="A190">
        <f>ADP!B190</f>
        <v>0</v>
      </c>
      <c r="B190">
        <f>ADP!D190</f>
        <v>0</v>
      </c>
      <c r="C190" s="39" t="s">
        <v>1501</v>
      </c>
      <c r="D190" t="e">
        <f>ADP!#REF!</f>
        <v>#REF!</v>
      </c>
      <c r="T190" t="e">
        <f>ADP!#REF!</f>
        <v>#REF!</v>
      </c>
      <c r="V190" t="e">
        <f>ADP!#REF!</f>
        <v>#REF!</v>
      </c>
    </row>
    <row r="191" spans="1:22" x14ac:dyDescent="0.2">
      <c r="A191">
        <f>ADP!B191</f>
        <v>0</v>
      </c>
      <c r="B191">
        <f>ADP!D191</f>
        <v>0</v>
      </c>
      <c r="C191" s="39" t="s">
        <v>1501</v>
      </c>
      <c r="D191" t="e">
        <f>ADP!#REF!</f>
        <v>#REF!</v>
      </c>
      <c r="T191" t="e">
        <f>ADP!#REF!</f>
        <v>#REF!</v>
      </c>
      <c r="V191" t="e">
        <f>ADP!#REF!</f>
        <v>#REF!</v>
      </c>
    </row>
    <row r="192" spans="1:22" x14ac:dyDescent="0.2">
      <c r="A192">
        <f>ADP!B192</f>
        <v>0</v>
      </c>
      <c r="B192">
        <f>ADP!D192</f>
        <v>0</v>
      </c>
      <c r="C192" s="39" t="s">
        <v>1501</v>
      </c>
      <c r="D192" t="e">
        <f>ADP!#REF!</f>
        <v>#REF!</v>
      </c>
      <c r="T192" t="e">
        <f>ADP!#REF!</f>
        <v>#REF!</v>
      </c>
      <c r="V192" t="e">
        <f>ADP!#REF!</f>
        <v>#REF!</v>
      </c>
    </row>
    <row r="193" spans="1:22" x14ac:dyDescent="0.2">
      <c r="A193">
        <f>ADP!B193</f>
        <v>0</v>
      </c>
      <c r="B193">
        <f>ADP!D193</f>
        <v>0</v>
      </c>
      <c r="C193" s="39" t="s">
        <v>1501</v>
      </c>
      <c r="D193" t="e">
        <f>ADP!#REF!</f>
        <v>#REF!</v>
      </c>
      <c r="T193" t="e">
        <f>ADP!#REF!</f>
        <v>#REF!</v>
      </c>
      <c r="V193" t="e">
        <f>ADP!#REF!</f>
        <v>#REF!</v>
      </c>
    </row>
    <row r="194" spans="1:22" x14ac:dyDescent="0.2">
      <c r="A194">
        <f>ADP!B194</f>
        <v>0</v>
      </c>
      <c r="B194">
        <f>ADP!D194</f>
        <v>0</v>
      </c>
      <c r="C194" s="39" t="s">
        <v>1501</v>
      </c>
      <c r="D194" t="e">
        <f>ADP!#REF!</f>
        <v>#REF!</v>
      </c>
      <c r="T194" t="e">
        <f>ADP!#REF!</f>
        <v>#REF!</v>
      </c>
      <c r="V194" t="e">
        <f>ADP!#REF!</f>
        <v>#REF!</v>
      </c>
    </row>
    <row r="195" spans="1:22" x14ac:dyDescent="0.2">
      <c r="A195">
        <f>ADP!B195</f>
        <v>0</v>
      </c>
      <c r="B195">
        <f>ADP!D195</f>
        <v>0</v>
      </c>
      <c r="C195" s="39" t="s">
        <v>1501</v>
      </c>
      <c r="D195" t="e">
        <f>ADP!#REF!</f>
        <v>#REF!</v>
      </c>
      <c r="T195" t="e">
        <f>ADP!#REF!</f>
        <v>#REF!</v>
      </c>
      <c r="V195" t="e">
        <f>ADP!#REF!</f>
        <v>#REF!</v>
      </c>
    </row>
    <row r="196" spans="1:22" x14ac:dyDescent="0.2">
      <c r="A196">
        <f>ADP!B196</f>
        <v>0</v>
      </c>
      <c r="B196">
        <f>ADP!D196</f>
        <v>0</v>
      </c>
      <c r="C196" s="39" t="s">
        <v>1501</v>
      </c>
      <c r="D196" t="e">
        <f>ADP!#REF!</f>
        <v>#REF!</v>
      </c>
      <c r="T196" t="e">
        <f>ADP!#REF!</f>
        <v>#REF!</v>
      </c>
      <c r="V196" t="e">
        <f>ADP!#REF!</f>
        <v>#REF!</v>
      </c>
    </row>
    <row r="197" spans="1:22" x14ac:dyDescent="0.2">
      <c r="A197">
        <f>ADP!B197</f>
        <v>0</v>
      </c>
      <c r="B197">
        <f>ADP!D197</f>
        <v>0</v>
      </c>
      <c r="C197" s="39" t="s">
        <v>1501</v>
      </c>
      <c r="D197" t="e">
        <f>ADP!#REF!</f>
        <v>#REF!</v>
      </c>
      <c r="T197" t="e">
        <f>ADP!#REF!</f>
        <v>#REF!</v>
      </c>
      <c r="V197" t="e">
        <f>ADP!#REF!</f>
        <v>#REF!</v>
      </c>
    </row>
    <row r="198" spans="1:22" x14ac:dyDescent="0.2">
      <c r="A198">
        <f>ADP!B198</f>
        <v>0</v>
      </c>
      <c r="B198">
        <f>ADP!D198</f>
        <v>0</v>
      </c>
      <c r="C198" s="39" t="s">
        <v>1501</v>
      </c>
      <c r="D198" t="e">
        <f>ADP!#REF!</f>
        <v>#REF!</v>
      </c>
      <c r="T198" t="e">
        <f>ADP!#REF!</f>
        <v>#REF!</v>
      </c>
      <c r="V198" t="e">
        <f>ADP!#REF!</f>
        <v>#REF!</v>
      </c>
    </row>
    <row r="199" spans="1:22" x14ac:dyDescent="0.2">
      <c r="A199">
        <f>ADP!B199</f>
        <v>0</v>
      </c>
      <c r="B199">
        <f>ADP!D199</f>
        <v>0</v>
      </c>
      <c r="C199" s="39" t="s">
        <v>1501</v>
      </c>
      <c r="D199" t="e">
        <f>ADP!#REF!</f>
        <v>#REF!</v>
      </c>
      <c r="T199" t="e">
        <f>ADP!#REF!</f>
        <v>#REF!</v>
      </c>
      <c r="V199" t="e">
        <f>ADP!#REF!</f>
        <v>#REF!</v>
      </c>
    </row>
    <row r="200" spans="1:22" x14ac:dyDescent="0.2">
      <c r="A200">
        <f>ADP!B200</f>
        <v>0</v>
      </c>
      <c r="B200">
        <f>ADP!D200</f>
        <v>0</v>
      </c>
      <c r="C200" s="39" t="s">
        <v>1501</v>
      </c>
      <c r="D200" t="e">
        <f>ADP!#REF!</f>
        <v>#REF!</v>
      </c>
      <c r="T200" t="e">
        <f>ADP!#REF!</f>
        <v>#REF!</v>
      </c>
      <c r="V200" t="e">
        <f>ADP!#REF!</f>
        <v>#REF!</v>
      </c>
    </row>
    <row r="201" spans="1:22" x14ac:dyDescent="0.2">
      <c r="A201">
        <f>ADP!B201</f>
        <v>0</v>
      </c>
      <c r="B201">
        <f>ADP!D201</f>
        <v>0</v>
      </c>
      <c r="C201" s="39" t="s">
        <v>1501</v>
      </c>
      <c r="D201" t="e">
        <f>ADP!#REF!</f>
        <v>#REF!</v>
      </c>
      <c r="T201" t="e">
        <f>ADP!#REF!</f>
        <v>#REF!</v>
      </c>
      <c r="V201" t="e">
        <f>ADP!#REF!</f>
        <v>#REF!</v>
      </c>
    </row>
    <row r="202" spans="1:22" x14ac:dyDescent="0.2">
      <c r="A202">
        <f>ADP!B202</f>
        <v>0</v>
      </c>
      <c r="B202">
        <f>ADP!D202</f>
        <v>0</v>
      </c>
      <c r="C202" s="39" t="s">
        <v>1501</v>
      </c>
      <c r="D202" t="e">
        <f>ADP!#REF!</f>
        <v>#REF!</v>
      </c>
      <c r="T202" t="e">
        <f>ADP!#REF!</f>
        <v>#REF!</v>
      </c>
      <c r="V202" t="e">
        <f>ADP!#REF!</f>
        <v>#REF!</v>
      </c>
    </row>
    <row r="203" spans="1:22" x14ac:dyDescent="0.2">
      <c r="A203">
        <f>ADP!B203</f>
        <v>0</v>
      </c>
      <c r="B203">
        <f>ADP!D203</f>
        <v>0</v>
      </c>
      <c r="C203" s="39" t="s">
        <v>1501</v>
      </c>
      <c r="D203" t="e">
        <f>ADP!#REF!</f>
        <v>#REF!</v>
      </c>
      <c r="T203" t="e">
        <f>ADP!#REF!</f>
        <v>#REF!</v>
      </c>
      <c r="V203" t="e">
        <f>ADP!#REF!</f>
        <v>#REF!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3" tint="0.249977111117893"/>
  </sheetPr>
  <dimension ref="A1:BO203"/>
  <sheetViews>
    <sheetView topLeftCell="A3" workbookViewId="0">
      <selection activeCell="A3" sqref="A3"/>
    </sheetView>
  </sheetViews>
  <sheetFormatPr baseColWidth="10" defaultRowHeight="15" x14ac:dyDescent="0.2"/>
  <sheetData>
    <row r="1" spans="1:67" x14ac:dyDescent="0.2">
      <c r="A1" s="47" t="s">
        <v>1433</v>
      </c>
    </row>
    <row r="2" spans="1:67" x14ac:dyDescent="0.2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 x14ac:dyDescent="0.2">
      <c r="A3" s="28" t="s">
        <v>1434</v>
      </c>
      <c r="B3" s="28" t="s">
        <v>1435</v>
      </c>
      <c r="C3" s="29" t="s">
        <v>1436</v>
      </c>
      <c r="D3" s="29" t="s">
        <v>1437</v>
      </c>
      <c r="E3" s="29" t="s">
        <v>1438</v>
      </c>
      <c r="F3" s="29" t="s">
        <v>1439</v>
      </c>
      <c r="G3" s="29" t="s">
        <v>1440</v>
      </c>
      <c r="H3" s="29" t="s">
        <v>1441</v>
      </c>
      <c r="I3" s="29" t="s">
        <v>1442</v>
      </c>
      <c r="J3" s="29" t="s">
        <v>1443</v>
      </c>
      <c r="K3" s="29" t="s">
        <v>1444</v>
      </c>
      <c r="L3" s="29" t="s">
        <v>1445</v>
      </c>
      <c r="M3" s="29" t="s">
        <v>1446</v>
      </c>
      <c r="N3" s="29" t="s">
        <v>1447</v>
      </c>
      <c r="O3" s="29" t="s">
        <v>1448</v>
      </c>
      <c r="P3" s="29" t="s">
        <v>1449</v>
      </c>
      <c r="Q3" s="29" t="s">
        <v>1450</v>
      </c>
      <c r="R3" s="31" t="s">
        <v>1451</v>
      </c>
      <c r="S3" s="29" t="s">
        <v>1452</v>
      </c>
      <c r="T3" s="31" t="s">
        <v>1453</v>
      </c>
      <c r="U3" s="29" t="s">
        <v>1454</v>
      </c>
      <c r="V3" s="29" t="s">
        <v>1455</v>
      </c>
      <c r="W3" s="29" t="s">
        <v>1456</v>
      </c>
      <c r="X3" s="29" t="s">
        <v>1457</v>
      </c>
      <c r="Y3" s="29" t="s">
        <v>1458</v>
      </c>
      <c r="Z3" s="29" t="s">
        <v>1459</v>
      </c>
      <c r="AA3" s="29" t="s">
        <v>1460</v>
      </c>
      <c r="AB3" s="29" t="s">
        <v>1461</v>
      </c>
      <c r="AC3" s="29" t="s">
        <v>1462</v>
      </c>
      <c r="AD3" s="29" t="s">
        <v>1463</v>
      </c>
      <c r="AE3" s="29" t="s">
        <v>1464</v>
      </c>
      <c r="AF3" s="29" t="s">
        <v>1465</v>
      </c>
      <c r="AG3" s="31" t="s">
        <v>1466</v>
      </c>
      <c r="AH3" s="31" t="s">
        <v>1467</v>
      </c>
      <c r="AI3" s="31" t="s">
        <v>1468</v>
      </c>
      <c r="AJ3" s="29" t="s">
        <v>1469</v>
      </c>
      <c r="AK3" s="29" t="s">
        <v>1470</v>
      </c>
      <c r="AL3" s="29" t="s">
        <v>1471</v>
      </c>
      <c r="AM3" s="29" t="s">
        <v>1472</v>
      </c>
      <c r="AN3" s="29" t="s">
        <v>1473</v>
      </c>
      <c r="AO3" s="29" t="s">
        <v>1474</v>
      </c>
      <c r="AP3" s="29" t="s">
        <v>1475</v>
      </c>
      <c r="AQ3" s="29" t="s">
        <v>1476</v>
      </c>
      <c r="AR3" s="29" t="s">
        <v>1477</v>
      </c>
      <c r="AS3" s="29" t="s">
        <v>1478</v>
      </c>
      <c r="AT3" s="29" t="s">
        <v>1479</v>
      </c>
      <c r="AU3" s="29" t="s">
        <v>1480</v>
      </c>
      <c r="AV3" s="29" t="s">
        <v>1481</v>
      </c>
      <c r="AW3" s="29" t="s">
        <v>1482</v>
      </c>
      <c r="AX3" s="29" t="s">
        <v>1483</v>
      </c>
      <c r="AY3" s="29" t="s">
        <v>1484</v>
      </c>
      <c r="AZ3" s="29" t="s">
        <v>1485</v>
      </c>
      <c r="BA3" s="29" t="s">
        <v>1486</v>
      </c>
      <c r="BB3" s="29" t="s">
        <v>1487</v>
      </c>
      <c r="BC3" s="29" t="s">
        <v>1488</v>
      </c>
      <c r="BD3" s="29" t="s">
        <v>1489</v>
      </c>
      <c r="BE3" s="29" t="s">
        <v>1490</v>
      </c>
      <c r="BF3" s="29" t="s">
        <v>1491</v>
      </c>
      <c r="BG3" s="29" t="s">
        <v>1492</v>
      </c>
      <c r="BH3" s="29" t="s">
        <v>1493</v>
      </c>
      <c r="BI3" s="29" t="s">
        <v>1494</v>
      </c>
      <c r="BJ3" s="29" t="s">
        <v>1495</v>
      </c>
      <c r="BK3" s="29" t="s">
        <v>1496</v>
      </c>
      <c r="BL3" s="29" t="s">
        <v>1497</v>
      </c>
      <c r="BM3" s="29" t="s">
        <v>1498</v>
      </c>
      <c r="BN3" s="29" t="s">
        <v>1499</v>
      </c>
      <c r="BO3" s="29" t="s">
        <v>1500</v>
      </c>
    </row>
    <row r="4" spans="1:67" x14ac:dyDescent="0.2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1130</v>
      </c>
      <c r="BK4" s="33" t="s">
        <v>1130</v>
      </c>
      <c r="BL4" s="33" t="s">
        <v>1130</v>
      </c>
      <c r="BM4" s="33" t="s">
        <v>1130</v>
      </c>
      <c r="BN4" s="33" t="s">
        <v>1130</v>
      </c>
      <c r="BO4" s="33" t="s">
        <v>1130</v>
      </c>
    </row>
    <row r="5" spans="1:67" x14ac:dyDescent="0.2">
      <c r="A5" s="39" t="s">
        <v>1501</v>
      </c>
      <c r="B5" t="str">
        <f>ADP!P5</f>
        <v>211837</v>
      </c>
      <c r="R5" t="str">
        <f>ADP!AG5</f>
        <v>General</v>
      </c>
      <c r="T5" t="str">
        <f>ADP!AD5</f>
        <v>0088</v>
      </c>
    </row>
    <row r="6" spans="1:67" x14ac:dyDescent="0.2">
      <c r="A6" s="39" t="s">
        <v>1501</v>
      </c>
      <c r="B6" t="str">
        <f>ADP!P6</f>
        <v>213331</v>
      </c>
      <c r="R6" t="str">
        <f>ADP!AG6</f>
        <v>General</v>
      </c>
      <c r="T6" t="str">
        <f>ADP!AD6</f>
        <v>0088</v>
      </c>
    </row>
    <row r="7" spans="1:67" x14ac:dyDescent="0.2">
      <c r="A7" s="39" t="s">
        <v>1501</v>
      </c>
      <c r="B7" t="str">
        <f>ADP!P7</f>
        <v>213226</v>
      </c>
      <c r="R7" t="str">
        <f>ADP!AG7</f>
        <v>General</v>
      </c>
      <c r="T7" t="str">
        <f>ADP!AD7</f>
        <v>0088</v>
      </c>
    </row>
    <row r="8" spans="1:67" x14ac:dyDescent="0.2">
      <c r="A8" s="39" t="s">
        <v>1501</v>
      </c>
      <c r="B8" t="str">
        <f>ADP!P8</f>
        <v>210892</v>
      </c>
      <c r="R8" t="str">
        <f>ADP!AG8</f>
        <v>General</v>
      </c>
      <c r="T8" t="str">
        <f>ADP!AD8</f>
        <v>0088</v>
      </c>
    </row>
    <row r="9" spans="1:67" x14ac:dyDescent="0.2">
      <c r="A9" s="39" t="s">
        <v>1501</v>
      </c>
      <c r="B9" t="str">
        <f>ADP!P9</f>
        <v>206848</v>
      </c>
      <c r="R9" t="str">
        <f>ADP!AG9</f>
        <v>General</v>
      </c>
      <c r="T9" t="str">
        <f>ADP!AD9</f>
        <v>0088</v>
      </c>
    </row>
    <row r="10" spans="1:67" x14ac:dyDescent="0.2">
      <c r="A10" s="39" t="s">
        <v>1501</v>
      </c>
      <c r="B10" t="str">
        <f>ADP!P10</f>
        <v>201688</v>
      </c>
      <c r="R10" t="str">
        <f>ADP!AG10</f>
        <v>General</v>
      </c>
      <c r="T10" t="str">
        <f>ADP!AD10</f>
        <v>0088</v>
      </c>
    </row>
    <row r="11" spans="1:67" x14ac:dyDescent="0.2">
      <c r="A11" s="39" t="s">
        <v>1501</v>
      </c>
      <c r="B11" t="str">
        <f>ADP!P11</f>
        <v>902688</v>
      </c>
      <c r="R11" t="str">
        <f>ADP!AG11</f>
        <v>General</v>
      </c>
      <c r="T11" t="str">
        <f>ADP!AD11</f>
        <v>0088</v>
      </c>
    </row>
    <row r="12" spans="1:67" x14ac:dyDescent="0.2">
      <c r="A12" s="39" t="s">
        <v>1501</v>
      </c>
      <c r="B12" t="str">
        <f>ADP!P12</f>
        <v>207709</v>
      </c>
      <c r="R12" t="str">
        <f>ADP!AG12</f>
        <v>Senior Leadership</v>
      </c>
      <c r="T12" t="str">
        <f>ADP!AD12</f>
        <v>0088</v>
      </c>
    </row>
    <row r="13" spans="1:67" x14ac:dyDescent="0.2">
      <c r="A13" s="39" t="s">
        <v>1501</v>
      </c>
      <c r="B13" t="str">
        <f>ADP!P13</f>
        <v>209579</v>
      </c>
      <c r="R13" t="str">
        <f>ADP!AG13</f>
        <v>General</v>
      </c>
      <c r="T13" t="str">
        <f>ADP!AD13</f>
        <v>0096</v>
      </c>
    </row>
    <row r="14" spans="1:67" x14ac:dyDescent="0.2">
      <c r="A14" s="39" t="s">
        <v>1501</v>
      </c>
      <c r="B14" t="str">
        <f>ADP!P14</f>
        <v>213037</v>
      </c>
      <c r="R14" t="str">
        <f>ADP!AG14</f>
        <v>General</v>
      </c>
      <c r="T14" t="str">
        <f>ADP!AD14</f>
        <v>0096</v>
      </c>
    </row>
    <row r="15" spans="1:67" x14ac:dyDescent="0.2">
      <c r="A15" s="39" t="s">
        <v>1501</v>
      </c>
      <c r="B15" t="str">
        <f>ADP!P15</f>
        <v>213333</v>
      </c>
      <c r="R15" t="str">
        <f>ADP!AG15</f>
        <v>General</v>
      </c>
      <c r="T15" t="str">
        <f>ADP!AD15</f>
        <v>0088</v>
      </c>
    </row>
    <row r="16" spans="1:67" x14ac:dyDescent="0.2">
      <c r="A16" s="39" t="s">
        <v>1501</v>
      </c>
      <c r="B16" t="str">
        <f>ADP!P16</f>
        <v>212626</v>
      </c>
      <c r="R16" t="str">
        <f>ADP!AG16</f>
        <v>General</v>
      </c>
      <c r="T16" t="str">
        <f>ADP!AD16</f>
        <v>0088</v>
      </c>
    </row>
    <row r="17" spans="1:20" x14ac:dyDescent="0.2">
      <c r="A17" s="39" t="s">
        <v>1501</v>
      </c>
      <c r="B17" t="str">
        <f>ADP!P17</f>
        <v>212639</v>
      </c>
      <c r="R17" t="str">
        <f>ADP!AG17</f>
        <v>General</v>
      </c>
      <c r="T17" t="str">
        <f>ADP!AD17</f>
        <v>0088</v>
      </c>
    </row>
    <row r="18" spans="1:20" x14ac:dyDescent="0.2">
      <c r="A18" s="39" t="s">
        <v>1501</v>
      </c>
      <c r="B18" t="str">
        <f>ADP!P18</f>
        <v>211464</v>
      </c>
      <c r="R18" t="str">
        <f>ADP!AG18</f>
        <v>General</v>
      </c>
      <c r="T18" t="str">
        <f>ADP!AD18</f>
        <v>0088</v>
      </c>
    </row>
    <row r="19" spans="1:20" x14ac:dyDescent="0.2">
      <c r="A19" s="39" t="s">
        <v>1501</v>
      </c>
      <c r="B19" t="str">
        <f>ADP!P19</f>
        <v>210102</v>
      </c>
      <c r="R19" t="str">
        <f>ADP!AG19</f>
        <v>General</v>
      </c>
      <c r="T19" t="str">
        <f>ADP!AD19</f>
        <v>0096</v>
      </c>
    </row>
    <row r="20" spans="1:20" x14ac:dyDescent="0.2">
      <c r="A20" s="39" t="s">
        <v>1501</v>
      </c>
      <c r="B20" t="str">
        <f>ADP!P20</f>
        <v>211174</v>
      </c>
      <c r="R20" t="str">
        <f>ADP!AG20</f>
        <v>General</v>
      </c>
      <c r="T20" t="str">
        <f>ADP!AD20</f>
        <v>0088</v>
      </c>
    </row>
    <row r="21" spans="1:20" x14ac:dyDescent="0.2">
      <c r="A21" s="39" t="s">
        <v>1501</v>
      </c>
      <c r="B21" t="str">
        <f>ADP!P21</f>
        <v>006769</v>
      </c>
      <c r="R21" t="str">
        <f>ADP!AG21</f>
        <v>General</v>
      </c>
      <c r="T21" t="str">
        <f>ADP!AD21</f>
        <v>0096</v>
      </c>
    </row>
    <row r="22" spans="1:20" x14ac:dyDescent="0.2">
      <c r="A22" s="39" t="s">
        <v>1501</v>
      </c>
      <c r="B22" t="str">
        <f>ADP!P22</f>
        <v>209735</v>
      </c>
      <c r="R22" t="str">
        <f>ADP!AG22</f>
        <v>General</v>
      </c>
      <c r="T22" t="str">
        <f>ADP!AD22</f>
        <v>0088</v>
      </c>
    </row>
    <row r="23" spans="1:20" x14ac:dyDescent="0.2">
      <c r="A23" s="39" t="s">
        <v>1501</v>
      </c>
      <c r="B23" t="str">
        <f>ADP!P23</f>
        <v>211756</v>
      </c>
      <c r="R23" t="str">
        <f>ADP!AG23</f>
        <v>General</v>
      </c>
      <c r="T23" t="str">
        <f>ADP!AD23</f>
        <v>0088</v>
      </c>
    </row>
    <row r="24" spans="1:20" x14ac:dyDescent="0.2">
      <c r="A24" s="39" t="s">
        <v>1501</v>
      </c>
      <c r="B24" t="str">
        <f>ADP!P24</f>
        <v>206741</v>
      </c>
      <c r="R24" t="str">
        <f>ADP!AG24</f>
        <v>General</v>
      </c>
      <c r="T24" t="str">
        <f>ADP!AD24</f>
        <v>0096</v>
      </c>
    </row>
    <row r="25" spans="1:20" x14ac:dyDescent="0.2">
      <c r="A25" s="39" t="s">
        <v>1501</v>
      </c>
      <c r="B25" t="str">
        <f>ADP!P25</f>
        <v>900826</v>
      </c>
      <c r="R25" t="str">
        <f>ADP!AG25</f>
        <v>General</v>
      </c>
      <c r="T25" t="str">
        <f>ADP!AD25</f>
        <v>0096</v>
      </c>
    </row>
    <row r="26" spans="1:20" x14ac:dyDescent="0.2">
      <c r="A26" s="39" t="s">
        <v>1501</v>
      </c>
      <c r="B26" t="str">
        <f>ADP!P26</f>
        <v>212737</v>
      </c>
      <c r="R26" t="str">
        <f>ADP!AG26</f>
        <v>General</v>
      </c>
      <c r="T26" t="str">
        <f>ADP!AD26</f>
        <v>0096</v>
      </c>
    </row>
    <row r="27" spans="1:20" x14ac:dyDescent="0.2">
      <c r="A27" s="39" t="s">
        <v>1501</v>
      </c>
      <c r="B27" t="str">
        <f>ADP!P27</f>
        <v>902435</v>
      </c>
      <c r="R27" t="str">
        <f>ADP!AG27</f>
        <v>General</v>
      </c>
      <c r="T27" t="str">
        <f>ADP!AD27</f>
        <v>0088</v>
      </c>
    </row>
    <row r="28" spans="1:20" x14ac:dyDescent="0.2">
      <c r="A28" s="39" t="s">
        <v>1501</v>
      </c>
      <c r="B28" t="str">
        <f>ADP!P28</f>
        <v>213265</v>
      </c>
      <c r="R28" t="str">
        <f>ADP!AG28</f>
        <v>General</v>
      </c>
      <c r="T28" t="str">
        <f>ADP!AD28</f>
        <v>0096</v>
      </c>
    </row>
    <row r="29" spans="1:20" x14ac:dyDescent="0.2">
      <c r="A29" s="39" t="s">
        <v>1501</v>
      </c>
      <c r="B29" t="str">
        <f>ADP!P29</f>
        <v>212699</v>
      </c>
      <c r="R29" t="str">
        <f>ADP!AG29</f>
        <v>General</v>
      </c>
      <c r="T29" t="str">
        <f>ADP!AD29</f>
        <v>0088</v>
      </c>
    </row>
    <row r="30" spans="1:20" x14ac:dyDescent="0.2">
      <c r="A30" s="39" t="s">
        <v>1501</v>
      </c>
      <c r="B30" t="str">
        <f>ADP!P30</f>
        <v>006774</v>
      </c>
      <c r="R30" t="str">
        <f>ADP!AG30</f>
        <v>General</v>
      </c>
      <c r="T30" t="str">
        <f>ADP!AD30</f>
        <v>0096</v>
      </c>
    </row>
    <row r="31" spans="1:20" x14ac:dyDescent="0.2">
      <c r="A31" s="39" t="s">
        <v>1501</v>
      </c>
      <c r="B31" t="str">
        <f>ADP!P31</f>
        <v>207391</v>
      </c>
      <c r="R31" t="str">
        <f>ADP!AG31</f>
        <v>General</v>
      </c>
      <c r="T31" t="str">
        <f>ADP!AD31</f>
        <v>0088</v>
      </c>
    </row>
    <row r="32" spans="1:20" x14ac:dyDescent="0.2">
      <c r="A32" s="39" t="s">
        <v>1501</v>
      </c>
      <c r="B32" t="str">
        <f>ADP!P32</f>
        <v>211895</v>
      </c>
      <c r="R32" t="str">
        <f>ADP!AG32</f>
        <v>General</v>
      </c>
      <c r="T32" t="str">
        <f>ADP!AD32</f>
        <v>0088</v>
      </c>
    </row>
    <row r="33" spans="1:20" x14ac:dyDescent="0.2">
      <c r="A33" s="39" t="s">
        <v>1501</v>
      </c>
      <c r="B33" t="str">
        <f>ADP!P33</f>
        <v>201958</v>
      </c>
      <c r="R33" t="str">
        <f>ADP!AG33</f>
        <v>General</v>
      </c>
      <c r="T33" t="str">
        <f>ADP!AD33</f>
        <v>0096</v>
      </c>
    </row>
    <row r="34" spans="1:20" x14ac:dyDescent="0.2">
      <c r="A34" s="39" t="s">
        <v>1501</v>
      </c>
      <c r="B34" t="str">
        <f>ADP!P34</f>
        <v>900848</v>
      </c>
      <c r="R34" t="str">
        <f>ADP!AG34</f>
        <v>General</v>
      </c>
      <c r="T34" t="str">
        <f>ADP!AD34</f>
        <v>0088</v>
      </c>
    </row>
    <row r="35" spans="1:20" x14ac:dyDescent="0.2">
      <c r="A35" s="39" t="s">
        <v>1501</v>
      </c>
      <c r="B35" t="str">
        <f>ADP!P35</f>
        <v>007863</v>
      </c>
      <c r="R35" t="str">
        <f>ADP!AG35</f>
        <v>General</v>
      </c>
      <c r="T35" t="str">
        <f>ADP!AD35</f>
        <v>0096</v>
      </c>
    </row>
    <row r="36" spans="1:20" x14ac:dyDescent="0.2">
      <c r="A36" s="39" t="s">
        <v>1501</v>
      </c>
      <c r="B36" t="str">
        <f>ADP!P36</f>
        <v>212151</v>
      </c>
      <c r="R36" t="str">
        <f>ADP!AG36</f>
        <v>General</v>
      </c>
      <c r="T36" t="str">
        <f>ADP!AD36</f>
        <v>0088</v>
      </c>
    </row>
    <row r="37" spans="1:20" x14ac:dyDescent="0.2">
      <c r="A37" s="39" t="s">
        <v>1501</v>
      </c>
      <c r="B37" t="str">
        <f>ADP!P37</f>
        <v>211779</v>
      </c>
      <c r="R37" t="str">
        <f>ADP!AG37</f>
        <v>General</v>
      </c>
      <c r="T37" t="str">
        <f>ADP!AD37</f>
        <v>0088</v>
      </c>
    </row>
    <row r="38" spans="1:20" x14ac:dyDescent="0.2">
      <c r="A38" s="39" t="s">
        <v>1501</v>
      </c>
      <c r="B38" t="str">
        <f>ADP!P38</f>
        <v>004352</v>
      </c>
      <c r="R38" t="str">
        <f>ADP!AG38</f>
        <v>General</v>
      </c>
      <c r="T38" t="str">
        <f>ADP!AD38</f>
        <v>0096</v>
      </c>
    </row>
    <row r="39" spans="1:20" x14ac:dyDescent="0.2">
      <c r="A39" s="39" t="s">
        <v>1501</v>
      </c>
      <c r="B39" t="str">
        <f>ADP!P39</f>
        <v>006780</v>
      </c>
      <c r="R39" t="str">
        <f>ADP!AG39</f>
        <v>General</v>
      </c>
      <c r="T39" t="str">
        <f>ADP!AD39</f>
        <v>0096</v>
      </c>
    </row>
    <row r="40" spans="1:20" x14ac:dyDescent="0.2">
      <c r="A40" s="39" t="s">
        <v>1501</v>
      </c>
      <c r="B40" t="str">
        <f>ADP!P40</f>
        <v>902627</v>
      </c>
      <c r="R40" t="str">
        <f>ADP!AG40</f>
        <v>General</v>
      </c>
      <c r="T40" t="str">
        <f>ADP!AD40</f>
        <v>0096</v>
      </c>
    </row>
    <row r="41" spans="1:20" x14ac:dyDescent="0.2">
      <c r="A41" s="39" t="s">
        <v>1501</v>
      </c>
      <c r="B41" t="str">
        <f>ADP!P41</f>
        <v>211991</v>
      </c>
      <c r="R41" t="str">
        <f>ADP!AG41</f>
        <v>General</v>
      </c>
      <c r="T41" t="str">
        <f>ADP!AD41</f>
        <v>0088</v>
      </c>
    </row>
    <row r="42" spans="1:20" x14ac:dyDescent="0.2">
      <c r="A42" s="39" t="s">
        <v>1501</v>
      </c>
      <c r="B42" t="str">
        <f>ADP!P42</f>
        <v>209642</v>
      </c>
      <c r="R42" t="str">
        <f>ADP!AG42</f>
        <v>General</v>
      </c>
      <c r="T42" t="str">
        <f>ADP!AD42</f>
        <v>0088</v>
      </c>
    </row>
    <row r="43" spans="1:20" x14ac:dyDescent="0.2">
      <c r="A43" s="39" t="s">
        <v>1501</v>
      </c>
      <c r="B43" t="str">
        <f>ADP!P43</f>
        <v>213224</v>
      </c>
      <c r="R43" t="str">
        <f>ADP!AG43</f>
        <v>General</v>
      </c>
      <c r="T43" t="str">
        <f>ADP!AD43</f>
        <v>0088</v>
      </c>
    </row>
    <row r="44" spans="1:20" x14ac:dyDescent="0.2">
      <c r="A44" s="39" t="s">
        <v>1501</v>
      </c>
      <c r="B44" t="str">
        <f>ADP!P44</f>
        <v>206228</v>
      </c>
      <c r="R44" t="str">
        <f>ADP!AG44</f>
        <v>General</v>
      </c>
      <c r="T44" t="str">
        <f>ADP!AD44</f>
        <v>0088</v>
      </c>
    </row>
    <row r="45" spans="1:20" x14ac:dyDescent="0.2">
      <c r="A45" s="39" t="s">
        <v>1501</v>
      </c>
      <c r="B45" t="str">
        <f>ADP!P45</f>
        <v>211489</v>
      </c>
      <c r="R45" t="str">
        <f>ADP!AG45</f>
        <v>General</v>
      </c>
      <c r="T45" t="str">
        <f>ADP!AD45</f>
        <v>0088</v>
      </c>
    </row>
    <row r="46" spans="1:20" x14ac:dyDescent="0.2">
      <c r="A46" s="39" t="s">
        <v>1501</v>
      </c>
      <c r="B46" t="str">
        <f>ADP!P46</f>
        <v>901454</v>
      </c>
      <c r="R46" t="str">
        <f>ADP!AG46</f>
        <v>General</v>
      </c>
      <c r="T46" t="str">
        <f>ADP!AD46</f>
        <v>0096</v>
      </c>
    </row>
    <row r="47" spans="1:20" x14ac:dyDescent="0.2">
      <c r="A47" s="39" t="s">
        <v>1501</v>
      </c>
      <c r="B47" t="str">
        <f>ADP!P47</f>
        <v>209425</v>
      </c>
      <c r="R47" t="str">
        <f>ADP!AG47</f>
        <v>General</v>
      </c>
      <c r="T47" t="str">
        <f>ADP!AD47</f>
        <v>0088</v>
      </c>
    </row>
    <row r="48" spans="1:20" x14ac:dyDescent="0.2">
      <c r="A48" s="39" t="s">
        <v>1501</v>
      </c>
      <c r="B48" t="str">
        <f>ADP!P48</f>
        <v>213144</v>
      </c>
      <c r="R48" t="str">
        <f>ADP!AG48</f>
        <v>General</v>
      </c>
      <c r="T48" t="str">
        <f>ADP!AD48</f>
        <v>0096</v>
      </c>
    </row>
    <row r="49" spans="1:20" x14ac:dyDescent="0.2">
      <c r="A49" s="39" t="s">
        <v>1501</v>
      </c>
      <c r="B49" t="str">
        <f>ADP!P49</f>
        <v>209424</v>
      </c>
      <c r="R49" t="str">
        <f>ADP!AG49</f>
        <v>General</v>
      </c>
      <c r="T49" t="str">
        <f>ADP!AD49</f>
        <v>0088</v>
      </c>
    </row>
    <row r="50" spans="1:20" x14ac:dyDescent="0.2">
      <c r="A50" s="39" t="s">
        <v>1501</v>
      </c>
      <c r="B50" t="str">
        <f>ADP!P50</f>
        <v>211181</v>
      </c>
      <c r="R50" t="str">
        <f>ADP!AG50</f>
        <v>General</v>
      </c>
      <c r="T50" t="str">
        <f>ADP!AD50</f>
        <v>0088</v>
      </c>
    </row>
    <row r="51" spans="1:20" x14ac:dyDescent="0.2">
      <c r="A51" s="39" t="s">
        <v>1501</v>
      </c>
      <c r="B51" t="str">
        <f>ADP!P51</f>
        <v>211145</v>
      </c>
      <c r="R51" t="str">
        <f>ADP!AG51</f>
        <v>General</v>
      </c>
      <c r="T51" t="str">
        <f>ADP!AD51</f>
        <v>0096</v>
      </c>
    </row>
    <row r="52" spans="1:20" x14ac:dyDescent="0.2">
      <c r="A52" s="39" t="s">
        <v>1501</v>
      </c>
      <c r="B52" t="str">
        <f>ADP!P52</f>
        <v>006792</v>
      </c>
      <c r="R52" t="str">
        <f>ADP!AG52</f>
        <v>General</v>
      </c>
      <c r="T52" t="str">
        <f>ADP!AD52</f>
        <v>0096</v>
      </c>
    </row>
    <row r="53" spans="1:20" x14ac:dyDescent="0.2">
      <c r="A53" s="39" t="s">
        <v>1501</v>
      </c>
      <c r="B53" t="str">
        <f>ADP!P53</f>
        <v>902349</v>
      </c>
      <c r="R53" t="str">
        <f>ADP!AG53</f>
        <v>General</v>
      </c>
      <c r="T53" t="str">
        <f>ADP!AD53</f>
        <v>0088</v>
      </c>
    </row>
    <row r="54" spans="1:20" x14ac:dyDescent="0.2">
      <c r="A54" s="39" t="s">
        <v>1501</v>
      </c>
      <c r="B54" t="str">
        <f>ADP!P54</f>
        <v>211932</v>
      </c>
      <c r="R54" t="str">
        <f>ADP!AG54</f>
        <v>General</v>
      </c>
      <c r="T54" t="str">
        <f>ADP!AD54</f>
        <v>0088</v>
      </c>
    </row>
    <row r="55" spans="1:20" x14ac:dyDescent="0.2">
      <c r="A55" s="39" t="s">
        <v>1501</v>
      </c>
      <c r="B55" t="str">
        <f>ADP!P55</f>
        <v>206442</v>
      </c>
      <c r="R55" t="str">
        <f>ADP!AG55</f>
        <v>General</v>
      </c>
      <c r="T55" t="str">
        <f>ADP!AD55</f>
        <v>0096</v>
      </c>
    </row>
    <row r="56" spans="1:20" x14ac:dyDescent="0.2">
      <c r="A56" s="39" t="s">
        <v>1501</v>
      </c>
      <c r="B56" t="str">
        <f>ADP!P56</f>
        <v>902026</v>
      </c>
      <c r="R56" t="str">
        <f>ADP!AG56</f>
        <v>General</v>
      </c>
      <c r="T56" t="str">
        <f>ADP!AD56</f>
        <v>0088</v>
      </c>
    </row>
    <row r="57" spans="1:20" x14ac:dyDescent="0.2">
      <c r="A57" s="39" t="s">
        <v>1501</v>
      </c>
      <c r="B57" t="str">
        <f>ADP!P57</f>
        <v>212418</v>
      </c>
      <c r="R57" t="str">
        <f>ADP!AG57</f>
        <v>General</v>
      </c>
      <c r="T57" t="str">
        <f>ADP!AD57</f>
        <v>0088</v>
      </c>
    </row>
    <row r="58" spans="1:20" x14ac:dyDescent="0.2">
      <c r="A58" s="39" t="s">
        <v>1501</v>
      </c>
      <c r="B58" t="str">
        <f>ADP!P58</f>
        <v>211766</v>
      </c>
      <c r="R58" t="str">
        <f>ADP!AG58</f>
        <v>General</v>
      </c>
      <c r="T58" t="str">
        <f>ADP!AD58</f>
        <v>0088</v>
      </c>
    </row>
    <row r="59" spans="1:20" x14ac:dyDescent="0.2">
      <c r="A59" s="39" t="s">
        <v>1501</v>
      </c>
      <c r="B59" t="str">
        <f>ADP!P59</f>
        <v>213298</v>
      </c>
      <c r="R59" t="str">
        <f>ADP!AG59</f>
        <v>General</v>
      </c>
      <c r="T59" t="str">
        <f>ADP!AD59</f>
        <v>0088</v>
      </c>
    </row>
    <row r="60" spans="1:20" x14ac:dyDescent="0.2">
      <c r="A60" s="39" t="s">
        <v>1501</v>
      </c>
      <c r="B60" t="str">
        <f>ADP!P60</f>
        <v>211736</v>
      </c>
      <c r="R60" t="str">
        <f>ADP!AG60</f>
        <v>General</v>
      </c>
      <c r="T60" t="str">
        <f>ADP!AD60</f>
        <v>0088</v>
      </c>
    </row>
    <row r="61" spans="1:20" x14ac:dyDescent="0.2">
      <c r="A61" s="39" t="s">
        <v>1501</v>
      </c>
      <c r="B61" t="str">
        <f>ADP!P61</f>
        <v>210910</v>
      </c>
      <c r="R61" t="str">
        <f>ADP!AG61</f>
        <v>General</v>
      </c>
      <c r="T61" t="str">
        <f>ADP!AD61</f>
        <v>0096</v>
      </c>
    </row>
    <row r="62" spans="1:20" x14ac:dyDescent="0.2">
      <c r="A62" s="39" t="s">
        <v>1501</v>
      </c>
      <c r="B62" t="str">
        <f>ADP!P62</f>
        <v>212990</v>
      </c>
      <c r="R62" t="str">
        <f>ADP!AG62</f>
        <v>General</v>
      </c>
      <c r="T62" t="str">
        <f>ADP!AD62</f>
        <v>0088</v>
      </c>
    </row>
    <row r="63" spans="1:20" x14ac:dyDescent="0.2">
      <c r="A63" s="39" t="s">
        <v>1501</v>
      </c>
      <c r="B63" t="str">
        <f>ADP!P63</f>
        <v>212598</v>
      </c>
      <c r="R63" t="str">
        <f>ADP!AG63</f>
        <v>General</v>
      </c>
      <c r="T63" t="str">
        <f>ADP!AD63</f>
        <v>0096</v>
      </c>
    </row>
    <row r="64" spans="1:20" x14ac:dyDescent="0.2">
      <c r="A64" s="39" t="s">
        <v>1501</v>
      </c>
      <c r="B64" t="str">
        <f>ADP!P64</f>
        <v>006809</v>
      </c>
      <c r="R64" t="str">
        <f>ADP!AG64</f>
        <v>General</v>
      </c>
      <c r="T64" t="str">
        <f>ADP!AD64</f>
        <v>0088</v>
      </c>
    </row>
    <row r="65" spans="1:20" x14ac:dyDescent="0.2">
      <c r="A65" s="39" t="s">
        <v>1501</v>
      </c>
      <c r="B65" t="str">
        <f>ADP!P65</f>
        <v>202609</v>
      </c>
      <c r="R65" t="str">
        <f>ADP!AG65</f>
        <v>General</v>
      </c>
      <c r="T65" t="str">
        <f>ADP!AD65</f>
        <v>0096</v>
      </c>
    </row>
    <row r="66" spans="1:20" x14ac:dyDescent="0.2">
      <c r="A66" s="39" t="s">
        <v>1501</v>
      </c>
      <c r="B66" t="str">
        <f>ADP!P66</f>
        <v>902563</v>
      </c>
      <c r="R66" t="str">
        <f>ADP!AG66</f>
        <v>General</v>
      </c>
      <c r="T66" t="str">
        <f>ADP!AD66</f>
        <v>0088</v>
      </c>
    </row>
    <row r="67" spans="1:20" x14ac:dyDescent="0.2">
      <c r="A67" s="39" t="s">
        <v>1501</v>
      </c>
      <c r="B67" t="str">
        <f>ADP!P67</f>
        <v>902437</v>
      </c>
      <c r="R67" t="str">
        <f>ADP!AG67</f>
        <v>General</v>
      </c>
      <c r="T67" t="str">
        <f>ADP!AD67</f>
        <v>0088</v>
      </c>
    </row>
    <row r="68" spans="1:20" x14ac:dyDescent="0.2">
      <c r="A68" s="39" t="s">
        <v>1501</v>
      </c>
      <c r="B68" t="str">
        <f>ADP!P68</f>
        <v>201343</v>
      </c>
      <c r="R68" t="str">
        <f>ADP!AG68</f>
        <v>General</v>
      </c>
      <c r="T68" t="str">
        <f>ADP!AD68</f>
        <v>0088</v>
      </c>
    </row>
    <row r="69" spans="1:20" x14ac:dyDescent="0.2">
      <c r="A69" s="39" t="s">
        <v>1501</v>
      </c>
      <c r="B69" t="str">
        <f>ADP!P69</f>
        <v>662995</v>
      </c>
      <c r="R69" t="str">
        <f>ADP!AG69</f>
        <v>General</v>
      </c>
      <c r="T69" t="str">
        <f>ADP!AD69</f>
        <v>0088</v>
      </c>
    </row>
    <row r="70" spans="1:20" x14ac:dyDescent="0.2">
      <c r="A70" s="39" t="s">
        <v>1501</v>
      </c>
      <c r="B70" t="str">
        <f>ADP!P70</f>
        <v>901213</v>
      </c>
      <c r="R70" t="str">
        <f>ADP!AG70</f>
        <v>General</v>
      </c>
      <c r="T70" t="str">
        <f>ADP!AD70</f>
        <v>0088</v>
      </c>
    </row>
    <row r="71" spans="1:20" x14ac:dyDescent="0.2">
      <c r="A71" s="39" t="s">
        <v>1501</v>
      </c>
      <c r="B71" t="str">
        <f>ADP!P71</f>
        <v>007861</v>
      </c>
      <c r="R71" t="str">
        <f>ADP!AG71</f>
        <v>General</v>
      </c>
      <c r="T71" t="str">
        <f>ADP!AD71</f>
        <v>0096</v>
      </c>
    </row>
    <row r="72" spans="1:20" x14ac:dyDescent="0.2">
      <c r="A72" s="39" t="s">
        <v>1501</v>
      </c>
      <c r="B72" t="str">
        <f>ADP!P72</f>
        <v>209746</v>
      </c>
      <c r="R72" t="str">
        <f>ADP!AG72</f>
        <v>General</v>
      </c>
      <c r="T72" t="str">
        <f>ADP!AD72</f>
        <v>0088</v>
      </c>
    </row>
    <row r="73" spans="1:20" x14ac:dyDescent="0.2">
      <c r="A73" s="39" t="s">
        <v>1501</v>
      </c>
      <c r="B73" t="str">
        <f>ADP!P73</f>
        <v>007630</v>
      </c>
      <c r="R73" t="str">
        <f>ADP!AG73</f>
        <v>General</v>
      </c>
      <c r="T73" t="str">
        <f>ADP!AD73</f>
        <v>0088</v>
      </c>
    </row>
    <row r="74" spans="1:20" x14ac:dyDescent="0.2">
      <c r="A74" s="39" t="s">
        <v>1501</v>
      </c>
      <c r="B74" t="str">
        <f>ADP!P74</f>
        <v>213225</v>
      </c>
      <c r="R74" t="str">
        <f>ADP!AG74</f>
        <v>General</v>
      </c>
      <c r="T74" t="str">
        <f>ADP!AD74</f>
        <v>0088</v>
      </c>
    </row>
    <row r="75" spans="1:20" x14ac:dyDescent="0.2">
      <c r="A75" s="39" t="s">
        <v>1501</v>
      </c>
      <c r="B75" t="str">
        <f>ADP!P75</f>
        <v>212129</v>
      </c>
      <c r="R75" t="str">
        <f>ADP!AG75</f>
        <v>General</v>
      </c>
      <c r="T75" t="str">
        <f>ADP!AD75</f>
        <v>0088</v>
      </c>
    </row>
    <row r="76" spans="1:20" x14ac:dyDescent="0.2">
      <c r="A76" s="39" t="s">
        <v>1501</v>
      </c>
      <c r="B76" t="str">
        <f>ADP!P76</f>
        <v>212678</v>
      </c>
      <c r="R76" t="str">
        <f>ADP!AG76</f>
        <v>General</v>
      </c>
      <c r="T76" t="str">
        <f>ADP!AD76</f>
        <v>0096</v>
      </c>
    </row>
    <row r="77" spans="1:20" x14ac:dyDescent="0.2">
      <c r="A77" s="39" t="s">
        <v>1501</v>
      </c>
      <c r="B77" t="str">
        <f>ADP!P77</f>
        <v>209181</v>
      </c>
      <c r="R77" t="str">
        <f>ADP!AG77</f>
        <v>General</v>
      </c>
      <c r="T77" t="str">
        <f>ADP!AD77</f>
        <v>0096</v>
      </c>
    </row>
    <row r="78" spans="1:20" x14ac:dyDescent="0.2">
      <c r="A78" s="39" t="s">
        <v>1501</v>
      </c>
      <c r="B78" t="str">
        <f>ADP!P78</f>
        <v>212725</v>
      </c>
      <c r="R78" t="str">
        <f>ADP!AG78</f>
        <v>General</v>
      </c>
      <c r="T78" t="str">
        <f>ADP!AD78</f>
        <v>0088</v>
      </c>
    </row>
    <row r="79" spans="1:20" x14ac:dyDescent="0.2">
      <c r="A79" s="39" t="s">
        <v>1501</v>
      </c>
      <c r="B79" t="str">
        <f>ADP!P79</f>
        <v>212119</v>
      </c>
      <c r="R79" t="str">
        <f>ADP!AG79</f>
        <v>General</v>
      </c>
      <c r="T79" t="str">
        <f>ADP!AD79</f>
        <v>0088</v>
      </c>
    </row>
    <row r="80" spans="1:20" x14ac:dyDescent="0.2">
      <c r="A80" s="39" t="s">
        <v>1501</v>
      </c>
      <c r="B80" t="str">
        <f>ADP!P80</f>
        <v>902690</v>
      </c>
      <c r="R80" t="str">
        <f>ADP!AG80</f>
        <v>General</v>
      </c>
      <c r="T80" t="str">
        <f>ADP!AD80</f>
        <v>0088</v>
      </c>
    </row>
    <row r="81" spans="1:20" x14ac:dyDescent="0.2">
      <c r="A81" s="39" t="s">
        <v>1501</v>
      </c>
      <c r="B81" t="str">
        <f>ADP!P81</f>
        <v>201903</v>
      </c>
      <c r="R81" t="str">
        <f>ADP!AG81</f>
        <v>General</v>
      </c>
      <c r="T81" t="str">
        <f>ADP!AD81</f>
        <v>0088</v>
      </c>
    </row>
    <row r="82" spans="1:20" x14ac:dyDescent="0.2">
      <c r="A82" s="39" t="s">
        <v>1501</v>
      </c>
      <c r="B82" t="str">
        <f>ADP!P82</f>
        <v>900851</v>
      </c>
      <c r="R82" t="str">
        <f>ADP!AG82</f>
        <v>General</v>
      </c>
      <c r="T82" t="str">
        <f>ADP!AD82</f>
        <v>0088</v>
      </c>
    </row>
    <row r="83" spans="1:20" x14ac:dyDescent="0.2">
      <c r="A83" s="39" t="s">
        <v>1501</v>
      </c>
      <c r="B83" t="str">
        <f>ADP!P83</f>
        <v>212478</v>
      </c>
      <c r="R83" t="str">
        <f>ADP!AG83</f>
        <v>General</v>
      </c>
      <c r="T83" t="str">
        <f>ADP!AD83</f>
        <v>0088</v>
      </c>
    </row>
    <row r="84" spans="1:20" x14ac:dyDescent="0.2">
      <c r="A84" s="39" t="s">
        <v>1501</v>
      </c>
      <c r="B84" t="str">
        <f>ADP!P84</f>
        <v>211531</v>
      </c>
      <c r="R84" t="str">
        <f>ADP!AG84</f>
        <v>General</v>
      </c>
      <c r="T84" t="str">
        <f>ADP!AD84</f>
        <v>0088</v>
      </c>
    </row>
    <row r="85" spans="1:20" x14ac:dyDescent="0.2">
      <c r="A85" s="39" t="s">
        <v>1501</v>
      </c>
      <c r="B85" t="str">
        <f>ADP!P85</f>
        <v>201895</v>
      </c>
      <c r="R85" t="str">
        <f>ADP!AG85</f>
        <v>General</v>
      </c>
      <c r="T85" t="str">
        <f>ADP!AD85</f>
        <v>0088</v>
      </c>
    </row>
    <row r="86" spans="1:20" x14ac:dyDescent="0.2">
      <c r="A86" s="39" t="s">
        <v>1501</v>
      </c>
      <c r="B86" t="str">
        <f>ADP!P86</f>
        <v>206738</v>
      </c>
      <c r="R86" t="str">
        <f>ADP!AG86</f>
        <v>General</v>
      </c>
      <c r="T86" t="str">
        <f>ADP!AD86</f>
        <v>0096</v>
      </c>
    </row>
    <row r="87" spans="1:20" x14ac:dyDescent="0.2">
      <c r="A87" s="39" t="s">
        <v>1501</v>
      </c>
      <c r="B87" t="str">
        <f>ADP!P87</f>
        <v>210018</v>
      </c>
      <c r="R87" t="str">
        <f>ADP!AG87</f>
        <v>General</v>
      </c>
      <c r="T87" t="str">
        <f>ADP!AD87</f>
        <v>0088</v>
      </c>
    </row>
    <row r="88" spans="1:20" x14ac:dyDescent="0.2">
      <c r="A88" s="39" t="s">
        <v>1501</v>
      </c>
      <c r="B88" t="str">
        <f>ADP!P88</f>
        <v>211131</v>
      </c>
      <c r="R88" t="str">
        <f>ADP!AG88</f>
        <v>General</v>
      </c>
      <c r="T88" t="str">
        <f>ADP!AD88</f>
        <v>0088</v>
      </c>
    </row>
    <row r="89" spans="1:20" x14ac:dyDescent="0.2">
      <c r="A89" s="39" t="s">
        <v>1501</v>
      </c>
      <c r="B89" t="str">
        <f>ADP!P89</f>
        <v>210035</v>
      </c>
      <c r="R89" t="str">
        <f>ADP!AG89</f>
        <v>General</v>
      </c>
      <c r="T89" t="str">
        <f>ADP!AD89</f>
        <v>0088</v>
      </c>
    </row>
    <row r="90" spans="1:20" x14ac:dyDescent="0.2">
      <c r="A90" s="39" t="s">
        <v>1501</v>
      </c>
      <c r="B90" t="str">
        <f>ADP!P90</f>
        <v>212074</v>
      </c>
      <c r="R90" t="str">
        <f>ADP!AG90</f>
        <v>General</v>
      </c>
      <c r="T90" t="str">
        <f>ADP!AD90</f>
        <v>0088</v>
      </c>
    </row>
    <row r="91" spans="1:20" x14ac:dyDescent="0.2">
      <c r="A91" s="39" t="s">
        <v>1501</v>
      </c>
      <c r="B91" t="str">
        <f>ADP!P91</f>
        <v>207588</v>
      </c>
      <c r="R91" t="str">
        <f>ADP!AG91</f>
        <v>General</v>
      </c>
      <c r="T91" t="str">
        <f>ADP!AD91</f>
        <v>0096</v>
      </c>
    </row>
    <row r="92" spans="1:20" x14ac:dyDescent="0.2">
      <c r="A92" s="39" t="s">
        <v>1501</v>
      </c>
      <c r="B92" t="str">
        <f>ADP!P92</f>
        <v>207487</v>
      </c>
      <c r="R92" t="str">
        <f>ADP!AG92</f>
        <v>General</v>
      </c>
      <c r="T92" t="str">
        <f>ADP!AD92</f>
        <v>0088</v>
      </c>
    </row>
    <row r="93" spans="1:20" x14ac:dyDescent="0.2">
      <c r="A93" s="39" t="s">
        <v>1501</v>
      </c>
      <c r="B93" t="str">
        <f>ADP!P93</f>
        <v>007647</v>
      </c>
      <c r="R93" t="str">
        <f>ADP!AG93</f>
        <v>General</v>
      </c>
      <c r="T93" t="str">
        <f>ADP!AD93</f>
        <v>0088</v>
      </c>
    </row>
    <row r="94" spans="1:20" x14ac:dyDescent="0.2">
      <c r="A94" s="39" t="s">
        <v>1501</v>
      </c>
      <c r="B94" t="str">
        <f>ADP!P94</f>
        <v>213091</v>
      </c>
      <c r="R94" t="str">
        <f>ADP!AG94</f>
        <v>General</v>
      </c>
      <c r="T94" t="str">
        <f>ADP!AD94</f>
        <v>0088</v>
      </c>
    </row>
    <row r="95" spans="1:20" x14ac:dyDescent="0.2">
      <c r="A95" s="39" t="s">
        <v>1501</v>
      </c>
      <c r="B95" t="str">
        <f>ADP!P95</f>
        <v>900439</v>
      </c>
      <c r="R95" t="str">
        <f>ADP!AG95</f>
        <v>General</v>
      </c>
      <c r="T95" t="str">
        <f>ADP!AD95</f>
        <v>0096</v>
      </c>
    </row>
    <row r="96" spans="1:20" x14ac:dyDescent="0.2">
      <c r="A96" s="39" t="s">
        <v>1501</v>
      </c>
      <c r="B96" t="str">
        <f>ADP!P96</f>
        <v>210127</v>
      </c>
      <c r="R96" t="str">
        <f>ADP!AG96</f>
        <v>General</v>
      </c>
      <c r="T96" t="str">
        <f>ADP!AD96</f>
        <v>0088</v>
      </c>
    </row>
    <row r="97" spans="1:20" x14ac:dyDescent="0.2">
      <c r="A97" s="39" t="s">
        <v>1501</v>
      </c>
      <c r="B97" t="str">
        <f>ADP!P97</f>
        <v>210281</v>
      </c>
      <c r="R97" t="str">
        <f>ADP!AG97</f>
        <v>General</v>
      </c>
      <c r="T97" t="str">
        <f>ADP!AD97</f>
        <v>0088</v>
      </c>
    </row>
    <row r="98" spans="1:20" x14ac:dyDescent="0.2">
      <c r="A98" s="39" t="s">
        <v>1501</v>
      </c>
      <c r="B98" t="str">
        <f>ADP!P98</f>
        <v>211062</v>
      </c>
      <c r="R98" t="str">
        <f>ADP!AG98</f>
        <v>General</v>
      </c>
      <c r="T98" t="str">
        <f>ADP!AD98</f>
        <v>0096</v>
      </c>
    </row>
    <row r="99" spans="1:20" x14ac:dyDescent="0.2">
      <c r="A99" s="39" t="s">
        <v>1501</v>
      </c>
      <c r="B99" t="str">
        <f>ADP!P99</f>
        <v>212191</v>
      </c>
      <c r="R99" t="str">
        <f>ADP!AG99</f>
        <v>General</v>
      </c>
      <c r="T99" t="str">
        <f>ADP!AD99</f>
        <v>0096</v>
      </c>
    </row>
    <row r="100" spans="1:20" x14ac:dyDescent="0.2">
      <c r="A100" s="39" t="s">
        <v>1501</v>
      </c>
      <c r="B100" t="str">
        <f>ADP!P100</f>
        <v>210103</v>
      </c>
      <c r="R100" t="str">
        <f>ADP!AG100</f>
        <v>General</v>
      </c>
      <c r="T100" t="str">
        <f>ADP!AD100</f>
        <v>0088</v>
      </c>
    </row>
    <row r="101" spans="1:20" x14ac:dyDescent="0.2">
      <c r="A101" s="39" t="s">
        <v>1501</v>
      </c>
      <c r="B101" t="str">
        <f>ADP!P101</f>
        <v>212146</v>
      </c>
      <c r="R101" t="str">
        <f>ADP!AG101</f>
        <v>General</v>
      </c>
      <c r="T101" t="str">
        <f>ADP!AD101</f>
        <v>0088</v>
      </c>
    </row>
    <row r="102" spans="1:20" x14ac:dyDescent="0.2">
      <c r="A102" s="39" t="s">
        <v>1501</v>
      </c>
      <c r="B102" t="str">
        <f>ADP!P102</f>
        <v>901943</v>
      </c>
      <c r="R102" t="str">
        <f>ADP!AG102</f>
        <v>General</v>
      </c>
      <c r="T102" t="str">
        <f>ADP!AD102</f>
        <v>0096</v>
      </c>
    </row>
    <row r="103" spans="1:20" x14ac:dyDescent="0.2">
      <c r="A103" s="39" t="s">
        <v>1501</v>
      </c>
      <c r="B103" t="str">
        <f>ADP!P103</f>
        <v>211521</v>
      </c>
      <c r="R103" t="str">
        <f>ADP!AG103</f>
        <v>General</v>
      </c>
      <c r="T103" t="str">
        <f>ADP!AD103</f>
        <v>0088</v>
      </c>
    </row>
    <row r="104" spans="1:20" x14ac:dyDescent="0.2">
      <c r="A104" s="39" t="s">
        <v>1501</v>
      </c>
      <c r="B104" t="str">
        <f>ADP!P104</f>
        <v>902013</v>
      </c>
      <c r="R104" t="str">
        <f>ADP!AG104</f>
        <v>General</v>
      </c>
      <c r="T104" t="str">
        <f>ADP!AD104</f>
        <v>0088</v>
      </c>
    </row>
    <row r="105" spans="1:20" x14ac:dyDescent="0.2">
      <c r="A105" s="39" t="s">
        <v>1501</v>
      </c>
      <c r="B105" t="str">
        <f>ADP!P105</f>
        <v>213241</v>
      </c>
      <c r="R105" t="str">
        <f>ADP!AG105</f>
        <v>General</v>
      </c>
      <c r="T105" t="str">
        <f>ADP!AD105</f>
        <v>0088</v>
      </c>
    </row>
    <row r="106" spans="1:20" x14ac:dyDescent="0.2">
      <c r="A106" s="39" t="s">
        <v>1501</v>
      </c>
      <c r="B106" t="str">
        <f>ADP!P106</f>
        <v>206638</v>
      </c>
      <c r="R106" t="str">
        <f>ADP!AG106</f>
        <v>General</v>
      </c>
      <c r="T106" t="str">
        <f>ADP!AD106</f>
        <v>0088</v>
      </c>
    </row>
    <row r="107" spans="1:20" x14ac:dyDescent="0.2">
      <c r="A107" s="39" t="s">
        <v>1501</v>
      </c>
      <c r="B107" t="str">
        <f>ADP!P107</f>
        <v>212254</v>
      </c>
      <c r="R107" t="str">
        <f>ADP!AG107</f>
        <v>General</v>
      </c>
      <c r="T107" t="str">
        <f>ADP!AD107</f>
        <v>0088</v>
      </c>
    </row>
    <row r="108" spans="1:20" x14ac:dyDescent="0.2">
      <c r="A108" s="39" t="s">
        <v>1501</v>
      </c>
      <c r="B108" t="str">
        <f>ADP!P108</f>
        <v>211601</v>
      </c>
      <c r="R108" t="str">
        <f>ADP!AG108</f>
        <v>General</v>
      </c>
      <c r="T108" t="str">
        <f>ADP!AD108</f>
        <v>0096</v>
      </c>
    </row>
    <row r="109" spans="1:20" x14ac:dyDescent="0.2">
      <c r="A109" s="39" t="s">
        <v>1501</v>
      </c>
      <c r="B109" t="str">
        <f>ADP!P109</f>
        <v>206287</v>
      </c>
      <c r="R109" t="str">
        <f>ADP!AG109</f>
        <v>General</v>
      </c>
      <c r="T109" t="str">
        <f>ADP!AD109</f>
        <v>0096</v>
      </c>
    </row>
    <row r="110" spans="1:20" x14ac:dyDescent="0.2">
      <c r="A110" s="39" t="s">
        <v>1501</v>
      </c>
      <c r="B110" t="str">
        <f>ADP!P110</f>
        <v>206272</v>
      </c>
      <c r="R110" t="str">
        <f>ADP!AG110</f>
        <v>General</v>
      </c>
      <c r="T110" t="str">
        <f>ADP!AD110</f>
        <v>0088</v>
      </c>
    </row>
    <row r="111" spans="1:20" x14ac:dyDescent="0.2">
      <c r="A111" s="39" t="s">
        <v>1501</v>
      </c>
      <c r="B111" t="str">
        <f>ADP!P111</f>
        <v>211022</v>
      </c>
      <c r="R111" t="str">
        <f>ADP!AG111</f>
        <v>General</v>
      </c>
      <c r="T111" t="str">
        <f>ADP!AD111</f>
        <v>0096</v>
      </c>
    </row>
    <row r="112" spans="1:20" x14ac:dyDescent="0.2">
      <c r="A112" s="39" t="s">
        <v>1501</v>
      </c>
      <c r="B112" t="str">
        <f>ADP!P112</f>
        <v>211998</v>
      </c>
      <c r="R112" t="str">
        <f>ADP!AG112</f>
        <v>General</v>
      </c>
      <c r="T112" t="str">
        <f>ADP!AD112</f>
        <v>0096</v>
      </c>
    </row>
    <row r="113" spans="1:20" x14ac:dyDescent="0.2">
      <c r="A113" s="39" t="s">
        <v>1501</v>
      </c>
      <c r="B113" t="str">
        <f>ADP!P113</f>
        <v>008750</v>
      </c>
      <c r="R113" t="str">
        <f>ADP!AG113</f>
        <v>General</v>
      </c>
      <c r="T113" t="str">
        <f>ADP!AD113</f>
        <v>0096</v>
      </c>
    </row>
    <row r="114" spans="1:20" x14ac:dyDescent="0.2">
      <c r="A114" s="39" t="s">
        <v>1501</v>
      </c>
      <c r="B114" t="str">
        <f>ADP!P114</f>
        <v>212705</v>
      </c>
      <c r="R114" t="str">
        <f>ADP!AG114</f>
        <v>General</v>
      </c>
      <c r="T114" t="str">
        <f>ADP!AD114</f>
        <v>0088</v>
      </c>
    </row>
    <row r="115" spans="1:20" x14ac:dyDescent="0.2">
      <c r="A115" s="39" t="s">
        <v>1501</v>
      </c>
      <c r="B115" t="str">
        <f>ADP!P115</f>
        <v>901090</v>
      </c>
      <c r="R115" t="str">
        <f>ADP!AG115</f>
        <v>General</v>
      </c>
      <c r="T115" t="str">
        <f>ADP!AD115</f>
        <v>0096</v>
      </c>
    </row>
    <row r="116" spans="1:20" x14ac:dyDescent="0.2">
      <c r="A116" s="39" t="s">
        <v>1501</v>
      </c>
      <c r="B116" t="str">
        <f>ADP!P116</f>
        <v>207850</v>
      </c>
      <c r="R116" t="str">
        <f>ADP!AG116</f>
        <v>General</v>
      </c>
      <c r="T116" t="str">
        <f>ADP!AD116</f>
        <v>0088</v>
      </c>
    </row>
    <row r="117" spans="1:20" x14ac:dyDescent="0.2">
      <c r="A117" s="39" t="s">
        <v>1501</v>
      </c>
      <c r="B117" t="str">
        <f>ADP!P117</f>
        <v>211939</v>
      </c>
      <c r="R117" t="str">
        <f>ADP!AG117</f>
        <v>General</v>
      </c>
      <c r="T117" t="str">
        <f>ADP!AD117</f>
        <v>0096</v>
      </c>
    </row>
    <row r="118" spans="1:20" x14ac:dyDescent="0.2">
      <c r="A118" s="39" t="s">
        <v>1501</v>
      </c>
      <c r="B118" t="str">
        <f>ADP!P118</f>
        <v>901934</v>
      </c>
      <c r="R118" t="str">
        <f>ADP!AG118</f>
        <v>General</v>
      </c>
      <c r="T118" t="str">
        <f>ADP!AD118</f>
        <v>0096</v>
      </c>
    </row>
    <row r="119" spans="1:20" x14ac:dyDescent="0.2">
      <c r="A119" s="39" t="s">
        <v>1501</v>
      </c>
      <c r="B119" t="str">
        <f>ADP!P119</f>
        <v>202533</v>
      </c>
      <c r="R119" t="str">
        <f>ADP!AG119</f>
        <v>General</v>
      </c>
      <c r="T119" t="str">
        <f>ADP!AD119</f>
        <v>0088</v>
      </c>
    </row>
    <row r="120" spans="1:20" x14ac:dyDescent="0.2">
      <c r="A120" s="39" t="s">
        <v>1501</v>
      </c>
      <c r="B120" t="str">
        <f>ADP!P120</f>
        <v>206672</v>
      </c>
      <c r="R120" t="str">
        <f>ADP!AG120</f>
        <v>General</v>
      </c>
      <c r="T120" t="str">
        <f>ADP!AD120</f>
        <v>0088</v>
      </c>
    </row>
    <row r="121" spans="1:20" x14ac:dyDescent="0.2">
      <c r="A121" s="39" t="s">
        <v>1501</v>
      </c>
      <c r="B121" t="str">
        <f>ADP!P121</f>
        <v>207809</v>
      </c>
      <c r="R121" t="str">
        <f>ADP!AG121</f>
        <v>General</v>
      </c>
      <c r="T121" t="str">
        <f>ADP!AD121</f>
        <v>0088</v>
      </c>
    </row>
    <row r="122" spans="1:20" x14ac:dyDescent="0.2">
      <c r="A122" s="39" t="s">
        <v>1501</v>
      </c>
      <c r="B122" t="str">
        <f>ADP!P122</f>
        <v>212100</v>
      </c>
      <c r="R122" t="str">
        <f>ADP!AG122</f>
        <v>General</v>
      </c>
      <c r="T122" t="str">
        <f>ADP!AD122</f>
        <v>0096</v>
      </c>
    </row>
    <row r="123" spans="1:20" x14ac:dyDescent="0.2">
      <c r="A123" s="39" t="s">
        <v>1501</v>
      </c>
      <c r="B123" t="str">
        <f>ADP!P123</f>
        <v>212921</v>
      </c>
      <c r="R123" t="str">
        <f>ADP!AG123</f>
        <v>General</v>
      </c>
      <c r="T123" t="str">
        <f>ADP!AD123</f>
        <v>0088</v>
      </c>
    </row>
    <row r="124" spans="1:20" x14ac:dyDescent="0.2">
      <c r="A124" s="39" t="s">
        <v>1501</v>
      </c>
      <c r="B124" t="str">
        <f>ADP!P124</f>
        <v>211085</v>
      </c>
      <c r="R124" t="str">
        <f>ADP!AG124</f>
        <v>General</v>
      </c>
      <c r="T124" t="str">
        <f>ADP!AD124</f>
        <v>0088</v>
      </c>
    </row>
    <row r="125" spans="1:20" x14ac:dyDescent="0.2">
      <c r="A125" s="39" t="s">
        <v>1501</v>
      </c>
      <c r="B125" t="str">
        <f>ADP!P125</f>
        <v>663830</v>
      </c>
      <c r="R125" t="str">
        <f>ADP!AG125</f>
        <v>General</v>
      </c>
      <c r="T125" t="str">
        <f>ADP!AD125</f>
        <v>0088</v>
      </c>
    </row>
    <row r="126" spans="1:20" x14ac:dyDescent="0.2">
      <c r="A126" s="39" t="s">
        <v>1501</v>
      </c>
      <c r="B126" t="str">
        <f>ADP!P126</f>
        <v>207466</v>
      </c>
      <c r="R126" t="str">
        <f>ADP!AG126</f>
        <v>General</v>
      </c>
      <c r="T126" t="str">
        <f>ADP!AD126</f>
        <v>0088</v>
      </c>
    </row>
    <row r="127" spans="1:20" x14ac:dyDescent="0.2">
      <c r="A127" s="39" t="s">
        <v>1501</v>
      </c>
      <c r="B127" t="str">
        <f>ADP!P127</f>
        <v>211456</v>
      </c>
      <c r="R127" t="str">
        <f>ADP!AG127</f>
        <v>General</v>
      </c>
      <c r="T127" t="str">
        <f>ADP!AD127</f>
        <v>0088</v>
      </c>
    </row>
    <row r="128" spans="1:20" x14ac:dyDescent="0.2">
      <c r="A128" s="39" t="s">
        <v>1501</v>
      </c>
      <c r="B128" t="str">
        <f>ADP!P128</f>
        <v>210727</v>
      </c>
      <c r="R128" t="str">
        <f>ADP!AG128</f>
        <v>General</v>
      </c>
      <c r="T128" t="str">
        <f>ADP!AD128</f>
        <v>0088</v>
      </c>
    </row>
    <row r="129" spans="1:20" x14ac:dyDescent="0.2">
      <c r="A129" s="39" t="s">
        <v>1501</v>
      </c>
      <c r="B129" t="str">
        <f>ADP!P129</f>
        <v>213227</v>
      </c>
      <c r="R129" t="str">
        <f>ADP!AG129</f>
        <v>General</v>
      </c>
      <c r="T129" t="str">
        <f>ADP!AD129</f>
        <v>0096</v>
      </c>
    </row>
    <row r="130" spans="1:20" x14ac:dyDescent="0.2">
      <c r="A130" s="39" t="s">
        <v>1501</v>
      </c>
      <c r="B130" t="str">
        <f>ADP!P130</f>
        <v>212052</v>
      </c>
      <c r="R130" t="str">
        <f>ADP!AG130</f>
        <v>General</v>
      </c>
      <c r="T130" t="str">
        <f>ADP!AD130</f>
        <v>0096</v>
      </c>
    </row>
    <row r="131" spans="1:20" x14ac:dyDescent="0.2">
      <c r="A131" s="39" t="s">
        <v>1501</v>
      </c>
      <c r="B131" t="str">
        <f>ADP!P131</f>
        <v>210402</v>
      </c>
      <c r="R131" t="str">
        <f>ADP!AG131</f>
        <v>General</v>
      </c>
      <c r="T131" t="str">
        <f>ADP!AD131</f>
        <v>0096</v>
      </c>
    </row>
    <row r="132" spans="1:20" x14ac:dyDescent="0.2">
      <c r="A132" s="39" t="s">
        <v>1501</v>
      </c>
      <c r="B132" t="str">
        <f>ADP!P132</f>
        <v>210339</v>
      </c>
      <c r="R132" t="str">
        <f>ADP!AG132</f>
        <v>General</v>
      </c>
      <c r="T132" t="str">
        <f>ADP!AD132</f>
        <v>0088</v>
      </c>
    </row>
    <row r="133" spans="1:20" x14ac:dyDescent="0.2">
      <c r="A133" s="39" t="s">
        <v>1501</v>
      </c>
      <c r="B133" t="str">
        <f>ADP!P133</f>
        <v>209634</v>
      </c>
      <c r="R133" t="str">
        <f>ADP!AG133</f>
        <v>General</v>
      </c>
      <c r="T133" t="str">
        <f>ADP!AD133</f>
        <v>0088</v>
      </c>
    </row>
    <row r="134" spans="1:20" x14ac:dyDescent="0.2">
      <c r="A134" s="39" t="s">
        <v>1501</v>
      </c>
      <c r="B134" t="str">
        <f>ADP!P134</f>
        <v>211045</v>
      </c>
      <c r="R134" t="str">
        <f>ADP!AG134</f>
        <v>General</v>
      </c>
      <c r="T134" t="str">
        <f>ADP!AD134</f>
        <v>0096</v>
      </c>
    </row>
    <row r="135" spans="1:20" x14ac:dyDescent="0.2">
      <c r="A135" s="39" t="s">
        <v>1501</v>
      </c>
      <c r="B135" t="str">
        <f>ADP!P135</f>
        <v>212421</v>
      </c>
      <c r="R135" t="str">
        <f>ADP!AG135</f>
        <v>General</v>
      </c>
      <c r="T135" t="str">
        <f>ADP!AD135</f>
        <v>0088</v>
      </c>
    </row>
    <row r="136" spans="1:20" x14ac:dyDescent="0.2">
      <c r="A136" s="39" t="s">
        <v>1501</v>
      </c>
      <c r="B136" t="str">
        <f>ADP!P136</f>
        <v>209540</v>
      </c>
      <c r="R136" t="str">
        <f>ADP!AG136</f>
        <v>General</v>
      </c>
      <c r="T136" t="str">
        <f>ADP!AD136</f>
        <v>0088</v>
      </c>
    </row>
    <row r="137" spans="1:20" x14ac:dyDescent="0.2">
      <c r="A137" s="39" t="s">
        <v>1501</v>
      </c>
      <c r="B137" t="str">
        <f>ADP!P137</f>
        <v>210134</v>
      </c>
      <c r="R137" t="str">
        <f>ADP!AG137</f>
        <v>General</v>
      </c>
      <c r="T137" t="str">
        <f>ADP!AD137</f>
        <v>0088</v>
      </c>
    </row>
    <row r="138" spans="1:20" x14ac:dyDescent="0.2">
      <c r="A138" s="39" t="s">
        <v>1501</v>
      </c>
      <c r="B138" t="str">
        <f>ADP!P138</f>
        <v>212687</v>
      </c>
      <c r="R138" t="str">
        <f>ADP!AG138</f>
        <v>General</v>
      </c>
      <c r="T138" t="str">
        <f>ADP!AD138</f>
        <v>0088</v>
      </c>
    </row>
    <row r="139" spans="1:20" x14ac:dyDescent="0.2">
      <c r="A139" s="39" t="s">
        <v>1501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</row>
    <row r="140" spans="1:20" x14ac:dyDescent="0.2">
      <c r="A140" s="39" t="s">
        <v>1501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</row>
    <row r="141" spans="1:20" x14ac:dyDescent="0.2">
      <c r="A141" s="39" t="s">
        <v>1501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</row>
    <row r="142" spans="1:20" x14ac:dyDescent="0.2">
      <c r="A142" s="39" t="s">
        <v>1501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</row>
    <row r="143" spans="1:20" x14ac:dyDescent="0.2">
      <c r="A143" s="39" t="s">
        <v>1501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</row>
    <row r="144" spans="1:20" x14ac:dyDescent="0.2">
      <c r="A144" s="39" t="s">
        <v>1501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</row>
    <row r="145" spans="1:20" x14ac:dyDescent="0.2">
      <c r="A145" s="39" t="s">
        <v>1501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</row>
    <row r="146" spans="1:20" x14ac:dyDescent="0.2">
      <c r="A146" s="39" t="s">
        <v>1501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</row>
    <row r="147" spans="1:20" x14ac:dyDescent="0.2">
      <c r="A147" s="39" t="s">
        <v>1501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</row>
    <row r="148" spans="1:20" x14ac:dyDescent="0.2">
      <c r="A148" s="39" t="s">
        <v>1501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</row>
    <row r="149" spans="1:20" x14ac:dyDescent="0.2">
      <c r="A149" s="39" t="s">
        <v>1501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</row>
    <row r="150" spans="1:20" x14ac:dyDescent="0.2">
      <c r="A150" s="39" t="s">
        <v>1501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</row>
    <row r="151" spans="1:20" x14ac:dyDescent="0.2">
      <c r="A151" s="39" t="s">
        <v>1501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</row>
    <row r="152" spans="1:20" x14ac:dyDescent="0.2">
      <c r="A152" s="39" t="s">
        <v>1501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</row>
    <row r="153" spans="1:20" x14ac:dyDescent="0.2">
      <c r="A153" s="39" t="s">
        <v>1501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</row>
    <row r="154" spans="1:20" x14ac:dyDescent="0.2">
      <c r="A154" s="39" t="s">
        <v>1501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</row>
    <row r="155" spans="1:20" x14ac:dyDescent="0.2">
      <c r="A155" s="39" t="s">
        <v>1501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</row>
    <row r="156" spans="1:20" x14ac:dyDescent="0.2">
      <c r="A156" s="39" t="s">
        <v>1501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</row>
    <row r="157" spans="1:20" x14ac:dyDescent="0.2">
      <c r="A157" s="39" t="s">
        <v>1501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</row>
    <row r="158" spans="1:20" x14ac:dyDescent="0.2">
      <c r="A158" s="39" t="s">
        <v>1501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</row>
    <row r="159" spans="1:20" x14ac:dyDescent="0.2">
      <c r="A159" s="39" t="s">
        <v>1501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</row>
    <row r="160" spans="1:20" x14ac:dyDescent="0.2">
      <c r="A160" s="39" t="s">
        <v>1501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</row>
    <row r="161" spans="1:20" x14ac:dyDescent="0.2">
      <c r="A161" s="39" t="s">
        <v>1501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</row>
    <row r="162" spans="1:20" x14ac:dyDescent="0.2">
      <c r="A162" s="39" t="s">
        <v>1501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</row>
    <row r="163" spans="1:20" x14ac:dyDescent="0.2">
      <c r="A163" s="39" t="s">
        <v>1501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</row>
    <row r="164" spans="1:20" x14ac:dyDescent="0.2">
      <c r="A164" s="39" t="s">
        <v>1501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</row>
    <row r="165" spans="1:20" x14ac:dyDescent="0.2">
      <c r="A165" s="39" t="s">
        <v>1501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</row>
    <row r="166" spans="1:20" x14ac:dyDescent="0.2">
      <c r="A166" s="39" t="s">
        <v>1501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</row>
    <row r="167" spans="1:20" x14ac:dyDescent="0.2">
      <c r="A167" s="39" t="s">
        <v>1501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</row>
    <row r="168" spans="1:20" x14ac:dyDescent="0.2">
      <c r="A168" s="39" t="s">
        <v>1501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</row>
    <row r="169" spans="1:20" x14ac:dyDescent="0.2">
      <c r="A169" s="39" t="s">
        <v>1501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</row>
    <row r="170" spans="1:20" x14ac:dyDescent="0.2">
      <c r="A170" s="39" t="s">
        <v>1501</v>
      </c>
      <c r="B170" t="e">
        <f>ADP!#REF!</f>
        <v>#REF!</v>
      </c>
      <c r="R170" t="e">
        <f>ADP!#REF!</f>
        <v>#REF!</v>
      </c>
      <c r="T170" t="e">
        <f>ADP!#REF!</f>
        <v>#REF!</v>
      </c>
    </row>
    <row r="171" spans="1:20" x14ac:dyDescent="0.2">
      <c r="A171" s="39" t="s">
        <v>1501</v>
      </c>
      <c r="B171" t="e">
        <f>ADP!#REF!</f>
        <v>#REF!</v>
      </c>
      <c r="R171" t="e">
        <f>ADP!#REF!</f>
        <v>#REF!</v>
      </c>
      <c r="T171" t="e">
        <f>ADP!#REF!</f>
        <v>#REF!</v>
      </c>
    </row>
    <row r="172" spans="1:20" x14ac:dyDescent="0.2">
      <c r="A172" s="39" t="s">
        <v>1501</v>
      </c>
      <c r="B172" t="e">
        <f>ADP!#REF!</f>
        <v>#REF!</v>
      </c>
      <c r="R172" t="e">
        <f>ADP!#REF!</f>
        <v>#REF!</v>
      </c>
      <c r="T172" t="e">
        <f>ADP!#REF!</f>
        <v>#REF!</v>
      </c>
    </row>
    <row r="173" spans="1:20" x14ac:dyDescent="0.2">
      <c r="A173" s="39" t="s">
        <v>1501</v>
      </c>
      <c r="B173" t="e">
        <f>ADP!#REF!</f>
        <v>#REF!</v>
      </c>
      <c r="R173" t="e">
        <f>ADP!#REF!</f>
        <v>#REF!</v>
      </c>
      <c r="T173" t="e">
        <f>ADP!#REF!</f>
        <v>#REF!</v>
      </c>
    </row>
    <row r="174" spans="1:20" x14ac:dyDescent="0.2">
      <c r="A174" s="39" t="s">
        <v>1501</v>
      </c>
      <c r="B174" t="e">
        <f>ADP!#REF!</f>
        <v>#REF!</v>
      </c>
      <c r="R174" t="e">
        <f>ADP!#REF!</f>
        <v>#REF!</v>
      </c>
      <c r="T174" t="e">
        <f>ADP!#REF!</f>
        <v>#REF!</v>
      </c>
    </row>
    <row r="175" spans="1:20" x14ac:dyDescent="0.2">
      <c r="A175" s="39" t="s">
        <v>1501</v>
      </c>
      <c r="B175" t="e">
        <f>ADP!#REF!</f>
        <v>#REF!</v>
      </c>
      <c r="R175" t="e">
        <f>ADP!#REF!</f>
        <v>#REF!</v>
      </c>
      <c r="T175" t="e">
        <f>ADP!#REF!</f>
        <v>#REF!</v>
      </c>
    </row>
    <row r="176" spans="1:20" x14ac:dyDescent="0.2">
      <c r="A176" s="39" t="s">
        <v>1501</v>
      </c>
      <c r="B176" t="e">
        <f>ADP!#REF!</f>
        <v>#REF!</v>
      </c>
      <c r="R176" t="e">
        <f>ADP!#REF!</f>
        <v>#REF!</v>
      </c>
      <c r="T176" t="e">
        <f>ADP!#REF!</f>
        <v>#REF!</v>
      </c>
    </row>
    <row r="177" spans="1:20" x14ac:dyDescent="0.2">
      <c r="A177" s="39" t="s">
        <v>1501</v>
      </c>
      <c r="B177" t="e">
        <f>ADP!#REF!</f>
        <v>#REF!</v>
      </c>
      <c r="R177" t="e">
        <f>ADP!#REF!</f>
        <v>#REF!</v>
      </c>
      <c r="T177" t="e">
        <f>ADP!#REF!</f>
        <v>#REF!</v>
      </c>
    </row>
    <row r="178" spans="1:20" x14ac:dyDescent="0.2">
      <c r="A178" s="39" t="s">
        <v>1501</v>
      </c>
      <c r="B178" t="e">
        <f>ADP!#REF!</f>
        <v>#REF!</v>
      </c>
      <c r="R178" t="e">
        <f>ADP!#REF!</f>
        <v>#REF!</v>
      </c>
      <c r="T178" t="e">
        <f>ADP!#REF!</f>
        <v>#REF!</v>
      </c>
    </row>
    <row r="179" spans="1:20" x14ac:dyDescent="0.2">
      <c r="A179" s="39" t="s">
        <v>1501</v>
      </c>
      <c r="B179" t="e">
        <f>ADP!#REF!</f>
        <v>#REF!</v>
      </c>
      <c r="R179" t="e">
        <f>ADP!#REF!</f>
        <v>#REF!</v>
      </c>
      <c r="T179" t="e">
        <f>ADP!#REF!</f>
        <v>#REF!</v>
      </c>
    </row>
    <row r="180" spans="1:20" x14ac:dyDescent="0.2">
      <c r="A180" s="39" t="s">
        <v>1501</v>
      </c>
      <c r="B180" t="e">
        <f>ADP!#REF!</f>
        <v>#REF!</v>
      </c>
      <c r="R180" t="e">
        <f>ADP!#REF!</f>
        <v>#REF!</v>
      </c>
      <c r="T180" t="e">
        <f>ADP!#REF!</f>
        <v>#REF!</v>
      </c>
    </row>
    <row r="181" spans="1:20" x14ac:dyDescent="0.2">
      <c r="A181" s="39" t="s">
        <v>1501</v>
      </c>
      <c r="B181" t="e">
        <f>ADP!#REF!</f>
        <v>#REF!</v>
      </c>
      <c r="R181" t="e">
        <f>ADP!#REF!</f>
        <v>#REF!</v>
      </c>
      <c r="T181" t="e">
        <f>ADP!#REF!</f>
        <v>#REF!</v>
      </c>
    </row>
    <row r="182" spans="1:20" x14ac:dyDescent="0.2">
      <c r="A182" s="39" t="s">
        <v>1501</v>
      </c>
      <c r="B182" t="e">
        <f>ADP!#REF!</f>
        <v>#REF!</v>
      </c>
      <c r="R182" t="e">
        <f>ADP!#REF!</f>
        <v>#REF!</v>
      </c>
      <c r="T182" t="e">
        <f>ADP!#REF!</f>
        <v>#REF!</v>
      </c>
    </row>
    <row r="183" spans="1:20" x14ac:dyDescent="0.2">
      <c r="A183" s="39" t="s">
        <v>1501</v>
      </c>
      <c r="B183" t="e">
        <f>ADP!#REF!</f>
        <v>#REF!</v>
      </c>
      <c r="R183" t="e">
        <f>ADP!#REF!</f>
        <v>#REF!</v>
      </c>
      <c r="T183" t="e">
        <f>ADP!#REF!</f>
        <v>#REF!</v>
      </c>
    </row>
    <row r="184" spans="1:20" x14ac:dyDescent="0.2">
      <c r="A184" s="39" t="s">
        <v>1501</v>
      </c>
      <c r="B184" t="e">
        <f>ADP!#REF!</f>
        <v>#REF!</v>
      </c>
      <c r="R184" t="e">
        <f>ADP!#REF!</f>
        <v>#REF!</v>
      </c>
      <c r="T184" t="e">
        <f>ADP!#REF!</f>
        <v>#REF!</v>
      </c>
    </row>
    <row r="185" spans="1:20" x14ac:dyDescent="0.2">
      <c r="A185" s="39" t="s">
        <v>1501</v>
      </c>
      <c r="B185" t="e">
        <f>ADP!#REF!</f>
        <v>#REF!</v>
      </c>
      <c r="R185" t="e">
        <f>ADP!#REF!</f>
        <v>#REF!</v>
      </c>
      <c r="T185" t="e">
        <f>ADP!#REF!</f>
        <v>#REF!</v>
      </c>
    </row>
    <row r="186" spans="1:20" x14ac:dyDescent="0.2">
      <c r="A186" s="39" t="s">
        <v>1501</v>
      </c>
      <c r="B186" t="e">
        <f>ADP!#REF!</f>
        <v>#REF!</v>
      </c>
      <c r="R186" t="e">
        <f>ADP!#REF!</f>
        <v>#REF!</v>
      </c>
      <c r="T186" t="e">
        <f>ADP!#REF!</f>
        <v>#REF!</v>
      </c>
    </row>
    <row r="187" spans="1:20" x14ac:dyDescent="0.2">
      <c r="A187" s="39" t="s">
        <v>1501</v>
      </c>
      <c r="B187" t="e">
        <f>ADP!#REF!</f>
        <v>#REF!</v>
      </c>
      <c r="R187" t="e">
        <f>ADP!#REF!</f>
        <v>#REF!</v>
      </c>
      <c r="T187" t="e">
        <f>ADP!#REF!</f>
        <v>#REF!</v>
      </c>
    </row>
    <row r="188" spans="1:20" x14ac:dyDescent="0.2">
      <c r="A188" s="39" t="s">
        <v>1501</v>
      </c>
      <c r="B188" t="e">
        <f>ADP!#REF!</f>
        <v>#REF!</v>
      </c>
      <c r="R188" t="e">
        <f>ADP!#REF!</f>
        <v>#REF!</v>
      </c>
      <c r="T188" t="e">
        <f>ADP!#REF!</f>
        <v>#REF!</v>
      </c>
    </row>
    <row r="189" spans="1:20" x14ac:dyDescent="0.2">
      <c r="A189" s="39" t="s">
        <v>1501</v>
      </c>
      <c r="B189" t="e">
        <f>ADP!#REF!</f>
        <v>#REF!</v>
      </c>
      <c r="R189" t="e">
        <f>ADP!#REF!</f>
        <v>#REF!</v>
      </c>
      <c r="T189" t="e">
        <f>ADP!#REF!</f>
        <v>#REF!</v>
      </c>
    </row>
    <row r="190" spans="1:20" x14ac:dyDescent="0.2">
      <c r="A190" s="39" t="s">
        <v>1501</v>
      </c>
      <c r="B190" t="e">
        <f>ADP!#REF!</f>
        <v>#REF!</v>
      </c>
      <c r="R190" t="e">
        <f>ADP!#REF!</f>
        <v>#REF!</v>
      </c>
      <c r="T190" t="e">
        <f>ADP!#REF!</f>
        <v>#REF!</v>
      </c>
    </row>
    <row r="191" spans="1:20" x14ac:dyDescent="0.2">
      <c r="A191" s="39" t="s">
        <v>1501</v>
      </c>
      <c r="B191" t="e">
        <f>ADP!#REF!</f>
        <v>#REF!</v>
      </c>
      <c r="R191" t="e">
        <f>ADP!#REF!</f>
        <v>#REF!</v>
      </c>
      <c r="T191" t="e">
        <f>ADP!#REF!</f>
        <v>#REF!</v>
      </c>
    </row>
    <row r="192" spans="1:20" x14ac:dyDescent="0.2">
      <c r="A192" s="39" t="s">
        <v>1501</v>
      </c>
      <c r="B192" t="e">
        <f>ADP!#REF!</f>
        <v>#REF!</v>
      </c>
      <c r="R192" t="e">
        <f>ADP!#REF!</f>
        <v>#REF!</v>
      </c>
      <c r="T192" t="e">
        <f>ADP!#REF!</f>
        <v>#REF!</v>
      </c>
    </row>
    <row r="193" spans="1:20" x14ac:dyDescent="0.2">
      <c r="A193" s="39" t="s">
        <v>1501</v>
      </c>
      <c r="B193" t="e">
        <f>ADP!#REF!</f>
        <v>#REF!</v>
      </c>
      <c r="R193" t="e">
        <f>ADP!#REF!</f>
        <v>#REF!</v>
      </c>
      <c r="T193" t="e">
        <f>ADP!#REF!</f>
        <v>#REF!</v>
      </c>
    </row>
    <row r="194" spans="1:20" x14ac:dyDescent="0.2">
      <c r="A194" s="39" t="s">
        <v>1501</v>
      </c>
      <c r="B194" t="e">
        <f>ADP!#REF!</f>
        <v>#REF!</v>
      </c>
      <c r="R194" t="e">
        <f>ADP!#REF!</f>
        <v>#REF!</v>
      </c>
      <c r="T194" t="e">
        <f>ADP!#REF!</f>
        <v>#REF!</v>
      </c>
    </row>
    <row r="195" spans="1:20" x14ac:dyDescent="0.2">
      <c r="A195" s="39" t="s">
        <v>1501</v>
      </c>
      <c r="B195" t="e">
        <f>ADP!#REF!</f>
        <v>#REF!</v>
      </c>
      <c r="R195" t="e">
        <f>ADP!#REF!</f>
        <v>#REF!</v>
      </c>
      <c r="T195" t="e">
        <f>ADP!#REF!</f>
        <v>#REF!</v>
      </c>
    </row>
    <row r="196" spans="1:20" x14ac:dyDescent="0.2">
      <c r="A196" s="39" t="s">
        <v>1501</v>
      </c>
      <c r="B196" t="e">
        <f>ADP!#REF!</f>
        <v>#REF!</v>
      </c>
      <c r="R196" t="e">
        <f>ADP!#REF!</f>
        <v>#REF!</v>
      </c>
      <c r="T196" t="e">
        <f>ADP!#REF!</f>
        <v>#REF!</v>
      </c>
    </row>
    <row r="197" spans="1:20" x14ac:dyDescent="0.2">
      <c r="A197" s="39" t="s">
        <v>1501</v>
      </c>
      <c r="B197" t="e">
        <f>ADP!#REF!</f>
        <v>#REF!</v>
      </c>
      <c r="R197" t="e">
        <f>ADP!#REF!</f>
        <v>#REF!</v>
      </c>
      <c r="T197" t="e">
        <f>ADP!#REF!</f>
        <v>#REF!</v>
      </c>
    </row>
    <row r="198" spans="1:20" x14ac:dyDescent="0.2">
      <c r="A198" s="39" t="s">
        <v>1501</v>
      </c>
      <c r="B198" t="e">
        <f>ADP!#REF!</f>
        <v>#REF!</v>
      </c>
      <c r="R198" t="e">
        <f>ADP!#REF!</f>
        <v>#REF!</v>
      </c>
      <c r="T198" t="e">
        <f>ADP!#REF!</f>
        <v>#REF!</v>
      </c>
    </row>
    <row r="199" spans="1:20" x14ac:dyDescent="0.2">
      <c r="A199" s="39" t="s">
        <v>1501</v>
      </c>
      <c r="B199" t="e">
        <f>ADP!#REF!</f>
        <v>#REF!</v>
      </c>
      <c r="R199" t="e">
        <f>ADP!#REF!</f>
        <v>#REF!</v>
      </c>
      <c r="T199" t="e">
        <f>ADP!#REF!</f>
        <v>#REF!</v>
      </c>
    </row>
    <row r="200" spans="1:20" x14ac:dyDescent="0.2">
      <c r="A200" s="39" t="s">
        <v>1501</v>
      </c>
      <c r="B200" t="e">
        <f>ADP!#REF!</f>
        <v>#REF!</v>
      </c>
      <c r="R200" t="e">
        <f>ADP!#REF!</f>
        <v>#REF!</v>
      </c>
      <c r="T200" t="e">
        <f>ADP!#REF!</f>
        <v>#REF!</v>
      </c>
    </row>
    <row r="201" spans="1:20" x14ac:dyDescent="0.2">
      <c r="A201" s="39" t="s">
        <v>1501</v>
      </c>
      <c r="B201" t="e">
        <f>ADP!#REF!</f>
        <v>#REF!</v>
      </c>
      <c r="R201" t="e">
        <f>ADP!#REF!</f>
        <v>#REF!</v>
      </c>
      <c r="T201" t="e">
        <f>ADP!#REF!</f>
        <v>#REF!</v>
      </c>
    </row>
    <row r="202" spans="1:20" x14ac:dyDescent="0.2">
      <c r="A202" s="39" t="s">
        <v>1501</v>
      </c>
      <c r="B202" t="e">
        <f>ADP!#REF!</f>
        <v>#REF!</v>
      </c>
      <c r="R202" t="e">
        <f>ADP!#REF!</f>
        <v>#REF!</v>
      </c>
      <c r="T202" t="e">
        <f>ADP!#REF!</f>
        <v>#REF!</v>
      </c>
    </row>
    <row r="203" spans="1:20" x14ac:dyDescent="0.2">
      <c r="A203" s="39" t="s">
        <v>1501</v>
      </c>
      <c r="B203" t="e">
        <f>ADP!#REF!</f>
        <v>#REF!</v>
      </c>
      <c r="R203" t="e">
        <f>ADP!#REF!</f>
        <v>#REF!</v>
      </c>
      <c r="T203" t="e">
        <f>ADP!#REF!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3" tint="0.249977111117893"/>
  </sheetPr>
  <dimension ref="A1:AI203"/>
  <sheetViews>
    <sheetView workbookViewId="0">
      <selection activeCell="H3" sqref="H3"/>
    </sheetView>
  </sheetViews>
  <sheetFormatPr baseColWidth="10" defaultRowHeight="15" x14ac:dyDescent="0.2"/>
  <sheetData>
    <row r="1" spans="1:35" x14ac:dyDescent="0.2">
      <c r="A1" s="47" t="s">
        <v>1433</v>
      </c>
    </row>
    <row r="2" spans="1:35" x14ac:dyDescent="0.2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 x14ac:dyDescent="0.2">
      <c r="A3" s="28" t="s">
        <v>1502</v>
      </c>
      <c r="B3" s="28" t="s">
        <v>1435</v>
      </c>
      <c r="C3" s="29" t="s">
        <v>1503</v>
      </c>
      <c r="D3" s="29" t="s">
        <v>1504</v>
      </c>
      <c r="E3" s="29" t="s">
        <v>1505</v>
      </c>
      <c r="F3" s="29" t="s">
        <v>1506</v>
      </c>
      <c r="G3" s="29" t="s">
        <v>1507</v>
      </c>
      <c r="H3" s="29" t="s">
        <v>1508</v>
      </c>
      <c r="I3" s="29" t="s">
        <v>1509</v>
      </c>
      <c r="J3" s="29" t="s">
        <v>1510</v>
      </c>
      <c r="K3" s="29" t="s">
        <v>1511</v>
      </c>
      <c r="L3" s="29" t="s">
        <v>1512</v>
      </c>
      <c r="M3" s="29" t="s">
        <v>1495</v>
      </c>
      <c r="N3" s="29" t="s">
        <v>1496</v>
      </c>
      <c r="O3" s="29" t="s">
        <v>1497</v>
      </c>
      <c r="P3" s="29" t="s">
        <v>1513</v>
      </c>
      <c r="Q3" s="29" t="s">
        <v>1514</v>
      </c>
      <c r="R3" s="29" t="s">
        <v>1515</v>
      </c>
      <c r="S3" s="29" t="s">
        <v>1516</v>
      </c>
      <c r="T3" s="29" t="s">
        <v>1517</v>
      </c>
      <c r="U3" s="29" t="s">
        <v>1518</v>
      </c>
      <c r="V3" s="29" t="s">
        <v>1519</v>
      </c>
      <c r="W3" s="29" t="s">
        <v>1520</v>
      </c>
      <c r="X3" s="29" t="s">
        <v>1521</v>
      </c>
      <c r="Y3" s="29" t="s">
        <v>1522</v>
      </c>
      <c r="Z3" s="29" t="s">
        <v>1523</v>
      </c>
      <c r="AA3" s="29" t="s">
        <v>1524</v>
      </c>
      <c r="AB3" s="29" t="s">
        <v>1525</v>
      </c>
      <c r="AC3" s="29" t="s">
        <v>1526</v>
      </c>
      <c r="AD3" s="29" t="s">
        <v>1527</v>
      </c>
      <c r="AE3" s="29" t="s">
        <v>1166</v>
      </c>
      <c r="AF3" s="29" t="s">
        <v>1167</v>
      </c>
      <c r="AG3" s="29" t="s">
        <v>1168</v>
      </c>
      <c r="AH3" s="29" t="s">
        <v>1169</v>
      </c>
      <c r="AI3" s="29" t="s">
        <v>1170</v>
      </c>
    </row>
    <row r="4" spans="1:35" x14ac:dyDescent="0.2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 x14ac:dyDescent="0.2">
      <c r="A5" s="39" t="s">
        <v>1528</v>
      </c>
      <c r="B5" t="str">
        <f>ADP!P5</f>
        <v>211837</v>
      </c>
      <c r="C5" s="18" t="str">
        <f>ADP!AO5</f>
        <v>N</v>
      </c>
      <c r="D5" s="18" t="str">
        <f>ADP!AO5</f>
        <v>N</v>
      </c>
      <c r="H5" t="str">
        <f>ADP!AO5</f>
        <v>N</v>
      </c>
      <c r="I5" s="18" t="str">
        <f>ADP!AO5</f>
        <v>N</v>
      </c>
      <c r="J5" s="18" t="str">
        <f>ADP!AO5</f>
        <v>N</v>
      </c>
      <c r="R5" t="str">
        <f>ADP!AC5</f>
        <v>211756</v>
      </c>
      <c r="S5" t="str">
        <f>ADP!AC5</f>
        <v>211756</v>
      </c>
      <c r="AC5" s="18" t="s">
        <v>1421</v>
      </c>
      <c r="AD5" s="18" t="s">
        <v>1421</v>
      </c>
    </row>
    <row r="6" spans="1:35" x14ac:dyDescent="0.2">
      <c r="A6" s="39" t="s">
        <v>1528</v>
      </c>
      <c r="B6" t="str">
        <f>ADP!P6</f>
        <v>213331</v>
      </c>
      <c r="C6" s="18" t="str">
        <f>ADP!AO6</f>
        <v>N</v>
      </c>
      <c r="D6" s="18" t="str">
        <f>ADP!AO6</f>
        <v>N</v>
      </c>
      <c r="H6" t="str">
        <f>ADP!AO6</f>
        <v>N</v>
      </c>
      <c r="I6" s="18" t="str">
        <f>ADP!AO6</f>
        <v>N</v>
      </c>
      <c r="J6" s="18" t="str">
        <f>ADP!AO6</f>
        <v>N</v>
      </c>
      <c r="R6" t="str">
        <f>ADP!AC6</f>
        <v>207588</v>
      </c>
      <c r="S6" t="str">
        <f>ADP!AC6</f>
        <v>207588</v>
      </c>
      <c r="AC6" s="18" t="s">
        <v>1421</v>
      </c>
      <c r="AD6" s="18" t="s">
        <v>1421</v>
      </c>
    </row>
    <row r="7" spans="1:35" x14ac:dyDescent="0.2">
      <c r="A7" s="39" t="s">
        <v>1528</v>
      </c>
      <c r="B7" t="str">
        <f>ADP!P7</f>
        <v>213226</v>
      </c>
      <c r="C7" s="18" t="str">
        <f>ADP!AO7</f>
        <v>Y</v>
      </c>
      <c r="D7" s="18" t="str">
        <f>ADP!AO7</f>
        <v>Y</v>
      </c>
      <c r="H7" t="str">
        <f>ADP!AO7</f>
        <v>Y</v>
      </c>
      <c r="I7" s="18" t="str">
        <f>ADP!AO7</f>
        <v>Y</v>
      </c>
      <c r="J7" s="18" t="str">
        <f>ADP!AO7</f>
        <v>Y</v>
      </c>
      <c r="R7" t="str">
        <f>ADP!AC7</f>
        <v>211766</v>
      </c>
      <c r="S7" t="str">
        <f>ADP!AC7</f>
        <v>211766</v>
      </c>
      <c r="AC7" s="18" t="s">
        <v>1421</v>
      </c>
      <c r="AD7" s="18" t="s">
        <v>1421</v>
      </c>
    </row>
    <row r="8" spans="1:35" x14ac:dyDescent="0.2">
      <c r="A8" s="39" t="s">
        <v>1528</v>
      </c>
      <c r="B8" t="str">
        <f>ADP!P8</f>
        <v>210892</v>
      </c>
      <c r="C8" s="18" t="str">
        <f>ADP!AO8</f>
        <v>Y</v>
      </c>
      <c r="D8" s="18" t="str">
        <f>ADP!AO8</f>
        <v>Y</v>
      </c>
      <c r="H8" t="str">
        <f>ADP!AO8</f>
        <v>Y</v>
      </c>
      <c r="I8" s="18" t="str">
        <f>ADP!AO8</f>
        <v>Y</v>
      </c>
      <c r="J8" s="18" t="str">
        <f>ADP!AO8</f>
        <v>Y</v>
      </c>
      <c r="R8" t="str">
        <f>ADP!AC8</f>
        <v>211766</v>
      </c>
      <c r="S8" t="str">
        <f>ADP!AC8</f>
        <v>211766</v>
      </c>
      <c r="AC8" s="18" t="s">
        <v>1421</v>
      </c>
      <c r="AD8" s="18" t="s">
        <v>1421</v>
      </c>
    </row>
    <row r="9" spans="1:35" x14ac:dyDescent="0.2">
      <c r="A9" s="39" t="s">
        <v>1528</v>
      </c>
      <c r="B9" t="str">
        <f>ADP!P9</f>
        <v>206848</v>
      </c>
      <c r="C9" s="18" t="str">
        <f>ADP!AO9</f>
        <v>N</v>
      </c>
      <c r="D9" s="18" t="str">
        <f>ADP!AO9</f>
        <v>N</v>
      </c>
      <c r="H9" t="str">
        <f>ADP!AO9</f>
        <v>N</v>
      </c>
      <c r="I9" s="18" t="str">
        <f>ADP!AO9</f>
        <v>N</v>
      </c>
      <c r="J9" s="18" t="str">
        <f>ADP!AO9</f>
        <v>N</v>
      </c>
      <c r="R9" t="str">
        <f>ADP!AC9</f>
        <v>211736</v>
      </c>
      <c r="S9" t="str">
        <f>ADP!AC9</f>
        <v>211736</v>
      </c>
      <c r="AC9" s="18" t="s">
        <v>1421</v>
      </c>
      <c r="AD9" s="18" t="s">
        <v>1421</v>
      </c>
    </row>
    <row r="10" spans="1:35" x14ac:dyDescent="0.2">
      <c r="A10" s="39" t="s">
        <v>1528</v>
      </c>
      <c r="B10" t="str">
        <f>ADP!P10</f>
        <v>201688</v>
      </c>
      <c r="C10" s="18" t="str">
        <f>ADP!AO10</f>
        <v>Y</v>
      </c>
      <c r="D10" s="18" t="str">
        <f>ADP!AO10</f>
        <v>Y</v>
      </c>
      <c r="H10" t="str">
        <f>ADP!AO10</f>
        <v>Y</v>
      </c>
      <c r="I10" s="18" t="str">
        <f>ADP!AO10</f>
        <v>Y</v>
      </c>
      <c r="J10" s="18" t="str">
        <f>ADP!AO10</f>
        <v>Y</v>
      </c>
      <c r="R10" t="str">
        <f>ADP!AC10</f>
        <v>008750</v>
      </c>
      <c r="S10" t="str">
        <f>ADP!AC10</f>
        <v>008750</v>
      </c>
      <c r="AC10" s="18" t="s">
        <v>1421</v>
      </c>
      <c r="AD10" s="18" t="s">
        <v>1421</v>
      </c>
    </row>
    <row r="11" spans="1:35" x14ac:dyDescent="0.2">
      <c r="A11" s="39" t="s">
        <v>1528</v>
      </c>
      <c r="B11" t="str">
        <f>ADP!P11</f>
        <v>902688</v>
      </c>
      <c r="C11" s="18" t="str">
        <f>ADP!AO11</f>
        <v>Y</v>
      </c>
      <c r="D11" s="18" t="str">
        <f>ADP!AO11</f>
        <v>Y</v>
      </c>
      <c r="H11" t="str">
        <f>ADP!AO11</f>
        <v>Y</v>
      </c>
      <c r="I11" s="18" t="str">
        <f>ADP!AO11</f>
        <v>Y</v>
      </c>
      <c r="J11" s="18" t="str">
        <f>ADP!AO11</f>
        <v>Y</v>
      </c>
      <c r="R11" t="str">
        <f>ADP!AC11</f>
        <v>211766</v>
      </c>
      <c r="S11" t="str">
        <f>ADP!AC11</f>
        <v>211766</v>
      </c>
      <c r="AC11" s="18" t="s">
        <v>1421</v>
      </c>
      <c r="AD11" s="18" t="s">
        <v>1421</v>
      </c>
    </row>
    <row r="12" spans="1:35" x14ac:dyDescent="0.2">
      <c r="A12" s="39" t="s">
        <v>1528</v>
      </c>
      <c r="B12" t="str">
        <f>ADP!P12</f>
        <v>207709</v>
      </c>
      <c r="C12" s="18" t="str">
        <f>ADP!AO12</f>
        <v>Y</v>
      </c>
      <c r="D12" s="18" t="str">
        <f>ADP!AO12</f>
        <v>Y</v>
      </c>
      <c r="H12" t="str">
        <f>ADP!AO12</f>
        <v>Y</v>
      </c>
      <c r="I12" s="18" t="str">
        <f>ADP!AO12</f>
        <v>Y</v>
      </c>
      <c r="J12" s="18" t="str">
        <f>ADP!AO12</f>
        <v>Y</v>
      </c>
      <c r="R12" t="str">
        <f>ADP!AC12</f>
        <v/>
      </c>
      <c r="S12" t="str">
        <f>ADP!AC12</f>
        <v/>
      </c>
      <c r="AC12" s="18" t="s">
        <v>1421</v>
      </c>
      <c r="AD12" s="18" t="s">
        <v>1421</v>
      </c>
    </row>
    <row r="13" spans="1:35" x14ac:dyDescent="0.2">
      <c r="A13" s="39" t="s">
        <v>1528</v>
      </c>
      <c r="B13" t="str">
        <f>ADP!P13</f>
        <v>209579</v>
      </c>
      <c r="C13" s="18" t="str">
        <f>ADP!AO13</f>
        <v>N</v>
      </c>
      <c r="D13" s="18" t="str">
        <f>ADP!AO13</f>
        <v>N</v>
      </c>
      <c r="H13" t="str">
        <f>ADP!AO13</f>
        <v>N</v>
      </c>
      <c r="I13" s="18" t="str">
        <f>ADP!AO13</f>
        <v>N</v>
      </c>
      <c r="J13" s="18" t="str">
        <f>ADP!AO13</f>
        <v>N</v>
      </c>
      <c r="R13" t="str">
        <f>ADP!AC13</f>
        <v>207588</v>
      </c>
      <c r="S13" t="str">
        <f>ADP!AC13</f>
        <v>207588</v>
      </c>
      <c r="AC13" s="18" t="s">
        <v>1421</v>
      </c>
      <c r="AD13" s="18" t="s">
        <v>1421</v>
      </c>
    </row>
    <row r="14" spans="1:35" x14ac:dyDescent="0.2">
      <c r="A14" s="39" t="s">
        <v>1528</v>
      </c>
      <c r="B14" t="str">
        <f>ADP!P14</f>
        <v>213037</v>
      </c>
      <c r="C14" s="18" t="str">
        <f>ADP!AO14</f>
        <v>Y</v>
      </c>
      <c r="D14" s="18" t="str">
        <f>ADP!AO14</f>
        <v>Y</v>
      </c>
      <c r="H14" t="str">
        <f>ADP!AO14</f>
        <v>Y</v>
      </c>
      <c r="I14" s="18" t="str">
        <f>ADP!AO14</f>
        <v>Y</v>
      </c>
      <c r="J14" s="18" t="str">
        <f>ADP!AO14</f>
        <v>Y</v>
      </c>
      <c r="R14" t="str">
        <f>ADP!AC14</f>
        <v>207709</v>
      </c>
      <c r="S14" t="str">
        <f>ADP!AC14</f>
        <v>207709</v>
      </c>
      <c r="AC14" s="18" t="s">
        <v>1421</v>
      </c>
      <c r="AD14" s="18" t="s">
        <v>1421</v>
      </c>
    </row>
    <row r="15" spans="1:35" x14ac:dyDescent="0.2">
      <c r="A15" s="39" t="s">
        <v>1528</v>
      </c>
      <c r="B15" t="str">
        <f>ADP!P15</f>
        <v>213333</v>
      </c>
      <c r="C15" s="18" t="str">
        <f>ADP!AO15</f>
        <v>N</v>
      </c>
      <c r="D15" s="18" t="str">
        <f>ADP!AO15</f>
        <v>N</v>
      </c>
      <c r="H15" t="str">
        <f>ADP!AO15</f>
        <v>N</v>
      </c>
      <c r="I15" s="18" t="str">
        <f>ADP!AO15</f>
        <v>N</v>
      </c>
      <c r="J15" s="18" t="str">
        <f>ADP!AO15</f>
        <v>N</v>
      </c>
      <c r="R15" t="str">
        <f>ADP!AC15</f>
        <v>207588</v>
      </c>
      <c r="S15" t="str">
        <f>ADP!AC15</f>
        <v>207588</v>
      </c>
      <c r="AC15" s="18" t="s">
        <v>1421</v>
      </c>
      <c r="AD15" s="18" t="s">
        <v>1421</v>
      </c>
    </row>
    <row r="16" spans="1:35" x14ac:dyDescent="0.2">
      <c r="A16" s="39" t="s">
        <v>1528</v>
      </c>
      <c r="B16" t="str">
        <f>ADP!P16</f>
        <v>212626</v>
      </c>
      <c r="C16" s="18" t="str">
        <f>ADP!AO16</f>
        <v>N</v>
      </c>
      <c r="D16" s="18" t="str">
        <f>ADP!AO16</f>
        <v>N</v>
      </c>
      <c r="H16" t="str">
        <f>ADP!AO16</f>
        <v>N</v>
      </c>
      <c r="I16" s="18" t="str">
        <f>ADP!AO16</f>
        <v>N</v>
      </c>
      <c r="J16" s="18" t="str">
        <f>ADP!AO16</f>
        <v>N</v>
      </c>
      <c r="R16" t="str">
        <f>ADP!AC16</f>
        <v>211736</v>
      </c>
      <c r="S16" t="str">
        <f>ADP!AC16</f>
        <v>211736</v>
      </c>
      <c r="AC16" s="18" t="s">
        <v>1421</v>
      </c>
      <c r="AD16" s="18" t="s">
        <v>1421</v>
      </c>
    </row>
    <row r="17" spans="1:30" x14ac:dyDescent="0.2">
      <c r="A17" s="39" t="s">
        <v>1528</v>
      </c>
      <c r="B17" t="str">
        <f>ADP!P17</f>
        <v>212639</v>
      </c>
      <c r="C17" s="18" t="str">
        <f>ADP!AO17</f>
        <v>N</v>
      </c>
      <c r="D17" s="18" t="str">
        <f>ADP!AO17</f>
        <v>N</v>
      </c>
      <c r="H17" t="str">
        <f>ADP!AO17</f>
        <v>N</v>
      </c>
      <c r="I17" s="18" t="str">
        <f>ADP!AO17</f>
        <v>N</v>
      </c>
      <c r="J17" s="18" t="str">
        <f>ADP!AO17</f>
        <v>N</v>
      </c>
      <c r="R17" t="str">
        <f>ADP!AC17</f>
        <v>211736</v>
      </c>
      <c r="S17" t="str">
        <f>ADP!AC17</f>
        <v>211736</v>
      </c>
      <c r="AC17" s="18" t="s">
        <v>1421</v>
      </c>
      <c r="AD17" s="18" t="s">
        <v>1421</v>
      </c>
    </row>
    <row r="18" spans="1:30" x14ac:dyDescent="0.2">
      <c r="A18" s="39" t="s">
        <v>1528</v>
      </c>
      <c r="B18" t="str">
        <f>ADP!P18</f>
        <v>211464</v>
      </c>
      <c r="C18" s="18" t="str">
        <f>ADP!AO18</f>
        <v>Y</v>
      </c>
      <c r="D18" s="18" t="str">
        <f>ADP!AO18</f>
        <v>Y</v>
      </c>
      <c r="H18" t="str">
        <f>ADP!AO18</f>
        <v>Y</v>
      </c>
      <c r="I18" s="18" t="str">
        <f>ADP!AO18</f>
        <v>Y</v>
      </c>
      <c r="J18" s="18" t="str">
        <f>ADP!AO18</f>
        <v>Y</v>
      </c>
      <c r="R18" t="str">
        <f>ADP!AC18</f>
        <v>902688</v>
      </c>
      <c r="S18" t="str">
        <f>ADP!AC18</f>
        <v>902688</v>
      </c>
      <c r="AC18" s="18" t="s">
        <v>1421</v>
      </c>
      <c r="AD18" s="18" t="s">
        <v>1421</v>
      </c>
    </row>
    <row r="19" spans="1:30" x14ac:dyDescent="0.2">
      <c r="A19" s="39" t="s">
        <v>1528</v>
      </c>
      <c r="B19" t="str">
        <f>ADP!P19</f>
        <v>210102</v>
      </c>
      <c r="C19" s="18" t="str">
        <f>ADP!AO19</f>
        <v>N</v>
      </c>
      <c r="D19" s="18" t="str">
        <f>ADP!AO19</f>
        <v>N</v>
      </c>
      <c r="H19" t="str">
        <f>ADP!AO19</f>
        <v>N</v>
      </c>
      <c r="I19" s="18" t="str">
        <f>ADP!AO19</f>
        <v>N</v>
      </c>
      <c r="J19" s="18" t="str">
        <f>ADP!AO19</f>
        <v>N</v>
      </c>
      <c r="R19" t="str">
        <f>ADP!AC19</f>
        <v>901934</v>
      </c>
      <c r="S19" t="str">
        <f>ADP!AC19</f>
        <v>901934</v>
      </c>
      <c r="AC19" s="18" t="s">
        <v>1421</v>
      </c>
      <c r="AD19" s="18" t="s">
        <v>1421</v>
      </c>
    </row>
    <row r="20" spans="1:30" x14ac:dyDescent="0.2">
      <c r="A20" s="39" t="s">
        <v>1528</v>
      </c>
      <c r="B20" t="str">
        <f>ADP!P20</f>
        <v>211174</v>
      </c>
      <c r="C20" s="18" t="str">
        <f>ADP!AO20</f>
        <v>N</v>
      </c>
      <c r="D20" s="18" t="str">
        <f>ADP!AO20</f>
        <v>N</v>
      </c>
      <c r="H20" t="str">
        <f>ADP!AO20</f>
        <v>N</v>
      </c>
      <c r="I20" s="18" t="str">
        <f>ADP!AO20</f>
        <v>N</v>
      </c>
      <c r="J20" s="18" t="str">
        <f>ADP!AO20</f>
        <v>N</v>
      </c>
      <c r="R20" t="str">
        <f>ADP!AC20</f>
        <v>211736</v>
      </c>
      <c r="S20" t="str">
        <f>ADP!AC20</f>
        <v>211736</v>
      </c>
      <c r="AC20" s="18" t="s">
        <v>1421</v>
      </c>
      <c r="AD20" s="18" t="s">
        <v>1421</v>
      </c>
    </row>
    <row r="21" spans="1:30" x14ac:dyDescent="0.2">
      <c r="A21" s="39" t="s">
        <v>1528</v>
      </c>
      <c r="B21" t="str">
        <f>ADP!P21</f>
        <v>006769</v>
      </c>
      <c r="C21" s="18" t="str">
        <f>ADP!AO21</f>
        <v>N</v>
      </c>
      <c r="D21" s="18" t="str">
        <f>ADP!AO21</f>
        <v>N</v>
      </c>
      <c r="H21" t="str">
        <f>ADP!AO21</f>
        <v>N</v>
      </c>
      <c r="I21" s="18" t="str">
        <f>ADP!AO21</f>
        <v>N</v>
      </c>
      <c r="J21" s="18" t="str">
        <f>ADP!AO21</f>
        <v>N</v>
      </c>
      <c r="R21" t="str">
        <f>ADP!AC21</f>
        <v>213037</v>
      </c>
      <c r="S21" t="str">
        <f>ADP!AC21</f>
        <v>213037</v>
      </c>
      <c r="AC21" s="18" t="s">
        <v>1421</v>
      </c>
      <c r="AD21" s="18" t="s">
        <v>1421</v>
      </c>
    </row>
    <row r="22" spans="1:30" x14ac:dyDescent="0.2">
      <c r="A22" s="39" t="s">
        <v>1528</v>
      </c>
      <c r="B22" t="str">
        <f>ADP!P22</f>
        <v>209735</v>
      </c>
      <c r="C22" s="18" t="str">
        <f>ADP!AO22</f>
        <v>N</v>
      </c>
      <c r="D22" s="18" t="str">
        <f>ADP!AO22</f>
        <v>N</v>
      </c>
      <c r="H22" t="str">
        <f>ADP!AO22</f>
        <v>N</v>
      </c>
      <c r="I22" s="18" t="str">
        <f>ADP!AO22</f>
        <v>N</v>
      </c>
      <c r="J22" s="18" t="str">
        <f>ADP!AO22</f>
        <v>N</v>
      </c>
      <c r="R22" t="str">
        <f>ADP!AC22</f>
        <v>211601</v>
      </c>
      <c r="S22" t="str">
        <f>ADP!AC22</f>
        <v>211601</v>
      </c>
      <c r="AC22" s="18" t="s">
        <v>1421</v>
      </c>
      <c r="AD22" s="18" t="s">
        <v>1421</v>
      </c>
    </row>
    <row r="23" spans="1:30" x14ac:dyDescent="0.2">
      <c r="A23" s="39" t="s">
        <v>1528</v>
      </c>
      <c r="B23" t="str">
        <f>ADP!P23</f>
        <v>211756</v>
      </c>
      <c r="C23" s="18" t="str">
        <f>ADP!AO23</f>
        <v>N</v>
      </c>
      <c r="D23" s="18" t="str">
        <f>ADP!AO23</f>
        <v>N</v>
      </c>
      <c r="H23" t="str">
        <f>ADP!AO23</f>
        <v>N</v>
      </c>
      <c r="I23" s="18" t="str">
        <f>ADP!AO23</f>
        <v>N</v>
      </c>
      <c r="J23" s="18" t="str">
        <f>ADP!AO23</f>
        <v>N</v>
      </c>
      <c r="R23" t="str">
        <f>ADP!AC23</f>
        <v>902688</v>
      </c>
      <c r="S23" t="str">
        <f>ADP!AC23</f>
        <v>902688</v>
      </c>
      <c r="AC23" s="18" t="s">
        <v>1421</v>
      </c>
      <c r="AD23" s="18" t="s">
        <v>1421</v>
      </c>
    </row>
    <row r="24" spans="1:30" x14ac:dyDescent="0.2">
      <c r="A24" s="39" t="s">
        <v>1528</v>
      </c>
      <c r="B24" t="str">
        <f>ADP!P24</f>
        <v>206741</v>
      </c>
      <c r="C24" s="18" t="str">
        <f>ADP!AO24</f>
        <v>N</v>
      </c>
      <c r="D24" s="18" t="str">
        <f>ADP!AO24</f>
        <v>N</v>
      </c>
      <c r="H24" t="str">
        <f>ADP!AO24</f>
        <v>N</v>
      </c>
      <c r="I24" s="18" t="str">
        <f>ADP!AO24</f>
        <v>N</v>
      </c>
      <c r="J24" s="18" t="str">
        <f>ADP!AO24</f>
        <v>N</v>
      </c>
      <c r="R24" t="str">
        <f>ADP!AC24</f>
        <v>211062</v>
      </c>
      <c r="S24" t="str">
        <f>ADP!AC24</f>
        <v>211062</v>
      </c>
      <c r="AC24" s="18" t="s">
        <v>1421</v>
      </c>
      <c r="AD24" s="18" t="s">
        <v>1421</v>
      </c>
    </row>
    <row r="25" spans="1:30" x14ac:dyDescent="0.2">
      <c r="A25" s="39" t="s">
        <v>1528</v>
      </c>
      <c r="B25" t="str">
        <f>ADP!P25</f>
        <v>900826</v>
      </c>
      <c r="C25" s="18" t="str">
        <f>ADP!AO25</f>
        <v>N</v>
      </c>
      <c r="D25" s="18" t="str">
        <f>ADP!AO25</f>
        <v>N</v>
      </c>
      <c r="H25" t="str">
        <f>ADP!AO25</f>
        <v>N</v>
      </c>
      <c r="I25" s="18" t="str">
        <f>ADP!AO25</f>
        <v>N</v>
      </c>
      <c r="J25" s="18" t="str">
        <f>ADP!AO25</f>
        <v>N</v>
      </c>
      <c r="R25" t="str">
        <f>ADP!AC25</f>
        <v>211601</v>
      </c>
      <c r="S25" t="str">
        <f>ADP!AC25</f>
        <v>211601</v>
      </c>
      <c r="AC25" s="18" t="s">
        <v>1421</v>
      </c>
      <c r="AD25" s="18" t="s">
        <v>1421</v>
      </c>
    </row>
    <row r="26" spans="1:30" x14ac:dyDescent="0.2">
      <c r="A26" s="39" t="s">
        <v>1528</v>
      </c>
      <c r="B26" t="str">
        <f>ADP!P26</f>
        <v>212737</v>
      </c>
      <c r="C26" s="18" t="str">
        <f>ADP!AO26</f>
        <v>N</v>
      </c>
      <c r="D26" s="18" t="str">
        <f>ADP!AO26</f>
        <v>N</v>
      </c>
      <c r="H26" t="str">
        <f>ADP!AO26</f>
        <v>N</v>
      </c>
      <c r="I26" s="18" t="str">
        <f>ADP!AO26</f>
        <v>N</v>
      </c>
      <c r="J26" s="18" t="str">
        <f>ADP!AO26</f>
        <v>N</v>
      </c>
      <c r="R26" t="str">
        <f>ADP!AC26</f>
        <v>213037</v>
      </c>
      <c r="S26" t="str">
        <f>ADP!AC26</f>
        <v>213037</v>
      </c>
      <c r="AC26" s="18" t="s">
        <v>1421</v>
      </c>
      <c r="AD26" s="18" t="s">
        <v>1421</v>
      </c>
    </row>
    <row r="27" spans="1:30" x14ac:dyDescent="0.2">
      <c r="A27" s="39" t="s">
        <v>1528</v>
      </c>
      <c r="B27" t="str">
        <f>ADP!P27</f>
        <v>902435</v>
      </c>
      <c r="C27" s="18" t="str">
        <f>ADP!AO27</f>
        <v>N</v>
      </c>
      <c r="D27" s="18" t="str">
        <f>ADP!AO27</f>
        <v>N</v>
      </c>
      <c r="H27" t="str">
        <f>ADP!AO27</f>
        <v>N</v>
      </c>
      <c r="I27" s="18" t="str">
        <f>ADP!AO27</f>
        <v>N</v>
      </c>
      <c r="J27" s="18" t="str">
        <f>ADP!AO27</f>
        <v>N</v>
      </c>
      <c r="R27" t="str">
        <f>ADP!AC27</f>
        <v>211766</v>
      </c>
      <c r="S27" t="str">
        <f>ADP!AC27</f>
        <v>211766</v>
      </c>
      <c r="AC27" s="18" t="s">
        <v>1421</v>
      </c>
      <c r="AD27" s="18" t="s">
        <v>1421</v>
      </c>
    </row>
    <row r="28" spans="1:30" x14ac:dyDescent="0.2">
      <c r="A28" s="39" t="s">
        <v>1528</v>
      </c>
      <c r="B28" t="str">
        <f>ADP!P28</f>
        <v>213265</v>
      </c>
      <c r="C28" s="18" t="str">
        <f>ADP!AO28</f>
        <v>N</v>
      </c>
      <c r="D28" s="18" t="str">
        <f>ADP!AO28</f>
        <v>N</v>
      </c>
      <c r="H28" t="str">
        <f>ADP!AO28</f>
        <v>N</v>
      </c>
      <c r="I28" s="18" t="str">
        <f>ADP!AO28</f>
        <v>N</v>
      </c>
      <c r="J28" s="18" t="str">
        <f>ADP!AO28</f>
        <v>N</v>
      </c>
      <c r="R28" t="str">
        <f>ADP!AC28</f>
        <v>210910</v>
      </c>
      <c r="S28" t="str">
        <f>ADP!AC28</f>
        <v>210910</v>
      </c>
      <c r="AC28" s="18" t="s">
        <v>1421</v>
      </c>
      <c r="AD28" s="18" t="s">
        <v>1421</v>
      </c>
    </row>
    <row r="29" spans="1:30" x14ac:dyDescent="0.2">
      <c r="A29" s="39" t="s">
        <v>1528</v>
      </c>
      <c r="B29" t="str">
        <f>ADP!P29</f>
        <v>212699</v>
      </c>
      <c r="C29" s="18" t="str">
        <f>ADP!AO29</f>
        <v>Y</v>
      </c>
      <c r="D29" s="18" t="str">
        <f>ADP!AO29</f>
        <v>Y</v>
      </c>
      <c r="H29" t="str">
        <f>ADP!AO29</f>
        <v>Y</v>
      </c>
      <c r="I29" s="18" t="str">
        <f>ADP!AO29</f>
        <v>Y</v>
      </c>
      <c r="J29" s="18" t="str">
        <f>ADP!AO29</f>
        <v>Y</v>
      </c>
      <c r="R29" t="str">
        <f>ADP!AC29</f>
        <v>902688</v>
      </c>
      <c r="S29" t="str">
        <f>ADP!AC29</f>
        <v>902688</v>
      </c>
      <c r="AC29" s="18" t="s">
        <v>1421</v>
      </c>
      <c r="AD29" s="18" t="s">
        <v>1421</v>
      </c>
    </row>
    <row r="30" spans="1:30" x14ac:dyDescent="0.2">
      <c r="A30" s="39" t="s">
        <v>1528</v>
      </c>
      <c r="B30" t="str">
        <f>ADP!P30</f>
        <v>006774</v>
      </c>
      <c r="C30" s="18" t="str">
        <f>ADP!AO30</f>
        <v>N</v>
      </c>
      <c r="D30" s="18" t="str">
        <f>ADP!AO30</f>
        <v>N</v>
      </c>
      <c r="H30" t="str">
        <f>ADP!AO30</f>
        <v>N</v>
      </c>
      <c r="I30" s="18" t="str">
        <f>ADP!AO30</f>
        <v>N</v>
      </c>
      <c r="J30" s="18" t="str">
        <f>ADP!AO30</f>
        <v>N</v>
      </c>
      <c r="R30" t="str">
        <f>ADP!AC30</f>
        <v>211998</v>
      </c>
      <c r="S30" t="str">
        <f>ADP!AC30</f>
        <v>211998</v>
      </c>
      <c r="AC30" s="18" t="s">
        <v>1421</v>
      </c>
      <c r="AD30" s="18" t="s">
        <v>1421</v>
      </c>
    </row>
    <row r="31" spans="1:30" x14ac:dyDescent="0.2">
      <c r="A31" s="39" t="s">
        <v>1528</v>
      </c>
      <c r="B31" t="str">
        <f>ADP!P31</f>
        <v>207391</v>
      </c>
      <c r="C31" s="18" t="str">
        <f>ADP!AO31</f>
        <v>N</v>
      </c>
      <c r="D31" s="18" t="str">
        <f>ADP!AO31</f>
        <v>N</v>
      </c>
      <c r="H31" t="str">
        <f>ADP!AO31</f>
        <v>N</v>
      </c>
      <c r="I31" s="18" t="str">
        <f>ADP!AO31</f>
        <v>N</v>
      </c>
      <c r="J31" s="18" t="str">
        <f>ADP!AO31</f>
        <v>N</v>
      </c>
      <c r="R31" t="str">
        <f>ADP!AC31</f>
        <v>211736</v>
      </c>
      <c r="S31" t="str">
        <f>ADP!AC31</f>
        <v>211736</v>
      </c>
      <c r="AC31" s="18" t="s">
        <v>1421</v>
      </c>
      <c r="AD31" s="18" t="s">
        <v>1421</v>
      </c>
    </row>
    <row r="32" spans="1:30" x14ac:dyDescent="0.2">
      <c r="A32" s="39" t="s">
        <v>1528</v>
      </c>
      <c r="B32" t="str">
        <f>ADP!P32</f>
        <v>211895</v>
      </c>
      <c r="C32" s="18" t="str">
        <f>ADP!AO32</f>
        <v>N</v>
      </c>
      <c r="D32" s="18" t="str">
        <f>ADP!AO32</f>
        <v>N</v>
      </c>
      <c r="H32" t="str">
        <f>ADP!AO32</f>
        <v>N</v>
      </c>
      <c r="I32" s="18" t="str">
        <f>ADP!AO32</f>
        <v>N</v>
      </c>
      <c r="J32" s="18" t="str">
        <f>ADP!AO32</f>
        <v>N</v>
      </c>
      <c r="R32" t="str">
        <f>ADP!AC32</f>
        <v>211756</v>
      </c>
      <c r="S32" t="str">
        <f>ADP!AC32</f>
        <v>211756</v>
      </c>
      <c r="AC32" s="18" t="s">
        <v>1421</v>
      </c>
      <c r="AD32" s="18" t="s">
        <v>1421</v>
      </c>
    </row>
    <row r="33" spans="1:30" x14ac:dyDescent="0.2">
      <c r="A33" s="39" t="s">
        <v>1528</v>
      </c>
      <c r="B33" t="str">
        <f>ADP!P33</f>
        <v>201958</v>
      </c>
      <c r="C33" s="18" t="str">
        <f>ADP!AO33</f>
        <v>N</v>
      </c>
      <c r="D33" s="18" t="str">
        <f>ADP!AO33</f>
        <v>N</v>
      </c>
      <c r="H33" t="str">
        <f>ADP!AO33</f>
        <v>N</v>
      </c>
      <c r="I33" s="18" t="str">
        <f>ADP!AO33</f>
        <v>N</v>
      </c>
      <c r="J33" s="18" t="str">
        <f>ADP!AO33</f>
        <v>N</v>
      </c>
      <c r="R33" t="str">
        <f>ADP!AC33</f>
        <v>901934</v>
      </c>
      <c r="S33" t="str">
        <f>ADP!AC33</f>
        <v>901934</v>
      </c>
      <c r="AC33" s="18" t="s">
        <v>1421</v>
      </c>
      <c r="AD33" s="18" t="s">
        <v>1421</v>
      </c>
    </row>
    <row r="34" spans="1:30" x14ac:dyDescent="0.2">
      <c r="A34" s="39" t="s">
        <v>1528</v>
      </c>
      <c r="B34" t="str">
        <f>ADP!P34</f>
        <v>900848</v>
      </c>
      <c r="C34" s="18" t="str">
        <f>ADP!AO34</f>
        <v>N</v>
      </c>
      <c r="D34" s="18" t="str">
        <f>ADP!AO34</f>
        <v>N</v>
      </c>
      <c r="H34" t="str">
        <f>ADP!AO34</f>
        <v>N</v>
      </c>
      <c r="I34" s="18" t="str">
        <f>ADP!AO34</f>
        <v>N</v>
      </c>
      <c r="J34" s="18" t="str">
        <f>ADP!AO34</f>
        <v>N</v>
      </c>
      <c r="R34" t="str">
        <f>ADP!AC34</f>
        <v>207199</v>
      </c>
      <c r="S34" t="str">
        <f>ADP!AC34</f>
        <v>207199</v>
      </c>
      <c r="AC34" s="18" t="s">
        <v>1421</v>
      </c>
      <c r="AD34" s="18" t="s">
        <v>1421</v>
      </c>
    </row>
    <row r="35" spans="1:30" x14ac:dyDescent="0.2">
      <c r="A35" s="39" t="s">
        <v>1528</v>
      </c>
      <c r="B35" t="str">
        <f>ADP!P35</f>
        <v>007863</v>
      </c>
      <c r="C35" s="18" t="str">
        <f>ADP!AO35</f>
        <v>Y</v>
      </c>
      <c r="D35" s="18" t="str">
        <f>ADP!AO35</f>
        <v>Y</v>
      </c>
      <c r="H35" t="str">
        <f>ADP!AO35</f>
        <v>Y</v>
      </c>
      <c r="I35" s="18" t="str">
        <f>ADP!AO35</f>
        <v>Y</v>
      </c>
      <c r="J35" s="18" t="str">
        <f>ADP!AO35</f>
        <v>Y</v>
      </c>
      <c r="R35" t="str">
        <f>ADP!AC35</f>
        <v>901934</v>
      </c>
      <c r="S35" t="str">
        <f>ADP!AC35</f>
        <v>901934</v>
      </c>
      <c r="AC35" s="18" t="s">
        <v>1421</v>
      </c>
      <c r="AD35" s="18" t="s">
        <v>1421</v>
      </c>
    </row>
    <row r="36" spans="1:30" x14ac:dyDescent="0.2">
      <c r="A36" s="39" t="s">
        <v>1528</v>
      </c>
      <c r="B36" t="str">
        <f>ADP!P36</f>
        <v>212151</v>
      </c>
      <c r="C36" s="18" t="str">
        <f>ADP!AO36</f>
        <v>N</v>
      </c>
      <c r="D36" s="18" t="str">
        <f>ADP!AO36</f>
        <v>N</v>
      </c>
      <c r="H36" t="str">
        <f>ADP!AO36</f>
        <v>N</v>
      </c>
      <c r="I36" s="18" t="str">
        <f>ADP!AO36</f>
        <v>N</v>
      </c>
      <c r="J36" s="18" t="str">
        <f>ADP!AO36</f>
        <v>N</v>
      </c>
      <c r="R36" t="str">
        <f>ADP!AC36</f>
        <v>211756</v>
      </c>
      <c r="S36" t="str">
        <f>ADP!AC36</f>
        <v>211756</v>
      </c>
      <c r="AC36" s="18" t="s">
        <v>1421</v>
      </c>
      <c r="AD36" s="18" t="s">
        <v>1421</v>
      </c>
    </row>
    <row r="37" spans="1:30" x14ac:dyDescent="0.2">
      <c r="A37" s="39" t="s">
        <v>1528</v>
      </c>
      <c r="B37" t="str">
        <f>ADP!P37</f>
        <v>211779</v>
      </c>
      <c r="C37" s="18" t="str">
        <f>ADP!AO37</f>
        <v>N</v>
      </c>
      <c r="D37" s="18" t="str">
        <f>ADP!AO37</f>
        <v>N</v>
      </c>
      <c r="H37" t="str">
        <f>ADP!AO37</f>
        <v>N</v>
      </c>
      <c r="I37" s="18" t="str">
        <f>ADP!AO37</f>
        <v>N</v>
      </c>
      <c r="J37" s="18" t="str">
        <f>ADP!AO37</f>
        <v>N</v>
      </c>
      <c r="R37" t="str">
        <f>ADP!AC37</f>
        <v>211736</v>
      </c>
      <c r="S37" t="str">
        <f>ADP!AC37</f>
        <v>211736</v>
      </c>
      <c r="AC37" s="18" t="s">
        <v>1421</v>
      </c>
      <c r="AD37" s="18" t="s">
        <v>1421</v>
      </c>
    </row>
    <row r="38" spans="1:30" x14ac:dyDescent="0.2">
      <c r="A38" s="39" t="s">
        <v>1528</v>
      </c>
      <c r="B38" t="str">
        <f>ADP!P38</f>
        <v>004352</v>
      </c>
      <c r="C38" s="18" t="str">
        <f>ADP!AO38</f>
        <v>N</v>
      </c>
      <c r="D38" s="18" t="str">
        <f>ADP!AO38</f>
        <v>N</v>
      </c>
      <c r="H38" t="str">
        <f>ADP!AO38</f>
        <v>N</v>
      </c>
      <c r="I38" s="18" t="str">
        <f>ADP!AO38</f>
        <v>N</v>
      </c>
      <c r="J38" s="18" t="str">
        <f>ADP!AO38</f>
        <v>N</v>
      </c>
      <c r="R38" t="str">
        <f>ADP!AC38</f>
        <v>211062</v>
      </c>
      <c r="S38" t="str">
        <f>ADP!AC38</f>
        <v>211062</v>
      </c>
      <c r="AC38" s="18" t="s">
        <v>1421</v>
      </c>
      <c r="AD38" s="18" t="s">
        <v>1421</v>
      </c>
    </row>
    <row r="39" spans="1:30" x14ac:dyDescent="0.2">
      <c r="A39" s="39" t="s">
        <v>1528</v>
      </c>
      <c r="B39" t="str">
        <f>ADP!P39</f>
        <v>006780</v>
      </c>
      <c r="C39" s="18" t="str">
        <f>ADP!AO39</f>
        <v>Y</v>
      </c>
      <c r="D39" s="18" t="str">
        <f>ADP!AO39</f>
        <v>Y</v>
      </c>
      <c r="H39" t="str">
        <f>ADP!AO39</f>
        <v>Y</v>
      </c>
      <c r="I39" s="18" t="str">
        <f>ADP!AO39</f>
        <v>Y</v>
      </c>
      <c r="J39" s="18" t="str">
        <f>ADP!AO39</f>
        <v>Y</v>
      </c>
      <c r="R39" t="str">
        <f>ADP!AC39</f>
        <v>213037</v>
      </c>
      <c r="S39" t="str">
        <f>ADP!AC39</f>
        <v>213037</v>
      </c>
      <c r="AC39" s="18" t="s">
        <v>1421</v>
      </c>
      <c r="AD39" s="18" t="s">
        <v>1421</v>
      </c>
    </row>
    <row r="40" spans="1:30" x14ac:dyDescent="0.2">
      <c r="A40" s="39" t="s">
        <v>1528</v>
      </c>
      <c r="B40" t="str">
        <f>ADP!P40</f>
        <v>902627</v>
      </c>
      <c r="C40" s="18" t="str">
        <f>ADP!AO40</f>
        <v>Y</v>
      </c>
      <c r="D40" s="18" t="str">
        <f>ADP!AO40</f>
        <v>Y</v>
      </c>
      <c r="H40" t="str">
        <f>ADP!AO40</f>
        <v>Y</v>
      </c>
      <c r="I40" s="18" t="str">
        <f>ADP!AO40</f>
        <v>Y</v>
      </c>
      <c r="J40" s="18" t="str">
        <f>ADP!AO40</f>
        <v>Y</v>
      </c>
      <c r="R40" t="str">
        <f>ADP!AC40</f>
        <v>213037</v>
      </c>
      <c r="S40" t="str">
        <f>ADP!AC40</f>
        <v>213037</v>
      </c>
      <c r="AC40" s="18" t="s">
        <v>1421</v>
      </c>
      <c r="AD40" s="18" t="s">
        <v>1421</v>
      </c>
    </row>
    <row r="41" spans="1:30" x14ac:dyDescent="0.2">
      <c r="A41" s="39" t="s">
        <v>1528</v>
      </c>
      <c r="B41" t="str">
        <f>ADP!P41</f>
        <v>211991</v>
      </c>
      <c r="C41" s="18" t="str">
        <f>ADP!AO41</f>
        <v>N</v>
      </c>
      <c r="D41" s="18" t="str">
        <f>ADP!AO41</f>
        <v>N</v>
      </c>
      <c r="H41" t="str">
        <f>ADP!AO41</f>
        <v>N</v>
      </c>
      <c r="I41" s="18" t="str">
        <f>ADP!AO41</f>
        <v>N</v>
      </c>
      <c r="J41" s="18" t="str">
        <f>ADP!AO41</f>
        <v>N</v>
      </c>
      <c r="R41" t="str">
        <f>ADP!AC41</f>
        <v>211756</v>
      </c>
      <c r="S41" t="str">
        <f>ADP!AC41</f>
        <v>211756</v>
      </c>
      <c r="AC41" s="18" t="s">
        <v>1421</v>
      </c>
      <c r="AD41" s="18" t="s">
        <v>1421</v>
      </c>
    </row>
    <row r="42" spans="1:30" x14ac:dyDescent="0.2">
      <c r="A42" s="39" t="s">
        <v>1528</v>
      </c>
      <c r="B42" t="str">
        <f>ADP!P42</f>
        <v>209642</v>
      </c>
      <c r="C42" s="18" t="str">
        <f>ADP!AO42</f>
        <v>N</v>
      </c>
      <c r="D42" s="18" t="str">
        <f>ADP!AO42</f>
        <v>N</v>
      </c>
      <c r="H42" t="str">
        <f>ADP!AO42</f>
        <v>N</v>
      </c>
      <c r="I42" s="18" t="str">
        <f>ADP!AO42</f>
        <v>N</v>
      </c>
      <c r="J42" s="18" t="str">
        <f>ADP!AO42</f>
        <v>N</v>
      </c>
      <c r="R42" t="str">
        <f>ADP!AC42</f>
        <v>008750</v>
      </c>
      <c r="S42" t="str">
        <f>ADP!AC42</f>
        <v>008750</v>
      </c>
      <c r="AC42" s="18" t="s">
        <v>1421</v>
      </c>
      <c r="AD42" s="18" t="s">
        <v>1421</v>
      </c>
    </row>
    <row r="43" spans="1:30" x14ac:dyDescent="0.2">
      <c r="A43" s="39" t="s">
        <v>1528</v>
      </c>
      <c r="B43" t="str">
        <f>ADP!P43</f>
        <v>213224</v>
      </c>
      <c r="C43" s="18" t="str">
        <f>ADP!AO43</f>
        <v>N</v>
      </c>
      <c r="D43" s="18" t="str">
        <f>ADP!AO43</f>
        <v>N</v>
      </c>
      <c r="H43" t="str">
        <f>ADP!AO43</f>
        <v>N</v>
      </c>
      <c r="I43" s="18" t="str">
        <f>ADP!AO43</f>
        <v>N</v>
      </c>
      <c r="J43" s="18" t="str">
        <f>ADP!AO43</f>
        <v>N</v>
      </c>
      <c r="R43" t="str">
        <f>ADP!AC43</f>
        <v>211131</v>
      </c>
      <c r="S43" t="str">
        <f>ADP!AC43</f>
        <v>211131</v>
      </c>
      <c r="AC43" s="18" t="s">
        <v>1421</v>
      </c>
      <c r="AD43" s="18" t="s">
        <v>1421</v>
      </c>
    </row>
    <row r="44" spans="1:30" x14ac:dyDescent="0.2">
      <c r="A44" s="39" t="s">
        <v>1528</v>
      </c>
      <c r="B44" t="str">
        <f>ADP!P44</f>
        <v>206228</v>
      </c>
      <c r="C44" s="18" t="str">
        <f>ADP!AO44</f>
        <v>N</v>
      </c>
      <c r="D44" s="18" t="str">
        <f>ADP!AO44</f>
        <v>N</v>
      </c>
      <c r="H44" t="str">
        <f>ADP!AO44</f>
        <v>N</v>
      </c>
      <c r="I44" s="18" t="str">
        <f>ADP!AO44</f>
        <v>N</v>
      </c>
      <c r="J44" s="18" t="str">
        <f>ADP!AO44</f>
        <v>N</v>
      </c>
      <c r="R44" t="str">
        <f>ADP!AC44</f>
        <v>210892</v>
      </c>
      <c r="S44" t="str">
        <f>ADP!AC44</f>
        <v>210892</v>
      </c>
      <c r="AC44" s="18" t="s">
        <v>1421</v>
      </c>
      <c r="AD44" s="18" t="s">
        <v>1421</v>
      </c>
    </row>
    <row r="45" spans="1:30" x14ac:dyDescent="0.2">
      <c r="A45" s="39" t="s">
        <v>1528</v>
      </c>
      <c r="B45" t="str">
        <f>ADP!P45</f>
        <v>211489</v>
      </c>
      <c r="C45" s="18" t="str">
        <f>ADP!AO45</f>
        <v>Y</v>
      </c>
      <c r="D45" s="18" t="str">
        <f>ADP!AO45</f>
        <v>Y</v>
      </c>
      <c r="H45" t="str">
        <f>ADP!AO45</f>
        <v>Y</v>
      </c>
      <c r="I45" s="18" t="str">
        <f>ADP!AO45</f>
        <v>Y</v>
      </c>
      <c r="J45" s="18" t="str">
        <f>ADP!AO45</f>
        <v>Y</v>
      </c>
      <c r="R45" t="str">
        <f>ADP!AC45</f>
        <v>211766</v>
      </c>
      <c r="S45" t="str">
        <f>ADP!AC45</f>
        <v>211766</v>
      </c>
      <c r="AC45" s="18" t="s">
        <v>1421</v>
      </c>
      <c r="AD45" s="18" t="s">
        <v>1421</v>
      </c>
    </row>
    <row r="46" spans="1:30" x14ac:dyDescent="0.2">
      <c r="A46" s="39" t="s">
        <v>1528</v>
      </c>
      <c r="B46" t="str">
        <f>ADP!P46</f>
        <v>901454</v>
      </c>
      <c r="C46" s="18" t="str">
        <f>ADP!AO46</f>
        <v>N</v>
      </c>
      <c r="D46" s="18" t="str">
        <f>ADP!AO46</f>
        <v>N</v>
      </c>
      <c r="H46" t="str">
        <f>ADP!AO46</f>
        <v>N</v>
      </c>
      <c r="I46" s="18" t="str">
        <f>ADP!AO46</f>
        <v>N</v>
      </c>
      <c r="J46" s="18" t="str">
        <f>ADP!AO46</f>
        <v>N</v>
      </c>
      <c r="R46" t="str">
        <f>ADP!AC46</f>
        <v>211998</v>
      </c>
      <c r="S46" t="str">
        <f>ADP!AC46</f>
        <v>211998</v>
      </c>
      <c r="AC46" s="18" t="s">
        <v>1421</v>
      </c>
      <c r="AD46" s="18" t="s">
        <v>1421</v>
      </c>
    </row>
    <row r="47" spans="1:30" x14ac:dyDescent="0.2">
      <c r="A47" s="39" t="s">
        <v>1528</v>
      </c>
      <c r="B47" t="str">
        <f>ADP!P47</f>
        <v>209425</v>
      </c>
      <c r="C47" s="18" t="str">
        <f>ADP!AO47</f>
        <v>N</v>
      </c>
      <c r="D47" s="18" t="str">
        <f>ADP!AO47</f>
        <v>N</v>
      </c>
      <c r="H47" t="str">
        <f>ADP!AO47</f>
        <v>N</v>
      </c>
      <c r="I47" s="18" t="str">
        <f>ADP!AO47</f>
        <v>N</v>
      </c>
      <c r="J47" s="18" t="str">
        <f>ADP!AO47</f>
        <v>N</v>
      </c>
      <c r="R47" t="str">
        <f>ADP!AC47</f>
        <v>211756</v>
      </c>
      <c r="S47" t="str">
        <f>ADP!AC47</f>
        <v>211756</v>
      </c>
      <c r="AC47" s="18" t="s">
        <v>1421</v>
      </c>
      <c r="AD47" s="18" t="s">
        <v>1421</v>
      </c>
    </row>
    <row r="48" spans="1:30" x14ac:dyDescent="0.2">
      <c r="A48" s="39" t="s">
        <v>1528</v>
      </c>
      <c r="B48" t="str">
        <f>ADP!P48</f>
        <v>213144</v>
      </c>
      <c r="C48" s="18" t="str">
        <f>ADP!AO48</f>
        <v>N</v>
      </c>
      <c r="D48" s="18" t="str">
        <f>ADP!AO48</f>
        <v>N</v>
      </c>
      <c r="H48" t="str">
        <f>ADP!AO48</f>
        <v>N</v>
      </c>
      <c r="I48" s="18" t="str">
        <f>ADP!AO48</f>
        <v>N</v>
      </c>
      <c r="J48" s="18" t="str">
        <f>ADP!AO48</f>
        <v>N</v>
      </c>
      <c r="R48" t="str">
        <f>ADP!AC48</f>
        <v>211998</v>
      </c>
      <c r="S48" t="str">
        <f>ADP!AC48</f>
        <v>211998</v>
      </c>
      <c r="AC48" s="18" t="s">
        <v>1421</v>
      </c>
      <c r="AD48" s="18" t="s">
        <v>1421</v>
      </c>
    </row>
    <row r="49" spans="1:30" x14ac:dyDescent="0.2">
      <c r="A49" s="39" t="s">
        <v>1528</v>
      </c>
      <c r="B49" t="str">
        <f>ADP!P49</f>
        <v>209424</v>
      </c>
      <c r="C49" s="18" t="str">
        <f>ADP!AO49</f>
        <v>N</v>
      </c>
      <c r="D49" s="18" t="str">
        <f>ADP!AO49</f>
        <v>N</v>
      </c>
      <c r="H49" t="str">
        <f>ADP!AO49</f>
        <v>N</v>
      </c>
      <c r="I49" s="18" t="str">
        <f>ADP!AO49</f>
        <v>N</v>
      </c>
      <c r="J49" s="18" t="str">
        <f>ADP!AO49</f>
        <v>N</v>
      </c>
      <c r="R49" t="str">
        <f>ADP!AC49</f>
        <v>211756</v>
      </c>
      <c r="S49" t="str">
        <f>ADP!AC49</f>
        <v>211756</v>
      </c>
      <c r="AC49" s="18" t="s">
        <v>1421</v>
      </c>
      <c r="AD49" s="18" t="s">
        <v>1421</v>
      </c>
    </row>
    <row r="50" spans="1:30" x14ac:dyDescent="0.2">
      <c r="A50" s="39" t="s">
        <v>1528</v>
      </c>
      <c r="B50" t="str">
        <f>ADP!P50</f>
        <v>211181</v>
      </c>
      <c r="C50" s="18" t="str">
        <f>ADP!AO50</f>
        <v>N</v>
      </c>
      <c r="D50" s="18" t="str">
        <f>ADP!AO50</f>
        <v>N</v>
      </c>
      <c r="H50" t="str">
        <f>ADP!AO50</f>
        <v>N</v>
      </c>
      <c r="I50" s="18" t="str">
        <f>ADP!AO50</f>
        <v>N</v>
      </c>
      <c r="J50" s="18" t="str">
        <f>ADP!AO50</f>
        <v>N</v>
      </c>
      <c r="R50" t="str">
        <f>ADP!AC50</f>
        <v>207199</v>
      </c>
      <c r="S50" t="str">
        <f>ADP!AC50</f>
        <v>207199</v>
      </c>
      <c r="AC50" s="18" t="s">
        <v>1421</v>
      </c>
      <c r="AD50" s="18" t="s">
        <v>1421</v>
      </c>
    </row>
    <row r="51" spans="1:30" x14ac:dyDescent="0.2">
      <c r="A51" s="39" t="s">
        <v>1528</v>
      </c>
      <c r="B51" t="str">
        <f>ADP!P51</f>
        <v>211145</v>
      </c>
      <c r="C51" s="18" t="str">
        <f>ADP!AO51</f>
        <v>N</v>
      </c>
      <c r="D51" s="18" t="str">
        <f>ADP!AO51</f>
        <v>N</v>
      </c>
      <c r="H51" t="str">
        <f>ADP!AO51</f>
        <v>N</v>
      </c>
      <c r="I51" s="18" t="str">
        <f>ADP!AO51</f>
        <v>N</v>
      </c>
      <c r="J51" s="18" t="str">
        <f>ADP!AO51</f>
        <v>N</v>
      </c>
      <c r="R51" t="str">
        <f>ADP!AC51</f>
        <v>211998</v>
      </c>
      <c r="S51" t="str">
        <f>ADP!AC51</f>
        <v>211998</v>
      </c>
      <c r="AC51" s="18" t="s">
        <v>1421</v>
      </c>
      <c r="AD51" s="18" t="s">
        <v>1421</v>
      </c>
    </row>
    <row r="52" spans="1:30" x14ac:dyDescent="0.2">
      <c r="A52" s="39" t="s">
        <v>1528</v>
      </c>
      <c r="B52" t="str">
        <f>ADP!P52</f>
        <v>006792</v>
      </c>
      <c r="C52" s="18" t="str">
        <f>ADP!AO52</f>
        <v>N</v>
      </c>
      <c r="D52" s="18" t="str">
        <f>ADP!AO52</f>
        <v>N</v>
      </c>
      <c r="H52" t="str">
        <f>ADP!AO52</f>
        <v>N</v>
      </c>
      <c r="I52" s="18" t="str">
        <f>ADP!AO52</f>
        <v>N</v>
      </c>
      <c r="J52" s="18" t="str">
        <f>ADP!AO52</f>
        <v>N</v>
      </c>
      <c r="R52" t="str">
        <f>ADP!AC52</f>
        <v>006780</v>
      </c>
      <c r="S52" t="str">
        <f>ADP!AC52</f>
        <v>006780</v>
      </c>
      <c r="AC52" s="18" t="s">
        <v>1421</v>
      </c>
      <c r="AD52" s="18" t="s">
        <v>1421</v>
      </c>
    </row>
    <row r="53" spans="1:30" x14ac:dyDescent="0.2">
      <c r="A53" s="39" t="s">
        <v>1528</v>
      </c>
      <c r="B53" t="str">
        <f>ADP!P53</f>
        <v>902349</v>
      </c>
      <c r="C53" s="18" t="str">
        <f>ADP!AO53</f>
        <v>N</v>
      </c>
      <c r="D53" s="18" t="str">
        <f>ADP!AO53</f>
        <v>N</v>
      </c>
      <c r="H53" t="str">
        <f>ADP!AO53</f>
        <v>N</v>
      </c>
      <c r="I53" s="18" t="str">
        <f>ADP!AO53</f>
        <v>N</v>
      </c>
      <c r="J53" s="18" t="str">
        <f>ADP!AO53</f>
        <v>N</v>
      </c>
      <c r="R53" t="str">
        <f>ADP!AC53</f>
        <v>209181</v>
      </c>
      <c r="S53" t="str">
        <f>ADP!AC53</f>
        <v>209181</v>
      </c>
      <c r="AC53" s="18" t="s">
        <v>1421</v>
      </c>
      <c r="AD53" s="18" t="s">
        <v>1421</v>
      </c>
    </row>
    <row r="54" spans="1:30" x14ac:dyDescent="0.2">
      <c r="A54" s="39" t="s">
        <v>1528</v>
      </c>
      <c r="B54" t="str">
        <f>ADP!P54</f>
        <v>211932</v>
      </c>
      <c r="C54" s="18" t="str">
        <f>ADP!AO54</f>
        <v>N</v>
      </c>
      <c r="D54" s="18" t="str">
        <f>ADP!AO54</f>
        <v>N</v>
      </c>
      <c r="H54" t="str">
        <f>ADP!AO54</f>
        <v>N</v>
      </c>
      <c r="I54" s="18" t="str">
        <f>ADP!AO54</f>
        <v>N</v>
      </c>
      <c r="J54" s="18" t="str">
        <f>ADP!AO54</f>
        <v>N</v>
      </c>
      <c r="R54" t="str">
        <f>ADP!AC54</f>
        <v>211736</v>
      </c>
      <c r="S54" t="str">
        <f>ADP!AC54</f>
        <v>211736</v>
      </c>
      <c r="AC54" s="18" t="s">
        <v>1421</v>
      </c>
      <c r="AD54" s="18" t="s">
        <v>1421</v>
      </c>
    </row>
    <row r="55" spans="1:30" x14ac:dyDescent="0.2">
      <c r="A55" s="39" t="s">
        <v>1528</v>
      </c>
      <c r="B55" t="str">
        <f>ADP!P55</f>
        <v>206442</v>
      </c>
      <c r="C55" s="18" t="str">
        <f>ADP!AO55</f>
        <v>Y</v>
      </c>
      <c r="D55" s="18" t="str">
        <f>ADP!AO55</f>
        <v>Y</v>
      </c>
      <c r="H55" t="str">
        <f>ADP!AO55</f>
        <v>Y</v>
      </c>
      <c r="I55" s="18" t="str">
        <f>ADP!AO55</f>
        <v>Y</v>
      </c>
      <c r="J55" s="18" t="str">
        <f>ADP!AO55</f>
        <v>Y</v>
      </c>
      <c r="R55" t="str">
        <f>ADP!AC55</f>
        <v>211601</v>
      </c>
      <c r="S55" t="str">
        <f>ADP!AC55</f>
        <v>211601</v>
      </c>
      <c r="AC55" s="18" t="s">
        <v>1421</v>
      </c>
      <c r="AD55" s="18" t="s">
        <v>1421</v>
      </c>
    </row>
    <row r="56" spans="1:30" x14ac:dyDescent="0.2">
      <c r="A56" s="39" t="s">
        <v>1528</v>
      </c>
      <c r="B56" t="str">
        <f>ADP!P56</f>
        <v>902026</v>
      </c>
      <c r="C56" s="18" t="str">
        <f>ADP!AO56</f>
        <v>N</v>
      </c>
      <c r="D56" s="18" t="str">
        <f>ADP!AO56</f>
        <v>N</v>
      </c>
      <c r="H56" t="str">
        <f>ADP!AO56</f>
        <v>N</v>
      </c>
      <c r="I56" s="18" t="str">
        <f>ADP!AO56</f>
        <v>N</v>
      </c>
      <c r="J56" s="18" t="str">
        <f>ADP!AO56</f>
        <v>N</v>
      </c>
      <c r="R56" t="str">
        <f>ADP!AC56</f>
        <v>207487</v>
      </c>
      <c r="S56" t="str">
        <f>ADP!AC56</f>
        <v>207487</v>
      </c>
      <c r="AC56" s="18" t="s">
        <v>1421</v>
      </c>
      <c r="AD56" s="18" t="s">
        <v>1421</v>
      </c>
    </row>
    <row r="57" spans="1:30" x14ac:dyDescent="0.2">
      <c r="A57" s="39" t="s">
        <v>1528</v>
      </c>
      <c r="B57" t="str">
        <f>ADP!P57</f>
        <v>212418</v>
      </c>
      <c r="C57" s="18" t="str">
        <f>ADP!AO57</f>
        <v>N</v>
      </c>
      <c r="D57" s="18" t="str">
        <f>ADP!AO57</f>
        <v>N</v>
      </c>
      <c r="H57" t="str">
        <f>ADP!AO57</f>
        <v>N</v>
      </c>
      <c r="I57" s="18" t="str">
        <f>ADP!AO57</f>
        <v>N</v>
      </c>
      <c r="J57" s="18" t="str">
        <f>ADP!AO57</f>
        <v>N</v>
      </c>
      <c r="R57" t="str">
        <f>ADP!AC57</f>
        <v>207588</v>
      </c>
      <c r="S57" t="str">
        <f>ADP!AC57</f>
        <v>207588</v>
      </c>
      <c r="AC57" s="18" t="s">
        <v>1421</v>
      </c>
      <c r="AD57" s="18" t="s">
        <v>1421</v>
      </c>
    </row>
    <row r="58" spans="1:30" x14ac:dyDescent="0.2">
      <c r="A58" s="39" t="s">
        <v>1528</v>
      </c>
      <c r="B58" t="str">
        <f>ADP!P58</f>
        <v>211766</v>
      </c>
      <c r="C58" s="18" t="str">
        <f>ADP!AO58</f>
        <v>Y</v>
      </c>
      <c r="D58" s="18" t="str">
        <f>ADP!AO58</f>
        <v>Y</v>
      </c>
      <c r="H58" t="str">
        <f>ADP!AO58</f>
        <v>Y</v>
      </c>
      <c r="I58" s="18" t="str">
        <f>ADP!AO58</f>
        <v>Y</v>
      </c>
      <c r="J58" s="18" t="str">
        <f>ADP!AO58</f>
        <v>Y</v>
      </c>
      <c r="R58" t="str">
        <f>ADP!AC58</f>
        <v>207709</v>
      </c>
      <c r="S58" t="str">
        <f>ADP!AC58</f>
        <v>207709</v>
      </c>
      <c r="AC58" s="18" t="s">
        <v>1421</v>
      </c>
      <c r="AD58" s="18" t="s">
        <v>1421</v>
      </c>
    </row>
    <row r="59" spans="1:30" x14ac:dyDescent="0.2">
      <c r="A59" s="39" t="s">
        <v>1528</v>
      </c>
      <c r="B59" t="str">
        <f>ADP!P59</f>
        <v>213298</v>
      </c>
      <c r="C59" s="18" t="str">
        <f>ADP!AO59</f>
        <v>N</v>
      </c>
      <c r="D59" s="18" t="str">
        <f>ADP!AO59</f>
        <v>N</v>
      </c>
      <c r="H59" t="str">
        <f>ADP!AO59</f>
        <v>N</v>
      </c>
      <c r="I59" s="18" t="str">
        <f>ADP!AO59</f>
        <v>N</v>
      </c>
      <c r="J59" s="18" t="str">
        <f>ADP!AO59</f>
        <v>N</v>
      </c>
      <c r="R59" t="str">
        <f>ADP!AC59</f>
        <v>202533</v>
      </c>
      <c r="S59" t="str">
        <f>ADP!AC59</f>
        <v>202533</v>
      </c>
      <c r="AC59" s="18" t="s">
        <v>1421</v>
      </c>
      <c r="AD59" s="18" t="s">
        <v>1421</v>
      </c>
    </row>
    <row r="60" spans="1:30" x14ac:dyDescent="0.2">
      <c r="A60" s="39" t="s">
        <v>1528</v>
      </c>
      <c r="B60" t="str">
        <f>ADP!P60</f>
        <v>211736</v>
      </c>
      <c r="C60" s="18" t="str">
        <f>ADP!AO60</f>
        <v>N</v>
      </c>
      <c r="D60" s="18" t="str">
        <f>ADP!AO60</f>
        <v>N</v>
      </c>
      <c r="H60" t="str">
        <f>ADP!AO60</f>
        <v>N</v>
      </c>
      <c r="I60" s="18" t="str">
        <f>ADP!AO60</f>
        <v>N</v>
      </c>
      <c r="J60" s="18" t="str">
        <f>ADP!AO60</f>
        <v>N</v>
      </c>
      <c r="R60" t="str">
        <f>ADP!AC60</f>
        <v>902688</v>
      </c>
      <c r="S60" t="str">
        <f>ADP!AC60</f>
        <v>902688</v>
      </c>
      <c r="AC60" s="18" t="s">
        <v>1421</v>
      </c>
      <c r="AD60" s="18" t="s">
        <v>1421</v>
      </c>
    </row>
    <row r="61" spans="1:30" x14ac:dyDescent="0.2">
      <c r="A61" s="39" t="s">
        <v>1528</v>
      </c>
      <c r="B61" t="str">
        <f>ADP!P61</f>
        <v>210910</v>
      </c>
      <c r="C61" s="18" t="str">
        <f>ADP!AO61</f>
        <v>Y</v>
      </c>
      <c r="D61" s="18" t="str">
        <f>ADP!AO61</f>
        <v>Y</v>
      </c>
      <c r="H61" t="str">
        <f>ADP!AO61</f>
        <v>Y</v>
      </c>
      <c r="I61" s="18" t="str">
        <f>ADP!AO61</f>
        <v>Y</v>
      </c>
      <c r="J61" s="18" t="str">
        <f>ADP!AO61</f>
        <v>Y</v>
      </c>
      <c r="R61" t="str">
        <f>ADP!AC61</f>
        <v>213037</v>
      </c>
      <c r="S61" t="str">
        <f>ADP!AC61</f>
        <v>213037</v>
      </c>
      <c r="AC61" s="18" t="s">
        <v>1421</v>
      </c>
      <c r="AD61" s="18" t="s">
        <v>1421</v>
      </c>
    </row>
    <row r="62" spans="1:30" x14ac:dyDescent="0.2">
      <c r="A62" s="39" t="s">
        <v>1528</v>
      </c>
      <c r="B62" t="str">
        <f>ADP!P62</f>
        <v>212990</v>
      </c>
      <c r="C62" s="18" t="str">
        <f>ADP!AO62</f>
        <v>N</v>
      </c>
      <c r="D62" s="18" t="str">
        <f>ADP!AO62</f>
        <v>N</v>
      </c>
      <c r="H62" t="str">
        <f>ADP!AO62</f>
        <v>N</v>
      </c>
      <c r="I62" s="18" t="str">
        <f>ADP!AO62</f>
        <v>N</v>
      </c>
      <c r="J62" s="18" t="str">
        <f>ADP!AO62</f>
        <v>N</v>
      </c>
      <c r="R62" t="str">
        <f>ADP!AC62</f>
        <v>209181</v>
      </c>
      <c r="S62" t="str">
        <f>ADP!AC62</f>
        <v>209181</v>
      </c>
      <c r="AC62" s="18" t="s">
        <v>1421</v>
      </c>
      <c r="AD62" s="18" t="s">
        <v>1421</v>
      </c>
    </row>
    <row r="63" spans="1:30" x14ac:dyDescent="0.2">
      <c r="A63" s="39" t="s">
        <v>1528</v>
      </c>
      <c r="B63" t="str">
        <f>ADP!P63</f>
        <v>212598</v>
      </c>
      <c r="C63" s="18" t="str">
        <f>ADP!AO63</f>
        <v>N</v>
      </c>
      <c r="D63" s="18" t="str">
        <f>ADP!AO63</f>
        <v>N</v>
      </c>
      <c r="H63" t="str">
        <f>ADP!AO63</f>
        <v>N</v>
      </c>
      <c r="I63" s="18" t="str">
        <f>ADP!AO63</f>
        <v>N</v>
      </c>
      <c r="J63" s="18" t="str">
        <f>ADP!AO63</f>
        <v>N</v>
      </c>
      <c r="R63" t="str">
        <f>ADP!AC63</f>
        <v>211998</v>
      </c>
      <c r="S63" t="str">
        <f>ADP!AC63</f>
        <v>211998</v>
      </c>
      <c r="AC63" s="18" t="s">
        <v>1421</v>
      </c>
      <c r="AD63" s="18" t="s">
        <v>1421</v>
      </c>
    </row>
    <row r="64" spans="1:30" x14ac:dyDescent="0.2">
      <c r="A64" s="39" t="s">
        <v>1528</v>
      </c>
      <c r="B64" t="str">
        <f>ADP!P64</f>
        <v>006809</v>
      </c>
      <c r="C64" s="18" t="str">
        <f>ADP!AO64</f>
        <v>Y</v>
      </c>
      <c r="D64" s="18" t="str">
        <f>ADP!AO64</f>
        <v>Y</v>
      </c>
      <c r="H64" t="str">
        <f>ADP!AO64</f>
        <v>Y</v>
      </c>
      <c r="I64" s="18" t="str">
        <f>ADP!AO64</f>
        <v>Y</v>
      </c>
      <c r="J64" s="18" t="str">
        <f>ADP!AO64</f>
        <v>Y</v>
      </c>
      <c r="R64" t="str">
        <f>ADP!AC64</f>
        <v>212699</v>
      </c>
      <c r="S64" t="str">
        <f>ADP!AC64</f>
        <v>212699</v>
      </c>
      <c r="AC64" s="18" t="s">
        <v>1421</v>
      </c>
      <c r="AD64" s="18" t="s">
        <v>1421</v>
      </c>
    </row>
    <row r="65" spans="1:30" x14ac:dyDescent="0.2">
      <c r="A65" s="39" t="s">
        <v>1528</v>
      </c>
      <c r="B65" t="str">
        <f>ADP!P65</f>
        <v>202609</v>
      </c>
      <c r="C65" s="18" t="str">
        <f>ADP!AO65</f>
        <v>N</v>
      </c>
      <c r="D65" s="18" t="str">
        <f>ADP!AO65</f>
        <v>N</v>
      </c>
      <c r="H65" t="str">
        <f>ADP!AO65</f>
        <v>N</v>
      </c>
      <c r="I65" s="18" t="str">
        <f>ADP!AO65</f>
        <v>N</v>
      </c>
      <c r="J65" s="18" t="str">
        <f>ADP!AO65</f>
        <v>N</v>
      </c>
      <c r="R65" t="str">
        <f>ADP!AC65</f>
        <v>210910</v>
      </c>
      <c r="S65" t="str">
        <f>ADP!AC65</f>
        <v>210910</v>
      </c>
      <c r="AC65" s="18" t="s">
        <v>1421</v>
      </c>
      <c r="AD65" s="18" t="s">
        <v>1421</v>
      </c>
    </row>
    <row r="66" spans="1:30" x14ac:dyDescent="0.2">
      <c r="A66" s="39" t="s">
        <v>1528</v>
      </c>
      <c r="B66" t="str">
        <f>ADP!P66</f>
        <v>902563</v>
      </c>
      <c r="C66" s="18" t="str">
        <f>ADP!AO66</f>
        <v>N</v>
      </c>
      <c r="D66" s="18" t="str">
        <f>ADP!AO66</f>
        <v>N</v>
      </c>
      <c r="H66" t="str">
        <f>ADP!AO66</f>
        <v>N</v>
      </c>
      <c r="I66" s="18" t="str">
        <f>ADP!AO66</f>
        <v>N</v>
      </c>
      <c r="J66" s="18" t="str">
        <f>ADP!AO66</f>
        <v>N</v>
      </c>
      <c r="R66" t="str">
        <f>ADP!AC66</f>
        <v>211756</v>
      </c>
      <c r="S66" t="str">
        <f>ADP!AC66</f>
        <v>211756</v>
      </c>
      <c r="AC66" s="18" t="s">
        <v>1421</v>
      </c>
      <c r="AD66" s="18" t="s">
        <v>1421</v>
      </c>
    </row>
    <row r="67" spans="1:30" x14ac:dyDescent="0.2">
      <c r="A67" s="39" t="s">
        <v>1528</v>
      </c>
      <c r="B67" t="str">
        <f>ADP!P67</f>
        <v>902437</v>
      </c>
      <c r="C67" s="18" t="str">
        <f>ADP!AO67</f>
        <v>N</v>
      </c>
      <c r="D67" s="18" t="str">
        <f>ADP!AO67</f>
        <v>N</v>
      </c>
      <c r="H67" t="str">
        <f>ADP!AO67</f>
        <v>N</v>
      </c>
      <c r="I67" s="18" t="str">
        <f>ADP!AO67</f>
        <v>N</v>
      </c>
      <c r="J67" s="18" t="str">
        <f>ADP!AO67</f>
        <v>N</v>
      </c>
      <c r="R67" t="str">
        <f>ADP!AC67</f>
        <v>207588</v>
      </c>
      <c r="S67" t="str">
        <f>ADP!AC67</f>
        <v>207588</v>
      </c>
      <c r="AC67" s="18" t="s">
        <v>1421</v>
      </c>
      <c r="AD67" s="18" t="s">
        <v>1421</v>
      </c>
    </row>
    <row r="68" spans="1:30" x14ac:dyDescent="0.2">
      <c r="A68" s="39" t="s">
        <v>1528</v>
      </c>
      <c r="B68" t="str">
        <f>ADP!P68</f>
        <v>201343</v>
      </c>
      <c r="C68" s="18" t="str">
        <f>ADP!AO68</f>
        <v>N</v>
      </c>
      <c r="D68" s="18" t="str">
        <f>ADP!AO68</f>
        <v>N</v>
      </c>
      <c r="H68" t="str">
        <f>ADP!AO68</f>
        <v>N</v>
      </c>
      <c r="I68" s="18" t="str">
        <f>ADP!AO68</f>
        <v>N</v>
      </c>
      <c r="J68" s="18" t="str">
        <f>ADP!AO68</f>
        <v>N</v>
      </c>
      <c r="R68" t="str">
        <f>ADP!AC68</f>
        <v>211736</v>
      </c>
      <c r="S68" t="str">
        <f>ADP!AC68</f>
        <v>211736</v>
      </c>
      <c r="AC68" s="18" t="s">
        <v>1421</v>
      </c>
      <c r="AD68" s="18" t="s">
        <v>1421</v>
      </c>
    </row>
    <row r="69" spans="1:30" x14ac:dyDescent="0.2">
      <c r="A69" s="39" t="s">
        <v>1528</v>
      </c>
      <c r="B69" t="str">
        <f>ADP!P69</f>
        <v>662995</v>
      </c>
      <c r="C69" s="18" t="str">
        <f>ADP!AO69</f>
        <v>N</v>
      </c>
      <c r="D69" s="18" t="str">
        <f>ADP!AO69</f>
        <v>N</v>
      </c>
      <c r="H69" t="str">
        <f>ADP!AO69</f>
        <v>N</v>
      </c>
      <c r="I69" s="18" t="str">
        <f>ADP!AO69</f>
        <v>N</v>
      </c>
      <c r="J69" s="18" t="str">
        <f>ADP!AO69</f>
        <v>N</v>
      </c>
      <c r="R69" t="str">
        <f>ADP!AC69</f>
        <v>211756</v>
      </c>
      <c r="S69" t="str">
        <f>ADP!AC69</f>
        <v>211756</v>
      </c>
      <c r="AC69" s="18" t="s">
        <v>1421</v>
      </c>
      <c r="AD69" s="18" t="s">
        <v>1421</v>
      </c>
    </row>
    <row r="70" spans="1:30" x14ac:dyDescent="0.2">
      <c r="A70" s="39" t="s">
        <v>1528</v>
      </c>
      <c r="B70" t="str">
        <f>ADP!P70</f>
        <v>901213</v>
      </c>
      <c r="C70" s="18" t="str">
        <f>ADP!AO70</f>
        <v>N</v>
      </c>
      <c r="D70" s="18" t="str">
        <f>ADP!AO70</f>
        <v>N</v>
      </c>
      <c r="H70" t="str">
        <f>ADP!AO70</f>
        <v>N</v>
      </c>
      <c r="I70" s="18" t="str">
        <f>ADP!AO70</f>
        <v>N</v>
      </c>
      <c r="J70" s="18" t="str">
        <f>ADP!AO70</f>
        <v>N</v>
      </c>
      <c r="R70" t="str">
        <f>ADP!AC70</f>
        <v>211766</v>
      </c>
      <c r="S70" t="str">
        <f>ADP!AC70</f>
        <v>211766</v>
      </c>
      <c r="AC70" s="18" t="s">
        <v>1421</v>
      </c>
      <c r="AD70" s="18" t="s">
        <v>1421</v>
      </c>
    </row>
    <row r="71" spans="1:30" x14ac:dyDescent="0.2">
      <c r="A71" s="39" t="s">
        <v>1528</v>
      </c>
      <c r="B71" t="str">
        <f>ADP!P71</f>
        <v>007861</v>
      </c>
      <c r="C71" s="18" t="str">
        <f>ADP!AO71</f>
        <v>Y</v>
      </c>
      <c r="D71" s="18" t="str">
        <f>ADP!AO71</f>
        <v>Y</v>
      </c>
      <c r="H71" t="str">
        <f>ADP!AO71</f>
        <v>Y</v>
      </c>
      <c r="I71" s="18" t="str">
        <f>ADP!AO71</f>
        <v>Y</v>
      </c>
      <c r="J71" s="18" t="str">
        <f>ADP!AO71</f>
        <v>Y</v>
      </c>
      <c r="R71" t="str">
        <f>ADP!AC71</f>
        <v>008750</v>
      </c>
      <c r="S71" t="str">
        <f>ADP!AC71</f>
        <v>008750</v>
      </c>
      <c r="AC71" s="18" t="s">
        <v>1421</v>
      </c>
      <c r="AD71" s="18" t="s">
        <v>1421</v>
      </c>
    </row>
    <row r="72" spans="1:30" x14ac:dyDescent="0.2">
      <c r="A72" s="39" t="s">
        <v>1528</v>
      </c>
      <c r="B72" t="str">
        <f>ADP!P72</f>
        <v>209746</v>
      </c>
      <c r="C72" s="18" t="str">
        <f>ADP!AO72</f>
        <v>N</v>
      </c>
      <c r="D72" s="18" t="str">
        <f>ADP!AO72</f>
        <v>N</v>
      </c>
      <c r="H72" t="str">
        <f>ADP!AO72</f>
        <v>N</v>
      </c>
      <c r="I72" s="18" t="str">
        <f>ADP!AO72</f>
        <v>N</v>
      </c>
      <c r="J72" s="18" t="str">
        <f>ADP!AO72</f>
        <v>N</v>
      </c>
      <c r="R72" t="str">
        <f>ADP!AC72</f>
        <v>211131</v>
      </c>
      <c r="S72" t="str">
        <f>ADP!AC72</f>
        <v>211131</v>
      </c>
      <c r="AC72" s="18" t="s">
        <v>1421</v>
      </c>
      <c r="AD72" s="18" t="s">
        <v>1421</v>
      </c>
    </row>
    <row r="73" spans="1:30" x14ac:dyDescent="0.2">
      <c r="A73" s="39" t="s">
        <v>1528</v>
      </c>
      <c r="B73" t="str">
        <f>ADP!P73</f>
        <v>007630</v>
      </c>
      <c r="C73" s="18" t="str">
        <f>ADP!AO73</f>
        <v>Y</v>
      </c>
      <c r="D73" s="18" t="str">
        <f>ADP!AO73</f>
        <v>Y</v>
      </c>
      <c r="H73" t="str">
        <f>ADP!AO73</f>
        <v>Y</v>
      </c>
      <c r="I73" s="18" t="str">
        <f>ADP!AO73</f>
        <v>Y</v>
      </c>
      <c r="J73" s="18" t="str">
        <f>ADP!AO73</f>
        <v>Y</v>
      </c>
      <c r="R73" t="str">
        <f>ADP!AC73</f>
        <v>210892</v>
      </c>
      <c r="S73" t="str">
        <f>ADP!AC73</f>
        <v>210892</v>
      </c>
      <c r="AC73" s="18" t="s">
        <v>1421</v>
      </c>
      <c r="AD73" s="18" t="s">
        <v>1421</v>
      </c>
    </row>
    <row r="74" spans="1:30" x14ac:dyDescent="0.2">
      <c r="A74" s="39" t="s">
        <v>1528</v>
      </c>
      <c r="B74" t="str">
        <f>ADP!P74</f>
        <v>213225</v>
      </c>
      <c r="C74" s="18" t="str">
        <f>ADP!AO74</f>
        <v>N</v>
      </c>
      <c r="D74" s="18" t="str">
        <f>ADP!AO74</f>
        <v>N</v>
      </c>
      <c r="H74" t="str">
        <f>ADP!AO74</f>
        <v>N</v>
      </c>
      <c r="I74" s="18" t="str">
        <f>ADP!AO74</f>
        <v>N</v>
      </c>
      <c r="J74" s="18" t="str">
        <f>ADP!AO74</f>
        <v>N</v>
      </c>
      <c r="R74" t="str">
        <f>ADP!AC74</f>
        <v>211131</v>
      </c>
      <c r="S74" t="str">
        <f>ADP!AC74</f>
        <v>211131</v>
      </c>
      <c r="AC74" s="18" t="s">
        <v>1421</v>
      </c>
      <c r="AD74" s="18" t="s">
        <v>1421</v>
      </c>
    </row>
    <row r="75" spans="1:30" x14ac:dyDescent="0.2">
      <c r="A75" s="39" t="s">
        <v>1528</v>
      </c>
      <c r="B75" t="str">
        <f>ADP!P75</f>
        <v>212129</v>
      </c>
      <c r="C75" s="18" t="str">
        <f>ADP!AO75</f>
        <v>N</v>
      </c>
      <c r="D75" s="18" t="str">
        <f>ADP!AO75</f>
        <v>N</v>
      </c>
      <c r="H75" t="str">
        <f>ADP!AO75</f>
        <v>N</v>
      </c>
      <c r="I75" s="18" t="str">
        <f>ADP!AO75</f>
        <v>N</v>
      </c>
      <c r="J75" s="18" t="str">
        <f>ADP!AO75</f>
        <v>N</v>
      </c>
      <c r="R75" t="str">
        <f>ADP!AC75</f>
        <v>211766</v>
      </c>
      <c r="S75" t="str">
        <f>ADP!AC75</f>
        <v>211766</v>
      </c>
      <c r="AC75" s="18" t="s">
        <v>1421</v>
      </c>
      <c r="AD75" s="18" t="s">
        <v>1421</v>
      </c>
    </row>
    <row r="76" spans="1:30" x14ac:dyDescent="0.2">
      <c r="A76" s="39" t="s">
        <v>1528</v>
      </c>
      <c r="B76" t="str">
        <f>ADP!P76</f>
        <v>212678</v>
      </c>
      <c r="C76" s="18" t="str">
        <f>ADP!AO76</f>
        <v>Y</v>
      </c>
      <c r="D76" s="18" t="str">
        <f>ADP!AO76</f>
        <v>Y</v>
      </c>
      <c r="H76" t="str">
        <f>ADP!AO76</f>
        <v>Y</v>
      </c>
      <c r="I76" s="18" t="str">
        <f>ADP!AO76</f>
        <v>Y</v>
      </c>
      <c r="J76" s="18" t="str">
        <f>ADP!AO76</f>
        <v>Y</v>
      </c>
      <c r="R76" t="str">
        <f>ADP!AC76</f>
        <v>901934</v>
      </c>
      <c r="S76" t="str">
        <f>ADP!AC76</f>
        <v>901934</v>
      </c>
      <c r="AC76" s="18" t="s">
        <v>1421</v>
      </c>
      <c r="AD76" s="18" t="s">
        <v>1421</v>
      </c>
    </row>
    <row r="77" spans="1:30" x14ac:dyDescent="0.2">
      <c r="A77" s="39" t="s">
        <v>1528</v>
      </c>
      <c r="B77" t="str">
        <f>ADP!P77</f>
        <v>209181</v>
      </c>
      <c r="C77" s="18" t="str">
        <f>ADP!AO77</f>
        <v>Y</v>
      </c>
      <c r="D77" s="18" t="str">
        <f>ADP!AO77</f>
        <v>Y</v>
      </c>
      <c r="H77" t="str">
        <f>ADP!AO77</f>
        <v>Y</v>
      </c>
      <c r="I77" s="18" t="str">
        <f>ADP!AO77</f>
        <v>Y</v>
      </c>
      <c r="J77" s="18" t="str">
        <f>ADP!AO77</f>
        <v>Y</v>
      </c>
      <c r="R77" t="str">
        <f>ADP!AC77</f>
        <v>203011</v>
      </c>
      <c r="S77" t="str">
        <f>ADP!AC77</f>
        <v>203011</v>
      </c>
      <c r="AC77" s="18" t="s">
        <v>1421</v>
      </c>
      <c r="AD77" s="18" t="s">
        <v>1421</v>
      </c>
    </row>
    <row r="78" spans="1:30" x14ac:dyDescent="0.2">
      <c r="A78" s="39" t="s">
        <v>1528</v>
      </c>
      <c r="B78" t="str">
        <f>ADP!P78</f>
        <v>212725</v>
      </c>
      <c r="C78" s="18" t="str">
        <f>ADP!AO78</f>
        <v>Y</v>
      </c>
      <c r="D78" s="18" t="str">
        <f>ADP!AO78</f>
        <v>Y</v>
      </c>
      <c r="H78" t="str">
        <f>ADP!AO78</f>
        <v>Y</v>
      </c>
      <c r="I78" s="18" t="str">
        <f>ADP!AO78</f>
        <v>Y</v>
      </c>
      <c r="J78" s="18" t="str">
        <f>ADP!AO78</f>
        <v>Y</v>
      </c>
      <c r="R78" t="str">
        <f>ADP!AC78</f>
        <v>213037</v>
      </c>
      <c r="S78" t="str">
        <f>ADP!AC78</f>
        <v>213037</v>
      </c>
      <c r="AC78" s="18" t="s">
        <v>1421</v>
      </c>
      <c r="AD78" s="18" t="s">
        <v>1421</v>
      </c>
    </row>
    <row r="79" spans="1:30" x14ac:dyDescent="0.2">
      <c r="A79" s="39" t="s">
        <v>1528</v>
      </c>
      <c r="B79" t="str">
        <f>ADP!P79</f>
        <v>212119</v>
      </c>
      <c r="C79" s="18" t="str">
        <f>ADP!AO79</f>
        <v>N</v>
      </c>
      <c r="D79" s="18" t="str">
        <f>ADP!AO79</f>
        <v>N</v>
      </c>
      <c r="H79" t="str">
        <f>ADP!AO79</f>
        <v>N</v>
      </c>
      <c r="I79" s="18" t="str">
        <f>ADP!AO79</f>
        <v>N</v>
      </c>
      <c r="J79" s="18" t="str">
        <f>ADP!AO79</f>
        <v>N</v>
      </c>
      <c r="R79" t="str">
        <f>ADP!AC79</f>
        <v>212699</v>
      </c>
      <c r="S79" t="str">
        <f>ADP!AC79</f>
        <v>212699</v>
      </c>
      <c r="AC79" s="18" t="s">
        <v>1421</v>
      </c>
      <c r="AD79" s="18" t="s">
        <v>1421</v>
      </c>
    </row>
    <row r="80" spans="1:30" x14ac:dyDescent="0.2">
      <c r="A80" s="39" t="s">
        <v>1528</v>
      </c>
      <c r="B80" t="str">
        <f>ADP!P80</f>
        <v>902690</v>
      </c>
      <c r="C80" s="18" t="str">
        <f>ADP!AO80</f>
        <v>N</v>
      </c>
      <c r="D80" s="18" t="str">
        <f>ADP!AO80</f>
        <v>N</v>
      </c>
      <c r="H80" t="str">
        <f>ADP!AO80</f>
        <v>N</v>
      </c>
      <c r="I80" s="18" t="str">
        <f>ADP!AO80</f>
        <v>N</v>
      </c>
      <c r="J80" s="18" t="str">
        <f>ADP!AO80</f>
        <v>N</v>
      </c>
      <c r="R80" t="str">
        <f>ADP!AC80</f>
        <v>211131</v>
      </c>
      <c r="S80" t="str">
        <f>ADP!AC80</f>
        <v>211131</v>
      </c>
      <c r="AC80" s="18" t="s">
        <v>1421</v>
      </c>
      <c r="AD80" s="18" t="s">
        <v>1421</v>
      </c>
    </row>
    <row r="81" spans="1:30" x14ac:dyDescent="0.2">
      <c r="A81" s="39" t="s">
        <v>1528</v>
      </c>
      <c r="B81" t="str">
        <f>ADP!P81</f>
        <v>201903</v>
      </c>
      <c r="C81" s="18" t="str">
        <f>ADP!AO81</f>
        <v>N</v>
      </c>
      <c r="D81" s="18" t="str">
        <f>ADP!AO81</f>
        <v>N</v>
      </c>
      <c r="H81" t="str">
        <f>ADP!AO81</f>
        <v>N</v>
      </c>
      <c r="I81" s="18" t="str">
        <f>ADP!AO81</f>
        <v>N</v>
      </c>
      <c r="J81" s="18" t="str">
        <f>ADP!AO81</f>
        <v>N</v>
      </c>
      <c r="R81" t="str">
        <f>ADP!AC81</f>
        <v>212699</v>
      </c>
      <c r="S81" t="str">
        <f>ADP!AC81</f>
        <v>212699</v>
      </c>
      <c r="AC81" s="18" t="s">
        <v>1421</v>
      </c>
      <c r="AD81" s="18" t="s">
        <v>1421</v>
      </c>
    </row>
    <row r="82" spans="1:30" x14ac:dyDescent="0.2">
      <c r="A82" s="39" t="s">
        <v>1528</v>
      </c>
      <c r="B82" t="str">
        <f>ADP!P82</f>
        <v>900851</v>
      </c>
      <c r="C82" s="18" t="str">
        <f>ADP!AO82</f>
        <v>N</v>
      </c>
      <c r="D82" s="18" t="str">
        <f>ADP!AO82</f>
        <v>N</v>
      </c>
      <c r="H82" t="str">
        <f>ADP!AO82</f>
        <v>N</v>
      </c>
      <c r="I82" s="18" t="str">
        <f>ADP!AO82</f>
        <v>N</v>
      </c>
      <c r="J82" s="18" t="str">
        <f>ADP!AO82</f>
        <v>N</v>
      </c>
      <c r="R82" t="str">
        <f>ADP!AC82</f>
        <v>211736</v>
      </c>
      <c r="S82" t="str">
        <f>ADP!AC82</f>
        <v>211736</v>
      </c>
      <c r="AC82" s="18" t="s">
        <v>1421</v>
      </c>
      <c r="AD82" s="18" t="s">
        <v>1421</v>
      </c>
    </row>
    <row r="83" spans="1:30" x14ac:dyDescent="0.2">
      <c r="A83" s="39" t="s">
        <v>1528</v>
      </c>
      <c r="B83" t="str">
        <f>ADP!P83</f>
        <v>212478</v>
      </c>
      <c r="C83" s="18" t="str">
        <f>ADP!AO83</f>
        <v>N</v>
      </c>
      <c r="D83" s="18" t="str">
        <f>ADP!AO83</f>
        <v>N</v>
      </c>
      <c r="H83" t="str">
        <f>ADP!AO83</f>
        <v>N</v>
      </c>
      <c r="I83" s="18" t="str">
        <f>ADP!AO83</f>
        <v>N</v>
      </c>
      <c r="J83" s="18" t="str">
        <f>ADP!AO83</f>
        <v>N</v>
      </c>
      <c r="R83" t="str">
        <f>ADP!AC83</f>
        <v>207588</v>
      </c>
      <c r="S83" t="str">
        <f>ADP!AC83</f>
        <v>207588</v>
      </c>
      <c r="AC83" s="18" t="s">
        <v>1421</v>
      </c>
      <c r="AD83" s="18" t="s">
        <v>1421</v>
      </c>
    </row>
    <row r="84" spans="1:30" x14ac:dyDescent="0.2">
      <c r="A84" s="39" t="s">
        <v>1528</v>
      </c>
      <c r="B84" t="str">
        <f>ADP!P84</f>
        <v>211531</v>
      </c>
      <c r="C84" s="18" t="str">
        <f>ADP!AO84</f>
        <v>N</v>
      </c>
      <c r="D84" s="18" t="str">
        <f>ADP!AO84</f>
        <v>N</v>
      </c>
      <c r="H84" t="str">
        <f>ADP!AO84</f>
        <v>N</v>
      </c>
      <c r="I84" s="18" t="str">
        <f>ADP!AO84</f>
        <v>N</v>
      </c>
      <c r="J84" s="18" t="str">
        <f>ADP!AO84</f>
        <v>N</v>
      </c>
      <c r="R84" t="str">
        <f>ADP!AC84</f>
        <v>211736</v>
      </c>
      <c r="S84" t="str">
        <f>ADP!AC84</f>
        <v>211736</v>
      </c>
      <c r="AC84" s="18" t="s">
        <v>1421</v>
      </c>
      <c r="AD84" s="18" t="s">
        <v>1421</v>
      </c>
    </row>
    <row r="85" spans="1:30" x14ac:dyDescent="0.2">
      <c r="A85" s="39" t="s">
        <v>1528</v>
      </c>
      <c r="B85" t="str">
        <f>ADP!P85</f>
        <v>201895</v>
      </c>
      <c r="C85" s="18" t="str">
        <f>ADP!AO85</f>
        <v>N</v>
      </c>
      <c r="D85" s="18" t="str">
        <f>ADP!AO85</f>
        <v>N</v>
      </c>
      <c r="H85" t="str">
        <f>ADP!AO85</f>
        <v>N</v>
      </c>
      <c r="I85" s="18" t="str">
        <f>ADP!AO85</f>
        <v>N</v>
      </c>
      <c r="J85" s="18" t="str">
        <f>ADP!AO85</f>
        <v>N</v>
      </c>
      <c r="R85" t="str">
        <f>ADP!AC85</f>
        <v>212699</v>
      </c>
      <c r="S85" t="str">
        <f>ADP!AC85</f>
        <v>212699</v>
      </c>
      <c r="AC85" s="18" t="s">
        <v>1421</v>
      </c>
      <c r="AD85" s="18" t="s">
        <v>1421</v>
      </c>
    </row>
    <row r="86" spans="1:30" x14ac:dyDescent="0.2">
      <c r="A86" s="39" t="s">
        <v>1528</v>
      </c>
      <c r="B86" t="str">
        <f>ADP!P86</f>
        <v>206738</v>
      </c>
      <c r="C86" s="18" t="str">
        <f>ADP!AO86</f>
        <v>N</v>
      </c>
      <c r="D86" s="18" t="str">
        <f>ADP!AO86</f>
        <v>N</v>
      </c>
      <c r="H86" t="str">
        <f>ADP!AO86</f>
        <v>N</v>
      </c>
      <c r="I86" s="18" t="str">
        <f>ADP!AO86</f>
        <v>N</v>
      </c>
      <c r="J86" s="18" t="str">
        <f>ADP!AO86</f>
        <v>N</v>
      </c>
      <c r="R86" t="str">
        <f>ADP!AC86</f>
        <v>213037</v>
      </c>
      <c r="S86" t="str">
        <f>ADP!AC86</f>
        <v>213037</v>
      </c>
      <c r="AC86" s="18" t="s">
        <v>1421</v>
      </c>
      <c r="AD86" s="18" t="s">
        <v>1421</v>
      </c>
    </row>
    <row r="87" spans="1:30" x14ac:dyDescent="0.2">
      <c r="A87" s="39" t="s">
        <v>1528</v>
      </c>
      <c r="B87" t="str">
        <f>ADP!P87</f>
        <v>210018</v>
      </c>
      <c r="C87" s="18" t="str">
        <f>ADP!AO87</f>
        <v>N</v>
      </c>
      <c r="D87" s="18" t="str">
        <f>ADP!AO87</f>
        <v>N</v>
      </c>
      <c r="H87" t="str">
        <f>ADP!AO87</f>
        <v>N</v>
      </c>
      <c r="I87" s="18" t="str">
        <f>ADP!AO87</f>
        <v>N</v>
      </c>
      <c r="J87" s="18" t="str">
        <f>ADP!AO87</f>
        <v>N</v>
      </c>
      <c r="R87" t="str">
        <f>ADP!AC87</f>
        <v>207588</v>
      </c>
      <c r="S87" t="str">
        <f>ADP!AC87</f>
        <v>207588</v>
      </c>
      <c r="AC87" s="18" t="s">
        <v>1421</v>
      </c>
      <c r="AD87" s="18" t="s">
        <v>1421</v>
      </c>
    </row>
    <row r="88" spans="1:30" x14ac:dyDescent="0.2">
      <c r="A88" s="39" t="s">
        <v>1528</v>
      </c>
      <c r="B88" t="str">
        <f>ADP!P88</f>
        <v>211131</v>
      </c>
      <c r="C88" s="18" t="str">
        <f>ADP!AO88</f>
        <v>Y</v>
      </c>
      <c r="D88" s="18" t="str">
        <f>ADP!AO88</f>
        <v>Y</v>
      </c>
      <c r="H88" t="str">
        <f>ADP!AO88</f>
        <v>Y</v>
      </c>
      <c r="I88" s="18" t="str">
        <f>ADP!AO88</f>
        <v>Y</v>
      </c>
      <c r="J88" s="18" t="str">
        <f>ADP!AO88</f>
        <v>Y</v>
      </c>
      <c r="R88" t="str">
        <f>ADP!AC88</f>
        <v>211766</v>
      </c>
      <c r="S88" t="str">
        <f>ADP!AC88</f>
        <v>211766</v>
      </c>
      <c r="AC88" s="18" t="s">
        <v>1421</v>
      </c>
      <c r="AD88" s="18" t="s">
        <v>1421</v>
      </c>
    </row>
    <row r="89" spans="1:30" x14ac:dyDescent="0.2">
      <c r="A89" s="39" t="s">
        <v>1528</v>
      </c>
      <c r="B89" t="str">
        <f>ADP!P89</f>
        <v>210035</v>
      </c>
      <c r="C89" s="18" t="str">
        <f>ADP!AO89</f>
        <v>N</v>
      </c>
      <c r="D89" s="18" t="str">
        <f>ADP!AO89</f>
        <v>N</v>
      </c>
      <c r="H89" t="str">
        <f>ADP!AO89</f>
        <v>N</v>
      </c>
      <c r="I89" s="18" t="str">
        <f>ADP!AO89</f>
        <v>N</v>
      </c>
      <c r="J89" s="18" t="str">
        <f>ADP!AO89</f>
        <v>N</v>
      </c>
      <c r="R89" t="str">
        <f>ADP!AC89</f>
        <v>211736</v>
      </c>
      <c r="S89" t="str">
        <f>ADP!AC89</f>
        <v>211736</v>
      </c>
      <c r="AC89" s="18" t="s">
        <v>1421</v>
      </c>
      <c r="AD89" s="18" t="s">
        <v>1421</v>
      </c>
    </row>
    <row r="90" spans="1:30" x14ac:dyDescent="0.2">
      <c r="A90" s="39" t="s">
        <v>1528</v>
      </c>
      <c r="B90" t="str">
        <f>ADP!P90</f>
        <v>212074</v>
      </c>
      <c r="C90" s="18" t="str">
        <f>ADP!AO90</f>
        <v>N</v>
      </c>
      <c r="D90" s="18" t="str">
        <f>ADP!AO90</f>
        <v>N</v>
      </c>
      <c r="H90" t="str">
        <f>ADP!AO90</f>
        <v>N</v>
      </c>
      <c r="I90" s="18" t="str">
        <f>ADP!AO90</f>
        <v>N</v>
      </c>
      <c r="J90" s="18" t="str">
        <f>ADP!AO90</f>
        <v>N</v>
      </c>
      <c r="R90" t="str">
        <f>ADP!AC90</f>
        <v>211756</v>
      </c>
      <c r="S90" t="str">
        <f>ADP!AC90</f>
        <v>211756</v>
      </c>
      <c r="AC90" s="18" t="s">
        <v>1421</v>
      </c>
      <c r="AD90" s="18" t="s">
        <v>1421</v>
      </c>
    </row>
    <row r="91" spans="1:30" x14ac:dyDescent="0.2">
      <c r="A91" s="39" t="s">
        <v>1528</v>
      </c>
      <c r="B91" t="str">
        <f>ADP!P91</f>
        <v>207588</v>
      </c>
      <c r="C91" s="18" t="str">
        <f>ADP!AO91</f>
        <v>Y</v>
      </c>
      <c r="D91" s="18" t="str">
        <f>ADP!AO91</f>
        <v>Y</v>
      </c>
      <c r="H91" t="str">
        <f>ADP!AO91</f>
        <v>Y</v>
      </c>
      <c r="I91" s="18" t="str">
        <f>ADP!AO91</f>
        <v>Y</v>
      </c>
      <c r="J91" s="18" t="str">
        <f>ADP!AO91</f>
        <v>Y</v>
      </c>
      <c r="R91" t="str">
        <f>ADP!AC91</f>
        <v>207709</v>
      </c>
      <c r="S91" t="str">
        <f>ADP!AC91</f>
        <v>207709</v>
      </c>
      <c r="AC91" s="18" t="s">
        <v>1421</v>
      </c>
      <c r="AD91" s="18" t="s">
        <v>1421</v>
      </c>
    </row>
    <row r="92" spans="1:30" x14ac:dyDescent="0.2">
      <c r="A92" s="39" t="s">
        <v>1528</v>
      </c>
      <c r="B92" t="str">
        <f>ADP!P92</f>
        <v>207487</v>
      </c>
      <c r="C92" s="18" t="str">
        <f>ADP!AO92</f>
        <v>N</v>
      </c>
      <c r="D92" s="18" t="str">
        <f>ADP!AO92</f>
        <v>N</v>
      </c>
      <c r="H92" t="str">
        <f>ADP!AO92</f>
        <v>N</v>
      </c>
      <c r="I92" s="18" t="str">
        <f>ADP!AO92</f>
        <v>N</v>
      </c>
      <c r="J92" s="18" t="str">
        <f>ADP!AO92</f>
        <v>N</v>
      </c>
      <c r="R92" t="str">
        <f>ADP!AC92</f>
        <v>902688</v>
      </c>
      <c r="S92" t="str">
        <f>ADP!AC92</f>
        <v>902688</v>
      </c>
      <c r="AC92" s="18" t="s">
        <v>1421</v>
      </c>
      <c r="AD92" s="18" t="s">
        <v>1421</v>
      </c>
    </row>
    <row r="93" spans="1:30" x14ac:dyDescent="0.2">
      <c r="A93" s="39" t="s">
        <v>1528</v>
      </c>
      <c r="B93" t="str">
        <f>ADP!P93</f>
        <v>007647</v>
      </c>
      <c r="C93" s="18" t="str">
        <f>ADP!AO93</f>
        <v>N</v>
      </c>
      <c r="D93" s="18" t="str">
        <f>ADP!AO93</f>
        <v>N</v>
      </c>
      <c r="H93" t="str">
        <f>ADP!AO93</f>
        <v>N</v>
      </c>
      <c r="I93" s="18" t="str">
        <f>ADP!AO93</f>
        <v>N</v>
      </c>
      <c r="J93" s="18" t="str">
        <f>ADP!AO93</f>
        <v>N</v>
      </c>
      <c r="R93" t="str">
        <f>ADP!AC93</f>
        <v>008750</v>
      </c>
      <c r="S93" t="str">
        <f>ADP!AC93</f>
        <v>008750</v>
      </c>
      <c r="AC93" s="18" t="s">
        <v>1421</v>
      </c>
      <c r="AD93" s="18" t="s">
        <v>1421</v>
      </c>
    </row>
    <row r="94" spans="1:30" x14ac:dyDescent="0.2">
      <c r="A94" s="39" t="s">
        <v>1528</v>
      </c>
      <c r="B94" t="str">
        <f>ADP!P94</f>
        <v>213091</v>
      </c>
      <c r="C94" s="18" t="str">
        <f>ADP!AO94</f>
        <v>N</v>
      </c>
      <c r="D94" s="18" t="str">
        <f>ADP!AO94</f>
        <v>N</v>
      </c>
      <c r="H94" t="str">
        <f>ADP!AO94</f>
        <v>N</v>
      </c>
      <c r="I94" s="18" t="str">
        <f>ADP!AO94</f>
        <v>N</v>
      </c>
      <c r="J94" s="18" t="str">
        <f>ADP!AO94</f>
        <v>N</v>
      </c>
      <c r="R94" t="str">
        <f>ADP!AC94</f>
        <v>207487</v>
      </c>
      <c r="S94" t="str">
        <f>ADP!AC94</f>
        <v>207487</v>
      </c>
      <c r="AC94" s="18" t="s">
        <v>1421</v>
      </c>
      <c r="AD94" s="18" t="s">
        <v>1421</v>
      </c>
    </row>
    <row r="95" spans="1:30" x14ac:dyDescent="0.2">
      <c r="A95" s="39" t="s">
        <v>1528</v>
      </c>
      <c r="B95" t="str">
        <f>ADP!P95</f>
        <v>900439</v>
      </c>
      <c r="C95" s="18" t="str">
        <f>ADP!AO95</f>
        <v>N</v>
      </c>
      <c r="D95" s="18" t="str">
        <f>ADP!AO95</f>
        <v>N</v>
      </c>
      <c r="H95" t="str">
        <f>ADP!AO95</f>
        <v>N</v>
      </c>
      <c r="I95" s="18" t="str">
        <f>ADP!AO95</f>
        <v>N</v>
      </c>
      <c r="J95" s="18" t="str">
        <f>ADP!AO95</f>
        <v>N</v>
      </c>
      <c r="R95" t="str">
        <f>ADP!AC95</f>
        <v>213037</v>
      </c>
      <c r="S95" t="str">
        <f>ADP!AC95</f>
        <v>213037</v>
      </c>
      <c r="AC95" s="18" t="s">
        <v>1421</v>
      </c>
      <c r="AD95" s="18" t="s">
        <v>1421</v>
      </c>
    </row>
    <row r="96" spans="1:30" x14ac:dyDescent="0.2">
      <c r="A96" s="39" t="s">
        <v>1528</v>
      </c>
      <c r="B96" t="str">
        <f>ADP!P96</f>
        <v>210127</v>
      </c>
      <c r="C96" s="18" t="str">
        <f>ADP!AO96</f>
        <v>N</v>
      </c>
      <c r="D96" s="18" t="str">
        <f>ADP!AO96</f>
        <v>N</v>
      </c>
      <c r="H96" t="str">
        <f>ADP!AO96</f>
        <v>N</v>
      </c>
      <c r="I96" s="18" t="str">
        <f>ADP!AO96</f>
        <v>N</v>
      </c>
      <c r="J96" s="18" t="str">
        <f>ADP!AO96</f>
        <v>N</v>
      </c>
      <c r="R96" t="str">
        <f>ADP!AC96</f>
        <v>211736</v>
      </c>
      <c r="S96" t="str">
        <f>ADP!AC96</f>
        <v>211736</v>
      </c>
      <c r="AC96" s="18" t="s">
        <v>1421</v>
      </c>
      <c r="AD96" s="18" t="s">
        <v>1421</v>
      </c>
    </row>
    <row r="97" spans="1:30" x14ac:dyDescent="0.2">
      <c r="A97" s="39" t="s">
        <v>1528</v>
      </c>
      <c r="B97" t="str">
        <f>ADP!P97</f>
        <v>210281</v>
      </c>
      <c r="C97" s="18" t="str">
        <f>ADP!AO97</f>
        <v>N</v>
      </c>
      <c r="D97" s="18" t="str">
        <f>ADP!AO97</f>
        <v>N</v>
      </c>
      <c r="H97" t="str">
        <f>ADP!AO97</f>
        <v>N</v>
      </c>
      <c r="I97" s="18" t="str">
        <f>ADP!AO97</f>
        <v>N</v>
      </c>
      <c r="J97" s="18" t="str">
        <f>ADP!AO97</f>
        <v>N</v>
      </c>
      <c r="R97" t="str">
        <f>ADP!AC97</f>
        <v>211736</v>
      </c>
      <c r="S97" t="str">
        <f>ADP!AC97</f>
        <v>211736</v>
      </c>
      <c r="AC97" s="18" t="s">
        <v>1421</v>
      </c>
      <c r="AD97" s="18" t="s">
        <v>1421</v>
      </c>
    </row>
    <row r="98" spans="1:30" x14ac:dyDescent="0.2">
      <c r="A98" s="39" t="s">
        <v>1528</v>
      </c>
      <c r="B98" t="str">
        <f>ADP!P98</f>
        <v>211062</v>
      </c>
      <c r="C98" s="18" t="str">
        <f>ADP!AO98</f>
        <v>N</v>
      </c>
      <c r="D98" s="18" t="str">
        <f>ADP!AO98</f>
        <v>N</v>
      </c>
      <c r="H98" t="str">
        <f>ADP!AO98</f>
        <v>N</v>
      </c>
      <c r="I98" s="18" t="str">
        <f>ADP!AO98</f>
        <v>N</v>
      </c>
      <c r="J98" s="18" t="str">
        <f>ADP!AO98</f>
        <v>N</v>
      </c>
      <c r="R98" t="str">
        <f>ADP!AC98</f>
        <v>006780</v>
      </c>
      <c r="S98" t="str">
        <f>ADP!AC98</f>
        <v>006780</v>
      </c>
      <c r="AC98" s="18" t="s">
        <v>1421</v>
      </c>
      <c r="AD98" s="18" t="s">
        <v>1421</v>
      </c>
    </row>
    <row r="99" spans="1:30" x14ac:dyDescent="0.2">
      <c r="A99" s="39" t="s">
        <v>1528</v>
      </c>
      <c r="B99" t="str">
        <f>ADP!P99</f>
        <v>212191</v>
      </c>
      <c r="C99" s="18" t="str">
        <f>ADP!AO99</f>
        <v>Y</v>
      </c>
      <c r="D99" s="18" t="str">
        <f>ADP!AO99</f>
        <v>Y</v>
      </c>
      <c r="H99" t="str">
        <f>ADP!AO99</f>
        <v>Y</v>
      </c>
      <c r="I99" s="18" t="str">
        <f>ADP!AO99</f>
        <v>Y</v>
      </c>
      <c r="J99" s="18" t="str">
        <f>ADP!AO99</f>
        <v>Y</v>
      </c>
      <c r="R99" t="str">
        <f>ADP!AC99</f>
        <v>213037</v>
      </c>
      <c r="S99" t="str">
        <f>ADP!AC99</f>
        <v>213037</v>
      </c>
      <c r="AC99" s="18" t="s">
        <v>1421</v>
      </c>
      <c r="AD99" s="18" t="s">
        <v>1421</v>
      </c>
    </row>
    <row r="100" spans="1:30" x14ac:dyDescent="0.2">
      <c r="A100" s="39" t="s">
        <v>1528</v>
      </c>
      <c r="B100" t="str">
        <f>ADP!P100</f>
        <v>210103</v>
      </c>
      <c r="C100" s="18" t="str">
        <f>ADP!AO100</f>
        <v>N</v>
      </c>
      <c r="D100" s="18" t="str">
        <f>ADP!AO100</f>
        <v>N</v>
      </c>
      <c r="H100" t="str">
        <f>ADP!AO100</f>
        <v>N</v>
      </c>
      <c r="I100" s="18" t="str">
        <f>ADP!AO100</f>
        <v>N</v>
      </c>
      <c r="J100" s="18" t="str">
        <f>ADP!AO100</f>
        <v>N</v>
      </c>
      <c r="R100" t="str">
        <f>ADP!AC100</f>
        <v>212699</v>
      </c>
      <c r="S100" t="str">
        <f>ADP!AC100</f>
        <v>212699</v>
      </c>
      <c r="AC100" s="18" t="s">
        <v>1421</v>
      </c>
      <c r="AD100" s="18" t="s">
        <v>1421</v>
      </c>
    </row>
    <row r="101" spans="1:30" x14ac:dyDescent="0.2">
      <c r="A101" s="39" t="s">
        <v>1528</v>
      </c>
      <c r="B101" t="str">
        <f>ADP!P101</f>
        <v>212146</v>
      </c>
      <c r="C101" s="18" t="str">
        <f>ADP!AO101</f>
        <v>Y</v>
      </c>
      <c r="D101" s="18" t="str">
        <f>ADP!AO101</f>
        <v>Y</v>
      </c>
      <c r="H101" t="str">
        <f>ADP!AO101</f>
        <v>Y</v>
      </c>
      <c r="I101" s="18" t="str">
        <f>ADP!AO101</f>
        <v>Y</v>
      </c>
      <c r="J101" s="18" t="str">
        <f>ADP!AO101</f>
        <v>Y</v>
      </c>
      <c r="R101" t="str">
        <f>ADP!AC101</f>
        <v>008750</v>
      </c>
      <c r="S101" t="str">
        <f>ADP!AC101</f>
        <v>008750</v>
      </c>
      <c r="AC101" s="18" t="s">
        <v>1421</v>
      </c>
      <c r="AD101" s="18" t="s">
        <v>1421</v>
      </c>
    </row>
    <row r="102" spans="1:30" x14ac:dyDescent="0.2">
      <c r="A102" s="39" t="s">
        <v>1528</v>
      </c>
      <c r="B102" t="str">
        <f>ADP!P102</f>
        <v>901943</v>
      </c>
      <c r="C102" s="18" t="str">
        <f>ADP!AO102</f>
        <v>Y</v>
      </c>
      <c r="D102" s="18" t="str">
        <f>ADP!AO102</f>
        <v>Y</v>
      </c>
      <c r="H102" t="str">
        <f>ADP!AO102</f>
        <v>Y</v>
      </c>
      <c r="I102" s="18" t="str">
        <f>ADP!AO102</f>
        <v>Y</v>
      </c>
      <c r="J102" s="18" t="str">
        <f>ADP!AO102</f>
        <v>Y</v>
      </c>
      <c r="R102" t="str">
        <f>ADP!AC102</f>
        <v>008750</v>
      </c>
      <c r="S102" t="str">
        <f>ADP!AC102</f>
        <v>008750</v>
      </c>
      <c r="AC102" s="18" t="s">
        <v>1421</v>
      </c>
      <c r="AD102" s="18" t="s">
        <v>1421</v>
      </c>
    </row>
    <row r="103" spans="1:30" x14ac:dyDescent="0.2">
      <c r="A103" s="39" t="s">
        <v>1528</v>
      </c>
      <c r="B103" t="str">
        <f>ADP!P103</f>
        <v>211521</v>
      </c>
      <c r="C103" s="18" t="str">
        <f>ADP!AO103</f>
        <v>N</v>
      </c>
      <c r="D103" s="18" t="str">
        <f>ADP!AO103</f>
        <v>N</v>
      </c>
      <c r="H103" t="str">
        <f>ADP!AO103</f>
        <v>N</v>
      </c>
      <c r="I103" s="18" t="str">
        <f>ADP!AO103</f>
        <v>N</v>
      </c>
      <c r="J103" s="18" t="str">
        <f>ADP!AO103</f>
        <v>N</v>
      </c>
      <c r="R103" t="str">
        <f>ADP!AC103</f>
        <v>211736</v>
      </c>
      <c r="S103" t="str">
        <f>ADP!AC103</f>
        <v>211736</v>
      </c>
      <c r="AC103" s="18" t="s">
        <v>1421</v>
      </c>
      <c r="AD103" s="18" t="s">
        <v>1421</v>
      </c>
    </row>
    <row r="104" spans="1:30" x14ac:dyDescent="0.2">
      <c r="A104" s="39" t="s">
        <v>1528</v>
      </c>
      <c r="B104" t="str">
        <f>ADP!P104</f>
        <v>902013</v>
      </c>
      <c r="C104" s="18" t="str">
        <f>ADP!AO104</f>
        <v>Y</v>
      </c>
      <c r="D104" s="18" t="str">
        <f>ADP!AO104</f>
        <v>Y</v>
      </c>
      <c r="H104" t="str">
        <f>ADP!AO104</f>
        <v>Y</v>
      </c>
      <c r="I104" s="18" t="str">
        <f>ADP!AO104</f>
        <v>Y</v>
      </c>
      <c r="J104" s="18" t="str">
        <f>ADP!AO104</f>
        <v>Y</v>
      </c>
      <c r="R104" t="str">
        <f>ADP!AC104</f>
        <v>008750</v>
      </c>
      <c r="S104" t="str">
        <f>ADP!AC104</f>
        <v>008750</v>
      </c>
      <c r="AC104" s="18" t="s">
        <v>1421</v>
      </c>
      <c r="AD104" s="18" t="s">
        <v>1421</v>
      </c>
    </row>
    <row r="105" spans="1:30" x14ac:dyDescent="0.2">
      <c r="A105" s="39" t="s">
        <v>1528</v>
      </c>
      <c r="B105" t="str">
        <f>ADP!P105</f>
        <v>213241</v>
      </c>
      <c r="C105" s="18" t="str">
        <f>ADP!AO105</f>
        <v>N</v>
      </c>
      <c r="D105" s="18" t="str">
        <f>ADP!AO105</f>
        <v>N</v>
      </c>
      <c r="H105" t="str">
        <f>ADP!AO105</f>
        <v>N</v>
      </c>
      <c r="I105" s="18" t="str">
        <f>ADP!AO105</f>
        <v>N</v>
      </c>
      <c r="J105" s="18" t="str">
        <f>ADP!AO105</f>
        <v>N</v>
      </c>
      <c r="R105" t="str">
        <f>ADP!AC105</f>
        <v>211131</v>
      </c>
      <c r="S105" t="str">
        <f>ADP!AC105</f>
        <v>211131</v>
      </c>
      <c r="AC105" s="18" t="s">
        <v>1421</v>
      </c>
      <c r="AD105" s="18" t="s">
        <v>1421</v>
      </c>
    </row>
    <row r="106" spans="1:30" x14ac:dyDescent="0.2">
      <c r="A106" s="39" t="s">
        <v>1528</v>
      </c>
      <c r="B106" t="str">
        <f>ADP!P106</f>
        <v>206638</v>
      </c>
      <c r="C106" s="18" t="str">
        <f>ADP!AO106</f>
        <v>N</v>
      </c>
      <c r="D106" s="18" t="str">
        <f>ADP!AO106</f>
        <v>N</v>
      </c>
      <c r="H106" t="str">
        <f>ADP!AO106</f>
        <v>N</v>
      </c>
      <c r="I106" s="18" t="str">
        <f>ADP!AO106</f>
        <v>N</v>
      </c>
      <c r="J106" s="18" t="str">
        <f>ADP!AO106</f>
        <v>N</v>
      </c>
      <c r="R106" t="str">
        <f>ADP!AC106</f>
        <v>212699</v>
      </c>
      <c r="S106" t="str">
        <f>ADP!AC106</f>
        <v>212699</v>
      </c>
      <c r="AC106" s="18" t="s">
        <v>1421</v>
      </c>
      <c r="AD106" s="18" t="s">
        <v>1421</v>
      </c>
    </row>
    <row r="107" spans="1:30" x14ac:dyDescent="0.2">
      <c r="A107" s="39" t="s">
        <v>1528</v>
      </c>
      <c r="B107" t="str">
        <f>ADP!P107</f>
        <v>212254</v>
      </c>
      <c r="C107" s="18" t="str">
        <f>ADP!AO107</f>
        <v>N</v>
      </c>
      <c r="D107" s="18" t="str">
        <f>ADP!AO107</f>
        <v>N</v>
      </c>
      <c r="H107" t="str">
        <f>ADP!AO107</f>
        <v>N</v>
      </c>
      <c r="I107" s="18" t="str">
        <f>ADP!AO107</f>
        <v>N</v>
      </c>
      <c r="J107" s="18" t="str">
        <f>ADP!AO107</f>
        <v>N</v>
      </c>
      <c r="R107" t="str">
        <f>ADP!AC107</f>
        <v>211131</v>
      </c>
      <c r="S107" t="str">
        <f>ADP!AC107</f>
        <v>211131</v>
      </c>
      <c r="AC107" s="18" t="s">
        <v>1421</v>
      </c>
      <c r="AD107" s="18" t="s">
        <v>1421</v>
      </c>
    </row>
    <row r="108" spans="1:30" x14ac:dyDescent="0.2">
      <c r="A108" s="39" t="s">
        <v>1528</v>
      </c>
      <c r="B108" t="str">
        <f>ADP!P108</f>
        <v>211601</v>
      </c>
      <c r="C108" s="18" t="str">
        <f>ADP!AO108</f>
        <v>Y</v>
      </c>
      <c r="D108" s="18" t="str">
        <f>ADP!AO108</f>
        <v>Y</v>
      </c>
      <c r="H108" t="str">
        <f>ADP!AO108</f>
        <v>Y</v>
      </c>
      <c r="I108" s="18" t="str">
        <f>ADP!AO108</f>
        <v>Y</v>
      </c>
      <c r="J108" s="18" t="str">
        <f>ADP!AO108</f>
        <v>Y</v>
      </c>
      <c r="R108" t="str">
        <f>ADP!AC108</f>
        <v>207709</v>
      </c>
      <c r="S108" t="str">
        <f>ADP!AC108</f>
        <v>207709</v>
      </c>
      <c r="AC108" s="18" t="s">
        <v>1421</v>
      </c>
      <c r="AD108" s="18" t="s">
        <v>1421</v>
      </c>
    </row>
    <row r="109" spans="1:30" x14ac:dyDescent="0.2">
      <c r="A109" s="39" t="s">
        <v>1528</v>
      </c>
      <c r="B109" t="str">
        <f>ADP!P109</f>
        <v>206287</v>
      </c>
      <c r="C109" s="18" t="str">
        <f>ADP!AO109</f>
        <v>N</v>
      </c>
      <c r="D109" s="18" t="str">
        <f>ADP!AO109</f>
        <v>N</v>
      </c>
      <c r="H109" t="str">
        <f>ADP!AO109</f>
        <v>N</v>
      </c>
      <c r="I109" s="18" t="str">
        <f>ADP!AO109</f>
        <v>N</v>
      </c>
      <c r="J109" s="18" t="str">
        <f>ADP!AO109</f>
        <v>N</v>
      </c>
      <c r="R109" t="str">
        <f>ADP!AC109</f>
        <v>211062</v>
      </c>
      <c r="S109" t="str">
        <f>ADP!AC109</f>
        <v>211062</v>
      </c>
      <c r="AC109" s="18" t="s">
        <v>1421</v>
      </c>
      <c r="AD109" s="18" t="s">
        <v>1421</v>
      </c>
    </row>
    <row r="110" spans="1:30" x14ac:dyDescent="0.2">
      <c r="A110" s="39" t="s">
        <v>1528</v>
      </c>
      <c r="B110" t="str">
        <f>ADP!P110</f>
        <v>206272</v>
      </c>
      <c r="C110" s="18" t="str">
        <f>ADP!AO110</f>
        <v>N</v>
      </c>
      <c r="D110" s="18" t="str">
        <f>ADP!AO110</f>
        <v>N</v>
      </c>
      <c r="H110" t="str">
        <f>ADP!AO110</f>
        <v>N</v>
      </c>
      <c r="I110" s="18" t="str">
        <f>ADP!AO110</f>
        <v>N</v>
      </c>
      <c r="J110" s="18" t="str">
        <f>ADP!AO110</f>
        <v>N</v>
      </c>
      <c r="R110" t="str">
        <f>ADP!AC110</f>
        <v>211756</v>
      </c>
      <c r="S110" t="str">
        <f>ADP!AC110</f>
        <v>211756</v>
      </c>
      <c r="AC110" s="18" t="s">
        <v>1421</v>
      </c>
      <c r="AD110" s="18" t="s">
        <v>1421</v>
      </c>
    </row>
    <row r="111" spans="1:30" x14ac:dyDescent="0.2">
      <c r="A111" s="39" t="s">
        <v>1528</v>
      </c>
      <c r="B111" t="str">
        <f>ADP!P111</f>
        <v>211022</v>
      </c>
      <c r="C111" s="18" t="str">
        <f>ADP!AO111</f>
        <v>N</v>
      </c>
      <c r="D111" s="18" t="str">
        <f>ADP!AO111</f>
        <v>N</v>
      </c>
      <c r="H111" t="str">
        <f>ADP!AO111</f>
        <v>N</v>
      </c>
      <c r="I111" s="18" t="str">
        <f>ADP!AO111</f>
        <v>N</v>
      </c>
      <c r="J111" s="18" t="str">
        <f>ADP!AO111</f>
        <v>N</v>
      </c>
      <c r="R111" t="str">
        <f>ADP!AC111</f>
        <v>211998</v>
      </c>
      <c r="S111" t="str">
        <f>ADP!AC111</f>
        <v>211998</v>
      </c>
      <c r="AC111" s="18" t="s">
        <v>1421</v>
      </c>
      <c r="AD111" s="18" t="s">
        <v>1421</v>
      </c>
    </row>
    <row r="112" spans="1:30" x14ac:dyDescent="0.2">
      <c r="A112" s="39" t="s">
        <v>1528</v>
      </c>
      <c r="B112" t="str">
        <f>ADP!P112</f>
        <v>211998</v>
      </c>
      <c r="C112" s="18" t="str">
        <f>ADP!AO112</f>
        <v>N</v>
      </c>
      <c r="D112" s="18" t="str">
        <f>ADP!AO112</f>
        <v>N</v>
      </c>
      <c r="H112" t="str">
        <f>ADP!AO112</f>
        <v>N</v>
      </c>
      <c r="I112" s="18" t="str">
        <f>ADP!AO112</f>
        <v>N</v>
      </c>
      <c r="J112" s="18" t="str">
        <f>ADP!AO112</f>
        <v>N</v>
      </c>
      <c r="R112" t="str">
        <f>ADP!AC112</f>
        <v>213037</v>
      </c>
      <c r="S112" t="str">
        <f>ADP!AC112</f>
        <v>213037</v>
      </c>
      <c r="AC112" s="18" t="s">
        <v>1421</v>
      </c>
      <c r="AD112" s="18" t="s">
        <v>1421</v>
      </c>
    </row>
    <row r="113" spans="1:30" x14ac:dyDescent="0.2">
      <c r="A113" s="39" t="s">
        <v>1528</v>
      </c>
      <c r="B113" t="str">
        <f>ADP!P113</f>
        <v>008750</v>
      </c>
      <c r="C113" s="18" t="str">
        <f>ADP!AO113</f>
        <v>Y</v>
      </c>
      <c r="D113" s="18" t="str">
        <f>ADP!AO113</f>
        <v>Y</v>
      </c>
      <c r="H113" t="str">
        <f>ADP!AO113</f>
        <v>Y</v>
      </c>
      <c r="I113" s="18" t="str">
        <f>ADP!AO113</f>
        <v>Y</v>
      </c>
      <c r="J113" s="18" t="str">
        <f>ADP!AO113</f>
        <v>Y</v>
      </c>
      <c r="R113" t="str">
        <f>ADP!AC113</f>
        <v>207709</v>
      </c>
      <c r="S113" t="str">
        <f>ADP!AC113</f>
        <v>207709</v>
      </c>
      <c r="AC113" s="18" t="s">
        <v>1421</v>
      </c>
      <c r="AD113" s="18" t="s">
        <v>1421</v>
      </c>
    </row>
    <row r="114" spans="1:30" x14ac:dyDescent="0.2">
      <c r="A114" s="39" t="s">
        <v>1528</v>
      </c>
      <c r="B114" t="str">
        <f>ADP!P114</f>
        <v>212705</v>
      </c>
      <c r="C114" s="18" t="str">
        <f>ADP!AO114</f>
        <v>N</v>
      </c>
      <c r="D114" s="18" t="str">
        <f>ADP!AO114</f>
        <v>N</v>
      </c>
      <c r="H114" t="str">
        <f>ADP!AO114</f>
        <v>N</v>
      </c>
      <c r="I114" s="18" t="str">
        <f>ADP!AO114</f>
        <v>N</v>
      </c>
      <c r="J114" s="18" t="str">
        <f>ADP!AO114</f>
        <v>N</v>
      </c>
      <c r="R114" t="str">
        <f>ADP!AC114</f>
        <v>209181</v>
      </c>
      <c r="S114" t="str">
        <f>ADP!AC114</f>
        <v>209181</v>
      </c>
      <c r="AC114" s="18" t="s">
        <v>1421</v>
      </c>
      <c r="AD114" s="18" t="s">
        <v>1421</v>
      </c>
    </row>
    <row r="115" spans="1:30" x14ac:dyDescent="0.2">
      <c r="A115" s="39" t="s">
        <v>1528</v>
      </c>
      <c r="B115" t="str">
        <f>ADP!P115</f>
        <v>901090</v>
      </c>
      <c r="C115" s="18" t="str">
        <f>ADP!AO115</f>
        <v>N</v>
      </c>
      <c r="D115" s="18" t="str">
        <f>ADP!AO115</f>
        <v>N</v>
      </c>
      <c r="H115" t="str">
        <f>ADP!AO115</f>
        <v>N</v>
      </c>
      <c r="I115" s="18" t="str">
        <f>ADP!AO115</f>
        <v>N</v>
      </c>
      <c r="J115" s="18" t="str">
        <f>ADP!AO115</f>
        <v>N</v>
      </c>
      <c r="R115" t="str">
        <f>ADP!AC115</f>
        <v>213037</v>
      </c>
      <c r="S115" t="str">
        <f>ADP!AC115</f>
        <v>213037</v>
      </c>
      <c r="AC115" s="18" t="s">
        <v>1421</v>
      </c>
      <c r="AD115" s="18" t="s">
        <v>1421</v>
      </c>
    </row>
    <row r="116" spans="1:30" x14ac:dyDescent="0.2">
      <c r="A116" s="39" t="s">
        <v>1528</v>
      </c>
      <c r="B116" t="str">
        <f>ADP!P116</f>
        <v>207850</v>
      </c>
      <c r="C116" s="18" t="str">
        <f>ADP!AO116</f>
        <v>N</v>
      </c>
      <c r="D116" s="18" t="str">
        <f>ADP!AO116</f>
        <v>N</v>
      </c>
      <c r="H116" t="str">
        <f>ADP!AO116</f>
        <v>N</v>
      </c>
      <c r="I116" s="18" t="str">
        <f>ADP!AO116</f>
        <v>N</v>
      </c>
      <c r="J116" s="18" t="str">
        <f>ADP!AO116</f>
        <v>N</v>
      </c>
      <c r="R116" t="str">
        <f>ADP!AC116</f>
        <v>211601</v>
      </c>
      <c r="S116" t="str">
        <f>ADP!AC116</f>
        <v>211601</v>
      </c>
      <c r="AC116" s="18" t="s">
        <v>1421</v>
      </c>
      <c r="AD116" s="18" t="s">
        <v>1421</v>
      </c>
    </row>
    <row r="117" spans="1:30" x14ac:dyDescent="0.2">
      <c r="A117" s="39" t="s">
        <v>1528</v>
      </c>
      <c r="B117" t="str">
        <f>ADP!P117</f>
        <v>211939</v>
      </c>
      <c r="C117" s="18" t="str">
        <f>ADP!AO117</f>
        <v>N</v>
      </c>
      <c r="D117" s="18" t="str">
        <f>ADP!AO117</f>
        <v>N</v>
      </c>
      <c r="H117" t="str">
        <f>ADP!AO117</f>
        <v>N</v>
      </c>
      <c r="I117" s="18" t="str">
        <f>ADP!AO117</f>
        <v>N</v>
      </c>
      <c r="J117" s="18" t="str">
        <f>ADP!AO117</f>
        <v>N</v>
      </c>
      <c r="R117" t="str">
        <f>ADP!AC117</f>
        <v>211998</v>
      </c>
      <c r="S117" t="str">
        <f>ADP!AC117</f>
        <v>211998</v>
      </c>
      <c r="AC117" s="18" t="s">
        <v>1421</v>
      </c>
      <c r="AD117" s="18" t="s">
        <v>1421</v>
      </c>
    </row>
    <row r="118" spans="1:30" x14ac:dyDescent="0.2">
      <c r="A118" s="39" t="s">
        <v>1528</v>
      </c>
      <c r="B118" t="str">
        <f>ADP!P118</f>
        <v>901934</v>
      </c>
      <c r="C118" s="18" t="str">
        <f>ADP!AO118</f>
        <v>Y</v>
      </c>
      <c r="D118" s="18" t="str">
        <f>ADP!AO118</f>
        <v>Y</v>
      </c>
      <c r="H118" t="str">
        <f>ADP!AO118</f>
        <v>Y</v>
      </c>
      <c r="I118" s="18" t="str">
        <f>ADP!AO118</f>
        <v>Y</v>
      </c>
      <c r="J118" s="18" t="str">
        <f>ADP!AO118</f>
        <v>Y</v>
      </c>
      <c r="R118" t="str">
        <f>ADP!AC118</f>
        <v>207588</v>
      </c>
      <c r="S118" t="str">
        <f>ADP!AC118</f>
        <v>207588</v>
      </c>
      <c r="AC118" s="18" t="s">
        <v>1421</v>
      </c>
      <c r="AD118" s="18" t="s">
        <v>1421</v>
      </c>
    </row>
    <row r="119" spans="1:30" x14ac:dyDescent="0.2">
      <c r="A119" s="39" t="s">
        <v>1528</v>
      </c>
      <c r="B119" t="str">
        <f>ADP!P119</f>
        <v>202533</v>
      </c>
      <c r="C119" s="18" t="str">
        <f>ADP!AO119</f>
        <v>N</v>
      </c>
      <c r="D119" s="18" t="str">
        <f>ADP!AO119</f>
        <v>N</v>
      </c>
      <c r="H119" t="str">
        <f>ADP!AO119</f>
        <v>N</v>
      </c>
      <c r="I119" s="18" t="str">
        <f>ADP!AO119</f>
        <v>N</v>
      </c>
      <c r="J119" s="18" t="str">
        <f>ADP!AO119</f>
        <v>N</v>
      </c>
      <c r="R119" t="str">
        <f>ADP!AC119</f>
        <v>211766</v>
      </c>
      <c r="S119" t="str">
        <f>ADP!AC119</f>
        <v>211766</v>
      </c>
      <c r="AC119" s="18" t="s">
        <v>1421</v>
      </c>
      <c r="AD119" s="18" t="s">
        <v>1421</v>
      </c>
    </row>
    <row r="120" spans="1:30" x14ac:dyDescent="0.2">
      <c r="A120" s="39" t="s">
        <v>1528</v>
      </c>
      <c r="B120" t="str">
        <f>ADP!P120</f>
        <v>206672</v>
      </c>
      <c r="C120" s="18" t="str">
        <f>ADP!AO120</f>
        <v>N</v>
      </c>
      <c r="D120" s="18" t="str">
        <f>ADP!AO120</f>
        <v>N</v>
      </c>
      <c r="H120" t="str">
        <f>ADP!AO120</f>
        <v>N</v>
      </c>
      <c r="I120" s="18" t="str">
        <f>ADP!AO120</f>
        <v>N</v>
      </c>
      <c r="J120" s="18" t="str">
        <f>ADP!AO120</f>
        <v>N</v>
      </c>
      <c r="R120" t="str">
        <f>ADP!AC120</f>
        <v>212699</v>
      </c>
      <c r="S120" t="str">
        <f>ADP!AC120</f>
        <v>212699</v>
      </c>
      <c r="AC120" s="18" t="s">
        <v>1421</v>
      </c>
      <c r="AD120" s="18" t="s">
        <v>1421</v>
      </c>
    </row>
    <row r="121" spans="1:30" x14ac:dyDescent="0.2">
      <c r="A121" s="39" t="s">
        <v>1528</v>
      </c>
      <c r="B121" t="str">
        <f>ADP!P121</f>
        <v>207809</v>
      </c>
      <c r="C121" s="18" t="str">
        <f>ADP!AO121</f>
        <v>N</v>
      </c>
      <c r="D121" s="18" t="str">
        <f>ADP!AO121</f>
        <v>N</v>
      </c>
      <c r="H121" t="str">
        <f>ADP!AO121</f>
        <v>N</v>
      </c>
      <c r="I121" s="18" t="str">
        <f>ADP!AO121</f>
        <v>N</v>
      </c>
      <c r="J121" s="18" t="str">
        <f>ADP!AO121</f>
        <v>N</v>
      </c>
      <c r="R121" t="str">
        <f>ADP!AC121</f>
        <v>210892</v>
      </c>
      <c r="S121" t="str">
        <f>ADP!AC121</f>
        <v>210892</v>
      </c>
      <c r="AC121" s="18" t="s">
        <v>1421</v>
      </c>
      <c r="AD121" s="18" t="s">
        <v>1421</v>
      </c>
    </row>
    <row r="122" spans="1:30" x14ac:dyDescent="0.2">
      <c r="A122" s="39" t="s">
        <v>1528</v>
      </c>
      <c r="B122" t="str">
        <f>ADP!P122</f>
        <v>212100</v>
      </c>
      <c r="C122" s="18" t="str">
        <f>ADP!AO122</f>
        <v>N</v>
      </c>
      <c r="D122" s="18" t="str">
        <f>ADP!AO122</f>
        <v>N</v>
      </c>
      <c r="H122" t="str">
        <f>ADP!AO122</f>
        <v>N</v>
      </c>
      <c r="I122" s="18" t="str">
        <f>ADP!AO122</f>
        <v>N</v>
      </c>
      <c r="J122" s="18" t="str">
        <f>ADP!AO122</f>
        <v>N</v>
      </c>
      <c r="R122" t="str">
        <f>ADP!AC122</f>
        <v>006780</v>
      </c>
      <c r="S122" t="str">
        <f>ADP!AC122</f>
        <v>006780</v>
      </c>
      <c r="AC122" s="18" t="s">
        <v>1421</v>
      </c>
      <c r="AD122" s="18" t="s">
        <v>1421</v>
      </c>
    </row>
    <row r="123" spans="1:30" x14ac:dyDescent="0.2">
      <c r="A123" s="39" t="s">
        <v>1528</v>
      </c>
      <c r="B123" t="str">
        <f>ADP!P123</f>
        <v>212921</v>
      </c>
      <c r="C123" s="18" t="str">
        <f>ADP!AO123</f>
        <v>N</v>
      </c>
      <c r="D123" s="18" t="str">
        <f>ADP!AO123</f>
        <v>N</v>
      </c>
      <c r="H123" t="str">
        <f>ADP!AO123</f>
        <v>N</v>
      </c>
      <c r="I123" s="18" t="str">
        <f>ADP!AO123</f>
        <v>N</v>
      </c>
      <c r="J123" s="18" t="str">
        <f>ADP!AO123</f>
        <v>N</v>
      </c>
      <c r="R123" t="str">
        <f>ADP!AC123</f>
        <v>207487</v>
      </c>
      <c r="S123" t="str">
        <f>ADP!AC123</f>
        <v>207487</v>
      </c>
      <c r="AC123" s="18" t="s">
        <v>1421</v>
      </c>
      <c r="AD123" s="18" t="s">
        <v>1421</v>
      </c>
    </row>
    <row r="124" spans="1:30" x14ac:dyDescent="0.2">
      <c r="A124" s="39" t="s">
        <v>1528</v>
      </c>
      <c r="B124" t="str">
        <f>ADP!P124</f>
        <v>211085</v>
      </c>
      <c r="C124" s="18" t="str">
        <f>ADP!AO124</f>
        <v>N</v>
      </c>
      <c r="D124" s="18" t="str">
        <f>ADP!AO124</f>
        <v>N</v>
      </c>
      <c r="H124" t="str">
        <f>ADP!AO124</f>
        <v>N</v>
      </c>
      <c r="I124" s="18" t="str">
        <f>ADP!AO124</f>
        <v>N</v>
      </c>
      <c r="J124" s="18" t="str">
        <f>ADP!AO124</f>
        <v>N</v>
      </c>
      <c r="R124" t="str">
        <f>ADP!AC124</f>
        <v>211766</v>
      </c>
      <c r="S124" t="str">
        <f>ADP!AC124</f>
        <v>211766</v>
      </c>
      <c r="AC124" s="18" t="s">
        <v>1421</v>
      </c>
      <c r="AD124" s="18" t="s">
        <v>1421</v>
      </c>
    </row>
    <row r="125" spans="1:30" x14ac:dyDescent="0.2">
      <c r="A125" s="39" t="s">
        <v>1528</v>
      </c>
      <c r="B125" t="str">
        <f>ADP!P125</f>
        <v>663830</v>
      </c>
      <c r="C125" s="18" t="str">
        <f>ADP!AO125</f>
        <v>N</v>
      </c>
      <c r="D125" s="18" t="str">
        <f>ADP!AO125</f>
        <v>N</v>
      </c>
      <c r="H125" t="str">
        <f>ADP!AO125</f>
        <v>N</v>
      </c>
      <c r="I125" s="18" t="str">
        <f>ADP!AO125</f>
        <v>N</v>
      </c>
      <c r="J125" s="18" t="str">
        <f>ADP!AO125</f>
        <v>N</v>
      </c>
      <c r="R125" t="str">
        <f>ADP!AC125</f>
        <v>211756</v>
      </c>
      <c r="S125" t="str">
        <f>ADP!AC125</f>
        <v>211756</v>
      </c>
      <c r="AC125" s="18" t="s">
        <v>1421</v>
      </c>
      <c r="AD125" s="18" t="s">
        <v>1421</v>
      </c>
    </row>
    <row r="126" spans="1:30" x14ac:dyDescent="0.2">
      <c r="A126" s="39" t="s">
        <v>1528</v>
      </c>
      <c r="B126" t="str">
        <f>ADP!P126</f>
        <v>207466</v>
      </c>
      <c r="C126" s="18" t="str">
        <f>ADP!AO126</f>
        <v>N</v>
      </c>
      <c r="D126" s="18" t="str">
        <f>ADP!AO126</f>
        <v>N</v>
      </c>
      <c r="H126" t="str">
        <f>ADP!AO126</f>
        <v>N</v>
      </c>
      <c r="I126" s="18" t="str">
        <f>ADP!AO126</f>
        <v>N</v>
      </c>
      <c r="J126" s="18" t="str">
        <f>ADP!AO126</f>
        <v>N</v>
      </c>
      <c r="R126" t="str">
        <f>ADP!AC126</f>
        <v>211756</v>
      </c>
      <c r="S126" t="str">
        <f>ADP!AC126</f>
        <v>211756</v>
      </c>
      <c r="AC126" s="18" t="s">
        <v>1421</v>
      </c>
      <c r="AD126" s="18" t="s">
        <v>1421</v>
      </c>
    </row>
    <row r="127" spans="1:30" x14ac:dyDescent="0.2">
      <c r="A127" s="39" t="s">
        <v>1528</v>
      </c>
      <c r="B127" t="str">
        <f>ADP!P127</f>
        <v>211456</v>
      </c>
      <c r="C127" s="18" t="str">
        <f>ADP!AO127</f>
        <v>N</v>
      </c>
      <c r="D127" s="18" t="str">
        <f>ADP!AO127</f>
        <v>N</v>
      </c>
      <c r="H127" t="str">
        <f>ADP!AO127</f>
        <v>N</v>
      </c>
      <c r="I127" s="18" t="str">
        <f>ADP!AO127</f>
        <v>N</v>
      </c>
      <c r="J127" s="18" t="str">
        <f>ADP!AO127</f>
        <v>N</v>
      </c>
      <c r="R127" t="str">
        <f>ADP!AC127</f>
        <v>211756</v>
      </c>
      <c r="S127" t="str">
        <f>ADP!AC127</f>
        <v>211756</v>
      </c>
      <c r="AC127" s="18" t="s">
        <v>1421</v>
      </c>
      <c r="AD127" s="18" t="s">
        <v>1421</v>
      </c>
    </row>
    <row r="128" spans="1:30" x14ac:dyDescent="0.2">
      <c r="A128" s="39" t="s">
        <v>1528</v>
      </c>
      <c r="B128" t="str">
        <f>ADP!P128</f>
        <v>210727</v>
      </c>
      <c r="C128" s="18" t="str">
        <f>ADP!AO128</f>
        <v>N</v>
      </c>
      <c r="D128" s="18" t="str">
        <f>ADP!AO128</f>
        <v>N</v>
      </c>
      <c r="H128" t="str">
        <f>ADP!AO128</f>
        <v>N</v>
      </c>
      <c r="I128" s="18" t="str">
        <f>ADP!AO128</f>
        <v>N</v>
      </c>
      <c r="J128" s="18" t="str">
        <f>ADP!AO128</f>
        <v>N</v>
      </c>
      <c r="R128" t="str">
        <f>ADP!AC128</f>
        <v>211736</v>
      </c>
      <c r="S128" t="str">
        <f>ADP!AC128</f>
        <v>211736</v>
      </c>
      <c r="AC128" s="18" t="s">
        <v>1421</v>
      </c>
      <c r="AD128" s="18" t="s">
        <v>1421</v>
      </c>
    </row>
    <row r="129" spans="1:30" x14ac:dyDescent="0.2">
      <c r="A129" s="39" t="s">
        <v>1528</v>
      </c>
      <c r="B129" t="str">
        <f>ADP!P129</f>
        <v>213227</v>
      </c>
      <c r="C129" s="18" t="str">
        <f>ADP!AO129</f>
        <v>N</v>
      </c>
      <c r="D129" s="18" t="str">
        <f>ADP!AO129</f>
        <v>N</v>
      </c>
      <c r="H129" t="str">
        <f>ADP!AO129</f>
        <v>N</v>
      </c>
      <c r="I129" s="18" t="str">
        <f>ADP!AO129</f>
        <v>N</v>
      </c>
      <c r="J129" s="18" t="str">
        <f>ADP!AO129</f>
        <v>N</v>
      </c>
      <c r="R129" t="str">
        <f>ADP!AC129</f>
        <v>210910</v>
      </c>
      <c r="S129" t="str">
        <f>ADP!AC129</f>
        <v>210910</v>
      </c>
      <c r="AC129" s="18" t="s">
        <v>1421</v>
      </c>
      <c r="AD129" s="18" t="s">
        <v>1421</v>
      </c>
    </row>
    <row r="130" spans="1:30" x14ac:dyDescent="0.2">
      <c r="A130" s="39" t="s">
        <v>1528</v>
      </c>
      <c r="B130" t="str">
        <f>ADP!P130</f>
        <v>212052</v>
      </c>
      <c r="C130" s="18" t="str">
        <f>ADP!AO130</f>
        <v>N</v>
      </c>
      <c r="D130" s="18" t="str">
        <f>ADP!AO130</f>
        <v>N</v>
      </c>
      <c r="H130" t="str">
        <f>ADP!AO130</f>
        <v>N</v>
      </c>
      <c r="I130" s="18" t="str">
        <f>ADP!AO130</f>
        <v>N</v>
      </c>
      <c r="J130" s="18" t="str">
        <f>ADP!AO130</f>
        <v>N</v>
      </c>
      <c r="R130" t="str">
        <f>ADP!AC130</f>
        <v>006769</v>
      </c>
      <c r="S130" t="str">
        <f>ADP!AC130</f>
        <v>006769</v>
      </c>
      <c r="AC130" s="18" t="s">
        <v>1421</v>
      </c>
      <c r="AD130" s="18" t="s">
        <v>1421</v>
      </c>
    </row>
    <row r="131" spans="1:30" x14ac:dyDescent="0.2">
      <c r="A131" s="39" t="s">
        <v>1528</v>
      </c>
      <c r="B131" t="str">
        <f>ADP!P131</f>
        <v>210402</v>
      </c>
      <c r="C131" s="18" t="str">
        <f>ADP!AO131</f>
        <v>N</v>
      </c>
      <c r="D131" s="18" t="str">
        <f>ADP!AO131</f>
        <v>N</v>
      </c>
      <c r="H131" t="str">
        <f>ADP!AO131</f>
        <v>N</v>
      </c>
      <c r="I131" s="18" t="str">
        <f>ADP!AO131</f>
        <v>N</v>
      </c>
      <c r="J131" s="18" t="str">
        <f>ADP!AO131</f>
        <v>N</v>
      </c>
      <c r="R131" t="str">
        <f>ADP!AC131</f>
        <v>901934</v>
      </c>
      <c r="S131" t="str">
        <f>ADP!AC131</f>
        <v>901934</v>
      </c>
      <c r="AC131" s="18" t="s">
        <v>1421</v>
      </c>
      <c r="AD131" s="18" t="s">
        <v>1421</v>
      </c>
    </row>
    <row r="132" spans="1:30" x14ac:dyDescent="0.2">
      <c r="A132" s="39" t="s">
        <v>1528</v>
      </c>
      <c r="B132" t="str">
        <f>ADP!P132</f>
        <v>210339</v>
      </c>
      <c r="C132" s="18" t="str">
        <f>ADP!AO132</f>
        <v>Y</v>
      </c>
      <c r="D132" s="18" t="str">
        <f>ADP!AO132</f>
        <v>Y</v>
      </c>
      <c r="H132" t="str">
        <f>ADP!AO132</f>
        <v>Y</v>
      </c>
      <c r="I132" s="18" t="str">
        <f>ADP!AO132</f>
        <v>Y</v>
      </c>
      <c r="J132" s="18" t="str">
        <f>ADP!AO132</f>
        <v>Y</v>
      </c>
      <c r="R132" t="str">
        <f>ADP!AC132</f>
        <v>008750</v>
      </c>
      <c r="S132" t="str">
        <f>ADP!AC132</f>
        <v>008750</v>
      </c>
      <c r="AC132" s="18" t="s">
        <v>1421</v>
      </c>
      <c r="AD132" s="18" t="s">
        <v>1421</v>
      </c>
    </row>
    <row r="133" spans="1:30" x14ac:dyDescent="0.2">
      <c r="A133" s="39" t="s">
        <v>1528</v>
      </c>
      <c r="B133" t="str">
        <f>ADP!P133</f>
        <v>209634</v>
      </c>
      <c r="C133" s="18" t="str">
        <f>ADP!AO133</f>
        <v>N</v>
      </c>
      <c r="D133" s="18" t="str">
        <f>ADP!AO133</f>
        <v>N</v>
      </c>
      <c r="H133" t="str">
        <f>ADP!AO133</f>
        <v>N</v>
      </c>
      <c r="I133" s="18" t="str">
        <f>ADP!AO133</f>
        <v>N</v>
      </c>
      <c r="J133" s="18" t="str">
        <f>ADP!AO133</f>
        <v>N</v>
      </c>
      <c r="R133" t="str">
        <f>ADP!AC133</f>
        <v>212699</v>
      </c>
      <c r="S133" t="str">
        <f>ADP!AC133</f>
        <v>212699</v>
      </c>
      <c r="AC133" s="18" t="s">
        <v>1421</v>
      </c>
      <c r="AD133" s="18" t="s">
        <v>1421</v>
      </c>
    </row>
    <row r="134" spans="1:30" x14ac:dyDescent="0.2">
      <c r="A134" s="39" t="s">
        <v>1528</v>
      </c>
      <c r="B134" t="str">
        <f>ADP!P134</f>
        <v>211045</v>
      </c>
      <c r="C134" s="18" t="str">
        <f>ADP!AO134</f>
        <v>Y</v>
      </c>
      <c r="D134" s="18" t="str">
        <f>ADP!AO134</f>
        <v>Y</v>
      </c>
      <c r="H134" t="str">
        <f>ADP!AO134</f>
        <v>Y</v>
      </c>
      <c r="I134" s="18" t="str">
        <f>ADP!AO134</f>
        <v>Y</v>
      </c>
      <c r="J134" s="18" t="str">
        <f>ADP!AO134</f>
        <v>Y</v>
      </c>
      <c r="R134" t="str">
        <f>ADP!AC134</f>
        <v>901934</v>
      </c>
      <c r="S134" t="str">
        <f>ADP!AC134</f>
        <v>901934</v>
      </c>
      <c r="AC134" s="18" t="s">
        <v>1421</v>
      </c>
      <c r="AD134" s="18" t="s">
        <v>1421</v>
      </c>
    </row>
    <row r="135" spans="1:30" x14ac:dyDescent="0.2">
      <c r="A135" s="39" t="s">
        <v>1528</v>
      </c>
      <c r="B135" t="str">
        <f>ADP!P135</f>
        <v>212421</v>
      </c>
      <c r="C135" s="18" t="str">
        <f>ADP!AO135</f>
        <v>Y</v>
      </c>
      <c r="D135" s="18" t="str">
        <f>ADP!AO135</f>
        <v>Y</v>
      </c>
      <c r="H135" t="str">
        <f>ADP!AO135</f>
        <v>Y</v>
      </c>
      <c r="I135" s="18" t="str">
        <f>ADP!AO135</f>
        <v>Y</v>
      </c>
      <c r="J135" s="18" t="str">
        <f>ADP!AO135</f>
        <v>Y</v>
      </c>
      <c r="R135" t="str">
        <f>ADP!AC135</f>
        <v/>
      </c>
      <c r="S135" t="str">
        <f>ADP!AC135</f>
        <v/>
      </c>
      <c r="AC135" s="18" t="s">
        <v>1421</v>
      </c>
      <c r="AD135" s="18" t="s">
        <v>1421</v>
      </c>
    </row>
    <row r="136" spans="1:30" x14ac:dyDescent="0.2">
      <c r="A136" s="39" t="s">
        <v>1528</v>
      </c>
      <c r="B136" t="str">
        <f>ADP!P136</f>
        <v>209540</v>
      </c>
      <c r="C136" s="18" t="str">
        <f>ADP!AO136</f>
        <v>N</v>
      </c>
      <c r="D136" s="18" t="str">
        <f>ADP!AO136</f>
        <v>N</v>
      </c>
      <c r="H136" t="str">
        <f>ADP!AO136</f>
        <v>N</v>
      </c>
      <c r="I136" s="18" t="str">
        <f>ADP!AO136</f>
        <v>N</v>
      </c>
      <c r="J136" s="18" t="str">
        <f>ADP!AO136</f>
        <v>N</v>
      </c>
      <c r="R136" t="str">
        <f>ADP!AC136</f>
        <v/>
      </c>
      <c r="S136" t="str">
        <f>ADP!AC136</f>
        <v/>
      </c>
      <c r="AC136" s="18" t="s">
        <v>1421</v>
      </c>
      <c r="AD136" s="18" t="s">
        <v>1421</v>
      </c>
    </row>
    <row r="137" spans="1:30" x14ac:dyDescent="0.2">
      <c r="A137" s="39" t="s">
        <v>1528</v>
      </c>
      <c r="B137" t="str">
        <f>ADP!P137</f>
        <v>210134</v>
      </c>
      <c r="C137" s="18" t="str">
        <f>ADP!AO137</f>
        <v>N</v>
      </c>
      <c r="D137" s="18" t="str">
        <f>ADP!AO137</f>
        <v>N</v>
      </c>
      <c r="H137" t="str">
        <f>ADP!AO137</f>
        <v>N</v>
      </c>
      <c r="I137" s="18" t="str">
        <f>ADP!AO137</f>
        <v>N</v>
      </c>
      <c r="J137" s="18" t="str">
        <f>ADP!AO137</f>
        <v>N</v>
      </c>
      <c r="R137" t="str">
        <f>ADP!AC137</f>
        <v/>
      </c>
      <c r="S137" t="str">
        <f>ADP!AC137</f>
        <v/>
      </c>
      <c r="AC137" s="18" t="s">
        <v>1421</v>
      </c>
      <c r="AD137" s="18" t="s">
        <v>1421</v>
      </c>
    </row>
    <row r="138" spans="1:30" x14ac:dyDescent="0.2">
      <c r="A138" s="39" t="s">
        <v>1528</v>
      </c>
      <c r="B138" t="str">
        <f>ADP!P138</f>
        <v>212687</v>
      </c>
      <c r="C138" s="18" t="str">
        <f>ADP!AO138</f>
        <v>N</v>
      </c>
      <c r="D138" s="18" t="str">
        <f>ADP!AO138</f>
        <v>N</v>
      </c>
      <c r="H138" t="str">
        <f>ADP!AO138</f>
        <v>N</v>
      </c>
      <c r="I138" s="18" t="str">
        <f>ADP!AO138</f>
        <v>N</v>
      </c>
      <c r="J138" s="18" t="str">
        <f>ADP!AO138</f>
        <v>N</v>
      </c>
      <c r="R138" t="str">
        <f>ADP!AC138</f>
        <v/>
      </c>
      <c r="S138" t="str">
        <f>ADP!AC138</f>
        <v/>
      </c>
      <c r="AC138" s="18" t="s">
        <v>1421</v>
      </c>
      <c r="AD138" s="18" t="s">
        <v>1421</v>
      </c>
    </row>
    <row r="139" spans="1:30" x14ac:dyDescent="0.2">
      <c r="A139" s="39" t="s">
        <v>1528</v>
      </c>
      <c r="B139">
        <f>ADP!P139</f>
        <v>0</v>
      </c>
      <c r="C139" s="18" t="str">
        <f>ADP!AO139</f>
        <v>Y</v>
      </c>
      <c r="D139" s="18" t="str">
        <f>ADP!AO139</f>
        <v>Y</v>
      </c>
      <c r="H139" t="str">
        <f>ADP!AO139</f>
        <v>Y</v>
      </c>
      <c r="I139" s="18" t="str">
        <f>ADP!AO139</f>
        <v>Y</v>
      </c>
      <c r="J139" s="18" t="str">
        <f>ADP!AO139</f>
        <v>Y</v>
      </c>
      <c r="R139" t="e">
        <f>ADP!AC139</f>
        <v>#N/A</v>
      </c>
      <c r="S139" t="e">
        <f>ADP!AC139</f>
        <v>#N/A</v>
      </c>
      <c r="AC139" s="18" t="s">
        <v>1421</v>
      </c>
      <c r="AD139" s="18" t="s">
        <v>1421</v>
      </c>
    </row>
    <row r="140" spans="1:30" x14ac:dyDescent="0.2">
      <c r="A140" s="39" t="s">
        <v>1528</v>
      </c>
      <c r="B140">
        <f>ADP!P140</f>
        <v>0</v>
      </c>
      <c r="C140" s="18" t="str">
        <f>ADP!AO140</f>
        <v>Y</v>
      </c>
      <c r="D140" s="18" t="str">
        <f>ADP!AO140</f>
        <v>Y</v>
      </c>
      <c r="H140" t="str">
        <f>ADP!AO140</f>
        <v>Y</v>
      </c>
      <c r="I140" s="18" t="str">
        <f>ADP!AO140</f>
        <v>Y</v>
      </c>
      <c r="J140" s="18" t="str">
        <f>ADP!AO140</f>
        <v>Y</v>
      </c>
      <c r="R140" t="e">
        <f>ADP!AC140</f>
        <v>#N/A</v>
      </c>
      <c r="S140" t="e">
        <f>ADP!AC140</f>
        <v>#N/A</v>
      </c>
      <c r="AC140" s="18" t="s">
        <v>1421</v>
      </c>
      <c r="AD140" s="18" t="s">
        <v>1421</v>
      </c>
    </row>
    <row r="141" spans="1:30" x14ac:dyDescent="0.2">
      <c r="A141" s="39" t="s">
        <v>1528</v>
      </c>
      <c r="B141">
        <f>ADP!P141</f>
        <v>0</v>
      </c>
      <c r="C141" s="18" t="str">
        <f>ADP!AO141</f>
        <v>Y</v>
      </c>
      <c r="D141" s="18" t="str">
        <f>ADP!AO141</f>
        <v>Y</v>
      </c>
      <c r="H141" t="str">
        <f>ADP!AO141</f>
        <v>Y</v>
      </c>
      <c r="I141" s="18" t="str">
        <f>ADP!AO141</f>
        <v>Y</v>
      </c>
      <c r="J141" s="18" t="str">
        <f>ADP!AO141</f>
        <v>Y</v>
      </c>
      <c r="R141" t="e">
        <f>ADP!AC141</f>
        <v>#N/A</v>
      </c>
      <c r="S141" t="e">
        <f>ADP!AC141</f>
        <v>#N/A</v>
      </c>
      <c r="AC141" s="18" t="s">
        <v>1421</v>
      </c>
      <c r="AD141" s="18" t="s">
        <v>1421</v>
      </c>
    </row>
    <row r="142" spans="1:30" x14ac:dyDescent="0.2">
      <c r="A142" s="39" t="s">
        <v>1528</v>
      </c>
      <c r="B142">
        <f>ADP!P142</f>
        <v>0</v>
      </c>
      <c r="C142" s="18" t="str">
        <f>ADP!AO142</f>
        <v>Y</v>
      </c>
      <c r="D142" s="18" t="str">
        <f>ADP!AO142</f>
        <v>Y</v>
      </c>
      <c r="H142" t="str">
        <f>ADP!AO142</f>
        <v>Y</v>
      </c>
      <c r="I142" s="18" t="str">
        <f>ADP!AO142</f>
        <v>Y</v>
      </c>
      <c r="J142" s="18" t="str">
        <f>ADP!AO142</f>
        <v>Y</v>
      </c>
      <c r="R142" t="e">
        <f>ADP!AC142</f>
        <v>#N/A</v>
      </c>
      <c r="S142" t="e">
        <f>ADP!AC142</f>
        <v>#N/A</v>
      </c>
      <c r="AC142" s="18" t="s">
        <v>1421</v>
      </c>
      <c r="AD142" s="18" t="s">
        <v>1421</v>
      </c>
    </row>
    <row r="143" spans="1:30" x14ac:dyDescent="0.2">
      <c r="A143" s="39" t="s">
        <v>1528</v>
      </c>
      <c r="B143">
        <f>ADP!P143</f>
        <v>0</v>
      </c>
      <c r="C143" s="18" t="str">
        <f>ADP!AO143</f>
        <v>Y</v>
      </c>
      <c r="D143" s="18" t="str">
        <f>ADP!AO143</f>
        <v>Y</v>
      </c>
      <c r="H143" t="str">
        <f>ADP!AO143</f>
        <v>Y</v>
      </c>
      <c r="I143" s="18" t="str">
        <f>ADP!AO143</f>
        <v>Y</v>
      </c>
      <c r="J143" s="18" t="str">
        <f>ADP!AO143</f>
        <v>Y</v>
      </c>
      <c r="R143" t="e">
        <f>ADP!AC143</f>
        <v>#N/A</v>
      </c>
      <c r="S143" t="e">
        <f>ADP!AC143</f>
        <v>#N/A</v>
      </c>
      <c r="AC143" s="18" t="s">
        <v>1421</v>
      </c>
      <c r="AD143" s="18" t="s">
        <v>1421</v>
      </c>
    </row>
    <row r="144" spans="1:30" x14ac:dyDescent="0.2">
      <c r="A144" s="39" t="s">
        <v>1528</v>
      </c>
      <c r="B144">
        <f>ADP!P144</f>
        <v>0</v>
      </c>
      <c r="C144" s="18" t="str">
        <f>ADP!AO144</f>
        <v>Y</v>
      </c>
      <c r="D144" s="18" t="str">
        <f>ADP!AO144</f>
        <v>Y</v>
      </c>
      <c r="H144" t="str">
        <f>ADP!AO144</f>
        <v>Y</v>
      </c>
      <c r="I144" s="18" t="str">
        <f>ADP!AO144</f>
        <v>Y</v>
      </c>
      <c r="J144" s="18" t="str">
        <f>ADP!AO144</f>
        <v>Y</v>
      </c>
      <c r="R144" t="e">
        <f>ADP!AC144</f>
        <v>#N/A</v>
      </c>
      <c r="S144" t="e">
        <f>ADP!AC144</f>
        <v>#N/A</v>
      </c>
      <c r="AC144" s="18" t="s">
        <v>1421</v>
      </c>
      <c r="AD144" s="18" t="s">
        <v>1421</v>
      </c>
    </row>
    <row r="145" spans="1:30" x14ac:dyDescent="0.2">
      <c r="A145" s="39" t="s">
        <v>1528</v>
      </c>
      <c r="B145">
        <f>ADP!P145</f>
        <v>0</v>
      </c>
      <c r="C145" s="18" t="str">
        <f>ADP!AO145</f>
        <v>Y</v>
      </c>
      <c r="D145" s="18" t="str">
        <f>ADP!AO145</f>
        <v>Y</v>
      </c>
      <c r="H145" t="str">
        <f>ADP!AO145</f>
        <v>Y</v>
      </c>
      <c r="I145" s="18" t="str">
        <f>ADP!AO145</f>
        <v>Y</v>
      </c>
      <c r="J145" s="18" t="str">
        <f>ADP!AO145</f>
        <v>Y</v>
      </c>
      <c r="R145" t="e">
        <f>ADP!AC145</f>
        <v>#N/A</v>
      </c>
      <c r="S145" t="e">
        <f>ADP!AC145</f>
        <v>#N/A</v>
      </c>
      <c r="AC145" s="18" t="s">
        <v>1421</v>
      </c>
      <c r="AD145" s="18" t="s">
        <v>1421</v>
      </c>
    </row>
    <row r="146" spans="1:30" x14ac:dyDescent="0.2">
      <c r="A146" s="39" t="s">
        <v>1528</v>
      </c>
      <c r="B146">
        <f>ADP!P146</f>
        <v>0</v>
      </c>
      <c r="C146" s="18" t="str">
        <f>ADP!AO146</f>
        <v>Y</v>
      </c>
      <c r="D146" s="18" t="str">
        <f>ADP!AO146</f>
        <v>Y</v>
      </c>
      <c r="H146" t="str">
        <f>ADP!AO146</f>
        <v>Y</v>
      </c>
      <c r="I146" s="18" t="str">
        <f>ADP!AO146</f>
        <v>Y</v>
      </c>
      <c r="J146" s="18" t="str">
        <f>ADP!AO146</f>
        <v>Y</v>
      </c>
      <c r="R146" t="e">
        <f>ADP!AC146</f>
        <v>#N/A</v>
      </c>
      <c r="S146" t="e">
        <f>ADP!AC146</f>
        <v>#N/A</v>
      </c>
      <c r="AC146" s="18" t="s">
        <v>1421</v>
      </c>
      <c r="AD146" s="18" t="s">
        <v>1421</v>
      </c>
    </row>
    <row r="147" spans="1:30" x14ac:dyDescent="0.2">
      <c r="A147" s="39" t="s">
        <v>1528</v>
      </c>
      <c r="B147">
        <f>ADP!P147</f>
        <v>0</v>
      </c>
      <c r="C147" s="18" t="str">
        <f>ADP!AO147</f>
        <v>Y</v>
      </c>
      <c r="D147" s="18" t="str">
        <f>ADP!AO147</f>
        <v>Y</v>
      </c>
      <c r="H147" t="str">
        <f>ADP!AO147</f>
        <v>Y</v>
      </c>
      <c r="I147" s="18" t="str">
        <f>ADP!AO147</f>
        <v>Y</v>
      </c>
      <c r="J147" s="18" t="str">
        <f>ADP!AO147</f>
        <v>Y</v>
      </c>
      <c r="R147" t="e">
        <f>ADP!AC147</f>
        <v>#N/A</v>
      </c>
      <c r="S147" t="e">
        <f>ADP!AC147</f>
        <v>#N/A</v>
      </c>
      <c r="AC147" s="18" t="s">
        <v>1421</v>
      </c>
      <c r="AD147" s="18" t="s">
        <v>1421</v>
      </c>
    </row>
    <row r="148" spans="1:30" x14ac:dyDescent="0.2">
      <c r="A148" s="39" t="s">
        <v>1528</v>
      </c>
      <c r="B148">
        <f>ADP!P148</f>
        <v>0</v>
      </c>
      <c r="C148" s="18" t="str">
        <f>ADP!AO148</f>
        <v>Y</v>
      </c>
      <c r="D148" s="18" t="str">
        <f>ADP!AO148</f>
        <v>Y</v>
      </c>
      <c r="H148" t="str">
        <f>ADP!AO148</f>
        <v>Y</v>
      </c>
      <c r="I148" s="18" t="str">
        <f>ADP!AO148</f>
        <v>Y</v>
      </c>
      <c r="J148" s="18" t="str">
        <f>ADP!AO148</f>
        <v>Y</v>
      </c>
      <c r="R148" t="e">
        <f>ADP!AC148</f>
        <v>#N/A</v>
      </c>
      <c r="S148" t="e">
        <f>ADP!AC148</f>
        <v>#N/A</v>
      </c>
      <c r="AC148" s="18" t="s">
        <v>1421</v>
      </c>
      <c r="AD148" s="18" t="s">
        <v>1421</v>
      </c>
    </row>
    <row r="149" spans="1:30" x14ac:dyDescent="0.2">
      <c r="A149" s="39" t="s">
        <v>1528</v>
      </c>
      <c r="B149">
        <f>ADP!P149</f>
        <v>0</v>
      </c>
      <c r="C149" s="18" t="str">
        <f>ADP!AO149</f>
        <v>Y</v>
      </c>
      <c r="D149" s="18" t="str">
        <f>ADP!AO149</f>
        <v>Y</v>
      </c>
      <c r="H149" t="str">
        <f>ADP!AO149</f>
        <v>Y</v>
      </c>
      <c r="I149" s="18" t="str">
        <f>ADP!AO149</f>
        <v>Y</v>
      </c>
      <c r="J149" s="18" t="str">
        <f>ADP!AO149</f>
        <v>Y</v>
      </c>
      <c r="R149" t="e">
        <f>ADP!AC149</f>
        <v>#N/A</v>
      </c>
      <c r="S149" t="e">
        <f>ADP!AC149</f>
        <v>#N/A</v>
      </c>
      <c r="AC149" s="18" t="s">
        <v>1421</v>
      </c>
      <c r="AD149" s="18" t="s">
        <v>1421</v>
      </c>
    </row>
    <row r="150" spans="1:30" x14ac:dyDescent="0.2">
      <c r="A150" s="39" t="s">
        <v>1528</v>
      </c>
      <c r="B150">
        <f>ADP!P150</f>
        <v>0</v>
      </c>
      <c r="C150" s="18" t="str">
        <f>ADP!AO150</f>
        <v>Y</v>
      </c>
      <c r="D150" s="18" t="str">
        <f>ADP!AO150</f>
        <v>Y</v>
      </c>
      <c r="H150" t="str">
        <f>ADP!AO150</f>
        <v>Y</v>
      </c>
      <c r="I150" s="18" t="str">
        <f>ADP!AO150</f>
        <v>Y</v>
      </c>
      <c r="J150" s="18" t="str">
        <f>ADP!AO150</f>
        <v>Y</v>
      </c>
      <c r="R150" t="e">
        <f>ADP!AC150</f>
        <v>#N/A</v>
      </c>
      <c r="S150" t="e">
        <f>ADP!AC150</f>
        <v>#N/A</v>
      </c>
      <c r="AC150" s="18" t="s">
        <v>1421</v>
      </c>
      <c r="AD150" s="18" t="s">
        <v>1421</v>
      </c>
    </row>
    <row r="151" spans="1:30" x14ac:dyDescent="0.2">
      <c r="A151" s="39" t="s">
        <v>1528</v>
      </c>
      <c r="B151">
        <f>ADP!P151</f>
        <v>0</v>
      </c>
      <c r="C151" s="18" t="str">
        <f>ADP!AO151</f>
        <v>Y</v>
      </c>
      <c r="D151" s="18" t="str">
        <f>ADP!AO151</f>
        <v>Y</v>
      </c>
      <c r="H151" t="str">
        <f>ADP!AO151</f>
        <v>Y</v>
      </c>
      <c r="I151" s="18" t="str">
        <f>ADP!AO151</f>
        <v>Y</v>
      </c>
      <c r="J151" s="18" t="str">
        <f>ADP!AO151</f>
        <v>Y</v>
      </c>
      <c r="R151" t="e">
        <f>ADP!AC151</f>
        <v>#N/A</v>
      </c>
      <c r="S151" t="e">
        <f>ADP!AC151</f>
        <v>#N/A</v>
      </c>
      <c r="AC151" s="18" t="s">
        <v>1421</v>
      </c>
      <c r="AD151" s="18" t="s">
        <v>1421</v>
      </c>
    </row>
    <row r="152" spans="1:30" x14ac:dyDescent="0.2">
      <c r="A152" s="39" t="s">
        <v>1528</v>
      </c>
      <c r="B152">
        <f>ADP!P152</f>
        <v>0</v>
      </c>
      <c r="C152" s="18" t="str">
        <f>ADP!AO152</f>
        <v>Y</v>
      </c>
      <c r="D152" s="18" t="str">
        <f>ADP!AO152</f>
        <v>Y</v>
      </c>
      <c r="H152" t="str">
        <f>ADP!AO152</f>
        <v>Y</v>
      </c>
      <c r="I152" s="18" t="str">
        <f>ADP!AO152</f>
        <v>Y</v>
      </c>
      <c r="J152" s="18" t="str">
        <f>ADP!AO152</f>
        <v>Y</v>
      </c>
      <c r="R152" t="e">
        <f>ADP!AC152</f>
        <v>#N/A</v>
      </c>
      <c r="S152" t="e">
        <f>ADP!AC152</f>
        <v>#N/A</v>
      </c>
      <c r="AC152" s="18" t="s">
        <v>1421</v>
      </c>
      <c r="AD152" s="18" t="s">
        <v>1421</v>
      </c>
    </row>
    <row r="153" spans="1:30" x14ac:dyDescent="0.2">
      <c r="A153" s="39" t="s">
        <v>1528</v>
      </c>
      <c r="B153">
        <f>ADP!P153</f>
        <v>0</v>
      </c>
      <c r="C153" s="18" t="str">
        <f>ADP!AO153</f>
        <v>Y</v>
      </c>
      <c r="D153" s="18" t="str">
        <f>ADP!AO153</f>
        <v>Y</v>
      </c>
      <c r="H153" t="str">
        <f>ADP!AO153</f>
        <v>Y</v>
      </c>
      <c r="I153" s="18" t="str">
        <f>ADP!AO153</f>
        <v>Y</v>
      </c>
      <c r="J153" s="18" t="str">
        <f>ADP!AO153</f>
        <v>Y</v>
      </c>
      <c r="R153" t="e">
        <f>ADP!AC153</f>
        <v>#N/A</v>
      </c>
      <c r="S153" t="e">
        <f>ADP!AC153</f>
        <v>#N/A</v>
      </c>
      <c r="AC153" s="18" t="s">
        <v>1421</v>
      </c>
      <c r="AD153" s="18" t="s">
        <v>1421</v>
      </c>
    </row>
    <row r="154" spans="1:30" x14ac:dyDescent="0.2">
      <c r="A154" s="39" t="s">
        <v>1528</v>
      </c>
      <c r="B154">
        <f>ADP!P154</f>
        <v>0</v>
      </c>
      <c r="C154" s="18" t="str">
        <f>ADP!AO154</f>
        <v>Y</v>
      </c>
      <c r="D154" s="18" t="str">
        <f>ADP!AO154</f>
        <v>Y</v>
      </c>
      <c r="H154" t="str">
        <f>ADP!AO154</f>
        <v>Y</v>
      </c>
      <c r="I154" s="18" t="str">
        <f>ADP!AO154</f>
        <v>Y</v>
      </c>
      <c r="J154" s="18" t="str">
        <f>ADP!AO154</f>
        <v>Y</v>
      </c>
      <c r="R154" t="e">
        <f>ADP!AC154</f>
        <v>#N/A</v>
      </c>
      <c r="S154" t="e">
        <f>ADP!AC154</f>
        <v>#N/A</v>
      </c>
      <c r="AC154" s="18" t="s">
        <v>1421</v>
      </c>
      <c r="AD154" s="18" t="s">
        <v>1421</v>
      </c>
    </row>
    <row r="155" spans="1:30" x14ac:dyDescent="0.2">
      <c r="A155" s="39" t="s">
        <v>1528</v>
      </c>
      <c r="B155">
        <f>ADP!P155</f>
        <v>0</v>
      </c>
      <c r="C155" s="18" t="str">
        <f>ADP!AO155</f>
        <v>Y</v>
      </c>
      <c r="D155" s="18" t="str">
        <f>ADP!AO155</f>
        <v>Y</v>
      </c>
      <c r="H155" t="str">
        <f>ADP!AO155</f>
        <v>Y</v>
      </c>
      <c r="I155" s="18" t="str">
        <f>ADP!AO155</f>
        <v>Y</v>
      </c>
      <c r="J155" s="18" t="str">
        <f>ADP!AO155</f>
        <v>Y</v>
      </c>
      <c r="R155" t="e">
        <f>ADP!AC155</f>
        <v>#N/A</v>
      </c>
      <c r="S155" t="e">
        <f>ADP!AC155</f>
        <v>#N/A</v>
      </c>
      <c r="AC155" s="18" t="s">
        <v>1421</v>
      </c>
      <c r="AD155" s="18" t="s">
        <v>1421</v>
      </c>
    </row>
    <row r="156" spans="1:30" x14ac:dyDescent="0.2">
      <c r="A156" s="39" t="s">
        <v>1528</v>
      </c>
      <c r="B156">
        <f>ADP!P156</f>
        <v>0</v>
      </c>
      <c r="C156" s="18" t="str">
        <f>ADP!AO156</f>
        <v>Y</v>
      </c>
      <c r="D156" s="18" t="str">
        <f>ADP!AO156</f>
        <v>Y</v>
      </c>
      <c r="H156" t="str">
        <f>ADP!AO156</f>
        <v>Y</v>
      </c>
      <c r="I156" s="18" t="str">
        <f>ADP!AO156</f>
        <v>Y</v>
      </c>
      <c r="J156" s="18" t="str">
        <f>ADP!AO156</f>
        <v>Y</v>
      </c>
      <c r="R156" t="e">
        <f>ADP!AC156</f>
        <v>#N/A</v>
      </c>
      <c r="S156" t="e">
        <f>ADP!AC156</f>
        <v>#N/A</v>
      </c>
      <c r="AC156" s="18" t="s">
        <v>1421</v>
      </c>
      <c r="AD156" s="18" t="s">
        <v>1421</v>
      </c>
    </row>
    <row r="157" spans="1:30" x14ac:dyDescent="0.2">
      <c r="A157" s="39" t="s">
        <v>1528</v>
      </c>
      <c r="B157">
        <f>ADP!P157</f>
        <v>0</v>
      </c>
      <c r="C157" s="18" t="str">
        <f>ADP!AO157</f>
        <v>Y</v>
      </c>
      <c r="D157" s="18" t="str">
        <f>ADP!AO157</f>
        <v>Y</v>
      </c>
      <c r="H157" t="str">
        <f>ADP!AO157</f>
        <v>Y</v>
      </c>
      <c r="I157" s="18" t="str">
        <f>ADP!AO157</f>
        <v>Y</v>
      </c>
      <c r="J157" s="18" t="str">
        <f>ADP!AO157</f>
        <v>Y</v>
      </c>
      <c r="R157" t="e">
        <f>ADP!AC157</f>
        <v>#N/A</v>
      </c>
      <c r="S157" t="e">
        <f>ADP!AC157</f>
        <v>#N/A</v>
      </c>
      <c r="AC157" s="18" t="s">
        <v>1421</v>
      </c>
      <c r="AD157" s="18" t="s">
        <v>1421</v>
      </c>
    </row>
    <row r="158" spans="1:30" x14ac:dyDescent="0.2">
      <c r="A158" s="39" t="s">
        <v>1528</v>
      </c>
      <c r="B158">
        <f>ADP!P158</f>
        <v>0</v>
      </c>
      <c r="C158" s="18" t="str">
        <f>ADP!AO158</f>
        <v>Y</v>
      </c>
      <c r="D158" s="18" t="str">
        <f>ADP!AO158</f>
        <v>Y</v>
      </c>
      <c r="H158" t="str">
        <f>ADP!AO158</f>
        <v>Y</v>
      </c>
      <c r="I158" s="18" t="str">
        <f>ADP!AO158</f>
        <v>Y</v>
      </c>
      <c r="J158" s="18" t="str">
        <f>ADP!AO158</f>
        <v>Y</v>
      </c>
      <c r="R158" t="e">
        <f>ADP!AC158</f>
        <v>#N/A</v>
      </c>
      <c r="S158" t="e">
        <f>ADP!AC158</f>
        <v>#N/A</v>
      </c>
      <c r="AC158" s="18" t="s">
        <v>1421</v>
      </c>
      <c r="AD158" s="18" t="s">
        <v>1421</v>
      </c>
    </row>
    <row r="159" spans="1:30" x14ac:dyDescent="0.2">
      <c r="A159" s="39" t="s">
        <v>1528</v>
      </c>
      <c r="B159">
        <f>ADP!P159</f>
        <v>0</v>
      </c>
      <c r="C159" s="18" t="str">
        <f>ADP!AO159</f>
        <v>Y</v>
      </c>
      <c r="D159" s="18" t="str">
        <f>ADP!AO159</f>
        <v>Y</v>
      </c>
      <c r="H159" t="str">
        <f>ADP!AO159</f>
        <v>Y</v>
      </c>
      <c r="I159" s="18" t="str">
        <f>ADP!AO159</f>
        <v>Y</v>
      </c>
      <c r="J159" s="18" t="str">
        <f>ADP!AO159</f>
        <v>Y</v>
      </c>
      <c r="R159" t="e">
        <f>ADP!AC159</f>
        <v>#N/A</v>
      </c>
      <c r="S159" t="e">
        <f>ADP!AC159</f>
        <v>#N/A</v>
      </c>
      <c r="AC159" s="18" t="s">
        <v>1421</v>
      </c>
      <c r="AD159" s="18" t="s">
        <v>1421</v>
      </c>
    </row>
    <row r="160" spans="1:30" x14ac:dyDescent="0.2">
      <c r="A160" s="39" t="s">
        <v>1528</v>
      </c>
      <c r="B160">
        <f>ADP!P160</f>
        <v>0</v>
      </c>
      <c r="C160" s="18" t="str">
        <f>ADP!AO160</f>
        <v>Y</v>
      </c>
      <c r="D160" s="18" t="str">
        <f>ADP!AO160</f>
        <v>Y</v>
      </c>
      <c r="H160" t="str">
        <f>ADP!AO160</f>
        <v>Y</v>
      </c>
      <c r="I160" s="18" t="str">
        <f>ADP!AO160</f>
        <v>Y</v>
      </c>
      <c r="J160" s="18" t="str">
        <f>ADP!AO160</f>
        <v>Y</v>
      </c>
      <c r="R160" t="e">
        <f>ADP!AC160</f>
        <v>#N/A</v>
      </c>
      <c r="S160" t="e">
        <f>ADP!AC160</f>
        <v>#N/A</v>
      </c>
      <c r="AC160" s="18" t="s">
        <v>1421</v>
      </c>
      <c r="AD160" s="18" t="s">
        <v>1421</v>
      </c>
    </row>
    <row r="161" spans="1:30" x14ac:dyDescent="0.2">
      <c r="A161" s="39" t="s">
        <v>1528</v>
      </c>
      <c r="B161">
        <f>ADP!P161</f>
        <v>0</v>
      </c>
      <c r="C161" s="18" t="str">
        <f>ADP!AO161</f>
        <v>Y</v>
      </c>
      <c r="D161" s="18" t="str">
        <f>ADP!AO161</f>
        <v>Y</v>
      </c>
      <c r="H161" t="str">
        <f>ADP!AO161</f>
        <v>Y</v>
      </c>
      <c r="I161" s="18" t="str">
        <f>ADP!AO161</f>
        <v>Y</v>
      </c>
      <c r="J161" s="18" t="str">
        <f>ADP!AO161</f>
        <v>Y</v>
      </c>
      <c r="R161" t="e">
        <f>ADP!AC161</f>
        <v>#N/A</v>
      </c>
      <c r="S161" t="e">
        <f>ADP!AC161</f>
        <v>#N/A</v>
      </c>
      <c r="AC161" s="18" t="s">
        <v>1421</v>
      </c>
      <c r="AD161" s="18" t="s">
        <v>1421</v>
      </c>
    </row>
    <row r="162" spans="1:30" x14ac:dyDescent="0.2">
      <c r="A162" s="39" t="s">
        <v>1528</v>
      </c>
      <c r="B162">
        <f>ADP!P162</f>
        <v>0</v>
      </c>
      <c r="C162" s="18" t="str">
        <f>ADP!AO162</f>
        <v>Y</v>
      </c>
      <c r="D162" s="18" t="str">
        <f>ADP!AO162</f>
        <v>Y</v>
      </c>
      <c r="H162" t="str">
        <f>ADP!AO162</f>
        <v>Y</v>
      </c>
      <c r="I162" s="18" t="str">
        <f>ADP!AO162</f>
        <v>Y</v>
      </c>
      <c r="J162" s="18" t="str">
        <f>ADP!AO162</f>
        <v>Y</v>
      </c>
      <c r="R162" t="e">
        <f>ADP!AC162</f>
        <v>#N/A</v>
      </c>
      <c r="S162" t="e">
        <f>ADP!AC162</f>
        <v>#N/A</v>
      </c>
      <c r="AC162" s="18" t="s">
        <v>1421</v>
      </c>
      <c r="AD162" s="18" t="s">
        <v>1421</v>
      </c>
    </row>
    <row r="163" spans="1:30" x14ac:dyDescent="0.2">
      <c r="A163" s="39" t="s">
        <v>1528</v>
      </c>
      <c r="B163">
        <f>ADP!P163</f>
        <v>0</v>
      </c>
      <c r="C163" s="18" t="str">
        <f>ADP!AO163</f>
        <v>Y</v>
      </c>
      <c r="D163" s="18" t="str">
        <f>ADP!AO163</f>
        <v>Y</v>
      </c>
      <c r="H163" t="str">
        <f>ADP!AO163</f>
        <v>Y</v>
      </c>
      <c r="I163" s="18" t="str">
        <f>ADP!AO163</f>
        <v>Y</v>
      </c>
      <c r="J163" s="18" t="str">
        <f>ADP!AO163</f>
        <v>Y</v>
      </c>
      <c r="R163" t="e">
        <f>ADP!AC163</f>
        <v>#N/A</v>
      </c>
      <c r="S163" t="e">
        <f>ADP!AC163</f>
        <v>#N/A</v>
      </c>
      <c r="AC163" s="18" t="s">
        <v>1421</v>
      </c>
      <c r="AD163" s="18" t="s">
        <v>1421</v>
      </c>
    </row>
    <row r="164" spans="1:30" x14ac:dyDescent="0.2">
      <c r="A164" s="39" t="s">
        <v>1528</v>
      </c>
      <c r="B164">
        <f>ADP!P164</f>
        <v>0</v>
      </c>
      <c r="C164" s="18" t="str">
        <f>ADP!AO164</f>
        <v>Y</v>
      </c>
      <c r="D164" s="18" t="str">
        <f>ADP!AO164</f>
        <v>Y</v>
      </c>
      <c r="H164" t="str">
        <f>ADP!AO164</f>
        <v>Y</v>
      </c>
      <c r="I164" s="18" t="str">
        <f>ADP!AO164</f>
        <v>Y</v>
      </c>
      <c r="J164" s="18" t="str">
        <f>ADP!AO164</f>
        <v>Y</v>
      </c>
      <c r="R164" t="e">
        <f>ADP!AC164</f>
        <v>#N/A</v>
      </c>
      <c r="S164" t="e">
        <f>ADP!AC164</f>
        <v>#N/A</v>
      </c>
      <c r="AC164" s="18" t="s">
        <v>1421</v>
      </c>
      <c r="AD164" s="18" t="s">
        <v>1421</v>
      </c>
    </row>
    <row r="165" spans="1:30" x14ac:dyDescent="0.2">
      <c r="A165" s="39" t="s">
        <v>1528</v>
      </c>
      <c r="B165">
        <f>ADP!P165</f>
        <v>0</v>
      </c>
      <c r="C165" s="18" t="str">
        <f>ADP!AO165</f>
        <v>Y</v>
      </c>
      <c r="D165" s="18" t="str">
        <f>ADP!AO165</f>
        <v>Y</v>
      </c>
      <c r="H165" t="str">
        <f>ADP!AO165</f>
        <v>Y</v>
      </c>
      <c r="I165" s="18" t="str">
        <f>ADP!AO165</f>
        <v>Y</v>
      </c>
      <c r="J165" s="18" t="str">
        <f>ADP!AO165</f>
        <v>Y</v>
      </c>
      <c r="R165" t="e">
        <f>ADP!AC165</f>
        <v>#N/A</v>
      </c>
      <c r="S165" t="e">
        <f>ADP!AC165</f>
        <v>#N/A</v>
      </c>
      <c r="AC165" s="18" t="s">
        <v>1421</v>
      </c>
      <c r="AD165" s="18" t="s">
        <v>1421</v>
      </c>
    </row>
    <row r="166" spans="1:30" x14ac:dyDescent="0.2">
      <c r="A166" s="39" t="s">
        <v>1528</v>
      </c>
      <c r="B166">
        <f>ADP!P166</f>
        <v>0</v>
      </c>
      <c r="C166" s="18" t="str">
        <f>ADP!AO166</f>
        <v>Y</v>
      </c>
      <c r="D166" s="18" t="str">
        <f>ADP!AO166</f>
        <v>Y</v>
      </c>
      <c r="H166" t="str">
        <f>ADP!AO166</f>
        <v>Y</v>
      </c>
      <c r="I166" s="18" t="str">
        <f>ADP!AO166</f>
        <v>Y</v>
      </c>
      <c r="J166" s="18" t="str">
        <f>ADP!AO166</f>
        <v>Y</v>
      </c>
      <c r="R166" t="e">
        <f>ADP!AC166</f>
        <v>#N/A</v>
      </c>
      <c r="S166" t="e">
        <f>ADP!AC166</f>
        <v>#N/A</v>
      </c>
      <c r="AC166" s="18" t="s">
        <v>1421</v>
      </c>
      <c r="AD166" s="18" t="s">
        <v>1421</v>
      </c>
    </row>
    <row r="167" spans="1:30" x14ac:dyDescent="0.2">
      <c r="A167" s="39" t="s">
        <v>1528</v>
      </c>
      <c r="B167">
        <f>ADP!P167</f>
        <v>0</v>
      </c>
      <c r="C167" s="18" t="str">
        <f>ADP!AO167</f>
        <v>Y</v>
      </c>
      <c r="D167" s="18" t="str">
        <f>ADP!AO167</f>
        <v>Y</v>
      </c>
      <c r="H167" t="str">
        <f>ADP!AO167</f>
        <v>Y</v>
      </c>
      <c r="I167" s="18" t="str">
        <f>ADP!AO167</f>
        <v>Y</v>
      </c>
      <c r="J167" s="18" t="str">
        <f>ADP!AO167</f>
        <v>Y</v>
      </c>
      <c r="R167" t="e">
        <f>ADP!AC167</f>
        <v>#N/A</v>
      </c>
      <c r="S167" t="e">
        <f>ADP!AC167</f>
        <v>#N/A</v>
      </c>
      <c r="AC167" s="18" t="s">
        <v>1421</v>
      </c>
      <c r="AD167" s="18" t="s">
        <v>1421</v>
      </c>
    </row>
    <row r="168" spans="1:30" x14ac:dyDescent="0.2">
      <c r="A168" s="39" t="s">
        <v>1528</v>
      </c>
      <c r="B168">
        <f>ADP!P168</f>
        <v>0</v>
      </c>
      <c r="C168" s="18" t="str">
        <f>ADP!AO168</f>
        <v>Y</v>
      </c>
      <c r="D168" s="18" t="str">
        <f>ADP!AO168</f>
        <v>Y</v>
      </c>
      <c r="H168" t="str">
        <f>ADP!AO168</f>
        <v>Y</v>
      </c>
      <c r="I168" s="18" t="str">
        <f>ADP!AO168</f>
        <v>Y</v>
      </c>
      <c r="J168" s="18" t="str">
        <f>ADP!AO168</f>
        <v>Y</v>
      </c>
      <c r="R168" t="e">
        <f>ADP!AC168</f>
        <v>#N/A</v>
      </c>
      <c r="S168" t="e">
        <f>ADP!AC168</f>
        <v>#N/A</v>
      </c>
      <c r="AC168" s="18" t="s">
        <v>1421</v>
      </c>
      <c r="AD168" s="18" t="s">
        <v>1421</v>
      </c>
    </row>
    <row r="169" spans="1:30" x14ac:dyDescent="0.2">
      <c r="A169" s="39" t="s">
        <v>1528</v>
      </c>
      <c r="B169">
        <f>ADP!P169</f>
        <v>0</v>
      </c>
      <c r="C169" s="18" t="str">
        <f>ADP!AO169</f>
        <v>Y</v>
      </c>
      <c r="D169" s="18" t="str">
        <f>ADP!AO169</f>
        <v>Y</v>
      </c>
      <c r="H169" t="str">
        <f>ADP!AO169</f>
        <v>Y</v>
      </c>
      <c r="I169" s="18" t="str">
        <f>ADP!AO169</f>
        <v>Y</v>
      </c>
      <c r="J169" s="18" t="str">
        <f>ADP!AO169</f>
        <v>Y</v>
      </c>
      <c r="R169" t="e">
        <f>ADP!AC169</f>
        <v>#N/A</v>
      </c>
      <c r="S169" t="e">
        <f>ADP!AC169</f>
        <v>#N/A</v>
      </c>
      <c r="AC169" s="18" t="s">
        <v>1421</v>
      </c>
      <c r="AD169" s="18" t="s">
        <v>1421</v>
      </c>
    </row>
    <row r="170" spans="1:30" x14ac:dyDescent="0.2">
      <c r="A170" s="39"/>
      <c r="C170" s="18"/>
      <c r="D170" s="18"/>
      <c r="H170">
        <f>ADP!AO170</f>
        <v>0</v>
      </c>
      <c r="I170" s="18"/>
      <c r="J170" s="18"/>
      <c r="AC170" s="18"/>
      <c r="AD170" s="18"/>
    </row>
    <row r="171" spans="1:30" x14ac:dyDescent="0.2">
      <c r="A171" s="39"/>
      <c r="C171" s="18"/>
      <c r="D171" s="18"/>
      <c r="H171">
        <f>ADP!AO171</f>
        <v>0</v>
      </c>
      <c r="I171" s="18"/>
      <c r="J171" s="18"/>
      <c r="AC171" s="18"/>
      <c r="AD171" s="18"/>
    </row>
    <row r="172" spans="1:30" x14ac:dyDescent="0.2">
      <c r="A172" s="39"/>
      <c r="C172" s="18"/>
      <c r="D172" s="18"/>
      <c r="H172">
        <f>ADP!AO172</f>
        <v>0</v>
      </c>
      <c r="I172" s="18"/>
      <c r="J172" s="18"/>
      <c r="AC172" s="18"/>
      <c r="AD172" s="18"/>
    </row>
    <row r="173" spans="1:30" x14ac:dyDescent="0.2">
      <c r="A173" s="39"/>
      <c r="C173" s="18"/>
      <c r="D173" s="18"/>
      <c r="H173">
        <f>ADP!AO173</f>
        <v>0</v>
      </c>
      <c r="I173" s="18"/>
      <c r="J173" s="18"/>
      <c r="AC173" s="18"/>
      <c r="AD173" s="18"/>
    </row>
    <row r="174" spans="1:30" x14ac:dyDescent="0.2">
      <c r="A174" s="39"/>
      <c r="C174" s="18"/>
      <c r="D174" s="18"/>
      <c r="H174">
        <f>ADP!AO174</f>
        <v>0</v>
      </c>
      <c r="I174" s="18"/>
      <c r="J174" s="18"/>
      <c r="AC174" s="18"/>
      <c r="AD174" s="18"/>
    </row>
    <row r="175" spans="1:30" x14ac:dyDescent="0.2">
      <c r="A175" s="39"/>
      <c r="C175" s="18"/>
      <c r="D175" s="18"/>
      <c r="H175">
        <f>ADP!AO175</f>
        <v>0</v>
      </c>
      <c r="I175" s="18"/>
      <c r="J175" s="18"/>
      <c r="AC175" s="18"/>
      <c r="AD175" s="18"/>
    </row>
    <row r="176" spans="1:30" x14ac:dyDescent="0.2">
      <c r="A176" s="39"/>
      <c r="C176" s="18"/>
      <c r="D176" s="18"/>
      <c r="H176">
        <f>ADP!AO176</f>
        <v>0</v>
      </c>
      <c r="I176" s="18"/>
      <c r="J176" s="18"/>
      <c r="AC176" s="18"/>
      <c r="AD176" s="18"/>
    </row>
    <row r="177" spans="1:30" x14ac:dyDescent="0.2">
      <c r="A177" s="39"/>
      <c r="C177" s="18"/>
      <c r="D177" s="18"/>
      <c r="H177">
        <f>ADP!AO177</f>
        <v>0</v>
      </c>
      <c r="I177" s="18"/>
      <c r="J177" s="18"/>
      <c r="AC177" s="18"/>
      <c r="AD177" s="18"/>
    </row>
    <row r="178" spans="1:30" x14ac:dyDescent="0.2">
      <c r="A178" s="39"/>
      <c r="C178" s="18"/>
      <c r="D178" s="18"/>
      <c r="H178">
        <f>ADP!AO178</f>
        <v>0</v>
      </c>
      <c r="I178" s="18"/>
      <c r="J178" s="18"/>
      <c r="AC178" s="18"/>
      <c r="AD178" s="18"/>
    </row>
    <row r="179" spans="1:30" x14ac:dyDescent="0.2">
      <c r="A179" s="39"/>
      <c r="C179" s="18"/>
      <c r="D179" s="18"/>
      <c r="H179">
        <f>ADP!AO179</f>
        <v>0</v>
      </c>
      <c r="I179" s="18"/>
      <c r="J179" s="18"/>
      <c r="AC179" s="18"/>
      <c r="AD179" s="18"/>
    </row>
    <row r="180" spans="1:30" x14ac:dyDescent="0.2">
      <c r="A180" s="39"/>
      <c r="C180" s="18"/>
      <c r="D180" s="18"/>
      <c r="H180">
        <f>ADP!AO180</f>
        <v>0</v>
      </c>
      <c r="I180" s="18"/>
      <c r="J180" s="18"/>
      <c r="AC180" s="18"/>
      <c r="AD180" s="18"/>
    </row>
    <row r="181" spans="1:30" x14ac:dyDescent="0.2">
      <c r="A181" s="39"/>
      <c r="C181" s="18"/>
      <c r="D181" s="18"/>
      <c r="H181">
        <f>ADP!AO181</f>
        <v>0</v>
      </c>
      <c r="I181" s="18"/>
      <c r="J181" s="18"/>
      <c r="AC181" s="18"/>
      <c r="AD181" s="18"/>
    </row>
    <row r="182" spans="1:30" x14ac:dyDescent="0.2">
      <c r="A182" s="39"/>
      <c r="C182" s="18"/>
      <c r="D182" s="18"/>
      <c r="H182">
        <f>ADP!AO182</f>
        <v>0</v>
      </c>
      <c r="I182" s="18"/>
      <c r="J182" s="18"/>
      <c r="AC182" s="18"/>
      <c r="AD182" s="18"/>
    </row>
    <row r="183" spans="1:30" x14ac:dyDescent="0.2">
      <c r="A183" s="39"/>
      <c r="C183" s="18"/>
      <c r="D183" s="18"/>
      <c r="H183">
        <f>ADP!AO183</f>
        <v>0</v>
      </c>
      <c r="I183" s="18"/>
      <c r="J183" s="18"/>
      <c r="AC183" s="18"/>
      <c r="AD183" s="18"/>
    </row>
    <row r="184" spans="1:30" x14ac:dyDescent="0.2">
      <c r="A184" s="39"/>
      <c r="C184" s="18"/>
      <c r="D184" s="18"/>
      <c r="H184">
        <f>ADP!AO184</f>
        <v>0</v>
      </c>
      <c r="I184" s="18"/>
      <c r="J184" s="18"/>
      <c r="AC184" s="18"/>
      <c r="AD184" s="18"/>
    </row>
    <row r="185" spans="1:30" x14ac:dyDescent="0.2">
      <c r="A185" s="39"/>
      <c r="C185" s="18"/>
      <c r="D185" s="18"/>
      <c r="H185">
        <f>ADP!AO185</f>
        <v>0</v>
      </c>
      <c r="I185" s="18"/>
      <c r="J185" s="18"/>
      <c r="AC185" s="18"/>
      <c r="AD185" s="18"/>
    </row>
    <row r="186" spans="1:30" x14ac:dyDescent="0.2">
      <c r="A186" s="39"/>
      <c r="C186" s="18"/>
      <c r="D186" s="18"/>
      <c r="H186">
        <f>ADP!AO186</f>
        <v>0</v>
      </c>
      <c r="I186" s="18"/>
      <c r="J186" s="18"/>
      <c r="AC186" s="18"/>
      <c r="AD186" s="18"/>
    </row>
    <row r="187" spans="1:30" x14ac:dyDescent="0.2">
      <c r="A187" s="39"/>
      <c r="C187" s="18"/>
      <c r="D187" s="18"/>
      <c r="H187">
        <f>ADP!AO187</f>
        <v>0</v>
      </c>
      <c r="I187" s="18"/>
      <c r="J187" s="18"/>
      <c r="AC187" s="18"/>
      <c r="AD187" s="18"/>
    </row>
    <row r="188" spans="1:30" x14ac:dyDescent="0.2">
      <c r="A188" s="39"/>
      <c r="C188" s="18"/>
      <c r="D188" s="18"/>
      <c r="H188">
        <f>ADP!AO188</f>
        <v>0</v>
      </c>
      <c r="I188" s="18"/>
      <c r="J188" s="18"/>
      <c r="AC188" s="18"/>
      <c r="AD188" s="18"/>
    </row>
    <row r="189" spans="1:30" x14ac:dyDescent="0.2">
      <c r="A189" s="39"/>
      <c r="C189" s="18"/>
      <c r="D189" s="18"/>
      <c r="H189">
        <f>ADP!AO189</f>
        <v>0</v>
      </c>
      <c r="I189" s="18"/>
      <c r="J189" s="18"/>
      <c r="AC189" s="18"/>
      <c r="AD189" s="18"/>
    </row>
    <row r="190" spans="1:30" x14ac:dyDescent="0.2">
      <c r="A190" s="39"/>
      <c r="C190" s="18"/>
      <c r="D190" s="18"/>
      <c r="H190">
        <f>ADP!AO190</f>
        <v>0</v>
      </c>
      <c r="I190" s="18"/>
      <c r="J190" s="18"/>
      <c r="AC190" s="18"/>
      <c r="AD190" s="18"/>
    </row>
    <row r="191" spans="1:30" x14ac:dyDescent="0.2">
      <c r="A191" s="39"/>
      <c r="C191" s="18"/>
      <c r="D191" s="18"/>
      <c r="H191">
        <f>ADP!AO191</f>
        <v>0</v>
      </c>
      <c r="I191" s="18"/>
      <c r="J191" s="18"/>
      <c r="AC191" s="18"/>
      <c r="AD191" s="18"/>
    </row>
    <row r="192" spans="1:30" x14ac:dyDescent="0.2">
      <c r="A192" s="39"/>
      <c r="C192" s="18"/>
      <c r="D192" s="18"/>
      <c r="H192">
        <f>ADP!AO192</f>
        <v>0</v>
      </c>
      <c r="I192" s="18"/>
      <c r="J192" s="18"/>
      <c r="AC192" s="18"/>
      <c r="AD192" s="18"/>
    </row>
    <row r="193" spans="1:30" x14ac:dyDescent="0.2">
      <c r="A193" s="39"/>
      <c r="C193" s="18"/>
      <c r="D193" s="18"/>
      <c r="H193">
        <f>ADP!AO193</f>
        <v>0</v>
      </c>
      <c r="I193" s="18"/>
      <c r="J193" s="18"/>
      <c r="AC193" s="18"/>
      <c r="AD193" s="18"/>
    </row>
    <row r="194" spans="1:30" x14ac:dyDescent="0.2">
      <c r="A194" s="39"/>
      <c r="C194" s="18"/>
      <c r="D194" s="18"/>
      <c r="H194">
        <f>ADP!AO194</f>
        <v>0</v>
      </c>
      <c r="I194" s="18"/>
      <c r="J194" s="18"/>
      <c r="AC194" s="18"/>
      <c r="AD194" s="18"/>
    </row>
    <row r="195" spans="1:30" x14ac:dyDescent="0.2">
      <c r="A195" s="39"/>
      <c r="C195" s="18"/>
      <c r="D195" s="18"/>
      <c r="H195">
        <f>ADP!AO195</f>
        <v>0</v>
      </c>
      <c r="I195" s="18"/>
      <c r="J195" s="18"/>
      <c r="AC195" s="18"/>
      <c r="AD195" s="18"/>
    </row>
    <row r="196" spans="1:30" x14ac:dyDescent="0.2">
      <c r="A196" s="39"/>
      <c r="C196" s="18"/>
      <c r="D196" s="18"/>
      <c r="H196">
        <f>ADP!AO196</f>
        <v>0</v>
      </c>
      <c r="I196" s="18"/>
      <c r="J196" s="18"/>
      <c r="AC196" s="18"/>
      <c r="AD196" s="18"/>
    </row>
    <row r="197" spans="1:30" x14ac:dyDescent="0.2">
      <c r="A197" s="39"/>
      <c r="C197" s="18"/>
      <c r="D197" s="18"/>
      <c r="H197">
        <f>ADP!AO197</f>
        <v>0</v>
      </c>
      <c r="I197" s="18"/>
      <c r="J197" s="18"/>
      <c r="AC197" s="18"/>
      <c r="AD197" s="18"/>
    </row>
    <row r="198" spans="1:30" x14ac:dyDescent="0.2">
      <c r="A198" s="39"/>
      <c r="C198" s="18"/>
      <c r="D198" s="18"/>
      <c r="H198">
        <f>ADP!AO198</f>
        <v>0</v>
      </c>
      <c r="I198" s="18"/>
      <c r="J198" s="18"/>
      <c r="AC198" s="18"/>
      <c r="AD198" s="18"/>
    </row>
    <row r="199" spans="1:30" x14ac:dyDescent="0.2">
      <c r="A199" s="39"/>
      <c r="C199" s="18"/>
      <c r="D199" s="18"/>
      <c r="H199">
        <f>ADP!AO199</f>
        <v>0</v>
      </c>
      <c r="I199" s="18"/>
      <c r="J199" s="18"/>
      <c r="AC199" s="18"/>
      <c r="AD199" s="18"/>
    </row>
    <row r="200" spans="1:30" x14ac:dyDescent="0.2">
      <c r="A200" s="39"/>
      <c r="C200" s="18"/>
      <c r="D200" s="18"/>
      <c r="H200">
        <f>ADP!AO200</f>
        <v>0</v>
      </c>
      <c r="I200" s="18"/>
      <c r="J200" s="18"/>
      <c r="AC200" s="18"/>
      <c r="AD200" s="18"/>
    </row>
    <row r="201" spans="1:30" x14ac:dyDescent="0.2">
      <c r="A201" s="39"/>
      <c r="C201" s="18"/>
      <c r="D201" s="18"/>
      <c r="H201">
        <f>ADP!AO201</f>
        <v>0</v>
      </c>
      <c r="I201" s="18"/>
      <c r="J201" s="18"/>
      <c r="AC201" s="18"/>
      <c r="AD201" s="18"/>
    </row>
    <row r="202" spans="1:30" x14ac:dyDescent="0.2">
      <c r="A202" s="39"/>
      <c r="C202" s="18"/>
      <c r="D202" s="18"/>
      <c r="H202">
        <f>ADP!AO202</f>
        <v>0</v>
      </c>
      <c r="I202" s="18"/>
      <c r="J202" s="18"/>
      <c r="AC202" s="18"/>
      <c r="AD202" s="18"/>
    </row>
    <row r="203" spans="1:30" x14ac:dyDescent="0.2">
      <c r="A203" s="39"/>
      <c r="C203" s="18"/>
      <c r="D203" s="18"/>
      <c r="H203">
        <f>ADP!AO203</f>
        <v>0</v>
      </c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3" tint="0.249977111117893"/>
  </sheetPr>
  <dimension ref="A1:Q200"/>
  <sheetViews>
    <sheetView topLeftCell="A2" workbookViewId="0">
      <selection activeCell="B3" sqref="B3"/>
    </sheetView>
  </sheetViews>
  <sheetFormatPr baseColWidth="10" defaultRowHeight="15" x14ac:dyDescent="0.2"/>
  <sheetData>
    <row r="1" spans="1:17" x14ac:dyDescent="0.2">
      <c r="A1" s="47" t="s">
        <v>1433</v>
      </c>
      <c r="B1" s="63"/>
      <c r="C1" s="47"/>
      <c r="D1" s="47"/>
    </row>
    <row r="2" spans="1:17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 x14ac:dyDescent="0.2">
      <c r="A3" s="28" t="s">
        <v>1877</v>
      </c>
      <c r="B3" s="28" t="s">
        <v>1878</v>
      </c>
      <c r="C3" s="28" t="s">
        <v>1435</v>
      </c>
      <c r="D3" s="29" t="s">
        <v>1879</v>
      </c>
      <c r="E3" s="29" t="s">
        <v>1880</v>
      </c>
      <c r="F3" s="29" t="s">
        <v>1881</v>
      </c>
      <c r="G3" s="29" t="s">
        <v>1882</v>
      </c>
      <c r="H3" s="29" t="s">
        <v>1883</v>
      </c>
      <c r="I3" s="29" t="s">
        <v>1884</v>
      </c>
      <c r="J3" s="29" t="s">
        <v>1885</v>
      </c>
      <c r="K3" s="29" t="s">
        <v>1886</v>
      </c>
      <c r="L3" s="29" t="s">
        <v>1887</v>
      </c>
      <c r="M3" s="29" t="s">
        <v>1888</v>
      </c>
      <c r="N3" s="29" t="s">
        <v>1889</v>
      </c>
      <c r="O3" s="81" t="s">
        <v>1890</v>
      </c>
      <c r="P3" s="29" t="s">
        <v>1891</v>
      </c>
      <c r="Q3" s="68" t="s">
        <v>3024</v>
      </c>
    </row>
    <row r="4" spans="1:17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 x14ac:dyDescent="0.2">
      <c r="A5" t="str">
        <f>IF(ADP!$AO5="Y","700","")</f>
        <v/>
      </c>
      <c r="B5" t="str">
        <f>IF(ADP!$AO5="Y","PMT","")</f>
        <v/>
      </c>
      <c r="C5" t="str">
        <f>IF(ADP!$AO5="Y",ADP!P5,"")</f>
        <v/>
      </c>
      <c r="O5" t="str">
        <f>IF(ADP!$AO5="Y",ADP!AH5,"")</f>
        <v/>
      </c>
      <c r="P5" t="str">
        <f>IF(ADP!$AO5="Y",ADP!AK5,"")</f>
        <v/>
      </c>
    </row>
    <row r="6" spans="1:17" x14ac:dyDescent="0.2">
      <c r="A6" t="str">
        <f>IF(ADP!$AO6="Y","700","")</f>
        <v/>
      </c>
      <c r="B6" t="str">
        <f>IF(ADP!$AO6="Y","PMT","")</f>
        <v/>
      </c>
      <c r="C6" t="str">
        <f>IF(ADP!$AO6="Y",ADP!P6,"")</f>
        <v/>
      </c>
      <c r="O6" t="str">
        <f>IF(ADP!$AO6="Y",ADP!AH6,"")</f>
        <v/>
      </c>
      <c r="P6" t="str">
        <f>IF(ADP!$AO6="Y",ADP!AK6,"")</f>
        <v/>
      </c>
    </row>
    <row r="7" spans="1:17" x14ac:dyDescent="0.2">
      <c r="A7" t="str">
        <f>IF(ADP!$AO7="Y","700","")</f>
        <v>700</v>
      </c>
      <c r="B7" t="str">
        <f>IF(ADP!$AO7="Y","PMT","")</f>
        <v>PMT</v>
      </c>
      <c r="C7" t="str">
        <f>IF(ADP!$AO7="Y",ADP!P7,"")</f>
        <v>213226</v>
      </c>
      <c r="O7">
        <f>IF(ADP!$AO7="Y",ADP!AH7,"")</f>
        <v>25000</v>
      </c>
      <c r="P7" t="str">
        <f>IF(ADP!$AO7="Y",ADP!AK7,"")</f>
        <v>USD</v>
      </c>
    </row>
    <row r="8" spans="1:17" x14ac:dyDescent="0.2">
      <c r="A8" t="str">
        <f>IF(ADP!$AO8="Y","700","")</f>
        <v>700</v>
      </c>
      <c r="B8" t="str">
        <f>IF(ADP!$AO8="Y","PMT","")</f>
        <v>PMT</v>
      </c>
      <c r="C8" t="str">
        <f>IF(ADP!$AO8="Y",ADP!P8,"")</f>
        <v>210892</v>
      </c>
      <c r="O8">
        <f>IF(ADP!$AO8="Y",ADP!AH8,"")</f>
        <v>25000</v>
      </c>
      <c r="P8" t="str">
        <f>IF(ADP!$AO8="Y",ADP!AK8,"")</f>
        <v>USD</v>
      </c>
    </row>
    <row r="9" spans="1:17" x14ac:dyDescent="0.2">
      <c r="A9" t="str">
        <f>IF(ADP!$AO9="Y","700","")</f>
        <v/>
      </c>
      <c r="B9" t="str">
        <f>IF(ADP!$AO9="Y","PMT","")</f>
        <v/>
      </c>
      <c r="C9" t="str">
        <f>IF(ADP!$AO9="Y",ADP!P9,"")</f>
        <v/>
      </c>
      <c r="O9" t="str">
        <f>IF(ADP!$AO9="Y",ADP!AH9,"")</f>
        <v/>
      </c>
      <c r="P9" t="str">
        <f>IF(ADP!$AO9="Y",ADP!AK9,"")</f>
        <v/>
      </c>
    </row>
    <row r="10" spans="1:17" x14ac:dyDescent="0.2">
      <c r="A10" t="str">
        <f>IF(ADP!$AO10="Y","700","")</f>
        <v>700</v>
      </c>
      <c r="B10" t="str">
        <f>IF(ADP!$AO10="Y","PMT","")</f>
        <v>PMT</v>
      </c>
      <c r="C10" t="str">
        <f>IF(ADP!$AO10="Y",ADP!P10,"")</f>
        <v>201688</v>
      </c>
      <c r="O10">
        <f>IF(ADP!$AO10="Y",ADP!AH10,"")</f>
        <v>0</v>
      </c>
      <c r="P10" t="str">
        <f>IF(ADP!$AO10="Y",ADP!AK10,"")</f>
        <v>USD</v>
      </c>
    </row>
    <row r="11" spans="1:17" x14ac:dyDescent="0.2">
      <c r="A11" t="str">
        <f>IF(ADP!$AO11="Y","700","")</f>
        <v>700</v>
      </c>
      <c r="B11" t="str">
        <f>IF(ADP!$AO11="Y","PMT","")</f>
        <v>PMT</v>
      </c>
      <c r="C11" t="str">
        <f>IF(ADP!$AO11="Y",ADP!P11,"")</f>
        <v>902688</v>
      </c>
      <c r="O11">
        <f>IF(ADP!$AO11="Y",ADP!AH11,"")</f>
        <v>25000</v>
      </c>
      <c r="P11" t="str">
        <f>IF(ADP!$AO11="Y",ADP!AK11,"")</f>
        <v>USD</v>
      </c>
    </row>
    <row r="12" spans="1:17" x14ac:dyDescent="0.2">
      <c r="A12" t="str">
        <f>IF(ADP!$AO12="Y","700","")</f>
        <v>700</v>
      </c>
      <c r="B12" t="str">
        <f>IF(ADP!$AO12="Y","PMT","")</f>
        <v>PMT</v>
      </c>
      <c r="C12" t="str">
        <f>IF(ADP!$AO12="Y",ADP!P12,"")</f>
        <v>207709</v>
      </c>
      <c r="O12">
        <f>IF(ADP!$AO12="Y",ADP!AH12,"")</f>
        <v>999999999.99000001</v>
      </c>
      <c r="P12" t="str">
        <f>IF(ADP!$AO12="Y",ADP!AK12,"")</f>
        <v>USD</v>
      </c>
    </row>
    <row r="13" spans="1:17" x14ac:dyDescent="0.2">
      <c r="A13" t="str">
        <f>IF(ADP!$AO13="Y","700","")</f>
        <v/>
      </c>
      <c r="B13" t="str">
        <f>IF(ADP!$AO13="Y","PMT","")</f>
        <v/>
      </c>
      <c r="C13" t="str">
        <f>IF(ADP!$AO13="Y",ADP!P13,"")</f>
        <v/>
      </c>
      <c r="O13" t="str">
        <f>IF(ADP!$AO13="Y",ADP!AH13,"")</f>
        <v/>
      </c>
      <c r="P13" t="str">
        <f>IF(ADP!$AO13="Y",ADP!AK13,"")</f>
        <v/>
      </c>
    </row>
    <row r="14" spans="1:17" x14ac:dyDescent="0.2">
      <c r="A14" t="str">
        <f>IF(ADP!$AO14="Y","700","")</f>
        <v>700</v>
      </c>
      <c r="B14" t="str">
        <f>IF(ADP!$AO14="Y","PMT","")</f>
        <v>PMT</v>
      </c>
      <c r="C14" t="str">
        <f>IF(ADP!$AO14="Y",ADP!P14,"")</f>
        <v>213037</v>
      </c>
      <c r="O14">
        <f>IF(ADP!$AO14="Y",ADP!AH14,"")</f>
        <v>100000</v>
      </c>
      <c r="P14" t="str">
        <f>IF(ADP!$AO14="Y",ADP!AK14,"")</f>
        <v>USD</v>
      </c>
    </row>
    <row r="15" spans="1:17" x14ac:dyDescent="0.2">
      <c r="A15" t="str">
        <f>IF(ADP!$AO15="Y","700","")</f>
        <v/>
      </c>
      <c r="B15" t="str">
        <f>IF(ADP!$AO15="Y","PMT","")</f>
        <v/>
      </c>
      <c r="C15" t="str">
        <f>IF(ADP!$AO15="Y",ADP!P15,"")</f>
        <v/>
      </c>
      <c r="O15" t="str">
        <f>IF(ADP!$AO15="Y",ADP!AH15,"")</f>
        <v/>
      </c>
      <c r="P15" t="str">
        <f>IF(ADP!$AO15="Y",ADP!AK15,"")</f>
        <v/>
      </c>
    </row>
    <row r="16" spans="1:17" x14ac:dyDescent="0.2">
      <c r="A16" t="str">
        <f>IF(ADP!$AO16="Y","700","")</f>
        <v/>
      </c>
      <c r="B16" t="str">
        <f>IF(ADP!$AO16="Y","PMT","")</f>
        <v/>
      </c>
      <c r="C16" t="str">
        <f>IF(ADP!$AO16="Y",ADP!P16,"")</f>
        <v/>
      </c>
      <c r="O16" t="str">
        <f>IF(ADP!$AO16="Y",ADP!AH16,"")</f>
        <v/>
      </c>
      <c r="P16" t="str">
        <f>IF(ADP!$AO16="Y",ADP!AK16,"")</f>
        <v/>
      </c>
    </row>
    <row r="17" spans="1:16" x14ac:dyDescent="0.2">
      <c r="A17" t="str">
        <f>IF(ADP!$AO17="Y","700","")</f>
        <v/>
      </c>
      <c r="B17" t="str">
        <f>IF(ADP!$AO17="Y","PMT","")</f>
        <v/>
      </c>
      <c r="C17" t="str">
        <f>IF(ADP!$AO17="Y",ADP!P17,"")</f>
        <v/>
      </c>
      <c r="O17" t="str">
        <f>IF(ADP!$AO17="Y",ADP!AH17,"")</f>
        <v/>
      </c>
      <c r="P17" t="str">
        <f>IF(ADP!$AO17="Y",ADP!AK17,"")</f>
        <v/>
      </c>
    </row>
    <row r="18" spans="1:16" x14ac:dyDescent="0.2">
      <c r="A18" t="str">
        <f>IF(ADP!$AO18="Y","700","")</f>
        <v>700</v>
      </c>
      <c r="B18" t="str">
        <f>IF(ADP!$AO18="Y","PMT","")</f>
        <v>PMT</v>
      </c>
      <c r="C18" t="str">
        <f>IF(ADP!$AO18="Y",ADP!P18,"")</f>
        <v>211464</v>
      </c>
      <c r="O18">
        <f>IF(ADP!$AO18="Y",ADP!AH18,"")</f>
        <v>25000</v>
      </c>
      <c r="P18" t="str">
        <f>IF(ADP!$AO18="Y",ADP!AK18,"")</f>
        <v>USD</v>
      </c>
    </row>
    <row r="19" spans="1:16" x14ac:dyDescent="0.2">
      <c r="A19" t="str">
        <f>IF(ADP!$AO19="Y","700","")</f>
        <v/>
      </c>
      <c r="B19" t="str">
        <f>IF(ADP!$AO19="Y","PMT","")</f>
        <v/>
      </c>
      <c r="C19" t="str">
        <f>IF(ADP!$AO19="Y",ADP!P19,"")</f>
        <v/>
      </c>
      <c r="O19" t="str">
        <f>IF(ADP!$AO19="Y",ADP!AH19,"")</f>
        <v/>
      </c>
      <c r="P19" t="str">
        <f>IF(ADP!$AO19="Y",ADP!AK19,"")</f>
        <v/>
      </c>
    </row>
    <row r="20" spans="1:16" x14ac:dyDescent="0.2">
      <c r="A20" t="str">
        <f>IF(ADP!$AO20="Y","700","")</f>
        <v/>
      </c>
      <c r="B20" t="str">
        <f>IF(ADP!$AO20="Y","PMT","")</f>
        <v/>
      </c>
      <c r="C20" t="str">
        <f>IF(ADP!$AO20="Y",ADP!P20,"")</f>
        <v/>
      </c>
      <c r="O20" t="str">
        <f>IF(ADP!$AO20="Y",ADP!AH20,"")</f>
        <v/>
      </c>
      <c r="P20" t="str">
        <f>IF(ADP!$AO20="Y",ADP!AK20,"")</f>
        <v/>
      </c>
    </row>
    <row r="21" spans="1:16" x14ac:dyDescent="0.2">
      <c r="A21" t="str">
        <f>IF(ADP!$AO21="Y","700","")</f>
        <v/>
      </c>
      <c r="B21" t="str">
        <f>IF(ADP!$AO21="Y","PMT","")</f>
        <v/>
      </c>
      <c r="C21" t="str">
        <f>IF(ADP!$AO21="Y",ADP!P21,"")</f>
        <v/>
      </c>
      <c r="O21" t="str">
        <f>IF(ADP!$AO21="Y",ADP!AH21,"")</f>
        <v/>
      </c>
      <c r="P21" t="str">
        <f>IF(ADP!$AO21="Y",ADP!AK21,"")</f>
        <v/>
      </c>
    </row>
    <row r="22" spans="1:16" x14ac:dyDescent="0.2">
      <c r="A22" t="str">
        <f>IF(ADP!$AO22="Y","700","")</f>
        <v/>
      </c>
      <c r="B22" t="str">
        <f>IF(ADP!$AO22="Y","PMT","")</f>
        <v/>
      </c>
      <c r="C22" t="str">
        <f>IF(ADP!$AO22="Y",ADP!P22,"")</f>
        <v/>
      </c>
      <c r="O22" t="str">
        <f>IF(ADP!$AO22="Y",ADP!AH22,"")</f>
        <v/>
      </c>
      <c r="P22" t="str">
        <f>IF(ADP!$AO22="Y",ADP!AK22,"")</f>
        <v/>
      </c>
    </row>
    <row r="23" spans="1:16" x14ac:dyDescent="0.2">
      <c r="A23" t="str">
        <f>IF(ADP!$AO23="Y","700","")</f>
        <v/>
      </c>
      <c r="B23" t="str">
        <f>IF(ADP!$AO23="Y","PMT","")</f>
        <v/>
      </c>
      <c r="C23" t="str">
        <f>IF(ADP!$AO23="Y",ADP!P23,"")</f>
        <v/>
      </c>
      <c r="O23" t="str">
        <f>IF(ADP!$AO23="Y",ADP!AH23,"")</f>
        <v/>
      </c>
      <c r="P23" t="str">
        <f>IF(ADP!$AO23="Y",ADP!AK23,"")</f>
        <v/>
      </c>
    </row>
    <row r="24" spans="1:16" x14ac:dyDescent="0.2">
      <c r="A24" t="str">
        <f>IF(ADP!$AO24="Y","700","")</f>
        <v/>
      </c>
      <c r="B24" t="str">
        <f>IF(ADP!$AO24="Y","PMT","")</f>
        <v/>
      </c>
      <c r="C24" t="str">
        <f>IF(ADP!$AO24="Y",ADP!P24,"")</f>
        <v/>
      </c>
      <c r="O24" t="str">
        <f>IF(ADP!$AO24="Y",ADP!AH24,"")</f>
        <v/>
      </c>
      <c r="P24" t="str">
        <f>IF(ADP!$AO24="Y",ADP!AK24,"")</f>
        <v/>
      </c>
    </row>
    <row r="25" spans="1:16" x14ac:dyDescent="0.2">
      <c r="A25" t="str">
        <f>IF(ADP!$AO25="Y","700","")</f>
        <v/>
      </c>
      <c r="B25" t="str">
        <f>IF(ADP!$AO25="Y","PMT","")</f>
        <v/>
      </c>
      <c r="C25" t="str">
        <f>IF(ADP!$AO25="Y",ADP!P25,"")</f>
        <v/>
      </c>
      <c r="O25" t="str">
        <f>IF(ADP!$AO25="Y",ADP!AH25,"")</f>
        <v/>
      </c>
      <c r="P25" t="str">
        <f>IF(ADP!$AO25="Y",ADP!AK25,"")</f>
        <v/>
      </c>
    </row>
    <row r="26" spans="1:16" x14ac:dyDescent="0.2">
      <c r="A26" t="str">
        <f>IF(ADP!$AO26="Y","700","")</f>
        <v/>
      </c>
      <c r="B26" t="str">
        <f>IF(ADP!$AO26="Y","PMT","")</f>
        <v/>
      </c>
      <c r="C26" t="str">
        <f>IF(ADP!$AO26="Y",ADP!P26,"")</f>
        <v/>
      </c>
      <c r="O26" t="str">
        <f>IF(ADP!$AO26="Y",ADP!AH26,"")</f>
        <v/>
      </c>
      <c r="P26" t="str">
        <f>IF(ADP!$AO26="Y",ADP!AK26,"")</f>
        <v/>
      </c>
    </row>
    <row r="27" spans="1:16" x14ac:dyDescent="0.2">
      <c r="A27" t="str">
        <f>IF(ADP!$AO27="Y","700","")</f>
        <v/>
      </c>
      <c r="B27" t="str">
        <f>IF(ADP!$AO27="Y","PMT","")</f>
        <v/>
      </c>
      <c r="C27" t="str">
        <f>IF(ADP!$AO27="Y",ADP!P27,"")</f>
        <v/>
      </c>
      <c r="O27" t="str">
        <f>IF(ADP!$AO27="Y",ADP!AH27,"")</f>
        <v/>
      </c>
      <c r="P27" t="str">
        <f>IF(ADP!$AO27="Y",ADP!AK27,"")</f>
        <v/>
      </c>
    </row>
    <row r="28" spans="1:16" x14ac:dyDescent="0.2">
      <c r="A28" t="str">
        <f>IF(ADP!$AO28="Y","700","")</f>
        <v/>
      </c>
      <c r="B28" t="str">
        <f>IF(ADP!$AO28="Y","PMT","")</f>
        <v/>
      </c>
      <c r="C28" t="str">
        <f>IF(ADP!$AO28="Y",ADP!P28,"")</f>
        <v/>
      </c>
      <c r="O28" t="str">
        <f>IF(ADP!$AO28="Y",ADP!AH28,"")</f>
        <v/>
      </c>
      <c r="P28" t="str">
        <f>IF(ADP!$AO28="Y",ADP!AK28,"")</f>
        <v/>
      </c>
    </row>
    <row r="29" spans="1:16" x14ac:dyDescent="0.2">
      <c r="A29" t="str">
        <f>IF(ADP!$AO29="Y","700","")</f>
        <v>700</v>
      </c>
      <c r="B29" t="str">
        <f>IF(ADP!$AO29="Y","PMT","")</f>
        <v>PMT</v>
      </c>
      <c r="C29" t="str">
        <f>IF(ADP!$AO29="Y",ADP!P29,"")</f>
        <v>212699</v>
      </c>
      <c r="O29">
        <f>IF(ADP!$AO29="Y",ADP!AH29,"")</f>
        <v>25000</v>
      </c>
      <c r="P29" t="str">
        <f>IF(ADP!$AO29="Y",ADP!AK29,"")</f>
        <v>USD</v>
      </c>
    </row>
    <row r="30" spans="1:16" x14ac:dyDescent="0.2">
      <c r="A30" t="str">
        <f>IF(ADP!$AO30="Y","700","")</f>
        <v/>
      </c>
      <c r="B30" t="str">
        <f>IF(ADP!$AO30="Y","PMT","")</f>
        <v/>
      </c>
      <c r="C30" t="str">
        <f>IF(ADP!$AO30="Y",ADP!P30,"")</f>
        <v/>
      </c>
      <c r="O30" t="str">
        <f>IF(ADP!$AO30="Y",ADP!AH30,"")</f>
        <v/>
      </c>
      <c r="P30" t="str">
        <f>IF(ADP!$AO30="Y",ADP!AK30,"")</f>
        <v/>
      </c>
    </row>
    <row r="31" spans="1:16" x14ac:dyDescent="0.2">
      <c r="A31" t="str">
        <f>IF(ADP!$AO31="Y","700","")</f>
        <v/>
      </c>
      <c r="B31" t="str">
        <f>IF(ADP!$AO31="Y","PMT","")</f>
        <v/>
      </c>
      <c r="C31" t="str">
        <f>IF(ADP!$AO31="Y",ADP!P31,"")</f>
        <v/>
      </c>
      <c r="O31" t="str">
        <f>IF(ADP!$AO31="Y",ADP!AH31,"")</f>
        <v/>
      </c>
      <c r="P31" t="str">
        <f>IF(ADP!$AO31="Y",ADP!AK31,"")</f>
        <v/>
      </c>
    </row>
    <row r="32" spans="1:16" x14ac:dyDescent="0.2">
      <c r="A32" t="str">
        <f>IF(ADP!$AO32="Y","700","")</f>
        <v/>
      </c>
      <c r="B32" t="str">
        <f>IF(ADP!$AO32="Y","PMT","")</f>
        <v/>
      </c>
      <c r="C32" t="str">
        <f>IF(ADP!$AO32="Y",ADP!P32,"")</f>
        <v/>
      </c>
      <c r="O32" t="str">
        <f>IF(ADP!$AO32="Y",ADP!AH32,"")</f>
        <v/>
      </c>
      <c r="P32" t="str">
        <f>IF(ADP!$AO32="Y",ADP!AK32,"")</f>
        <v/>
      </c>
    </row>
    <row r="33" spans="1:16" x14ac:dyDescent="0.2">
      <c r="A33" t="str">
        <f>IF(ADP!$AO33="Y","700","")</f>
        <v/>
      </c>
      <c r="B33" t="str">
        <f>IF(ADP!$AO33="Y","PMT","")</f>
        <v/>
      </c>
      <c r="C33" t="str">
        <f>IF(ADP!$AO33="Y",ADP!P33,"")</f>
        <v/>
      </c>
      <c r="O33" t="str">
        <f>IF(ADP!$AO33="Y",ADP!AH33,"")</f>
        <v/>
      </c>
      <c r="P33" t="str">
        <f>IF(ADP!$AO33="Y",ADP!AK33,"")</f>
        <v/>
      </c>
    </row>
    <row r="34" spans="1:16" x14ac:dyDescent="0.2">
      <c r="A34" t="str">
        <f>IF(ADP!$AO34="Y","700","")</f>
        <v/>
      </c>
      <c r="B34" t="str">
        <f>IF(ADP!$AO34="Y","PMT","")</f>
        <v/>
      </c>
      <c r="C34" t="str">
        <f>IF(ADP!$AO34="Y",ADP!P34,"")</f>
        <v/>
      </c>
      <c r="O34" t="str">
        <f>IF(ADP!$AO34="Y",ADP!AH34,"")</f>
        <v/>
      </c>
      <c r="P34" t="str">
        <f>IF(ADP!$AO34="Y",ADP!AK34,"")</f>
        <v/>
      </c>
    </row>
    <row r="35" spans="1:16" x14ac:dyDescent="0.2">
      <c r="A35" t="str">
        <f>IF(ADP!$AO35="Y","700","")</f>
        <v>700</v>
      </c>
      <c r="B35" t="str">
        <f>IF(ADP!$AO35="Y","PMT","")</f>
        <v>PMT</v>
      </c>
      <c r="C35" t="str">
        <f>IF(ADP!$AO35="Y",ADP!P35,"")</f>
        <v>007863</v>
      </c>
      <c r="O35">
        <f>IF(ADP!$AO35="Y",ADP!AH35,"")</f>
        <v>25000</v>
      </c>
      <c r="P35" t="str">
        <f>IF(ADP!$AO35="Y",ADP!AK35,"")</f>
        <v>USD</v>
      </c>
    </row>
    <row r="36" spans="1:16" x14ac:dyDescent="0.2">
      <c r="A36" t="str">
        <f>IF(ADP!$AO36="Y","700","")</f>
        <v/>
      </c>
      <c r="B36" t="str">
        <f>IF(ADP!$AO36="Y","PMT","")</f>
        <v/>
      </c>
      <c r="C36" t="str">
        <f>IF(ADP!$AO36="Y",ADP!P36,"")</f>
        <v/>
      </c>
      <c r="O36" t="str">
        <f>IF(ADP!$AO36="Y",ADP!AH36,"")</f>
        <v/>
      </c>
      <c r="P36" t="str">
        <f>IF(ADP!$AO36="Y",ADP!AK36,"")</f>
        <v/>
      </c>
    </row>
    <row r="37" spans="1:16" x14ac:dyDescent="0.2">
      <c r="A37" t="str">
        <f>IF(ADP!$AO37="Y","700","")</f>
        <v/>
      </c>
      <c r="B37" t="str">
        <f>IF(ADP!$AO37="Y","PMT","")</f>
        <v/>
      </c>
      <c r="C37" t="str">
        <f>IF(ADP!$AO37="Y",ADP!P37,"")</f>
        <v/>
      </c>
      <c r="O37" t="str">
        <f>IF(ADP!$AO37="Y",ADP!AH37,"")</f>
        <v/>
      </c>
      <c r="P37" t="str">
        <f>IF(ADP!$AO37="Y",ADP!AK37,"")</f>
        <v/>
      </c>
    </row>
    <row r="38" spans="1:16" x14ac:dyDescent="0.2">
      <c r="A38" t="str">
        <f>IF(ADP!$AO38="Y","700","")</f>
        <v/>
      </c>
      <c r="B38" t="str">
        <f>IF(ADP!$AO38="Y","PMT","")</f>
        <v/>
      </c>
      <c r="C38" t="str">
        <f>IF(ADP!$AO38="Y",ADP!P38,"")</f>
        <v/>
      </c>
      <c r="O38" t="str">
        <f>IF(ADP!$AO38="Y",ADP!AH38,"")</f>
        <v/>
      </c>
      <c r="P38" t="str">
        <f>IF(ADP!$AO38="Y",ADP!AK38,"")</f>
        <v/>
      </c>
    </row>
    <row r="39" spans="1:16" x14ac:dyDescent="0.2">
      <c r="A39" t="str">
        <f>IF(ADP!$AO39="Y","700","")</f>
        <v>700</v>
      </c>
      <c r="B39" t="str">
        <f>IF(ADP!$AO39="Y","PMT","")</f>
        <v>PMT</v>
      </c>
      <c r="C39" t="str">
        <f>IF(ADP!$AO39="Y",ADP!P39,"")</f>
        <v>006780</v>
      </c>
      <c r="O39">
        <f>IF(ADP!$AO39="Y",ADP!AH39,"")</f>
        <v>25000</v>
      </c>
      <c r="P39" t="str">
        <f>IF(ADP!$AO39="Y",ADP!AK39,"")</f>
        <v>USD</v>
      </c>
    </row>
    <row r="40" spans="1:16" x14ac:dyDescent="0.2">
      <c r="A40" t="str">
        <f>IF(ADP!$AO40="Y","700","")</f>
        <v>700</v>
      </c>
      <c r="B40" t="str">
        <f>IF(ADP!$AO40="Y","PMT","")</f>
        <v>PMT</v>
      </c>
      <c r="C40" t="str">
        <f>IF(ADP!$AO40="Y",ADP!P40,"")</f>
        <v>902627</v>
      </c>
      <c r="O40">
        <f>IF(ADP!$AO40="Y",ADP!AH40,"")</f>
        <v>25000</v>
      </c>
      <c r="P40" t="str">
        <f>IF(ADP!$AO40="Y",ADP!AK40,"")</f>
        <v>USD</v>
      </c>
    </row>
    <row r="41" spans="1:16" x14ac:dyDescent="0.2">
      <c r="A41" t="str">
        <f>IF(ADP!$AO41="Y","700","")</f>
        <v/>
      </c>
      <c r="B41" t="str">
        <f>IF(ADP!$AO41="Y","PMT","")</f>
        <v/>
      </c>
      <c r="C41" t="str">
        <f>IF(ADP!$AO41="Y",ADP!P41,"")</f>
        <v/>
      </c>
      <c r="O41" t="str">
        <f>IF(ADP!$AO41="Y",ADP!AH41,"")</f>
        <v/>
      </c>
      <c r="P41" t="str">
        <f>IF(ADP!$AO41="Y",ADP!AK41,"")</f>
        <v/>
      </c>
    </row>
    <row r="42" spans="1:16" x14ac:dyDescent="0.2">
      <c r="A42" t="str">
        <f>IF(ADP!$AO42="Y","700","")</f>
        <v/>
      </c>
      <c r="B42" t="str">
        <f>IF(ADP!$AO42="Y","PMT","")</f>
        <v/>
      </c>
      <c r="C42" t="str">
        <f>IF(ADP!$AO42="Y",ADP!P42,"")</f>
        <v/>
      </c>
      <c r="O42" t="str">
        <f>IF(ADP!$AO42="Y",ADP!AH42,"")</f>
        <v/>
      </c>
      <c r="P42" t="str">
        <f>IF(ADP!$AO42="Y",ADP!AK42,"")</f>
        <v/>
      </c>
    </row>
    <row r="43" spans="1:16" x14ac:dyDescent="0.2">
      <c r="A43" t="str">
        <f>IF(ADP!$AO43="Y","700","")</f>
        <v/>
      </c>
      <c r="B43" t="str">
        <f>IF(ADP!$AO43="Y","PMT","")</f>
        <v/>
      </c>
      <c r="C43" t="str">
        <f>IF(ADP!$AO43="Y",ADP!P43,"")</f>
        <v/>
      </c>
      <c r="O43" t="str">
        <f>IF(ADP!$AO43="Y",ADP!AH43,"")</f>
        <v/>
      </c>
      <c r="P43" t="str">
        <f>IF(ADP!$AO43="Y",ADP!AK43,"")</f>
        <v/>
      </c>
    </row>
    <row r="44" spans="1:16" x14ac:dyDescent="0.2">
      <c r="A44" t="str">
        <f>IF(ADP!$AO44="Y","700","")</f>
        <v/>
      </c>
      <c r="B44" t="str">
        <f>IF(ADP!$AO44="Y","PMT","")</f>
        <v/>
      </c>
      <c r="C44" t="str">
        <f>IF(ADP!$AO44="Y",ADP!P44,"")</f>
        <v/>
      </c>
      <c r="O44" t="str">
        <f>IF(ADP!$AO44="Y",ADP!AH44,"")</f>
        <v/>
      </c>
      <c r="P44" t="str">
        <f>IF(ADP!$AO44="Y",ADP!AK44,"")</f>
        <v/>
      </c>
    </row>
    <row r="45" spans="1:16" x14ac:dyDescent="0.2">
      <c r="A45" t="str">
        <f>IF(ADP!$AO45="Y","700","")</f>
        <v>700</v>
      </c>
      <c r="B45" t="str">
        <f>IF(ADP!$AO45="Y","PMT","")</f>
        <v>PMT</v>
      </c>
      <c r="C45" t="str">
        <f>IF(ADP!$AO45="Y",ADP!P45,"")</f>
        <v>211489</v>
      </c>
      <c r="O45">
        <f>IF(ADP!$AO45="Y",ADP!AH45,"")</f>
        <v>25000</v>
      </c>
      <c r="P45" t="str">
        <f>IF(ADP!$AO45="Y",ADP!AK45,"")</f>
        <v>USD</v>
      </c>
    </row>
    <row r="46" spans="1:16" x14ac:dyDescent="0.2">
      <c r="A46" t="str">
        <f>IF(ADP!$AO46="Y","700","")</f>
        <v/>
      </c>
      <c r="B46" t="str">
        <f>IF(ADP!$AO46="Y","PMT","")</f>
        <v/>
      </c>
      <c r="C46" t="str">
        <f>IF(ADP!$AO46="Y",ADP!P46,"")</f>
        <v/>
      </c>
      <c r="O46" t="str">
        <f>IF(ADP!$AO46="Y",ADP!AH46,"")</f>
        <v/>
      </c>
      <c r="P46" t="str">
        <f>IF(ADP!$AO46="Y",ADP!AK46,"")</f>
        <v/>
      </c>
    </row>
    <row r="47" spans="1:16" x14ac:dyDescent="0.2">
      <c r="A47" t="str">
        <f>IF(ADP!$AO47="Y","700","")</f>
        <v/>
      </c>
      <c r="B47" t="str">
        <f>IF(ADP!$AO47="Y","PMT","")</f>
        <v/>
      </c>
      <c r="C47" t="str">
        <f>IF(ADP!$AO47="Y",ADP!P47,"")</f>
        <v/>
      </c>
      <c r="O47" t="str">
        <f>IF(ADP!$AO47="Y",ADP!AH47,"")</f>
        <v/>
      </c>
      <c r="P47" t="str">
        <f>IF(ADP!$AO47="Y",ADP!AK47,"")</f>
        <v/>
      </c>
    </row>
    <row r="48" spans="1:16" x14ac:dyDescent="0.2">
      <c r="A48" t="str">
        <f>IF(ADP!$AO48="Y","700","")</f>
        <v/>
      </c>
      <c r="B48" t="str">
        <f>IF(ADP!$AO48="Y","PMT","")</f>
        <v/>
      </c>
      <c r="C48" t="str">
        <f>IF(ADP!$AO48="Y",ADP!P48,"")</f>
        <v/>
      </c>
      <c r="O48" t="str">
        <f>IF(ADP!$AO48="Y",ADP!AH48,"")</f>
        <v/>
      </c>
      <c r="P48" t="str">
        <f>IF(ADP!$AO48="Y",ADP!AK48,"")</f>
        <v/>
      </c>
    </row>
    <row r="49" spans="1:16" x14ac:dyDescent="0.2">
      <c r="A49" t="str">
        <f>IF(ADP!$AO49="Y","700","")</f>
        <v/>
      </c>
      <c r="B49" t="str">
        <f>IF(ADP!$AO49="Y","PMT","")</f>
        <v/>
      </c>
      <c r="C49" t="str">
        <f>IF(ADP!$AO49="Y",ADP!P49,"")</f>
        <v/>
      </c>
      <c r="O49" t="str">
        <f>IF(ADP!$AO49="Y",ADP!AH49,"")</f>
        <v/>
      </c>
      <c r="P49" t="str">
        <f>IF(ADP!$AO49="Y",ADP!AK49,"")</f>
        <v/>
      </c>
    </row>
    <row r="50" spans="1:16" x14ac:dyDescent="0.2">
      <c r="A50" t="str">
        <f>IF(ADP!$AO50="Y","700","")</f>
        <v/>
      </c>
      <c r="B50" t="str">
        <f>IF(ADP!$AO50="Y","PMT","")</f>
        <v/>
      </c>
      <c r="C50" t="str">
        <f>IF(ADP!$AO50="Y",ADP!P50,"")</f>
        <v/>
      </c>
      <c r="O50" t="str">
        <f>IF(ADP!$AO50="Y",ADP!AH50,"")</f>
        <v/>
      </c>
      <c r="P50" t="str">
        <f>IF(ADP!$AO50="Y",ADP!AK50,"")</f>
        <v/>
      </c>
    </row>
    <row r="51" spans="1:16" x14ac:dyDescent="0.2">
      <c r="A51" t="str">
        <f>IF(ADP!$AO51="Y","700","")</f>
        <v/>
      </c>
      <c r="B51" t="str">
        <f>IF(ADP!$AO51="Y","PMT","")</f>
        <v/>
      </c>
      <c r="C51" t="str">
        <f>IF(ADP!$AO51="Y",ADP!P51,"")</f>
        <v/>
      </c>
      <c r="O51" t="str">
        <f>IF(ADP!$AO51="Y",ADP!AH51,"")</f>
        <v/>
      </c>
      <c r="P51" t="str">
        <f>IF(ADP!$AO51="Y",ADP!AK51,"")</f>
        <v/>
      </c>
    </row>
    <row r="52" spans="1:16" x14ac:dyDescent="0.2">
      <c r="A52" t="str">
        <f>IF(ADP!$AO52="Y","700","")</f>
        <v/>
      </c>
      <c r="B52" t="str">
        <f>IF(ADP!$AO52="Y","PMT","")</f>
        <v/>
      </c>
      <c r="C52" t="str">
        <f>IF(ADP!$AO52="Y",ADP!P52,"")</f>
        <v/>
      </c>
      <c r="O52" t="str">
        <f>IF(ADP!$AO52="Y",ADP!AH52,"")</f>
        <v/>
      </c>
      <c r="P52" t="str">
        <f>IF(ADP!$AO52="Y",ADP!AK52,"")</f>
        <v/>
      </c>
    </row>
    <row r="53" spans="1:16" x14ac:dyDescent="0.2">
      <c r="A53" t="str">
        <f>IF(ADP!$AO53="Y","700","")</f>
        <v/>
      </c>
      <c r="B53" t="str">
        <f>IF(ADP!$AO53="Y","PMT","")</f>
        <v/>
      </c>
      <c r="C53" t="str">
        <f>IF(ADP!$AO53="Y",ADP!P53,"")</f>
        <v/>
      </c>
      <c r="O53" t="str">
        <f>IF(ADP!$AO53="Y",ADP!AH53,"")</f>
        <v/>
      </c>
      <c r="P53" t="str">
        <f>IF(ADP!$AO53="Y",ADP!AK53,"")</f>
        <v/>
      </c>
    </row>
    <row r="54" spans="1:16" x14ac:dyDescent="0.2">
      <c r="A54" t="str">
        <f>IF(ADP!$AO54="Y","700","")</f>
        <v/>
      </c>
      <c r="B54" t="str">
        <f>IF(ADP!$AO54="Y","PMT","")</f>
        <v/>
      </c>
      <c r="C54" t="str">
        <f>IF(ADP!$AO54="Y",ADP!P54,"")</f>
        <v/>
      </c>
      <c r="O54" t="str">
        <f>IF(ADP!$AO54="Y",ADP!AH54,"")</f>
        <v/>
      </c>
      <c r="P54" t="str">
        <f>IF(ADP!$AO54="Y",ADP!AK54,"")</f>
        <v/>
      </c>
    </row>
    <row r="55" spans="1:16" x14ac:dyDescent="0.2">
      <c r="A55" t="str">
        <f>IF(ADP!$AO55="Y","700","")</f>
        <v>700</v>
      </c>
      <c r="B55" t="str">
        <f>IF(ADP!$AO55="Y","PMT","")</f>
        <v>PMT</v>
      </c>
      <c r="C55" t="str">
        <f>IF(ADP!$AO55="Y",ADP!P55,"")</f>
        <v>206442</v>
      </c>
      <c r="O55">
        <f>IF(ADP!$AO55="Y",ADP!AH55,"")</f>
        <v>25000</v>
      </c>
      <c r="P55" t="str">
        <f>IF(ADP!$AO55="Y",ADP!AK55,"")</f>
        <v>USD</v>
      </c>
    </row>
    <row r="56" spans="1:16" x14ac:dyDescent="0.2">
      <c r="A56" t="str">
        <f>IF(ADP!$AO56="Y","700","")</f>
        <v/>
      </c>
      <c r="B56" t="str">
        <f>IF(ADP!$AO56="Y","PMT","")</f>
        <v/>
      </c>
      <c r="C56" t="str">
        <f>IF(ADP!$AO56="Y",ADP!P56,"")</f>
        <v/>
      </c>
      <c r="O56" t="str">
        <f>IF(ADP!$AO56="Y",ADP!AH56,"")</f>
        <v/>
      </c>
      <c r="P56" t="str">
        <f>IF(ADP!$AO56="Y",ADP!AK56,"")</f>
        <v/>
      </c>
    </row>
    <row r="57" spans="1:16" x14ac:dyDescent="0.2">
      <c r="A57" t="str">
        <f>IF(ADP!$AO57="Y","700","")</f>
        <v/>
      </c>
      <c r="B57" t="str">
        <f>IF(ADP!$AO57="Y","PMT","")</f>
        <v/>
      </c>
      <c r="C57" t="str">
        <f>IF(ADP!$AO57="Y",ADP!P57,"")</f>
        <v/>
      </c>
      <c r="O57" t="str">
        <f>IF(ADP!$AO57="Y",ADP!AH57,"")</f>
        <v/>
      </c>
      <c r="P57" t="str">
        <f>IF(ADP!$AO57="Y",ADP!AK57,"")</f>
        <v/>
      </c>
    </row>
    <row r="58" spans="1:16" x14ac:dyDescent="0.2">
      <c r="A58" t="str">
        <f>IF(ADP!$AO58="Y","700","")</f>
        <v>700</v>
      </c>
      <c r="B58" t="str">
        <f>IF(ADP!$AO58="Y","PMT","")</f>
        <v>PMT</v>
      </c>
      <c r="C58" t="str">
        <f>IF(ADP!$AO58="Y",ADP!P58,"")</f>
        <v>211766</v>
      </c>
      <c r="O58">
        <f>IF(ADP!$AO58="Y",ADP!AH58,"")</f>
        <v>100000</v>
      </c>
      <c r="P58" t="str">
        <f>IF(ADP!$AO58="Y",ADP!AK58,"")</f>
        <v>USD</v>
      </c>
    </row>
    <row r="59" spans="1:16" x14ac:dyDescent="0.2">
      <c r="A59" t="str">
        <f>IF(ADP!$AO59="Y","700","")</f>
        <v/>
      </c>
      <c r="B59" t="str">
        <f>IF(ADP!$AO59="Y","PMT","")</f>
        <v/>
      </c>
      <c r="C59" t="str">
        <f>IF(ADP!$AO59="Y",ADP!P59,"")</f>
        <v/>
      </c>
      <c r="O59" t="str">
        <f>IF(ADP!$AO59="Y",ADP!AH59,"")</f>
        <v/>
      </c>
      <c r="P59" t="str">
        <f>IF(ADP!$AO59="Y",ADP!AK59,"")</f>
        <v/>
      </c>
    </row>
    <row r="60" spans="1:16" x14ac:dyDescent="0.2">
      <c r="A60" t="str">
        <f>IF(ADP!$AO60="Y","700","")</f>
        <v/>
      </c>
      <c r="B60" t="str">
        <f>IF(ADP!$AO60="Y","PMT","")</f>
        <v/>
      </c>
      <c r="C60" t="str">
        <f>IF(ADP!$AO60="Y",ADP!P60,"")</f>
        <v/>
      </c>
      <c r="O60" t="str">
        <f>IF(ADP!$AO60="Y",ADP!AH60,"")</f>
        <v/>
      </c>
      <c r="P60" t="str">
        <f>IF(ADP!$AO60="Y",ADP!AK60,"")</f>
        <v/>
      </c>
    </row>
    <row r="61" spans="1:16" x14ac:dyDescent="0.2">
      <c r="A61" t="str">
        <f>IF(ADP!$AO61="Y","700","")</f>
        <v>700</v>
      </c>
      <c r="B61" t="str">
        <f>IF(ADP!$AO61="Y","PMT","")</f>
        <v>PMT</v>
      </c>
      <c r="C61" t="str">
        <f>IF(ADP!$AO61="Y",ADP!P61,"")</f>
        <v>210910</v>
      </c>
      <c r="O61">
        <f>IF(ADP!$AO61="Y",ADP!AH61,"")</f>
        <v>25000</v>
      </c>
      <c r="P61" t="str">
        <f>IF(ADP!$AO61="Y",ADP!AK61,"")</f>
        <v>USD</v>
      </c>
    </row>
    <row r="62" spans="1:16" x14ac:dyDescent="0.2">
      <c r="A62" t="str">
        <f>IF(ADP!$AO62="Y","700","")</f>
        <v/>
      </c>
      <c r="B62" t="str">
        <f>IF(ADP!$AO62="Y","PMT","")</f>
        <v/>
      </c>
      <c r="C62" t="str">
        <f>IF(ADP!$AO62="Y",ADP!P62,"")</f>
        <v/>
      </c>
      <c r="O62" t="str">
        <f>IF(ADP!$AO62="Y",ADP!AH62,"")</f>
        <v/>
      </c>
      <c r="P62" t="str">
        <f>IF(ADP!$AO62="Y",ADP!AK62,"")</f>
        <v/>
      </c>
    </row>
    <row r="63" spans="1:16" x14ac:dyDescent="0.2">
      <c r="A63" t="str">
        <f>IF(ADP!$AO63="Y","700","")</f>
        <v/>
      </c>
      <c r="B63" t="str">
        <f>IF(ADP!$AO63="Y","PMT","")</f>
        <v/>
      </c>
      <c r="C63" t="str">
        <f>IF(ADP!$AO63="Y",ADP!P63,"")</f>
        <v/>
      </c>
      <c r="O63" t="str">
        <f>IF(ADP!$AO63="Y",ADP!AH63,"")</f>
        <v/>
      </c>
      <c r="P63" t="str">
        <f>IF(ADP!$AO63="Y",ADP!AK63,"")</f>
        <v/>
      </c>
    </row>
    <row r="64" spans="1:16" x14ac:dyDescent="0.2">
      <c r="A64" t="str">
        <f>IF(ADP!$AO64="Y","700","")</f>
        <v>700</v>
      </c>
      <c r="B64" t="str">
        <f>IF(ADP!$AO64="Y","PMT","")</f>
        <v>PMT</v>
      </c>
      <c r="C64" t="str">
        <f>IF(ADP!$AO64="Y",ADP!P64,"")</f>
        <v>006809</v>
      </c>
      <c r="O64">
        <f>IF(ADP!$AO64="Y",ADP!AH64,"")</f>
        <v>25000</v>
      </c>
      <c r="P64" t="str">
        <f>IF(ADP!$AO64="Y",ADP!AK64,"")</f>
        <v>USD</v>
      </c>
    </row>
    <row r="65" spans="1:16" x14ac:dyDescent="0.2">
      <c r="A65" t="str">
        <f>IF(ADP!$AO65="Y","700","")</f>
        <v/>
      </c>
      <c r="B65" t="str">
        <f>IF(ADP!$AO65="Y","PMT","")</f>
        <v/>
      </c>
      <c r="C65" t="str">
        <f>IF(ADP!$AO65="Y",ADP!P65,"")</f>
        <v/>
      </c>
      <c r="O65" t="str">
        <f>IF(ADP!$AO65="Y",ADP!AH65,"")</f>
        <v/>
      </c>
      <c r="P65" t="str">
        <f>IF(ADP!$AO65="Y",ADP!AK65,"")</f>
        <v/>
      </c>
    </row>
    <row r="66" spans="1:16" x14ac:dyDescent="0.2">
      <c r="A66" t="str">
        <f>IF(ADP!$AO66="Y","700","")</f>
        <v/>
      </c>
      <c r="B66" t="str">
        <f>IF(ADP!$AO66="Y","PMT","")</f>
        <v/>
      </c>
      <c r="C66" t="str">
        <f>IF(ADP!$AO66="Y",ADP!P66,"")</f>
        <v/>
      </c>
      <c r="O66" t="str">
        <f>IF(ADP!$AO66="Y",ADP!AH66,"")</f>
        <v/>
      </c>
      <c r="P66" t="str">
        <f>IF(ADP!$AO66="Y",ADP!AK66,"")</f>
        <v/>
      </c>
    </row>
    <row r="67" spans="1:16" x14ac:dyDescent="0.2">
      <c r="A67" t="str">
        <f>IF(ADP!$AO67="Y","700","")</f>
        <v/>
      </c>
      <c r="B67" t="str">
        <f>IF(ADP!$AO67="Y","PMT","")</f>
        <v/>
      </c>
      <c r="C67" t="str">
        <f>IF(ADP!$AO67="Y",ADP!P67,"")</f>
        <v/>
      </c>
      <c r="O67" t="str">
        <f>IF(ADP!$AO67="Y",ADP!AH67,"")</f>
        <v/>
      </c>
      <c r="P67" t="str">
        <f>IF(ADP!$AO67="Y",ADP!AK67,"")</f>
        <v/>
      </c>
    </row>
    <row r="68" spans="1:16" x14ac:dyDescent="0.2">
      <c r="A68" t="str">
        <f>IF(ADP!$AO68="Y","700","")</f>
        <v/>
      </c>
      <c r="B68" t="str">
        <f>IF(ADP!$AO68="Y","PMT","")</f>
        <v/>
      </c>
      <c r="C68" t="str">
        <f>IF(ADP!$AO68="Y",ADP!P68,"")</f>
        <v/>
      </c>
      <c r="O68" t="str">
        <f>IF(ADP!$AO68="Y",ADP!AH68,"")</f>
        <v/>
      </c>
      <c r="P68" t="str">
        <f>IF(ADP!$AO68="Y",ADP!AK68,"")</f>
        <v/>
      </c>
    </row>
    <row r="69" spans="1:16" x14ac:dyDescent="0.2">
      <c r="A69" t="str">
        <f>IF(ADP!$AO69="Y","700","")</f>
        <v/>
      </c>
      <c r="B69" t="str">
        <f>IF(ADP!$AO69="Y","PMT","")</f>
        <v/>
      </c>
      <c r="C69" t="str">
        <f>IF(ADP!$AO69="Y",ADP!P69,"")</f>
        <v/>
      </c>
      <c r="O69" t="str">
        <f>IF(ADP!$AO69="Y",ADP!AH69,"")</f>
        <v/>
      </c>
      <c r="P69" t="str">
        <f>IF(ADP!$AO69="Y",ADP!AK69,"")</f>
        <v/>
      </c>
    </row>
    <row r="70" spans="1:16" x14ac:dyDescent="0.2">
      <c r="A70" t="str">
        <f>IF(ADP!$AO70="Y","700","")</f>
        <v/>
      </c>
      <c r="B70" t="str">
        <f>IF(ADP!$AO70="Y","PMT","")</f>
        <v/>
      </c>
      <c r="C70" t="str">
        <f>IF(ADP!$AO70="Y",ADP!P70,"")</f>
        <v/>
      </c>
      <c r="O70" t="str">
        <f>IF(ADP!$AO70="Y",ADP!AH70,"")</f>
        <v/>
      </c>
      <c r="P70" t="str">
        <f>IF(ADP!$AO70="Y",ADP!AK70,"")</f>
        <v/>
      </c>
    </row>
    <row r="71" spans="1:16" x14ac:dyDescent="0.2">
      <c r="A71" t="str">
        <f>IF(ADP!$AO71="Y","700","")</f>
        <v>700</v>
      </c>
      <c r="B71" t="str">
        <f>IF(ADP!$AO71="Y","PMT","")</f>
        <v>PMT</v>
      </c>
      <c r="C71" t="str">
        <f>IF(ADP!$AO71="Y",ADP!P71,"")</f>
        <v>007861</v>
      </c>
      <c r="O71">
        <f>IF(ADP!$AO71="Y",ADP!AH71,"")</f>
        <v>0</v>
      </c>
      <c r="P71" t="str">
        <f>IF(ADP!$AO71="Y",ADP!AK71,"")</f>
        <v>USD</v>
      </c>
    </row>
    <row r="72" spans="1:16" x14ac:dyDescent="0.2">
      <c r="A72" t="str">
        <f>IF(ADP!$AO72="Y","700","")</f>
        <v/>
      </c>
      <c r="B72" t="str">
        <f>IF(ADP!$AO72="Y","PMT","")</f>
        <v/>
      </c>
      <c r="C72" t="str">
        <f>IF(ADP!$AO72="Y",ADP!P72,"")</f>
        <v/>
      </c>
      <c r="O72" t="str">
        <f>IF(ADP!$AO72="Y",ADP!AH72,"")</f>
        <v/>
      </c>
      <c r="P72" t="str">
        <f>IF(ADP!$AO72="Y",ADP!AK72,"")</f>
        <v/>
      </c>
    </row>
    <row r="73" spans="1:16" x14ac:dyDescent="0.2">
      <c r="A73" t="str">
        <f>IF(ADP!$AO73="Y","700","")</f>
        <v>700</v>
      </c>
      <c r="B73" t="str">
        <f>IF(ADP!$AO73="Y","PMT","")</f>
        <v>PMT</v>
      </c>
      <c r="C73" t="str">
        <f>IF(ADP!$AO73="Y",ADP!P73,"")</f>
        <v>007630</v>
      </c>
      <c r="O73">
        <f>IF(ADP!$AO73="Y",ADP!AH73,"")</f>
        <v>0</v>
      </c>
      <c r="P73" t="str">
        <f>IF(ADP!$AO73="Y",ADP!AK73,"")</f>
        <v>USD</v>
      </c>
    </row>
    <row r="74" spans="1:16" x14ac:dyDescent="0.2">
      <c r="A74" t="str">
        <f>IF(ADP!$AO74="Y","700","")</f>
        <v/>
      </c>
      <c r="B74" t="str">
        <f>IF(ADP!$AO74="Y","PMT","")</f>
        <v/>
      </c>
      <c r="C74" t="str">
        <f>IF(ADP!$AO74="Y",ADP!P74,"")</f>
        <v/>
      </c>
      <c r="O74" t="str">
        <f>IF(ADP!$AO74="Y",ADP!AH74,"")</f>
        <v/>
      </c>
      <c r="P74" t="str">
        <f>IF(ADP!$AO74="Y",ADP!AK74,"")</f>
        <v/>
      </c>
    </row>
    <row r="75" spans="1:16" x14ac:dyDescent="0.2">
      <c r="A75" t="str">
        <f>IF(ADP!$AO75="Y","700","")</f>
        <v/>
      </c>
      <c r="B75" t="str">
        <f>IF(ADP!$AO75="Y","PMT","")</f>
        <v/>
      </c>
      <c r="C75" t="str">
        <f>IF(ADP!$AO75="Y",ADP!P75,"")</f>
        <v/>
      </c>
      <c r="O75" t="str">
        <f>IF(ADP!$AO75="Y",ADP!AH75,"")</f>
        <v/>
      </c>
      <c r="P75" t="str">
        <f>IF(ADP!$AO75="Y",ADP!AK75,"")</f>
        <v/>
      </c>
    </row>
    <row r="76" spans="1:16" x14ac:dyDescent="0.2">
      <c r="A76" t="str">
        <f>IF(ADP!$AO76="Y","700","")</f>
        <v>700</v>
      </c>
      <c r="B76" t="str">
        <f>IF(ADP!$AO76="Y","PMT","")</f>
        <v>PMT</v>
      </c>
      <c r="C76" t="str">
        <f>IF(ADP!$AO76="Y",ADP!P76,"")</f>
        <v>212678</v>
      </c>
      <c r="O76">
        <f>IF(ADP!$AO76="Y",ADP!AH76,"")</f>
        <v>25000</v>
      </c>
      <c r="P76" t="str">
        <f>IF(ADP!$AO76="Y",ADP!AK76,"")</f>
        <v>USD</v>
      </c>
    </row>
    <row r="77" spans="1:16" x14ac:dyDescent="0.2">
      <c r="A77" t="str">
        <f>IF(ADP!$AO77="Y","700","")</f>
        <v>700</v>
      </c>
      <c r="B77" t="str">
        <f>IF(ADP!$AO77="Y","PMT","")</f>
        <v>PMT</v>
      </c>
      <c r="C77" t="str">
        <f>IF(ADP!$AO77="Y",ADP!P77,"")</f>
        <v>209181</v>
      </c>
      <c r="O77">
        <f>IF(ADP!$AO77="Y",ADP!AH77,"")</f>
        <v>25000</v>
      </c>
      <c r="P77" t="str">
        <f>IF(ADP!$AO77="Y",ADP!AK77,"")</f>
        <v>USD</v>
      </c>
    </row>
    <row r="78" spans="1:16" x14ac:dyDescent="0.2">
      <c r="A78" t="str">
        <f>IF(ADP!$AO78="Y","700","")</f>
        <v>700</v>
      </c>
      <c r="B78" t="str">
        <f>IF(ADP!$AO78="Y","PMT","")</f>
        <v>PMT</v>
      </c>
      <c r="C78" t="str">
        <f>IF(ADP!$AO78="Y",ADP!P78,"")</f>
        <v>212725</v>
      </c>
      <c r="O78">
        <f>IF(ADP!$AO78="Y",ADP!AH78,"")</f>
        <v>25000</v>
      </c>
      <c r="P78" t="str">
        <f>IF(ADP!$AO78="Y",ADP!AK78,"")</f>
        <v>USD</v>
      </c>
    </row>
    <row r="79" spans="1:16" x14ac:dyDescent="0.2">
      <c r="A79" t="str">
        <f>IF(ADP!$AO79="Y","700","")</f>
        <v/>
      </c>
      <c r="B79" t="str">
        <f>IF(ADP!$AO79="Y","PMT","")</f>
        <v/>
      </c>
      <c r="C79" t="str">
        <f>IF(ADP!$AO79="Y",ADP!P79,"")</f>
        <v/>
      </c>
      <c r="O79" t="str">
        <f>IF(ADP!$AO79="Y",ADP!AH79,"")</f>
        <v/>
      </c>
      <c r="P79" t="str">
        <f>IF(ADP!$AO79="Y",ADP!AK79,"")</f>
        <v/>
      </c>
    </row>
    <row r="80" spans="1:16" x14ac:dyDescent="0.2">
      <c r="A80" t="str">
        <f>IF(ADP!$AO80="Y","700","")</f>
        <v/>
      </c>
      <c r="B80" t="str">
        <f>IF(ADP!$AO80="Y","PMT","")</f>
        <v/>
      </c>
      <c r="C80" t="str">
        <f>IF(ADP!$AO80="Y",ADP!P80,"")</f>
        <v/>
      </c>
      <c r="O80" t="str">
        <f>IF(ADP!$AO80="Y",ADP!AH80,"")</f>
        <v/>
      </c>
      <c r="P80" t="str">
        <f>IF(ADP!$AO80="Y",ADP!AK80,"")</f>
        <v/>
      </c>
    </row>
    <row r="81" spans="1:16" x14ac:dyDescent="0.2">
      <c r="A81" t="str">
        <f>IF(ADP!$AO81="Y","700","")</f>
        <v/>
      </c>
      <c r="B81" t="str">
        <f>IF(ADP!$AO81="Y","PMT","")</f>
        <v/>
      </c>
      <c r="C81" t="str">
        <f>IF(ADP!$AO81="Y",ADP!P81,"")</f>
        <v/>
      </c>
      <c r="O81" t="str">
        <f>IF(ADP!$AO81="Y",ADP!AH81,"")</f>
        <v/>
      </c>
      <c r="P81" t="str">
        <f>IF(ADP!$AO81="Y",ADP!AK81,"")</f>
        <v/>
      </c>
    </row>
    <row r="82" spans="1:16" x14ac:dyDescent="0.2">
      <c r="A82" t="str">
        <f>IF(ADP!$AO82="Y","700","")</f>
        <v/>
      </c>
      <c r="B82" t="str">
        <f>IF(ADP!$AO82="Y","PMT","")</f>
        <v/>
      </c>
      <c r="C82" t="str">
        <f>IF(ADP!$AO82="Y",ADP!P82,"")</f>
        <v/>
      </c>
      <c r="O82" t="str">
        <f>IF(ADP!$AO82="Y",ADP!AH82,"")</f>
        <v/>
      </c>
      <c r="P82" t="str">
        <f>IF(ADP!$AO82="Y",ADP!AK82,"")</f>
        <v/>
      </c>
    </row>
    <row r="83" spans="1:16" x14ac:dyDescent="0.2">
      <c r="A83" t="str">
        <f>IF(ADP!$AO83="Y","700","")</f>
        <v/>
      </c>
      <c r="B83" t="str">
        <f>IF(ADP!$AO83="Y","PMT","")</f>
        <v/>
      </c>
      <c r="C83" t="str">
        <f>IF(ADP!$AO83="Y",ADP!P83,"")</f>
        <v/>
      </c>
      <c r="O83" t="str">
        <f>IF(ADP!$AO83="Y",ADP!AH83,"")</f>
        <v/>
      </c>
      <c r="P83" t="str">
        <f>IF(ADP!$AO83="Y",ADP!AK83,"")</f>
        <v/>
      </c>
    </row>
    <row r="84" spans="1:16" x14ac:dyDescent="0.2">
      <c r="A84" t="str">
        <f>IF(ADP!$AO84="Y","700","")</f>
        <v/>
      </c>
      <c r="B84" t="str">
        <f>IF(ADP!$AO84="Y","PMT","")</f>
        <v/>
      </c>
      <c r="C84" t="str">
        <f>IF(ADP!$AO84="Y",ADP!P84,"")</f>
        <v/>
      </c>
      <c r="O84" t="str">
        <f>IF(ADP!$AO84="Y",ADP!AH84,"")</f>
        <v/>
      </c>
      <c r="P84" t="str">
        <f>IF(ADP!$AO84="Y",ADP!AK84,"")</f>
        <v/>
      </c>
    </row>
    <row r="85" spans="1:16" x14ac:dyDescent="0.2">
      <c r="A85" t="str">
        <f>IF(ADP!$AO85="Y","700","")</f>
        <v/>
      </c>
      <c r="B85" t="str">
        <f>IF(ADP!$AO85="Y","PMT","")</f>
        <v/>
      </c>
      <c r="C85" t="str">
        <f>IF(ADP!$AO85="Y",ADP!P85,"")</f>
        <v/>
      </c>
      <c r="O85" t="str">
        <f>IF(ADP!$AO85="Y",ADP!AH85,"")</f>
        <v/>
      </c>
      <c r="P85" t="str">
        <f>IF(ADP!$AO85="Y",ADP!AK85,"")</f>
        <v/>
      </c>
    </row>
    <row r="86" spans="1:16" x14ac:dyDescent="0.2">
      <c r="A86" t="str">
        <f>IF(ADP!$AO86="Y","700","")</f>
        <v/>
      </c>
      <c r="B86" t="str">
        <f>IF(ADP!$AO86="Y","PMT","")</f>
        <v/>
      </c>
      <c r="C86" t="str">
        <f>IF(ADP!$AO86="Y",ADP!P86,"")</f>
        <v/>
      </c>
      <c r="O86" t="str">
        <f>IF(ADP!$AO86="Y",ADP!AH86,"")</f>
        <v/>
      </c>
      <c r="P86" t="str">
        <f>IF(ADP!$AO86="Y",ADP!AK86,"")</f>
        <v/>
      </c>
    </row>
    <row r="87" spans="1:16" x14ac:dyDescent="0.2">
      <c r="A87" t="str">
        <f>IF(ADP!$AO87="Y","700","")</f>
        <v/>
      </c>
      <c r="B87" t="str">
        <f>IF(ADP!$AO87="Y","PMT","")</f>
        <v/>
      </c>
      <c r="C87" t="str">
        <f>IF(ADP!$AO87="Y",ADP!P87,"")</f>
        <v/>
      </c>
      <c r="O87" t="str">
        <f>IF(ADP!$AO87="Y",ADP!AH87,"")</f>
        <v/>
      </c>
      <c r="P87" t="str">
        <f>IF(ADP!$AO87="Y",ADP!AK87,"")</f>
        <v/>
      </c>
    </row>
    <row r="88" spans="1:16" x14ac:dyDescent="0.2">
      <c r="A88" t="str">
        <f>IF(ADP!$AO88="Y","700","")</f>
        <v>700</v>
      </c>
      <c r="B88" t="str">
        <f>IF(ADP!$AO88="Y","PMT","")</f>
        <v>PMT</v>
      </c>
      <c r="C88" t="str">
        <f>IF(ADP!$AO88="Y",ADP!P88,"")</f>
        <v>211131</v>
      </c>
      <c r="O88">
        <f>IF(ADP!$AO88="Y",ADP!AH88,"")</f>
        <v>25000</v>
      </c>
      <c r="P88" t="str">
        <f>IF(ADP!$AO88="Y",ADP!AK88,"")</f>
        <v>USD</v>
      </c>
    </row>
    <row r="89" spans="1:16" x14ac:dyDescent="0.2">
      <c r="A89" t="str">
        <f>IF(ADP!$AO89="Y","700","")</f>
        <v/>
      </c>
      <c r="B89" t="str">
        <f>IF(ADP!$AO89="Y","PMT","")</f>
        <v/>
      </c>
      <c r="C89" t="str">
        <f>IF(ADP!$AO89="Y",ADP!P89,"")</f>
        <v/>
      </c>
      <c r="O89" t="str">
        <f>IF(ADP!$AO89="Y",ADP!AH89,"")</f>
        <v/>
      </c>
      <c r="P89" t="str">
        <f>IF(ADP!$AO89="Y",ADP!AK89,"")</f>
        <v/>
      </c>
    </row>
    <row r="90" spans="1:16" x14ac:dyDescent="0.2">
      <c r="A90" t="str">
        <f>IF(ADP!$AO90="Y","700","")</f>
        <v/>
      </c>
      <c r="B90" t="str">
        <f>IF(ADP!$AO90="Y","PMT","")</f>
        <v/>
      </c>
      <c r="C90" t="str">
        <f>IF(ADP!$AO90="Y",ADP!P90,"")</f>
        <v/>
      </c>
      <c r="O90" t="str">
        <f>IF(ADP!$AO90="Y",ADP!AH90,"")</f>
        <v/>
      </c>
      <c r="P90" t="str">
        <f>IF(ADP!$AO90="Y",ADP!AK90,"")</f>
        <v/>
      </c>
    </row>
    <row r="91" spans="1:16" x14ac:dyDescent="0.2">
      <c r="A91" t="str">
        <f>IF(ADP!$AO91="Y","700","")</f>
        <v>700</v>
      </c>
      <c r="B91" t="str">
        <f>IF(ADP!$AO91="Y","PMT","")</f>
        <v>PMT</v>
      </c>
      <c r="C91" t="str">
        <f>IF(ADP!$AO91="Y",ADP!P91,"")</f>
        <v>207588</v>
      </c>
      <c r="O91">
        <f>IF(ADP!$AO91="Y",ADP!AH91,"")</f>
        <v>25000</v>
      </c>
      <c r="P91" t="str">
        <f>IF(ADP!$AO91="Y",ADP!AK91,"")</f>
        <v>USD</v>
      </c>
    </row>
    <row r="92" spans="1:16" x14ac:dyDescent="0.2">
      <c r="A92" t="str">
        <f>IF(ADP!$AO92="Y","700","")</f>
        <v/>
      </c>
      <c r="B92" t="str">
        <f>IF(ADP!$AO92="Y","PMT","")</f>
        <v/>
      </c>
      <c r="C92" t="str">
        <f>IF(ADP!$AO92="Y",ADP!P92,"")</f>
        <v/>
      </c>
      <c r="O92" t="str">
        <f>IF(ADP!$AO92="Y",ADP!AH92,"")</f>
        <v/>
      </c>
      <c r="P92" t="str">
        <f>IF(ADP!$AO92="Y",ADP!AK92,"")</f>
        <v/>
      </c>
    </row>
    <row r="93" spans="1:16" x14ac:dyDescent="0.2">
      <c r="A93" t="str">
        <f>IF(ADP!$AO93="Y","700","")</f>
        <v/>
      </c>
      <c r="B93" t="str">
        <f>IF(ADP!$AO93="Y","PMT","")</f>
        <v/>
      </c>
      <c r="C93" t="str">
        <f>IF(ADP!$AO93="Y",ADP!P93,"")</f>
        <v/>
      </c>
      <c r="O93" t="str">
        <f>IF(ADP!$AO93="Y",ADP!AH93,"")</f>
        <v/>
      </c>
      <c r="P93" t="str">
        <f>IF(ADP!$AO93="Y",ADP!AK93,"")</f>
        <v/>
      </c>
    </row>
    <row r="94" spans="1:16" x14ac:dyDescent="0.2">
      <c r="A94" t="str">
        <f>IF(ADP!$AO94="Y","700","")</f>
        <v/>
      </c>
      <c r="B94" t="str">
        <f>IF(ADP!$AO94="Y","PMT","")</f>
        <v/>
      </c>
      <c r="C94" t="str">
        <f>IF(ADP!$AO94="Y",ADP!P94,"")</f>
        <v/>
      </c>
      <c r="O94" t="str">
        <f>IF(ADP!$AO94="Y",ADP!AH94,"")</f>
        <v/>
      </c>
      <c r="P94" t="str">
        <f>IF(ADP!$AO94="Y",ADP!AK94,"")</f>
        <v/>
      </c>
    </row>
    <row r="95" spans="1:16" x14ac:dyDescent="0.2">
      <c r="A95" t="str">
        <f>IF(ADP!$AO95="Y","700","")</f>
        <v/>
      </c>
      <c r="B95" t="str">
        <f>IF(ADP!$AO95="Y","PMT","")</f>
        <v/>
      </c>
      <c r="C95" t="str">
        <f>IF(ADP!$AO95="Y",ADP!P95,"")</f>
        <v/>
      </c>
      <c r="O95" t="str">
        <f>IF(ADP!$AO95="Y",ADP!AH95,"")</f>
        <v/>
      </c>
      <c r="P95" t="str">
        <f>IF(ADP!$AO95="Y",ADP!AK95,"")</f>
        <v/>
      </c>
    </row>
    <row r="96" spans="1:16" x14ac:dyDescent="0.2">
      <c r="A96" t="str">
        <f>IF(ADP!$AO96="Y","700","")</f>
        <v/>
      </c>
      <c r="B96" t="str">
        <f>IF(ADP!$AO96="Y","PMT","")</f>
        <v/>
      </c>
      <c r="C96" t="str">
        <f>IF(ADP!$AO96="Y",ADP!P96,"")</f>
        <v/>
      </c>
      <c r="O96" t="str">
        <f>IF(ADP!$AO96="Y",ADP!AH96,"")</f>
        <v/>
      </c>
      <c r="P96" t="str">
        <f>IF(ADP!$AO96="Y",ADP!AK96,"")</f>
        <v/>
      </c>
    </row>
    <row r="97" spans="1:16" x14ac:dyDescent="0.2">
      <c r="A97" t="str">
        <f>IF(ADP!$AO97="Y","700","")</f>
        <v/>
      </c>
      <c r="B97" t="str">
        <f>IF(ADP!$AO97="Y","PMT","")</f>
        <v/>
      </c>
      <c r="C97" t="str">
        <f>IF(ADP!$AO97="Y",ADP!P97,"")</f>
        <v/>
      </c>
      <c r="O97" t="str">
        <f>IF(ADP!$AO97="Y",ADP!AH97,"")</f>
        <v/>
      </c>
      <c r="P97" t="str">
        <f>IF(ADP!$AO97="Y",ADP!AK97,"")</f>
        <v/>
      </c>
    </row>
    <row r="98" spans="1:16" x14ac:dyDescent="0.2">
      <c r="A98" t="str">
        <f>IF(ADP!$AO98="Y","700","")</f>
        <v/>
      </c>
      <c r="B98" t="str">
        <f>IF(ADP!$AO98="Y","PMT","")</f>
        <v/>
      </c>
      <c r="C98" t="str">
        <f>IF(ADP!$AO98="Y",ADP!P98,"")</f>
        <v/>
      </c>
      <c r="O98" t="str">
        <f>IF(ADP!$AO98="Y",ADP!AH98,"")</f>
        <v/>
      </c>
      <c r="P98" t="str">
        <f>IF(ADP!$AO98="Y",ADP!AK98,"")</f>
        <v/>
      </c>
    </row>
    <row r="99" spans="1:16" x14ac:dyDescent="0.2">
      <c r="A99" t="str">
        <f>IF(ADP!$AO99="Y","700","")</f>
        <v>700</v>
      </c>
      <c r="B99" t="str">
        <f>IF(ADP!$AO99="Y","PMT","")</f>
        <v>PMT</v>
      </c>
      <c r="C99" t="str">
        <f>IF(ADP!$AO99="Y",ADP!P99,"")</f>
        <v>212191</v>
      </c>
      <c r="O99">
        <f>IF(ADP!$AO99="Y",ADP!AH99,"")</f>
        <v>25000</v>
      </c>
      <c r="P99" t="str">
        <f>IF(ADP!$AO99="Y",ADP!AK99,"")</f>
        <v>USD</v>
      </c>
    </row>
    <row r="100" spans="1:16" x14ac:dyDescent="0.2">
      <c r="A100" t="str">
        <f>IF(ADP!$AO100="Y","700","")</f>
        <v/>
      </c>
      <c r="B100" t="str">
        <f>IF(ADP!$AO100="Y","PMT","")</f>
        <v/>
      </c>
      <c r="C100" t="str">
        <f>IF(ADP!$AO100="Y",ADP!P100,"")</f>
        <v/>
      </c>
      <c r="O100" t="str">
        <f>IF(ADP!$AO100="Y",ADP!AH100,"")</f>
        <v/>
      </c>
      <c r="P100" t="str">
        <f>IF(ADP!$AO100="Y",ADP!AK100,"")</f>
        <v/>
      </c>
    </row>
    <row r="101" spans="1:16" x14ac:dyDescent="0.2">
      <c r="A101" t="str">
        <f>IF(ADP!$AO101="Y","700","")</f>
        <v>700</v>
      </c>
      <c r="B101" t="str">
        <f>IF(ADP!$AO101="Y","PMT","")</f>
        <v>PMT</v>
      </c>
      <c r="C101" t="str">
        <f>IF(ADP!$AO101="Y",ADP!P101,"")</f>
        <v>212146</v>
      </c>
      <c r="O101">
        <f>IF(ADP!$AO101="Y",ADP!AH101,"")</f>
        <v>0</v>
      </c>
      <c r="P101" t="str">
        <f>IF(ADP!$AO101="Y",ADP!AK101,"")</f>
        <v>USD</v>
      </c>
    </row>
    <row r="102" spans="1:16" x14ac:dyDescent="0.2">
      <c r="A102" t="str">
        <f>IF(ADP!$AO102="Y","700","")</f>
        <v>700</v>
      </c>
      <c r="B102" t="str">
        <f>IF(ADP!$AO102="Y","PMT","")</f>
        <v>PMT</v>
      </c>
      <c r="C102" t="str">
        <f>IF(ADP!$AO102="Y",ADP!P102,"")</f>
        <v>901943</v>
      </c>
      <c r="O102">
        <f>IF(ADP!$AO102="Y",ADP!AH102,"")</f>
        <v>0</v>
      </c>
      <c r="P102" t="str">
        <f>IF(ADP!$AO102="Y",ADP!AK102,"")</f>
        <v>USD</v>
      </c>
    </row>
    <row r="103" spans="1:16" x14ac:dyDescent="0.2">
      <c r="A103" t="str">
        <f>IF(ADP!$AO103="Y","700","")</f>
        <v/>
      </c>
      <c r="B103" t="str">
        <f>IF(ADP!$AO103="Y","PMT","")</f>
        <v/>
      </c>
      <c r="C103" t="str">
        <f>IF(ADP!$AO103="Y",ADP!P103,"")</f>
        <v/>
      </c>
      <c r="O103" t="str">
        <f>IF(ADP!$AO103="Y",ADP!AH103,"")</f>
        <v/>
      </c>
      <c r="P103" t="str">
        <f>IF(ADP!$AO103="Y",ADP!AK103,"")</f>
        <v/>
      </c>
    </row>
    <row r="104" spans="1:16" x14ac:dyDescent="0.2">
      <c r="A104" t="str">
        <f>IF(ADP!$AO104="Y","700","")</f>
        <v>700</v>
      </c>
      <c r="B104" t="str">
        <f>IF(ADP!$AO104="Y","PMT","")</f>
        <v>PMT</v>
      </c>
      <c r="C104" t="str">
        <f>IF(ADP!$AO104="Y",ADP!P104,"")</f>
        <v>902013</v>
      </c>
      <c r="O104">
        <f>IF(ADP!$AO104="Y",ADP!AH104,"")</f>
        <v>0</v>
      </c>
      <c r="P104" t="str">
        <f>IF(ADP!$AO104="Y",ADP!AK104,"")</f>
        <v>USD</v>
      </c>
    </row>
    <row r="105" spans="1:16" x14ac:dyDescent="0.2">
      <c r="A105" t="str">
        <f>IF(ADP!$AO105="Y","700","")</f>
        <v/>
      </c>
      <c r="B105" t="str">
        <f>IF(ADP!$AO105="Y","PMT","")</f>
        <v/>
      </c>
      <c r="C105" t="str">
        <f>IF(ADP!$AO105="Y",ADP!P105,"")</f>
        <v/>
      </c>
      <c r="O105" t="str">
        <f>IF(ADP!$AO105="Y",ADP!AH105,"")</f>
        <v/>
      </c>
      <c r="P105" t="str">
        <f>IF(ADP!$AO105="Y",ADP!AK105,"")</f>
        <v/>
      </c>
    </row>
    <row r="106" spans="1:16" x14ac:dyDescent="0.2">
      <c r="A106" t="str">
        <f>IF(ADP!$AO106="Y","700","")</f>
        <v/>
      </c>
      <c r="B106" t="str">
        <f>IF(ADP!$AO106="Y","PMT","")</f>
        <v/>
      </c>
      <c r="C106" t="str">
        <f>IF(ADP!$AO106="Y",ADP!P106,"")</f>
        <v/>
      </c>
      <c r="O106" t="str">
        <f>IF(ADP!$AO106="Y",ADP!AH106,"")</f>
        <v/>
      </c>
      <c r="P106" t="str">
        <f>IF(ADP!$AO106="Y",ADP!AK106,"")</f>
        <v/>
      </c>
    </row>
    <row r="107" spans="1:16" x14ac:dyDescent="0.2">
      <c r="A107" t="str">
        <f>IF(ADP!$AO107="Y","700","")</f>
        <v/>
      </c>
      <c r="B107" t="str">
        <f>IF(ADP!$AO107="Y","PMT","")</f>
        <v/>
      </c>
      <c r="C107" t="str">
        <f>IF(ADP!$AO107="Y",ADP!P107,"")</f>
        <v/>
      </c>
      <c r="O107" t="str">
        <f>IF(ADP!$AO107="Y",ADP!AH107,"")</f>
        <v/>
      </c>
      <c r="P107" t="str">
        <f>IF(ADP!$AO107="Y",ADP!AK107,"")</f>
        <v/>
      </c>
    </row>
    <row r="108" spans="1:16" x14ac:dyDescent="0.2">
      <c r="A108" t="str">
        <f>IF(ADP!$AO108="Y","700","")</f>
        <v>700</v>
      </c>
      <c r="B108" t="str">
        <f>IF(ADP!$AO108="Y","PMT","")</f>
        <v>PMT</v>
      </c>
      <c r="C108" t="str">
        <f>IF(ADP!$AO108="Y",ADP!P108,"")</f>
        <v>211601</v>
      </c>
      <c r="O108">
        <f>IF(ADP!$AO108="Y",ADP!AH108,"")</f>
        <v>100000</v>
      </c>
      <c r="P108" t="str">
        <f>IF(ADP!$AO108="Y",ADP!AK108,"")</f>
        <v>USD</v>
      </c>
    </row>
    <row r="109" spans="1:16" x14ac:dyDescent="0.2">
      <c r="A109" t="str">
        <f>IF(ADP!$AO109="Y","700","")</f>
        <v/>
      </c>
      <c r="B109" t="str">
        <f>IF(ADP!$AO109="Y","PMT","")</f>
        <v/>
      </c>
      <c r="C109" t="str">
        <f>IF(ADP!$AO109="Y",ADP!P109,"")</f>
        <v/>
      </c>
      <c r="O109" t="str">
        <f>IF(ADP!$AO109="Y",ADP!AH109,"")</f>
        <v/>
      </c>
      <c r="P109" t="str">
        <f>IF(ADP!$AO109="Y",ADP!AK109,"")</f>
        <v/>
      </c>
    </row>
    <row r="110" spans="1:16" x14ac:dyDescent="0.2">
      <c r="A110" t="str">
        <f>IF(ADP!$AO110="Y","700","")</f>
        <v/>
      </c>
      <c r="B110" t="str">
        <f>IF(ADP!$AO110="Y","PMT","")</f>
        <v/>
      </c>
      <c r="C110" t="str">
        <f>IF(ADP!$AO110="Y",ADP!P110,"")</f>
        <v/>
      </c>
      <c r="O110" t="str">
        <f>IF(ADP!$AO110="Y",ADP!AH110,"")</f>
        <v/>
      </c>
      <c r="P110" t="str">
        <f>IF(ADP!$AO110="Y",ADP!AK110,"")</f>
        <v/>
      </c>
    </row>
    <row r="111" spans="1:16" x14ac:dyDescent="0.2">
      <c r="A111" t="str">
        <f>IF(ADP!$AO111="Y","700","")</f>
        <v/>
      </c>
      <c r="B111" t="str">
        <f>IF(ADP!$AO111="Y","PMT","")</f>
        <v/>
      </c>
      <c r="C111" t="str">
        <f>IF(ADP!$AO111="Y",ADP!P111,"")</f>
        <v/>
      </c>
      <c r="O111" t="str">
        <f>IF(ADP!$AO111="Y",ADP!AH111,"")</f>
        <v/>
      </c>
      <c r="P111" t="str">
        <f>IF(ADP!$AO111="Y",ADP!AK111,"")</f>
        <v/>
      </c>
    </row>
    <row r="112" spans="1:16" x14ac:dyDescent="0.2">
      <c r="A112" t="str">
        <f>IF(ADP!$AO112="Y","700","")</f>
        <v/>
      </c>
      <c r="B112" t="str">
        <f>IF(ADP!$AO112="Y","PMT","")</f>
        <v/>
      </c>
      <c r="C112" t="str">
        <f>IF(ADP!$AO112="Y",ADP!P112,"")</f>
        <v/>
      </c>
      <c r="O112" t="str">
        <f>IF(ADP!$AO112="Y",ADP!AH112,"")</f>
        <v/>
      </c>
      <c r="P112" t="str">
        <f>IF(ADP!$AO112="Y",ADP!AK112,"")</f>
        <v/>
      </c>
    </row>
    <row r="113" spans="1:16" x14ac:dyDescent="0.2">
      <c r="A113" t="str">
        <f>IF(ADP!$AO113="Y","700","")</f>
        <v>700</v>
      </c>
      <c r="B113" t="str">
        <f>IF(ADP!$AO113="Y","PMT","")</f>
        <v>PMT</v>
      </c>
      <c r="C113" t="str">
        <f>IF(ADP!$AO113="Y",ADP!P113,"")</f>
        <v>008750</v>
      </c>
      <c r="O113">
        <f>IF(ADP!$AO113="Y",ADP!AH113,"")</f>
        <v>25000</v>
      </c>
      <c r="P113" t="str">
        <f>IF(ADP!$AO113="Y",ADP!AK113,"")</f>
        <v>USD</v>
      </c>
    </row>
    <row r="114" spans="1:16" x14ac:dyDescent="0.2">
      <c r="A114" t="str">
        <f>IF(ADP!$AO114="Y","700","")</f>
        <v/>
      </c>
      <c r="B114" t="str">
        <f>IF(ADP!$AO114="Y","PMT","")</f>
        <v/>
      </c>
      <c r="C114" t="str">
        <f>IF(ADP!$AO114="Y",ADP!P114,"")</f>
        <v/>
      </c>
      <c r="O114" t="str">
        <f>IF(ADP!$AO114="Y",ADP!AH114,"")</f>
        <v/>
      </c>
      <c r="P114" t="str">
        <f>IF(ADP!$AO114="Y",ADP!AK114,"")</f>
        <v/>
      </c>
    </row>
    <row r="115" spans="1:16" x14ac:dyDescent="0.2">
      <c r="A115" t="str">
        <f>IF(ADP!$AO115="Y","700","")</f>
        <v/>
      </c>
      <c r="B115" t="str">
        <f>IF(ADP!$AO115="Y","PMT","")</f>
        <v/>
      </c>
      <c r="C115" t="str">
        <f>IF(ADP!$AO115="Y",ADP!P115,"")</f>
        <v/>
      </c>
      <c r="O115" t="str">
        <f>IF(ADP!$AO115="Y",ADP!AH115,"")</f>
        <v/>
      </c>
      <c r="P115" t="str">
        <f>IF(ADP!$AO115="Y",ADP!AK115,"")</f>
        <v/>
      </c>
    </row>
    <row r="116" spans="1:16" x14ac:dyDescent="0.2">
      <c r="A116" t="str">
        <f>IF(ADP!$AO116="Y","700","")</f>
        <v/>
      </c>
      <c r="B116" t="str">
        <f>IF(ADP!$AO116="Y","PMT","")</f>
        <v/>
      </c>
      <c r="C116" t="str">
        <f>IF(ADP!$AO116="Y",ADP!P116,"")</f>
        <v/>
      </c>
      <c r="O116" t="str">
        <f>IF(ADP!$AO116="Y",ADP!AH116,"")</f>
        <v/>
      </c>
      <c r="P116" t="str">
        <f>IF(ADP!$AO116="Y",ADP!AK116,"")</f>
        <v/>
      </c>
    </row>
    <row r="117" spans="1:16" x14ac:dyDescent="0.2">
      <c r="A117" t="str">
        <f>IF(ADP!$AO117="Y","700","")</f>
        <v/>
      </c>
      <c r="B117" t="str">
        <f>IF(ADP!$AO117="Y","PMT","")</f>
        <v/>
      </c>
      <c r="C117" t="str">
        <f>IF(ADP!$AO117="Y",ADP!P117,"")</f>
        <v/>
      </c>
      <c r="O117" t="str">
        <f>IF(ADP!$AO117="Y",ADP!AH117,"")</f>
        <v/>
      </c>
      <c r="P117" t="str">
        <f>IF(ADP!$AO117="Y",ADP!AK117,"")</f>
        <v/>
      </c>
    </row>
    <row r="118" spans="1:16" x14ac:dyDescent="0.2">
      <c r="A118" t="str">
        <f>IF(ADP!$AO118="Y","700","")</f>
        <v>700</v>
      </c>
      <c r="B118" t="str">
        <f>IF(ADP!$AO118="Y","PMT","")</f>
        <v>PMT</v>
      </c>
      <c r="C118" t="str">
        <f>IF(ADP!$AO118="Y",ADP!P118,"")</f>
        <v>901934</v>
      </c>
      <c r="O118">
        <f>IF(ADP!$AO118="Y",ADP!AH118,"")</f>
        <v>25000</v>
      </c>
      <c r="P118" t="str">
        <f>IF(ADP!$AO118="Y",ADP!AK118,"")</f>
        <v>USD</v>
      </c>
    </row>
    <row r="119" spans="1:16" x14ac:dyDescent="0.2">
      <c r="A119" t="str">
        <f>IF(ADP!$AO119="Y","700","")</f>
        <v/>
      </c>
      <c r="B119" t="str">
        <f>IF(ADP!$AO119="Y","PMT","")</f>
        <v/>
      </c>
      <c r="C119" t="str">
        <f>IF(ADP!$AO119="Y",ADP!P119,"")</f>
        <v/>
      </c>
      <c r="O119" t="str">
        <f>IF(ADP!$AO119="Y",ADP!AH119,"")</f>
        <v/>
      </c>
      <c r="P119" t="str">
        <f>IF(ADP!$AO119="Y",ADP!AK119,"")</f>
        <v/>
      </c>
    </row>
    <row r="120" spans="1:16" x14ac:dyDescent="0.2">
      <c r="A120" t="str">
        <f>IF(ADP!$AO120="Y","700","")</f>
        <v/>
      </c>
      <c r="B120" t="str">
        <f>IF(ADP!$AO120="Y","PMT","")</f>
        <v/>
      </c>
      <c r="C120" t="str">
        <f>IF(ADP!$AO120="Y",ADP!P120,"")</f>
        <v/>
      </c>
      <c r="O120" t="str">
        <f>IF(ADP!$AO120="Y",ADP!AH120,"")</f>
        <v/>
      </c>
      <c r="P120" t="str">
        <f>IF(ADP!$AO120="Y",ADP!AK120,"")</f>
        <v/>
      </c>
    </row>
    <row r="121" spans="1:16" x14ac:dyDescent="0.2">
      <c r="A121" t="str">
        <f>IF(ADP!$AO121="Y","700","")</f>
        <v/>
      </c>
      <c r="B121" t="str">
        <f>IF(ADP!$AO121="Y","PMT","")</f>
        <v/>
      </c>
      <c r="C121" t="str">
        <f>IF(ADP!$AO121="Y",ADP!P121,"")</f>
        <v/>
      </c>
      <c r="O121" t="str">
        <f>IF(ADP!$AO121="Y",ADP!AH121,"")</f>
        <v/>
      </c>
      <c r="P121" t="str">
        <f>IF(ADP!$AO121="Y",ADP!AK121,"")</f>
        <v/>
      </c>
    </row>
    <row r="122" spans="1:16" x14ac:dyDescent="0.2">
      <c r="A122" t="str">
        <f>IF(ADP!$AO122="Y","700","")</f>
        <v/>
      </c>
      <c r="B122" t="str">
        <f>IF(ADP!$AO122="Y","PMT","")</f>
        <v/>
      </c>
      <c r="C122" t="str">
        <f>IF(ADP!$AO122="Y",ADP!P122,"")</f>
        <v/>
      </c>
      <c r="O122" t="str">
        <f>IF(ADP!$AO122="Y",ADP!AH122,"")</f>
        <v/>
      </c>
      <c r="P122" t="str">
        <f>IF(ADP!$AO122="Y",ADP!AK122,"")</f>
        <v/>
      </c>
    </row>
    <row r="123" spans="1:16" x14ac:dyDescent="0.2">
      <c r="A123" t="str">
        <f>IF(ADP!$AO123="Y","700","")</f>
        <v/>
      </c>
      <c r="B123" t="str">
        <f>IF(ADP!$AO123="Y","PMT","")</f>
        <v/>
      </c>
      <c r="C123" t="str">
        <f>IF(ADP!$AO123="Y",ADP!P123,"")</f>
        <v/>
      </c>
      <c r="O123" t="str">
        <f>IF(ADP!$AO123="Y",ADP!AH123,"")</f>
        <v/>
      </c>
      <c r="P123" t="str">
        <f>IF(ADP!$AO123="Y",ADP!AK123,"")</f>
        <v/>
      </c>
    </row>
    <row r="124" spans="1:16" x14ac:dyDescent="0.2">
      <c r="A124" t="str">
        <f>IF(ADP!$AO124="Y","700","")</f>
        <v/>
      </c>
      <c r="B124" t="str">
        <f>IF(ADP!$AO124="Y","PMT","")</f>
        <v/>
      </c>
      <c r="C124" t="str">
        <f>IF(ADP!$AO124="Y",ADP!P124,"")</f>
        <v/>
      </c>
      <c r="O124" t="str">
        <f>IF(ADP!$AO124="Y",ADP!AH124,"")</f>
        <v/>
      </c>
      <c r="P124" t="str">
        <f>IF(ADP!$AO124="Y",ADP!AK124,"")</f>
        <v/>
      </c>
    </row>
    <row r="125" spans="1:16" x14ac:dyDescent="0.2">
      <c r="A125" t="str">
        <f>IF(ADP!$AO125="Y","700","")</f>
        <v/>
      </c>
      <c r="B125" t="str">
        <f>IF(ADP!$AO125="Y","PMT","")</f>
        <v/>
      </c>
      <c r="C125" t="str">
        <f>IF(ADP!$AO125="Y",ADP!P125,"")</f>
        <v/>
      </c>
      <c r="O125" t="str">
        <f>IF(ADP!$AO125="Y",ADP!AH125,"")</f>
        <v/>
      </c>
      <c r="P125" t="str">
        <f>IF(ADP!$AO125="Y",ADP!AK125,"")</f>
        <v/>
      </c>
    </row>
    <row r="126" spans="1:16" x14ac:dyDescent="0.2">
      <c r="A126" t="str">
        <f>IF(ADP!$AO126="Y","700","")</f>
        <v/>
      </c>
      <c r="B126" t="str">
        <f>IF(ADP!$AO126="Y","PMT","")</f>
        <v/>
      </c>
      <c r="C126" t="str">
        <f>IF(ADP!$AO126="Y",ADP!P126,"")</f>
        <v/>
      </c>
      <c r="O126" t="str">
        <f>IF(ADP!$AO126="Y",ADP!AH126,"")</f>
        <v/>
      </c>
      <c r="P126" t="str">
        <f>IF(ADP!$AO126="Y",ADP!AK126,"")</f>
        <v/>
      </c>
    </row>
    <row r="127" spans="1:16" x14ac:dyDescent="0.2">
      <c r="A127" t="str">
        <f>IF(ADP!$AO127="Y","700","")</f>
        <v/>
      </c>
      <c r="B127" t="str">
        <f>IF(ADP!$AO127="Y","PMT","")</f>
        <v/>
      </c>
      <c r="C127" t="str">
        <f>IF(ADP!$AO127="Y",ADP!P127,"")</f>
        <v/>
      </c>
      <c r="O127" t="str">
        <f>IF(ADP!$AO127="Y",ADP!AH127,"")</f>
        <v/>
      </c>
      <c r="P127" t="str">
        <f>IF(ADP!$AO127="Y",ADP!AK127,"")</f>
        <v/>
      </c>
    </row>
    <row r="128" spans="1:16" x14ac:dyDescent="0.2">
      <c r="A128" t="str">
        <f>IF(ADP!$AO128="Y","700","")</f>
        <v/>
      </c>
      <c r="B128" t="str">
        <f>IF(ADP!$AO128="Y","PMT","")</f>
        <v/>
      </c>
      <c r="C128" t="str">
        <f>IF(ADP!$AO128="Y",ADP!P128,"")</f>
        <v/>
      </c>
      <c r="O128" t="str">
        <f>IF(ADP!$AO128="Y",ADP!AH128,"")</f>
        <v/>
      </c>
      <c r="P128" t="str">
        <f>IF(ADP!$AO128="Y",ADP!AK128,"")</f>
        <v/>
      </c>
    </row>
    <row r="129" spans="1:16" x14ac:dyDescent="0.2">
      <c r="A129" t="str">
        <f>IF(ADP!$AO129="Y","700","")</f>
        <v/>
      </c>
      <c r="B129" t="str">
        <f>IF(ADP!$AO129="Y","PMT","")</f>
        <v/>
      </c>
      <c r="C129" t="str">
        <f>IF(ADP!$AO129="Y",ADP!P129,"")</f>
        <v/>
      </c>
      <c r="O129" t="str">
        <f>IF(ADP!$AO129="Y",ADP!AH129,"")</f>
        <v/>
      </c>
      <c r="P129" t="str">
        <f>IF(ADP!$AO129="Y",ADP!AK129,"")</f>
        <v/>
      </c>
    </row>
    <row r="130" spans="1:16" x14ac:dyDescent="0.2">
      <c r="A130" t="str">
        <f>IF(ADP!$AO130="Y","700","")</f>
        <v/>
      </c>
      <c r="B130" t="str">
        <f>IF(ADP!$AO130="Y","PMT","")</f>
        <v/>
      </c>
      <c r="C130" t="str">
        <f>IF(ADP!$AO130="Y",ADP!P130,"")</f>
        <v/>
      </c>
      <c r="O130" t="str">
        <f>IF(ADP!$AO130="Y",ADP!AH130,"")</f>
        <v/>
      </c>
      <c r="P130" t="str">
        <f>IF(ADP!$AO130="Y",ADP!AK130,"")</f>
        <v/>
      </c>
    </row>
    <row r="131" spans="1:16" x14ac:dyDescent="0.2">
      <c r="A131" t="str">
        <f>IF(ADP!$AO131="Y","700","")</f>
        <v/>
      </c>
      <c r="B131" t="str">
        <f>IF(ADP!$AO131="Y","PMT","")</f>
        <v/>
      </c>
      <c r="C131" t="str">
        <f>IF(ADP!$AO131="Y",ADP!P131,"")</f>
        <v/>
      </c>
      <c r="O131" t="str">
        <f>IF(ADP!$AO131="Y",ADP!AH131,"")</f>
        <v/>
      </c>
      <c r="P131" t="str">
        <f>IF(ADP!$AO131="Y",ADP!AK131,"")</f>
        <v/>
      </c>
    </row>
    <row r="132" spans="1:16" x14ac:dyDescent="0.2">
      <c r="A132" t="str">
        <f>IF(ADP!$AO132="Y","700","")</f>
        <v>700</v>
      </c>
      <c r="B132" t="str">
        <f>IF(ADP!$AO132="Y","PMT","")</f>
        <v>PMT</v>
      </c>
      <c r="C132" t="str">
        <f>IF(ADP!$AO132="Y",ADP!P132,"")</f>
        <v>210339</v>
      </c>
      <c r="O132">
        <f>IF(ADP!$AO132="Y",ADP!AH132,"")</f>
        <v>25000</v>
      </c>
      <c r="P132" t="str">
        <f>IF(ADP!$AO132="Y",ADP!AK132,"")</f>
        <v>USD</v>
      </c>
    </row>
    <row r="133" spans="1:16" x14ac:dyDescent="0.2">
      <c r="A133" t="str">
        <f>IF(ADP!$AO133="Y","700","")</f>
        <v/>
      </c>
      <c r="B133" t="str">
        <f>IF(ADP!$AO133="Y","PMT","")</f>
        <v/>
      </c>
      <c r="C133" t="str">
        <f>IF(ADP!$AO133="Y",ADP!P133,"")</f>
        <v/>
      </c>
      <c r="O133" t="str">
        <f>IF(ADP!$AO133="Y",ADP!AH133,"")</f>
        <v/>
      </c>
      <c r="P133" t="str">
        <f>IF(ADP!$AO133="Y",ADP!AK133,"")</f>
        <v/>
      </c>
    </row>
    <row r="134" spans="1:16" x14ac:dyDescent="0.2">
      <c r="A134" t="str">
        <f>IF(ADP!$AO134="Y","700","")</f>
        <v>700</v>
      </c>
      <c r="B134" t="str">
        <f>IF(ADP!$AO134="Y","PMT","")</f>
        <v>PMT</v>
      </c>
      <c r="C134" t="str">
        <f>IF(ADP!$AO134="Y",ADP!P134,"")</f>
        <v>211045</v>
      </c>
      <c r="O134">
        <f>IF(ADP!$AO134="Y",ADP!AH134,"")</f>
        <v>25000</v>
      </c>
      <c r="P134" t="str">
        <f>IF(ADP!$AO134="Y",ADP!AK134,"")</f>
        <v>USD</v>
      </c>
    </row>
    <row r="135" spans="1:16" x14ac:dyDescent="0.2">
      <c r="A135" t="str">
        <f>IF(ADP!$AO135="Y","700","")</f>
        <v>700</v>
      </c>
      <c r="B135" t="str">
        <f>IF(ADP!$AO135="Y","PMT","")</f>
        <v>PMT</v>
      </c>
      <c r="C135" t="str">
        <f>IF(ADP!$AO135="Y",ADP!P135,"")</f>
        <v>212421</v>
      </c>
      <c r="O135">
        <f>IF(ADP!$AO135="Y",ADP!AH135,"")</f>
        <v>25000</v>
      </c>
      <c r="P135" t="str">
        <f>IF(ADP!$AO135="Y",ADP!AK135,"")</f>
        <v>USD</v>
      </c>
    </row>
    <row r="136" spans="1:16" x14ac:dyDescent="0.2">
      <c r="A136" t="str">
        <f>IF(ADP!$AO136="Y","700","")</f>
        <v/>
      </c>
      <c r="B136" t="str">
        <f>IF(ADP!$AO136="Y","PMT","")</f>
        <v/>
      </c>
      <c r="C136" t="str">
        <f>IF(ADP!$AO136="Y",ADP!P136,"")</f>
        <v/>
      </c>
      <c r="O136" t="str">
        <f>IF(ADP!$AO136="Y",ADP!AH136,"")</f>
        <v/>
      </c>
      <c r="P136" t="str">
        <f>IF(ADP!$AO136="Y",ADP!AK136,"")</f>
        <v/>
      </c>
    </row>
    <row r="137" spans="1:16" x14ac:dyDescent="0.2">
      <c r="A137" t="str">
        <f>IF(ADP!$AO137="Y","700","")</f>
        <v/>
      </c>
      <c r="B137" t="str">
        <f>IF(ADP!$AO137="Y","PMT","")</f>
        <v/>
      </c>
      <c r="C137" t="str">
        <f>IF(ADP!$AO137="Y",ADP!P137,"")</f>
        <v/>
      </c>
      <c r="O137" t="str">
        <f>IF(ADP!$AO137="Y",ADP!AH137,"")</f>
        <v/>
      </c>
      <c r="P137" t="str">
        <f>IF(ADP!$AO137="Y",ADP!AK137,"")</f>
        <v/>
      </c>
    </row>
    <row r="138" spans="1:16" x14ac:dyDescent="0.2">
      <c r="A138" t="str">
        <f>IF(ADP!$AO138="Y","700","")</f>
        <v/>
      </c>
      <c r="B138" t="str">
        <f>IF(ADP!$AO138="Y","PMT","")</f>
        <v/>
      </c>
      <c r="C138" t="str">
        <f>IF(ADP!$AO138="Y",ADP!P138,"")</f>
        <v/>
      </c>
      <c r="O138" t="str">
        <f>IF(ADP!$AO138="Y",ADP!AH138,"")</f>
        <v/>
      </c>
      <c r="P138" t="str">
        <f>IF(ADP!$AO138="Y",ADP!AK138,"")</f>
        <v/>
      </c>
    </row>
    <row r="139" spans="1:16" x14ac:dyDescent="0.2">
      <c r="A139" t="str">
        <f>IF(ADP!$AO139="Y","700","")</f>
        <v>700</v>
      </c>
      <c r="B139" t="str">
        <f>IF(ADP!$AO139="Y","PMT","")</f>
        <v>PMT</v>
      </c>
      <c r="C139">
        <f>IF(ADP!$AO139="Y",ADP!P139,"")</f>
        <v>0</v>
      </c>
      <c r="O139" t="str">
        <f>IF(ADP!$AO139="Y",ADP!AH139,"")</f>
        <v>Invoice Approval Not Mapped</v>
      </c>
      <c r="P139" t="str">
        <f>IF(ADP!$AO139="Y",ADP!AK139,"")</f>
        <v>BU Currency Not Mapped</v>
      </c>
    </row>
    <row r="140" spans="1:16" x14ac:dyDescent="0.2">
      <c r="A140" t="str">
        <f>IF(ADP!$AO140="Y","700","")</f>
        <v>700</v>
      </c>
      <c r="B140" t="str">
        <f>IF(ADP!$AO140="Y","PMT","")</f>
        <v>PMT</v>
      </c>
      <c r="C140">
        <f>IF(ADP!$AO140="Y",ADP!P140,"")</f>
        <v>0</v>
      </c>
      <c r="O140" t="str">
        <f>IF(ADP!$AO140="Y",ADP!AH140,"")</f>
        <v>Invoice Approval Not Mapped</v>
      </c>
      <c r="P140" t="str">
        <f>IF(ADP!$AO140="Y",ADP!AK140,"")</f>
        <v>BU Currency Not Mapped</v>
      </c>
    </row>
    <row r="141" spans="1:16" x14ac:dyDescent="0.2">
      <c r="A141" t="str">
        <f>IF(ADP!$AO141="Y","700","")</f>
        <v>700</v>
      </c>
      <c r="B141" t="str">
        <f>IF(ADP!$AO141="Y","PMT","")</f>
        <v>PMT</v>
      </c>
      <c r="C141">
        <f>IF(ADP!$AO141="Y",ADP!P141,"")</f>
        <v>0</v>
      </c>
      <c r="O141" t="str">
        <f>IF(ADP!$AO141="Y",ADP!AH141,"")</f>
        <v>Invoice Approval Not Mapped</v>
      </c>
      <c r="P141" t="str">
        <f>IF(ADP!$AO141="Y",ADP!AK141,"")</f>
        <v>BU Currency Not Mapped</v>
      </c>
    </row>
    <row r="142" spans="1:16" x14ac:dyDescent="0.2">
      <c r="A142" t="str">
        <f>IF(ADP!$AO142="Y","700","")</f>
        <v>700</v>
      </c>
      <c r="B142" t="str">
        <f>IF(ADP!$AO142="Y","PMT","")</f>
        <v>PMT</v>
      </c>
      <c r="C142">
        <f>IF(ADP!$AO142="Y",ADP!P142,"")</f>
        <v>0</v>
      </c>
      <c r="O142" t="str">
        <f>IF(ADP!$AO142="Y",ADP!AH142,"")</f>
        <v>Invoice Approval Not Mapped</v>
      </c>
      <c r="P142" t="str">
        <f>IF(ADP!$AO142="Y",ADP!AK142,"")</f>
        <v>BU Currency Not Mapped</v>
      </c>
    </row>
    <row r="143" spans="1:16" x14ac:dyDescent="0.2">
      <c r="A143" t="str">
        <f>IF(ADP!$AO143="Y","700","")</f>
        <v>700</v>
      </c>
      <c r="B143" t="str">
        <f>IF(ADP!$AO143="Y","PMT","")</f>
        <v>PMT</v>
      </c>
      <c r="C143">
        <f>IF(ADP!$AO143="Y",ADP!P143,"")</f>
        <v>0</v>
      </c>
      <c r="O143" t="str">
        <f>IF(ADP!$AO143="Y",ADP!AH143,"")</f>
        <v>Invoice Approval Not Mapped</v>
      </c>
      <c r="P143" t="str">
        <f>IF(ADP!$AO143="Y",ADP!AK143,"")</f>
        <v>BU Currency Not Mapped</v>
      </c>
    </row>
    <row r="144" spans="1:16" x14ac:dyDescent="0.2">
      <c r="A144" t="str">
        <f>IF(ADP!$AO144="Y","700","")</f>
        <v>700</v>
      </c>
      <c r="B144" t="str">
        <f>IF(ADP!$AO144="Y","PMT","")</f>
        <v>PMT</v>
      </c>
      <c r="C144">
        <f>IF(ADP!$AO144="Y",ADP!P144,"")</f>
        <v>0</v>
      </c>
      <c r="O144" t="str">
        <f>IF(ADP!$AO144="Y",ADP!AH144,"")</f>
        <v>Invoice Approval Not Mapped</v>
      </c>
      <c r="P144" t="str">
        <f>IF(ADP!$AO144="Y",ADP!AK144,"")</f>
        <v>BU Currency Not Mapped</v>
      </c>
    </row>
    <row r="145" spans="1:16" x14ac:dyDescent="0.2">
      <c r="A145" t="str">
        <f>IF(ADP!$AO145="Y","700","")</f>
        <v>700</v>
      </c>
      <c r="B145" t="str">
        <f>IF(ADP!$AO145="Y","PMT","")</f>
        <v>PMT</v>
      </c>
      <c r="C145">
        <f>IF(ADP!$AO145="Y",ADP!P145,"")</f>
        <v>0</v>
      </c>
      <c r="O145" t="str">
        <f>IF(ADP!$AO145="Y",ADP!AH145,"")</f>
        <v>Invoice Approval Not Mapped</v>
      </c>
      <c r="P145" t="str">
        <f>IF(ADP!$AO145="Y",ADP!AK145,"")</f>
        <v>BU Currency Not Mapped</v>
      </c>
    </row>
    <row r="146" spans="1:16" x14ac:dyDescent="0.2">
      <c r="A146" t="str">
        <f>IF(ADP!$AO146="Y","700","")</f>
        <v>700</v>
      </c>
      <c r="B146" t="str">
        <f>IF(ADP!$AO146="Y","PMT","")</f>
        <v>PMT</v>
      </c>
      <c r="C146">
        <f>IF(ADP!$AO146="Y",ADP!P146,"")</f>
        <v>0</v>
      </c>
      <c r="O146" t="str">
        <f>IF(ADP!$AO146="Y",ADP!AH146,"")</f>
        <v>Invoice Approval Not Mapped</v>
      </c>
      <c r="P146" t="str">
        <f>IF(ADP!$AO146="Y",ADP!AK146,"")</f>
        <v>BU Currency Not Mapped</v>
      </c>
    </row>
    <row r="147" spans="1:16" x14ac:dyDescent="0.2">
      <c r="A147" t="str">
        <f>IF(ADP!$AO147="Y","700","")</f>
        <v>700</v>
      </c>
      <c r="B147" t="str">
        <f>IF(ADP!$AO147="Y","PMT","")</f>
        <v>PMT</v>
      </c>
      <c r="C147">
        <f>IF(ADP!$AO147="Y",ADP!P147,"")</f>
        <v>0</v>
      </c>
      <c r="O147" t="str">
        <f>IF(ADP!$AO147="Y",ADP!AH147,"")</f>
        <v>Invoice Approval Not Mapped</v>
      </c>
      <c r="P147" t="str">
        <f>IF(ADP!$AO147="Y",ADP!AK147,"")</f>
        <v>BU Currency Not Mapped</v>
      </c>
    </row>
    <row r="148" spans="1:16" x14ac:dyDescent="0.2">
      <c r="A148" t="str">
        <f>IF(ADP!$AO148="Y","700","")</f>
        <v>700</v>
      </c>
      <c r="B148" t="str">
        <f>IF(ADP!$AO148="Y","PMT","")</f>
        <v>PMT</v>
      </c>
      <c r="C148">
        <f>IF(ADP!$AO148="Y",ADP!P148,"")</f>
        <v>0</v>
      </c>
      <c r="O148" t="str">
        <f>IF(ADP!$AO148="Y",ADP!AH148,"")</f>
        <v>Invoice Approval Not Mapped</v>
      </c>
      <c r="P148" t="str">
        <f>IF(ADP!$AO148="Y",ADP!AK148,"")</f>
        <v>BU Currency Not Mapped</v>
      </c>
    </row>
    <row r="149" spans="1:16" x14ac:dyDescent="0.2">
      <c r="A149" t="str">
        <f>IF(ADP!$AO149="Y","700","")</f>
        <v>700</v>
      </c>
      <c r="B149" t="str">
        <f>IF(ADP!$AO149="Y","PMT","")</f>
        <v>PMT</v>
      </c>
      <c r="C149">
        <f>IF(ADP!$AO149="Y",ADP!P149,"")</f>
        <v>0</v>
      </c>
      <c r="O149" t="str">
        <f>IF(ADP!$AO149="Y",ADP!AH149,"")</f>
        <v>Invoice Approval Not Mapped</v>
      </c>
      <c r="P149" t="str">
        <f>IF(ADP!$AO149="Y",ADP!AK149,"")</f>
        <v>BU Currency Not Mapped</v>
      </c>
    </row>
    <row r="150" spans="1:16" x14ac:dyDescent="0.2">
      <c r="A150" t="str">
        <f>IF(ADP!$AO150="Y","700","")</f>
        <v>700</v>
      </c>
      <c r="B150" t="str">
        <f>IF(ADP!$AO150="Y","PMT","")</f>
        <v>PMT</v>
      </c>
      <c r="C150">
        <f>IF(ADP!$AO150="Y",ADP!P150,"")</f>
        <v>0</v>
      </c>
      <c r="O150" t="str">
        <f>IF(ADP!$AO150="Y",ADP!AH150,"")</f>
        <v>Invoice Approval Not Mapped</v>
      </c>
      <c r="P150" t="str">
        <f>IF(ADP!$AO150="Y",ADP!AK150,"")</f>
        <v>BU Currency Not Mapped</v>
      </c>
    </row>
    <row r="151" spans="1:16" x14ac:dyDescent="0.2">
      <c r="A151" t="str">
        <f>IF(ADP!$AO151="Y","700","")</f>
        <v>700</v>
      </c>
      <c r="B151" t="str">
        <f>IF(ADP!$AO151="Y","PMT","")</f>
        <v>PMT</v>
      </c>
      <c r="C151">
        <f>IF(ADP!$AO151="Y",ADP!P151,"")</f>
        <v>0</v>
      </c>
      <c r="O151" t="str">
        <f>IF(ADP!$AO151="Y",ADP!AH151,"")</f>
        <v>Invoice Approval Not Mapped</v>
      </c>
      <c r="P151" t="str">
        <f>IF(ADP!$AO151="Y",ADP!AK151,"")</f>
        <v>BU Currency Not Mapped</v>
      </c>
    </row>
    <row r="152" spans="1:16" x14ac:dyDescent="0.2">
      <c r="A152" t="str">
        <f>IF(ADP!$AO152="Y","700","")</f>
        <v>700</v>
      </c>
      <c r="B152" t="str">
        <f>IF(ADP!$AO152="Y","PMT","")</f>
        <v>PMT</v>
      </c>
      <c r="C152">
        <f>IF(ADP!$AO152="Y",ADP!P152,"")</f>
        <v>0</v>
      </c>
      <c r="O152" t="str">
        <f>IF(ADP!$AO152="Y",ADP!AH152,"")</f>
        <v>Invoice Approval Not Mapped</v>
      </c>
      <c r="P152" t="str">
        <f>IF(ADP!$AO152="Y",ADP!AK152,"")</f>
        <v>BU Currency Not Mapped</v>
      </c>
    </row>
    <row r="153" spans="1:16" x14ac:dyDescent="0.2">
      <c r="A153" t="str">
        <f>IF(ADP!$AO153="Y","700","")</f>
        <v>700</v>
      </c>
      <c r="B153" t="str">
        <f>IF(ADP!$AO153="Y","PMT","")</f>
        <v>PMT</v>
      </c>
      <c r="C153">
        <f>IF(ADP!$AO153="Y",ADP!P153,"")</f>
        <v>0</v>
      </c>
      <c r="O153" t="str">
        <f>IF(ADP!$AO153="Y",ADP!AH153,"")</f>
        <v>Invoice Approval Not Mapped</v>
      </c>
      <c r="P153" t="str">
        <f>IF(ADP!$AO153="Y",ADP!AK153,"")</f>
        <v>BU Currency Not Mapped</v>
      </c>
    </row>
    <row r="154" spans="1:16" x14ac:dyDescent="0.2">
      <c r="A154" t="str">
        <f>IF(ADP!$AO154="Y","700","")</f>
        <v>700</v>
      </c>
      <c r="B154" t="str">
        <f>IF(ADP!$AO154="Y","PMT","")</f>
        <v>PMT</v>
      </c>
      <c r="C154">
        <f>IF(ADP!$AO154="Y",ADP!P154,"")</f>
        <v>0</v>
      </c>
      <c r="O154" t="str">
        <f>IF(ADP!$AO154="Y",ADP!AH154,"")</f>
        <v>Invoice Approval Not Mapped</v>
      </c>
      <c r="P154" t="str">
        <f>IF(ADP!$AO154="Y",ADP!AK154,"")</f>
        <v>BU Currency Not Mapped</v>
      </c>
    </row>
    <row r="155" spans="1:16" x14ac:dyDescent="0.2">
      <c r="A155" t="str">
        <f>IF(ADP!$AO155="Y","700","")</f>
        <v>700</v>
      </c>
      <c r="B155" t="str">
        <f>IF(ADP!$AO155="Y","PMT","")</f>
        <v>PMT</v>
      </c>
      <c r="C155">
        <f>IF(ADP!$AO155="Y",ADP!P155,"")</f>
        <v>0</v>
      </c>
      <c r="O155" t="str">
        <f>IF(ADP!$AO155="Y",ADP!AH155,"")</f>
        <v>Invoice Approval Not Mapped</v>
      </c>
      <c r="P155" t="str">
        <f>IF(ADP!$AO155="Y",ADP!AK155,"")</f>
        <v>BU Currency Not Mapped</v>
      </c>
    </row>
    <row r="156" spans="1:16" x14ac:dyDescent="0.2">
      <c r="A156" t="str">
        <f>IF(ADP!$AO156="Y","700","")</f>
        <v>700</v>
      </c>
      <c r="B156" t="str">
        <f>IF(ADP!$AO156="Y","PMT","")</f>
        <v>PMT</v>
      </c>
      <c r="C156">
        <f>IF(ADP!$AO156="Y",ADP!P156,"")</f>
        <v>0</v>
      </c>
      <c r="O156" t="str">
        <f>IF(ADP!$AO156="Y",ADP!AH156,"")</f>
        <v>Invoice Approval Not Mapped</v>
      </c>
      <c r="P156" t="str">
        <f>IF(ADP!$AO156="Y",ADP!AK156,"")</f>
        <v>BU Currency Not Mapped</v>
      </c>
    </row>
    <row r="157" spans="1:16" x14ac:dyDescent="0.2">
      <c r="A157" t="str">
        <f>IF(ADP!$AO157="Y","700","")</f>
        <v>700</v>
      </c>
      <c r="B157" t="str">
        <f>IF(ADP!$AO157="Y","PMT","")</f>
        <v>PMT</v>
      </c>
      <c r="C157">
        <f>IF(ADP!$AO157="Y",ADP!P157,"")</f>
        <v>0</v>
      </c>
      <c r="O157" t="str">
        <f>IF(ADP!$AO157="Y",ADP!AH157,"")</f>
        <v>Invoice Approval Not Mapped</v>
      </c>
      <c r="P157" t="str">
        <f>IF(ADP!$AO157="Y",ADP!AK157,"")</f>
        <v>BU Currency Not Mapped</v>
      </c>
    </row>
    <row r="158" spans="1:16" x14ac:dyDescent="0.2">
      <c r="A158" t="str">
        <f>IF(ADP!$AO158="Y","700","")</f>
        <v>700</v>
      </c>
      <c r="B158" t="str">
        <f>IF(ADP!$AO158="Y","PMT","")</f>
        <v>PMT</v>
      </c>
      <c r="C158">
        <f>IF(ADP!$AO158="Y",ADP!P158,"")</f>
        <v>0</v>
      </c>
      <c r="O158" t="str">
        <f>IF(ADP!$AO158="Y",ADP!AH158,"")</f>
        <v>Invoice Approval Not Mapped</v>
      </c>
      <c r="P158" t="str">
        <f>IF(ADP!$AO158="Y",ADP!AK158,"")</f>
        <v>BU Currency Not Mapped</v>
      </c>
    </row>
    <row r="159" spans="1:16" x14ac:dyDescent="0.2">
      <c r="A159" t="str">
        <f>IF(ADP!$AO159="Y","700","")</f>
        <v>700</v>
      </c>
      <c r="B159" t="str">
        <f>IF(ADP!$AO159="Y","PMT","")</f>
        <v>PMT</v>
      </c>
      <c r="C159">
        <f>IF(ADP!$AO159="Y",ADP!P159,"")</f>
        <v>0</v>
      </c>
      <c r="O159" t="str">
        <f>IF(ADP!$AO159="Y",ADP!AH159,"")</f>
        <v>Invoice Approval Not Mapped</v>
      </c>
      <c r="P159" t="str">
        <f>IF(ADP!$AO159="Y",ADP!AK159,"")</f>
        <v>BU Currency Not Mapped</v>
      </c>
    </row>
    <row r="160" spans="1:16" x14ac:dyDescent="0.2">
      <c r="A160" t="str">
        <f>IF(ADP!$AO160="Y","700","")</f>
        <v>700</v>
      </c>
      <c r="B160" t="str">
        <f>IF(ADP!$AO160="Y","PMT","")</f>
        <v>PMT</v>
      </c>
      <c r="C160">
        <f>IF(ADP!$AO160="Y",ADP!P160,"")</f>
        <v>0</v>
      </c>
      <c r="O160" t="str">
        <f>IF(ADP!$AO160="Y",ADP!AH160,"")</f>
        <v>Invoice Approval Not Mapped</v>
      </c>
      <c r="P160" t="str">
        <f>IF(ADP!$AO160="Y",ADP!AK160,"")</f>
        <v>BU Currency Not Mapped</v>
      </c>
    </row>
    <row r="161" spans="1:16" x14ac:dyDescent="0.2">
      <c r="A161" t="str">
        <f>IF(ADP!$AO161="Y","700","")</f>
        <v>700</v>
      </c>
      <c r="B161" t="str">
        <f>IF(ADP!$AO161="Y","PMT","")</f>
        <v>PMT</v>
      </c>
      <c r="C161">
        <f>IF(ADP!$AO161="Y",ADP!P161,"")</f>
        <v>0</v>
      </c>
      <c r="O161" t="str">
        <f>IF(ADP!$AO161="Y",ADP!AH161,"")</f>
        <v>Invoice Approval Not Mapped</v>
      </c>
      <c r="P161" t="str">
        <f>IF(ADP!$AO161="Y",ADP!AK161,"")</f>
        <v>BU Currency Not Mapped</v>
      </c>
    </row>
    <row r="162" spans="1:16" x14ac:dyDescent="0.2">
      <c r="A162" t="str">
        <f>IF(ADP!$AO162="Y","700","")</f>
        <v>700</v>
      </c>
      <c r="B162" t="str">
        <f>IF(ADP!$AO162="Y","PMT","")</f>
        <v>PMT</v>
      </c>
      <c r="C162">
        <f>IF(ADP!$AO162="Y",ADP!P162,"")</f>
        <v>0</v>
      </c>
      <c r="O162" t="str">
        <f>IF(ADP!$AO162="Y",ADP!AH162,"")</f>
        <v>Invoice Approval Not Mapped</v>
      </c>
      <c r="P162" t="str">
        <f>IF(ADP!$AO162="Y",ADP!AK162,"")</f>
        <v>BU Currency Not Mapped</v>
      </c>
    </row>
    <row r="163" spans="1:16" x14ac:dyDescent="0.2">
      <c r="A163" t="str">
        <f>IF(ADP!$AO163="Y","700","")</f>
        <v>700</v>
      </c>
      <c r="B163" t="str">
        <f>IF(ADP!$AO163="Y","PMT","")</f>
        <v>PMT</v>
      </c>
      <c r="C163">
        <f>IF(ADP!$AO163="Y",ADP!P163,"")</f>
        <v>0</v>
      </c>
      <c r="O163" t="str">
        <f>IF(ADP!$AO163="Y",ADP!AH163,"")</f>
        <v>Invoice Approval Not Mapped</v>
      </c>
      <c r="P163" t="str">
        <f>IF(ADP!$AO163="Y",ADP!AK163,"")</f>
        <v>BU Currency Not Mapped</v>
      </c>
    </row>
    <row r="164" spans="1:16" x14ac:dyDescent="0.2">
      <c r="A164" t="str">
        <f>IF(ADP!$AO164="Y","700","")</f>
        <v>700</v>
      </c>
      <c r="B164" t="str">
        <f>IF(ADP!$AO164="Y","PMT","")</f>
        <v>PMT</v>
      </c>
      <c r="C164">
        <f>IF(ADP!$AO164="Y",ADP!P164,"")</f>
        <v>0</v>
      </c>
      <c r="O164" t="str">
        <f>IF(ADP!$AO164="Y",ADP!AH164,"")</f>
        <v>Invoice Approval Not Mapped</v>
      </c>
      <c r="P164" t="str">
        <f>IF(ADP!$AO164="Y",ADP!AK164,"")</f>
        <v>BU Currency Not Mapped</v>
      </c>
    </row>
    <row r="165" spans="1:16" x14ac:dyDescent="0.2">
      <c r="A165" t="str">
        <f>IF(ADP!$AO165="Y","700","")</f>
        <v>700</v>
      </c>
      <c r="B165" t="str">
        <f>IF(ADP!$AO165="Y","PMT","")</f>
        <v>PMT</v>
      </c>
      <c r="C165">
        <f>IF(ADP!$AO165="Y",ADP!P165,"")</f>
        <v>0</v>
      </c>
      <c r="O165" t="str">
        <f>IF(ADP!$AO165="Y",ADP!AH165,"")</f>
        <v>Invoice Approval Not Mapped</v>
      </c>
      <c r="P165" t="str">
        <f>IF(ADP!$AO165="Y",ADP!AK165,"")</f>
        <v>BU Currency Not Mapped</v>
      </c>
    </row>
    <row r="166" spans="1:16" x14ac:dyDescent="0.2">
      <c r="A166" t="str">
        <f>IF(ADP!$AO166="Y","700","")</f>
        <v>700</v>
      </c>
      <c r="B166" t="str">
        <f>IF(ADP!$AO166="Y","PMT","")</f>
        <v>PMT</v>
      </c>
      <c r="C166">
        <f>IF(ADP!$AO166="Y",ADP!P166,"")</f>
        <v>0</v>
      </c>
      <c r="O166" t="str">
        <f>IF(ADP!$AO166="Y",ADP!AH166,"")</f>
        <v>Invoice Approval Not Mapped</v>
      </c>
      <c r="P166" t="str">
        <f>IF(ADP!$AO166="Y",ADP!AK166,"")</f>
        <v>BU Currency Not Mapped</v>
      </c>
    </row>
    <row r="167" spans="1:16" x14ac:dyDescent="0.2">
      <c r="A167" t="str">
        <f>IF(ADP!$AO167="Y","700","")</f>
        <v>700</v>
      </c>
      <c r="B167" t="str">
        <f>IF(ADP!$AO167="Y","PMT","")</f>
        <v>PMT</v>
      </c>
      <c r="C167">
        <f>IF(ADP!$AO167="Y",ADP!P167,"")</f>
        <v>0</v>
      </c>
      <c r="O167" t="str">
        <f>IF(ADP!$AO167="Y",ADP!AH167,"")</f>
        <v>Invoice Approval Not Mapped</v>
      </c>
      <c r="P167" t="str">
        <f>IF(ADP!$AO167="Y",ADP!AK167,"")</f>
        <v>BU Currency Not Mapped</v>
      </c>
    </row>
    <row r="168" spans="1:16" x14ac:dyDescent="0.2">
      <c r="A168" t="str">
        <f>IF(ADP!$AO168="Y","700","")</f>
        <v>700</v>
      </c>
      <c r="B168" t="str">
        <f>IF(ADP!$AO168="Y","PMT","")</f>
        <v>PMT</v>
      </c>
      <c r="C168">
        <f>IF(ADP!$AO168="Y",ADP!P168,"")</f>
        <v>0</v>
      </c>
      <c r="O168" t="str">
        <f>IF(ADP!$AO168="Y",ADP!AH168,"")</f>
        <v>Invoice Approval Not Mapped</v>
      </c>
      <c r="P168" t="str">
        <f>IF(ADP!$AO168="Y",ADP!AK168,"")</f>
        <v>BU Currency Not Mapped</v>
      </c>
    </row>
    <row r="169" spans="1:16" x14ac:dyDescent="0.2">
      <c r="A169" t="str">
        <f>IF(ADP!$AO169="Y","700","")</f>
        <v>700</v>
      </c>
      <c r="B169" t="str">
        <f>IF(ADP!$AO169="Y","PMT","")</f>
        <v>PMT</v>
      </c>
      <c r="C169">
        <f>IF(ADP!$AO169="Y",ADP!P169,"")</f>
        <v>0</v>
      </c>
      <c r="O169" t="str">
        <f>IF(ADP!$AO169="Y",ADP!AH169,"")</f>
        <v>Invoice Approval Not Mapped</v>
      </c>
      <c r="P169" t="str">
        <f>IF(ADP!$AO169="Y",ADP!AK169,"")</f>
        <v>BU Currency Not Mapped</v>
      </c>
    </row>
    <row r="170" spans="1:16" x14ac:dyDescent="0.2">
      <c r="A170" t="str">
        <f>IF(ADP!$AO170="Y","700","")</f>
        <v/>
      </c>
      <c r="B170" t="str">
        <f>IF(ADP!$AO170="Y","PMT","")</f>
        <v/>
      </c>
      <c r="C170" t="str">
        <f>IF(ADP!$AO170="Y",ADP!P170,"")</f>
        <v/>
      </c>
      <c r="O170" t="str">
        <f>IF(ADP!$AO170="Y",ADP!AH170,"")</f>
        <v/>
      </c>
      <c r="P170" t="str">
        <f>IF(ADP!$AO170="Y",ADP!AK170,"")</f>
        <v/>
      </c>
    </row>
    <row r="171" spans="1:16" x14ac:dyDescent="0.2">
      <c r="A171" t="str">
        <f>IF(ADP!$AO171="Y","700","")</f>
        <v/>
      </c>
      <c r="B171" t="str">
        <f>IF(ADP!$AO171="Y","PMT","")</f>
        <v/>
      </c>
      <c r="C171" t="str">
        <f>IF(ADP!$AO171="Y",ADP!P171,"")</f>
        <v/>
      </c>
      <c r="O171" t="str">
        <f>IF(ADP!$AO171="Y",ADP!AH171,"")</f>
        <v/>
      </c>
      <c r="P171" t="str">
        <f>IF(ADP!$AO171="Y",ADP!AK171,"")</f>
        <v/>
      </c>
    </row>
    <row r="172" spans="1:16" x14ac:dyDescent="0.2">
      <c r="A172" t="str">
        <f>IF(ADP!$AO172="Y","700","")</f>
        <v/>
      </c>
      <c r="B172" t="str">
        <f>IF(ADP!$AO172="Y","PMT","")</f>
        <v/>
      </c>
      <c r="C172" t="str">
        <f>IF(ADP!$AO172="Y",ADP!P172,"")</f>
        <v/>
      </c>
      <c r="O172" t="str">
        <f>IF(ADP!$AO172="Y",ADP!AH172,"")</f>
        <v/>
      </c>
      <c r="P172" t="str">
        <f>IF(ADP!$AO172="Y",ADP!AK172,"")</f>
        <v/>
      </c>
    </row>
    <row r="173" spans="1:16" x14ac:dyDescent="0.2">
      <c r="A173" t="str">
        <f>IF(ADP!$AO173="Y","700","")</f>
        <v/>
      </c>
      <c r="B173" t="str">
        <f>IF(ADP!$AO173="Y","PMT","")</f>
        <v/>
      </c>
      <c r="C173" t="str">
        <f>IF(ADP!$AO173="Y",ADP!P173,"")</f>
        <v/>
      </c>
      <c r="O173" t="str">
        <f>IF(ADP!$AO173="Y",ADP!AH173,"")</f>
        <v/>
      </c>
      <c r="P173" t="str">
        <f>IF(ADP!$AO173="Y",ADP!AK173,"")</f>
        <v/>
      </c>
    </row>
    <row r="174" spans="1:16" x14ac:dyDescent="0.2">
      <c r="A174" t="str">
        <f>IF(ADP!$AO174="Y","700","")</f>
        <v/>
      </c>
      <c r="B174" t="str">
        <f>IF(ADP!$AO174="Y","PMT","")</f>
        <v/>
      </c>
      <c r="C174" t="str">
        <f>IF(ADP!$AO174="Y",ADP!P174,"")</f>
        <v/>
      </c>
      <c r="O174" t="str">
        <f>IF(ADP!$AO174="Y",ADP!AH174,"")</f>
        <v/>
      </c>
      <c r="P174" t="str">
        <f>IF(ADP!$AO174="Y",ADP!AK174,"")</f>
        <v/>
      </c>
    </row>
    <row r="175" spans="1:16" x14ac:dyDescent="0.2">
      <c r="A175" t="str">
        <f>IF(ADP!$AO175="Y","700","")</f>
        <v/>
      </c>
      <c r="B175" t="str">
        <f>IF(ADP!$AO175="Y","PMT","")</f>
        <v/>
      </c>
      <c r="C175" t="str">
        <f>IF(ADP!$AO175="Y",ADP!P175,"")</f>
        <v/>
      </c>
      <c r="O175" t="str">
        <f>IF(ADP!$AO175="Y",ADP!AH175,"")</f>
        <v/>
      </c>
      <c r="P175" t="str">
        <f>IF(ADP!$AO175="Y",ADP!AK175,"")</f>
        <v/>
      </c>
    </row>
    <row r="176" spans="1:16" x14ac:dyDescent="0.2">
      <c r="A176" t="str">
        <f>IF(ADP!$AO176="Y","700","")</f>
        <v/>
      </c>
      <c r="B176" t="str">
        <f>IF(ADP!$AO176="Y","PMT","")</f>
        <v/>
      </c>
      <c r="C176" t="str">
        <f>IF(ADP!$AO176="Y",ADP!P176,"")</f>
        <v/>
      </c>
      <c r="O176" t="str">
        <f>IF(ADP!$AO176="Y",ADP!AH176,"")</f>
        <v/>
      </c>
      <c r="P176" t="str">
        <f>IF(ADP!$AO176="Y",ADP!AK176,"")</f>
        <v/>
      </c>
    </row>
    <row r="177" spans="1:16" x14ac:dyDescent="0.2">
      <c r="A177" t="str">
        <f>IF(ADP!$AO177="Y","700","")</f>
        <v/>
      </c>
      <c r="B177" t="str">
        <f>IF(ADP!$AO177="Y","PMT","")</f>
        <v/>
      </c>
      <c r="C177" t="str">
        <f>IF(ADP!$AO177="Y",ADP!P177,"")</f>
        <v/>
      </c>
      <c r="O177" t="str">
        <f>IF(ADP!$AO177="Y",ADP!AH177,"")</f>
        <v/>
      </c>
      <c r="P177" t="str">
        <f>IF(ADP!$AO177="Y",ADP!AK177,"")</f>
        <v/>
      </c>
    </row>
    <row r="178" spans="1:16" x14ac:dyDescent="0.2">
      <c r="A178" t="str">
        <f>IF(ADP!$AO178="Y","700","")</f>
        <v/>
      </c>
      <c r="B178" t="str">
        <f>IF(ADP!$AO178="Y","PMT","")</f>
        <v/>
      </c>
      <c r="C178" t="str">
        <f>IF(ADP!$AO178="Y",ADP!P178,"")</f>
        <v/>
      </c>
      <c r="O178" t="str">
        <f>IF(ADP!$AO178="Y",ADP!AH178,"")</f>
        <v/>
      </c>
      <c r="P178" t="str">
        <f>IF(ADP!$AO178="Y",ADP!AK178,"")</f>
        <v/>
      </c>
    </row>
    <row r="179" spans="1:16" x14ac:dyDescent="0.2">
      <c r="A179" t="str">
        <f>IF(ADP!$AO179="Y","700","")</f>
        <v/>
      </c>
      <c r="B179" t="str">
        <f>IF(ADP!$AO179="Y","PMT","")</f>
        <v/>
      </c>
      <c r="C179" t="str">
        <f>IF(ADP!$AO179="Y",ADP!P179,"")</f>
        <v/>
      </c>
      <c r="O179" t="str">
        <f>IF(ADP!$AO179="Y",ADP!AH179,"")</f>
        <v/>
      </c>
      <c r="P179" t="str">
        <f>IF(ADP!$AO179="Y",ADP!AK179,"")</f>
        <v/>
      </c>
    </row>
    <row r="180" spans="1:16" x14ac:dyDescent="0.2">
      <c r="A180" t="str">
        <f>IF(ADP!$AO180="Y","700","")</f>
        <v/>
      </c>
      <c r="B180" t="str">
        <f>IF(ADP!$AO180="Y","PMT","")</f>
        <v/>
      </c>
      <c r="C180" t="str">
        <f>IF(ADP!$AO180="Y",ADP!P180,"")</f>
        <v/>
      </c>
      <c r="O180" t="str">
        <f>IF(ADP!$AO180="Y",ADP!AH180,"")</f>
        <v/>
      </c>
      <c r="P180" t="str">
        <f>IF(ADP!$AO180="Y",ADP!AK180,"")</f>
        <v/>
      </c>
    </row>
    <row r="181" spans="1:16" x14ac:dyDescent="0.2">
      <c r="A181" t="str">
        <f>IF(ADP!$AO181="Y","700","")</f>
        <v/>
      </c>
      <c r="B181" t="str">
        <f>IF(ADP!$AO181="Y","PMT","")</f>
        <v/>
      </c>
      <c r="C181" t="str">
        <f>IF(ADP!$AO181="Y",ADP!P181,"")</f>
        <v/>
      </c>
      <c r="O181" t="str">
        <f>IF(ADP!$AO181="Y",ADP!AH181,"")</f>
        <v/>
      </c>
      <c r="P181" t="str">
        <f>IF(ADP!$AO181="Y",ADP!AK181,"")</f>
        <v/>
      </c>
    </row>
    <row r="182" spans="1:16" x14ac:dyDescent="0.2">
      <c r="A182" t="str">
        <f>IF(ADP!$AO182="Y","700","")</f>
        <v/>
      </c>
      <c r="B182" t="str">
        <f>IF(ADP!$AO182="Y","PMT","")</f>
        <v/>
      </c>
      <c r="C182" t="str">
        <f>IF(ADP!$AO182="Y",ADP!P182,"")</f>
        <v/>
      </c>
      <c r="O182" t="str">
        <f>IF(ADP!$AO182="Y",ADP!AH182,"")</f>
        <v/>
      </c>
      <c r="P182" t="str">
        <f>IF(ADP!$AO182="Y",ADP!AK182,"")</f>
        <v/>
      </c>
    </row>
    <row r="183" spans="1:16" x14ac:dyDescent="0.2">
      <c r="A183" t="str">
        <f>IF(ADP!$AO183="Y","700","")</f>
        <v/>
      </c>
      <c r="B183" t="str">
        <f>IF(ADP!$AO183="Y","PMT","")</f>
        <v/>
      </c>
      <c r="C183" t="str">
        <f>IF(ADP!$AO183="Y",ADP!P183,"")</f>
        <v/>
      </c>
      <c r="O183" t="str">
        <f>IF(ADP!$AO183="Y",ADP!AH183,"")</f>
        <v/>
      </c>
      <c r="P183" t="str">
        <f>IF(ADP!$AO183="Y",ADP!AK183,"")</f>
        <v/>
      </c>
    </row>
    <row r="184" spans="1:16" x14ac:dyDescent="0.2">
      <c r="A184" t="str">
        <f>IF(ADP!$AO184="Y","700","")</f>
        <v/>
      </c>
      <c r="B184" t="str">
        <f>IF(ADP!$AO184="Y","PMT","")</f>
        <v/>
      </c>
      <c r="C184" t="str">
        <f>IF(ADP!$AO184="Y",ADP!P184,"")</f>
        <v/>
      </c>
      <c r="O184" t="str">
        <f>IF(ADP!$AO184="Y",ADP!AH184,"")</f>
        <v/>
      </c>
      <c r="P184" t="str">
        <f>IF(ADP!$AO184="Y",ADP!AK184,"")</f>
        <v/>
      </c>
    </row>
    <row r="185" spans="1:16" x14ac:dyDescent="0.2">
      <c r="A185" t="str">
        <f>IF(ADP!$AO185="Y","700","")</f>
        <v/>
      </c>
      <c r="B185" t="str">
        <f>IF(ADP!$AO185="Y","PMT","")</f>
        <v/>
      </c>
      <c r="C185" t="str">
        <f>IF(ADP!$AO185="Y",ADP!P185,"")</f>
        <v/>
      </c>
      <c r="O185" t="str">
        <f>IF(ADP!$AO185="Y",ADP!AH185,"")</f>
        <v/>
      </c>
      <c r="P185" t="str">
        <f>IF(ADP!$AO185="Y",ADP!AK185,"")</f>
        <v/>
      </c>
    </row>
    <row r="186" spans="1:16" x14ac:dyDescent="0.2">
      <c r="A186" t="str">
        <f>IF(ADP!$AO186="Y","700","")</f>
        <v/>
      </c>
      <c r="B186" t="str">
        <f>IF(ADP!$AO186="Y","PMT","")</f>
        <v/>
      </c>
      <c r="C186" t="str">
        <f>IF(ADP!$AO186="Y",ADP!P186,"")</f>
        <v/>
      </c>
      <c r="O186" t="str">
        <f>IF(ADP!$AO186="Y",ADP!AH186,"")</f>
        <v/>
      </c>
      <c r="P186" t="str">
        <f>IF(ADP!$AO186="Y",ADP!AK186,"")</f>
        <v/>
      </c>
    </row>
    <row r="187" spans="1:16" x14ac:dyDescent="0.2">
      <c r="A187" t="str">
        <f>IF(ADP!$AO187="Y","700","")</f>
        <v/>
      </c>
      <c r="B187" t="str">
        <f>IF(ADP!$AO187="Y","PMT","")</f>
        <v/>
      </c>
      <c r="C187" t="str">
        <f>IF(ADP!$AO187="Y",ADP!P187,"")</f>
        <v/>
      </c>
      <c r="O187" t="str">
        <f>IF(ADP!$AO187="Y",ADP!AH187,"")</f>
        <v/>
      </c>
      <c r="P187" t="str">
        <f>IF(ADP!$AO187="Y",ADP!AK187,"")</f>
        <v/>
      </c>
    </row>
    <row r="188" spans="1:16" x14ac:dyDescent="0.2">
      <c r="A188" t="str">
        <f>IF(ADP!$AO188="Y","700","")</f>
        <v/>
      </c>
      <c r="B188" t="str">
        <f>IF(ADP!$AO188="Y","PMT","")</f>
        <v/>
      </c>
      <c r="C188" t="str">
        <f>IF(ADP!$AO188="Y",ADP!P188,"")</f>
        <v/>
      </c>
      <c r="O188" t="str">
        <f>IF(ADP!$AO188="Y",ADP!AH188,"")</f>
        <v/>
      </c>
      <c r="P188" t="str">
        <f>IF(ADP!$AO188="Y",ADP!AK188,"")</f>
        <v/>
      </c>
    </row>
    <row r="189" spans="1:16" x14ac:dyDescent="0.2">
      <c r="A189" t="str">
        <f>IF(ADP!$AO189="Y","700","")</f>
        <v/>
      </c>
      <c r="B189" t="str">
        <f>IF(ADP!$AO189="Y","PMT","")</f>
        <v/>
      </c>
      <c r="C189" t="str">
        <f>IF(ADP!$AO189="Y",ADP!P189,"")</f>
        <v/>
      </c>
      <c r="O189" t="str">
        <f>IF(ADP!$AO189="Y",ADP!AH189,"")</f>
        <v/>
      </c>
      <c r="P189" t="str">
        <f>IF(ADP!$AO189="Y",ADP!AK189,"")</f>
        <v/>
      </c>
    </row>
    <row r="190" spans="1:16" x14ac:dyDescent="0.2">
      <c r="A190" t="str">
        <f>IF(ADP!$AO190="Y","700","")</f>
        <v/>
      </c>
      <c r="B190" t="str">
        <f>IF(ADP!$AO190="Y","PMT","")</f>
        <v/>
      </c>
      <c r="C190" t="str">
        <f>IF(ADP!$AO190="Y",ADP!P190,"")</f>
        <v/>
      </c>
      <c r="O190" t="str">
        <f>IF(ADP!$AO190="Y",ADP!AH190,"")</f>
        <v/>
      </c>
      <c r="P190" t="str">
        <f>IF(ADP!$AO190="Y",ADP!AK190,"")</f>
        <v/>
      </c>
    </row>
    <row r="191" spans="1:16" x14ac:dyDescent="0.2">
      <c r="A191" t="str">
        <f>IF(ADP!$AO191="Y","700","")</f>
        <v/>
      </c>
      <c r="B191" t="str">
        <f>IF(ADP!$AO191="Y","PMT","")</f>
        <v/>
      </c>
      <c r="C191" t="str">
        <f>IF(ADP!$AO191="Y",ADP!P191,"")</f>
        <v/>
      </c>
      <c r="O191" t="str">
        <f>IF(ADP!$AO191="Y",ADP!AH191,"")</f>
        <v/>
      </c>
      <c r="P191" t="str">
        <f>IF(ADP!$AO191="Y",ADP!AK191,"")</f>
        <v/>
      </c>
    </row>
    <row r="192" spans="1:16" x14ac:dyDescent="0.2">
      <c r="A192" t="str">
        <f>IF(ADP!$AO192="Y","700","")</f>
        <v/>
      </c>
      <c r="B192" t="str">
        <f>IF(ADP!$AO192="Y","PMT","")</f>
        <v/>
      </c>
      <c r="C192" t="str">
        <f>IF(ADP!$AO192="Y",ADP!P192,"")</f>
        <v/>
      </c>
      <c r="O192" t="str">
        <f>IF(ADP!$AO192="Y",ADP!AH192,"")</f>
        <v/>
      </c>
      <c r="P192" t="str">
        <f>IF(ADP!$AO192="Y",ADP!AK192,"")</f>
        <v/>
      </c>
    </row>
    <row r="193" spans="1:16" x14ac:dyDescent="0.2">
      <c r="A193" t="str">
        <f>IF(ADP!$AO193="Y","700","")</f>
        <v/>
      </c>
      <c r="B193" t="str">
        <f>IF(ADP!$AO193="Y","PMT","")</f>
        <v/>
      </c>
      <c r="C193" t="str">
        <f>IF(ADP!$AO193="Y",ADP!P193,"")</f>
        <v/>
      </c>
      <c r="O193" t="str">
        <f>IF(ADP!$AO193="Y",ADP!AH193,"")</f>
        <v/>
      </c>
      <c r="P193" t="str">
        <f>IF(ADP!$AO193="Y",ADP!AK193,"")</f>
        <v/>
      </c>
    </row>
    <row r="194" spans="1:16" x14ac:dyDescent="0.2">
      <c r="A194" t="str">
        <f>IF(ADP!$AO194="Y","700","")</f>
        <v/>
      </c>
      <c r="B194" t="str">
        <f>IF(ADP!$AO194="Y","PMT","")</f>
        <v/>
      </c>
      <c r="C194" t="str">
        <f>IF(ADP!$AO194="Y",ADP!P194,"")</f>
        <v/>
      </c>
      <c r="O194" t="str">
        <f>IF(ADP!$AO194="Y",ADP!AH194,"")</f>
        <v/>
      </c>
      <c r="P194" t="str">
        <f>IF(ADP!$AO194="Y",ADP!AK194,"")</f>
        <v/>
      </c>
    </row>
    <row r="195" spans="1:16" x14ac:dyDescent="0.2">
      <c r="A195" t="str">
        <f>IF(ADP!$AO195="Y","700","")</f>
        <v/>
      </c>
      <c r="B195" t="str">
        <f>IF(ADP!$AO195="Y","PMT","")</f>
        <v/>
      </c>
      <c r="C195" t="str">
        <f>IF(ADP!$AO195="Y",ADP!P195,"")</f>
        <v/>
      </c>
      <c r="O195" t="str">
        <f>IF(ADP!$AO195="Y",ADP!AH195,"")</f>
        <v/>
      </c>
      <c r="P195" t="str">
        <f>IF(ADP!$AO195="Y",ADP!AK195,"")</f>
        <v/>
      </c>
    </row>
    <row r="196" spans="1:16" x14ac:dyDescent="0.2">
      <c r="A196" t="str">
        <f>IF(ADP!$AO196="Y","700","")</f>
        <v/>
      </c>
      <c r="B196" t="str">
        <f>IF(ADP!$AO196="Y","PMT","")</f>
        <v/>
      </c>
      <c r="C196" t="str">
        <f>IF(ADP!$AO196="Y",ADP!P196,"")</f>
        <v/>
      </c>
      <c r="O196" t="str">
        <f>IF(ADP!$AO196="Y",ADP!AH196,"")</f>
        <v/>
      </c>
      <c r="P196" t="str">
        <f>IF(ADP!$AO196="Y",ADP!AK196,"")</f>
        <v/>
      </c>
    </row>
    <row r="197" spans="1:16" x14ac:dyDescent="0.2">
      <c r="A197" t="str">
        <f>IF(ADP!$AO197="Y","700","")</f>
        <v/>
      </c>
      <c r="B197" t="str">
        <f>IF(ADP!$AO197="Y","PMT","")</f>
        <v/>
      </c>
      <c r="C197" t="str">
        <f>IF(ADP!$AO197="Y",ADP!P197,"")</f>
        <v/>
      </c>
      <c r="O197" t="str">
        <f>IF(ADP!$AO197="Y",ADP!AH197,"")</f>
        <v/>
      </c>
      <c r="P197" t="str">
        <f>IF(ADP!$AO197="Y",ADP!AK197,"")</f>
        <v/>
      </c>
    </row>
    <row r="198" spans="1:16" x14ac:dyDescent="0.2">
      <c r="A198" t="str">
        <f>IF(ADP!$AO198="Y","700","")</f>
        <v/>
      </c>
      <c r="B198" t="str">
        <f>IF(ADP!$AO198="Y","PMT","")</f>
        <v/>
      </c>
      <c r="C198" t="str">
        <f>IF(ADP!$AO198="Y",ADP!P198,"")</f>
        <v/>
      </c>
      <c r="O198" t="str">
        <f>IF(ADP!$AO198="Y",ADP!AH198,"")</f>
        <v/>
      </c>
      <c r="P198" t="str">
        <f>IF(ADP!$AO198="Y",ADP!AK198,"")</f>
        <v/>
      </c>
    </row>
    <row r="199" spans="1:16" x14ac:dyDescent="0.2">
      <c r="A199" t="str">
        <f>IF(ADP!$AO199="Y","700","")</f>
        <v/>
      </c>
      <c r="B199" t="str">
        <f>IF(ADP!$AO199="Y","PMT","")</f>
        <v/>
      </c>
      <c r="C199" t="str">
        <f>IF(ADP!$AO199="Y",ADP!P199,"")</f>
        <v/>
      </c>
      <c r="O199" t="str">
        <f>IF(ADP!$AO199="Y",ADP!AH199,"")</f>
        <v/>
      </c>
      <c r="P199" t="str">
        <f>IF(ADP!$AO199="Y",ADP!AK199,"")</f>
        <v/>
      </c>
    </row>
    <row r="200" spans="1:16" x14ac:dyDescent="0.2">
      <c r="A200" t="str">
        <f>IF(ADP!$AO200="Y","700","")</f>
        <v/>
      </c>
      <c r="B200" t="str">
        <f>IF(ADP!$AO200="Y","PMT","")</f>
        <v/>
      </c>
      <c r="C200" t="str">
        <f>IF(ADP!$AO200="Y",ADP!P200,"")</f>
        <v/>
      </c>
      <c r="O200" t="str">
        <f>IF(ADP!$AO200="Y",ADP!AH200,"")</f>
        <v/>
      </c>
      <c r="P200" t="str">
        <f>IF(ADP!$AO200="Y",ADP!AK200,"")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>
    <tabColor theme="6"/>
  </sheetPr>
  <dimension ref="A1:BO363"/>
  <sheetViews>
    <sheetView topLeftCell="AC1" zoomScale="180" zoomScaleNormal="180" workbookViewId="0">
      <pane ySplit="1" topLeftCell="A52" activePane="bottomLeft" state="frozen"/>
      <selection activeCell="S374" sqref="S374"/>
      <selection pane="bottomLeft" activeCell="U69" sqref="U69"/>
    </sheetView>
  </sheetViews>
  <sheetFormatPr baseColWidth="10" defaultColWidth="7.5" defaultRowHeight="15" x14ac:dyDescent="0.2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bestFit="1" customWidth="1"/>
    <col min="8" max="8" width="8.1640625" style="93" bestFit="1" customWidth="1"/>
    <col min="9" max="9" width="17.33203125" bestFit="1" customWidth="1"/>
    <col min="10" max="10" width="18.83203125" bestFit="1" customWidth="1"/>
    <col min="11" max="11" width="19.83203125" bestFit="1" customWidth="1"/>
    <col min="12" max="12" width="17.1640625" bestFit="1" customWidth="1"/>
    <col min="13" max="13" width="14.5" bestFit="1" customWidth="1"/>
    <col min="14" max="14" width="14.6640625" bestFit="1" customWidth="1"/>
    <col min="15" max="15" width="19.5" bestFit="1" customWidth="1"/>
    <col min="18" max="18" width="23" bestFit="1" customWidth="1"/>
    <col min="19" max="19" width="29.33203125" bestFit="1" customWidth="1"/>
    <col min="20" max="20" width="19.83203125" bestFit="1" customWidth="1"/>
    <col min="21" max="21" width="10.5" bestFit="1" customWidth="1"/>
    <col min="22" max="23" width="19.5" customWidth="1"/>
    <col min="24" max="24" width="17.1640625" bestFit="1" customWidth="1"/>
    <col min="25" max="25" width="20.5" bestFit="1" customWidth="1"/>
    <col min="26" max="28" width="7.5" customWidth="1"/>
    <col min="29" max="29" width="33" customWidth="1"/>
    <col min="30" max="30" width="4.83203125" customWidth="1"/>
    <col min="31" max="31" width="11.5" customWidth="1"/>
    <col min="32" max="33" width="7.5" customWidth="1"/>
    <col min="34" max="34" width="18" customWidth="1"/>
    <col min="35" max="35" width="16" bestFit="1" customWidth="1"/>
    <col min="36" max="36" width="9.33203125" customWidth="1"/>
    <col min="37" max="37" width="7.5" customWidth="1"/>
    <col min="38" max="38" width="29.5" customWidth="1"/>
    <col min="39" max="39" width="13.6640625" bestFit="1" customWidth="1"/>
    <col min="40" max="40" width="17.6640625" customWidth="1"/>
    <col min="41" max="41" width="9.6640625" customWidth="1"/>
    <col min="42" max="42" width="7.5" customWidth="1"/>
    <col min="43" max="43" width="26" customWidth="1"/>
    <col min="44" max="44" width="9.5" customWidth="1"/>
    <col min="45" max="45" width="10.5" customWidth="1"/>
    <col min="46" max="46" width="9.6640625" customWidth="1"/>
    <col min="47" max="47" width="6.33203125" customWidth="1"/>
    <col min="48" max="48" width="7.6640625" customWidth="1"/>
    <col min="49" max="56" width="7.5" customWidth="1"/>
    <col min="57" max="57" width="9.33203125" customWidth="1"/>
    <col min="58" max="61" width="7.5" customWidth="1"/>
    <col min="62" max="62" width="8.33203125" customWidth="1"/>
    <col min="63" max="67" width="7.5" customWidth="1"/>
  </cols>
  <sheetData>
    <row r="1" spans="1:67" ht="16" thickBot="1" x14ac:dyDescent="0.25">
      <c r="A1" s="64" t="s">
        <v>1894</v>
      </c>
      <c r="B1" s="64" t="s">
        <v>1895</v>
      </c>
      <c r="C1" s="64" t="s">
        <v>1896</v>
      </c>
      <c r="D1" s="65" t="s">
        <v>1897</v>
      </c>
      <c r="E1" s="64" t="s">
        <v>1898</v>
      </c>
      <c r="F1" s="65" t="s">
        <v>1899</v>
      </c>
      <c r="G1" s="64" t="s">
        <v>1900</v>
      </c>
      <c r="H1" s="64" t="s">
        <v>1901</v>
      </c>
      <c r="I1" s="64" t="s">
        <v>1902</v>
      </c>
      <c r="J1" s="64" t="s">
        <v>1903</v>
      </c>
      <c r="K1" s="64" t="s">
        <v>1904</v>
      </c>
      <c r="L1" s="64" t="s">
        <v>1905</v>
      </c>
      <c r="M1" s="64" t="s">
        <v>1906</v>
      </c>
      <c r="N1" s="64" t="s">
        <v>1907</v>
      </c>
      <c r="O1" s="64" t="s">
        <v>1908</v>
      </c>
      <c r="P1" s="64" t="s">
        <v>1909</v>
      </c>
      <c r="Q1" s="65" t="s">
        <v>1910</v>
      </c>
      <c r="R1" s="121" t="s">
        <v>1911</v>
      </c>
      <c r="S1" s="64" t="s">
        <v>1912</v>
      </c>
      <c r="T1" s="64" t="s">
        <v>1913</v>
      </c>
      <c r="U1" s="65" t="s">
        <v>1914</v>
      </c>
      <c r="V1" s="64" t="s">
        <v>1915</v>
      </c>
      <c r="W1" s="64" t="s">
        <v>1916</v>
      </c>
      <c r="X1" s="64" t="s">
        <v>1917</v>
      </c>
      <c r="Y1" s="65" t="s">
        <v>1918</v>
      </c>
      <c r="Z1" s="64" t="s">
        <v>1919</v>
      </c>
      <c r="AA1" s="64" t="s">
        <v>1920</v>
      </c>
      <c r="AB1" s="64" t="s">
        <v>1921</v>
      </c>
      <c r="AC1" s="64" t="s">
        <v>1922</v>
      </c>
      <c r="AD1" s="64" t="s">
        <v>1923</v>
      </c>
      <c r="AE1" s="65" t="s">
        <v>1924</v>
      </c>
      <c r="AF1" s="64" t="s">
        <v>1925</v>
      </c>
      <c r="AG1" s="64" t="s">
        <v>1926</v>
      </c>
      <c r="AH1" s="64" t="s">
        <v>1927</v>
      </c>
      <c r="AI1" s="65" t="s">
        <v>1928</v>
      </c>
      <c r="AJ1" s="64" t="s">
        <v>1929</v>
      </c>
      <c r="AK1" s="64" t="s">
        <v>1930</v>
      </c>
      <c r="AL1" s="64" t="s">
        <v>1597</v>
      </c>
      <c r="AM1" s="65" t="s">
        <v>1596</v>
      </c>
      <c r="AN1" s="64" t="s">
        <v>1931</v>
      </c>
      <c r="AO1" s="64" t="s">
        <v>1932</v>
      </c>
      <c r="AP1" s="64" t="s">
        <v>1933</v>
      </c>
      <c r="AQ1" s="65" t="s">
        <v>1934</v>
      </c>
      <c r="AR1" s="64" t="s">
        <v>1935</v>
      </c>
      <c r="AS1" s="64" t="s">
        <v>1936</v>
      </c>
      <c r="AT1" s="64" t="s">
        <v>1937</v>
      </c>
      <c r="AU1" s="64" t="s">
        <v>1938</v>
      </c>
      <c r="AV1" s="64" t="s">
        <v>1939</v>
      </c>
      <c r="AW1" s="64" t="s">
        <v>1940</v>
      </c>
      <c r="AX1" s="64" t="s">
        <v>1941</v>
      </c>
      <c r="AY1" s="64" t="s">
        <v>1942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1413</v>
      </c>
      <c r="BE1" s="19" t="s">
        <v>1893</v>
      </c>
      <c r="BF1" s="19" t="s">
        <v>1414</v>
      </c>
      <c r="BG1" s="19" t="s">
        <v>1415</v>
      </c>
      <c r="BH1" s="19" t="s">
        <v>1428</v>
      </c>
      <c r="BI1" s="19" t="s">
        <v>1429</v>
      </c>
      <c r="BJ1" s="19" t="s">
        <v>1430</v>
      </c>
      <c r="BK1" s="19" t="s">
        <v>1432</v>
      </c>
      <c r="BL1" s="19" t="s">
        <v>3023</v>
      </c>
      <c r="BM1" s="19" t="s">
        <v>3008</v>
      </c>
      <c r="BN1" s="19" t="s">
        <v>1075</v>
      </c>
      <c r="BO1" s="19" t="s">
        <v>3007</v>
      </c>
    </row>
    <row r="2" spans="1:67" ht="16" thickBot="1" x14ac:dyDescent="0.25">
      <c r="A2" s="90" t="s">
        <v>2046</v>
      </c>
      <c r="B2" s="90" t="s">
        <v>2047</v>
      </c>
      <c r="C2" s="90" t="s">
        <v>2048</v>
      </c>
      <c r="D2" s="90" t="s">
        <v>3312</v>
      </c>
      <c r="E2" s="90" t="s">
        <v>1953</v>
      </c>
      <c r="F2" s="90" t="s">
        <v>3313</v>
      </c>
      <c r="G2" s="90" t="s">
        <v>3303</v>
      </c>
      <c r="H2" s="90" t="s">
        <v>1943</v>
      </c>
      <c r="I2" s="90" t="s">
        <v>1944</v>
      </c>
      <c r="J2" s="90" t="s">
        <v>692</v>
      </c>
      <c r="K2" s="90" t="s">
        <v>3304</v>
      </c>
      <c r="L2" s="90" t="s">
        <v>3314</v>
      </c>
      <c r="M2" s="87" t="s">
        <v>2000</v>
      </c>
      <c r="N2" s="87" t="s">
        <v>2001</v>
      </c>
      <c r="O2" s="88">
        <v>39006</v>
      </c>
      <c r="P2" s="89">
        <v>19.899999999999999</v>
      </c>
      <c r="Q2" s="90" t="s">
        <v>287</v>
      </c>
      <c r="R2" s="90" t="s">
        <v>3094</v>
      </c>
      <c r="S2" s="90" t="s">
        <v>2049</v>
      </c>
      <c r="T2" s="90" t="s">
        <v>2050</v>
      </c>
      <c r="U2" s="90" t="s">
        <v>1593</v>
      </c>
      <c r="V2" s="88">
        <v>39006</v>
      </c>
      <c r="W2" s="88">
        <v>39006</v>
      </c>
      <c r="X2" s="90" t="s">
        <v>43</v>
      </c>
      <c r="Y2" s="90" t="s">
        <v>257</v>
      </c>
      <c r="Z2" s="90" t="s">
        <v>36</v>
      </c>
      <c r="AA2" s="91"/>
      <c r="AB2" s="91"/>
      <c r="AC2" s="90" t="s">
        <v>2051</v>
      </c>
      <c r="AD2" s="90" t="s">
        <v>267</v>
      </c>
      <c r="AE2" s="90" t="s">
        <v>1608</v>
      </c>
      <c r="AF2" s="90" t="s">
        <v>1947</v>
      </c>
      <c r="AG2" s="90" t="s">
        <v>3095</v>
      </c>
      <c r="AH2" s="90" t="s">
        <v>2052</v>
      </c>
      <c r="AI2" s="90" t="s">
        <v>2052</v>
      </c>
      <c r="AJ2" s="90" t="s">
        <v>2051</v>
      </c>
      <c r="AK2" s="90" t="s">
        <v>36</v>
      </c>
      <c r="AL2" s="90" t="s">
        <v>1607</v>
      </c>
      <c r="AM2" s="90" t="s">
        <v>2053</v>
      </c>
      <c r="AN2" s="90" t="s">
        <v>2054</v>
      </c>
      <c r="AO2" s="87" t="s">
        <v>3082</v>
      </c>
      <c r="AP2" s="87" t="s">
        <v>1950</v>
      </c>
      <c r="AQ2" s="90" t="s">
        <v>3096</v>
      </c>
      <c r="AR2" s="92">
        <v>78000</v>
      </c>
      <c r="AS2" s="92">
        <v>97000</v>
      </c>
      <c r="AT2" s="92">
        <v>121000</v>
      </c>
      <c r="AU2" s="87" t="s">
        <v>1951</v>
      </c>
      <c r="AV2" s="87" t="s">
        <v>1952</v>
      </c>
      <c r="AW2" s="91"/>
      <c r="AX2" s="91"/>
      <c r="AY2" s="91"/>
      <c r="AZ2" t="str">
        <f>R2</f>
        <v>203007</v>
      </c>
      <c r="BA2" t="str">
        <f>U2</f>
        <v>0083</v>
      </c>
      <c r="BB2" t="str">
        <f>IF(OR(BA2="0077",BA2="177"),"0000",IF(ISBLANK(AI2),"000",AI2))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IFERROR(VLOOKUP(X2,'Status Map'!A:B,2,FALSE),"Status Code Not Mapped")</f>
        <v>Y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thickBot="1" x14ac:dyDescent="0.25">
      <c r="A3" s="90" t="s">
        <v>2046</v>
      </c>
      <c r="B3" s="90" t="s">
        <v>2047</v>
      </c>
      <c r="C3" s="90" t="s">
        <v>2048</v>
      </c>
      <c r="D3" s="90" t="s">
        <v>3097</v>
      </c>
      <c r="E3" s="90" t="s">
        <v>1953</v>
      </c>
      <c r="F3" s="90" t="s">
        <v>2055</v>
      </c>
      <c r="G3" s="90" t="s">
        <v>2056</v>
      </c>
      <c r="H3" s="90" t="s">
        <v>1943</v>
      </c>
      <c r="I3" s="90" t="s">
        <v>1944</v>
      </c>
      <c r="J3" s="90" t="s">
        <v>427</v>
      </c>
      <c r="K3" s="90" t="s">
        <v>2057</v>
      </c>
      <c r="L3" s="90" t="s">
        <v>2058</v>
      </c>
      <c r="M3" s="87" t="s">
        <v>1945</v>
      </c>
      <c r="N3" s="87" t="s">
        <v>1983</v>
      </c>
      <c r="O3" s="88">
        <v>41589</v>
      </c>
      <c r="P3" s="89">
        <v>12.8</v>
      </c>
      <c r="Q3" s="90" t="s">
        <v>151</v>
      </c>
      <c r="R3" s="90" t="s">
        <v>313</v>
      </c>
      <c r="S3" s="90" t="s">
        <v>3091</v>
      </c>
      <c r="T3" s="90" t="s">
        <v>2050</v>
      </c>
      <c r="U3" s="90" t="s">
        <v>1593</v>
      </c>
      <c r="V3" s="88">
        <v>41589</v>
      </c>
      <c r="W3" s="88">
        <v>41589</v>
      </c>
      <c r="X3" s="90" t="s">
        <v>43</v>
      </c>
      <c r="Y3" s="90" t="s">
        <v>257</v>
      </c>
      <c r="Z3" s="90" t="s">
        <v>36</v>
      </c>
      <c r="AA3" s="91"/>
      <c r="AB3" s="91"/>
      <c r="AC3" s="90" t="s">
        <v>2051</v>
      </c>
      <c r="AD3" s="90" t="s">
        <v>267</v>
      </c>
      <c r="AE3" s="90" t="s">
        <v>1608</v>
      </c>
      <c r="AF3" s="90" t="s">
        <v>1947</v>
      </c>
      <c r="AG3" s="90" t="s">
        <v>3095</v>
      </c>
      <c r="AH3" s="90" t="s">
        <v>2052</v>
      </c>
      <c r="AI3" s="90" t="s">
        <v>2052</v>
      </c>
      <c r="AJ3" s="90" t="s">
        <v>2051</v>
      </c>
      <c r="AK3" s="90" t="s">
        <v>36</v>
      </c>
      <c r="AL3" s="90" t="s">
        <v>1607</v>
      </c>
      <c r="AM3" s="90" t="s">
        <v>2053</v>
      </c>
      <c r="AN3" s="90" t="s">
        <v>2054</v>
      </c>
      <c r="AO3" s="87" t="s">
        <v>1949</v>
      </c>
      <c r="AP3" s="87" t="s">
        <v>1950</v>
      </c>
      <c r="AQ3" s="90" t="s">
        <v>1564</v>
      </c>
      <c r="AR3" s="92">
        <v>88000</v>
      </c>
      <c r="AS3" s="92">
        <v>110000</v>
      </c>
      <c r="AT3" s="92">
        <v>137000</v>
      </c>
      <c r="AU3" s="87" t="s">
        <v>1951</v>
      </c>
      <c r="AV3" s="87" t="s">
        <v>1952</v>
      </c>
      <c r="AW3" s="91"/>
      <c r="AX3" s="91"/>
      <c r="AY3" s="91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66" si="2">IF(OR(BA3="0077",BA3="177"),"0000",IF(ISBLANK(AI3),"000",AI3))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>IFERROR(VLOOKUP(X3,'Status Map'!A:B,2,FALSE),"Status Code Not Mapped")</f>
        <v>Y</v>
      </c>
      <c r="BL3" t="str">
        <f>IFERROR(VLOOKUP(D3,'Invoice Exception Map'!A:C,3,FALSE),"N")</f>
        <v>N</v>
      </c>
      <c r="BM3">
        <f t="shared" ref="BM3:BM58" si="3">FIND(",",F3,1)</f>
        <v>5</v>
      </c>
      <c r="BN3" t="str">
        <f t="shared" ref="BN3:BN58" si="4">LEFT(F3,BM3-1)</f>
        <v>Song</v>
      </c>
      <c r="BO3" t="str">
        <f t="shared" ref="BO3:BO58" si="5">MID(F3,BM3+2,45)</f>
        <v>Guojun</v>
      </c>
    </row>
    <row r="4" spans="1:67" ht="16" thickBot="1" x14ac:dyDescent="0.25">
      <c r="A4" s="90" t="s">
        <v>2046</v>
      </c>
      <c r="B4" s="90" t="s">
        <v>2047</v>
      </c>
      <c r="C4" s="90" t="s">
        <v>2048</v>
      </c>
      <c r="D4" s="90" t="s">
        <v>3315</v>
      </c>
      <c r="E4" s="90" t="s">
        <v>1953</v>
      </c>
      <c r="F4" s="90" t="s">
        <v>2059</v>
      </c>
      <c r="G4" s="90" t="s">
        <v>2060</v>
      </c>
      <c r="H4" s="90" t="s">
        <v>1943</v>
      </c>
      <c r="I4" s="90" t="s">
        <v>1944</v>
      </c>
      <c r="J4" s="90" t="s">
        <v>1955</v>
      </c>
      <c r="K4" s="90" t="s">
        <v>2061</v>
      </c>
      <c r="L4" s="90" t="s">
        <v>2062</v>
      </c>
      <c r="M4" s="87" t="s">
        <v>2024</v>
      </c>
      <c r="N4" s="87" t="s">
        <v>1991</v>
      </c>
      <c r="O4" s="88">
        <v>40364</v>
      </c>
      <c r="P4" s="89">
        <v>16.100000000000001</v>
      </c>
      <c r="Q4" s="90" t="s">
        <v>264</v>
      </c>
      <c r="R4" s="90" t="s">
        <v>859</v>
      </c>
      <c r="S4" s="90" t="s">
        <v>59</v>
      </c>
      <c r="T4" s="90" t="s">
        <v>2050</v>
      </c>
      <c r="U4" s="90" t="s">
        <v>1593</v>
      </c>
      <c r="V4" s="88">
        <v>40364</v>
      </c>
      <c r="W4" s="88">
        <v>40364</v>
      </c>
      <c r="X4" s="90" t="s">
        <v>43</v>
      </c>
      <c r="Y4" s="90" t="s">
        <v>257</v>
      </c>
      <c r="Z4" s="90" t="s">
        <v>36</v>
      </c>
      <c r="AA4" s="91"/>
      <c r="AB4" s="91"/>
      <c r="AC4" s="90" t="s">
        <v>2051</v>
      </c>
      <c r="AD4" s="90" t="s">
        <v>267</v>
      </c>
      <c r="AE4" s="90" t="s">
        <v>1608</v>
      </c>
      <c r="AF4" s="90" t="s">
        <v>1947</v>
      </c>
      <c r="AG4" s="90" t="s">
        <v>3095</v>
      </c>
      <c r="AH4" s="90" t="s">
        <v>2052</v>
      </c>
      <c r="AI4" s="90" t="s">
        <v>2052</v>
      </c>
      <c r="AJ4" s="90" t="s">
        <v>2051</v>
      </c>
      <c r="AK4" s="90" t="s">
        <v>36</v>
      </c>
      <c r="AL4" s="90" t="s">
        <v>1607</v>
      </c>
      <c r="AM4" s="90" t="s">
        <v>2053</v>
      </c>
      <c r="AN4" s="90" t="s">
        <v>2054</v>
      </c>
      <c r="AO4" s="87" t="s">
        <v>1949</v>
      </c>
      <c r="AP4" s="87" t="s">
        <v>1950</v>
      </c>
      <c r="AQ4" s="90" t="s">
        <v>1562</v>
      </c>
      <c r="AR4" s="92">
        <v>56000</v>
      </c>
      <c r="AS4" s="92">
        <v>70000</v>
      </c>
      <c r="AT4" s="92">
        <v>87000</v>
      </c>
      <c r="AU4" s="87" t="s">
        <v>1951</v>
      </c>
      <c r="AV4" s="87" t="s">
        <v>2002</v>
      </c>
      <c r="AW4" s="91"/>
      <c r="AX4" s="91"/>
      <c r="AY4" s="91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>IFERROR(VLOOKUP(X4,'Status Map'!A:B,2,FALSE),"Status Code Not Mapped")</f>
        <v>Y</v>
      </c>
      <c r="BL4" t="str">
        <f>IFERROR(VLOOKUP(D4,'Invoice Exception Map'!A:C,3,FALSE),"N")</f>
        <v>N</v>
      </c>
      <c r="BM4">
        <f t="shared" si="3"/>
        <v>5</v>
      </c>
      <c r="BN4" t="str">
        <f t="shared" si="4"/>
        <v>Wang</v>
      </c>
      <c r="BO4" t="str">
        <f t="shared" si="5"/>
        <v>ZongJue</v>
      </c>
    </row>
    <row r="5" spans="1:67" ht="16" thickBot="1" x14ac:dyDescent="0.25">
      <c r="A5" s="90" t="s">
        <v>2046</v>
      </c>
      <c r="B5" s="90" t="s">
        <v>2047</v>
      </c>
      <c r="C5" s="90" t="s">
        <v>2048</v>
      </c>
      <c r="D5" s="90" t="s">
        <v>3316</v>
      </c>
      <c r="E5" s="90" t="s">
        <v>1953</v>
      </c>
      <c r="F5" s="90" t="s">
        <v>2063</v>
      </c>
      <c r="G5" s="90" t="s">
        <v>2064</v>
      </c>
      <c r="H5" s="90" t="s">
        <v>1943</v>
      </c>
      <c r="I5" s="90" t="s">
        <v>1944</v>
      </c>
      <c r="J5" s="90" t="s">
        <v>241</v>
      </c>
      <c r="K5" s="90" t="s">
        <v>2065</v>
      </c>
      <c r="L5" s="90" t="s">
        <v>2066</v>
      </c>
      <c r="M5" s="87" t="s">
        <v>1963</v>
      </c>
      <c r="N5" s="87" t="s">
        <v>1978</v>
      </c>
      <c r="O5" s="88">
        <v>41004</v>
      </c>
      <c r="P5" s="89">
        <v>14.4</v>
      </c>
      <c r="Q5" s="90" t="s">
        <v>151</v>
      </c>
      <c r="R5" s="90" t="s">
        <v>3097</v>
      </c>
      <c r="S5" s="90" t="s">
        <v>2055</v>
      </c>
      <c r="T5" s="90" t="s">
        <v>2050</v>
      </c>
      <c r="U5" s="90" t="s">
        <v>1593</v>
      </c>
      <c r="V5" s="88">
        <v>42632</v>
      </c>
      <c r="W5" s="88">
        <v>41004</v>
      </c>
      <c r="X5" s="90" t="s">
        <v>43</v>
      </c>
      <c r="Y5" s="90" t="s">
        <v>257</v>
      </c>
      <c r="Z5" s="90" t="s">
        <v>36</v>
      </c>
      <c r="AA5" s="91"/>
      <c r="AB5" s="91"/>
      <c r="AC5" s="90" t="s">
        <v>2051</v>
      </c>
      <c r="AD5" s="90" t="s">
        <v>267</v>
      </c>
      <c r="AE5" s="90" t="s">
        <v>1608</v>
      </c>
      <c r="AF5" s="90" t="s">
        <v>1947</v>
      </c>
      <c r="AG5" s="90" t="s">
        <v>3095</v>
      </c>
      <c r="AH5" s="90" t="s">
        <v>2052</v>
      </c>
      <c r="AI5" s="90" t="s">
        <v>2052</v>
      </c>
      <c r="AJ5" s="90" t="s">
        <v>2051</v>
      </c>
      <c r="AK5" s="90" t="s">
        <v>36</v>
      </c>
      <c r="AL5" s="90" t="s">
        <v>1607</v>
      </c>
      <c r="AM5" s="90" t="s">
        <v>2053</v>
      </c>
      <c r="AN5" s="90" t="s">
        <v>2054</v>
      </c>
      <c r="AO5" s="87" t="s">
        <v>1949</v>
      </c>
      <c r="AP5" s="87" t="s">
        <v>1950</v>
      </c>
      <c r="AQ5" s="90" t="s">
        <v>1563</v>
      </c>
      <c r="AR5" s="92">
        <v>88000</v>
      </c>
      <c r="AS5" s="92">
        <v>110000</v>
      </c>
      <c r="AT5" s="92">
        <v>137000</v>
      </c>
      <c r="AU5" s="87" t="s">
        <v>1951</v>
      </c>
      <c r="AV5" s="87" t="s">
        <v>1952</v>
      </c>
      <c r="AW5" s="91"/>
      <c r="AX5" s="91"/>
      <c r="AY5" s="91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>IFERROR(VLOOKUP(X5,'Status Map'!A:B,2,FALSE),"Status Code Not Mapped")</f>
        <v>Y</v>
      </c>
      <c r="BL5" t="str">
        <f>IFERROR(VLOOKUP(D5,'Invoice Exception Map'!A:C,3,FALSE),"N")</f>
        <v>N</v>
      </c>
      <c r="BM5">
        <f t="shared" si="3"/>
        <v>3</v>
      </c>
      <c r="BN5" t="str">
        <f t="shared" si="4"/>
        <v>Wu</v>
      </c>
      <c r="BO5" t="str">
        <f t="shared" si="5"/>
        <v>Hao</v>
      </c>
    </row>
    <row r="6" spans="1:67" ht="16" thickBot="1" x14ac:dyDescent="0.25">
      <c r="A6" s="90" t="s">
        <v>2046</v>
      </c>
      <c r="B6" s="90" t="s">
        <v>2047</v>
      </c>
      <c r="C6" s="90" t="s">
        <v>2048</v>
      </c>
      <c r="D6" s="90" t="s">
        <v>3317</v>
      </c>
      <c r="E6" s="90" t="s">
        <v>1953</v>
      </c>
      <c r="F6" s="90" t="s">
        <v>2067</v>
      </c>
      <c r="G6" s="90" t="s">
        <v>2029</v>
      </c>
      <c r="H6" s="90" t="s">
        <v>1943</v>
      </c>
      <c r="I6" s="90" t="s">
        <v>1944</v>
      </c>
      <c r="J6" s="90" t="s">
        <v>427</v>
      </c>
      <c r="K6" s="90" t="s">
        <v>787</v>
      </c>
      <c r="L6" s="90" t="s">
        <v>2028</v>
      </c>
      <c r="M6" s="87" t="s">
        <v>2028</v>
      </c>
      <c r="N6" s="87" t="s">
        <v>1983</v>
      </c>
      <c r="O6" s="88">
        <v>43360</v>
      </c>
      <c r="P6" s="89">
        <v>7.9</v>
      </c>
      <c r="Q6" s="90" t="s">
        <v>504</v>
      </c>
      <c r="R6" s="90" t="s">
        <v>3097</v>
      </c>
      <c r="S6" s="90" t="s">
        <v>2055</v>
      </c>
      <c r="T6" s="90" t="s">
        <v>2050</v>
      </c>
      <c r="U6" s="90" t="s">
        <v>1593</v>
      </c>
      <c r="V6" s="88">
        <v>43360</v>
      </c>
      <c r="W6" s="88">
        <v>43360</v>
      </c>
      <c r="X6" s="90" t="s">
        <v>43</v>
      </c>
      <c r="Y6" s="90" t="s">
        <v>257</v>
      </c>
      <c r="Z6" s="90" t="s">
        <v>36</v>
      </c>
      <c r="AA6" s="91"/>
      <c r="AB6" s="91"/>
      <c r="AC6" s="90" t="s">
        <v>2051</v>
      </c>
      <c r="AD6" s="90" t="s">
        <v>267</v>
      </c>
      <c r="AE6" s="90" t="s">
        <v>1608</v>
      </c>
      <c r="AF6" s="90" t="s">
        <v>1947</v>
      </c>
      <c r="AG6" s="90" t="s">
        <v>3095</v>
      </c>
      <c r="AH6" s="90" t="s">
        <v>2052</v>
      </c>
      <c r="AI6" s="90" t="s">
        <v>2052</v>
      </c>
      <c r="AJ6" s="90" t="s">
        <v>2051</v>
      </c>
      <c r="AK6" s="90" t="s">
        <v>36</v>
      </c>
      <c r="AL6" s="90" t="s">
        <v>1607</v>
      </c>
      <c r="AM6" s="90" t="s">
        <v>2053</v>
      </c>
      <c r="AN6" s="90" t="s">
        <v>2054</v>
      </c>
      <c r="AO6" s="87" t="s">
        <v>1949</v>
      </c>
      <c r="AP6" s="87" t="s">
        <v>1950</v>
      </c>
      <c r="AQ6" s="90" t="s">
        <v>1561</v>
      </c>
      <c r="AR6" s="92">
        <v>62000</v>
      </c>
      <c r="AS6" s="92">
        <v>78000</v>
      </c>
      <c r="AT6" s="92">
        <v>97000</v>
      </c>
      <c r="AU6" s="87" t="s">
        <v>1951</v>
      </c>
      <c r="AV6" s="87" t="s">
        <v>1966</v>
      </c>
      <c r="AW6" s="91"/>
      <c r="AX6" s="91"/>
      <c r="AY6" s="91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>IFERROR(VLOOKUP(X6,'Status Map'!A:B,2,FALSE),"Status Code Not Mapped")</f>
        <v>Y</v>
      </c>
      <c r="BL6" t="str">
        <f>IFERROR(VLOOKUP(D6,'Invoice Exception Map'!A:C,3,FALSE),"N")</f>
        <v>N</v>
      </c>
      <c r="BM6">
        <f t="shared" si="3"/>
        <v>3</v>
      </c>
      <c r="BN6" t="str">
        <f t="shared" si="4"/>
        <v>Xu</v>
      </c>
      <c r="BO6" t="str">
        <f t="shared" si="5"/>
        <v>Shanhui</v>
      </c>
    </row>
    <row r="7" spans="1:67" ht="16" thickBot="1" x14ac:dyDescent="0.25">
      <c r="A7" s="90" t="s">
        <v>2046</v>
      </c>
      <c r="B7" s="90" t="s">
        <v>2047</v>
      </c>
      <c r="C7" s="90" t="s">
        <v>2048</v>
      </c>
      <c r="D7" s="90" t="s">
        <v>3318</v>
      </c>
      <c r="E7" s="90" t="s">
        <v>1953</v>
      </c>
      <c r="F7" s="90" t="s">
        <v>2068</v>
      </c>
      <c r="G7" s="90" t="s">
        <v>2027</v>
      </c>
      <c r="H7" s="90" t="s">
        <v>1943</v>
      </c>
      <c r="I7" s="90" t="s">
        <v>1944</v>
      </c>
      <c r="J7" s="90" t="s">
        <v>427</v>
      </c>
      <c r="K7" s="90" t="s">
        <v>776</v>
      </c>
      <c r="L7" s="90" t="s">
        <v>776</v>
      </c>
      <c r="M7" s="87" t="s">
        <v>2028</v>
      </c>
      <c r="N7" s="87" t="s">
        <v>1983</v>
      </c>
      <c r="O7" s="88">
        <v>42779</v>
      </c>
      <c r="P7" s="89">
        <v>9.5</v>
      </c>
      <c r="Q7" s="90" t="s">
        <v>118</v>
      </c>
      <c r="R7" s="90" t="s">
        <v>3097</v>
      </c>
      <c r="S7" s="90" t="s">
        <v>2055</v>
      </c>
      <c r="T7" s="90" t="s">
        <v>2050</v>
      </c>
      <c r="U7" s="90" t="s">
        <v>1593</v>
      </c>
      <c r="V7" s="88">
        <v>42779</v>
      </c>
      <c r="W7" s="88">
        <v>42779</v>
      </c>
      <c r="X7" s="90" t="s">
        <v>43</v>
      </c>
      <c r="Y7" s="90" t="s">
        <v>257</v>
      </c>
      <c r="Z7" s="90" t="s">
        <v>36</v>
      </c>
      <c r="AA7" s="91"/>
      <c r="AB7" s="91"/>
      <c r="AC7" s="90" t="s">
        <v>2051</v>
      </c>
      <c r="AD7" s="90" t="s">
        <v>267</v>
      </c>
      <c r="AE7" s="90" t="s">
        <v>1608</v>
      </c>
      <c r="AF7" s="90" t="s">
        <v>1947</v>
      </c>
      <c r="AG7" s="90" t="s">
        <v>3095</v>
      </c>
      <c r="AH7" s="90" t="s">
        <v>2052</v>
      </c>
      <c r="AI7" s="90" t="s">
        <v>2052</v>
      </c>
      <c r="AJ7" s="90" t="s">
        <v>2051</v>
      </c>
      <c r="AK7" s="90" t="s">
        <v>36</v>
      </c>
      <c r="AL7" s="90" t="s">
        <v>1607</v>
      </c>
      <c r="AM7" s="90" t="s">
        <v>2053</v>
      </c>
      <c r="AN7" s="90" t="s">
        <v>2054</v>
      </c>
      <c r="AO7" s="87" t="s">
        <v>1949</v>
      </c>
      <c r="AP7" s="87" t="s">
        <v>1950</v>
      </c>
      <c r="AQ7" s="90" t="s">
        <v>1560</v>
      </c>
      <c r="AR7" s="92">
        <v>69000</v>
      </c>
      <c r="AS7" s="92">
        <v>87000</v>
      </c>
      <c r="AT7" s="92">
        <v>108000</v>
      </c>
      <c r="AU7" s="87" t="s">
        <v>1951</v>
      </c>
      <c r="AV7" s="87" t="s">
        <v>1966</v>
      </c>
      <c r="AW7" s="91"/>
      <c r="AX7" s="91"/>
      <c r="AY7" s="91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>IFERROR(VLOOKUP(X7,'Status Map'!A:B,2,FALSE),"Status Code Not Mapped")</f>
        <v>Y</v>
      </c>
      <c r="BL7" t="str">
        <f>IFERROR(VLOOKUP(D7,'Invoice Exception Map'!A:C,3,FALSE),"N")</f>
        <v>N</v>
      </c>
      <c r="BM7">
        <f t="shared" si="3"/>
        <v>4</v>
      </c>
      <c r="BN7" t="str">
        <f t="shared" si="4"/>
        <v>Zhu</v>
      </c>
      <c r="BO7" t="str">
        <f t="shared" si="5"/>
        <v>Jiaqing</v>
      </c>
    </row>
    <row r="8" spans="1:67" ht="16" thickBot="1" x14ac:dyDescent="0.25">
      <c r="A8" s="90" t="s">
        <v>2069</v>
      </c>
      <c r="B8" s="90" t="s">
        <v>2070</v>
      </c>
      <c r="C8" s="90" t="s">
        <v>2071</v>
      </c>
      <c r="D8" s="90" t="s">
        <v>3319</v>
      </c>
      <c r="E8" s="90" t="s">
        <v>1953</v>
      </c>
      <c r="F8" s="90" t="s">
        <v>2076</v>
      </c>
      <c r="G8" s="90" t="s">
        <v>2077</v>
      </c>
      <c r="H8" s="90" t="s">
        <v>1943</v>
      </c>
      <c r="I8" s="90" t="s">
        <v>1944</v>
      </c>
      <c r="J8" s="90" t="s">
        <v>692</v>
      </c>
      <c r="K8" s="90" t="s">
        <v>2033</v>
      </c>
      <c r="L8" s="90" t="s">
        <v>1986</v>
      </c>
      <c r="M8" s="87" t="s">
        <v>1986</v>
      </c>
      <c r="N8" s="87" t="s">
        <v>1987</v>
      </c>
      <c r="O8" s="88">
        <v>42826</v>
      </c>
      <c r="P8" s="89">
        <v>9.4</v>
      </c>
      <c r="Q8" s="90" t="s">
        <v>305</v>
      </c>
      <c r="R8" s="90" t="s">
        <v>3100</v>
      </c>
      <c r="S8" s="90" t="s">
        <v>2078</v>
      </c>
      <c r="T8" s="90" t="s">
        <v>2074</v>
      </c>
      <c r="U8" s="90" t="s">
        <v>1592</v>
      </c>
      <c r="V8" s="88">
        <v>42826</v>
      </c>
      <c r="W8" s="88">
        <v>42826</v>
      </c>
      <c r="X8" s="90" t="s">
        <v>43</v>
      </c>
      <c r="Y8" s="90" t="s">
        <v>257</v>
      </c>
      <c r="Z8" s="90" t="s">
        <v>36</v>
      </c>
      <c r="AA8" s="91"/>
      <c r="AB8" s="91"/>
      <c r="AC8" s="90" t="s">
        <v>2051</v>
      </c>
      <c r="AD8" s="90" t="s">
        <v>267</v>
      </c>
      <c r="AE8" s="90" t="s">
        <v>1608</v>
      </c>
      <c r="AF8" s="90" t="s">
        <v>1947</v>
      </c>
      <c r="AG8" s="90" t="s">
        <v>3099</v>
      </c>
      <c r="AH8" s="90" t="s">
        <v>1989</v>
      </c>
      <c r="AI8" s="90" t="s">
        <v>1989</v>
      </c>
      <c r="AJ8" s="90" t="s">
        <v>2051</v>
      </c>
      <c r="AK8" s="90" t="s">
        <v>36</v>
      </c>
      <c r="AL8" s="90" t="s">
        <v>1607</v>
      </c>
      <c r="AM8" s="90" t="s">
        <v>2053</v>
      </c>
      <c r="AN8" s="90" t="s">
        <v>2075</v>
      </c>
      <c r="AO8" s="87" t="s">
        <v>1949</v>
      </c>
      <c r="AP8" s="87" t="s">
        <v>1950</v>
      </c>
      <c r="AQ8" s="90" t="s">
        <v>1557</v>
      </c>
      <c r="AR8" s="92">
        <v>50000</v>
      </c>
      <c r="AS8" s="92">
        <v>62000</v>
      </c>
      <c r="AT8" s="92">
        <v>77000</v>
      </c>
      <c r="AU8" s="87" t="s">
        <v>1972</v>
      </c>
      <c r="AV8" s="87" t="s">
        <v>1973</v>
      </c>
      <c r="AW8" s="91"/>
      <c r="AX8" s="91"/>
      <c r="AY8" s="91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>IFERROR(VLOOKUP(X8,'Status Map'!A:B,2,FALSE),"Status Code Not Mapped")</f>
        <v>Y</v>
      </c>
      <c r="BL8" t="str">
        <f>IFERROR(VLOOKUP(D8,'Invoice Exception Map'!A:C,3,FALSE),"N")</f>
        <v>N</v>
      </c>
      <c r="BM8">
        <f t="shared" si="3"/>
        <v>4</v>
      </c>
      <c r="BN8" t="str">
        <f t="shared" si="4"/>
        <v>Cui</v>
      </c>
      <c r="BO8" t="str">
        <f t="shared" si="5"/>
        <v>Yingying</v>
      </c>
    </row>
    <row r="9" spans="1:67" ht="16" thickBot="1" x14ac:dyDescent="0.25">
      <c r="A9" s="90" t="s">
        <v>2069</v>
      </c>
      <c r="B9" s="90" t="s">
        <v>2070</v>
      </c>
      <c r="C9" s="90" t="s">
        <v>2071</v>
      </c>
      <c r="D9" s="90" t="s">
        <v>3320</v>
      </c>
      <c r="E9" s="90" t="s">
        <v>1953</v>
      </c>
      <c r="F9" s="90" t="s">
        <v>2079</v>
      </c>
      <c r="G9" s="90" t="s">
        <v>2080</v>
      </c>
      <c r="H9" s="90" t="s">
        <v>1943</v>
      </c>
      <c r="I9" s="90" t="s">
        <v>1944</v>
      </c>
      <c r="J9" s="90" t="s">
        <v>1957</v>
      </c>
      <c r="K9" s="90" t="s">
        <v>2081</v>
      </c>
      <c r="L9" s="90" t="s">
        <v>2082</v>
      </c>
      <c r="M9" s="87" t="s">
        <v>1998</v>
      </c>
      <c r="N9" s="87" t="s">
        <v>1999</v>
      </c>
      <c r="O9" s="88">
        <v>40725</v>
      </c>
      <c r="P9" s="89">
        <v>15.1</v>
      </c>
      <c r="Q9" s="90" t="s">
        <v>118</v>
      </c>
      <c r="R9" s="90" t="s">
        <v>3098</v>
      </c>
      <c r="S9" s="90" t="s">
        <v>2073</v>
      </c>
      <c r="T9" s="90" t="s">
        <v>2074</v>
      </c>
      <c r="U9" s="90" t="s">
        <v>1592</v>
      </c>
      <c r="V9" s="88">
        <v>40725</v>
      </c>
      <c r="W9" s="88">
        <v>40725</v>
      </c>
      <c r="X9" s="90" t="s">
        <v>43</v>
      </c>
      <c r="Y9" s="90" t="s">
        <v>257</v>
      </c>
      <c r="Z9" s="90" t="s">
        <v>36</v>
      </c>
      <c r="AA9" s="91"/>
      <c r="AB9" s="91"/>
      <c r="AC9" s="90" t="s">
        <v>2051</v>
      </c>
      <c r="AD9" s="90" t="s">
        <v>267</v>
      </c>
      <c r="AE9" s="90" t="s">
        <v>1608</v>
      </c>
      <c r="AF9" s="90" t="s">
        <v>1947</v>
      </c>
      <c r="AG9" s="90" t="s">
        <v>3099</v>
      </c>
      <c r="AH9" s="90" t="s">
        <v>1971</v>
      </c>
      <c r="AI9" s="90" t="s">
        <v>1971</v>
      </c>
      <c r="AJ9" s="90" t="s">
        <v>2051</v>
      </c>
      <c r="AK9" s="90" t="s">
        <v>36</v>
      </c>
      <c r="AL9" s="90" t="s">
        <v>1607</v>
      </c>
      <c r="AM9" s="90" t="s">
        <v>2053</v>
      </c>
      <c r="AN9" s="90" t="s">
        <v>2075</v>
      </c>
      <c r="AO9" s="87" t="s">
        <v>1949</v>
      </c>
      <c r="AP9" s="87" t="s">
        <v>1950</v>
      </c>
      <c r="AQ9" s="90" t="s">
        <v>1558</v>
      </c>
      <c r="AR9" s="92">
        <v>69000</v>
      </c>
      <c r="AS9" s="92">
        <v>87000</v>
      </c>
      <c r="AT9" s="92">
        <v>108000</v>
      </c>
      <c r="AU9" s="87" t="s">
        <v>1951</v>
      </c>
      <c r="AV9" s="87" t="s">
        <v>1966</v>
      </c>
      <c r="AW9" s="91"/>
      <c r="AX9" s="91"/>
      <c r="AY9" s="91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>IFERROR(VLOOKUP(X9,'Status Map'!A:B,2,FALSE),"Status Code Not Mapped")</f>
        <v>Y</v>
      </c>
      <c r="BL9" t="str">
        <f>IFERROR(VLOOKUP(D9,'Invoice Exception Map'!A:C,3,FALSE),"N")</f>
        <v>N</v>
      </c>
      <c r="BM9">
        <f t="shared" si="3"/>
        <v>5</v>
      </c>
      <c r="BN9" t="str">
        <f t="shared" si="4"/>
        <v>Dong</v>
      </c>
      <c r="BO9" t="str">
        <f t="shared" si="5"/>
        <v>Fang</v>
      </c>
    </row>
    <row r="10" spans="1:67" ht="16" thickBot="1" x14ac:dyDescent="0.25">
      <c r="A10" s="90" t="s">
        <v>2069</v>
      </c>
      <c r="B10" s="90" t="s">
        <v>2070</v>
      </c>
      <c r="C10" s="90" t="s">
        <v>2071</v>
      </c>
      <c r="D10" s="90" t="s">
        <v>3321</v>
      </c>
      <c r="E10" s="90" t="s">
        <v>1953</v>
      </c>
      <c r="F10" s="90" t="s">
        <v>2083</v>
      </c>
      <c r="G10" s="90" t="s">
        <v>2084</v>
      </c>
      <c r="H10" s="90" t="s">
        <v>1943</v>
      </c>
      <c r="I10" s="90" t="s">
        <v>1944</v>
      </c>
      <c r="J10" s="90" t="s">
        <v>831</v>
      </c>
      <c r="K10" s="90" t="s">
        <v>2085</v>
      </c>
      <c r="L10" s="90" t="s">
        <v>2086</v>
      </c>
      <c r="M10" s="87" t="s">
        <v>1975</v>
      </c>
      <c r="N10" s="87" t="s">
        <v>831</v>
      </c>
      <c r="O10" s="88">
        <v>44652</v>
      </c>
      <c r="P10" s="89">
        <v>4.4000000000000004</v>
      </c>
      <c r="Q10" s="90" t="s">
        <v>213</v>
      </c>
      <c r="R10" s="90" t="s">
        <v>3101</v>
      </c>
      <c r="S10" s="90" t="s">
        <v>2087</v>
      </c>
      <c r="T10" s="90" t="s">
        <v>2074</v>
      </c>
      <c r="U10" s="90" t="s">
        <v>1592</v>
      </c>
      <c r="V10" s="88">
        <v>44652</v>
      </c>
      <c r="W10" s="88">
        <v>44652</v>
      </c>
      <c r="X10" s="90" t="s">
        <v>43</v>
      </c>
      <c r="Y10" s="90" t="s">
        <v>257</v>
      </c>
      <c r="Z10" s="90" t="s">
        <v>36</v>
      </c>
      <c r="AA10" s="91"/>
      <c r="AB10" s="91"/>
      <c r="AC10" s="90" t="s">
        <v>2051</v>
      </c>
      <c r="AD10" s="90" t="s">
        <v>267</v>
      </c>
      <c r="AE10" s="90" t="s">
        <v>1608</v>
      </c>
      <c r="AF10" s="90" t="s">
        <v>1947</v>
      </c>
      <c r="AG10" s="90" t="s">
        <v>3099</v>
      </c>
      <c r="AH10" s="90" t="s">
        <v>1971</v>
      </c>
      <c r="AI10" s="90" t="s">
        <v>1971</v>
      </c>
      <c r="AJ10" s="90" t="s">
        <v>2051</v>
      </c>
      <c r="AK10" s="91"/>
      <c r="AL10" s="90" t="s">
        <v>1607</v>
      </c>
      <c r="AM10" s="90" t="s">
        <v>2053</v>
      </c>
      <c r="AN10" s="90" t="s">
        <v>2075</v>
      </c>
      <c r="AO10" s="87" t="s">
        <v>1949</v>
      </c>
      <c r="AP10" s="87" t="s">
        <v>1950</v>
      </c>
      <c r="AQ10" s="90" t="s">
        <v>1575</v>
      </c>
      <c r="AR10" s="92">
        <v>38000</v>
      </c>
      <c r="AS10" s="92">
        <v>47000</v>
      </c>
      <c r="AT10" s="92">
        <v>59000</v>
      </c>
      <c r="AU10" s="87" t="s">
        <v>1972</v>
      </c>
      <c r="AV10" s="87" t="s">
        <v>1973</v>
      </c>
      <c r="AW10" s="91"/>
      <c r="AX10" s="91"/>
      <c r="AY10" s="91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>IFERROR(VLOOKUP(X10,'Status Map'!A:B,2,FALSE),"Status Code Not Mapped")</f>
        <v>Y</v>
      </c>
      <c r="BL10" t="str">
        <f>IFERROR(VLOOKUP(D10,'Invoice Exception Map'!A:C,3,FALSE),"N")</f>
        <v>N</v>
      </c>
      <c r="BM10">
        <f t="shared" si="3"/>
        <v>4</v>
      </c>
      <c r="BN10" t="str">
        <f t="shared" si="4"/>
        <v>Guo</v>
      </c>
      <c r="BO10" t="str">
        <f t="shared" si="5"/>
        <v>Fengyue</v>
      </c>
    </row>
    <row r="11" spans="1:67" ht="16" thickBot="1" x14ac:dyDescent="0.25">
      <c r="A11" s="90" t="s">
        <v>2069</v>
      </c>
      <c r="B11" s="90" t="s">
        <v>2070</v>
      </c>
      <c r="C11" s="90" t="s">
        <v>2071</v>
      </c>
      <c r="D11" s="90" t="s">
        <v>3102</v>
      </c>
      <c r="E11" s="90" t="s">
        <v>1953</v>
      </c>
      <c r="F11" s="90" t="s">
        <v>2088</v>
      </c>
      <c r="G11" s="90" t="s">
        <v>2089</v>
      </c>
      <c r="H11" s="90" t="s">
        <v>1943</v>
      </c>
      <c r="I11" s="90" t="s">
        <v>1944</v>
      </c>
      <c r="J11" s="90" t="s">
        <v>241</v>
      </c>
      <c r="K11" s="90" t="s">
        <v>2090</v>
      </c>
      <c r="L11" s="90" t="s">
        <v>2091</v>
      </c>
      <c r="M11" s="87" t="s">
        <v>1963</v>
      </c>
      <c r="N11" s="87" t="s">
        <v>303</v>
      </c>
      <c r="O11" s="88">
        <v>41008</v>
      </c>
      <c r="P11" s="89">
        <v>14.4</v>
      </c>
      <c r="Q11" s="90" t="s">
        <v>287</v>
      </c>
      <c r="R11" s="90" t="s">
        <v>3098</v>
      </c>
      <c r="S11" s="90" t="s">
        <v>2073</v>
      </c>
      <c r="T11" s="90" t="s">
        <v>2074</v>
      </c>
      <c r="U11" s="90" t="s">
        <v>1592</v>
      </c>
      <c r="V11" s="88">
        <v>41008</v>
      </c>
      <c r="W11" s="88">
        <v>41008</v>
      </c>
      <c r="X11" s="90" t="s">
        <v>43</v>
      </c>
      <c r="Y11" s="90" t="s">
        <v>257</v>
      </c>
      <c r="Z11" s="90" t="s">
        <v>36</v>
      </c>
      <c r="AA11" s="91"/>
      <c r="AB11" s="91"/>
      <c r="AC11" s="90" t="s">
        <v>2051</v>
      </c>
      <c r="AD11" s="90" t="s">
        <v>267</v>
      </c>
      <c r="AE11" s="90" t="s">
        <v>1608</v>
      </c>
      <c r="AF11" s="90" t="s">
        <v>1947</v>
      </c>
      <c r="AG11" s="90" t="s">
        <v>3099</v>
      </c>
      <c r="AH11" s="90" t="s">
        <v>1971</v>
      </c>
      <c r="AI11" s="90" t="s">
        <v>1971</v>
      </c>
      <c r="AJ11" s="90" t="s">
        <v>2051</v>
      </c>
      <c r="AK11" s="90" t="s">
        <v>36</v>
      </c>
      <c r="AL11" s="90" t="s">
        <v>1607</v>
      </c>
      <c r="AM11" s="90" t="s">
        <v>2053</v>
      </c>
      <c r="AN11" s="90" t="s">
        <v>2075</v>
      </c>
      <c r="AO11" s="87" t="s">
        <v>1949</v>
      </c>
      <c r="AP11" s="87" t="s">
        <v>1950</v>
      </c>
      <c r="AQ11" s="90" t="s">
        <v>1551</v>
      </c>
      <c r="AR11" s="92">
        <v>78000</v>
      </c>
      <c r="AS11" s="92">
        <v>97000</v>
      </c>
      <c r="AT11" s="92">
        <v>121000</v>
      </c>
      <c r="AU11" s="87" t="s">
        <v>1951</v>
      </c>
      <c r="AV11" s="87" t="s">
        <v>1952</v>
      </c>
      <c r="AW11" s="91"/>
      <c r="AX11" s="91"/>
      <c r="AY11" s="91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>IFERROR(VLOOKUP(X11,'Status Map'!A:B,2,FALSE),"Status Code Not Mapped")</f>
        <v>Y</v>
      </c>
      <c r="BL11" t="str">
        <f>IFERROR(VLOOKUP(D11,'Invoice Exception Map'!A:C,3,FALSE),"N")</f>
        <v>N</v>
      </c>
      <c r="BM11">
        <f t="shared" si="3"/>
        <v>4</v>
      </c>
      <c r="BN11" t="str">
        <f t="shared" si="4"/>
        <v>Hou</v>
      </c>
      <c r="BO11" t="str">
        <f t="shared" si="5"/>
        <v>Puwen</v>
      </c>
    </row>
    <row r="12" spans="1:67" ht="16" thickBot="1" x14ac:dyDescent="0.25">
      <c r="A12" s="90" t="s">
        <v>2069</v>
      </c>
      <c r="B12" s="90" t="s">
        <v>2070</v>
      </c>
      <c r="C12" s="90" t="s">
        <v>2071</v>
      </c>
      <c r="D12" s="90" t="s">
        <v>3322</v>
      </c>
      <c r="E12" s="90" t="s">
        <v>1953</v>
      </c>
      <c r="F12" s="90" t="s">
        <v>2092</v>
      </c>
      <c r="G12" s="90" t="s">
        <v>1968</v>
      </c>
      <c r="H12" s="90" t="s">
        <v>1943</v>
      </c>
      <c r="I12" s="90" t="s">
        <v>1944</v>
      </c>
      <c r="J12" s="90" t="s">
        <v>1957</v>
      </c>
      <c r="K12" s="90" t="s">
        <v>301</v>
      </c>
      <c r="L12" s="90" t="s">
        <v>2093</v>
      </c>
      <c r="M12" s="87" t="s">
        <v>1970</v>
      </c>
      <c r="N12" s="87" t="s">
        <v>303</v>
      </c>
      <c r="O12" s="88">
        <v>42826</v>
      </c>
      <c r="P12" s="89">
        <v>9.4</v>
      </c>
      <c r="Q12" s="90" t="s">
        <v>305</v>
      </c>
      <c r="R12" s="90" t="s">
        <v>3102</v>
      </c>
      <c r="S12" s="90" t="s">
        <v>2088</v>
      </c>
      <c r="T12" s="90" t="s">
        <v>2074</v>
      </c>
      <c r="U12" s="90" t="s">
        <v>1592</v>
      </c>
      <c r="V12" s="88">
        <v>42826</v>
      </c>
      <c r="W12" s="88">
        <v>42826</v>
      </c>
      <c r="X12" s="90" t="s">
        <v>43</v>
      </c>
      <c r="Y12" s="90" t="s">
        <v>257</v>
      </c>
      <c r="Z12" s="90" t="s">
        <v>36</v>
      </c>
      <c r="AA12" s="91"/>
      <c r="AB12" s="91"/>
      <c r="AC12" s="90" t="s">
        <v>2051</v>
      </c>
      <c r="AD12" s="90" t="s">
        <v>267</v>
      </c>
      <c r="AE12" s="90" t="s">
        <v>1608</v>
      </c>
      <c r="AF12" s="90" t="s">
        <v>1947</v>
      </c>
      <c r="AG12" s="90" t="s">
        <v>3099</v>
      </c>
      <c r="AH12" s="90" t="s">
        <v>1971</v>
      </c>
      <c r="AI12" s="90" t="s">
        <v>1971</v>
      </c>
      <c r="AJ12" s="90" t="s">
        <v>2051</v>
      </c>
      <c r="AK12" s="90" t="s">
        <v>36</v>
      </c>
      <c r="AL12" s="90" t="s">
        <v>1607</v>
      </c>
      <c r="AM12" s="90" t="s">
        <v>2053</v>
      </c>
      <c r="AN12" s="90" t="s">
        <v>2075</v>
      </c>
      <c r="AO12" s="87" t="s">
        <v>1949</v>
      </c>
      <c r="AP12" s="87" t="s">
        <v>1950</v>
      </c>
      <c r="AQ12" s="90" t="s">
        <v>1559</v>
      </c>
      <c r="AR12" s="92">
        <v>50000</v>
      </c>
      <c r="AS12" s="92">
        <v>62000</v>
      </c>
      <c r="AT12" s="92">
        <v>77000</v>
      </c>
      <c r="AU12" s="87" t="s">
        <v>1972</v>
      </c>
      <c r="AV12" s="87" t="s">
        <v>1973</v>
      </c>
      <c r="AW12" s="91"/>
      <c r="AX12" s="91"/>
      <c r="AY12" s="91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>IFERROR(VLOOKUP(X12,'Status Map'!A:B,2,FALSE),"Status Code Not Mapped")</f>
        <v>Y</v>
      </c>
      <c r="BL12" t="str">
        <f>IFERROR(VLOOKUP(D12,'Invoice Exception Map'!A:C,3,FALSE),"N")</f>
        <v>N</v>
      </c>
      <c r="BM12">
        <f t="shared" si="3"/>
        <v>4</v>
      </c>
      <c r="BN12" t="str">
        <f t="shared" si="4"/>
        <v>Hou</v>
      </c>
      <c r="BO12" t="str">
        <f t="shared" si="5"/>
        <v>Yifan</v>
      </c>
    </row>
    <row r="13" spans="1:67" ht="16" thickBot="1" x14ac:dyDescent="0.25">
      <c r="A13" s="90" t="s">
        <v>2069</v>
      </c>
      <c r="B13" s="90" t="s">
        <v>2070</v>
      </c>
      <c r="C13" s="90" t="s">
        <v>2071</v>
      </c>
      <c r="D13" s="90" t="s">
        <v>3108</v>
      </c>
      <c r="E13" s="90" t="s">
        <v>1953</v>
      </c>
      <c r="F13" s="90" t="s">
        <v>2094</v>
      </c>
      <c r="G13" s="90" t="s">
        <v>2095</v>
      </c>
      <c r="H13" s="90" t="s">
        <v>1943</v>
      </c>
      <c r="I13" s="90" t="s">
        <v>1944</v>
      </c>
      <c r="J13" s="90" t="s">
        <v>1957</v>
      </c>
      <c r="K13" s="90" t="s">
        <v>2096</v>
      </c>
      <c r="L13" s="90" t="s">
        <v>2097</v>
      </c>
      <c r="M13" s="87" t="s">
        <v>1945</v>
      </c>
      <c r="N13" s="87" t="s">
        <v>1958</v>
      </c>
      <c r="O13" s="88">
        <v>38200</v>
      </c>
      <c r="P13" s="89">
        <v>22</v>
      </c>
      <c r="Q13" s="90" t="s">
        <v>316</v>
      </c>
      <c r="R13" s="90" t="s">
        <v>3103</v>
      </c>
      <c r="S13" s="90" t="s">
        <v>2098</v>
      </c>
      <c r="T13" s="90" t="s">
        <v>2074</v>
      </c>
      <c r="U13" s="90" t="s">
        <v>1592</v>
      </c>
      <c r="V13" s="88">
        <v>38200</v>
      </c>
      <c r="W13" s="88">
        <v>38200</v>
      </c>
      <c r="X13" s="90" t="s">
        <v>43</v>
      </c>
      <c r="Y13" s="90" t="s">
        <v>257</v>
      </c>
      <c r="Z13" s="90" t="s">
        <v>36</v>
      </c>
      <c r="AA13" s="91"/>
      <c r="AB13" s="91"/>
      <c r="AC13" s="90" t="s">
        <v>2051</v>
      </c>
      <c r="AD13" s="90" t="s">
        <v>267</v>
      </c>
      <c r="AE13" s="90" t="s">
        <v>1608</v>
      </c>
      <c r="AF13" s="90" t="s">
        <v>1947</v>
      </c>
      <c r="AG13" s="90" t="s">
        <v>3099</v>
      </c>
      <c r="AH13" s="90" t="s">
        <v>1989</v>
      </c>
      <c r="AI13" s="90" t="s">
        <v>1989</v>
      </c>
      <c r="AJ13" s="90" t="s">
        <v>2051</v>
      </c>
      <c r="AK13" s="90" t="s">
        <v>36</v>
      </c>
      <c r="AL13" s="90" t="s">
        <v>1607</v>
      </c>
      <c r="AM13" s="90" t="s">
        <v>2053</v>
      </c>
      <c r="AN13" s="90" t="s">
        <v>2075</v>
      </c>
      <c r="AO13" s="87" t="s">
        <v>1949</v>
      </c>
      <c r="AP13" s="87" t="s">
        <v>1950</v>
      </c>
      <c r="AQ13" s="90" t="s">
        <v>1548</v>
      </c>
      <c r="AR13" s="92">
        <v>110000</v>
      </c>
      <c r="AS13" s="92">
        <v>138000</v>
      </c>
      <c r="AT13" s="92">
        <v>172000</v>
      </c>
      <c r="AU13" s="87" t="s">
        <v>1951</v>
      </c>
      <c r="AV13" s="87" t="s">
        <v>1977</v>
      </c>
      <c r="AW13" s="91"/>
      <c r="AX13" s="91"/>
      <c r="AY13" s="91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>IFERROR(VLOOKUP(X13,'Status Map'!A:B,2,FALSE),"Status Code Not Mapped")</f>
        <v>Y</v>
      </c>
      <c r="BL13" t="str">
        <f>IFERROR(VLOOKUP(D13,'Invoice Exception Map'!A:C,3,FALSE),"N")</f>
        <v>N</v>
      </c>
      <c r="BM13">
        <f t="shared" si="3"/>
        <v>3</v>
      </c>
      <c r="BN13" t="str">
        <f t="shared" si="4"/>
        <v>Hu</v>
      </c>
      <c r="BO13" t="str">
        <f t="shared" si="5"/>
        <v>Juntao</v>
      </c>
    </row>
    <row r="14" spans="1:67" ht="16" thickBot="1" x14ac:dyDescent="0.25">
      <c r="A14" s="90" t="s">
        <v>2069</v>
      </c>
      <c r="B14" s="90" t="s">
        <v>2070</v>
      </c>
      <c r="C14" s="90" t="s">
        <v>2071</v>
      </c>
      <c r="D14" s="90" t="s">
        <v>3323</v>
      </c>
      <c r="E14" s="90" t="s">
        <v>1953</v>
      </c>
      <c r="F14" s="90" t="s">
        <v>2099</v>
      </c>
      <c r="G14" s="90" t="s">
        <v>2037</v>
      </c>
      <c r="H14" s="90" t="s">
        <v>1943</v>
      </c>
      <c r="I14" s="90" t="s">
        <v>1944</v>
      </c>
      <c r="J14" s="90" t="s">
        <v>427</v>
      </c>
      <c r="K14" s="90" t="s">
        <v>541</v>
      </c>
      <c r="L14" s="90" t="s">
        <v>2100</v>
      </c>
      <c r="M14" s="87" t="s">
        <v>1984</v>
      </c>
      <c r="N14" s="87" t="s">
        <v>2021</v>
      </c>
      <c r="O14" s="88">
        <v>43047</v>
      </c>
      <c r="P14" s="89">
        <v>8.8000000000000007</v>
      </c>
      <c r="Q14" s="90" t="s">
        <v>213</v>
      </c>
      <c r="R14" s="90" t="s">
        <v>3104</v>
      </c>
      <c r="S14" s="90" t="s">
        <v>2101</v>
      </c>
      <c r="T14" s="90" t="s">
        <v>2074</v>
      </c>
      <c r="U14" s="90" t="s">
        <v>1592</v>
      </c>
      <c r="V14" s="88">
        <v>43047</v>
      </c>
      <c r="W14" s="88">
        <v>43047</v>
      </c>
      <c r="X14" s="90" t="s">
        <v>43</v>
      </c>
      <c r="Y14" s="90" t="s">
        <v>257</v>
      </c>
      <c r="Z14" s="90" t="s">
        <v>36</v>
      </c>
      <c r="AA14" s="91"/>
      <c r="AB14" s="91"/>
      <c r="AC14" s="90" t="s">
        <v>2051</v>
      </c>
      <c r="AD14" s="90" t="s">
        <v>267</v>
      </c>
      <c r="AE14" s="90" t="s">
        <v>1608</v>
      </c>
      <c r="AF14" s="90" t="s">
        <v>1947</v>
      </c>
      <c r="AG14" s="90" t="s">
        <v>3105</v>
      </c>
      <c r="AH14" s="90" t="s">
        <v>1971</v>
      </c>
      <c r="AI14" s="90" t="s">
        <v>1971</v>
      </c>
      <c r="AJ14" s="90" t="s">
        <v>2051</v>
      </c>
      <c r="AK14" s="90" t="s">
        <v>36</v>
      </c>
      <c r="AL14" s="90" t="s">
        <v>1607</v>
      </c>
      <c r="AM14" s="90" t="s">
        <v>2053</v>
      </c>
      <c r="AN14" s="90" t="s">
        <v>2075</v>
      </c>
      <c r="AO14" s="87" t="s">
        <v>1949</v>
      </c>
      <c r="AP14" s="87" t="s">
        <v>1950</v>
      </c>
      <c r="AQ14" s="90" t="s">
        <v>1546</v>
      </c>
      <c r="AR14" s="92">
        <v>38000</v>
      </c>
      <c r="AS14" s="92">
        <v>47000</v>
      </c>
      <c r="AT14" s="92">
        <v>59000</v>
      </c>
      <c r="AU14" s="87" t="s">
        <v>1972</v>
      </c>
      <c r="AV14" s="87" t="s">
        <v>1973</v>
      </c>
      <c r="AW14" s="91"/>
      <c r="AX14" s="91"/>
      <c r="AY14" s="91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>IFERROR(VLOOKUP(X14,'Status Map'!A:B,2,FALSE),"Status Code Not Mapped")</f>
        <v>Y</v>
      </c>
      <c r="BL14" t="str">
        <f>IFERROR(VLOOKUP(D14,'Invoice Exception Map'!A:C,3,FALSE),"N")</f>
        <v>N</v>
      </c>
      <c r="BM14">
        <f t="shared" si="3"/>
        <v>3</v>
      </c>
      <c r="BN14" t="str">
        <f t="shared" si="4"/>
        <v>Li</v>
      </c>
      <c r="BO14" t="str">
        <f t="shared" si="5"/>
        <v>Man</v>
      </c>
    </row>
    <row r="15" spans="1:67" ht="16" thickBot="1" x14ac:dyDescent="0.25">
      <c r="A15" s="90" t="s">
        <v>2069</v>
      </c>
      <c r="B15" s="90" t="s">
        <v>2070</v>
      </c>
      <c r="C15" s="90" t="s">
        <v>2071</v>
      </c>
      <c r="D15" s="90" t="s">
        <v>3324</v>
      </c>
      <c r="E15" s="90" t="s">
        <v>1953</v>
      </c>
      <c r="F15" s="90" t="s">
        <v>2102</v>
      </c>
      <c r="G15" s="90" t="s">
        <v>2037</v>
      </c>
      <c r="H15" s="90" t="s">
        <v>1943</v>
      </c>
      <c r="I15" s="90" t="s">
        <v>1944</v>
      </c>
      <c r="J15" s="90" t="s">
        <v>427</v>
      </c>
      <c r="K15" s="90" t="s">
        <v>541</v>
      </c>
      <c r="L15" s="90" t="s">
        <v>2103</v>
      </c>
      <c r="M15" s="87" t="s">
        <v>1984</v>
      </c>
      <c r="N15" s="87" t="s">
        <v>2021</v>
      </c>
      <c r="O15" s="88">
        <v>42979</v>
      </c>
      <c r="P15" s="89">
        <v>9</v>
      </c>
      <c r="Q15" s="90" t="s">
        <v>213</v>
      </c>
      <c r="R15" s="90" t="s">
        <v>3104</v>
      </c>
      <c r="S15" s="90" t="s">
        <v>2101</v>
      </c>
      <c r="T15" s="90" t="s">
        <v>2074</v>
      </c>
      <c r="U15" s="90" t="s">
        <v>1592</v>
      </c>
      <c r="V15" s="88">
        <v>42979</v>
      </c>
      <c r="W15" s="88">
        <v>42979</v>
      </c>
      <c r="X15" s="90" t="s">
        <v>43</v>
      </c>
      <c r="Y15" s="90" t="s">
        <v>257</v>
      </c>
      <c r="Z15" s="90" t="s">
        <v>36</v>
      </c>
      <c r="AA15" s="91"/>
      <c r="AB15" s="91"/>
      <c r="AC15" s="90" t="s">
        <v>2051</v>
      </c>
      <c r="AD15" s="90" t="s">
        <v>267</v>
      </c>
      <c r="AE15" s="90" t="s">
        <v>1608</v>
      </c>
      <c r="AF15" s="90" t="s">
        <v>1947</v>
      </c>
      <c r="AG15" s="90" t="s">
        <v>3106</v>
      </c>
      <c r="AH15" s="90" t="s">
        <v>1971</v>
      </c>
      <c r="AI15" s="90" t="s">
        <v>1971</v>
      </c>
      <c r="AJ15" s="90" t="s">
        <v>2051</v>
      </c>
      <c r="AK15" s="90" t="s">
        <v>36</v>
      </c>
      <c r="AL15" s="90" t="s">
        <v>1607</v>
      </c>
      <c r="AM15" s="90" t="s">
        <v>2053</v>
      </c>
      <c r="AN15" s="90" t="s">
        <v>2075</v>
      </c>
      <c r="AO15" s="87" t="s">
        <v>1949</v>
      </c>
      <c r="AP15" s="87" t="s">
        <v>1950</v>
      </c>
      <c r="AQ15" s="90" t="s">
        <v>1545</v>
      </c>
      <c r="AR15" s="92">
        <v>38000</v>
      </c>
      <c r="AS15" s="92">
        <v>47000</v>
      </c>
      <c r="AT15" s="92">
        <v>59000</v>
      </c>
      <c r="AU15" s="87" t="s">
        <v>1972</v>
      </c>
      <c r="AV15" s="87" t="s">
        <v>1973</v>
      </c>
      <c r="AW15" s="91"/>
      <c r="AX15" s="91"/>
      <c r="AY15" s="91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>IFERROR(VLOOKUP(X15,'Status Map'!A:B,2,FALSE),"Status Code Not Mapped")</f>
        <v>Y</v>
      </c>
      <c r="BL15" t="str">
        <f>IFERROR(VLOOKUP(D15,'Invoice Exception Map'!A:C,3,FALSE),"N")</f>
        <v>N</v>
      </c>
      <c r="BM15">
        <f t="shared" si="3"/>
        <v>4</v>
      </c>
      <c r="BN15" t="str">
        <f t="shared" si="4"/>
        <v>Liu</v>
      </c>
      <c r="BO15" t="str">
        <f t="shared" si="5"/>
        <v>Meining</v>
      </c>
    </row>
    <row r="16" spans="1:67" ht="16" thickBot="1" x14ac:dyDescent="0.25">
      <c r="A16" s="90" t="s">
        <v>2069</v>
      </c>
      <c r="B16" s="90" t="s">
        <v>2070</v>
      </c>
      <c r="C16" s="90" t="s">
        <v>2071</v>
      </c>
      <c r="D16" s="90" t="s">
        <v>3325</v>
      </c>
      <c r="E16" s="90" t="s">
        <v>1953</v>
      </c>
      <c r="F16" s="90" t="s">
        <v>2104</v>
      </c>
      <c r="G16" s="90" t="s">
        <v>2037</v>
      </c>
      <c r="H16" s="90" t="s">
        <v>1943</v>
      </c>
      <c r="I16" s="90" t="s">
        <v>1944</v>
      </c>
      <c r="J16" s="90" t="s">
        <v>427</v>
      </c>
      <c r="K16" s="90" t="s">
        <v>541</v>
      </c>
      <c r="L16" s="90" t="s">
        <v>2105</v>
      </c>
      <c r="M16" s="87" t="s">
        <v>1984</v>
      </c>
      <c r="N16" s="87" t="s">
        <v>2021</v>
      </c>
      <c r="O16" s="88">
        <v>39665</v>
      </c>
      <c r="P16" s="89">
        <v>18</v>
      </c>
      <c r="Q16" s="90" t="s">
        <v>213</v>
      </c>
      <c r="R16" s="90" t="s">
        <v>3104</v>
      </c>
      <c r="S16" s="90" t="s">
        <v>2101</v>
      </c>
      <c r="T16" s="90" t="s">
        <v>2074</v>
      </c>
      <c r="U16" s="90" t="s">
        <v>1592</v>
      </c>
      <c r="V16" s="88">
        <v>39665</v>
      </c>
      <c r="W16" s="88">
        <v>39665</v>
      </c>
      <c r="X16" s="90" t="s">
        <v>43</v>
      </c>
      <c r="Y16" s="90" t="s">
        <v>257</v>
      </c>
      <c r="Z16" s="90" t="s">
        <v>36</v>
      </c>
      <c r="AA16" s="91"/>
      <c r="AB16" s="91"/>
      <c r="AC16" s="90" t="s">
        <v>2051</v>
      </c>
      <c r="AD16" s="90" t="s">
        <v>267</v>
      </c>
      <c r="AE16" s="90" t="s">
        <v>1608</v>
      </c>
      <c r="AF16" s="90" t="s">
        <v>1947</v>
      </c>
      <c r="AG16" s="90" t="s">
        <v>3099</v>
      </c>
      <c r="AH16" s="90" t="s">
        <v>1971</v>
      </c>
      <c r="AI16" s="90" t="s">
        <v>1971</v>
      </c>
      <c r="AJ16" s="90" t="s">
        <v>2051</v>
      </c>
      <c r="AK16" s="90" t="s">
        <v>36</v>
      </c>
      <c r="AL16" s="90" t="s">
        <v>1607</v>
      </c>
      <c r="AM16" s="90" t="s">
        <v>2053</v>
      </c>
      <c r="AN16" s="90" t="s">
        <v>2075</v>
      </c>
      <c r="AO16" s="87" t="s">
        <v>1949</v>
      </c>
      <c r="AP16" s="87" t="s">
        <v>1950</v>
      </c>
      <c r="AQ16" s="90" t="s">
        <v>1542</v>
      </c>
      <c r="AR16" s="92">
        <v>38000</v>
      </c>
      <c r="AS16" s="92">
        <v>47000</v>
      </c>
      <c r="AT16" s="92">
        <v>59000</v>
      </c>
      <c r="AU16" s="87" t="s">
        <v>1972</v>
      </c>
      <c r="AV16" s="87" t="s">
        <v>1973</v>
      </c>
      <c r="AW16" s="91"/>
      <c r="AX16" s="91"/>
      <c r="AY16" s="91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>IFERROR(VLOOKUP(X16,'Status Map'!A:B,2,FALSE),"Status Code Not Mapped")</f>
        <v>Y</v>
      </c>
      <c r="BL16" t="str">
        <f>IFERROR(VLOOKUP(D16,'Invoice Exception Map'!A:C,3,FALSE),"N")</f>
        <v>N</v>
      </c>
      <c r="BM16">
        <f t="shared" si="3"/>
        <v>4</v>
      </c>
      <c r="BN16" t="str">
        <f t="shared" si="4"/>
        <v>Liu</v>
      </c>
      <c r="BO16" t="str">
        <f t="shared" si="5"/>
        <v>Xiaoqin</v>
      </c>
    </row>
    <row r="17" spans="1:67" ht="16" thickBot="1" x14ac:dyDescent="0.25">
      <c r="A17" s="90" t="s">
        <v>2069</v>
      </c>
      <c r="B17" s="90" t="s">
        <v>2070</v>
      </c>
      <c r="C17" s="90" t="s">
        <v>2071</v>
      </c>
      <c r="D17" s="90" t="s">
        <v>3326</v>
      </c>
      <c r="E17" s="90" t="s">
        <v>1953</v>
      </c>
      <c r="F17" s="90" t="s">
        <v>2106</v>
      </c>
      <c r="G17" s="90" t="s">
        <v>2107</v>
      </c>
      <c r="H17" s="90" t="s">
        <v>1943</v>
      </c>
      <c r="I17" s="90" t="s">
        <v>1944</v>
      </c>
      <c r="J17" s="90" t="s">
        <v>692</v>
      </c>
      <c r="K17" s="90" t="s">
        <v>2108</v>
      </c>
      <c r="L17" s="90" t="s">
        <v>2109</v>
      </c>
      <c r="M17" s="87" t="s">
        <v>2041</v>
      </c>
      <c r="N17" s="87" t="s">
        <v>1987</v>
      </c>
      <c r="O17" s="88">
        <v>44287</v>
      </c>
      <c r="P17" s="89">
        <v>5.4</v>
      </c>
      <c r="Q17" s="90" t="s">
        <v>213</v>
      </c>
      <c r="R17" s="90" t="s">
        <v>3108</v>
      </c>
      <c r="S17" s="90" t="s">
        <v>2094</v>
      </c>
      <c r="T17" s="90" t="s">
        <v>2074</v>
      </c>
      <c r="U17" s="90" t="s">
        <v>1592</v>
      </c>
      <c r="V17" s="88">
        <v>44287</v>
      </c>
      <c r="W17" s="88">
        <v>44287</v>
      </c>
      <c r="X17" s="90" t="s">
        <v>43</v>
      </c>
      <c r="Y17" s="90" t="s">
        <v>257</v>
      </c>
      <c r="Z17" s="90" t="s">
        <v>36</v>
      </c>
      <c r="AA17" s="91"/>
      <c r="AB17" s="91"/>
      <c r="AC17" s="90" t="s">
        <v>2051</v>
      </c>
      <c r="AD17" s="90" t="s">
        <v>267</v>
      </c>
      <c r="AE17" s="90" t="s">
        <v>1608</v>
      </c>
      <c r="AF17" s="90" t="s">
        <v>1947</v>
      </c>
      <c r="AG17" s="90" t="s">
        <v>3107</v>
      </c>
      <c r="AH17" s="90" t="s">
        <v>1989</v>
      </c>
      <c r="AI17" s="90" t="s">
        <v>1989</v>
      </c>
      <c r="AJ17" s="90" t="s">
        <v>2051</v>
      </c>
      <c r="AK17" s="91"/>
      <c r="AL17" s="90" t="s">
        <v>1607</v>
      </c>
      <c r="AM17" s="90" t="s">
        <v>2053</v>
      </c>
      <c r="AN17" s="90" t="s">
        <v>2075</v>
      </c>
      <c r="AO17" s="87" t="s">
        <v>1949</v>
      </c>
      <c r="AP17" s="87" t="s">
        <v>1950</v>
      </c>
      <c r="AQ17" s="90" t="s">
        <v>1571</v>
      </c>
      <c r="AR17" s="92">
        <v>38000</v>
      </c>
      <c r="AS17" s="92">
        <v>47000</v>
      </c>
      <c r="AT17" s="92">
        <v>59000</v>
      </c>
      <c r="AU17" s="87" t="s">
        <v>1972</v>
      </c>
      <c r="AV17" s="87" t="s">
        <v>1973</v>
      </c>
      <c r="AW17" s="91"/>
      <c r="AX17" s="91"/>
      <c r="AY17" s="91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>IFERROR(VLOOKUP(X17,'Status Map'!A:B,2,FALSE),"Status Code Not Mapped")</f>
        <v>Y</v>
      </c>
      <c r="BL17" t="str">
        <f>IFERROR(VLOOKUP(D17,'Invoice Exception Map'!A:C,3,FALSE),"N")</f>
        <v>N</v>
      </c>
      <c r="BM17">
        <f t="shared" si="3"/>
        <v>3</v>
      </c>
      <c r="BN17" t="str">
        <f t="shared" si="4"/>
        <v>Lu</v>
      </c>
      <c r="BO17" t="str">
        <f t="shared" si="5"/>
        <v>Yuanyuan</v>
      </c>
    </row>
    <row r="18" spans="1:67" ht="16" thickBot="1" x14ac:dyDescent="0.25">
      <c r="A18" s="90" t="s">
        <v>2069</v>
      </c>
      <c r="B18" s="90" t="s">
        <v>2070</v>
      </c>
      <c r="C18" s="90" t="s">
        <v>2071</v>
      </c>
      <c r="D18" s="90" t="s">
        <v>3327</v>
      </c>
      <c r="E18" s="90" t="s">
        <v>1953</v>
      </c>
      <c r="F18" s="90" t="s">
        <v>2110</v>
      </c>
      <c r="G18" s="90" t="s">
        <v>2084</v>
      </c>
      <c r="H18" s="90" t="s">
        <v>1943</v>
      </c>
      <c r="I18" s="90" t="s">
        <v>1944</v>
      </c>
      <c r="J18" s="90" t="s">
        <v>831</v>
      </c>
      <c r="K18" s="90" t="s">
        <v>2085</v>
      </c>
      <c r="L18" s="90" t="s">
        <v>2086</v>
      </c>
      <c r="M18" s="87" t="s">
        <v>1975</v>
      </c>
      <c r="N18" s="87" t="s">
        <v>831</v>
      </c>
      <c r="O18" s="88">
        <v>44621</v>
      </c>
      <c r="P18" s="89">
        <v>4.5</v>
      </c>
      <c r="Q18" s="90" t="s">
        <v>213</v>
      </c>
      <c r="R18" s="90" t="s">
        <v>3101</v>
      </c>
      <c r="S18" s="90" t="s">
        <v>2087</v>
      </c>
      <c r="T18" s="90" t="s">
        <v>2074</v>
      </c>
      <c r="U18" s="90" t="s">
        <v>1592</v>
      </c>
      <c r="V18" s="88">
        <v>44621</v>
      </c>
      <c r="W18" s="88">
        <v>44621</v>
      </c>
      <c r="X18" s="90" t="s">
        <v>43</v>
      </c>
      <c r="Y18" s="90" t="s">
        <v>257</v>
      </c>
      <c r="Z18" s="90" t="s">
        <v>36</v>
      </c>
      <c r="AA18" s="91"/>
      <c r="AB18" s="91"/>
      <c r="AC18" s="90" t="s">
        <v>2051</v>
      </c>
      <c r="AD18" s="90" t="s">
        <v>267</v>
      </c>
      <c r="AE18" s="90" t="s">
        <v>1608</v>
      </c>
      <c r="AF18" s="90" t="s">
        <v>1947</v>
      </c>
      <c r="AG18" s="90" t="s">
        <v>3099</v>
      </c>
      <c r="AH18" s="90" t="s">
        <v>1971</v>
      </c>
      <c r="AI18" s="90" t="s">
        <v>1971</v>
      </c>
      <c r="AJ18" s="90" t="s">
        <v>2051</v>
      </c>
      <c r="AK18" s="91"/>
      <c r="AL18" s="90" t="s">
        <v>1607</v>
      </c>
      <c r="AM18" s="90" t="s">
        <v>2053</v>
      </c>
      <c r="AN18" s="90" t="s">
        <v>2075</v>
      </c>
      <c r="AO18" s="87" t="s">
        <v>1949</v>
      </c>
      <c r="AP18" s="87" t="s">
        <v>1950</v>
      </c>
      <c r="AQ18" s="90" t="s">
        <v>1574</v>
      </c>
      <c r="AR18" s="92">
        <v>38000</v>
      </c>
      <c r="AS18" s="92">
        <v>47000</v>
      </c>
      <c r="AT18" s="92">
        <v>59000</v>
      </c>
      <c r="AU18" s="87" t="s">
        <v>1972</v>
      </c>
      <c r="AV18" s="87" t="s">
        <v>1973</v>
      </c>
      <c r="AW18" s="91"/>
      <c r="AX18" s="91"/>
      <c r="AY18" s="91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>IFERROR(VLOOKUP(X18,'Status Map'!A:B,2,FALSE),"Status Code Not Mapped")</f>
        <v>Y</v>
      </c>
      <c r="BL18" t="str">
        <f>IFERROR(VLOOKUP(D18,'Invoice Exception Map'!A:C,3,FALSE),"N")</f>
        <v>N</v>
      </c>
      <c r="BM18">
        <f t="shared" si="3"/>
        <v>4</v>
      </c>
      <c r="BN18" t="str">
        <f t="shared" si="4"/>
        <v>Luo</v>
      </c>
      <c r="BO18" t="str">
        <f t="shared" si="5"/>
        <v>Tong</v>
      </c>
    </row>
    <row r="19" spans="1:67" ht="16" thickBot="1" x14ac:dyDescent="0.25">
      <c r="A19" s="90" t="s">
        <v>2069</v>
      </c>
      <c r="B19" s="90" t="s">
        <v>2070</v>
      </c>
      <c r="C19" s="90" t="s">
        <v>2071</v>
      </c>
      <c r="D19" s="90" t="s">
        <v>3098</v>
      </c>
      <c r="E19" s="90" t="s">
        <v>1953</v>
      </c>
      <c r="F19" s="90" t="s">
        <v>2073</v>
      </c>
      <c r="G19" s="90" t="s">
        <v>2111</v>
      </c>
      <c r="H19" s="90" t="s">
        <v>1943</v>
      </c>
      <c r="I19" s="90" t="s">
        <v>1944</v>
      </c>
      <c r="J19" s="90" t="s">
        <v>1955</v>
      </c>
      <c r="K19" s="90" t="s">
        <v>482</v>
      </c>
      <c r="L19" s="90" t="s">
        <v>2112</v>
      </c>
      <c r="M19" s="87" t="s">
        <v>1945</v>
      </c>
      <c r="N19" s="87" t="s">
        <v>66</v>
      </c>
      <c r="O19" s="88">
        <v>40181</v>
      </c>
      <c r="P19" s="89">
        <v>16.600000000000001</v>
      </c>
      <c r="Q19" s="90" t="s">
        <v>151</v>
      </c>
      <c r="R19" s="90" t="s">
        <v>3108</v>
      </c>
      <c r="S19" s="90" t="s">
        <v>2094</v>
      </c>
      <c r="T19" s="90" t="s">
        <v>2074</v>
      </c>
      <c r="U19" s="90" t="s">
        <v>1592</v>
      </c>
      <c r="V19" s="88">
        <v>40181</v>
      </c>
      <c r="W19" s="88">
        <v>40181</v>
      </c>
      <c r="X19" s="90" t="s">
        <v>43</v>
      </c>
      <c r="Y19" s="90" t="s">
        <v>257</v>
      </c>
      <c r="Z19" s="90" t="s">
        <v>36</v>
      </c>
      <c r="AA19" s="91"/>
      <c r="AB19" s="91"/>
      <c r="AC19" s="90" t="s">
        <v>2051</v>
      </c>
      <c r="AD19" s="90" t="s">
        <v>267</v>
      </c>
      <c r="AE19" s="90" t="s">
        <v>1608</v>
      </c>
      <c r="AF19" s="90" t="s">
        <v>1947</v>
      </c>
      <c r="AG19" s="90" t="s">
        <v>3109</v>
      </c>
      <c r="AH19" s="90" t="s">
        <v>2113</v>
      </c>
      <c r="AI19" s="90" t="s">
        <v>2113</v>
      </c>
      <c r="AJ19" s="90" t="s">
        <v>2051</v>
      </c>
      <c r="AK19" s="90" t="s">
        <v>36</v>
      </c>
      <c r="AL19" s="90" t="s">
        <v>1607</v>
      </c>
      <c r="AM19" s="90" t="s">
        <v>2053</v>
      </c>
      <c r="AN19" s="90" t="s">
        <v>2075</v>
      </c>
      <c r="AO19" s="87" t="s">
        <v>1949</v>
      </c>
      <c r="AP19" s="87" t="s">
        <v>1950</v>
      </c>
      <c r="AQ19" s="90" t="s">
        <v>1549</v>
      </c>
      <c r="AR19" s="92">
        <v>88000</v>
      </c>
      <c r="AS19" s="92">
        <v>110000</v>
      </c>
      <c r="AT19" s="92">
        <v>137000</v>
      </c>
      <c r="AU19" s="87" t="s">
        <v>1951</v>
      </c>
      <c r="AV19" s="87" t="s">
        <v>1952</v>
      </c>
      <c r="AW19" s="91"/>
      <c r="AX19" s="91"/>
      <c r="AY19" s="91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>IFERROR(VLOOKUP(X19,'Status Map'!A:B,2,FALSE),"Status Code Not Mapped")</f>
        <v>Y</v>
      </c>
      <c r="BL19" t="str">
        <f>IFERROR(VLOOKUP(D19,'Invoice Exception Map'!A:C,3,FALSE),"N")</f>
        <v>N</v>
      </c>
      <c r="BM19">
        <f t="shared" si="3"/>
        <v>4</v>
      </c>
      <c r="BN19" t="str">
        <f t="shared" si="4"/>
        <v>Nie</v>
      </c>
      <c r="BO19" t="str">
        <f t="shared" si="5"/>
        <v>Lei</v>
      </c>
    </row>
    <row r="20" spans="1:67" ht="16" thickBot="1" x14ac:dyDescent="0.25">
      <c r="A20" s="90" t="s">
        <v>2069</v>
      </c>
      <c r="B20" s="90" t="s">
        <v>2070</v>
      </c>
      <c r="C20" s="90" t="s">
        <v>2071</v>
      </c>
      <c r="D20" s="90" t="s">
        <v>3111</v>
      </c>
      <c r="E20" s="90" t="s">
        <v>1953</v>
      </c>
      <c r="F20" s="90" t="s">
        <v>2114</v>
      </c>
      <c r="G20" s="90" t="s">
        <v>2115</v>
      </c>
      <c r="H20" s="90" t="s">
        <v>1943</v>
      </c>
      <c r="I20" s="90" t="s">
        <v>1944</v>
      </c>
      <c r="J20" s="90" t="s">
        <v>427</v>
      </c>
      <c r="K20" s="90" t="s">
        <v>2116</v>
      </c>
      <c r="L20" s="90" t="s">
        <v>2117</v>
      </c>
      <c r="M20" s="87" t="s">
        <v>1945</v>
      </c>
      <c r="N20" s="87" t="s">
        <v>2021</v>
      </c>
      <c r="O20" s="88">
        <v>41715</v>
      </c>
      <c r="P20" s="89">
        <v>12.4</v>
      </c>
      <c r="Q20" s="90" t="s">
        <v>151</v>
      </c>
      <c r="R20" s="90" t="s">
        <v>3108</v>
      </c>
      <c r="S20" s="90" t="s">
        <v>2094</v>
      </c>
      <c r="T20" s="90" t="s">
        <v>2074</v>
      </c>
      <c r="U20" s="90" t="s">
        <v>1592</v>
      </c>
      <c r="V20" s="88">
        <v>41715</v>
      </c>
      <c r="W20" s="88">
        <v>41715</v>
      </c>
      <c r="X20" s="90" t="s">
        <v>43</v>
      </c>
      <c r="Y20" s="90" t="s">
        <v>257</v>
      </c>
      <c r="Z20" s="90" t="s">
        <v>36</v>
      </c>
      <c r="AA20" s="91"/>
      <c r="AB20" s="91"/>
      <c r="AC20" s="90" t="s">
        <v>2051</v>
      </c>
      <c r="AD20" s="90" t="s">
        <v>267</v>
      </c>
      <c r="AE20" s="90" t="s">
        <v>1608</v>
      </c>
      <c r="AF20" s="90" t="s">
        <v>1947</v>
      </c>
      <c r="AG20" s="90" t="s">
        <v>3110</v>
      </c>
      <c r="AH20" s="90" t="s">
        <v>1971</v>
      </c>
      <c r="AI20" s="90" t="s">
        <v>1971</v>
      </c>
      <c r="AJ20" s="90" t="s">
        <v>2051</v>
      </c>
      <c r="AK20" s="90" t="s">
        <v>36</v>
      </c>
      <c r="AL20" s="90" t="s">
        <v>1607</v>
      </c>
      <c r="AM20" s="90" t="s">
        <v>2053</v>
      </c>
      <c r="AN20" s="90" t="s">
        <v>2075</v>
      </c>
      <c r="AO20" s="87" t="s">
        <v>1949</v>
      </c>
      <c r="AP20" s="87" t="s">
        <v>1950</v>
      </c>
      <c r="AQ20" s="90" t="s">
        <v>1550</v>
      </c>
      <c r="AR20" s="92">
        <v>88000</v>
      </c>
      <c r="AS20" s="92">
        <v>110000</v>
      </c>
      <c r="AT20" s="92">
        <v>137000</v>
      </c>
      <c r="AU20" s="87" t="s">
        <v>1951</v>
      </c>
      <c r="AV20" s="87" t="s">
        <v>1952</v>
      </c>
      <c r="AW20" s="91"/>
      <c r="AX20" s="91"/>
      <c r="AY20" s="91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>IFERROR(VLOOKUP(X20,'Status Map'!A:B,2,FALSE),"Status Code Not Mapped")</f>
        <v>Y</v>
      </c>
      <c r="BL20" t="str">
        <f>IFERROR(VLOOKUP(D20,'Invoice Exception Map'!A:C,3,FALSE),"N")</f>
        <v>N</v>
      </c>
      <c r="BM20">
        <f t="shared" si="3"/>
        <v>5</v>
      </c>
      <c r="BN20" t="str">
        <f t="shared" si="4"/>
        <v>Song</v>
      </c>
      <c r="BO20" t="str">
        <f t="shared" si="5"/>
        <v>Hong</v>
      </c>
    </row>
    <row r="21" spans="1:67" ht="16" thickBot="1" x14ac:dyDescent="0.25">
      <c r="A21" s="90" t="s">
        <v>2069</v>
      </c>
      <c r="B21" s="90" t="s">
        <v>2070</v>
      </c>
      <c r="C21" s="90" t="s">
        <v>2071</v>
      </c>
      <c r="D21" s="90" t="s">
        <v>3104</v>
      </c>
      <c r="E21" s="90" t="s">
        <v>1953</v>
      </c>
      <c r="F21" s="90" t="s">
        <v>2101</v>
      </c>
      <c r="G21" s="90" t="s">
        <v>2118</v>
      </c>
      <c r="H21" s="90" t="s">
        <v>1943</v>
      </c>
      <c r="I21" s="90" t="s">
        <v>1944</v>
      </c>
      <c r="J21" s="90" t="s">
        <v>831</v>
      </c>
      <c r="K21" s="90" t="s">
        <v>2119</v>
      </c>
      <c r="L21" s="90" t="s">
        <v>2120</v>
      </c>
      <c r="M21" s="87" t="s">
        <v>2121</v>
      </c>
      <c r="N21" s="87" t="s">
        <v>831</v>
      </c>
      <c r="O21" s="88">
        <v>42037</v>
      </c>
      <c r="P21" s="89">
        <v>11.5</v>
      </c>
      <c r="Q21" s="90" t="s">
        <v>504</v>
      </c>
      <c r="R21" s="90" t="s">
        <v>3111</v>
      </c>
      <c r="S21" s="90" t="s">
        <v>2114</v>
      </c>
      <c r="T21" s="90" t="s">
        <v>2074</v>
      </c>
      <c r="U21" s="90" t="s">
        <v>1592</v>
      </c>
      <c r="V21" s="88">
        <v>42037</v>
      </c>
      <c r="W21" s="88">
        <v>42037</v>
      </c>
      <c r="X21" s="90" t="s">
        <v>43</v>
      </c>
      <c r="Y21" s="90" t="s">
        <v>257</v>
      </c>
      <c r="Z21" s="90" t="s">
        <v>36</v>
      </c>
      <c r="AA21" s="91"/>
      <c r="AB21" s="91"/>
      <c r="AC21" s="90" t="s">
        <v>2051</v>
      </c>
      <c r="AD21" s="90" t="s">
        <v>267</v>
      </c>
      <c r="AE21" s="90" t="s">
        <v>1608</v>
      </c>
      <c r="AF21" s="90" t="s">
        <v>1947</v>
      </c>
      <c r="AG21" s="90" t="s">
        <v>3112</v>
      </c>
      <c r="AH21" s="90" t="s">
        <v>1971</v>
      </c>
      <c r="AI21" s="90" t="s">
        <v>1971</v>
      </c>
      <c r="AJ21" s="90" t="s">
        <v>2051</v>
      </c>
      <c r="AK21" s="90" t="s">
        <v>36</v>
      </c>
      <c r="AL21" s="90" t="s">
        <v>1607</v>
      </c>
      <c r="AM21" s="90" t="s">
        <v>2053</v>
      </c>
      <c r="AN21" s="90" t="s">
        <v>2075</v>
      </c>
      <c r="AO21" s="87" t="s">
        <v>1949</v>
      </c>
      <c r="AP21" s="87" t="s">
        <v>1950</v>
      </c>
      <c r="AQ21" s="90" t="s">
        <v>1544</v>
      </c>
      <c r="AR21" s="92">
        <v>62000</v>
      </c>
      <c r="AS21" s="92">
        <v>78000</v>
      </c>
      <c r="AT21" s="92">
        <v>97000</v>
      </c>
      <c r="AU21" s="87" t="s">
        <v>1951</v>
      </c>
      <c r="AV21" s="87" t="s">
        <v>1966</v>
      </c>
      <c r="AW21" s="91"/>
      <c r="AX21" s="91"/>
      <c r="AY21" s="91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>IFERROR(VLOOKUP(X21,'Status Map'!A:B,2,FALSE),"Status Code Not Mapped")</f>
        <v>Y</v>
      </c>
      <c r="BL21" t="str">
        <f>IFERROR(VLOOKUP(D21,'Invoice Exception Map'!A:C,3,FALSE),"N")</f>
        <v>N</v>
      </c>
      <c r="BM21">
        <f t="shared" si="3"/>
        <v>5</v>
      </c>
      <c r="BN21" t="str">
        <f t="shared" si="4"/>
        <v>Tian</v>
      </c>
      <c r="BO21" t="str">
        <f t="shared" si="5"/>
        <v>Shiqi</v>
      </c>
    </row>
    <row r="22" spans="1:67" ht="16" thickBot="1" x14ac:dyDescent="0.25">
      <c r="A22" s="90" t="s">
        <v>2069</v>
      </c>
      <c r="B22" s="90" t="s">
        <v>2070</v>
      </c>
      <c r="C22" s="90" t="s">
        <v>2071</v>
      </c>
      <c r="D22" s="90" t="s">
        <v>3328</v>
      </c>
      <c r="E22" s="90" t="s">
        <v>1953</v>
      </c>
      <c r="F22" s="90" t="s">
        <v>2122</v>
      </c>
      <c r="G22" s="90" t="s">
        <v>2123</v>
      </c>
      <c r="H22" s="90" t="s">
        <v>1943</v>
      </c>
      <c r="I22" s="90" t="s">
        <v>1944</v>
      </c>
      <c r="J22" s="90" t="s">
        <v>1955</v>
      </c>
      <c r="K22" s="90" t="s">
        <v>482</v>
      </c>
      <c r="L22" s="90" t="s">
        <v>2124</v>
      </c>
      <c r="M22" s="87" t="s">
        <v>1945</v>
      </c>
      <c r="N22" s="87" t="s">
        <v>66</v>
      </c>
      <c r="O22" s="88">
        <v>41845</v>
      </c>
      <c r="P22" s="89">
        <v>12.1</v>
      </c>
      <c r="Q22" s="90" t="s">
        <v>287</v>
      </c>
      <c r="R22" s="90" t="s">
        <v>3098</v>
      </c>
      <c r="S22" s="90" t="s">
        <v>2073</v>
      </c>
      <c r="T22" s="90" t="s">
        <v>2074</v>
      </c>
      <c r="U22" s="90" t="s">
        <v>1592</v>
      </c>
      <c r="V22" s="88">
        <v>41845</v>
      </c>
      <c r="W22" s="88">
        <v>41845</v>
      </c>
      <c r="X22" s="90" t="s">
        <v>43</v>
      </c>
      <c r="Y22" s="90" t="s">
        <v>257</v>
      </c>
      <c r="Z22" s="90" t="s">
        <v>36</v>
      </c>
      <c r="AA22" s="91"/>
      <c r="AB22" s="91"/>
      <c r="AC22" s="90" t="s">
        <v>2051</v>
      </c>
      <c r="AD22" s="90" t="s">
        <v>267</v>
      </c>
      <c r="AE22" s="90" t="s">
        <v>1608</v>
      </c>
      <c r="AF22" s="90" t="s">
        <v>1947</v>
      </c>
      <c r="AG22" s="90" t="s">
        <v>3113</v>
      </c>
      <c r="AH22" s="90" t="s">
        <v>2113</v>
      </c>
      <c r="AI22" s="90" t="s">
        <v>2113</v>
      </c>
      <c r="AJ22" s="90" t="s">
        <v>2051</v>
      </c>
      <c r="AK22" s="90" t="s">
        <v>36</v>
      </c>
      <c r="AL22" s="90" t="s">
        <v>1607</v>
      </c>
      <c r="AM22" s="90" t="s">
        <v>2053</v>
      </c>
      <c r="AN22" s="90" t="s">
        <v>2075</v>
      </c>
      <c r="AO22" s="87" t="s">
        <v>1949</v>
      </c>
      <c r="AP22" s="87" t="s">
        <v>1950</v>
      </c>
      <c r="AQ22" s="90" t="s">
        <v>1552</v>
      </c>
      <c r="AR22" s="92">
        <v>78000</v>
      </c>
      <c r="AS22" s="92">
        <v>97000</v>
      </c>
      <c r="AT22" s="92">
        <v>121000</v>
      </c>
      <c r="AU22" s="87" t="s">
        <v>1951</v>
      </c>
      <c r="AV22" s="87" t="s">
        <v>1952</v>
      </c>
      <c r="AW22" s="91"/>
      <c r="AX22" s="91"/>
      <c r="AY22" s="91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>IFERROR(VLOOKUP(X22,'Status Map'!A:B,2,FALSE),"Status Code Not Mapped")</f>
        <v>Y</v>
      </c>
      <c r="BL22" t="str">
        <f>IFERROR(VLOOKUP(D22,'Invoice Exception Map'!A:C,3,FALSE),"N")</f>
        <v>N</v>
      </c>
      <c r="BM22">
        <f t="shared" si="3"/>
        <v>5</v>
      </c>
      <c r="BN22" t="str">
        <f t="shared" si="4"/>
        <v>Wang</v>
      </c>
      <c r="BO22" t="str">
        <f t="shared" si="5"/>
        <v>Bing</v>
      </c>
    </row>
    <row r="23" spans="1:67" ht="16" thickBot="1" x14ac:dyDescent="0.25">
      <c r="A23" s="90" t="s">
        <v>2069</v>
      </c>
      <c r="B23" s="90" t="s">
        <v>2070</v>
      </c>
      <c r="C23" s="90" t="s">
        <v>2071</v>
      </c>
      <c r="D23" s="90" t="s">
        <v>3329</v>
      </c>
      <c r="E23" s="90" t="s">
        <v>1953</v>
      </c>
      <c r="F23" s="90" t="s">
        <v>2125</v>
      </c>
      <c r="G23" s="90" t="s">
        <v>2107</v>
      </c>
      <c r="H23" s="90" t="s">
        <v>1943</v>
      </c>
      <c r="I23" s="90" t="s">
        <v>1944</v>
      </c>
      <c r="J23" s="90" t="s">
        <v>692</v>
      </c>
      <c r="K23" s="90" t="s">
        <v>2108</v>
      </c>
      <c r="L23" s="90" t="s">
        <v>2126</v>
      </c>
      <c r="M23" s="87" t="s">
        <v>2041</v>
      </c>
      <c r="N23" s="87" t="s">
        <v>1987</v>
      </c>
      <c r="O23" s="88">
        <v>42186</v>
      </c>
      <c r="P23" s="89">
        <v>11.1</v>
      </c>
      <c r="Q23" s="90" t="s">
        <v>213</v>
      </c>
      <c r="R23" s="90" t="s">
        <v>3100</v>
      </c>
      <c r="S23" s="90" t="s">
        <v>2078</v>
      </c>
      <c r="T23" s="90" t="s">
        <v>2074</v>
      </c>
      <c r="U23" s="90" t="s">
        <v>1592</v>
      </c>
      <c r="V23" s="88">
        <v>42186</v>
      </c>
      <c r="W23" s="88">
        <v>42186</v>
      </c>
      <c r="X23" s="90" t="s">
        <v>43</v>
      </c>
      <c r="Y23" s="90" t="s">
        <v>257</v>
      </c>
      <c r="Z23" s="90" t="s">
        <v>36</v>
      </c>
      <c r="AA23" s="91"/>
      <c r="AB23" s="91"/>
      <c r="AC23" s="90" t="s">
        <v>2051</v>
      </c>
      <c r="AD23" s="90" t="s">
        <v>267</v>
      </c>
      <c r="AE23" s="90" t="s">
        <v>1608</v>
      </c>
      <c r="AF23" s="90" t="s">
        <v>1947</v>
      </c>
      <c r="AG23" s="90" t="s">
        <v>3114</v>
      </c>
      <c r="AH23" s="90" t="s">
        <v>1989</v>
      </c>
      <c r="AI23" s="90" t="s">
        <v>1989</v>
      </c>
      <c r="AJ23" s="90" t="s">
        <v>2051</v>
      </c>
      <c r="AK23" s="90" t="s">
        <v>36</v>
      </c>
      <c r="AL23" s="90" t="s">
        <v>1607</v>
      </c>
      <c r="AM23" s="90" t="s">
        <v>2053</v>
      </c>
      <c r="AN23" s="90" t="s">
        <v>2075</v>
      </c>
      <c r="AO23" s="87" t="s">
        <v>1949</v>
      </c>
      <c r="AP23" s="87" t="s">
        <v>1950</v>
      </c>
      <c r="AQ23" s="90" t="s">
        <v>1556</v>
      </c>
      <c r="AR23" s="92">
        <v>38000</v>
      </c>
      <c r="AS23" s="92">
        <v>47000</v>
      </c>
      <c r="AT23" s="92">
        <v>59000</v>
      </c>
      <c r="AU23" s="87" t="s">
        <v>1972</v>
      </c>
      <c r="AV23" s="87" t="s">
        <v>1973</v>
      </c>
      <c r="AW23" s="91"/>
      <c r="AX23" s="91"/>
      <c r="AY23" s="91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>IFERROR(VLOOKUP(X23,'Status Map'!A:B,2,FALSE),"Status Code Not Mapped")</f>
        <v>Y</v>
      </c>
      <c r="BL23" t="str">
        <f>IFERROR(VLOOKUP(D23,'Invoice Exception Map'!A:C,3,FALSE),"N")</f>
        <v>N</v>
      </c>
      <c r="BM23">
        <f t="shared" si="3"/>
        <v>5</v>
      </c>
      <c r="BN23" t="str">
        <f t="shared" si="4"/>
        <v>Wang</v>
      </c>
      <c r="BO23" t="str">
        <f t="shared" si="5"/>
        <v>Jinkai</v>
      </c>
    </row>
    <row r="24" spans="1:67" ht="16" thickBot="1" x14ac:dyDescent="0.25">
      <c r="A24" s="90" t="s">
        <v>2069</v>
      </c>
      <c r="B24" s="90" t="s">
        <v>2070</v>
      </c>
      <c r="C24" s="90" t="s">
        <v>2071</v>
      </c>
      <c r="D24" s="90" t="s">
        <v>3330</v>
      </c>
      <c r="E24" s="90" t="s">
        <v>1953</v>
      </c>
      <c r="F24" s="90" t="s">
        <v>2127</v>
      </c>
      <c r="G24" s="90" t="s">
        <v>2128</v>
      </c>
      <c r="H24" s="90" t="s">
        <v>1943</v>
      </c>
      <c r="I24" s="90" t="s">
        <v>1944</v>
      </c>
      <c r="J24" s="90" t="s">
        <v>1621</v>
      </c>
      <c r="K24" s="90" t="s">
        <v>2129</v>
      </c>
      <c r="L24" s="90" t="s">
        <v>2130</v>
      </c>
      <c r="M24" s="87" t="s">
        <v>1945</v>
      </c>
      <c r="N24" s="87" t="s">
        <v>1946</v>
      </c>
      <c r="O24" s="88">
        <v>45658</v>
      </c>
      <c r="P24" s="89">
        <v>1.6</v>
      </c>
      <c r="Q24" s="90" t="s">
        <v>69</v>
      </c>
      <c r="R24" s="90" t="s">
        <v>3108</v>
      </c>
      <c r="S24" s="90" t="s">
        <v>2094</v>
      </c>
      <c r="T24" s="90" t="s">
        <v>2074</v>
      </c>
      <c r="U24" s="90" t="s">
        <v>1592</v>
      </c>
      <c r="V24" s="88">
        <v>45658</v>
      </c>
      <c r="W24" s="88">
        <v>38996</v>
      </c>
      <c r="X24" s="90" t="s">
        <v>43</v>
      </c>
      <c r="Y24" s="90" t="s">
        <v>257</v>
      </c>
      <c r="Z24" s="90" t="s">
        <v>36</v>
      </c>
      <c r="AA24" s="91"/>
      <c r="AB24" s="91"/>
      <c r="AC24" s="90" t="s">
        <v>2051</v>
      </c>
      <c r="AD24" s="90" t="s">
        <v>267</v>
      </c>
      <c r="AE24" s="90" t="s">
        <v>1608</v>
      </c>
      <c r="AF24" s="90" t="s">
        <v>1947</v>
      </c>
      <c r="AG24" s="90" t="s">
        <v>3099</v>
      </c>
      <c r="AH24" s="90" t="s">
        <v>1989</v>
      </c>
      <c r="AI24" s="90" t="s">
        <v>1989</v>
      </c>
      <c r="AJ24" s="90" t="s">
        <v>2051</v>
      </c>
      <c r="AK24" s="90" t="s">
        <v>36</v>
      </c>
      <c r="AL24" s="90" t="s">
        <v>1607</v>
      </c>
      <c r="AM24" s="90" t="s">
        <v>2053</v>
      </c>
      <c r="AN24" s="90" t="s">
        <v>2075</v>
      </c>
      <c r="AO24" s="87" t="s">
        <v>1949</v>
      </c>
      <c r="AP24" s="87" t="s">
        <v>1950</v>
      </c>
      <c r="AQ24" s="90" t="s">
        <v>1553</v>
      </c>
      <c r="AR24" s="92">
        <v>98000</v>
      </c>
      <c r="AS24" s="92">
        <v>122000</v>
      </c>
      <c r="AT24" s="92">
        <v>153000</v>
      </c>
      <c r="AU24" s="87" t="s">
        <v>1951</v>
      </c>
      <c r="AV24" s="87" t="s">
        <v>1981</v>
      </c>
      <c r="AW24" s="91"/>
      <c r="AX24" s="91"/>
      <c r="AY24" s="91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>IFERROR(VLOOKUP(X24,'Status Map'!A:B,2,FALSE),"Status Code Not Mapped")</f>
        <v>Y</v>
      </c>
      <c r="BL24" t="str">
        <f>IFERROR(VLOOKUP(D24,'Invoice Exception Map'!A:C,3,FALSE),"N")</f>
        <v>N</v>
      </c>
      <c r="BM24">
        <f t="shared" si="3"/>
        <v>5</v>
      </c>
      <c r="BN24" t="str">
        <f t="shared" si="4"/>
        <v>Yang</v>
      </c>
      <c r="BO24" t="str">
        <f t="shared" si="5"/>
        <v>Benny</v>
      </c>
    </row>
    <row r="25" spans="1:67" ht="16" thickBot="1" x14ac:dyDescent="0.25">
      <c r="A25" s="90" t="s">
        <v>2069</v>
      </c>
      <c r="B25" s="90" t="s">
        <v>2070</v>
      </c>
      <c r="C25" s="90" t="s">
        <v>2071</v>
      </c>
      <c r="D25" s="90" t="s">
        <v>3101</v>
      </c>
      <c r="E25" s="90" t="s">
        <v>1953</v>
      </c>
      <c r="F25" s="90" t="s">
        <v>2087</v>
      </c>
      <c r="G25" s="90" t="s">
        <v>2131</v>
      </c>
      <c r="H25" s="90" t="s">
        <v>1943</v>
      </c>
      <c r="I25" s="90" t="s">
        <v>1944</v>
      </c>
      <c r="J25" s="90" t="s">
        <v>831</v>
      </c>
      <c r="K25" s="90" t="s">
        <v>2132</v>
      </c>
      <c r="L25" s="90" t="s">
        <v>2133</v>
      </c>
      <c r="M25" s="87" t="s">
        <v>1975</v>
      </c>
      <c r="N25" s="87" t="s">
        <v>831</v>
      </c>
      <c r="O25" s="88">
        <v>41879</v>
      </c>
      <c r="P25" s="89">
        <v>12</v>
      </c>
      <c r="Q25" s="90" t="s">
        <v>504</v>
      </c>
      <c r="R25" s="90" t="s">
        <v>3111</v>
      </c>
      <c r="S25" s="90" t="s">
        <v>2114</v>
      </c>
      <c r="T25" s="90" t="s">
        <v>2074</v>
      </c>
      <c r="U25" s="90" t="s">
        <v>1592</v>
      </c>
      <c r="V25" s="88">
        <v>41879</v>
      </c>
      <c r="W25" s="88">
        <v>41879</v>
      </c>
      <c r="X25" s="90" t="s">
        <v>43</v>
      </c>
      <c r="Y25" s="90" t="s">
        <v>257</v>
      </c>
      <c r="Z25" s="90" t="s">
        <v>36</v>
      </c>
      <c r="AA25" s="91"/>
      <c r="AB25" s="91"/>
      <c r="AC25" s="90" t="s">
        <v>2051</v>
      </c>
      <c r="AD25" s="90" t="s">
        <v>267</v>
      </c>
      <c r="AE25" s="90" t="s">
        <v>1608</v>
      </c>
      <c r="AF25" s="90" t="s">
        <v>1947</v>
      </c>
      <c r="AG25" s="90" t="s">
        <v>3099</v>
      </c>
      <c r="AH25" s="90" t="s">
        <v>1971</v>
      </c>
      <c r="AI25" s="90" t="s">
        <v>1971</v>
      </c>
      <c r="AJ25" s="90" t="s">
        <v>2051</v>
      </c>
      <c r="AK25" s="90" t="s">
        <v>36</v>
      </c>
      <c r="AL25" s="90" t="s">
        <v>1607</v>
      </c>
      <c r="AM25" s="90" t="s">
        <v>2053</v>
      </c>
      <c r="AN25" s="90" t="s">
        <v>2075</v>
      </c>
      <c r="AO25" s="87" t="s">
        <v>1949</v>
      </c>
      <c r="AP25" s="87" t="s">
        <v>1950</v>
      </c>
      <c r="AQ25" s="90" t="s">
        <v>1543</v>
      </c>
      <c r="AR25" s="92">
        <v>62000</v>
      </c>
      <c r="AS25" s="92">
        <v>78000</v>
      </c>
      <c r="AT25" s="92">
        <v>97000</v>
      </c>
      <c r="AU25" s="87" t="s">
        <v>1951</v>
      </c>
      <c r="AV25" s="87" t="s">
        <v>1966</v>
      </c>
      <c r="AW25" s="91"/>
      <c r="AX25" s="91"/>
      <c r="AY25" s="91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>IFERROR(VLOOKUP(X25,'Status Map'!A:B,2,FALSE),"Status Code Not Mapped")</f>
        <v>Y</v>
      </c>
      <c r="BL25" t="str">
        <f>IFERROR(VLOOKUP(D25,'Invoice Exception Map'!A:C,3,FALSE),"N")</f>
        <v>N</v>
      </c>
      <c r="BM25">
        <f t="shared" si="3"/>
        <v>5</v>
      </c>
      <c r="BN25" t="str">
        <f t="shared" si="4"/>
        <v>Yang</v>
      </c>
      <c r="BO25" t="str">
        <f t="shared" si="5"/>
        <v>Cui</v>
      </c>
    </row>
    <row r="26" spans="1:67" ht="16" thickBot="1" x14ac:dyDescent="0.25">
      <c r="A26" s="90" t="s">
        <v>2069</v>
      </c>
      <c r="B26" s="90" t="s">
        <v>2070</v>
      </c>
      <c r="C26" s="90" t="s">
        <v>2071</v>
      </c>
      <c r="D26" s="90" t="s">
        <v>3100</v>
      </c>
      <c r="E26" s="90" t="s">
        <v>1953</v>
      </c>
      <c r="F26" s="90" t="s">
        <v>2078</v>
      </c>
      <c r="G26" s="90" t="s">
        <v>2134</v>
      </c>
      <c r="H26" s="90" t="s">
        <v>1943</v>
      </c>
      <c r="I26" s="90" t="s">
        <v>1944</v>
      </c>
      <c r="J26" s="90" t="s">
        <v>692</v>
      </c>
      <c r="K26" s="90" t="s">
        <v>2135</v>
      </c>
      <c r="L26" s="90" t="s">
        <v>2136</v>
      </c>
      <c r="M26" s="87" t="s">
        <v>2000</v>
      </c>
      <c r="N26" s="87" t="s">
        <v>2001</v>
      </c>
      <c r="O26" s="88">
        <v>39569</v>
      </c>
      <c r="P26" s="89">
        <v>18.3</v>
      </c>
      <c r="Q26" s="90" t="s">
        <v>69</v>
      </c>
      <c r="R26" s="90" t="s">
        <v>3115</v>
      </c>
      <c r="S26" s="90" t="s">
        <v>2138</v>
      </c>
      <c r="T26" s="90" t="s">
        <v>2074</v>
      </c>
      <c r="U26" s="90" t="s">
        <v>1592</v>
      </c>
      <c r="V26" s="88">
        <v>39569</v>
      </c>
      <c r="W26" s="88">
        <v>39569</v>
      </c>
      <c r="X26" s="90" t="s">
        <v>43</v>
      </c>
      <c r="Y26" s="90" t="s">
        <v>257</v>
      </c>
      <c r="Z26" s="90" t="s">
        <v>36</v>
      </c>
      <c r="AA26" s="91"/>
      <c r="AB26" s="91"/>
      <c r="AC26" s="90" t="s">
        <v>2051</v>
      </c>
      <c r="AD26" s="90" t="s">
        <v>267</v>
      </c>
      <c r="AE26" s="90" t="s">
        <v>1608</v>
      </c>
      <c r="AF26" s="90" t="s">
        <v>1947</v>
      </c>
      <c r="AG26" s="90" t="s">
        <v>3099</v>
      </c>
      <c r="AH26" s="90" t="s">
        <v>1989</v>
      </c>
      <c r="AI26" s="90" t="s">
        <v>1989</v>
      </c>
      <c r="AJ26" s="90" t="s">
        <v>2051</v>
      </c>
      <c r="AK26" s="90" t="s">
        <v>36</v>
      </c>
      <c r="AL26" s="90" t="s">
        <v>1607</v>
      </c>
      <c r="AM26" s="90" t="s">
        <v>2053</v>
      </c>
      <c r="AN26" s="90" t="s">
        <v>2075</v>
      </c>
      <c r="AO26" s="87" t="s">
        <v>1949</v>
      </c>
      <c r="AP26" s="87" t="s">
        <v>1950</v>
      </c>
      <c r="AQ26" s="90" t="s">
        <v>1554</v>
      </c>
      <c r="AR26" s="92">
        <v>98000</v>
      </c>
      <c r="AS26" s="92">
        <v>122000</v>
      </c>
      <c r="AT26" s="92">
        <v>153000</v>
      </c>
      <c r="AU26" s="87" t="s">
        <v>1951</v>
      </c>
      <c r="AV26" s="87" t="s">
        <v>1981</v>
      </c>
      <c r="AW26" s="91"/>
      <c r="AX26" s="91"/>
      <c r="AY26" s="91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>IFERROR(VLOOKUP(X26,'Status Map'!A:B,2,FALSE),"Status Code Not Mapped")</f>
        <v>Y</v>
      </c>
      <c r="BL26" t="str">
        <f>IFERROR(VLOOKUP(D26,'Invoice Exception Map'!A:C,3,FALSE),"N")</f>
        <v>N</v>
      </c>
      <c r="BM26">
        <f t="shared" si="3"/>
        <v>3</v>
      </c>
      <c r="BN26" t="str">
        <f t="shared" si="4"/>
        <v>Ye</v>
      </c>
      <c r="BO26" t="str">
        <f t="shared" si="5"/>
        <v>Clive</v>
      </c>
    </row>
    <row r="27" spans="1:67" ht="16" thickBot="1" x14ac:dyDescent="0.25">
      <c r="A27" s="90" t="s">
        <v>2069</v>
      </c>
      <c r="B27" s="90" t="s">
        <v>2070</v>
      </c>
      <c r="C27" s="90" t="s">
        <v>2071</v>
      </c>
      <c r="D27" s="90" t="s">
        <v>3331</v>
      </c>
      <c r="E27" s="90" t="s">
        <v>1953</v>
      </c>
      <c r="F27" s="90" t="s">
        <v>2139</v>
      </c>
      <c r="G27" s="90" t="s">
        <v>2084</v>
      </c>
      <c r="H27" s="90" t="s">
        <v>1943</v>
      </c>
      <c r="I27" s="90" t="s">
        <v>1944</v>
      </c>
      <c r="J27" s="90" t="s">
        <v>831</v>
      </c>
      <c r="K27" s="90" t="s">
        <v>2085</v>
      </c>
      <c r="L27" s="90" t="s">
        <v>2086</v>
      </c>
      <c r="M27" s="87" t="s">
        <v>1975</v>
      </c>
      <c r="N27" s="87" t="s">
        <v>831</v>
      </c>
      <c r="O27" s="88">
        <v>43221</v>
      </c>
      <c r="P27" s="89">
        <v>8.3000000000000007</v>
      </c>
      <c r="Q27" s="90" t="s">
        <v>213</v>
      </c>
      <c r="R27" s="90" t="s">
        <v>3101</v>
      </c>
      <c r="S27" s="90" t="s">
        <v>2087</v>
      </c>
      <c r="T27" s="90" t="s">
        <v>2074</v>
      </c>
      <c r="U27" s="90" t="s">
        <v>1592</v>
      </c>
      <c r="V27" s="88">
        <v>43221</v>
      </c>
      <c r="W27" s="88">
        <v>43221</v>
      </c>
      <c r="X27" s="90" t="s">
        <v>43</v>
      </c>
      <c r="Y27" s="90" t="s">
        <v>257</v>
      </c>
      <c r="Z27" s="90" t="s">
        <v>36</v>
      </c>
      <c r="AA27" s="91"/>
      <c r="AB27" s="91"/>
      <c r="AC27" s="90" t="s">
        <v>2051</v>
      </c>
      <c r="AD27" s="90" t="s">
        <v>267</v>
      </c>
      <c r="AE27" s="90" t="s">
        <v>1608</v>
      </c>
      <c r="AF27" s="90" t="s">
        <v>1947</v>
      </c>
      <c r="AG27" s="90" t="s">
        <v>3099</v>
      </c>
      <c r="AH27" s="90" t="s">
        <v>1971</v>
      </c>
      <c r="AI27" s="90" t="s">
        <v>1971</v>
      </c>
      <c r="AJ27" s="90" t="s">
        <v>2051</v>
      </c>
      <c r="AK27" s="90" t="s">
        <v>36</v>
      </c>
      <c r="AL27" s="90" t="s">
        <v>1607</v>
      </c>
      <c r="AM27" s="90" t="s">
        <v>2053</v>
      </c>
      <c r="AN27" s="90" t="s">
        <v>2075</v>
      </c>
      <c r="AO27" s="87" t="s">
        <v>1949</v>
      </c>
      <c r="AP27" s="87" t="s">
        <v>1950</v>
      </c>
      <c r="AQ27" s="90" t="s">
        <v>1547</v>
      </c>
      <c r="AR27" s="92">
        <v>38000</v>
      </c>
      <c r="AS27" s="92">
        <v>47000</v>
      </c>
      <c r="AT27" s="92">
        <v>59000</v>
      </c>
      <c r="AU27" s="87" t="s">
        <v>1972</v>
      </c>
      <c r="AV27" s="87" t="s">
        <v>1973</v>
      </c>
      <c r="AW27" s="91"/>
      <c r="AX27" s="91"/>
      <c r="AY27" s="91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>IFERROR(VLOOKUP(X27,'Status Map'!A:B,2,FALSE),"Status Code Not Mapped")</f>
        <v>Y</v>
      </c>
      <c r="BL27" t="str">
        <f>IFERROR(VLOOKUP(D27,'Invoice Exception Map'!A:C,3,FALSE),"N")</f>
        <v>N</v>
      </c>
      <c r="BM27">
        <f t="shared" si="3"/>
        <v>6</v>
      </c>
      <c r="BN27" t="str">
        <f t="shared" si="4"/>
        <v>Zhang</v>
      </c>
      <c r="BO27" t="str">
        <f t="shared" si="5"/>
        <v>Zhenxuan</v>
      </c>
    </row>
    <row r="28" spans="1:67" ht="16" thickBot="1" x14ac:dyDescent="0.25">
      <c r="A28" s="90" t="s">
        <v>2069</v>
      </c>
      <c r="B28" s="90" t="s">
        <v>2070</v>
      </c>
      <c r="C28" s="90" t="s">
        <v>2071</v>
      </c>
      <c r="D28" s="90" t="s">
        <v>3332</v>
      </c>
      <c r="E28" s="90" t="s">
        <v>1953</v>
      </c>
      <c r="F28" s="90" t="s">
        <v>2140</v>
      </c>
      <c r="G28" s="90" t="s">
        <v>2077</v>
      </c>
      <c r="H28" s="90" t="s">
        <v>1943</v>
      </c>
      <c r="I28" s="90" t="s">
        <v>1944</v>
      </c>
      <c r="J28" s="90" t="s">
        <v>692</v>
      </c>
      <c r="K28" s="90" t="s">
        <v>2033</v>
      </c>
      <c r="L28" s="90" t="s">
        <v>1986</v>
      </c>
      <c r="M28" s="87" t="s">
        <v>1986</v>
      </c>
      <c r="N28" s="87" t="s">
        <v>1987</v>
      </c>
      <c r="O28" s="88">
        <v>41467</v>
      </c>
      <c r="P28" s="89">
        <v>13.1</v>
      </c>
      <c r="Q28" s="90" t="s">
        <v>305</v>
      </c>
      <c r="R28" s="90" t="s">
        <v>3100</v>
      </c>
      <c r="S28" s="90" t="s">
        <v>2078</v>
      </c>
      <c r="T28" s="90" t="s">
        <v>2074</v>
      </c>
      <c r="U28" s="90" t="s">
        <v>1592</v>
      </c>
      <c r="V28" s="88">
        <v>41467</v>
      </c>
      <c r="W28" s="88">
        <v>41467</v>
      </c>
      <c r="X28" s="90" t="s">
        <v>43</v>
      </c>
      <c r="Y28" s="90" t="s">
        <v>257</v>
      </c>
      <c r="Z28" s="90" t="s">
        <v>36</v>
      </c>
      <c r="AA28" s="91"/>
      <c r="AB28" s="91"/>
      <c r="AC28" s="90" t="s">
        <v>2051</v>
      </c>
      <c r="AD28" s="90" t="s">
        <v>267</v>
      </c>
      <c r="AE28" s="90" t="s">
        <v>1608</v>
      </c>
      <c r="AF28" s="90" t="s">
        <v>1947</v>
      </c>
      <c r="AG28" s="90" t="s">
        <v>3099</v>
      </c>
      <c r="AH28" s="90" t="s">
        <v>1989</v>
      </c>
      <c r="AI28" s="90" t="s">
        <v>1989</v>
      </c>
      <c r="AJ28" s="90" t="s">
        <v>2051</v>
      </c>
      <c r="AK28" s="90" t="s">
        <v>36</v>
      </c>
      <c r="AL28" s="90" t="s">
        <v>1607</v>
      </c>
      <c r="AM28" s="90" t="s">
        <v>2053</v>
      </c>
      <c r="AN28" s="90" t="s">
        <v>2075</v>
      </c>
      <c r="AO28" s="87" t="s">
        <v>1949</v>
      </c>
      <c r="AP28" s="87" t="s">
        <v>1950</v>
      </c>
      <c r="AQ28" s="90" t="s">
        <v>1555</v>
      </c>
      <c r="AR28" s="92">
        <v>50000</v>
      </c>
      <c r="AS28" s="92">
        <v>62000</v>
      </c>
      <c r="AT28" s="92">
        <v>77000</v>
      </c>
      <c r="AU28" s="87" t="s">
        <v>1972</v>
      </c>
      <c r="AV28" s="87" t="s">
        <v>1973</v>
      </c>
      <c r="AW28" s="91"/>
      <c r="AX28" s="91"/>
      <c r="AY28" s="91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>IFERROR(VLOOKUP(X28,'Status Map'!A:B,2,FALSE),"Status Code Not Mapped")</f>
        <v>Y</v>
      </c>
      <c r="BL28" t="str">
        <f>IFERROR(VLOOKUP(D28,'Invoice Exception Map'!A:C,3,FALSE),"N")</f>
        <v>N</v>
      </c>
      <c r="BM28">
        <f t="shared" si="3"/>
        <v>5</v>
      </c>
      <c r="BN28" t="str">
        <f t="shared" si="4"/>
        <v>Zhao</v>
      </c>
      <c r="BO28" t="str">
        <f t="shared" si="5"/>
        <v>Yuanyuan</v>
      </c>
    </row>
    <row r="29" spans="1:67" ht="16" thickBot="1" x14ac:dyDescent="0.25">
      <c r="A29" s="90" t="s">
        <v>2141</v>
      </c>
      <c r="B29" s="90" t="s">
        <v>2142</v>
      </c>
      <c r="C29" s="90" t="s">
        <v>2143</v>
      </c>
      <c r="D29" s="90" t="s">
        <v>1412</v>
      </c>
      <c r="E29" s="90" t="s">
        <v>1953</v>
      </c>
      <c r="F29" s="90" t="s">
        <v>383</v>
      </c>
      <c r="G29" s="90" t="s">
        <v>3333</v>
      </c>
      <c r="H29" s="90" t="s">
        <v>1943</v>
      </c>
      <c r="I29" s="90" t="s">
        <v>1944</v>
      </c>
      <c r="J29" s="90" t="s">
        <v>2022</v>
      </c>
      <c r="K29" s="90" t="s">
        <v>3334</v>
      </c>
      <c r="L29" s="90" t="s">
        <v>3335</v>
      </c>
      <c r="M29" s="87" t="s">
        <v>1945</v>
      </c>
      <c r="N29" s="87" t="s">
        <v>1978</v>
      </c>
      <c r="O29" s="88">
        <v>44501</v>
      </c>
      <c r="P29" s="89">
        <v>4.8</v>
      </c>
      <c r="Q29" s="90" t="s">
        <v>316</v>
      </c>
      <c r="R29" s="90" t="s">
        <v>135</v>
      </c>
      <c r="S29" s="90" t="s">
        <v>155</v>
      </c>
      <c r="T29" s="90" t="s">
        <v>2144</v>
      </c>
      <c r="U29" s="90" t="s">
        <v>2145</v>
      </c>
      <c r="V29" s="88">
        <v>44501</v>
      </c>
      <c r="W29" s="88">
        <v>44501</v>
      </c>
      <c r="X29" s="90" t="s">
        <v>43</v>
      </c>
      <c r="Y29" s="90" t="s">
        <v>257</v>
      </c>
      <c r="Z29" s="90" t="s">
        <v>36</v>
      </c>
      <c r="AA29" s="91"/>
      <c r="AB29" s="91"/>
      <c r="AC29" s="90" t="s">
        <v>2051</v>
      </c>
      <c r="AD29" s="90" t="s">
        <v>267</v>
      </c>
      <c r="AE29" s="90" t="s">
        <v>1633</v>
      </c>
      <c r="AF29" s="90" t="s">
        <v>1947</v>
      </c>
      <c r="AG29" s="90" t="s">
        <v>3116</v>
      </c>
      <c r="AH29" s="90" t="s">
        <v>3117</v>
      </c>
      <c r="AI29" s="90" t="s">
        <v>3117</v>
      </c>
      <c r="AJ29" s="90" t="s">
        <v>2051</v>
      </c>
      <c r="AK29" s="91"/>
      <c r="AL29" s="90" t="s">
        <v>1632</v>
      </c>
      <c r="AM29" s="90" t="s">
        <v>2146</v>
      </c>
      <c r="AN29" s="90" t="s">
        <v>1948</v>
      </c>
      <c r="AO29" s="87" t="s">
        <v>3118</v>
      </c>
      <c r="AP29" s="87" t="s">
        <v>1950</v>
      </c>
      <c r="AQ29" s="90" t="s">
        <v>3119</v>
      </c>
      <c r="AR29" s="92">
        <v>110000</v>
      </c>
      <c r="AS29" s="92">
        <v>138000</v>
      </c>
      <c r="AT29" s="92">
        <v>172000</v>
      </c>
      <c r="AU29" s="87" t="s">
        <v>1951</v>
      </c>
      <c r="AV29" s="87" t="s">
        <v>1977</v>
      </c>
      <c r="AW29" s="91"/>
      <c r="AX29" s="91"/>
      <c r="AY29" s="90" t="s">
        <v>3120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>IFERROR(VLOOKUP(X29,'Status Map'!A:B,2,FALSE),"Status Code Not Mapped")</f>
        <v>Y</v>
      </c>
      <c r="BL29" t="str">
        <f>IFERROR(VLOOKUP(D29,'Invoice Exception Map'!A:C,3,FALSE),"N")</f>
        <v>Y</v>
      </c>
      <c r="BM29">
        <f t="shared" si="3"/>
        <v>8</v>
      </c>
      <c r="BN29" t="str">
        <f t="shared" si="4"/>
        <v>Erdogan</v>
      </c>
      <c r="BO29" t="str">
        <f t="shared" si="5"/>
        <v>Mehmet</v>
      </c>
    </row>
    <row r="30" spans="1:67" ht="16" thickBot="1" x14ac:dyDescent="0.25">
      <c r="A30" s="90" t="s">
        <v>2141</v>
      </c>
      <c r="B30" s="90" t="s">
        <v>2142</v>
      </c>
      <c r="C30" s="90" t="s">
        <v>2143</v>
      </c>
      <c r="D30" s="90" t="s">
        <v>3336</v>
      </c>
      <c r="E30" s="90" t="s">
        <v>1953</v>
      </c>
      <c r="F30" s="90" t="s">
        <v>3337</v>
      </c>
      <c r="G30" s="90" t="s">
        <v>3338</v>
      </c>
      <c r="H30" s="90" t="s">
        <v>1943</v>
      </c>
      <c r="I30" s="90" t="s">
        <v>1944</v>
      </c>
      <c r="J30" s="90" t="s">
        <v>3339</v>
      </c>
      <c r="K30" s="90" t="s">
        <v>3340</v>
      </c>
      <c r="L30" s="90" t="s">
        <v>3341</v>
      </c>
      <c r="M30" s="87" t="s">
        <v>3121</v>
      </c>
      <c r="N30" s="87" t="s">
        <v>3121</v>
      </c>
      <c r="O30" s="88">
        <v>46266</v>
      </c>
      <c r="P30" s="89">
        <v>0</v>
      </c>
      <c r="Q30" s="90" t="s">
        <v>151</v>
      </c>
      <c r="R30" s="90" t="s">
        <v>1412</v>
      </c>
      <c r="S30" s="90" t="s">
        <v>383</v>
      </c>
      <c r="T30" s="90" t="s">
        <v>2144</v>
      </c>
      <c r="U30" s="90" t="s">
        <v>2145</v>
      </c>
      <c r="V30" s="88">
        <v>46266</v>
      </c>
      <c r="W30" s="88">
        <v>41153</v>
      </c>
      <c r="X30" s="90" t="s">
        <v>43</v>
      </c>
      <c r="Y30" s="90" t="s">
        <v>257</v>
      </c>
      <c r="Z30" s="90" t="s">
        <v>36</v>
      </c>
      <c r="AA30" s="91"/>
      <c r="AB30" s="91"/>
      <c r="AC30" s="90" t="s">
        <v>2051</v>
      </c>
      <c r="AD30" s="90" t="s">
        <v>267</v>
      </c>
      <c r="AE30" s="90" t="s">
        <v>1633</v>
      </c>
      <c r="AF30" s="90" t="s">
        <v>1947</v>
      </c>
      <c r="AG30" s="90" t="s">
        <v>3122</v>
      </c>
      <c r="AH30" s="90" t="s">
        <v>2150</v>
      </c>
      <c r="AI30" s="90" t="s">
        <v>2150</v>
      </c>
      <c r="AJ30" s="90" t="s">
        <v>2051</v>
      </c>
      <c r="AK30" s="90" t="s">
        <v>36</v>
      </c>
      <c r="AL30" s="90" t="s">
        <v>1632</v>
      </c>
      <c r="AM30" s="90" t="s">
        <v>2146</v>
      </c>
      <c r="AN30" s="90" t="s">
        <v>3123</v>
      </c>
      <c r="AO30" s="87" t="s">
        <v>3118</v>
      </c>
      <c r="AP30" s="87" t="s">
        <v>1950</v>
      </c>
      <c r="AQ30" s="90" t="s">
        <v>3124</v>
      </c>
      <c r="AR30" s="92">
        <v>88000</v>
      </c>
      <c r="AS30" s="92">
        <v>110000</v>
      </c>
      <c r="AT30" s="92">
        <v>137000</v>
      </c>
      <c r="AU30" s="87" t="s">
        <v>1951</v>
      </c>
      <c r="AV30" s="87" t="s">
        <v>1952</v>
      </c>
      <c r="AW30" s="91"/>
      <c r="AX30" s="91"/>
      <c r="AY30" s="91"/>
      <c r="AZ30" t="str">
        <f t="shared" si="0"/>
        <v>207199</v>
      </c>
      <c r="BA30" t="str">
        <f t="shared" si="1"/>
        <v>0400</v>
      </c>
      <c r="BB30" t="str">
        <f t="shared" si="2"/>
        <v>140102</v>
      </c>
      <c r="BC30" t="str">
        <f>IFERROR(VLOOKUP(TRIM(Q30),'Salary Map'!A:E,3,FALSE),"Salary Code Not Mapped")</f>
        <v>Default</v>
      </c>
      <c r="BD30" t="str">
        <f>IFERROR(VLOOKUP(TRIM(Q30),'Salary Map'!A:E,4,FALSE),"Salary Code Not Mapped")</f>
        <v>General</v>
      </c>
      <c r="BE30">
        <f>IF(BL30="N",0,IFERROR(VLOOKUP(TRIM(Q30),'Salary Map'!A:E,5,FALSE),"Salary Not Mapped"))</f>
        <v>0</v>
      </c>
      <c r="BF30" t="str">
        <f>IFERROR(VLOOKUP(AM30,'Country Map'!A:E,2,FALSE),"Country Not Mapped")</f>
        <v>DE</v>
      </c>
      <c r="BH30" t="str">
        <f>IFERROR(VLOOKUP(AM30,'Country Map'!A:E,4,FALSE),"Country Not Mapped")</f>
        <v>EUR</v>
      </c>
      <c r="BJ30" t="str">
        <f>IFERROR(VLOOKUP(X30,'Status Map'!A:B,2,FALSE),"Status Code Not Mapped")</f>
        <v>Y</v>
      </c>
      <c r="BL30" t="str">
        <f>IFERROR(VLOOKUP(D30,'Invoice Exception Map'!A:C,3,FALSE),"N")</f>
        <v>N</v>
      </c>
      <c r="BM30">
        <f t="shared" si="3"/>
        <v>6</v>
      </c>
      <c r="BN30" t="str">
        <f t="shared" si="4"/>
        <v>Klohn</v>
      </c>
      <c r="BO30" t="str">
        <f t="shared" si="5"/>
        <v>Timo</v>
      </c>
    </row>
    <row r="31" spans="1:67" s="106" customFormat="1" ht="16" thickBot="1" x14ac:dyDescent="0.25">
      <c r="A31" s="100" t="s">
        <v>2141</v>
      </c>
      <c r="B31" s="100" t="s">
        <v>2142</v>
      </c>
      <c r="C31" s="100" t="s">
        <v>2143</v>
      </c>
      <c r="D31" s="100" t="s">
        <v>3342</v>
      </c>
      <c r="E31" s="100" t="s">
        <v>1953</v>
      </c>
      <c r="F31" s="100" t="s">
        <v>3343</v>
      </c>
      <c r="G31" s="100" t="s">
        <v>3344</v>
      </c>
      <c r="H31" s="100" t="s">
        <v>1943</v>
      </c>
      <c r="I31" s="100" t="s">
        <v>1944</v>
      </c>
      <c r="J31" s="100" t="s">
        <v>241</v>
      </c>
      <c r="K31" s="100" t="s">
        <v>3345</v>
      </c>
      <c r="L31" s="100" t="s">
        <v>3346</v>
      </c>
      <c r="M31" s="101" t="s">
        <v>1996</v>
      </c>
      <c r="N31" s="101" t="s">
        <v>1978</v>
      </c>
      <c r="O31" s="102">
        <v>45323</v>
      </c>
      <c r="P31" s="103">
        <v>2.5</v>
      </c>
      <c r="Q31" s="100" t="s">
        <v>163</v>
      </c>
      <c r="R31" s="104"/>
      <c r="S31" s="104"/>
      <c r="T31" s="100" t="s">
        <v>2144</v>
      </c>
      <c r="U31" s="100" t="s">
        <v>2145</v>
      </c>
      <c r="V31" s="102">
        <v>45323</v>
      </c>
      <c r="W31" s="102">
        <v>45323</v>
      </c>
      <c r="X31" s="122" t="s">
        <v>2043</v>
      </c>
      <c r="Y31" s="114" t="s">
        <v>381</v>
      </c>
      <c r="Z31" s="100" t="s">
        <v>36</v>
      </c>
      <c r="AA31" s="104"/>
      <c r="AB31" s="104"/>
      <c r="AC31" s="100" t="s">
        <v>2051</v>
      </c>
      <c r="AD31" s="100" t="s">
        <v>267</v>
      </c>
      <c r="AE31" s="100" t="s">
        <v>1633</v>
      </c>
      <c r="AF31" s="100" t="s">
        <v>1947</v>
      </c>
      <c r="AG31" s="100" t="s">
        <v>3125</v>
      </c>
      <c r="AH31" s="100" t="s">
        <v>3126</v>
      </c>
      <c r="AI31" s="100" t="s">
        <v>3127</v>
      </c>
      <c r="AJ31" s="100" t="s">
        <v>2051</v>
      </c>
      <c r="AK31" s="104"/>
      <c r="AL31" s="100" t="s">
        <v>1632</v>
      </c>
      <c r="AM31" s="100" t="s">
        <v>2146</v>
      </c>
      <c r="AN31" s="100" t="s">
        <v>3128</v>
      </c>
      <c r="AO31" s="101" t="s">
        <v>3118</v>
      </c>
      <c r="AP31" s="101" t="s">
        <v>1950</v>
      </c>
      <c r="AQ31" s="100" t="s">
        <v>3129</v>
      </c>
      <c r="AR31" s="105">
        <v>140000</v>
      </c>
      <c r="AS31" s="105">
        <v>175000</v>
      </c>
      <c r="AT31" s="105">
        <v>218000</v>
      </c>
      <c r="AU31" s="101" t="s">
        <v>1951</v>
      </c>
      <c r="AV31" s="101" t="s">
        <v>1959</v>
      </c>
      <c r="AW31" s="104"/>
      <c r="AX31" s="104"/>
      <c r="AY31" s="100" t="s">
        <v>3130</v>
      </c>
      <c r="AZ31" s="106">
        <f t="shared" si="0"/>
        <v>0</v>
      </c>
      <c r="BA31" s="106" t="str">
        <f t="shared" si="1"/>
        <v>0400</v>
      </c>
      <c r="BB31" s="106" t="str">
        <f t="shared" si="2"/>
        <v>146100</v>
      </c>
      <c r="BC31" s="106" t="str">
        <f>IFERROR(VLOOKUP(TRIM(Q31),'Salary Map'!A:E,3,FALSE),"Salary Code Not Mapped")</f>
        <v>Default</v>
      </c>
      <c r="BD31" s="106" t="str">
        <f>IFERROR(VLOOKUP(TRIM(Q31),'Salary Map'!A:E,4,FALSE),"Salary Code Not Mapped")</f>
        <v>General</v>
      </c>
      <c r="BE31" s="106">
        <f>IF(BL31="N",0,IFERROR(VLOOKUP(TRIM(Q31),'Salary Map'!A:E,5,FALSE),"Salary Not Mapped"))</f>
        <v>0</v>
      </c>
      <c r="BF31" s="106" t="str">
        <f>IFERROR(VLOOKUP(AM31,'Country Map'!A:E,2,FALSE),"Country Not Mapped")</f>
        <v>DE</v>
      </c>
      <c r="BH31" s="106" t="str">
        <f>IFERROR(VLOOKUP(AM31,'Country Map'!A:E,4,FALSE),"Country Not Mapped")</f>
        <v>EUR</v>
      </c>
      <c r="BJ31" s="106" t="str">
        <f>IFERROR(VLOOKUP(X31,'Status Map'!A:B,2,FALSE),"Status Code Not Mapped")</f>
        <v>N</v>
      </c>
      <c r="BL31" s="106" t="str">
        <f>IFERROR(VLOOKUP(D31,'Invoice Exception Map'!A:C,3,FALSE),"N")</f>
        <v>N</v>
      </c>
      <c r="BM31" s="106">
        <f t="shared" si="3"/>
        <v>7</v>
      </c>
      <c r="BN31" s="106" t="str">
        <f t="shared" si="4"/>
        <v>Lobner</v>
      </c>
      <c r="BO31" s="106" t="str">
        <f t="shared" si="5"/>
        <v>Sebastian</v>
      </c>
    </row>
    <row r="32" spans="1:67" ht="16" thickBot="1" x14ac:dyDescent="0.25">
      <c r="A32" s="90" t="s">
        <v>2141</v>
      </c>
      <c r="B32" s="90" t="s">
        <v>2142</v>
      </c>
      <c r="C32" s="90" t="s">
        <v>2143</v>
      </c>
      <c r="D32" s="90" t="s">
        <v>3347</v>
      </c>
      <c r="E32" s="90" t="s">
        <v>1953</v>
      </c>
      <c r="F32" s="90" t="s">
        <v>3348</v>
      </c>
      <c r="G32" s="90" t="s">
        <v>3349</v>
      </c>
      <c r="H32" s="90" t="s">
        <v>1943</v>
      </c>
      <c r="I32" s="90" t="s">
        <v>1944</v>
      </c>
      <c r="J32" s="90" t="s">
        <v>1955</v>
      </c>
      <c r="K32" s="90" t="s">
        <v>3350</v>
      </c>
      <c r="L32" s="90" t="s">
        <v>3351</v>
      </c>
      <c r="M32" s="87" t="s">
        <v>1945</v>
      </c>
      <c r="N32" s="87" t="s">
        <v>3131</v>
      </c>
      <c r="O32" s="88">
        <v>45658</v>
      </c>
      <c r="P32" s="89">
        <v>1.6</v>
      </c>
      <c r="Q32" s="90" t="s">
        <v>316</v>
      </c>
      <c r="R32" s="90" t="s">
        <v>3132</v>
      </c>
      <c r="S32" s="90" t="s">
        <v>2154</v>
      </c>
      <c r="T32" s="90" t="s">
        <v>2144</v>
      </c>
      <c r="U32" s="90" t="s">
        <v>2145</v>
      </c>
      <c r="V32" s="88">
        <v>45658</v>
      </c>
      <c r="W32" s="88">
        <v>45658</v>
      </c>
      <c r="X32" s="90" t="s">
        <v>43</v>
      </c>
      <c r="Y32" s="90" t="s">
        <v>257</v>
      </c>
      <c r="Z32" s="90" t="s">
        <v>36</v>
      </c>
      <c r="AA32" s="91"/>
      <c r="AB32" s="91"/>
      <c r="AC32" s="90" t="s">
        <v>2051</v>
      </c>
      <c r="AD32" s="90" t="s">
        <v>267</v>
      </c>
      <c r="AE32" s="90" t="s">
        <v>1633</v>
      </c>
      <c r="AF32" s="90" t="s">
        <v>1947</v>
      </c>
      <c r="AG32" s="90" t="s">
        <v>3133</v>
      </c>
      <c r="AH32" s="90" t="s">
        <v>2150</v>
      </c>
      <c r="AI32" s="90" t="s">
        <v>2150</v>
      </c>
      <c r="AJ32" s="90" t="s">
        <v>2051</v>
      </c>
      <c r="AK32" s="90" t="s">
        <v>36</v>
      </c>
      <c r="AL32" s="90" t="s">
        <v>1632</v>
      </c>
      <c r="AM32" s="90" t="s">
        <v>2146</v>
      </c>
      <c r="AN32" s="90" t="s">
        <v>3128</v>
      </c>
      <c r="AO32" s="87" t="s">
        <v>3118</v>
      </c>
      <c r="AP32" s="87" t="s">
        <v>1950</v>
      </c>
      <c r="AQ32" s="90" t="s">
        <v>3134</v>
      </c>
      <c r="AR32" s="92">
        <v>110000</v>
      </c>
      <c r="AS32" s="92">
        <v>138000</v>
      </c>
      <c r="AT32" s="92">
        <v>172000</v>
      </c>
      <c r="AU32" s="87" t="s">
        <v>1951</v>
      </c>
      <c r="AV32" s="87" t="s">
        <v>1977</v>
      </c>
      <c r="AW32" s="91"/>
      <c r="AX32" s="91"/>
      <c r="AY32" s="91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>IFERROR(VLOOKUP(X32,'Status Map'!A:B,2,FALSE),"Status Code Not Mapped")</f>
        <v>Y</v>
      </c>
      <c r="BL32" t="str">
        <f>IFERROR(VLOOKUP(D32,'Invoice Exception Map'!A:C,3,FALSE),"N")</f>
        <v>N</v>
      </c>
      <c r="BM32">
        <f t="shared" si="3"/>
        <v>9</v>
      </c>
      <c r="BN32" t="str">
        <f t="shared" si="4"/>
        <v>Springer</v>
      </c>
      <c r="BO32" t="str">
        <f t="shared" si="5"/>
        <v>Reiner</v>
      </c>
    </row>
    <row r="33" spans="1:67" ht="16" thickBot="1" x14ac:dyDescent="0.25">
      <c r="A33" s="90" t="s">
        <v>2141</v>
      </c>
      <c r="B33" s="90" t="s">
        <v>2142</v>
      </c>
      <c r="C33" s="90" t="s">
        <v>2143</v>
      </c>
      <c r="D33" s="90" t="s">
        <v>3207</v>
      </c>
      <c r="E33" s="90" t="s">
        <v>1953</v>
      </c>
      <c r="F33" s="90" t="s">
        <v>2155</v>
      </c>
      <c r="G33" s="90" t="s">
        <v>2156</v>
      </c>
      <c r="H33" s="90" t="s">
        <v>1943</v>
      </c>
      <c r="I33" s="90" t="s">
        <v>1944</v>
      </c>
      <c r="J33" s="90" t="s">
        <v>1957</v>
      </c>
      <c r="K33" s="90" t="s">
        <v>2157</v>
      </c>
      <c r="L33" s="90" t="s">
        <v>2158</v>
      </c>
      <c r="M33" s="87" t="s">
        <v>1996</v>
      </c>
      <c r="N33" s="87" t="s">
        <v>2159</v>
      </c>
      <c r="O33" s="88">
        <v>46023</v>
      </c>
      <c r="P33" s="89">
        <v>0.6</v>
      </c>
      <c r="Q33" s="90" t="s">
        <v>1211</v>
      </c>
      <c r="R33" s="90" t="s">
        <v>135</v>
      </c>
      <c r="S33" s="90" t="s">
        <v>155</v>
      </c>
      <c r="T33" s="90" t="s">
        <v>2144</v>
      </c>
      <c r="U33" s="90" t="s">
        <v>2145</v>
      </c>
      <c r="V33" s="88">
        <v>46023</v>
      </c>
      <c r="W33" s="88">
        <v>46023</v>
      </c>
      <c r="X33" s="90" t="s">
        <v>43</v>
      </c>
      <c r="Y33" s="90" t="s">
        <v>257</v>
      </c>
      <c r="Z33" s="90" t="s">
        <v>36</v>
      </c>
      <c r="AA33" s="91"/>
      <c r="AB33" s="91"/>
      <c r="AC33" s="90" t="s">
        <v>2051</v>
      </c>
      <c r="AD33" s="90" t="s">
        <v>267</v>
      </c>
      <c r="AE33" s="90" t="s">
        <v>1633</v>
      </c>
      <c r="AF33" s="90" t="s">
        <v>1947</v>
      </c>
      <c r="AG33" s="90" t="s">
        <v>3135</v>
      </c>
      <c r="AH33" s="90" t="s">
        <v>2150</v>
      </c>
      <c r="AI33" s="90" t="s">
        <v>2150</v>
      </c>
      <c r="AJ33" s="90" t="s">
        <v>2051</v>
      </c>
      <c r="AK33" s="90" t="s">
        <v>2160</v>
      </c>
      <c r="AL33" s="90" t="s">
        <v>1632</v>
      </c>
      <c r="AM33" s="90" t="s">
        <v>2146</v>
      </c>
      <c r="AN33" s="90" t="s">
        <v>2054</v>
      </c>
      <c r="AO33" s="87" t="s">
        <v>1949</v>
      </c>
      <c r="AP33" s="87" t="s">
        <v>1950</v>
      </c>
      <c r="AQ33" s="90" t="s">
        <v>2161</v>
      </c>
      <c r="AR33" s="92">
        <v>157000</v>
      </c>
      <c r="AS33" s="92">
        <v>196000</v>
      </c>
      <c r="AT33" s="92">
        <v>245000</v>
      </c>
      <c r="AU33" s="87" t="s">
        <v>2017</v>
      </c>
      <c r="AV33" s="87" t="s">
        <v>1959</v>
      </c>
      <c r="AW33" s="91"/>
      <c r="AX33" s="91"/>
      <c r="AY33" s="91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>IFERROR(VLOOKUP(X33,'Status Map'!A:B,2,FALSE),"Status Code Not Mapped")</f>
        <v>Y</v>
      </c>
      <c r="BL33" t="str">
        <f>IFERROR(VLOOKUP(D33,'Invoice Exception Map'!A:C,3,FALSE),"N")</f>
        <v>N</v>
      </c>
      <c r="BM33">
        <f t="shared" si="3"/>
        <v>5</v>
      </c>
      <c r="BN33" t="str">
        <f t="shared" si="4"/>
        <v>Tenk</v>
      </c>
      <c r="BO33" t="str">
        <f t="shared" si="5"/>
        <v>Istvan</v>
      </c>
    </row>
    <row r="34" spans="1:67" ht="16" thickBot="1" x14ac:dyDescent="0.25">
      <c r="A34" s="90" t="s">
        <v>2165</v>
      </c>
      <c r="B34" s="90" t="s">
        <v>2166</v>
      </c>
      <c r="C34" s="90" t="s">
        <v>2167</v>
      </c>
      <c r="D34" s="90" t="s">
        <v>3352</v>
      </c>
      <c r="E34" s="90" t="s">
        <v>1953</v>
      </c>
      <c r="F34" s="90" t="s">
        <v>2168</v>
      </c>
      <c r="G34" s="90" t="s">
        <v>2084</v>
      </c>
      <c r="H34" s="90" t="s">
        <v>1943</v>
      </c>
      <c r="I34" s="90" t="s">
        <v>1944</v>
      </c>
      <c r="J34" s="90" t="s">
        <v>831</v>
      </c>
      <c r="K34" s="90" t="s">
        <v>2085</v>
      </c>
      <c r="L34" s="90" t="s">
        <v>1979</v>
      </c>
      <c r="M34" s="87" t="s">
        <v>1975</v>
      </c>
      <c r="N34" s="87" t="s">
        <v>831</v>
      </c>
      <c r="O34" s="88">
        <v>44732</v>
      </c>
      <c r="P34" s="89">
        <v>4.2</v>
      </c>
      <c r="Q34" s="90" t="s">
        <v>213</v>
      </c>
      <c r="R34" s="90" t="s">
        <v>3136</v>
      </c>
      <c r="S34" s="90" t="s">
        <v>2169</v>
      </c>
      <c r="T34" s="90" t="s">
        <v>2170</v>
      </c>
      <c r="U34" s="90" t="s">
        <v>2171</v>
      </c>
      <c r="V34" s="88">
        <v>44732</v>
      </c>
      <c r="W34" s="88">
        <v>44732</v>
      </c>
      <c r="X34" s="90" t="s">
        <v>43</v>
      </c>
      <c r="Y34" s="90" t="s">
        <v>257</v>
      </c>
      <c r="Z34" s="90" t="s">
        <v>36</v>
      </c>
      <c r="AA34" s="91"/>
      <c r="AB34" s="91"/>
      <c r="AC34" s="90" t="s">
        <v>2051</v>
      </c>
      <c r="AD34" s="90" t="s">
        <v>267</v>
      </c>
      <c r="AE34" s="90" t="s">
        <v>1633</v>
      </c>
      <c r="AF34" s="90" t="s">
        <v>1947</v>
      </c>
      <c r="AG34" s="90" t="s">
        <v>3137</v>
      </c>
      <c r="AH34" s="91"/>
      <c r="AI34" s="91"/>
      <c r="AJ34" s="90" t="s">
        <v>2051</v>
      </c>
      <c r="AK34" s="91"/>
      <c r="AL34" s="90" t="s">
        <v>1639</v>
      </c>
      <c r="AM34" s="90" t="s">
        <v>2172</v>
      </c>
      <c r="AN34" s="90" t="s">
        <v>2054</v>
      </c>
      <c r="AO34" s="87" t="s">
        <v>1949</v>
      </c>
      <c r="AP34" s="87" t="s">
        <v>1950</v>
      </c>
      <c r="AQ34" s="90" t="s">
        <v>2173</v>
      </c>
      <c r="AR34" s="92">
        <v>38000</v>
      </c>
      <c r="AS34" s="92">
        <v>47000</v>
      </c>
      <c r="AT34" s="92">
        <v>59000</v>
      </c>
      <c r="AU34" s="87" t="s">
        <v>1972</v>
      </c>
      <c r="AV34" s="87" t="s">
        <v>1973</v>
      </c>
      <c r="AW34" s="91"/>
      <c r="AX34" s="91"/>
      <c r="AY34" s="91"/>
      <c r="AZ34" t="str">
        <f t="shared" si="0"/>
        <v>206250</v>
      </c>
      <c r="BA34" t="str">
        <f t="shared" si="1"/>
        <v>127</v>
      </c>
      <c r="BB34" t="str">
        <f t="shared" si="2"/>
        <v>000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>IFERROR(VLOOKUP(X34,'Status Map'!A:B,2,FALSE),"Status Code Not Mapped")</f>
        <v>Y</v>
      </c>
      <c r="BL34" t="str">
        <f>IFERROR(VLOOKUP(D34,'Invoice Exception Map'!A:C,3,FALSE),"N")</f>
        <v>N</v>
      </c>
      <c r="BM34">
        <f t="shared" si="3"/>
        <v>6</v>
      </c>
      <c r="BN34" t="str">
        <f t="shared" si="4"/>
        <v>Bozok</v>
      </c>
      <c r="BO34" t="str">
        <f t="shared" si="5"/>
        <v>Hakan</v>
      </c>
    </row>
    <row r="35" spans="1:67" ht="16" thickBot="1" x14ac:dyDescent="0.25">
      <c r="A35" s="90" t="s">
        <v>2165</v>
      </c>
      <c r="B35" s="90" t="s">
        <v>2166</v>
      </c>
      <c r="C35" s="90" t="s">
        <v>2167</v>
      </c>
      <c r="D35" s="90" t="s">
        <v>3353</v>
      </c>
      <c r="E35" s="90" t="s">
        <v>1953</v>
      </c>
      <c r="F35" s="90" t="s">
        <v>2174</v>
      </c>
      <c r="G35" s="90" t="s">
        <v>2175</v>
      </c>
      <c r="H35" s="90" t="s">
        <v>267</v>
      </c>
      <c r="I35" s="90" t="s">
        <v>1944</v>
      </c>
      <c r="J35" s="90" t="s">
        <v>427</v>
      </c>
      <c r="K35" s="90" t="s">
        <v>2176</v>
      </c>
      <c r="L35" s="90" t="s">
        <v>2044</v>
      </c>
      <c r="M35" s="87" t="s">
        <v>2036</v>
      </c>
      <c r="N35" s="87" t="s">
        <v>2020</v>
      </c>
      <c r="O35" s="88">
        <v>40554</v>
      </c>
      <c r="P35" s="89">
        <v>15.6</v>
      </c>
      <c r="Q35" s="90" t="s">
        <v>3138</v>
      </c>
      <c r="R35" s="90" t="s">
        <v>3139</v>
      </c>
      <c r="S35" s="90" t="s">
        <v>3140</v>
      </c>
      <c r="T35" s="90" t="s">
        <v>2170</v>
      </c>
      <c r="U35" s="90" t="s">
        <v>2171</v>
      </c>
      <c r="V35" s="88">
        <v>40554</v>
      </c>
      <c r="W35" s="88">
        <v>40554</v>
      </c>
      <c r="X35" s="90" t="s">
        <v>43</v>
      </c>
      <c r="Y35" s="90" t="s">
        <v>257</v>
      </c>
      <c r="Z35" s="90" t="s">
        <v>36</v>
      </c>
      <c r="AA35" s="91"/>
      <c r="AB35" s="91"/>
      <c r="AC35" s="90" t="s">
        <v>2051</v>
      </c>
      <c r="AD35" s="90" t="s">
        <v>267</v>
      </c>
      <c r="AE35" s="90" t="s">
        <v>1633</v>
      </c>
      <c r="AF35" s="90" t="s">
        <v>1947</v>
      </c>
      <c r="AG35" s="90" t="s">
        <v>3141</v>
      </c>
      <c r="AH35" s="91"/>
      <c r="AI35" s="91"/>
      <c r="AJ35" s="90" t="s">
        <v>2051</v>
      </c>
      <c r="AK35" s="90" t="s">
        <v>36</v>
      </c>
      <c r="AL35" s="90" t="s">
        <v>1639</v>
      </c>
      <c r="AM35" s="90" t="s">
        <v>2172</v>
      </c>
      <c r="AN35" s="90" t="s">
        <v>2054</v>
      </c>
      <c r="AO35" s="87" t="s">
        <v>1949</v>
      </c>
      <c r="AP35" s="87" t="s">
        <v>1950</v>
      </c>
      <c r="AQ35" s="90" t="s">
        <v>2177</v>
      </c>
      <c r="AR35" s="92">
        <v>32000</v>
      </c>
      <c r="AS35" s="92">
        <v>39000</v>
      </c>
      <c r="AT35" s="92">
        <v>48000</v>
      </c>
      <c r="AU35" s="87" t="s">
        <v>1972</v>
      </c>
      <c r="AV35" s="87" t="s">
        <v>1973</v>
      </c>
      <c r="AW35" s="91"/>
      <c r="AX35" s="91"/>
      <c r="AY35" s="91"/>
      <c r="AZ35" t="str">
        <f t="shared" si="0"/>
        <v>206248</v>
      </c>
      <c r="BA35" t="str">
        <f t="shared" si="1"/>
        <v>127</v>
      </c>
      <c r="BB35" t="str">
        <f t="shared" si="2"/>
        <v>000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>IFERROR(VLOOKUP(X35,'Status Map'!A:B,2,FALSE),"Status Code Not Mapped")</f>
        <v>Y</v>
      </c>
      <c r="BL35" t="str">
        <f>IFERROR(VLOOKUP(D35,'Invoice Exception Map'!A:C,3,FALSE),"N")</f>
        <v>N</v>
      </c>
      <c r="BM35">
        <f t="shared" si="3"/>
        <v>7</v>
      </c>
      <c r="BN35" t="str">
        <f t="shared" si="4"/>
        <v>Causse</v>
      </c>
      <c r="BO35" t="str">
        <f t="shared" si="5"/>
        <v>Stephane</v>
      </c>
    </row>
    <row r="36" spans="1:67" ht="16" thickBot="1" x14ac:dyDescent="0.25">
      <c r="A36" s="90" t="s">
        <v>2165</v>
      </c>
      <c r="B36" s="90" t="s">
        <v>2166</v>
      </c>
      <c r="C36" s="90" t="s">
        <v>2167</v>
      </c>
      <c r="D36" s="90" t="s">
        <v>3354</v>
      </c>
      <c r="E36" s="90" t="s">
        <v>1953</v>
      </c>
      <c r="F36" s="90" t="s">
        <v>2178</v>
      </c>
      <c r="G36" s="90" t="s">
        <v>2084</v>
      </c>
      <c r="H36" s="90" t="s">
        <v>1943</v>
      </c>
      <c r="I36" s="90" t="s">
        <v>1944</v>
      </c>
      <c r="J36" s="90" t="s">
        <v>831</v>
      </c>
      <c r="K36" s="90" t="s">
        <v>2085</v>
      </c>
      <c r="L36" s="90" t="s">
        <v>1979</v>
      </c>
      <c r="M36" s="87" t="s">
        <v>1975</v>
      </c>
      <c r="N36" s="87" t="s">
        <v>831</v>
      </c>
      <c r="O36" s="88">
        <v>44845</v>
      </c>
      <c r="P36" s="89">
        <v>3.9</v>
      </c>
      <c r="Q36" s="90" t="s">
        <v>213</v>
      </c>
      <c r="R36" s="90" t="s">
        <v>3136</v>
      </c>
      <c r="S36" s="90" t="s">
        <v>2169</v>
      </c>
      <c r="T36" s="90" t="s">
        <v>2170</v>
      </c>
      <c r="U36" s="90" t="s">
        <v>2171</v>
      </c>
      <c r="V36" s="88">
        <v>44845</v>
      </c>
      <c r="W36" s="88">
        <v>44845</v>
      </c>
      <c r="X36" s="90" t="s">
        <v>43</v>
      </c>
      <c r="Y36" s="90" t="s">
        <v>257</v>
      </c>
      <c r="Z36" s="90" t="s">
        <v>36</v>
      </c>
      <c r="AA36" s="91"/>
      <c r="AB36" s="91"/>
      <c r="AC36" s="90" t="s">
        <v>2051</v>
      </c>
      <c r="AD36" s="90" t="s">
        <v>267</v>
      </c>
      <c r="AE36" s="90" t="s">
        <v>1633</v>
      </c>
      <c r="AF36" s="90" t="s">
        <v>1947</v>
      </c>
      <c r="AG36" s="90" t="s">
        <v>3142</v>
      </c>
      <c r="AH36" s="91"/>
      <c r="AI36" s="91"/>
      <c r="AJ36" s="90" t="s">
        <v>2051</v>
      </c>
      <c r="AK36" s="91"/>
      <c r="AL36" s="90" t="s">
        <v>1639</v>
      </c>
      <c r="AM36" s="90" t="s">
        <v>2172</v>
      </c>
      <c r="AN36" s="90" t="s">
        <v>2054</v>
      </c>
      <c r="AO36" s="87" t="s">
        <v>1949</v>
      </c>
      <c r="AP36" s="87" t="s">
        <v>1950</v>
      </c>
      <c r="AQ36" s="90" t="s">
        <v>2179</v>
      </c>
      <c r="AR36" s="92">
        <v>38000</v>
      </c>
      <c r="AS36" s="92">
        <v>47000</v>
      </c>
      <c r="AT36" s="92">
        <v>59000</v>
      </c>
      <c r="AU36" s="87" t="s">
        <v>1972</v>
      </c>
      <c r="AV36" s="87" t="s">
        <v>1973</v>
      </c>
      <c r="AW36" s="91"/>
      <c r="AX36" s="91"/>
      <c r="AY36" s="91"/>
      <c r="AZ36" t="str">
        <f t="shared" si="0"/>
        <v>206250</v>
      </c>
      <c r="BA36" t="str">
        <f t="shared" si="1"/>
        <v>127</v>
      </c>
      <c r="BB36" t="str">
        <f t="shared" si="2"/>
        <v>000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>IFERROR(VLOOKUP(X36,'Status Map'!A:B,2,FALSE),"Status Code Not Mapped")</f>
        <v>Y</v>
      </c>
      <c r="BL36" t="str">
        <f>IFERROR(VLOOKUP(D36,'Invoice Exception Map'!A:C,3,FALSE),"N")</f>
        <v>N</v>
      </c>
      <c r="BM36">
        <f t="shared" si="3"/>
        <v>10</v>
      </c>
      <c r="BN36" t="str">
        <f t="shared" si="4"/>
        <v>Colombier</v>
      </c>
      <c r="BO36" t="str">
        <f t="shared" si="5"/>
        <v>Maria de la Cruz</v>
      </c>
    </row>
    <row r="37" spans="1:67" ht="16" thickBot="1" x14ac:dyDescent="0.25">
      <c r="A37" s="90" t="s">
        <v>2165</v>
      </c>
      <c r="B37" s="90" t="s">
        <v>2166</v>
      </c>
      <c r="C37" s="90" t="s">
        <v>2167</v>
      </c>
      <c r="D37" s="90" t="s">
        <v>3355</v>
      </c>
      <c r="E37" s="90" t="s">
        <v>1953</v>
      </c>
      <c r="F37" s="90" t="s">
        <v>2180</v>
      </c>
      <c r="G37" s="90" t="s">
        <v>2084</v>
      </c>
      <c r="H37" s="90" t="s">
        <v>1943</v>
      </c>
      <c r="I37" s="90" t="s">
        <v>1944</v>
      </c>
      <c r="J37" s="90" t="s">
        <v>831</v>
      </c>
      <c r="K37" s="90" t="s">
        <v>2085</v>
      </c>
      <c r="L37" s="90" t="s">
        <v>2062</v>
      </c>
      <c r="M37" s="87" t="s">
        <v>1975</v>
      </c>
      <c r="N37" s="87" t="s">
        <v>831</v>
      </c>
      <c r="O37" s="88">
        <v>34973</v>
      </c>
      <c r="P37" s="89">
        <v>30.9</v>
      </c>
      <c r="Q37" s="90" t="s">
        <v>213</v>
      </c>
      <c r="R37" s="90" t="s">
        <v>3136</v>
      </c>
      <c r="S37" s="90" t="s">
        <v>2169</v>
      </c>
      <c r="T37" s="90" t="s">
        <v>2170</v>
      </c>
      <c r="U37" s="90" t="s">
        <v>2171</v>
      </c>
      <c r="V37" s="88">
        <v>34973</v>
      </c>
      <c r="W37" s="88">
        <v>34973</v>
      </c>
      <c r="X37" s="90" t="s">
        <v>43</v>
      </c>
      <c r="Y37" s="90" t="s">
        <v>257</v>
      </c>
      <c r="Z37" s="90" t="s">
        <v>36</v>
      </c>
      <c r="AA37" s="91"/>
      <c r="AB37" s="91"/>
      <c r="AC37" s="90" t="s">
        <v>2051</v>
      </c>
      <c r="AD37" s="90" t="s">
        <v>267</v>
      </c>
      <c r="AE37" s="90" t="s">
        <v>1633</v>
      </c>
      <c r="AF37" s="90" t="s">
        <v>1947</v>
      </c>
      <c r="AG37" s="90" t="s">
        <v>3143</v>
      </c>
      <c r="AH37" s="91"/>
      <c r="AI37" s="91"/>
      <c r="AJ37" s="90" t="s">
        <v>2051</v>
      </c>
      <c r="AK37" s="90" t="s">
        <v>36</v>
      </c>
      <c r="AL37" s="90" t="s">
        <v>1639</v>
      </c>
      <c r="AM37" s="90" t="s">
        <v>2172</v>
      </c>
      <c r="AN37" s="90" t="s">
        <v>2054</v>
      </c>
      <c r="AO37" s="87" t="s">
        <v>1949</v>
      </c>
      <c r="AP37" s="87" t="s">
        <v>1950</v>
      </c>
      <c r="AQ37" s="90" t="s">
        <v>2181</v>
      </c>
      <c r="AR37" s="92">
        <v>38000</v>
      </c>
      <c r="AS37" s="92">
        <v>47000</v>
      </c>
      <c r="AT37" s="92">
        <v>59000</v>
      </c>
      <c r="AU37" s="87" t="s">
        <v>1972</v>
      </c>
      <c r="AV37" s="87" t="s">
        <v>1973</v>
      </c>
      <c r="AW37" s="91"/>
      <c r="AX37" s="91"/>
      <c r="AY37" s="91"/>
      <c r="AZ37" t="str">
        <f t="shared" si="0"/>
        <v>206250</v>
      </c>
      <c r="BA37" t="str">
        <f t="shared" si="1"/>
        <v>127</v>
      </c>
      <c r="BB37" t="str">
        <f t="shared" si="2"/>
        <v>000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>IFERROR(VLOOKUP(X37,'Status Map'!A:B,2,FALSE),"Status Code Not Mapped")</f>
        <v>Y</v>
      </c>
      <c r="BL37" t="str">
        <f>IFERROR(VLOOKUP(D37,'Invoice Exception Map'!A:C,3,FALSE),"N")</f>
        <v>N</v>
      </c>
      <c r="BM37">
        <f t="shared" si="3"/>
        <v>10</v>
      </c>
      <c r="BN37" t="str">
        <f t="shared" si="4"/>
        <v>Coulleray</v>
      </c>
      <c r="BO37" t="str">
        <f t="shared" si="5"/>
        <v>Florence</v>
      </c>
    </row>
    <row r="38" spans="1:67" ht="16" thickBot="1" x14ac:dyDescent="0.25">
      <c r="A38" s="90" t="s">
        <v>2165</v>
      </c>
      <c r="B38" s="90" t="s">
        <v>2166</v>
      </c>
      <c r="C38" s="90" t="s">
        <v>2167</v>
      </c>
      <c r="D38" s="90" t="s">
        <v>3356</v>
      </c>
      <c r="E38" s="90" t="s">
        <v>1953</v>
      </c>
      <c r="F38" s="90" t="s">
        <v>2182</v>
      </c>
      <c r="G38" s="90" t="s">
        <v>2084</v>
      </c>
      <c r="H38" s="90" t="s">
        <v>1943</v>
      </c>
      <c r="I38" s="90" t="s">
        <v>1944</v>
      </c>
      <c r="J38" s="90" t="s">
        <v>831</v>
      </c>
      <c r="K38" s="90" t="s">
        <v>2085</v>
      </c>
      <c r="L38" s="90" t="s">
        <v>1979</v>
      </c>
      <c r="M38" s="87" t="s">
        <v>1975</v>
      </c>
      <c r="N38" s="87" t="s">
        <v>831</v>
      </c>
      <c r="O38" s="88">
        <v>44931</v>
      </c>
      <c r="P38" s="89">
        <v>3.6</v>
      </c>
      <c r="Q38" s="90" t="s">
        <v>213</v>
      </c>
      <c r="R38" s="90" t="s">
        <v>3136</v>
      </c>
      <c r="S38" s="90" t="s">
        <v>2169</v>
      </c>
      <c r="T38" s="90" t="s">
        <v>2170</v>
      </c>
      <c r="U38" s="90" t="s">
        <v>2171</v>
      </c>
      <c r="V38" s="88">
        <v>44931</v>
      </c>
      <c r="W38" s="88">
        <v>44931</v>
      </c>
      <c r="X38" s="90" t="s">
        <v>43</v>
      </c>
      <c r="Y38" s="90" t="s">
        <v>257</v>
      </c>
      <c r="Z38" s="90" t="s">
        <v>36</v>
      </c>
      <c r="AA38" s="91"/>
      <c r="AB38" s="91"/>
      <c r="AC38" s="90" t="s">
        <v>2051</v>
      </c>
      <c r="AD38" s="90" t="s">
        <v>267</v>
      </c>
      <c r="AE38" s="90" t="s">
        <v>1633</v>
      </c>
      <c r="AF38" s="90" t="s">
        <v>1947</v>
      </c>
      <c r="AG38" s="90" t="s">
        <v>3144</v>
      </c>
      <c r="AH38" s="91"/>
      <c r="AI38" s="91"/>
      <c r="AJ38" s="90" t="s">
        <v>2051</v>
      </c>
      <c r="AK38" s="91"/>
      <c r="AL38" s="90" t="s">
        <v>1639</v>
      </c>
      <c r="AM38" s="90" t="s">
        <v>2172</v>
      </c>
      <c r="AN38" s="90" t="s">
        <v>2054</v>
      </c>
      <c r="AO38" s="87" t="s">
        <v>1949</v>
      </c>
      <c r="AP38" s="87" t="s">
        <v>1950</v>
      </c>
      <c r="AQ38" s="90" t="s">
        <v>2183</v>
      </c>
      <c r="AR38" s="92">
        <v>38000</v>
      </c>
      <c r="AS38" s="92">
        <v>47000</v>
      </c>
      <c r="AT38" s="92">
        <v>59000</v>
      </c>
      <c r="AU38" s="87" t="s">
        <v>1972</v>
      </c>
      <c r="AV38" s="87" t="s">
        <v>1973</v>
      </c>
      <c r="AW38" s="91"/>
      <c r="AX38" s="91"/>
      <c r="AY38" s="91"/>
      <c r="AZ38" t="str">
        <f t="shared" si="0"/>
        <v>206250</v>
      </c>
      <c r="BA38" t="str">
        <f t="shared" si="1"/>
        <v>127</v>
      </c>
      <c r="BB38" t="str">
        <f t="shared" si="2"/>
        <v>000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>IFERROR(VLOOKUP(X38,'Status Map'!A:B,2,FALSE),"Status Code Not Mapped")</f>
        <v>Y</v>
      </c>
      <c r="BL38" t="str">
        <f>IFERROR(VLOOKUP(D38,'Invoice Exception Map'!A:C,3,FALSE),"N")</f>
        <v>N</v>
      </c>
      <c r="BM38">
        <f t="shared" si="3"/>
        <v>8</v>
      </c>
      <c r="BN38" t="str">
        <f t="shared" si="4"/>
        <v>Dougdag</v>
      </c>
      <c r="BO38" t="str">
        <f t="shared" si="5"/>
        <v>Sabrina</v>
      </c>
    </row>
    <row r="39" spans="1:67" ht="16" thickBot="1" x14ac:dyDescent="0.25">
      <c r="A39" s="90" t="s">
        <v>2165</v>
      </c>
      <c r="B39" s="90" t="s">
        <v>2166</v>
      </c>
      <c r="C39" s="90" t="s">
        <v>2167</v>
      </c>
      <c r="D39" s="90" t="s">
        <v>3146</v>
      </c>
      <c r="E39" s="90" t="s">
        <v>1953</v>
      </c>
      <c r="F39" s="90" t="s">
        <v>2163</v>
      </c>
      <c r="G39" s="90" t="s">
        <v>2184</v>
      </c>
      <c r="H39" s="90" t="s">
        <v>1943</v>
      </c>
      <c r="I39" s="90" t="s">
        <v>1944</v>
      </c>
      <c r="J39" s="90" t="s">
        <v>1955</v>
      </c>
      <c r="K39" s="90" t="s">
        <v>2185</v>
      </c>
      <c r="L39" s="90" t="s">
        <v>2186</v>
      </c>
      <c r="M39" s="87" t="s">
        <v>1945</v>
      </c>
      <c r="N39" s="87" t="s">
        <v>66</v>
      </c>
      <c r="O39" s="88">
        <v>35247</v>
      </c>
      <c r="P39" s="89">
        <v>30.1</v>
      </c>
      <c r="Q39" s="90" t="s">
        <v>69</v>
      </c>
      <c r="R39" s="90" t="s">
        <v>859</v>
      </c>
      <c r="S39" s="90" t="s">
        <v>59</v>
      </c>
      <c r="T39" s="90" t="s">
        <v>2170</v>
      </c>
      <c r="U39" s="90" t="s">
        <v>2171</v>
      </c>
      <c r="V39" s="88">
        <v>35247</v>
      </c>
      <c r="W39" s="88">
        <v>35247</v>
      </c>
      <c r="X39" s="90" t="s">
        <v>43</v>
      </c>
      <c r="Y39" s="90" t="s">
        <v>257</v>
      </c>
      <c r="Z39" s="90" t="s">
        <v>36</v>
      </c>
      <c r="AA39" s="91"/>
      <c r="AB39" s="91"/>
      <c r="AC39" s="90" t="s">
        <v>2051</v>
      </c>
      <c r="AD39" s="90" t="s">
        <v>267</v>
      </c>
      <c r="AE39" s="90" t="s">
        <v>1633</v>
      </c>
      <c r="AF39" s="90" t="s">
        <v>1947</v>
      </c>
      <c r="AG39" s="90" t="s">
        <v>3145</v>
      </c>
      <c r="AH39" s="91"/>
      <c r="AI39" s="91"/>
      <c r="AJ39" s="90" t="s">
        <v>2051</v>
      </c>
      <c r="AK39" s="90" t="s">
        <v>36</v>
      </c>
      <c r="AL39" s="90" t="s">
        <v>1639</v>
      </c>
      <c r="AM39" s="90" t="s">
        <v>2172</v>
      </c>
      <c r="AN39" s="90" t="s">
        <v>2054</v>
      </c>
      <c r="AO39" s="87" t="s">
        <v>1949</v>
      </c>
      <c r="AP39" s="87" t="s">
        <v>1950</v>
      </c>
      <c r="AQ39" s="90" t="s">
        <v>2187</v>
      </c>
      <c r="AR39" s="92">
        <v>98000</v>
      </c>
      <c r="AS39" s="92">
        <v>122000</v>
      </c>
      <c r="AT39" s="92">
        <v>153000</v>
      </c>
      <c r="AU39" s="87" t="s">
        <v>1951</v>
      </c>
      <c r="AV39" s="87" t="s">
        <v>1981</v>
      </c>
      <c r="AW39" s="91"/>
      <c r="AX39" s="91"/>
      <c r="AY39" s="91"/>
      <c r="AZ39" t="str">
        <f t="shared" si="0"/>
        <v>207588</v>
      </c>
      <c r="BA39" t="str">
        <f t="shared" si="1"/>
        <v>127</v>
      </c>
      <c r="BB39" t="str">
        <f t="shared" si="2"/>
        <v>000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>IFERROR(VLOOKUP(X39,'Status Map'!A:B,2,FALSE),"Status Code Not Mapped")</f>
        <v>Y</v>
      </c>
      <c r="BL39" t="str">
        <f>IFERROR(VLOOKUP(D39,'Invoice Exception Map'!A:C,3,FALSE),"N")</f>
        <v>N</v>
      </c>
      <c r="BM39">
        <f t="shared" si="3"/>
        <v>11</v>
      </c>
      <c r="BN39" t="str">
        <f t="shared" si="4"/>
        <v>Fauchereau</v>
      </c>
      <c r="BO39" t="str">
        <f t="shared" si="5"/>
        <v>Olivier</v>
      </c>
    </row>
    <row r="40" spans="1:67" ht="16" thickBot="1" x14ac:dyDescent="0.25">
      <c r="A40" s="90" t="s">
        <v>2165</v>
      </c>
      <c r="B40" s="90" t="s">
        <v>2166</v>
      </c>
      <c r="C40" s="90" t="s">
        <v>2167</v>
      </c>
      <c r="D40" s="90" t="s">
        <v>3357</v>
      </c>
      <c r="E40" s="90" t="s">
        <v>1953</v>
      </c>
      <c r="F40" s="90" t="s">
        <v>3358</v>
      </c>
      <c r="G40" s="90" t="s">
        <v>2030</v>
      </c>
      <c r="H40" s="90" t="s">
        <v>1943</v>
      </c>
      <c r="I40" s="90" t="s">
        <v>1944</v>
      </c>
      <c r="J40" s="90" t="s">
        <v>1955</v>
      </c>
      <c r="K40" s="90" t="s">
        <v>2031</v>
      </c>
      <c r="L40" s="90" t="s">
        <v>3359</v>
      </c>
      <c r="M40" s="87" t="s">
        <v>1945</v>
      </c>
      <c r="N40" s="87" t="s">
        <v>66</v>
      </c>
      <c r="O40" s="88">
        <v>46195</v>
      </c>
      <c r="P40" s="89">
        <v>0.2</v>
      </c>
      <c r="Q40" s="90" t="s">
        <v>69</v>
      </c>
      <c r="R40" s="90" t="s">
        <v>3146</v>
      </c>
      <c r="S40" s="90" t="s">
        <v>2163</v>
      </c>
      <c r="T40" s="90" t="s">
        <v>2170</v>
      </c>
      <c r="U40" s="90" t="s">
        <v>2171</v>
      </c>
      <c r="V40" s="88">
        <v>46195</v>
      </c>
      <c r="W40" s="88">
        <v>46195</v>
      </c>
      <c r="X40" s="90" t="s">
        <v>43</v>
      </c>
      <c r="Y40" s="90" t="s">
        <v>257</v>
      </c>
      <c r="Z40" s="90" t="s">
        <v>36</v>
      </c>
      <c r="AA40" s="91"/>
      <c r="AB40" s="91"/>
      <c r="AC40" s="90" t="s">
        <v>2051</v>
      </c>
      <c r="AD40" s="90" t="s">
        <v>267</v>
      </c>
      <c r="AE40" s="90" t="s">
        <v>1633</v>
      </c>
      <c r="AF40" s="90" t="s">
        <v>1947</v>
      </c>
      <c r="AG40" s="91"/>
      <c r="AH40" s="91"/>
      <c r="AI40" s="91"/>
      <c r="AJ40" s="90" t="s">
        <v>2051</v>
      </c>
      <c r="AK40" s="91"/>
      <c r="AL40" s="90" t="s">
        <v>1639</v>
      </c>
      <c r="AM40" s="90" t="s">
        <v>2172</v>
      </c>
      <c r="AN40" s="90" t="s">
        <v>2054</v>
      </c>
      <c r="AO40" s="87" t="s">
        <v>3082</v>
      </c>
      <c r="AP40" s="87" t="s">
        <v>1950</v>
      </c>
      <c r="AQ40" s="90" t="s">
        <v>3147</v>
      </c>
      <c r="AR40" s="92">
        <v>98000</v>
      </c>
      <c r="AS40" s="92">
        <v>122000</v>
      </c>
      <c r="AT40" s="92">
        <v>153000</v>
      </c>
      <c r="AU40" s="87" t="s">
        <v>1951</v>
      </c>
      <c r="AV40" s="87" t="s">
        <v>1981</v>
      </c>
      <c r="AW40" s="91"/>
      <c r="AX40" s="91"/>
      <c r="AY40" s="91"/>
      <c r="AZ40" t="str">
        <f t="shared" si="0"/>
        <v>206247</v>
      </c>
      <c r="BA40" t="str">
        <f t="shared" si="1"/>
        <v>127</v>
      </c>
      <c r="BB40" t="str">
        <f t="shared" si="2"/>
        <v>000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>IFERROR(VLOOKUP(X40,'Status Map'!A:B,2,FALSE),"Status Code Not Mapped")</f>
        <v>Y</v>
      </c>
      <c r="BL40" t="str">
        <f>IFERROR(VLOOKUP(D40,'Invoice Exception Map'!A:C,3,FALSE),"N")</f>
        <v>N</v>
      </c>
      <c r="BM40">
        <f t="shared" si="3"/>
        <v>6</v>
      </c>
      <c r="BN40" t="str">
        <f t="shared" si="4"/>
        <v>Lampe</v>
      </c>
      <c r="BO40" t="str">
        <f t="shared" si="5"/>
        <v>Rodolphe</v>
      </c>
    </row>
    <row r="41" spans="1:67" ht="16" thickBot="1" x14ac:dyDescent="0.25">
      <c r="A41" s="90" t="s">
        <v>2165</v>
      </c>
      <c r="B41" s="90" t="s">
        <v>2166</v>
      </c>
      <c r="C41" s="90" t="s">
        <v>2167</v>
      </c>
      <c r="D41" s="90" t="s">
        <v>3139</v>
      </c>
      <c r="E41" s="90" t="s">
        <v>1953</v>
      </c>
      <c r="F41" s="90" t="s">
        <v>3140</v>
      </c>
      <c r="G41" s="90" t="s">
        <v>2038</v>
      </c>
      <c r="H41" s="90" t="s">
        <v>267</v>
      </c>
      <c r="I41" s="90" t="s">
        <v>1944</v>
      </c>
      <c r="J41" s="90" t="s">
        <v>427</v>
      </c>
      <c r="K41" s="90" t="s">
        <v>2039</v>
      </c>
      <c r="L41" s="90" t="s">
        <v>2188</v>
      </c>
      <c r="M41" s="87" t="s">
        <v>2036</v>
      </c>
      <c r="N41" s="87" t="s">
        <v>2020</v>
      </c>
      <c r="O41" s="88">
        <v>39300</v>
      </c>
      <c r="P41" s="89">
        <v>19</v>
      </c>
      <c r="Q41" s="90" t="s">
        <v>330</v>
      </c>
      <c r="R41" s="90" t="s">
        <v>3136</v>
      </c>
      <c r="S41" s="90" t="s">
        <v>2169</v>
      </c>
      <c r="T41" s="90" t="s">
        <v>2170</v>
      </c>
      <c r="U41" s="90" t="s">
        <v>2171</v>
      </c>
      <c r="V41" s="88">
        <v>43832</v>
      </c>
      <c r="W41" s="88">
        <v>39300</v>
      </c>
      <c r="X41" s="90" t="s">
        <v>43</v>
      </c>
      <c r="Y41" s="90" t="s">
        <v>257</v>
      </c>
      <c r="Z41" s="90" t="s">
        <v>36</v>
      </c>
      <c r="AA41" s="91"/>
      <c r="AB41" s="91"/>
      <c r="AC41" s="90" t="s">
        <v>2051</v>
      </c>
      <c r="AD41" s="90" t="s">
        <v>267</v>
      </c>
      <c r="AE41" s="90" t="s">
        <v>1633</v>
      </c>
      <c r="AF41" s="90" t="s">
        <v>1947</v>
      </c>
      <c r="AG41" s="90" t="s">
        <v>3148</v>
      </c>
      <c r="AH41" s="91"/>
      <c r="AI41" s="91"/>
      <c r="AJ41" s="90" t="s">
        <v>2051</v>
      </c>
      <c r="AK41" s="90" t="s">
        <v>36</v>
      </c>
      <c r="AL41" s="90" t="s">
        <v>1639</v>
      </c>
      <c r="AM41" s="90" t="s">
        <v>2172</v>
      </c>
      <c r="AN41" s="90" t="s">
        <v>2054</v>
      </c>
      <c r="AO41" s="87" t="s">
        <v>1949</v>
      </c>
      <c r="AP41" s="87" t="s">
        <v>1950</v>
      </c>
      <c r="AQ41" s="90" t="s">
        <v>2189</v>
      </c>
      <c r="AR41" s="92">
        <v>43000</v>
      </c>
      <c r="AS41" s="92">
        <v>53000</v>
      </c>
      <c r="AT41" s="92">
        <v>66000</v>
      </c>
      <c r="AU41" s="87" t="s">
        <v>1972</v>
      </c>
      <c r="AV41" s="87" t="s">
        <v>1973</v>
      </c>
      <c r="AW41" s="91"/>
      <c r="AX41" s="91"/>
      <c r="AY41" s="91"/>
      <c r="AZ41" t="str">
        <f t="shared" si="0"/>
        <v>206250</v>
      </c>
      <c r="BA41" t="str">
        <f t="shared" si="1"/>
        <v>127</v>
      </c>
      <c r="BB41" t="str">
        <f t="shared" si="2"/>
        <v>000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>IFERROR(VLOOKUP(X41,'Status Map'!A:B,2,FALSE),"Status Code Not Mapped")</f>
        <v>Y</v>
      </c>
      <c r="BL41" t="str">
        <f>IFERROR(VLOOKUP(D41,'Invoice Exception Map'!A:C,3,FALSE),"N")</f>
        <v>N</v>
      </c>
      <c r="BM41">
        <f t="shared" si="3"/>
        <v>6</v>
      </c>
      <c r="BN41" t="str">
        <f t="shared" si="4"/>
        <v>Lopes</v>
      </c>
      <c r="BO41" t="str">
        <f t="shared" si="5"/>
        <v>Luis M.</v>
      </c>
    </row>
    <row r="42" spans="1:67" ht="16" thickBot="1" x14ac:dyDescent="0.25">
      <c r="A42" s="90" t="s">
        <v>2165</v>
      </c>
      <c r="B42" s="90" t="s">
        <v>2166</v>
      </c>
      <c r="C42" s="90" t="s">
        <v>2167</v>
      </c>
      <c r="D42" s="90" t="s">
        <v>3136</v>
      </c>
      <c r="E42" s="90" t="s">
        <v>1953</v>
      </c>
      <c r="F42" s="90" t="s">
        <v>2169</v>
      </c>
      <c r="G42" s="90" t="s">
        <v>3360</v>
      </c>
      <c r="H42" s="90" t="s">
        <v>1943</v>
      </c>
      <c r="I42" s="90" t="s">
        <v>1944</v>
      </c>
      <c r="J42" s="90" t="s">
        <v>427</v>
      </c>
      <c r="K42" s="90" t="s">
        <v>3361</v>
      </c>
      <c r="L42" s="90" t="s">
        <v>3362</v>
      </c>
      <c r="M42" s="87" t="s">
        <v>1945</v>
      </c>
      <c r="N42" s="87" t="s">
        <v>2020</v>
      </c>
      <c r="O42" s="88">
        <v>37690</v>
      </c>
      <c r="P42" s="89">
        <v>23.5</v>
      </c>
      <c r="Q42" s="90" t="s">
        <v>151</v>
      </c>
      <c r="R42" s="90" t="s">
        <v>3103</v>
      </c>
      <c r="S42" s="90" t="s">
        <v>2098</v>
      </c>
      <c r="T42" s="90" t="s">
        <v>2170</v>
      </c>
      <c r="U42" s="90" t="s">
        <v>2171</v>
      </c>
      <c r="V42" s="88">
        <v>37690</v>
      </c>
      <c r="W42" s="88">
        <v>37690</v>
      </c>
      <c r="X42" s="90" t="s">
        <v>43</v>
      </c>
      <c r="Y42" s="90" t="s">
        <v>257</v>
      </c>
      <c r="Z42" s="90" t="s">
        <v>36</v>
      </c>
      <c r="AA42" s="91"/>
      <c r="AB42" s="91"/>
      <c r="AC42" s="90" t="s">
        <v>2051</v>
      </c>
      <c r="AD42" s="90" t="s">
        <v>267</v>
      </c>
      <c r="AE42" s="90" t="s">
        <v>1633</v>
      </c>
      <c r="AF42" s="90" t="s">
        <v>1947</v>
      </c>
      <c r="AG42" s="90" t="s">
        <v>3149</v>
      </c>
      <c r="AH42" s="91"/>
      <c r="AI42" s="91"/>
      <c r="AJ42" s="90" t="s">
        <v>2051</v>
      </c>
      <c r="AK42" s="90" t="s">
        <v>36</v>
      </c>
      <c r="AL42" s="90" t="s">
        <v>1639</v>
      </c>
      <c r="AM42" s="90" t="s">
        <v>2172</v>
      </c>
      <c r="AN42" s="90" t="s">
        <v>2054</v>
      </c>
      <c r="AO42" s="87" t="s">
        <v>3082</v>
      </c>
      <c r="AP42" s="87" t="s">
        <v>1950</v>
      </c>
      <c r="AQ42" s="90" t="s">
        <v>3150</v>
      </c>
      <c r="AR42" s="92">
        <v>88000</v>
      </c>
      <c r="AS42" s="92">
        <v>110000</v>
      </c>
      <c r="AT42" s="92">
        <v>137000</v>
      </c>
      <c r="AU42" s="87" t="s">
        <v>1951</v>
      </c>
      <c r="AV42" s="87" t="s">
        <v>1952</v>
      </c>
      <c r="AW42" s="91"/>
      <c r="AX42" s="91"/>
      <c r="AY42" s="91"/>
      <c r="AZ42" t="str">
        <f t="shared" si="0"/>
        <v>205389</v>
      </c>
      <c r="BA42" t="str">
        <f t="shared" si="1"/>
        <v>127</v>
      </c>
      <c r="BB42" t="str">
        <f t="shared" si="2"/>
        <v>000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>IFERROR(VLOOKUP(X42,'Status Map'!A:B,2,FALSE),"Status Code Not Mapped")</f>
        <v>Y</v>
      </c>
      <c r="BL42" t="str">
        <f>IFERROR(VLOOKUP(D42,'Invoice Exception Map'!A:C,3,FALSE),"N")</f>
        <v>N</v>
      </c>
      <c r="BM42">
        <f t="shared" si="3"/>
        <v>9</v>
      </c>
      <c r="BN42" t="str">
        <f t="shared" si="4"/>
        <v>Messaoui</v>
      </c>
      <c r="BO42" t="str">
        <f t="shared" si="5"/>
        <v>Salima</v>
      </c>
    </row>
    <row r="43" spans="1:67" ht="16" thickBot="1" x14ac:dyDescent="0.25">
      <c r="A43" s="90" t="s">
        <v>2165</v>
      </c>
      <c r="B43" s="90" t="s">
        <v>2166</v>
      </c>
      <c r="C43" s="90" t="s">
        <v>2167</v>
      </c>
      <c r="D43" s="90" t="s">
        <v>3363</v>
      </c>
      <c r="E43" s="90" t="s">
        <v>1953</v>
      </c>
      <c r="F43" s="90" t="s">
        <v>3364</v>
      </c>
      <c r="G43" s="90" t="s">
        <v>3365</v>
      </c>
      <c r="H43" s="90" t="s">
        <v>1943</v>
      </c>
      <c r="I43" s="90" t="s">
        <v>1944</v>
      </c>
      <c r="J43" s="90" t="s">
        <v>831</v>
      </c>
      <c r="K43" s="90" t="s">
        <v>3366</v>
      </c>
      <c r="L43" s="90" t="s">
        <v>3367</v>
      </c>
      <c r="M43" s="87" t="s">
        <v>1975</v>
      </c>
      <c r="N43" s="87" t="s">
        <v>831</v>
      </c>
      <c r="O43" s="88">
        <v>44795</v>
      </c>
      <c r="P43" s="89">
        <v>4</v>
      </c>
      <c r="Q43" s="90" t="s">
        <v>118</v>
      </c>
      <c r="R43" s="90" t="s">
        <v>973</v>
      </c>
      <c r="S43" s="90" t="s">
        <v>251</v>
      </c>
      <c r="T43" s="90" t="s">
        <v>2170</v>
      </c>
      <c r="U43" s="90" t="s">
        <v>2171</v>
      </c>
      <c r="V43" s="88">
        <v>44795</v>
      </c>
      <c r="W43" s="88">
        <v>44795</v>
      </c>
      <c r="X43" s="90" t="s">
        <v>43</v>
      </c>
      <c r="Y43" s="90" t="s">
        <v>257</v>
      </c>
      <c r="Z43" s="90" t="s">
        <v>36</v>
      </c>
      <c r="AA43" s="91"/>
      <c r="AB43" s="91"/>
      <c r="AC43" s="90" t="s">
        <v>2051</v>
      </c>
      <c r="AD43" s="90" t="s">
        <v>267</v>
      </c>
      <c r="AE43" s="90" t="s">
        <v>1633</v>
      </c>
      <c r="AF43" s="90" t="s">
        <v>1947</v>
      </c>
      <c r="AG43" s="90" t="s">
        <v>3151</v>
      </c>
      <c r="AH43" s="91"/>
      <c r="AI43" s="91"/>
      <c r="AJ43" s="90" t="s">
        <v>2051</v>
      </c>
      <c r="AK43" s="91"/>
      <c r="AL43" s="90" t="s">
        <v>1639</v>
      </c>
      <c r="AM43" s="90" t="s">
        <v>2172</v>
      </c>
      <c r="AN43" s="90" t="s">
        <v>2054</v>
      </c>
      <c r="AO43" s="87" t="s">
        <v>3082</v>
      </c>
      <c r="AP43" s="87" t="s">
        <v>1950</v>
      </c>
      <c r="AQ43" s="90" t="s">
        <v>3152</v>
      </c>
      <c r="AR43" s="92">
        <v>69000</v>
      </c>
      <c r="AS43" s="92">
        <v>87000</v>
      </c>
      <c r="AT43" s="92">
        <v>108000</v>
      </c>
      <c r="AU43" s="87" t="s">
        <v>1951</v>
      </c>
      <c r="AV43" s="87" t="s">
        <v>1966</v>
      </c>
      <c r="AW43" s="91"/>
      <c r="AX43" s="91"/>
      <c r="AY43" s="91"/>
      <c r="AZ43" t="str">
        <f t="shared" si="0"/>
        <v>211601</v>
      </c>
      <c r="BA43" t="str">
        <f t="shared" si="1"/>
        <v>127</v>
      </c>
      <c r="BB43" t="str">
        <f t="shared" si="2"/>
        <v>000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>IFERROR(VLOOKUP(X43,'Status Map'!A:B,2,FALSE),"Status Code Not Mapped")</f>
        <v>Y</v>
      </c>
      <c r="BL43" t="str">
        <f>IFERROR(VLOOKUP(D43,'Invoice Exception Map'!A:C,3,FALSE),"N")</f>
        <v>N</v>
      </c>
      <c r="BM43">
        <f t="shared" si="3"/>
        <v>6</v>
      </c>
      <c r="BN43" t="str">
        <f t="shared" si="4"/>
        <v>Özkan</v>
      </c>
      <c r="BO43" t="str">
        <f t="shared" si="5"/>
        <v>Can</v>
      </c>
    </row>
    <row r="44" spans="1:67" ht="16" thickBot="1" x14ac:dyDescent="0.25">
      <c r="A44" s="90" t="s">
        <v>2165</v>
      </c>
      <c r="B44" s="90" t="s">
        <v>2166</v>
      </c>
      <c r="C44" s="90" t="s">
        <v>2167</v>
      </c>
      <c r="D44" s="90" t="s">
        <v>3368</v>
      </c>
      <c r="E44" s="90" t="s">
        <v>1953</v>
      </c>
      <c r="F44" s="90" t="s">
        <v>3369</v>
      </c>
      <c r="G44" s="90" t="s">
        <v>2084</v>
      </c>
      <c r="H44" s="90" t="s">
        <v>1943</v>
      </c>
      <c r="I44" s="90" t="s">
        <v>1944</v>
      </c>
      <c r="J44" s="90" t="s">
        <v>831</v>
      </c>
      <c r="K44" s="90" t="s">
        <v>2085</v>
      </c>
      <c r="L44" s="90" t="s">
        <v>1979</v>
      </c>
      <c r="M44" s="87" t="s">
        <v>1975</v>
      </c>
      <c r="N44" s="87" t="s">
        <v>831</v>
      </c>
      <c r="O44" s="88">
        <v>45538</v>
      </c>
      <c r="P44" s="89">
        <v>2</v>
      </c>
      <c r="Q44" s="90" t="s">
        <v>213</v>
      </c>
      <c r="R44" s="90" t="s">
        <v>3136</v>
      </c>
      <c r="S44" s="90" t="s">
        <v>2169</v>
      </c>
      <c r="T44" s="90" t="s">
        <v>2170</v>
      </c>
      <c r="U44" s="90" t="s">
        <v>2171</v>
      </c>
      <c r="V44" s="88">
        <v>45538</v>
      </c>
      <c r="W44" s="88">
        <v>45538</v>
      </c>
      <c r="X44" s="90" t="s">
        <v>43</v>
      </c>
      <c r="Y44" s="90" t="s">
        <v>257</v>
      </c>
      <c r="Z44" s="90" t="s">
        <v>36</v>
      </c>
      <c r="AA44" s="91"/>
      <c r="AB44" s="91"/>
      <c r="AC44" s="90" t="s">
        <v>2051</v>
      </c>
      <c r="AD44" s="90" t="s">
        <v>267</v>
      </c>
      <c r="AE44" s="90" t="s">
        <v>1633</v>
      </c>
      <c r="AF44" s="90" t="s">
        <v>1947</v>
      </c>
      <c r="AG44" s="91"/>
      <c r="AH44" s="91"/>
      <c r="AI44" s="91"/>
      <c r="AJ44" s="90" t="s">
        <v>2051</v>
      </c>
      <c r="AK44" s="91"/>
      <c r="AL44" s="90" t="s">
        <v>1639</v>
      </c>
      <c r="AM44" s="90" t="s">
        <v>2172</v>
      </c>
      <c r="AN44" s="90" t="s">
        <v>2054</v>
      </c>
      <c r="AO44" s="87" t="s">
        <v>3082</v>
      </c>
      <c r="AP44" s="87" t="s">
        <v>1950</v>
      </c>
      <c r="AQ44" s="90" t="s">
        <v>3153</v>
      </c>
      <c r="AR44" s="92">
        <v>38000</v>
      </c>
      <c r="AS44" s="92">
        <v>47000</v>
      </c>
      <c r="AT44" s="92">
        <v>59000</v>
      </c>
      <c r="AU44" s="87" t="s">
        <v>1972</v>
      </c>
      <c r="AV44" s="87" t="s">
        <v>1973</v>
      </c>
      <c r="AW44" s="91"/>
      <c r="AX44" s="91"/>
      <c r="AY44" s="91"/>
      <c r="AZ44" t="str">
        <f t="shared" si="0"/>
        <v>206250</v>
      </c>
      <c r="BA44" t="str">
        <f t="shared" si="1"/>
        <v>127</v>
      </c>
      <c r="BB44" t="str">
        <f t="shared" si="2"/>
        <v>000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>IFERROR(VLOOKUP(X44,'Status Map'!A:B,2,FALSE),"Status Code Not Mapped")</f>
        <v>Y</v>
      </c>
      <c r="BL44" t="str">
        <f>IFERROR(VLOOKUP(D44,'Invoice Exception Map'!A:C,3,FALSE),"N")</f>
        <v>N</v>
      </c>
      <c r="BM44">
        <f t="shared" si="3"/>
        <v>9</v>
      </c>
      <c r="BN44" t="str">
        <f t="shared" si="4"/>
        <v>Tensorer</v>
      </c>
      <c r="BO44" t="str">
        <f t="shared" si="5"/>
        <v>Lizbeth V.</v>
      </c>
    </row>
    <row r="45" spans="1:67" ht="16" thickBot="1" x14ac:dyDescent="0.25">
      <c r="A45" s="90" t="s">
        <v>2190</v>
      </c>
      <c r="B45" s="90" t="s">
        <v>2191</v>
      </c>
      <c r="C45" s="90" t="s">
        <v>2192</v>
      </c>
      <c r="D45" s="90" t="s">
        <v>3085</v>
      </c>
      <c r="E45" s="90" t="s">
        <v>1953</v>
      </c>
      <c r="F45" s="90" t="s">
        <v>755</v>
      </c>
      <c r="G45" s="90" t="s">
        <v>2193</v>
      </c>
      <c r="H45" s="90" t="s">
        <v>1943</v>
      </c>
      <c r="I45" s="90" t="s">
        <v>1944</v>
      </c>
      <c r="J45" s="90" t="s">
        <v>1621</v>
      </c>
      <c r="K45" s="90" t="s">
        <v>2194</v>
      </c>
      <c r="L45" s="90" t="s">
        <v>2195</v>
      </c>
      <c r="M45" s="87" t="s">
        <v>2196</v>
      </c>
      <c r="N45" s="87" t="s">
        <v>1946</v>
      </c>
      <c r="O45" s="88">
        <v>43654</v>
      </c>
      <c r="P45" s="89">
        <v>7.1</v>
      </c>
      <c r="Q45" s="90" t="s">
        <v>163</v>
      </c>
      <c r="R45" s="90" t="s">
        <v>135</v>
      </c>
      <c r="S45" s="90" t="s">
        <v>155</v>
      </c>
      <c r="T45" s="90" t="s">
        <v>2197</v>
      </c>
      <c r="U45" s="90" t="s">
        <v>1590</v>
      </c>
      <c r="V45" s="88">
        <v>43654</v>
      </c>
      <c r="W45" s="88">
        <v>43654</v>
      </c>
      <c r="X45" s="90" t="s">
        <v>43</v>
      </c>
      <c r="Y45" s="90" t="s">
        <v>257</v>
      </c>
      <c r="Z45" s="90" t="s">
        <v>36</v>
      </c>
      <c r="AA45" s="91"/>
      <c r="AB45" s="91"/>
      <c r="AC45" s="90" t="s">
        <v>2051</v>
      </c>
      <c r="AD45" s="90" t="s">
        <v>267</v>
      </c>
      <c r="AE45" s="90" t="s">
        <v>1603</v>
      </c>
      <c r="AF45" s="90" t="s">
        <v>1947</v>
      </c>
      <c r="AG45" s="90" t="s">
        <v>3154</v>
      </c>
      <c r="AH45" s="91"/>
      <c r="AI45" s="91"/>
      <c r="AJ45" s="90" t="s">
        <v>2051</v>
      </c>
      <c r="AK45" s="90" t="s">
        <v>36</v>
      </c>
      <c r="AL45" s="90" t="s">
        <v>2198</v>
      </c>
      <c r="AM45" s="90" t="s">
        <v>2199</v>
      </c>
      <c r="AN45" s="90" t="s">
        <v>2054</v>
      </c>
      <c r="AO45" s="87" t="s">
        <v>1949</v>
      </c>
      <c r="AP45" s="87" t="s">
        <v>1950</v>
      </c>
      <c r="AQ45" s="90" t="s">
        <v>1627</v>
      </c>
      <c r="AR45" s="92">
        <v>140000</v>
      </c>
      <c r="AS45" s="92">
        <v>175000</v>
      </c>
      <c r="AT45" s="92">
        <v>218000</v>
      </c>
      <c r="AU45" s="87" t="s">
        <v>1951</v>
      </c>
      <c r="AV45" s="87" t="s">
        <v>1959</v>
      </c>
      <c r="AW45" s="91"/>
      <c r="AX45" s="91"/>
      <c r="AY45" s="91"/>
      <c r="AZ45" t="str">
        <f t="shared" si="0"/>
        <v>207709</v>
      </c>
      <c r="BA45" t="str">
        <f t="shared" si="1"/>
        <v>0035</v>
      </c>
      <c r="BB45" t="str">
        <f t="shared" si="2"/>
        <v>000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>IFERROR(VLOOKUP(X45,'Status Map'!A:B,2,FALSE),"Status Code Not Mapped")</f>
        <v>Y</v>
      </c>
      <c r="BL45" t="str">
        <f>IFERROR(VLOOKUP(D45,'Invoice Exception Map'!A:C,3,FALSE),"N")</f>
        <v>N</v>
      </c>
      <c r="BM45">
        <f t="shared" si="3"/>
        <v>10</v>
      </c>
      <c r="BN45" t="str">
        <f t="shared" si="4"/>
        <v>Adewalure</v>
      </c>
      <c r="BO45" t="str">
        <f t="shared" si="5"/>
        <v>Babatunde</v>
      </c>
    </row>
    <row r="46" spans="1:67" ht="16" thickBot="1" x14ac:dyDescent="0.25">
      <c r="A46" s="90" t="s">
        <v>2190</v>
      </c>
      <c r="B46" s="90" t="s">
        <v>2191</v>
      </c>
      <c r="C46" s="90" t="s">
        <v>2192</v>
      </c>
      <c r="D46" s="90" t="s">
        <v>3370</v>
      </c>
      <c r="E46" s="90" t="s">
        <v>1953</v>
      </c>
      <c r="F46" s="90" t="s">
        <v>2200</v>
      </c>
      <c r="G46" s="90" t="s">
        <v>2111</v>
      </c>
      <c r="H46" s="90" t="s">
        <v>1943</v>
      </c>
      <c r="I46" s="90" t="s">
        <v>1944</v>
      </c>
      <c r="J46" s="90" t="s">
        <v>1955</v>
      </c>
      <c r="K46" s="90" t="s">
        <v>482</v>
      </c>
      <c r="L46" s="90" t="s">
        <v>3308</v>
      </c>
      <c r="M46" s="87" t="s">
        <v>1945</v>
      </c>
      <c r="N46" s="87" t="s">
        <v>66</v>
      </c>
      <c r="O46" s="88">
        <v>45327</v>
      </c>
      <c r="P46" s="89">
        <v>2.5</v>
      </c>
      <c r="Q46" s="90" t="s">
        <v>151</v>
      </c>
      <c r="R46" s="90" t="s">
        <v>3146</v>
      </c>
      <c r="S46" s="90" t="s">
        <v>2163</v>
      </c>
      <c r="T46" s="90" t="s">
        <v>2197</v>
      </c>
      <c r="U46" s="90" t="s">
        <v>1590</v>
      </c>
      <c r="V46" s="88">
        <v>45327</v>
      </c>
      <c r="W46" s="88">
        <v>45327</v>
      </c>
      <c r="X46" s="90" t="s">
        <v>43</v>
      </c>
      <c r="Y46" s="90" t="s">
        <v>257</v>
      </c>
      <c r="Z46" s="90" t="s">
        <v>36</v>
      </c>
      <c r="AA46" s="91"/>
      <c r="AB46" s="91"/>
      <c r="AC46" s="90" t="s">
        <v>2051</v>
      </c>
      <c r="AD46" s="90" t="s">
        <v>267</v>
      </c>
      <c r="AE46" s="90" t="s">
        <v>1603</v>
      </c>
      <c r="AF46" s="90" t="s">
        <v>1947</v>
      </c>
      <c r="AG46" s="90" t="s">
        <v>3155</v>
      </c>
      <c r="AH46" s="91"/>
      <c r="AI46" s="91"/>
      <c r="AJ46" s="90" t="s">
        <v>2051</v>
      </c>
      <c r="AK46" s="90" t="s">
        <v>2201</v>
      </c>
      <c r="AL46" s="90" t="s">
        <v>2198</v>
      </c>
      <c r="AM46" s="90" t="s">
        <v>2199</v>
      </c>
      <c r="AN46" s="90" t="s">
        <v>2054</v>
      </c>
      <c r="AO46" s="87" t="s">
        <v>1949</v>
      </c>
      <c r="AP46" s="87" t="s">
        <v>1950</v>
      </c>
      <c r="AQ46" s="90" t="s">
        <v>2202</v>
      </c>
      <c r="AR46" s="92">
        <v>88000</v>
      </c>
      <c r="AS46" s="92">
        <v>110000</v>
      </c>
      <c r="AT46" s="92">
        <v>137000</v>
      </c>
      <c r="AU46" s="87" t="s">
        <v>1951</v>
      </c>
      <c r="AV46" s="87" t="s">
        <v>1952</v>
      </c>
      <c r="AW46" s="91"/>
      <c r="AX46" s="91"/>
      <c r="AY46" s="91"/>
      <c r="AZ46" t="str">
        <f t="shared" si="0"/>
        <v>206247</v>
      </c>
      <c r="BA46" t="str">
        <f t="shared" si="1"/>
        <v>0035</v>
      </c>
      <c r="BB46" t="str">
        <f t="shared" si="2"/>
        <v>000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>IFERROR(VLOOKUP(X46,'Status Map'!A:B,2,FALSE),"Status Code Not Mapped")</f>
        <v>Y</v>
      </c>
      <c r="BL46" t="str">
        <f>IFERROR(VLOOKUP(D46,'Invoice Exception Map'!A:C,3,FALSE),"N")</f>
        <v>N</v>
      </c>
      <c r="BM46">
        <f t="shared" si="3"/>
        <v>7</v>
      </c>
      <c r="BN46" t="str">
        <f t="shared" si="4"/>
        <v>Baxter</v>
      </c>
      <c r="BO46" t="str">
        <f t="shared" si="5"/>
        <v>Lewis</v>
      </c>
    </row>
    <row r="47" spans="1:67" ht="16" thickBot="1" x14ac:dyDescent="0.25">
      <c r="A47" s="90" t="s">
        <v>2190</v>
      </c>
      <c r="B47" s="90" t="s">
        <v>2191</v>
      </c>
      <c r="C47" s="90" t="s">
        <v>2192</v>
      </c>
      <c r="D47" s="90" t="s">
        <v>3164</v>
      </c>
      <c r="E47" s="90" t="s">
        <v>1953</v>
      </c>
      <c r="F47" s="90" t="s">
        <v>3165</v>
      </c>
      <c r="G47" s="90" t="s">
        <v>2118</v>
      </c>
      <c r="H47" s="90" t="s">
        <v>1943</v>
      </c>
      <c r="I47" s="90" t="s">
        <v>1944</v>
      </c>
      <c r="J47" s="90" t="s">
        <v>831</v>
      </c>
      <c r="K47" s="90" t="s">
        <v>2119</v>
      </c>
      <c r="L47" s="90" t="s">
        <v>2203</v>
      </c>
      <c r="M47" s="87" t="s">
        <v>2121</v>
      </c>
      <c r="N47" s="87" t="s">
        <v>831</v>
      </c>
      <c r="O47" s="88">
        <v>37047</v>
      </c>
      <c r="P47" s="89">
        <v>25.2</v>
      </c>
      <c r="Q47" s="90" t="s">
        <v>504</v>
      </c>
      <c r="R47" s="90" t="s">
        <v>3156</v>
      </c>
      <c r="S47" s="90" t="s">
        <v>2204</v>
      </c>
      <c r="T47" s="90" t="s">
        <v>2197</v>
      </c>
      <c r="U47" s="90" t="s">
        <v>1590</v>
      </c>
      <c r="V47" s="88">
        <v>37047</v>
      </c>
      <c r="W47" s="88">
        <v>37047</v>
      </c>
      <c r="X47" s="90" t="s">
        <v>43</v>
      </c>
      <c r="Y47" s="90" t="s">
        <v>257</v>
      </c>
      <c r="Z47" s="90" t="s">
        <v>36</v>
      </c>
      <c r="AA47" s="91"/>
      <c r="AB47" s="91"/>
      <c r="AC47" s="90" t="s">
        <v>2051</v>
      </c>
      <c r="AD47" s="90" t="s">
        <v>267</v>
      </c>
      <c r="AE47" s="90" t="s">
        <v>1603</v>
      </c>
      <c r="AF47" s="90" t="s">
        <v>1947</v>
      </c>
      <c r="AG47" s="90" t="s">
        <v>3157</v>
      </c>
      <c r="AH47" s="91"/>
      <c r="AI47" s="91"/>
      <c r="AJ47" s="90" t="s">
        <v>2051</v>
      </c>
      <c r="AK47" s="90" t="s">
        <v>36</v>
      </c>
      <c r="AL47" s="90" t="s">
        <v>2198</v>
      </c>
      <c r="AM47" s="90" t="s">
        <v>2199</v>
      </c>
      <c r="AN47" s="90" t="s">
        <v>2054</v>
      </c>
      <c r="AO47" s="87" t="s">
        <v>1949</v>
      </c>
      <c r="AP47" s="87" t="s">
        <v>1950</v>
      </c>
      <c r="AQ47" s="90" t="s">
        <v>1538</v>
      </c>
      <c r="AR47" s="92">
        <v>62000</v>
      </c>
      <c r="AS47" s="92">
        <v>78000</v>
      </c>
      <c r="AT47" s="92">
        <v>97000</v>
      </c>
      <c r="AU47" s="87" t="s">
        <v>1951</v>
      </c>
      <c r="AV47" s="87" t="s">
        <v>1966</v>
      </c>
      <c r="AW47" s="91"/>
      <c r="AX47" s="91"/>
      <c r="AY47" s="91"/>
      <c r="AZ47" t="str">
        <f t="shared" si="0"/>
        <v>203016</v>
      </c>
      <c r="BA47" t="str">
        <f t="shared" si="1"/>
        <v>0035</v>
      </c>
      <c r="BB47" t="str">
        <f t="shared" si="2"/>
        <v>000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>IFERROR(VLOOKUP(X47,'Status Map'!A:B,2,FALSE),"Status Code Not Mapped")</f>
        <v>Y</v>
      </c>
      <c r="BL47" t="str">
        <f>IFERROR(VLOOKUP(D47,'Invoice Exception Map'!A:C,3,FALSE),"N")</f>
        <v>N</v>
      </c>
      <c r="BM47">
        <f t="shared" si="3"/>
        <v>6</v>
      </c>
      <c r="BN47" t="str">
        <f t="shared" si="4"/>
        <v>Birch</v>
      </c>
      <c r="BO47" t="str">
        <f t="shared" si="5"/>
        <v>Karen A.</v>
      </c>
    </row>
    <row r="48" spans="1:67" ht="16" thickBot="1" x14ac:dyDescent="0.25">
      <c r="A48" s="90" t="s">
        <v>2190</v>
      </c>
      <c r="B48" s="90" t="s">
        <v>2191</v>
      </c>
      <c r="C48" s="90" t="s">
        <v>2192</v>
      </c>
      <c r="D48" s="90" t="s">
        <v>3156</v>
      </c>
      <c r="E48" s="90" t="s">
        <v>1953</v>
      </c>
      <c r="F48" s="90" t="s">
        <v>2204</v>
      </c>
      <c r="G48" s="90" t="s">
        <v>3305</v>
      </c>
      <c r="H48" s="90" t="s">
        <v>1943</v>
      </c>
      <c r="I48" s="90" t="s">
        <v>1944</v>
      </c>
      <c r="J48" s="90" t="s">
        <v>1957</v>
      </c>
      <c r="K48" s="90" t="s">
        <v>3306</v>
      </c>
      <c r="L48" s="90" t="s">
        <v>3371</v>
      </c>
      <c r="M48" s="87" t="s">
        <v>1945</v>
      </c>
      <c r="N48" s="87" t="s">
        <v>1999</v>
      </c>
      <c r="O48" s="88">
        <v>43928</v>
      </c>
      <c r="P48" s="89">
        <v>6.4</v>
      </c>
      <c r="Q48" s="90" t="s">
        <v>69</v>
      </c>
      <c r="R48" s="90" t="s">
        <v>3103</v>
      </c>
      <c r="S48" s="90" t="s">
        <v>2098</v>
      </c>
      <c r="T48" s="90" t="s">
        <v>2197</v>
      </c>
      <c r="U48" s="90" t="s">
        <v>1590</v>
      </c>
      <c r="V48" s="88">
        <v>43928</v>
      </c>
      <c r="W48" s="88">
        <v>43928</v>
      </c>
      <c r="X48" s="90" t="s">
        <v>43</v>
      </c>
      <c r="Y48" s="90" t="s">
        <v>257</v>
      </c>
      <c r="Z48" s="90" t="s">
        <v>36</v>
      </c>
      <c r="AA48" s="91"/>
      <c r="AB48" s="91"/>
      <c r="AC48" s="90" t="s">
        <v>2051</v>
      </c>
      <c r="AD48" s="90" t="s">
        <v>267</v>
      </c>
      <c r="AE48" s="90" t="s">
        <v>1603</v>
      </c>
      <c r="AF48" s="90" t="s">
        <v>1947</v>
      </c>
      <c r="AG48" s="90" t="s">
        <v>3158</v>
      </c>
      <c r="AH48" s="91"/>
      <c r="AI48" s="91"/>
      <c r="AJ48" s="90" t="s">
        <v>2051</v>
      </c>
      <c r="AK48" s="90" t="s">
        <v>36</v>
      </c>
      <c r="AL48" s="90" t="s">
        <v>2198</v>
      </c>
      <c r="AM48" s="90" t="s">
        <v>2199</v>
      </c>
      <c r="AN48" s="90" t="s">
        <v>2054</v>
      </c>
      <c r="AO48" s="87" t="s">
        <v>3082</v>
      </c>
      <c r="AP48" s="87" t="s">
        <v>1950</v>
      </c>
      <c r="AQ48" s="90" t="s">
        <v>3159</v>
      </c>
      <c r="AR48" s="92">
        <v>98000</v>
      </c>
      <c r="AS48" s="92">
        <v>122000</v>
      </c>
      <c r="AT48" s="92">
        <v>153000</v>
      </c>
      <c r="AU48" s="87" t="s">
        <v>1951</v>
      </c>
      <c r="AV48" s="87" t="s">
        <v>1981</v>
      </c>
      <c r="AW48" s="91"/>
      <c r="AX48" s="91"/>
      <c r="AY48" s="91"/>
      <c r="AZ48" t="str">
        <f t="shared" si="0"/>
        <v>205389</v>
      </c>
      <c r="BA48" t="str">
        <f t="shared" si="1"/>
        <v>0035</v>
      </c>
      <c r="BB48" t="str">
        <f t="shared" si="2"/>
        <v>000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>IFERROR(VLOOKUP(X48,'Status Map'!A:B,2,FALSE),"Status Code Not Mapped")</f>
        <v>Y</v>
      </c>
      <c r="BL48" t="str">
        <f>IFERROR(VLOOKUP(D48,'Invoice Exception Map'!A:C,3,FALSE),"N")</f>
        <v>N</v>
      </c>
      <c r="BM48">
        <f t="shared" si="3"/>
        <v>7</v>
      </c>
      <c r="BN48" t="str">
        <f t="shared" si="4"/>
        <v>Bishop</v>
      </c>
      <c r="BO48" t="str">
        <f t="shared" si="5"/>
        <v>Rebecca</v>
      </c>
    </row>
    <row r="49" spans="1:67" ht="16" thickBot="1" x14ac:dyDescent="0.25">
      <c r="A49" s="90" t="s">
        <v>2190</v>
      </c>
      <c r="B49" s="90" t="s">
        <v>2191</v>
      </c>
      <c r="C49" s="90" t="s">
        <v>2192</v>
      </c>
      <c r="D49" s="90" t="s">
        <v>3162</v>
      </c>
      <c r="E49" s="90" t="s">
        <v>1953</v>
      </c>
      <c r="F49" s="90" t="s">
        <v>2205</v>
      </c>
      <c r="G49" s="90" t="s">
        <v>2206</v>
      </c>
      <c r="H49" s="90" t="s">
        <v>1943</v>
      </c>
      <c r="I49" s="90" t="s">
        <v>1944</v>
      </c>
      <c r="J49" s="90" t="s">
        <v>427</v>
      </c>
      <c r="K49" s="90" t="s">
        <v>2207</v>
      </c>
      <c r="L49" s="90" t="s">
        <v>2019</v>
      </c>
      <c r="M49" s="87" t="s">
        <v>1998</v>
      </c>
      <c r="N49" s="87" t="s">
        <v>2020</v>
      </c>
      <c r="O49" s="88">
        <v>44529</v>
      </c>
      <c r="P49" s="89">
        <v>4.8</v>
      </c>
      <c r="Q49" s="90" t="s">
        <v>504</v>
      </c>
      <c r="R49" s="90" t="s">
        <v>3156</v>
      </c>
      <c r="S49" s="90" t="s">
        <v>2204</v>
      </c>
      <c r="T49" s="90" t="s">
        <v>2197</v>
      </c>
      <c r="U49" s="90" t="s">
        <v>1590</v>
      </c>
      <c r="V49" s="88">
        <v>44529</v>
      </c>
      <c r="W49" s="88">
        <v>44529</v>
      </c>
      <c r="X49" s="90" t="s">
        <v>43</v>
      </c>
      <c r="Y49" s="90" t="s">
        <v>257</v>
      </c>
      <c r="Z49" s="90" t="s">
        <v>36</v>
      </c>
      <c r="AA49" s="91"/>
      <c r="AB49" s="91"/>
      <c r="AC49" s="90" t="s">
        <v>2051</v>
      </c>
      <c r="AD49" s="90" t="s">
        <v>267</v>
      </c>
      <c r="AE49" s="90" t="s">
        <v>1603</v>
      </c>
      <c r="AF49" s="90" t="s">
        <v>1947</v>
      </c>
      <c r="AG49" s="90" t="s">
        <v>3160</v>
      </c>
      <c r="AH49" s="91"/>
      <c r="AI49" s="91"/>
      <c r="AJ49" s="90" t="s">
        <v>2051</v>
      </c>
      <c r="AK49" s="90" t="s">
        <v>36</v>
      </c>
      <c r="AL49" s="90" t="s">
        <v>2198</v>
      </c>
      <c r="AM49" s="90" t="s">
        <v>2199</v>
      </c>
      <c r="AN49" s="90" t="s">
        <v>2054</v>
      </c>
      <c r="AO49" s="87" t="s">
        <v>1949</v>
      </c>
      <c r="AP49" s="87" t="s">
        <v>1950</v>
      </c>
      <c r="AQ49" s="90" t="s">
        <v>1572</v>
      </c>
      <c r="AR49" s="92">
        <v>62000</v>
      </c>
      <c r="AS49" s="92">
        <v>78000</v>
      </c>
      <c r="AT49" s="92">
        <v>97000</v>
      </c>
      <c r="AU49" s="87" t="s">
        <v>1951</v>
      </c>
      <c r="AV49" s="87" t="s">
        <v>1966</v>
      </c>
      <c r="AW49" s="91"/>
      <c r="AX49" s="91"/>
      <c r="AY49" s="91"/>
      <c r="AZ49" t="str">
        <f t="shared" si="0"/>
        <v>203016</v>
      </c>
      <c r="BA49" t="str">
        <f t="shared" si="1"/>
        <v>0035</v>
      </c>
      <c r="BB49" t="str">
        <f t="shared" si="2"/>
        <v>000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>IFERROR(VLOOKUP(X49,'Status Map'!A:B,2,FALSE),"Status Code Not Mapped")</f>
        <v>Y</v>
      </c>
      <c r="BL49" t="str">
        <f>IFERROR(VLOOKUP(D49,'Invoice Exception Map'!A:C,3,FALSE),"N")</f>
        <v>N</v>
      </c>
      <c r="BM49">
        <f t="shared" si="3"/>
        <v>9</v>
      </c>
      <c r="BN49" t="str">
        <f t="shared" si="4"/>
        <v>Cuthbert</v>
      </c>
      <c r="BO49" t="str">
        <f t="shared" si="5"/>
        <v>Thomas</v>
      </c>
    </row>
    <row r="50" spans="1:67" ht="16" thickBot="1" x14ac:dyDescent="0.25">
      <c r="A50" s="90" t="s">
        <v>2190</v>
      </c>
      <c r="B50" s="90" t="s">
        <v>2191</v>
      </c>
      <c r="C50" s="90" t="s">
        <v>2192</v>
      </c>
      <c r="D50" s="90" t="s">
        <v>3372</v>
      </c>
      <c r="E50" s="90" t="s">
        <v>1953</v>
      </c>
      <c r="F50" s="90" t="s">
        <v>2208</v>
      </c>
      <c r="G50" s="90" t="s">
        <v>1961</v>
      </c>
      <c r="H50" s="90" t="s">
        <v>1943</v>
      </c>
      <c r="I50" s="90" t="s">
        <v>1944</v>
      </c>
      <c r="J50" s="90" t="s">
        <v>241</v>
      </c>
      <c r="K50" s="90" t="s">
        <v>239</v>
      </c>
      <c r="L50" s="90" t="s">
        <v>1962</v>
      </c>
      <c r="M50" s="87" t="s">
        <v>1963</v>
      </c>
      <c r="N50" s="87" t="s">
        <v>1964</v>
      </c>
      <c r="O50" s="88">
        <v>45271</v>
      </c>
      <c r="P50" s="89">
        <v>2.7</v>
      </c>
      <c r="Q50" s="90" t="s">
        <v>151</v>
      </c>
      <c r="R50" s="90" t="s">
        <v>584</v>
      </c>
      <c r="S50" s="90" t="s">
        <v>73</v>
      </c>
      <c r="T50" s="90" t="s">
        <v>2197</v>
      </c>
      <c r="U50" s="90" t="s">
        <v>1590</v>
      </c>
      <c r="V50" s="88">
        <v>45271</v>
      </c>
      <c r="W50" s="88">
        <v>45271</v>
      </c>
      <c r="X50" s="90" t="s">
        <v>43</v>
      </c>
      <c r="Y50" s="90" t="s">
        <v>257</v>
      </c>
      <c r="Z50" s="90" t="s">
        <v>36</v>
      </c>
      <c r="AA50" s="91"/>
      <c r="AB50" s="91"/>
      <c r="AC50" s="90" t="s">
        <v>2051</v>
      </c>
      <c r="AD50" s="90" t="s">
        <v>267</v>
      </c>
      <c r="AE50" s="90" t="s">
        <v>1603</v>
      </c>
      <c r="AF50" s="90" t="s">
        <v>1947</v>
      </c>
      <c r="AG50" s="90" t="s">
        <v>3161</v>
      </c>
      <c r="AH50" s="91"/>
      <c r="AI50" s="91"/>
      <c r="AJ50" s="90" t="s">
        <v>2051</v>
      </c>
      <c r="AK50" s="91"/>
      <c r="AL50" s="90" t="s">
        <v>2198</v>
      </c>
      <c r="AM50" s="90" t="s">
        <v>2199</v>
      </c>
      <c r="AN50" s="90" t="s">
        <v>2054</v>
      </c>
      <c r="AO50" s="87" t="s">
        <v>1949</v>
      </c>
      <c r="AP50" s="87" t="s">
        <v>1950</v>
      </c>
      <c r="AQ50" s="90" t="s">
        <v>2209</v>
      </c>
      <c r="AR50" s="92">
        <v>88000</v>
      </c>
      <c r="AS50" s="92">
        <v>110000</v>
      </c>
      <c r="AT50" s="92">
        <v>137000</v>
      </c>
      <c r="AU50" s="87" t="s">
        <v>1951</v>
      </c>
      <c r="AV50" s="87" t="s">
        <v>1952</v>
      </c>
      <c r="AW50" s="91"/>
      <c r="AX50" s="91"/>
      <c r="AY50" s="91"/>
      <c r="AZ50" t="str">
        <f t="shared" si="0"/>
        <v>211766</v>
      </c>
      <c r="BA50" t="str">
        <f t="shared" si="1"/>
        <v>0035</v>
      </c>
      <c r="BB50" t="str">
        <f t="shared" si="2"/>
        <v>000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>IFERROR(VLOOKUP(X50,'Status Map'!A:B,2,FALSE),"Status Code Not Mapped")</f>
        <v>Y</v>
      </c>
      <c r="BL50" t="str">
        <f>IFERROR(VLOOKUP(D50,'Invoice Exception Map'!A:C,3,FALSE),"N")</f>
        <v>N</v>
      </c>
      <c r="BM50">
        <f t="shared" si="3"/>
        <v>11</v>
      </c>
      <c r="BN50" t="str">
        <f t="shared" si="4"/>
        <v>Englefield</v>
      </c>
      <c r="BO50" t="str">
        <f t="shared" si="5"/>
        <v>Chris</v>
      </c>
    </row>
    <row r="51" spans="1:67" ht="16" thickBot="1" x14ac:dyDescent="0.25">
      <c r="A51" s="90" t="s">
        <v>2190</v>
      </c>
      <c r="B51" s="90" t="s">
        <v>2191</v>
      </c>
      <c r="C51" s="90" t="s">
        <v>2192</v>
      </c>
      <c r="D51" s="90" t="s">
        <v>3373</v>
      </c>
      <c r="E51" s="90" t="s">
        <v>1953</v>
      </c>
      <c r="F51" s="90" t="s">
        <v>3374</v>
      </c>
      <c r="G51" s="90" t="s">
        <v>3309</v>
      </c>
      <c r="H51" s="90" t="s">
        <v>267</v>
      </c>
      <c r="I51" s="90" t="s">
        <v>1944</v>
      </c>
      <c r="J51" s="90" t="s">
        <v>427</v>
      </c>
      <c r="K51" s="90" t="s">
        <v>42</v>
      </c>
      <c r="L51" s="91"/>
      <c r="M51" s="87" t="s">
        <v>2036</v>
      </c>
      <c r="N51" s="87" t="s">
        <v>2020</v>
      </c>
      <c r="O51" s="88">
        <v>46006</v>
      </c>
      <c r="P51" s="89">
        <v>0.7</v>
      </c>
      <c r="Q51" s="90" t="s">
        <v>53</v>
      </c>
      <c r="R51" s="90" t="s">
        <v>3162</v>
      </c>
      <c r="S51" s="90" t="s">
        <v>2205</v>
      </c>
      <c r="T51" s="90" t="s">
        <v>2197</v>
      </c>
      <c r="U51" s="90" t="s">
        <v>1590</v>
      </c>
      <c r="V51" s="88">
        <v>46006</v>
      </c>
      <c r="W51" s="88">
        <v>46006</v>
      </c>
      <c r="X51" s="90" t="s">
        <v>43</v>
      </c>
      <c r="Y51" s="90" t="s">
        <v>257</v>
      </c>
      <c r="Z51" s="90" t="s">
        <v>36</v>
      </c>
      <c r="AA51" s="91"/>
      <c r="AB51" s="91"/>
      <c r="AC51" s="90" t="s">
        <v>2051</v>
      </c>
      <c r="AD51" s="90" t="s">
        <v>267</v>
      </c>
      <c r="AE51" s="90" t="s">
        <v>1603</v>
      </c>
      <c r="AF51" s="90" t="s">
        <v>1947</v>
      </c>
      <c r="AG51" s="90" t="s">
        <v>3157</v>
      </c>
      <c r="AH51" s="91"/>
      <c r="AI51" s="91"/>
      <c r="AJ51" s="90" t="s">
        <v>2051</v>
      </c>
      <c r="AK51" s="91"/>
      <c r="AL51" s="90" t="s">
        <v>2198</v>
      </c>
      <c r="AM51" s="90" t="s">
        <v>2199</v>
      </c>
      <c r="AN51" s="90" t="s">
        <v>2054</v>
      </c>
      <c r="AO51" s="87" t="s">
        <v>3082</v>
      </c>
      <c r="AP51" s="87" t="s">
        <v>1950</v>
      </c>
      <c r="AQ51" s="90" t="s">
        <v>3163</v>
      </c>
      <c r="AR51" s="92">
        <v>35000</v>
      </c>
      <c r="AS51" s="92">
        <v>42000</v>
      </c>
      <c r="AT51" s="92">
        <v>53000</v>
      </c>
      <c r="AU51" s="87" t="s">
        <v>1972</v>
      </c>
      <c r="AV51" s="87" t="s">
        <v>1973</v>
      </c>
      <c r="AW51" s="91"/>
      <c r="AX51" s="91"/>
      <c r="AY51" s="91"/>
      <c r="AZ51" t="str">
        <f t="shared" si="0"/>
        <v>206835</v>
      </c>
      <c r="BA51" t="str">
        <f t="shared" si="1"/>
        <v>0035</v>
      </c>
      <c r="BB51" t="str">
        <f t="shared" si="2"/>
        <v>000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>IFERROR(VLOOKUP(X51,'Status Map'!A:B,2,FALSE),"Status Code Not Mapped")</f>
        <v>Y</v>
      </c>
      <c r="BL51" t="str">
        <f>IFERROR(VLOOKUP(D51,'Invoice Exception Map'!A:C,3,FALSE),"N")</f>
        <v>N</v>
      </c>
      <c r="BM51">
        <f t="shared" si="3"/>
        <v>6</v>
      </c>
      <c r="BN51" t="str">
        <f t="shared" si="4"/>
        <v>Ganse</v>
      </c>
      <c r="BO51" t="str">
        <f t="shared" si="5"/>
        <v>Craig T.</v>
      </c>
    </row>
    <row r="52" spans="1:67" ht="16" thickBot="1" x14ac:dyDescent="0.25">
      <c r="A52" s="90" t="s">
        <v>2190</v>
      </c>
      <c r="B52" s="90" t="s">
        <v>2191</v>
      </c>
      <c r="C52" s="90" t="s">
        <v>2192</v>
      </c>
      <c r="D52" s="90" t="s">
        <v>3375</v>
      </c>
      <c r="E52" s="90" t="s">
        <v>1953</v>
      </c>
      <c r="F52" s="90" t="s">
        <v>3376</v>
      </c>
      <c r="G52" s="90" t="s">
        <v>3311</v>
      </c>
      <c r="H52" s="90" t="s">
        <v>1943</v>
      </c>
      <c r="I52" s="90" t="s">
        <v>1944</v>
      </c>
      <c r="J52" s="90" t="s">
        <v>831</v>
      </c>
      <c r="K52" s="90" t="s">
        <v>327</v>
      </c>
      <c r="L52" s="90" t="s">
        <v>3377</v>
      </c>
      <c r="M52" s="87" t="s">
        <v>1975</v>
      </c>
      <c r="N52" s="87" t="s">
        <v>831</v>
      </c>
      <c r="O52" s="88">
        <v>45952</v>
      </c>
      <c r="P52" s="89">
        <v>0.9</v>
      </c>
      <c r="Q52" s="90" t="s">
        <v>330</v>
      </c>
      <c r="R52" s="90" t="s">
        <v>3164</v>
      </c>
      <c r="S52" s="90" t="s">
        <v>3165</v>
      </c>
      <c r="T52" s="90" t="s">
        <v>2197</v>
      </c>
      <c r="U52" s="90" t="s">
        <v>1590</v>
      </c>
      <c r="V52" s="88">
        <v>45952</v>
      </c>
      <c r="W52" s="88">
        <v>45952</v>
      </c>
      <c r="X52" s="90" t="s">
        <v>43</v>
      </c>
      <c r="Y52" s="90" t="s">
        <v>257</v>
      </c>
      <c r="Z52" s="90" t="s">
        <v>36</v>
      </c>
      <c r="AA52" s="91"/>
      <c r="AB52" s="91"/>
      <c r="AC52" s="90" t="s">
        <v>2051</v>
      </c>
      <c r="AD52" s="90" t="s">
        <v>267</v>
      </c>
      <c r="AE52" s="90" t="s">
        <v>1603</v>
      </c>
      <c r="AF52" s="90" t="s">
        <v>1947</v>
      </c>
      <c r="AG52" s="90" t="s">
        <v>3157</v>
      </c>
      <c r="AH52" s="91"/>
      <c r="AI52" s="91"/>
      <c r="AJ52" s="90" t="s">
        <v>2051</v>
      </c>
      <c r="AK52" s="91"/>
      <c r="AL52" s="90" t="s">
        <v>2198</v>
      </c>
      <c r="AM52" s="90" t="s">
        <v>2199</v>
      </c>
      <c r="AN52" s="90" t="s">
        <v>2054</v>
      </c>
      <c r="AO52" s="87" t="s">
        <v>3082</v>
      </c>
      <c r="AP52" s="87" t="s">
        <v>1950</v>
      </c>
      <c r="AQ52" s="90" t="s">
        <v>3166</v>
      </c>
      <c r="AR52" s="92">
        <v>43000</v>
      </c>
      <c r="AS52" s="92">
        <v>53000</v>
      </c>
      <c r="AT52" s="92">
        <v>66000</v>
      </c>
      <c r="AU52" s="87" t="s">
        <v>1972</v>
      </c>
      <c r="AV52" s="87" t="s">
        <v>1973</v>
      </c>
      <c r="AW52" s="91"/>
      <c r="AX52" s="91"/>
      <c r="AY52" s="91"/>
      <c r="AZ52" t="str">
        <f t="shared" si="0"/>
        <v>203017</v>
      </c>
      <c r="BA52" t="str">
        <f t="shared" si="1"/>
        <v>0035</v>
      </c>
      <c r="BB52" t="str">
        <f t="shared" si="2"/>
        <v>000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>IFERROR(VLOOKUP(X52,'Status Map'!A:B,2,FALSE),"Status Code Not Mapped")</f>
        <v>Y</v>
      </c>
      <c r="BL52" t="str">
        <f>IFERROR(VLOOKUP(D52,'Invoice Exception Map'!A:C,3,FALSE),"N")</f>
        <v>N</v>
      </c>
      <c r="BM52">
        <f t="shared" si="3"/>
        <v>10</v>
      </c>
      <c r="BN52" t="str">
        <f t="shared" si="4"/>
        <v>Gisbourne</v>
      </c>
      <c r="BO52" t="str">
        <f t="shared" si="5"/>
        <v>Carrie- Anne</v>
      </c>
    </row>
    <row r="53" spans="1:67" ht="16" thickBot="1" x14ac:dyDescent="0.25">
      <c r="A53" s="90" t="s">
        <v>2190</v>
      </c>
      <c r="B53" s="90" t="s">
        <v>2191</v>
      </c>
      <c r="C53" s="90" t="s">
        <v>2192</v>
      </c>
      <c r="D53" s="90" t="s">
        <v>3378</v>
      </c>
      <c r="E53" s="90" t="s">
        <v>1953</v>
      </c>
      <c r="F53" s="90" t="s">
        <v>3379</v>
      </c>
      <c r="G53" s="90" t="s">
        <v>2162</v>
      </c>
      <c r="H53" s="90" t="s">
        <v>1943</v>
      </c>
      <c r="I53" s="90" t="s">
        <v>1944</v>
      </c>
      <c r="J53" s="90" t="s">
        <v>1955</v>
      </c>
      <c r="K53" s="90" t="s">
        <v>482</v>
      </c>
      <c r="L53" s="90" t="s">
        <v>3380</v>
      </c>
      <c r="M53" s="87" t="s">
        <v>1945</v>
      </c>
      <c r="N53" s="87" t="s">
        <v>66</v>
      </c>
      <c r="O53" s="88">
        <v>46237</v>
      </c>
      <c r="P53" s="89">
        <v>0</v>
      </c>
      <c r="Q53" s="90" t="s">
        <v>69</v>
      </c>
      <c r="R53" s="90" t="s">
        <v>3146</v>
      </c>
      <c r="S53" s="90" t="s">
        <v>2163</v>
      </c>
      <c r="T53" s="90" t="s">
        <v>2197</v>
      </c>
      <c r="U53" s="90" t="s">
        <v>1590</v>
      </c>
      <c r="V53" s="88">
        <v>46237</v>
      </c>
      <c r="W53" s="88">
        <v>46237</v>
      </c>
      <c r="X53" s="90" t="s">
        <v>43</v>
      </c>
      <c r="Y53" s="90" t="s">
        <v>257</v>
      </c>
      <c r="Z53" s="90" t="s">
        <v>36</v>
      </c>
      <c r="AA53" s="91"/>
      <c r="AB53" s="91"/>
      <c r="AC53" s="90" t="s">
        <v>2051</v>
      </c>
      <c r="AD53" s="90" t="s">
        <v>267</v>
      </c>
      <c r="AE53" s="90" t="s">
        <v>1603</v>
      </c>
      <c r="AF53" s="90" t="s">
        <v>1947</v>
      </c>
      <c r="AG53" s="90" t="s">
        <v>3167</v>
      </c>
      <c r="AH53" s="91"/>
      <c r="AI53" s="91"/>
      <c r="AJ53" s="90" t="s">
        <v>2051</v>
      </c>
      <c r="AK53" s="91"/>
      <c r="AL53" s="90" t="s">
        <v>2198</v>
      </c>
      <c r="AM53" s="90" t="s">
        <v>2199</v>
      </c>
      <c r="AN53" s="90" t="s">
        <v>2054</v>
      </c>
      <c r="AO53" s="87" t="s">
        <v>3082</v>
      </c>
      <c r="AP53" s="87" t="s">
        <v>1950</v>
      </c>
      <c r="AQ53" s="90" t="s">
        <v>3168</v>
      </c>
      <c r="AR53" s="92">
        <v>98000</v>
      </c>
      <c r="AS53" s="92">
        <v>122000</v>
      </c>
      <c r="AT53" s="92">
        <v>153000</v>
      </c>
      <c r="AU53" s="87" t="s">
        <v>1951</v>
      </c>
      <c r="AV53" s="87" t="s">
        <v>1981</v>
      </c>
      <c r="AW53" s="91"/>
      <c r="AX53" s="91"/>
      <c r="AY53" s="91"/>
      <c r="AZ53" t="str">
        <f t="shared" si="0"/>
        <v>206247</v>
      </c>
      <c r="BA53" t="str">
        <f t="shared" si="1"/>
        <v>0035</v>
      </c>
      <c r="BB53" t="str">
        <f t="shared" si="2"/>
        <v>000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>IFERROR(VLOOKUP(X53,'Status Map'!A:B,2,FALSE),"Status Code Not Mapped")</f>
        <v>Y</v>
      </c>
      <c r="BL53" t="str">
        <f>IFERROR(VLOOKUP(D53,'Invoice Exception Map'!A:C,3,FALSE),"N")</f>
        <v>N</v>
      </c>
      <c r="BM53">
        <f t="shared" si="3"/>
        <v>9</v>
      </c>
      <c r="BN53" t="str">
        <f t="shared" si="4"/>
        <v>Hastings</v>
      </c>
      <c r="BO53" t="str">
        <f t="shared" si="5"/>
        <v>Alan</v>
      </c>
    </row>
    <row r="54" spans="1:67" ht="16" thickBot="1" x14ac:dyDescent="0.25">
      <c r="A54" s="90" t="s">
        <v>2210</v>
      </c>
      <c r="B54" s="90" t="s">
        <v>2191</v>
      </c>
      <c r="C54" s="90" t="s">
        <v>2192</v>
      </c>
      <c r="D54" s="90" t="s">
        <v>3381</v>
      </c>
      <c r="E54" s="90" t="s">
        <v>1953</v>
      </c>
      <c r="F54" s="90" t="s">
        <v>3382</v>
      </c>
      <c r="G54" s="90" t="s">
        <v>2211</v>
      </c>
      <c r="H54" s="90" t="s">
        <v>1943</v>
      </c>
      <c r="I54" s="90" t="s">
        <v>1944</v>
      </c>
      <c r="J54" s="90" t="s">
        <v>692</v>
      </c>
      <c r="K54" s="90" t="s">
        <v>1985</v>
      </c>
      <c r="L54" s="90" t="s">
        <v>3383</v>
      </c>
      <c r="M54" s="87" t="s">
        <v>1986</v>
      </c>
      <c r="N54" s="87" t="s">
        <v>1987</v>
      </c>
      <c r="O54" s="88">
        <v>44655</v>
      </c>
      <c r="P54" s="89">
        <v>4.4000000000000004</v>
      </c>
      <c r="Q54" s="90" t="s">
        <v>504</v>
      </c>
      <c r="R54" s="90" t="s">
        <v>3094</v>
      </c>
      <c r="S54" s="90" t="s">
        <v>2049</v>
      </c>
      <c r="T54" s="90" t="s">
        <v>2197</v>
      </c>
      <c r="U54" s="90" t="s">
        <v>1590</v>
      </c>
      <c r="V54" s="88">
        <v>44655</v>
      </c>
      <c r="W54" s="88">
        <v>44655</v>
      </c>
      <c r="X54" s="90" t="s">
        <v>43</v>
      </c>
      <c r="Y54" s="90" t="s">
        <v>257</v>
      </c>
      <c r="Z54" s="90" t="s">
        <v>36</v>
      </c>
      <c r="AA54" s="91"/>
      <c r="AB54" s="91"/>
      <c r="AC54" s="90" t="s">
        <v>2051</v>
      </c>
      <c r="AD54" s="90" t="s">
        <v>267</v>
      </c>
      <c r="AE54" s="90" t="s">
        <v>1603</v>
      </c>
      <c r="AF54" s="90" t="s">
        <v>1947</v>
      </c>
      <c r="AG54" s="90" t="s">
        <v>3169</v>
      </c>
      <c r="AH54" s="91"/>
      <c r="AI54" s="91"/>
      <c r="AJ54" s="90" t="s">
        <v>2051</v>
      </c>
      <c r="AK54" s="90" t="s">
        <v>2212</v>
      </c>
      <c r="AL54" s="90" t="s">
        <v>2198</v>
      </c>
      <c r="AM54" s="90" t="s">
        <v>2199</v>
      </c>
      <c r="AN54" s="90" t="s">
        <v>2054</v>
      </c>
      <c r="AO54" s="87" t="s">
        <v>1949</v>
      </c>
      <c r="AP54" s="87" t="s">
        <v>1950</v>
      </c>
      <c r="AQ54" s="90" t="s">
        <v>1573</v>
      </c>
      <c r="AR54" s="92">
        <v>62000</v>
      </c>
      <c r="AS54" s="92">
        <v>78000</v>
      </c>
      <c r="AT54" s="92">
        <v>97000</v>
      </c>
      <c r="AU54" s="87" t="s">
        <v>1951</v>
      </c>
      <c r="AV54" s="87" t="s">
        <v>1966</v>
      </c>
      <c r="AW54" s="91"/>
      <c r="AX54" s="91"/>
      <c r="AY54" s="91"/>
      <c r="AZ54" t="str">
        <f t="shared" si="0"/>
        <v>203007</v>
      </c>
      <c r="BA54" t="str">
        <f t="shared" si="1"/>
        <v>0035</v>
      </c>
      <c r="BB54" t="str">
        <f t="shared" si="2"/>
        <v>000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>IFERROR(VLOOKUP(X54,'Status Map'!A:B,2,FALSE),"Status Code Not Mapped")</f>
        <v>Y</v>
      </c>
      <c r="BL54" t="str">
        <f>IFERROR(VLOOKUP(D54,'Invoice Exception Map'!A:C,3,FALSE),"N")</f>
        <v>N</v>
      </c>
      <c r="BM54">
        <f t="shared" si="3"/>
        <v>6</v>
      </c>
      <c r="BN54" t="str">
        <f t="shared" si="4"/>
        <v>James</v>
      </c>
      <c r="BO54" t="str">
        <f t="shared" si="5"/>
        <v>Stephen L.</v>
      </c>
    </row>
    <row r="55" spans="1:67" ht="16" thickBot="1" x14ac:dyDescent="0.25">
      <c r="A55" s="90" t="s">
        <v>2190</v>
      </c>
      <c r="B55" s="90" t="s">
        <v>2191</v>
      </c>
      <c r="C55" s="90" t="s">
        <v>2192</v>
      </c>
      <c r="D55" s="90" t="s">
        <v>3384</v>
      </c>
      <c r="E55" s="90" t="s">
        <v>1953</v>
      </c>
      <c r="F55" s="90" t="s">
        <v>2213</v>
      </c>
      <c r="G55" s="90" t="s">
        <v>2214</v>
      </c>
      <c r="H55" s="90" t="s">
        <v>1943</v>
      </c>
      <c r="I55" s="90" t="s">
        <v>1944</v>
      </c>
      <c r="J55" s="90" t="s">
        <v>1957</v>
      </c>
      <c r="K55" s="90" t="s">
        <v>2215</v>
      </c>
      <c r="L55" s="90" t="s">
        <v>2093</v>
      </c>
      <c r="M55" s="87" t="s">
        <v>2024</v>
      </c>
      <c r="N55" s="87" t="s">
        <v>303</v>
      </c>
      <c r="O55" s="88">
        <v>43815</v>
      </c>
      <c r="P55" s="89">
        <v>6.7</v>
      </c>
      <c r="Q55" s="90" t="s">
        <v>264</v>
      </c>
      <c r="R55" s="90" t="s">
        <v>3156</v>
      </c>
      <c r="S55" s="90" t="s">
        <v>2204</v>
      </c>
      <c r="T55" s="90" t="s">
        <v>2197</v>
      </c>
      <c r="U55" s="90" t="s">
        <v>1590</v>
      </c>
      <c r="V55" s="88">
        <v>43815</v>
      </c>
      <c r="W55" s="88">
        <v>43815</v>
      </c>
      <c r="X55" s="90" t="s">
        <v>43</v>
      </c>
      <c r="Y55" s="90" t="s">
        <v>257</v>
      </c>
      <c r="Z55" s="90" t="s">
        <v>36</v>
      </c>
      <c r="AA55" s="91"/>
      <c r="AB55" s="91"/>
      <c r="AC55" s="90" t="s">
        <v>2051</v>
      </c>
      <c r="AD55" s="90" t="s">
        <v>267</v>
      </c>
      <c r="AE55" s="90" t="s">
        <v>1603</v>
      </c>
      <c r="AF55" s="90" t="s">
        <v>1947</v>
      </c>
      <c r="AG55" s="90" t="s">
        <v>3170</v>
      </c>
      <c r="AH55" s="91"/>
      <c r="AI55" s="91"/>
      <c r="AJ55" s="90" t="s">
        <v>2051</v>
      </c>
      <c r="AK55" s="90" t="s">
        <v>36</v>
      </c>
      <c r="AL55" s="90" t="s">
        <v>2198</v>
      </c>
      <c r="AM55" s="90" t="s">
        <v>2199</v>
      </c>
      <c r="AN55" s="90" t="s">
        <v>2054</v>
      </c>
      <c r="AO55" s="87" t="s">
        <v>1949</v>
      </c>
      <c r="AP55" s="87" t="s">
        <v>1950</v>
      </c>
      <c r="AQ55" s="90" t="s">
        <v>1537</v>
      </c>
      <c r="AR55" s="92">
        <v>56000</v>
      </c>
      <c r="AS55" s="92">
        <v>70000</v>
      </c>
      <c r="AT55" s="92">
        <v>87000</v>
      </c>
      <c r="AU55" s="87" t="s">
        <v>1951</v>
      </c>
      <c r="AV55" s="87" t="s">
        <v>2002</v>
      </c>
      <c r="AW55" s="91"/>
      <c r="AX55" s="91"/>
      <c r="AY55" s="91"/>
      <c r="AZ55" t="str">
        <f t="shared" si="0"/>
        <v>203016</v>
      </c>
      <c r="BA55" t="str">
        <f t="shared" si="1"/>
        <v>0035</v>
      </c>
      <c r="BB55" t="str">
        <f t="shared" si="2"/>
        <v>000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>IFERROR(VLOOKUP(X55,'Status Map'!A:B,2,FALSE),"Status Code Not Mapped")</f>
        <v>Y</v>
      </c>
      <c r="BL55" t="str">
        <f>IFERROR(VLOOKUP(D55,'Invoice Exception Map'!A:C,3,FALSE),"N")</f>
        <v>N</v>
      </c>
      <c r="BM55">
        <f t="shared" si="3"/>
        <v>6</v>
      </c>
      <c r="BN55" t="str">
        <f t="shared" si="4"/>
        <v>Lewis</v>
      </c>
      <c r="BO55" t="str">
        <f t="shared" si="5"/>
        <v>Dean</v>
      </c>
    </row>
    <row r="56" spans="1:67" ht="16" thickBot="1" x14ac:dyDescent="0.25">
      <c r="A56" s="90" t="s">
        <v>2190</v>
      </c>
      <c r="B56" s="90" t="s">
        <v>2191</v>
      </c>
      <c r="C56" s="90" t="s">
        <v>2192</v>
      </c>
      <c r="D56" s="90" t="s">
        <v>3094</v>
      </c>
      <c r="E56" s="90" t="s">
        <v>1953</v>
      </c>
      <c r="F56" s="90" t="s">
        <v>2049</v>
      </c>
      <c r="G56" s="90" t="s">
        <v>3385</v>
      </c>
      <c r="H56" s="90" t="s">
        <v>1943</v>
      </c>
      <c r="I56" s="90" t="s">
        <v>1944</v>
      </c>
      <c r="J56" s="90" t="s">
        <v>692</v>
      </c>
      <c r="K56" s="90" t="s">
        <v>3386</v>
      </c>
      <c r="L56" s="90" t="s">
        <v>3387</v>
      </c>
      <c r="M56" s="87" t="s">
        <v>3093</v>
      </c>
      <c r="N56" s="87" t="s">
        <v>2001</v>
      </c>
      <c r="O56" s="88">
        <v>34243</v>
      </c>
      <c r="P56" s="89">
        <v>32.9</v>
      </c>
      <c r="Q56" s="90" t="s">
        <v>69</v>
      </c>
      <c r="R56" s="90" t="s">
        <v>3171</v>
      </c>
      <c r="S56" s="90" t="s">
        <v>2216</v>
      </c>
      <c r="T56" s="90" t="s">
        <v>2197</v>
      </c>
      <c r="U56" s="90" t="s">
        <v>1590</v>
      </c>
      <c r="V56" s="88">
        <v>34243</v>
      </c>
      <c r="W56" s="88">
        <v>34243</v>
      </c>
      <c r="X56" s="90" t="s">
        <v>43</v>
      </c>
      <c r="Y56" s="90" t="s">
        <v>257</v>
      </c>
      <c r="Z56" s="90" t="s">
        <v>36</v>
      </c>
      <c r="AA56" s="91"/>
      <c r="AB56" s="91"/>
      <c r="AC56" s="90" t="s">
        <v>2051</v>
      </c>
      <c r="AD56" s="90" t="s">
        <v>267</v>
      </c>
      <c r="AE56" s="90" t="s">
        <v>1603</v>
      </c>
      <c r="AF56" s="90" t="s">
        <v>1947</v>
      </c>
      <c r="AG56" s="90" t="s">
        <v>3172</v>
      </c>
      <c r="AH56" s="91"/>
      <c r="AI56" s="91"/>
      <c r="AJ56" s="90" t="s">
        <v>2051</v>
      </c>
      <c r="AK56" s="90" t="s">
        <v>36</v>
      </c>
      <c r="AL56" s="90" t="s">
        <v>2198</v>
      </c>
      <c r="AM56" s="90" t="s">
        <v>2199</v>
      </c>
      <c r="AN56" s="90" t="s">
        <v>2054</v>
      </c>
      <c r="AO56" s="87" t="s">
        <v>3082</v>
      </c>
      <c r="AP56" s="87" t="s">
        <v>1950</v>
      </c>
      <c r="AQ56" s="90" t="s">
        <v>3173</v>
      </c>
      <c r="AR56" s="92">
        <v>98000</v>
      </c>
      <c r="AS56" s="92">
        <v>122000</v>
      </c>
      <c r="AT56" s="92">
        <v>153000</v>
      </c>
      <c r="AU56" s="87" t="s">
        <v>1951</v>
      </c>
      <c r="AV56" s="87" t="s">
        <v>1981</v>
      </c>
      <c r="AW56" s="91"/>
      <c r="AX56" s="91"/>
      <c r="AY56" s="91"/>
      <c r="AZ56" t="str">
        <f t="shared" si="0"/>
        <v>213453</v>
      </c>
      <c r="BA56" t="str">
        <f t="shared" si="1"/>
        <v>0035</v>
      </c>
      <c r="BB56" t="str">
        <f t="shared" si="2"/>
        <v>000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>IFERROR(VLOOKUP(X56,'Status Map'!A:B,2,FALSE),"Status Code Not Mapped")</f>
        <v>Y</v>
      </c>
      <c r="BL56" t="str">
        <f>IFERROR(VLOOKUP(D56,'Invoice Exception Map'!A:C,3,FALSE),"N")</f>
        <v>N</v>
      </c>
      <c r="BM56">
        <f t="shared" si="3"/>
        <v>9</v>
      </c>
      <c r="BN56" t="str">
        <f t="shared" si="4"/>
        <v>McNeilly</v>
      </c>
      <c r="BO56" t="str">
        <f t="shared" si="5"/>
        <v>Douglas</v>
      </c>
    </row>
    <row r="57" spans="1:67" ht="16" thickBot="1" x14ac:dyDescent="0.25">
      <c r="A57" s="90" t="s">
        <v>2190</v>
      </c>
      <c r="B57" s="90" t="s">
        <v>2191</v>
      </c>
      <c r="C57" s="90" t="s">
        <v>2192</v>
      </c>
      <c r="D57" s="90" t="s">
        <v>3388</v>
      </c>
      <c r="E57" s="90" t="s">
        <v>1953</v>
      </c>
      <c r="F57" s="90" t="s">
        <v>3389</v>
      </c>
      <c r="G57" s="90" t="s">
        <v>3309</v>
      </c>
      <c r="H57" s="90" t="s">
        <v>267</v>
      </c>
      <c r="I57" s="90" t="s">
        <v>1944</v>
      </c>
      <c r="J57" s="90" t="s">
        <v>427</v>
      </c>
      <c r="K57" s="90" t="s">
        <v>42</v>
      </c>
      <c r="L57" s="90" t="s">
        <v>2044</v>
      </c>
      <c r="M57" s="87" t="s">
        <v>2036</v>
      </c>
      <c r="N57" s="87" t="s">
        <v>2020</v>
      </c>
      <c r="O57" s="88">
        <v>45608</v>
      </c>
      <c r="P57" s="89">
        <v>1.8</v>
      </c>
      <c r="Q57" s="90" t="s">
        <v>53</v>
      </c>
      <c r="R57" s="90" t="s">
        <v>3162</v>
      </c>
      <c r="S57" s="90" t="s">
        <v>2205</v>
      </c>
      <c r="T57" s="90" t="s">
        <v>2197</v>
      </c>
      <c r="U57" s="90" t="s">
        <v>1590</v>
      </c>
      <c r="V57" s="88">
        <v>45608</v>
      </c>
      <c r="W57" s="88">
        <v>45608</v>
      </c>
      <c r="X57" s="90" t="s">
        <v>43</v>
      </c>
      <c r="Y57" s="90" t="s">
        <v>257</v>
      </c>
      <c r="Z57" s="90" t="s">
        <v>36</v>
      </c>
      <c r="AA57" s="91"/>
      <c r="AB57" s="91"/>
      <c r="AC57" s="90" t="s">
        <v>2051</v>
      </c>
      <c r="AD57" s="90" t="s">
        <v>267</v>
      </c>
      <c r="AE57" s="90" t="s">
        <v>1603</v>
      </c>
      <c r="AF57" s="90" t="s">
        <v>1947</v>
      </c>
      <c r="AG57" s="90" t="s">
        <v>3169</v>
      </c>
      <c r="AH57" s="91"/>
      <c r="AI57" s="91"/>
      <c r="AJ57" s="90" t="s">
        <v>2051</v>
      </c>
      <c r="AK57" s="91"/>
      <c r="AL57" s="90" t="s">
        <v>2198</v>
      </c>
      <c r="AM57" s="90" t="s">
        <v>2199</v>
      </c>
      <c r="AN57" s="90" t="s">
        <v>2054</v>
      </c>
      <c r="AO57" s="87" t="s">
        <v>3082</v>
      </c>
      <c r="AP57" s="87" t="s">
        <v>1950</v>
      </c>
      <c r="AQ57" s="90" t="s">
        <v>3174</v>
      </c>
      <c r="AR57" s="92">
        <v>35000</v>
      </c>
      <c r="AS57" s="92">
        <v>42000</v>
      </c>
      <c r="AT57" s="92">
        <v>53000</v>
      </c>
      <c r="AU57" s="87" t="s">
        <v>1972</v>
      </c>
      <c r="AV57" s="87" t="s">
        <v>1973</v>
      </c>
      <c r="AW57" s="91"/>
      <c r="AX57" s="91"/>
      <c r="AY57" s="91"/>
      <c r="AZ57" t="str">
        <f t="shared" si="0"/>
        <v>206835</v>
      </c>
      <c r="BA57" t="str">
        <f t="shared" si="1"/>
        <v>0035</v>
      </c>
      <c r="BB57" t="str">
        <f t="shared" si="2"/>
        <v>000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>IFERROR(VLOOKUP(X57,'Status Map'!A:B,2,FALSE),"Status Code Not Mapped")</f>
        <v>Y</v>
      </c>
      <c r="BL57" t="str">
        <f>IFERROR(VLOOKUP(D57,'Invoice Exception Map'!A:C,3,FALSE),"N")</f>
        <v>N</v>
      </c>
      <c r="BM57">
        <f t="shared" si="3"/>
        <v>9</v>
      </c>
      <c r="BN57" t="str">
        <f t="shared" si="4"/>
        <v>Thompson</v>
      </c>
      <c r="BO57" t="str">
        <f t="shared" si="5"/>
        <v>Julie A.</v>
      </c>
    </row>
    <row r="58" spans="1:67" ht="16" thickBot="1" x14ac:dyDescent="0.25">
      <c r="A58" s="90" t="s">
        <v>2210</v>
      </c>
      <c r="B58" s="90" t="s">
        <v>2217</v>
      </c>
      <c r="C58" s="90" t="s">
        <v>2218</v>
      </c>
      <c r="D58" s="90" t="s">
        <v>3390</v>
      </c>
      <c r="E58" s="90" t="s">
        <v>1953</v>
      </c>
      <c r="F58" s="90" t="s">
        <v>2226</v>
      </c>
      <c r="G58" s="90" t="s">
        <v>2221</v>
      </c>
      <c r="H58" s="90" t="s">
        <v>267</v>
      </c>
      <c r="I58" s="90" t="s">
        <v>1944</v>
      </c>
      <c r="J58" s="90" t="s">
        <v>1620</v>
      </c>
      <c r="K58" s="90" t="s">
        <v>2222</v>
      </c>
      <c r="L58" s="90" t="s">
        <v>2223</v>
      </c>
      <c r="M58" s="87" t="s">
        <v>2003</v>
      </c>
      <c r="N58" s="87" t="s">
        <v>1999</v>
      </c>
      <c r="O58" s="88">
        <v>33729</v>
      </c>
      <c r="P58" s="89">
        <v>34.299999999999997</v>
      </c>
      <c r="Q58" s="90" t="s">
        <v>3084</v>
      </c>
      <c r="R58" s="90" t="s">
        <v>3176</v>
      </c>
      <c r="S58" s="90" t="s">
        <v>2224</v>
      </c>
      <c r="T58" s="90" t="s">
        <v>2220</v>
      </c>
      <c r="U58" s="90" t="s">
        <v>1591</v>
      </c>
      <c r="V58" s="88">
        <v>33729</v>
      </c>
      <c r="W58" s="88">
        <v>33729</v>
      </c>
      <c r="X58" s="90" t="s">
        <v>43</v>
      </c>
      <c r="Y58" s="90" t="s">
        <v>257</v>
      </c>
      <c r="Z58" s="90" t="s">
        <v>36</v>
      </c>
      <c r="AA58" s="91"/>
      <c r="AB58" s="91"/>
      <c r="AC58" s="90" t="s">
        <v>2051</v>
      </c>
      <c r="AD58" s="90" t="s">
        <v>267</v>
      </c>
      <c r="AE58" s="90" t="s">
        <v>1603</v>
      </c>
      <c r="AF58" s="90" t="s">
        <v>2004</v>
      </c>
      <c r="AG58" s="90" t="s">
        <v>3178</v>
      </c>
      <c r="AH58" s="91"/>
      <c r="AI58" s="113"/>
      <c r="AJ58" s="90" t="s">
        <v>2051</v>
      </c>
      <c r="AK58" s="90" t="s">
        <v>36</v>
      </c>
      <c r="AL58" s="90" t="s">
        <v>2198</v>
      </c>
      <c r="AM58" s="90" t="s">
        <v>2199</v>
      </c>
      <c r="AN58" s="90" t="s">
        <v>2054</v>
      </c>
      <c r="AO58" s="87" t="s">
        <v>1949</v>
      </c>
      <c r="AP58" s="87" t="s">
        <v>1950</v>
      </c>
      <c r="AQ58" s="90" t="s">
        <v>1539</v>
      </c>
      <c r="AR58" s="91"/>
      <c r="AS58" s="91"/>
      <c r="AT58" s="91"/>
      <c r="AU58" s="87" t="s">
        <v>1972</v>
      </c>
      <c r="AV58" s="91"/>
      <c r="AW58" s="91"/>
      <c r="AX58" s="91"/>
      <c r="AY58" s="91"/>
      <c r="AZ58" t="str">
        <f t="shared" si="0"/>
        <v>212614</v>
      </c>
      <c r="BA58" t="str">
        <f t="shared" si="1"/>
        <v>0218</v>
      </c>
      <c r="BB58" t="str">
        <f t="shared" si="2"/>
        <v>000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>IFERROR(VLOOKUP(X58,'Status Map'!A:B,2,FALSE),"Status Code Not Mapped")</f>
        <v>Y</v>
      </c>
      <c r="BL58" t="str">
        <f>IFERROR(VLOOKUP(D58,'Invoice Exception Map'!A:C,3,FALSE),"N")</f>
        <v>N</v>
      </c>
      <c r="BM58">
        <f t="shared" si="3"/>
        <v>8</v>
      </c>
      <c r="BN58" t="str">
        <f t="shared" si="4"/>
        <v>Luchini</v>
      </c>
      <c r="BO58" t="str">
        <f t="shared" si="5"/>
        <v>Colin</v>
      </c>
    </row>
    <row r="59" spans="1:67" ht="16" thickBot="1" x14ac:dyDescent="0.25">
      <c r="A59" s="90" t="s">
        <v>2210</v>
      </c>
      <c r="B59" s="90" t="s">
        <v>2217</v>
      </c>
      <c r="C59" s="90" t="s">
        <v>2218</v>
      </c>
      <c r="D59" s="90" t="s">
        <v>3391</v>
      </c>
      <c r="E59" s="90" t="s">
        <v>1953</v>
      </c>
      <c r="F59" s="90" t="s">
        <v>3392</v>
      </c>
      <c r="G59" s="90" t="s">
        <v>2221</v>
      </c>
      <c r="H59" s="90" t="s">
        <v>267</v>
      </c>
      <c r="I59" s="90" t="s">
        <v>1944</v>
      </c>
      <c r="J59" s="90" t="s">
        <v>1620</v>
      </c>
      <c r="K59" s="90" t="s">
        <v>2222</v>
      </c>
      <c r="L59" s="90" t="s">
        <v>3393</v>
      </c>
      <c r="M59" s="87" t="s">
        <v>2003</v>
      </c>
      <c r="N59" s="87" t="s">
        <v>1999</v>
      </c>
      <c r="O59" s="88">
        <v>44907</v>
      </c>
      <c r="P59" s="89">
        <v>3.7</v>
      </c>
      <c r="Q59" s="90" t="s">
        <v>3084</v>
      </c>
      <c r="R59" s="90" t="s">
        <v>3176</v>
      </c>
      <c r="S59" s="90" t="s">
        <v>2224</v>
      </c>
      <c r="T59" s="90" t="s">
        <v>2220</v>
      </c>
      <c r="U59" s="90" t="s">
        <v>1591</v>
      </c>
      <c r="V59" s="88">
        <v>44907</v>
      </c>
      <c r="W59" s="88">
        <v>44907</v>
      </c>
      <c r="X59" s="90" t="s">
        <v>43</v>
      </c>
      <c r="Y59" s="90" t="s">
        <v>257</v>
      </c>
      <c r="Z59" s="90" t="s">
        <v>36</v>
      </c>
      <c r="AA59" s="91"/>
      <c r="AB59" s="91"/>
      <c r="AC59" s="90" t="s">
        <v>2051</v>
      </c>
      <c r="AD59" s="90" t="s">
        <v>267</v>
      </c>
      <c r="AE59" s="90" t="s">
        <v>1603</v>
      </c>
      <c r="AF59" s="90" t="s">
        <v>2004</v>
      </c>
      <c r="AG59" s="90" t="s">
        <v>3179</v>
      </c>
      <c r="AH59" s="91"/>
      <c r="AI59" s="91"/>
      <c r="AJ59" s="90" t="s">
        <v>2051</v>
      </c>
      <c r="AK59" s="91"/>
      <c r="AL59" s="90" t="s">
        <v>2198</v>
      </c>
      <c r="AM59" s="90" t="s">
        <v>2199</v>
      </c>
      <c r="AN59" s="90" t="s">
        <v>2054</v>
      </c>
      <c r="AO59" s="87" t="s">
        <v>3082</v>
      </c>
      <c r="AP59" s="87" t="s">
        <v>1950</v>
      </c>
      <c r="AQ59" s="90" t="s">
        <v>3180</v>
      </c>
      <c r="AR59" s="91"/>
      <c r="AS59" s="91"/>
      <c r="AT59" s="91"/>
      <c r="AU59" s="87" t="s">
        <v>1972</v>
      </c>
      <c r="AV59" s="91"/>
      <c r="AW59" s="91"/>
      <c r="AX59" s="91"/>
      <c r="AY59" s="91"/>
      <c r="AZ59" t="str">
        <f>R59</f>
        <v>212614</v>
      </c>
      <c r="BA59" t="str">
        <f>U59</f>
        <v>0218</v>
      </c>
      <c r="BB59" t="str">
        <f t="shared" si="2"/>
        <v>000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IFERROR(VLOOKUP(X59,'Status Map'!A:B,2,FALSE),"Status Code Not Mapped")</f>
        <v>Y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thickBot="1" x14ac:dyDescent="0.25">
      <c r="A60" s="90" t="s">
        <v>2210</v>
      </c>
      <c r="B60" s="90" t="s">
        <v>2217</v>
      </c>
      <c r="C60" s="90" t="s">
        <v>2218</v>
      </c>
      <c r="D60" s="90" t="s">
        <v>3394</v>
      </c>
      <c r="E60" s="90" t="s">
        <v>1953</v>
      </c>
      <c r="F60" s="90" t="s">
        <v>3395</v>
      </c>
      <c r="G60" s="90" t="s">
        <v>2221</v>
      </c>
      <c r="H60" s="90" t="s">
        <v>267</v>
      </c>
      <c r="I60" s="90" t="s">
        <v>1944</v>
      </c>
      <c r="J60" s="90" t="s">
        <v>1620</v>
      </c>
      <c r="K60" s="90" t="s">
        <v>2222</v>
      </c>
      <c r="L60" s="90" t="s">
        <v>2225</v>
      </c>
      <c r="M60" s="87" t="s">
        <v>2003</v>
      </c>
      <c r="N60" s="87" t="s">
        <v>1999</v>
      </c>
      <c r="O60" s="88">
        <v>44942</v>
      </c>
      <c r="P60" s="89">
        <v>3.6</v>
      </c>
      <c r="Q60" s="90" t="s">
        <v>3084</v>
      </c>
      <c r="R60" s="90" t="s">
        <v>3176</v>
      </c>
      <c r="S60" s="90" t="s">
        <v>2224</v>
      </c>
      <c r="T60" s="90" t="s">
        <v>2220</v>
      </c>
      <c r="U60" s="90" t="s">
        <v>1591</v>
      </c>
      <c r="V60" s="88">
        <v>44942</v>
      </c>
      <c r="W60" s="88">
        <v>44942</v>
      </c>
      <c r="X60" s="90" t="s">
        <v>43</v>
      </c>
      <c r="Y60" s="90" t="s">
        <v>257</v>
      </c>
      <c r="Z60" s="90" t="s">
        <v>36</v>
      </c>
      <c r="AA60" s="91"/>
      <c r="AB60" s="91"/>
      <c r="AC60" s="90" t="s">
        <v>2051</v>
      </c>
      <c r="AD60" s="90" t="s">
        <v>267</v>
      </c>
      <c r="AE60" s="90" t="s">
        <v>1603</v>
      </c>
      <c r="AF60" s="90" t="s">
        <v>2004</v>
      </c>
      <c r="AG60" s="90" t="s">
        <v>3181</v>
      </c>
      <c r="AH60" s="91"/>
      <c r="AI60" s="91"/>
      <c r="AJ60" s="90" t="s">
        <v>2051</v>
      </c>
      <c r="AK60" s="91"/>
      <c r="AL60" s="90" t="s">
        <v>2198</v>
      </c>
      <c r="AM60" s="90" t="s">
        <v>2199</v>
      </c>
      <c r="AN60" s="90" t="s">
        <v>2054</v>
      </c>
      <c r="AO60" s="87" t="s">
        <v>1949</v>
      </c>
      <c r="AP60" s="87" t="s">
        <v>1950</v>
      </c>
      <c r="AQ60" s="90" t="s">
        <v>2229</v>
      </c>
      <c r="AR60" s="91"/>
      <c r="AS60" s="91"/>
      <c r="AT60" s="91"/>
      <c r="AU60" s="87" t="s">
        <v>1972</v>
      </c>
      <c r="AV60" s="91"/>
      <c r="AW60" s="91"/>
      <c r="AX60" s="91"/>
      <c r="AY60" s="91"/>
      <c r="AZ60" t="str">
        <f t="shared" ref="AZ60:AZ123" si="6">R60</f>
        <v>212614</v>
      </c>
      <c r="BA60" t="str">
        <f t="shared" ref="BA60:BA123" si="7">U60</f>
        <v>0218</v>
      </c>
      <c r="BB60" t="str">
        <f t="shared" si="2"/>
        <v>000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>IFERROR(VLOOKUP(X60,'Status Map'!A:B,2,FALSE),"Status Code Not Mapped")</f>
        <v>Y</v>
      </c>
      <c r="BL60" t="str">
        <f>IFERROR(VLOOKUP(D60,'Invoice Exception Map'!A:C,3,FALSE),"N")</f>
        <v>N</v>
      </c>
      <c r="BM60">
        <f t="shared" ref="BM60:BM123" si="8">FIND(",",F60,1)</f>
        <v>10</v>
      </c>
      <c r="BN60" t="str">
        <f t="shared" ref="BN60:BN123" si="9">LEFT(F60,BM60-1)</f>
        <v>Surendran</v>
      </c>
      <c r="BO60" t="str">
        <f t="shared" ref="BO60:BO123" si="10">MID(F60,BM60+2,45)</f>
        <v>Suresh K.</v>
      </c>
    </row>
    <row r="61" spans="1:67" ht="16" thickBot="1" x14ac:dyDescent="0.25">
      <c r="A61" s="90" t="s">
        <v>2210</v>
      </c>
      <c r="B61" s="90" t="s">
        <v>2230</v>
      </c>
      <c r="C61" s="90" t="s">
        <v>2231</v>
      </c>
      <c r="D61" s="90" t="s">
        <v>3175</v>
      </c>
      <c r="E61" s="90" t="s">
        <v>1953</v>
      </c>
      <c r="F61" s="90" t="s">
        <v>2219</v>
      </c>
      <c r="G61" s="90" t="s">
        <v>2232</v>
      </c>
      <c r="H61" s="90" t="s">
        <v>1943</v>
      </c>
      <c r="I61" s="90" t="s">
        <v>1944</v>
      </c>
      <c r="J61" s="90" t="s">
        <v>1957</v>
      </c>
      <c r="K61" s="90" t="s">
        <v>2233</v>
      </c>
      <c r="L61" s="90" t="s">
        <v>2234</v>
      </c>
      <c r="M61" s="87" t="s">
        <v>1998</v>
      </c>
      <c r="N61" s="87" t="s">
        <v>1999</v>
      </c>
      <c r="O61" s="88">
        <v>44851</v>
      </c>
      <c r="P61" s="89">
        <v>3.9</v>
      </c>
      <c r="Q61" s="90" t="s">
        <v>504</v>
      </c>
      <c r="R61" s="90" t="s">
        <v>3156</v>
      </c>
      <c r="S61" s="90" t="s">
        <v>2204</v>
      </c>
      <c r="T61" s="90" t="s">
        <v>2220</v>
      </c>
      <c r="U61" s="90" t="s">
        <v>1591</v>
      </c>
      <c r="V61" s="88">
        <v>44851</v>
      </c>
      <c r="W61" s="88">
        <v>44851</v>
      </c>
      <c r="X61" s="90" t="s">
        <v>43</v>
      </c>
      <c r="Y61" s="90" t="s">
        <v>257</v>
      </c>
      <c r="Z61" s="90" t="s">
        <v>36</v>
      </c>
      <c r="AA61" s="91"/>
      <c r="AB61" s="91"/>
      <c r="AC61" s="90" t="s">
        <v>2051</v>
      </c>
      <c r="AD61" s="90" t="s">
        <v>267</v>
      </c>
      <c r="AE61" s="90" t="s">
        <v>1603</v>
      </c>
      <c r="AF61" s="90" t="s">
        <v>1947</v>
      </c>
      <c r="AG61" s="90" t="s">
        <v>3183</v>
      </c>
      <c r="AH61" s="91"/>
      <c r="AI61" s="91"/>
      <c r="AJ61" s="90" t="s">
        <v>2051</v>
      </c>
      <c r="AK61" s="90" t="s">
        <v>2235</v>
      </c>
      <c r="AL61" s="90" t="s">
        <v>2198</v>
      </c>
      <c r="AM61" s="90" t="s">
        <v>2199</v>
      </c>
      <c r="AN61" s="90" t="s">
        <v>2054</v>
      </c>
      <c r="AO61" s="87" t="s">
        <v>1949</v>
      </c>
      <c r="AP61" s="87" t="s">
        <v>1950</v>
      </c>
      <c r="AQ61" s="90" t="s">
        <v>1577</v>
      </c>
      <c r="AR61" s="92">
        <v>62000</v>
      </c>
      <c r="AS61" s="92">
        <v>78000</v>
      </c>
      <c r="AT61" s="92">
        <v>97000</v>
      </c>
      <c r="AU61" s="87" t="s">
        <v>1951</v>
      </c>
      <c r="AV61" s="87" t="s">
        <v>1966</v>
      </c>
      <c r="AW61" s="91"/>
      <c r="AX61" s="91"/>
      <c r="AY61" s="91"/>
      <c r="AZ61" t="str">
        <f t="shared" si="6"/>
        <v>203016</v>
      </c>
      <c r="BA61" t="str">
        <f t="shared" si="7"/>
        <v>0218</v>
      </c>
      <c r="BB61" t="str">
        <f t="shared" si="2"/>
        <v>000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>IFERROR(VLOOKUP(X61,'Status Map'!A:B,2,FALSE),"Status Code Not Mapped")</f>
        <v>Y</v>
      </c>
      <c r="BL61" t="str">
        <f>IFERROR(VLOOKUP(D61,'Invoice Exception Map'!A:C,3,FALSE),"N")</f>
        <v>N</v>
      </c>
      <c r="BM61">
        <f t="shared" si="8"/>
        <v>6</v>
      </c>
      <c r="BN61" t="str">
        <f t="shared" si="9"/>
        <v>Alves</v>
      </c>
      <c r="BO61" t="str">
        <f t="shared" si="10"/>
        <v>Joao</v>
      </c>
    </row>
    <row r="62" spans="1:67" ht="16" thickBot="1" x14ac:dyDescent="0.25">
      <c r="A62" s="90" t="s">
        <v>2210</v>
      </c>
      <c r="B62" s="90" t="s">
        <v>2230</v>
      </c>
      <c r="C62" s="90" t="s">
        <v>2231</v>
      </c>
      <c r="D62" s="90" t="s">
        <v>3396</v>
      </c>
      <c r="E62" s="90" t="s">
        <v>1953</v>
      </c>
      <c r="F62" s="90" t="s">
        <v>2236</v>
      </c>
      <c r="G62" s="90" t="s">
        <v>2237</v>
      </c>
      <c r="H62" s="90" t="s">
        <v>1943</v>
      </c>
      <c r="I62" s="90" t="s">
        <v>1944</v>
      </c>
      <c r="J62" s="90" t="s">
        <v>1957</v>
      </c>
      <c r="K62" s="90" t="s">
        <v>2238</v>
      </c>
      <c r="L62" s="90" t="s">
        <v>2239</v>
      </c>
      <c r="M62" s="87" t="s">
        <v>1945</v>
      </c>
      <c r="N62" s="87" t="s">
        <v>2240</v>
      </c>
      <c r="O62" s="88">
        <v>42555</v>
      </c>
      <c r="P62" s="89">
        <v>10.1</v>
      </c>
      <c r="Q62" s="90" t="s">
        <v>287</v>
      </c>
      <c r="R62" s="90" t="s">
        <v>3156</v>
      </c>
      <c r="S62" s="90" t="s">
        <v>2204</v>
      </c>
      <c r="T62" s="90" t="s">
        <v>2220</v>
      </c>
      <c r="U62" s="90" t="s">
        <v>1591</v>
      </c>
      <c r="V62" s="88">
        <v>42555</v>
      </c>
      <c r="W62" s="88">
        <v>42555</v>
      </c>
      <c r="X62" s="90" t="s">
        <v>43</v>
      </c>
      <c r="Y62" s="90" t="s">
        <v>257</v>
      </c>
      <c r="Z62" s="90" t="s">
        <v>36</v>
      </c>
      <c r="AA62" s="91"/>
      <c r="AB62" s="91"/>
      <c r="AC62" s="90" t="s">
        <v>2051</v>
      </c>
      <c r="AD62" s="90" t="s">
        <v>267</v>
      </c>
      <c r="AE62" s="90" t="s">
        <v>1603</v>
      </c>
      <c r="AF62" s="90" t="s">
        <v>1947</v>
      </c>
      <c r="AG62" s="90" t="s">
        <v>3184</v>
      </c>
      <c r="AH62" s="91"/>
      <c r="AI62" s="91"/>
      <c r="AJ62" s="90" t="s">
        <v>2051</v>
      </c>
      <c r="AK62" s="90" t="s">
        <v>2241</v>
      </c>
      <c r="AL62" s="90" t="s">
        <v>2198</v>
      </c>
      <c r="AM62" s="90" t="s">
        <v>2199</v>
      </c>
      <c r="AN62" s="90" t="s">
        <v>2054</v>
      </c>
      <c r="AO62" s="87" t="s">
        <v>1949</v>
      </c>
      <c r="AP62" s="87" t="s">
        <v>1950</v>
      </c>
      <c r="AQ62" s="90" t="s">
        <v>1540</v>
      </c>
      <c r="AR62" s="92">
        <v>78000</v>
      </c>
      <c r="AS62" s="92">
        <v>97000</v>
      </c>
      <c r="AT62" s="92">
        <v>121000</v>
      </c>
      <c r="AU62" s="87" t="s">
        <v>1951</v>
      </c>
      <c r="AV62" s="87" t="s">
        <v>1952</v>
      </c>
      <c r="AW62" s="91"/>
      <c r="AX62" s="91"/>
      <c r="AY62" s="91"/>
      <c r="AZ62" t="str">
        <f t="shared" si="6"/>
        <v>203016</v>
      </c>
      <c r="BA62" t="str">
        <f t="shared" si="7"/>
        <v>0218</v>
      </c>
      <c r="BB62" t="str">
        <f t="shared" si="2"/>
        <v>000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>IFERROR(VLOOKUP(X62,'Status Map'!A:B,2,FALSE),"Status Code Not Mapped")</f>
        <v>Y</v>
      </c>
      <c r="BL62" t="str">
        <f>IFERROR(VLOOKUP(D62,'Invoice Exception Map'!A:C,3,FALSE),"N")</f>
        <v>N</v>
      </c>
      <c r="BM62">
        <f t="shared" si="8"/>
        <v>7</v>
      </c>
      <c r="BN62" t="str">
        <f t="shared" si="9"/>
        <v>Bryant</v>
      </c>
      <c r="BO62" t="str">
        <f t="shared" si="10"/>
        <v>Mark</v>
      </c>
    </row>
    <row r="63" spans="1:67" ht="16" thickBot="1" x14ac:dyDescent="0.25">
      <c r="A63" s="90" t="s">
        <v>2210</v>
      </c>
      <c r="B63" s="90" t="s">
        <v>2230</v>
      </c>
      <c r="C63" s="90" t="s">
        <v>2231</v>
      </c>
      <c r="D63" s="90" t="s">
        <v>3397</v>
      </c>
      <c r="E63" s="90" t="s">
        <v>1953</v>
      </c>
      <c r="F63" s="90" t="s">
        <v>3398</v>
      </c>
      <c r="G63" s="90" t="s">
        <v>3307</v>
      </c>
      <c r="H63" s="90" t="s">
        <v>1943</v>
      </c>
      <c r="I63" s="90" t="s">
        <v>1944</v>
      </c>
      <c r="J63" s="90" t="s">
        <v>2022</v>
      </c>
      <c r="K63" s="90" t="s">
        <v>386</v>
      </c>
      <c r="L63" s="90" t="s">
        <v>3399</v>
      </c>
      <c r="M63" s="87" t="s">
        <v>1945</v>
      </c>
      <c r="N63" s="87" t="s">
        <v>1978</v>
      </c>
      <c r="O63" s="88">
        <v>37594</v>
      </c>
      <c r="P63" s="89">
        <v>23.7</v>
      </c>
      <c r="Q63" s="90" t="s">
        <v>151</v>
      </c>
      <c r="R63" s="90" t="s">
        <v>1412</v>
      </c>
      <c r="S63" s="90" t="s">
        <v>383</v>
      </c>
      <c r="T63" s="90" t="s">
        <v>2220</v>
      </c>
      <c r="U63" s="90" t="s">
        <v>1591</v>
      </c>
      <c r="V63" s="88">
        <v>37594</v>
      </c>
      <c r="W63" s="88">
        <v>37594</v>
      </c>
      <c r="X63" s="90" t="s">
        <v>43</v>
      </c>
      <c r="Y63" s="90" t="s">
        <v>257</v>
      </c>
      <c r="Z63" s="90" t="s">
        <v>36</v>
      </c>
      <c r="AA63" s="91"/>
      <c r="AB63" s="91"/>
      <c r="AC63" s="90" t="s">
        <v>2051</v>
      </c>
      <c r="AD63" s="90" t="s">
        <v>267</v>
      </c>
      <c r="AE63" s="90" t="s">
        <v>1603</v>
      </c>
      <c r="AF63" s="90" t="s">
        <v>1947</v>
      </c>
      <c r="AG63" s="90" t="s">
        <v>3185</v>
      </c>
      <c r="AH63" s="91"/>
      <c r="AI63" s="91"/>
      <c r="AJ63" s="90" t="s">
        <v>2051</v>
      </c>
      <c r="AK63" s="90" t="s">
        <v>36</v>
      </c>
      <c r="AL63" s="90" t="s">
        <v>2198</v>
      </c>
      <c r="AM63" s="90" t="s">
        <v>2199</v>
      </c>
      <c r="AN63" s="90" t="s">
        <v>2054</v>
      </c>
      <c r="AO63" s="87" t="s">
        <v>3082</v>
      </c>
      <c r="AP63" s="87" t="s">
        <v>1950</v>
      </c>
      <c r="AQ63" s="90" t="s">
        <v>3186</v>
      </c>
      <c r="AR63" s="92">
        <v>88000</v>
      </c>
      <c r="AS63" s="92">
        <v>110000</v>
      </c>
      <c r="AT63" s="92">
        <v>137000</v>
      </c>
      <c r="AU63" s="87" t="s">
        <v>1951</v>
      </c>
      <c r="AV63" s="87" t="s">
        <v>1952</v>
      </c>
      <c r="AW63" s="91"/>
      <c r="AX63" s="91"/>
      <c r="AY63" s="91"/>
      <c r="AZ63" t="str">
        <f t="shared" si="6"/>
        <v>207199</v>
      </c>
      <c r="BA63" t="str">
        <f t="shared" si="7"/>
        <v>0218</v>
      </c>
      <c r="BB63" t="str">
        <f t="shared" si="2"/>
        <v>000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>IFERROR(VLOOKUP(X63,'Status Map'!A:B,2,FALSE),"Status Code Not Mapped")</f>
        <v>Y</v>
      </c>
      <c r="BL63" t="str">
        <f>IFERROR(VLOOKUP(D63,'Invoice Exception Map'!A:C,3,FALSE),"N")</f>
        <v>Y</v>
      </c>
      <c r="BM63">
        <f t="shared" si="8"/>
        <v>10</v>
      </c>
      <c r="BN63" t="str">
        <f t="shared" si="9"/>
        <v>Duvillard</v>
      </c>
      <c r="BO63" t="str">
        <f t="shared" si="10"/>
        <v>Jean-Philippe</v>
      </c>
    </row>
    <row r="64" spans="1:67" ht="16" thickBot="1" x14ac:dyDescent="0.25">
      <c r="A64" s="90" t="s">
        <v>2210</v>
      </c>
      <c r="B64" s="90" t="s">
        <v>2230</v>
      </c>
      <c r="C64" s="90" t="s">
        <v>2231</v>
      </c>
      <c r="D64" s="90" t="s">
        <v>3176</v>
      </c>
      <c r="E64" s="90" t="s">
        <v>1953</v>
      </c>
      <c r="F64" s="90" t="s">
        <v>2224</v>
      </c>
      <c r="G64" s="90" t="s">
        <v>3400</v>
      </c>
      <c r="H64" s="90" t="s">
        <v>1943</v>
      </c>
      <c r="I64" s="90" t="s">
        <v>1944</v>
      </c>
      <c r="J64" s="90" t="s">
        <v>427</v>
      </c>
      <c r="K64" s="90" t="s">
        <v>3401</v>
      </c>
      <c r="L64" s="90" t="s">
        <v>3402</v>
      </c>
      <c r="M64" s="87" t="s">
        <v>1998</v>
      </c>
      <c r="N64" s="87" t="s">
        <v>1983</v>
      </c>
      <c r="O64" s="88">
        <v>45910</v>
      </c>
      <c r="P64" s="89">
        <v>1</v>
      </c>
      <c r="Q64" s="90" t="s">
        <v>287</v>
      </c>
      <c r="R64" s="90" t="s">
        <v>3156</v>
      </c>
      <c r="S64" s="90" t="s">
        <v>2204</v>
      </c>
      <c r="T64" s="90" t="s">
        <v>2220</v>
      </c>
      <c r="U64" s="90" t="s">
        <v>1591</v>
      </c>
      <c r="V64" s="88">
        <v>45910</v>
      </c>
      <c r="W64" s="88">
        <v>45910</v>
      </c>
      <c r="X64" s="90" t="s">
        <v>43</v>
      </c>
      <c r="Y64" s="90" t="s">
        <v>257</v>
      </c>
      <c r="Z64" s="90" t="s">
        <v>36</v>
      </c>
      <c r="AA64" s="91"/>
      <c r="AB64" s="91"/>
      <c r="AC64" s="90" t="s">
        <v>2051</v>
      </c>
      <c r="AD64" s="90" t="s">
        <v>267</v>
      </c>
      <c r="AE64" s="90" t="s">
        <v>1603</v>
      </c>
      <c r="AF64" s="90" t="s">
        <v>1947</v>
      </c>
      <c r="AG64" s="90" t="s">
        <v>3187</v>
      </c>
      <c r="AH64" s="91"/>
      <c r="AI64" s="91"/>
      <c r="AJ64" s="90" t="s">
        <v>2051</v>
      </c>
      <c r="AK64" s="91"/>
      <c r="AL64" s="90" t="s">
        <v>2198</v>
      </c>
      <c r="AM64" s="90" t="s">
        <v>2199</v>
      </c>
      <c r="AN64" s="90" t="s">
        <v>2054</v>
      </c>
      <c r="AO64" s="87" t="s">
        <v>3082</v>
      </c>
      <c r="AP64" s="87" t="s">
        <v>1950</v>
      </c>
      <c r="AQ64" s="90" t="s">
        <v>3188</v>
      </c>
      <c r="AR64" s="92">
        <v>78000</v>
      </c>
      <c r="AS64" s="92">
        <v>97000</v>
      </c>
      <c r="AT64" s="92">
        <v>121000</v>
      </c>
      <c r="AU64" s="87" t="s">
        <v>1951</v>
      </c>
      <c r="AV64" s="87" t="s">
        <v>1952</v>
      </c>
      <c r="AW64" s="91"/>
      <c r="AX64" s="91"/>
      <c r="AY64" s="91"/>
      <c r="AZ64" t="str">
        <f t="shared" si="6"/>
        <v>203016</v>
      </c>
      <c r="BA64" t="str">
        <f t="shared" si="7"/>
        <v>0218</v>
      </c>
      <c r="BB64" t="str">
        <f t="shared" si="2"/>
        <v>000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>IFERROR(VLOOKUP(X64,'Status Map'!A:B,2,FALSE),"Status Code Not Mapped")</f>
        <v>Y</v>
      </c>
      <c r="BL64" t="str">
        <f>IFERROR(VLOOKUP(D64,'Invoice Exception Map'!A:C,3,FALSE),"N")</f>
        <v>N</v>
      </c>
      <c r="BM64">
        <f t="shared" si="8"/>
        <v>5</v>
      </c>
      <c r="BN64" t="str">
        <f t="shared" si="9"/>
        <v>Hall</v>
      </c>
      <c r="BO64" t="str">
        <f t="shared" si="10"/>
        <v>Benjamin</v>
      </c>
    </row>
    <row r="65" spans="1:67" ht="16" thickBot="1" x14ac:dyDescent="0.25">
      <c r="A65" s="90" t="s">
        <v>2210</v>
      </c>
      <c r="B65" s="90" t="s">
        <v>2230</v>
      </c>
      <c r="C65" s="90" t="s">
        <v>2231</v>
      </c>
      <c r="D65" s="90" t="s">
        <v>3403</v>
      </c>
      <c r="E65" s="90" t="s">
        <v>1953</v>
      </c>
      <c r="F65" s="90" t="s">
        <v>3404</v>
      </c>
      <c r="G65" s="90" t="s">
        <v>3302</v>
      </c>
      <c r="H65" s="90" t="s">
        <v>1943</v>
      </c>
      <c r="I65" s="90" t="s">
        <v>1944</v>
      </c>
      <c r="J65" s="90" t="s">
        <v>831</v>
      </c>
      <c r="K65" s="90" t="s">
        <v>829</v>
      </c>
      <c r="L65" s="90" t="s">
        <v>3405</v>
      </c>
      <c r="M65" s="87" t="s">
        <v>1945</v>
      </c>
      <c r="N65" s="87" t="s">
        <v>831</v>
      </c>
      <c r="O65" s="88">
        <v>33091</v>
      </c>
      <c r="P65" s="89">
        <v>36</v>
      </c>
      <c r="Q65" s="90" t="s">
        <v>69</v>
      </c>
      <c r="R65" s="90" t="s">
        <v>3156</v>
      </c>
      <c r="S65" s="90" t="s">
        <v>2204</v>
      </c>
      <c r="T65" s="90" t="s">
        <v>2220</v>
      </c>
      <c r="U65" s="90" t="s">
        <v>1591</v>
      </c>
      <c r="V65" s="88">
        <v>33091</v>
      </c>
      <c r="W65" s="88">
        <v>33091</v>
      </c>
      <c r="X65" s="90" t="s">
        <v>43</v>
      </c>
      <c r="Y65" s="90" t="s">
        <v>257</v>
      </c>
      <c r="Z65" s="90" t="s">
        <v>36</v>
      </c>
      <c r="AA65" s="91"/>
      <c r="AB65" s="91"/>
      <c r="AC65" s="90" t="s">
        <v>2051</v>
      </c>
      <c r="AD65" s="90" t="s">
        <v>267</v>
      </c>
      <c r="AE65" s="90" t="s">
        <v>1603</v>
      </c>
      <c r="AF65" s="90" t="s">
        <v>1947</v>
      </c>
      <c r="AG65" s="90" t="s">
        <v>3182</v>
      </c>
      <c r="AH65" s="91"/>
      <c r="AI65" s="91"/>
      <c r="AJ65" s="90" t="s">
        <v>2051</v>
      </c>
      <c r="AK65" s="90" t="s">
        <v>36</v>
      </c>
      <c r="AL65" s="90" t="s">
        <v>2198</v>
      </c>
      <c r="AM65" s="90" t="s">
        <v>2199</v>
      </c>
      <c r="AN65" s="90" t="s">
        <v>2054</v>
      </c>
      <c r="AO65" s="87" t="s">
        <v>3082</v>
      </c>
      <c r="AP65" s="87" t="s">
        <v>1950</v>
      </c>
      <c r="AQ65" s="90" t="s">
        <v>3189</v>
      </c>
      <c r="AR65" s="92">
        <v>98000</v>
      </c>
      <c r="AS65" s="92">
        <v>122000</v>
      </c>
      <c r="AT65" s="92">
        <v>153000</v>
      </c>
      <c r="AU65" s="87" t="s">
        <v>1951</v>
      </c>
      <c r="AV65" s="87" t="s">
        <v>1981</v>
      </c>
      <c r="AW65" s="91"/>
      <c r="AX65" s="91"/>
      <c r="AY65" s="91"/>
      <c r="AZ65" t="str">
        <f t="shared" si="6"/>
        <v>203016</v>
      </c>
      <c r="BA65" t="str">
        <f t="shared" si="7"/>
        <v>0218</v>
      </c>
      <c r="BB65" t="str">
        <f t="shared" si="2"/>
        <v>000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>IFERROR(VLOOKUP(X65,'Status Map'!A:B,2,FALSE),"Status Code Not Mapped")</f>
        <v>Y</v>
      </c>
      <c r="BL65" t="str">
        <f>IFERROR(VLOOKUP(D65,'Invoice Exception Map'!A:C,3,FALSE),"N")</f>
        <v>N</v>
      </c>
      <c r="BM65">
        <f t="shared" si="8"/>
        <v>7</v>
      </c>
      <c r="BN65" t="str">
        <f t="shared" si="9"/>
        <v>Joseph</v>
      </c>
      <c r="BO65" t="str">
        <f t="shared" si="10"/>
        <v>Linda</v>
      </c>
    </row>
    <row r="66" spans="1:67" ht="16" thickBot="1" x14ac:dyDescent="0.25">
      <c r="A66" s="90" t="s">
        <v>2210</v>
      </c>
      <c r="B66" s="90" t="s">
        <v>2230</v>
      </c>
      <c r="C66" s="90" t="s">
        <v>2231</v>
      </c>
      <c r="D66" s="90" t="s">
        <v>3406</v>
      </c>
      <c r="E66" s="90" t="s">
        <v>1953</v>
      </c>
      <c r="F66" s="90" t="s">
        <v>3407</v>
      </c>
      <c r="G66" s="90" t="s">
        <v>3408</v>
      </c>
      <c r="H66" s="90" t="s">
        <v>1943</v>
      </c>
      <c r="I66" s="90" t="s">
        <v>1944</v>
      </c>
      <c r="J66" s="90" t="s">
        <v>692</v>
      </c>
      <c r="K66" s="90" t="s">
        <v>3409</v>
      </c>
      <c r="L66" s="90" t="s">
        <v>2832</v>
      </c>
      <c r="M66" s="87" t="s">
        <v>2036</v>
      </c>
      <c r="N66" s="87" t="s">
        <v>161</v>
      </c>
      <c r="O66" s="88">
        <v>44576</v>
      </c>
      <c r="P66" s="89">
        <v>4.5999999999999996</v>
      </c>
      <c r="Q66" s="90" t="s">
        <v>330</v>
      </c>
      <c r="R66" s="90" t="s">
        <v>3190</v>
      </c>
      <c r="S66" s="90" t="s">
        <v>3191</v>
      </c>
      <c r="T66" s="90" t="s">
        <v>2220</v>
      </c>
      <c r="U66" s="90" t="s">
        <v>1591</v>
      </c>
      <c r="V66" s="88">
        <v>44576</v>
      </c>
      <c r="W66" s="88">
        <v>44576</v>
      </c>
      <c r="X66" s="90" t="s">
        <v>43</v>
      </c>
      <c r="Y66" s="90" t="s">
        <v>257</v>
      </c>
      <c r="Z66" s="90" t="s">
        <v>36</v>
      </c>
      <c r="AA66" s="91"/>
      <c r="AB66" s="91"/>
      <c r="AC66" s="90" t="s">
        <v>2051</v>
      </c>
      <c r="AD66" s="90" t="s">
        <v>267</v>
      </c>
      <c r="AE66" s="90" t="s">
        <v>1603</v>
      </c>
      <c r="AF66" s="90" t="s">
        <v>1947</v>
      </c>
      <c r="AG66" s="90" t="s">
        <v>2228</v>
      </c>
      <c r="AH66" s="91"/>
      <c r="AI66" s="91"/>
      <c r="AJ66" s="90" t="s">
        <v>2051</v>
      </c>
      <c r="AK66" s="91"/>
      <c r="AL66" s="90" t="s">
        <v>2198</v>
      </c>
      <c r="AM66" s="90" t="s">
        <v>2199</v>
      </c>
      <c r="AN66" s="90" t="s">
        <v>2054</v>
      </c>
      <c r="AO66" s="87" t="s">
        <v>3082</v>
      </c>
      <c r="AP66" s="87" t="s">
        <v>1950</v>
      </c>
      <c r="AQ66" s="90" t="s">
        <v>3192</v>
      </c>
      <c r="AR66" s="92">
        <v>43000</v>
      </c>
      <c r="AS66" s="92">
        <v>53000</v>
      </c>
      <c r="AT66" s="92">
        <v>66000</v>
      </c>
      <c r="AU66" s="87" t="s">
        <v>1972</v>
      </c>
      <c r="AV66" s="87" t="s">
        <v>1973</v>
      </c>
      <c r="AW66" s="91"/>
      <c r="AX66" s="91"/>
      <c r="AY66" s="91"/>
      <c r="AZ66" t="str">
        <f t="shared" si="6"/>
        <v>212226</v>
      </c>
      <c r="BA66" t="str">
        <f t="shared" si="7"/>
        <v>0218</v>
      </c>
      <c r="BB66" t="str">
        <f t="shared" si="2"/>
        <v>000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>IFERROR(VLOOKUP(X66,'Status Map'!A:B,2,FALSE),"Status Code Not Mapped")</f>
        <v>Y</v>
      </c>
      <c r="BL66" t="str">
        <f>IFERROR(VLOOKUP(D66,'Invoice Exception Map'!A:C,3,FALSE),"N")</f>
        <v>N</v>
      </c>
      <c r="BM66">
        <f t="shared" si="8"/>
        <v>7</v>
      </c>
      <c r="BN66" t="str">
        <f t="shared" si="9"/>
        <v>Qayyum</v>
      </c>
      <c r="BO66" t="str">
        <f t="shared" si="10"/>
        <v>Rizwan</v>
      </c>
    </row>
    <row r="67" spans="1:67" s="106" customFormat="1" ht="16" thickBot="1" x14ac:dyDescent="0.25">
      <c r="A67" s="100" t="s">
        <v>2210</v>
      </c>
      <c r="B67" s="100" t="s">
        <v>2230</v>
      </c>
      <c r="C67" s="100" t="s">
        <v>2231</v>
      </c>
      <c r="D67" s="100" t="s">
        <v>3190</v>
      </c>
      <c r="E67" s="100" t="s">
        <v>1953</v>
      </c>
      <c r="F67" s="100" t="s">
        <v>3191</v>
      </c>
      <c r="G67" s="100" t="s">
        <v>3410</v>
      </c>
      <c r="H67" s="100" t="s">
        <v>1943</v>
      </c>
      <c r="I67" s="100" t="s">
        <v>1944</v>
      </c>
      <c r="J67" s="100" t="s">
        <v>692</v>
      </c>
      <c r="K67" s="100" t="s">
        <v>3411</v>
      </c>
      <c r="L67" s="100" t="s">
        <v>3412</v>
      </c>
      <c r="M67" s="101" t="s">
        <v>1945</v>
      </c>
      <c r="N67" s="101" t="s">
        <v>1980</v>
      </c>
      <c r="O67" s="102">
        <v>45810</v>
      </c>
      <c r="P67" s="103">
        <v>1.2</v>
      </c>
      <c r="Q67" s="100" t="s">
        <v>151</v>
      </c>
      <c r="R67" s="118" t="s">
        <v>1000</v>
      </c>
      <c r="S67" s="114" t="s">
        <v>111</v>
      </c>
      <c r="T67" s="100" t="s">
        <v>2220</v>
      </c>
      <c r="U67" s="100" t="s">
        <v>1591</v>
      </c>
      <c r="V67" s="102">
        <v>45810</v>
      </c>
      <c r="W67" s="102">
        <v>45810</v>
      </c>
      <c r="X67" s="100" t="s">
        <v>43</v>
      </c>
      <c r="Y67" s="100" t="s">
        <v>257</v>
      </c>
      <c r="Z67" s="100" t="s">
        <v>36</v>
      </c>
      <c r="AA67" s="104"/>
      <c r="AB67" s="104"/>
      <c r="AC67" s="100" t="s">
        <v>2051</v>
      </c>
      <c r="AD67" s="100" t="s">
        <v>267</v>
      </c>
      <c r="AE67" s="100" t="s">
        <v>1603</v>
      </c>
      <c r="AF67" s="100" t="s">
        <v>1947</v>
      </c>
      <c r="AG67" s="100" t="s">
        <v>3193</v>
      </c>
      <c r="AH67" s="104"/>
      <c r="AI67" s="104"/>
      <c r="AJ67" s="100" t="s">
        <v>2051</v>
      </c>
      <c r="AK67" s="104"/>
      <c r="AL67" s="100" t="s">
        <v>2198</v>
      </c>
      <c r="AM67" s="100" t="s">
        <v>2199</v>
      </c>
      <c r="AN67" s="100" t="s">
        <v>2054</v>
      </c>
      <c r="AO67" s="101" t="s">
        <v>3082</v>
      </c>
      <c r="AP67" s="101" t="s">
        <v>1950</v>
      </c>
      <c r="AQ67" s="100" t="s">
        <v>3194</v>
      </c>
      <c r="AR67" s="105">
        <v>88000</v>
      </c>
      <c r="AS67" s="105">
        <v>110000</v>
      </c>
      <c r="AT67" s="105">
        <v>137000</v>
      </c>
      <c r="AU67" s="101" t="s">
        <v>1951</v>
      </c>
      <c r="AV67" s="101" t="s">
        <v>1952</v>
      </c>
      <c r="AW67" s="104"/>
      <c r="AX67" s="104"/>
      <c r="AY67" s="104"/>
      <c r="AZ67" s="106" t="str">
        <f t="shared" si="6"/>
        <v>008750</v>
      </c>
      <c r="BA67" s="106" t="str">
        <f t="shared" si="7"/>
        <v>0218</v>
      </c>
      <c r="BB67" s="106" t="str">
        <f t="shared" ref="BB67:BB130" si="11">IF(OR(BA67="0077",BA67="177"),"0000",IF(ISBLANK(AI67),"000",AI67))</f>
        <v>000</v>
      </c>
      <c r="BC67" s="106" t="str">
        <f>IFERROR(VLOOKUP(TRIM(Q67),'Salary Map'!A:E,3,FALSE),"Salary Code Not Mapped")</f>
        <v>Default</v>
      </c>
      <c r="BD67" s="106" t="str">
        <f>IFERROR(VLOOKUP(TRIM(Q67),'Salary Map'!A:E,4,FALSE),"Salary Code Not Mapped")</f>
        <v>General</v>
      </c>
      <c r="BE67" s="106">
        <f>IF(BL67="N",0,IFERROR(VLOOKUP(TRIM(Q67),'Salary Map'!A:E,5,FALSE),"Salary Not Mapped"))</f>
        <v>0</v>
      </c>
      <c r="BF67" s="106" t="str">
        <f>IFERROR(VLOOKUP(AM67,'Country Map'!A:E,2,FALSE),"Country Not Mapped")</f>
        <v>GB</v>
      </c>
      <c r="BH67" s="106" t="str">
        <f>IFERROR(VLOOKUP(AM67,'Country Map'!A:E,4,FALSE),"Country Not Mapped")</f>
        <v>GBP</v>
      </c>
      <c r="BJ67" s="106" t="str">
        <f>IFERROR(VLOOKUP(X67,'Status Map'!A:B,2,FALSE),"Status Code Not Mapped")</f>
        <v>Y</v>
      </c>
      <c r="BL67" s="106" t="str">
        <f>IFERROR(VLOOKUP(D67,'Invoice Exception Map'!A:C,3,FALSE),"N")</f>
        <v>N</v>
      </c>
      <c r="BM67" s="106">
        <f t="shared" si="8"/>
        <v>14</v>
      </c>
      <c r="BN67" s="106" t="str">
        <f t="shared" si="9"/>
        <v>Sharakshinova</v>
      </c>
      <c r="BO67" s="106" t="str">
        <f t="shared" si="10"/>
        <v>Svetlana</v>
      </c>
    </row>
    <row r="68" spans="1:67" ht="16" thickBot="1" x14ac:dyDescent="0.25">
      <c r="A68" s="90" t="s">
        <v>2210</v>
      </c>
      <c r="B68" s="90" t="s">
        <v>2230</v>
      </c>
      <c r="C68" s="90" t="s">
        <v>2231</v>
      </c>
      <c r="D68" s="90" t="s">
        <v>3413</v>
      </c>
      <c r="E68" s="90" t="s">
        <v>1953</v>
      </c>
      <c r="F68" s="90" t="s">
        <v>2242</v>
      </c>
      <c r="G68" s="90" t="s">
        <v>2243</v>
      </c>
      <c r="H68" s="90" t="s">
        <v>1943</v>
      </c>
      <c r="I68" s="90" t="s">
        <v>1944</v>
      </c>
      <c r="J68" s="90" t="s">
        <v>241</v>
      </c>
      <c r="K68" s="90" t="s">
        <v>2244</v>
      </c>
      <c r="L68" s="90" t="s">
        <v>2245</v>
      </c>
      <c r="M68" s="87" t="s">
        <v>1998</v>
      </c>
      <c r="N68" s="87" t="s">
        <v>1978</v>
      </c>
      <c r="O68" s="88">
        <v>41911</v>
      </c>
      <c r="P68" s="89">
        <v>11.9</v>
      </c>
      <c r="Q68" s="90" t="s">
        <v>151</v>
      </c>
      <c r="R68" s="90" t="s">
        <v>584</v>
      </c>
      <c r="S68" s="90" t="s">
        <v>73</v>
      </c>
      <c r="T68" s="90" t="s">
        <v>2220</v>
      </c>
      <c r="U68" s="90" t="s">
        <v>1591</v>
      </c>
      <c r="V68" s="88">
        <v>41911</v>
      </c>
      <c r="W68" s="88">
        <v>41911</v>
      </c>
      <c r="X68" s="90" t="s">
        <v>43</v>
      </c>
      <c r="Y68" s="90" t="s">
        <v>257</v>
      </c>
      <c r="Z68" s="90" t="s">
        <v>36</v>
      </c>
      <c r="AA68" s="91"/>
      <c r="AB68" s="91"/>
      <c r="AC68" s="90" t="s">
        <v>2051</v>
      </c>
      <c r="AD68" s="90" t="s">
        <v>267</v>
      </c>
      <c r="AE68" s="90" t="s">
        <v>1603</v>
      </c>
      <c r="AF68" s="90" t="s">
        <v>1947</v>
      </c>
      <c r="AG68" s="90" t="s">
        <v>3195</v>
      </c>
      <c r="AH68" s="91"/>
      <c r="AI68" s="91"/>
      <c r="AJ68" s="90" t="s">
        <v>2051</v>
      </c>
      <c r="AK68" s="90" t="s">
        <v>36</v>
      </c>
      <c r="AL68" s="90" t="s">
        <v>2198</v>
      </c>
      <c r="AM68" s="90" t="s">
        <v>2199</v>
      </c>
      <c r="AN68" s="90" t="s">
        <v>2054</v>
      </c>
      <c r="AO68" s="87" t="s">
        <v>1949</v>
      </c>
      <c r="AP68" s="87" t="s">
        <v>1950</v>
      </c>
      <c r="AQ68" s="90" t="s">
        <v>1541</v>
      </c>
      <c r="AR68" s="92">
        <v>88000</v>
      </c>
      <c r="AS68" s="92">
        <v>110000</v>
      </c>
      <c r="AT68" s="92">
        <v>137000</v>
      </c>
      <c r="AU68" s="87" t="s">
        <v>1951</v>
      </c>
      <c r="AV68" s="87" t="s">
        <v>1952</v>
      </c>
      <c r="AW68" s="91"/>
      <c r="AX68" s="91"/>
      <c r="AY68" s="91"/>
      <c r="AZ68" t="str">
        <f t="shared" si="6"/>
        <v>211766</v>
      </c>
      <c r="BA68" t="str">
        <f t="shared" si="7"/>
        <v>0218</v>
      </c>
      <c r="BB68" t="str">
        <f t="shared" si="11"/>
        <v>000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>IFERROR(VLOOKUP(X68,'Status Map'!A:B,2,FALSE),"Status Code Not Mapped")</f>
        <v>Y</v>
      </c>
      <c r="BL68" t="str">
        <f>IFERROR(VLOOKUP(D68,'Invoice Exception Map'!A:C,3,FALSE),"N")</f>
        <v>N</v>
      </c>
      <c r="BM68">
        <f t="shared" si="8"/>
        <v>9</v>
      </c>
      <c r="BN68" t="str">
        <f t="shared" si="9"/>
        <v>Streeter</v>
      </c>
      <c r="BO68" t="str">
        <f t="shared" si="10"/>
        <v>Kelly</v>
      </c>
    </row>
    <row r="69" spans="1:67" ht="16" thickBot="1" x14ac:dyDescent="0.25">
      <c r="A69" s="90" t="s">
        <v>2190</v>
      </c>
      <c r="B69" s="90" t="s">
        <v>3414</v>
      </c>
      <c r="C69" s="90" t="s">
        <v>3196</v>
      </c>
      <c r="D69" s="90" t="s">
        <v>3132</v>
      </c>
      <c r="E69" s="90" t="s">
        <v>1953</v>
      </c>
      <c r="F69" s="90" t="s">
        <v>2154</v>
      </c>
      <c r="G69" s="90" t="s">
        <v>3415</v>
      </c>
      <c r="H69" s="90" t="s">
        <v>1943</v>
      </c>
      <c r="I69" s="90" t="s">
        <v>1944</v>
      </c>
      <c r="J69" s="90" t="s">
        <v>1955</v>
      </c>
      <c r="K69" s="90" t="s">
        <v>3416</v>
      </c>
      <c r="L69" s="90" t="s">
        <v>3417</v>
      </c>
      <c r="M69" s="87" t="s">
        <v>1945</v>
      </c>
      <c r="N69" s="87" t="s">
        <v>66</v>
      </c>
      <c r="O69" s="88">
        <v>45313</v>
      </c>
      <c r="P69" s="89">
        <v>2.6</v>
      </c>
      <c r="Q69" s="90" t="s">
        <v>129</v>
      </c>
      <c r="R69" s="90" t="s">
        <v>135</v>
      </c>
      <c r="S69" s="90" t="s">
        <v>155</v>
      </c>
      <c r="T69" s="90" t="s">
        <v>3196</v>
      </c>
      <c r="U69" s="90" t="s">
        <v>3197</v>
      </c>
      <c r="V69" s="88">
        <v>45313</v>
      </c>
      <c r="W69" s="88">
        <v>45313</v>
      </c>
      <c r="X69" s="90" t="s">
        <v>43</v>
      </c>
      <c r="Y69" s="90" t="s">
        <v>257</v>
      </c>
      <c r="Z69" s="90" t="s">
        <v>36</v>
      </c>
      <c r="AA69" s="91"/>
      <c r="AB69" s="91"/>
      <c r="AC69" s="90" t="s">
        <v>2051</v>
      </c>
      <c r="AD69" s="90" t="s">
        <v>267</v>
      </c>
      <c r="AE69" s="90" t="s">
        <v>1603</v>
      </c>
      <c r="AF69" s="90" t="s">
        <v>1947</v>
      </c>
      <c r="AG69" s="90" t="s">
        <v>3198</v>
      </c>
      <c r="AH69" s="90" t="s">
        <v>2150</v>
      </c>
      <c r="AI69" s="90" t="s">
        <v>2150</v>
      </c>
      <c r="AJ69" s="90" t="s">
        <v>2051</v>
      </c>
      <c r="AK69" s="91"/>
      <c r="AL69" s="90" t="s">
        <v>2198</v>
      </c>
      <c r="AM69" s="90" t="s">
        <v>2199</v>
      </c>
      <c r="AN69" s="90" t="s">
        <v>2054</v>
      </c>
      <c r="AO69" s="87" t="s">
        <v>3082</v>
      </c>
      <c r="AP69" s="87" t="s">
        <v>1950</v>
      </c>
      <c r="AQ69" s="90" t="s">
        <v>3199</v>
      </c>
      <c r="AR69" s="92">
        <v>125000</v>
      </c>
      <c r="AS69" s="92">
        <v>155000</v>
      </c>
      <c r="AT69" s="92">
        <v>194000</v>
      </c>
      <c r="AU69" s="87" t="s">
        <v>1951</v>
      </c>
      <c r="AV69" s="87" t="s">
        <v>1977</v>
      </c>
      <c r="AW69" s="91"/>
      <c r="AX69" s="91"/>
      <c r="AY69" s="91"/>
      <c r="AZ69" t="str">
        <f t="shared" si="6"/>
        <v>207709</v>
      </c>
      <c r="BA69" t="str">
        <f t="shared" si="7"/>
        <v>0219</v>
      </c>
      <c r="BB69" t="str">
        <f t="shared" si="11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>IFERROR(VLOOKUP(X69,'Status Map'!A:B,2,FALSE),"Status Code Not Mapped")</f>
        <v>Y</v>
      </c>
      <c r="BL69" t="str">
        <f>IFERROR(VLOOKUP(D69,'Invoice Exception Map'!A:C,3,FALSE),"N")</f>
        <v>N</v>
      </c>
      <c r="BM69">
        <f t="shared" si="8"/>
        <v>6</v>
      </c>
      <c r="BN69" t="str">
        <f t="shared" si="9"/>
        <v>Adams</v>
      </c>
      <c r="BO69" t="str">
        <f t="shared" si="10"/>
        <v>Lee</v>
      </c>
    </row>
    <row r="70" spans="1:67" ht="16" thickBot="1" x14ac:dyDescent="0.25">
      <c r="A70" s="90" t="s">
        <v>2190</v>
      </c>
      <c r="B70" s="90" t="s">
        <v>3414</v>
      </c>
      <c r="C70" s="90" t="s">
        <v>3196</v>
      </c>
      <c r="D70" s="90" t="s">
        <v>3418</v>
      </c>
      <c r="E70" s="90" t="s">
        <v>1953</v>
      </c>
      <c r="F70" s="90" t="s">
        <v>3419</v>
      </c>
      <c r="G70" s="90" t="s">
        <v>3420</v>
      </c>
      <c r="H70" s="90" t="s">
        <v>267</v>
      </c>
      <c r="I70" s="90" t="s">
        <v>1944</v>
      </c>
      <c r="J70" s="90" t="s">
        <v>1955</v>
      </c>
      <c r="K70" s="90" t="s">
        <v>3421</v>
      </c>
      <c r="L70" s="90" t="s">
        <v>3422</v>
      </c>
      <c r="M70" s="87" t="s">
        <v>2024</v>
      </c>
      <c r="N70" s="87" t="s">
        <v>1991</v>
      </c>
      <c r="O70" s="88">
        <v>45796</v>
      </c>
      <c r="P70" s="89">
        <v>1.3</v>
      </c>
      <c r="Q70" s="90" t="s">
        <v>118</v>
      </c>
      <c r="R70" s="90" t="s">
        <v>3132</v>
      </c>
      <c r="S70" s="90" t="s">
        <v>2154</v>
      </c>
      <c r="T70" s="90" t="s">
        <v>3196</v>
      </c>
      <c r="U70" s="90" t="s">
        <v>3197</v>
      </c>
      <c r="V70" s="88">
        <v>45796</v>
      </c>
      <c r="W70" s="88">
        <v>45796</v>
      </c>
      <c r="X70" s="90" t="s">
        <v>43</v>
      </c>
      <c r="Y70" s="90" t="s">
        <v>257</v>
      </c>
      <c r="Z70" s="90" t="s">
        <v>36</v>
      </c>
      <c r="AA70" s="91"/>
      <c r="AB70" s="91"/>
      <c r="AC70" s="90" t="s">
        <v>2051</v>
      </c>
      <c r="AD70" s="90" t="s">
        <v>267</v>
      </c>
      <c r="AE70" s="90" t="s">
        <v>1603</v>
      </c>
      <c r="AF70" s="90" t="s">
        <v>1947</v>
      </c>
      <c r="AG70" s="90" t="s">
        <v>3200</v>
      </c>
      <c r="AH70" s="91"/>
      <c r="AI70" s="91"/>
      <c r="AJ70" s="90" t="s">
        <v>2051</v>
      </c>
      <c r="AK70" s="91"/>
      <c r="AL70" s="90" t="s">
        <v>2198</v>
      </c>
      <c r="AM70" s="90" t="s">
        <v>2199</v>
      </c>
      <c r="AN70" s="90" t="s">
        <v>2054</v>
      </c>
      <c r="AO70" s="87" t="s">
        <v>3082</v>
      </c>
      <c r="AP70" s="87" t="s">
        <v>1950</v>
      </c>
      <c r="AQ70" s="90" t="s">
        <v>3201</v>
      </c>
      <c r="AR70" s="92">
        <v>69000</v>
      </c>
      <c r="AS70" s="92">
        <v>87000</v>
      </c>
      <c r="AT70" s="92">
        <v>108000</v>
      </c>
      <c r="AU70" s="87" t="s">
        <v>1951</v>
      </c>
      <c r="AV70" s="87" t="s">
        <v>1966</v>
      </c>
      <c r="AW70" s="91"/>
      <c r="AX70" s="91"/>
      <c r="AY70" s="91"/>
      <c r="AZ70" t="str">
        <f t="shared" si="6"/>
        <v>210868</v>
      </c>
      <c r="BA70" t="str">
        <f t="shared" si="7"/>
        <v>0219</v>
      </c>
      <c r="BB70" t="str">
        <f t="shared" si="11"/>
        <v>000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>IFERROR(VLOOKUP(X70,'Status Map'!A:B,2,FALSE),"Status Code Not Mapped")</f>
        <v>Y</v>
      </c>
      <c r="BL70" t="str">
        <f>IFERROR(VLOOKUP(D70,'Invoice Exception Map'!A:C,3,FALSE),"N")</f>
        <v>N</v>
      </c>
      <c r="BM70">
        <f t="shared" si="8"/>
        <v>7</v>
      </c>
      <c r="BN70" t="str">
        <f t="shared" si="9"/>
        <v>Dawson</v>
      </c>
      <c r="BO70" t="str">
        <f t="shared" si="10"/>
        <v>Paul J.</v>
      </c>
    </row>
    <row r="71" spans="1:67" ht="16" thickBot="1" x14ac:dyDescent="0.25">
      <c r="A71" s="90" t="s">
        <v>2190</v>
      </c>
      <c r="B71" s="90" t="s">
        <v>3414</v>
      </c>
      <c r="C71" s="90" t="s">
        <v>3196</v>
      </c>
      <c r="D71" s="90" t="s">
        <v>3423</v>
      </c>
      <c r="E71" s="90" t="s">
        <v>1953</v>
      </c>
      <c r="F71" s="90" t="s">
        <v>3424</v>
      </c>
      <c r="G71" s="90" t="s">
        <v>2060</v>
      </c>
      <c r="H71" s="90" t="s">
        <v>1943</v>
      </c>
      <c r="I71" s="90" t="s">
        <v>1944</v>
      </c>
      <c r="J71" s="90" t="s">
        <v>1955</v>
      </c>
      <c r="K71" s="90" t="s">
        <v>2061</v>
      </c>
      <c r="L71" s="90" t="s">
        <v>3425</v>
      </c>
      <c r="M71" s="87" t="s">
        <v>2024</v>
      </c>
      <c r="N71" s="87" t="s">
        <v>1991</v>
      </c>
      <c r="O71" s="88">
        <v>44879</v>
      </c>
      <c r="P71" s="89">
        <v>3.8</v>
      </c>
      <c r="Q71" s="90" t="s">
        <v>264</v>
      </c>
      <c r="R71" s="90" t="s">
        <v>3132</v>
      </c>
      <c r="S71" s="90" t="s">
        <v>2154</v>
      </c>
      <c r="T71" s="90" t="s">
        <v>3196</v>
      </c>
      <c r="U71" s="90" t="s">
        <v>3197</v>
      </c>
      <c r="V71" s="88">
        <v>44879</v>
      </c>
      <c r="W71" s="88">
        <v>44879</v>
      </c>
      <c r="X71" s="90" t="s">
        <v>43</v>
      </c>
      <c r="Y71" s="90" t="s">
        <v>257</v>
      </c>
      <c r="Z71" s="90" t="s">
        <v>36</v>
      </c>
      <c r="AA71" s="91"/>
      <c r="AB71" s="91"/>
      <c r="AC71" s="90" t="s">
        <v>2051</v>
      </c>
      <c r="AD71" s="90" t="s">
        <v>267</v>
      </c>
      <c r="AE71" s="90" t="s">
        <v>1603</v>
      </c>
      <c r="AF71" s="90" t="s">
        <v>1947</v>
      </c>
      <c r="AG71" s="90" t="s">
        <v>3157</v>
      </c>
      <c r="AH71" s="91"/>
      <c r="AI71" s="91"/>
      <c r="AJ71" s="90" t="s">
        <v>2051</v>
      </c>
      <c r="AK71" s="91"/>
      <c r="AL71" s="90" t="s">
        <v>2198</v>
      </c>
      <c r="AM71" s="90" t="s">
        <v>2199</v>
      </c>
      <c r="AN71" s="90" t="s">
        <v>2054</v>
      </c>
      <c r="AO71" s="87" t="s">
        <v>3082</v>
      </c>
      <c r="AP71" s="87" t="s">
        <v>1950</v>
      </c>
      <c r="AQ71" s="90" t="s">
        <v>3202</v>
      </c>
      <c r="AR71" s="92">
        <v>56000</v>
      </c>
      <c r="AS71" s="92">
        <v>70000</v>
      </c>
      <c r="AT71" s="92">
        <v>87000</v>
      </c>
      <c r="AU71" s="87" t="s">
        <v>1951</v>
      </c>
      <c r="AV71" s="87" t="s">
        <v>2002</v>
      </c>
      <c r="AW71" s="91"/>
      <c r="AX71" s="91"/>
      <c r="AY71" s="91"/>
      <c r="AZ71" t="str">
        <f t="shared" si="6"/>
        <v>210868</v>
      </c>
      <c r="BA71" t="str">
        <f t="shared" si="7"/>
        <v>0219</v>
      </c>
      <c r="BB71" t="str">
        <f t="shared" si="11"/>
        <v>000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>IFERROR(VLOOKUP(X71,'Status Map'!A:B,2,FALSE),"Status Code Not Mapped")</f>
        <v>Y</v>
      </c>
      <c r="BL71" t="str">
        <f>IFERROR(VLOOKUP(D71,'Invoice Exception Map'!A:C,3,FALSE),"N")</f>
        <v>N</v>
      </c>
      <c r="BM71">
        <f t="shared" si="8"/>
        <v>8</v>
      </c>
      <c r="BN71" t="str">
        <f t="shared" si="9"/>
        <v>Demange</v>
      </c>
      <c r="BO71" t="str">
        <f t="shared" si="10"/>
        <v>Monika M.</v>
      </c>
    </row>
    <row r="72" spans="1:67" ht="16" thickBot="1" x14ac:dyDescent="0.25">
      <c r="A72" s="90" t="s">
        <v>2190</v>
      </c>
      <c r="B72" s="90" t="s">
        <v>3414</v>
      </c>
      <c r="C72" s="90" t="s">
        <v>3196</v>
      </c>
      <c r="D72" s="90" t="s">
        <v>3426</v>
      </c>
      <c r="E72" s="90" t="s">
        <v>3310</v>
      </c>
      <c r="F72" s="90" t="s">
        <v>3427</v>
      </c>
      <c r="G72" s="90" t="s">
        <v>3428</v>
      </c>
      <c r="H72" s="90" t="s">
        <v>1943</v>
      </c>
      <c r="I72" s="90" t="s">
        <v>1944</v>
      </c>
      <c r="J72" s="90" t="s">
        <v>831</v>
      </c>
      <c r="K72" s="90" t="s">
        <v>3429</v>
      </c>
      <c r="L72" s="90" t="s">
        <v>3430</v>
      </c>
      <c r="M72" s="87" t="s">
        <v>1970</v>
      </c>
      <c r="N72" s="87" t="s">
        <v>3203</v>
      </c>
      <c r="O72" s="88">
        <v>42828</v>
      </c>
      <c r="P72" s="89">
        <v>9.4</v>
      </c>
      <c r="Q72" s="90" t="s">
        <v>287</v>
      </c>
      <c r="R72" s="90" t="s">
        <v>3132</v>
      </c>
      <c r="S72" s="90" t="s">
        <v>2154</v>
      </c>
      <c r="T72" s="90" t="s">
        <v>3196</v>
      </c>
      <c r="U72" s="90" t="s">
        <v>3197</v>
      </c>
      <c r="V72" s="88">
        <v>42828</v>
      </c>
      <c r="W72" s="88">
        <v>42828</v>
      </c>
      <c r="X72" s="90" t="s">
        <v>43</v>
      </c>
      <c r="Y72" s="90" t="s">
        <v>257</v>
      </c>
      <c r="Z72" s="90" t="s">
        <v>36</v>
      </c>
      <c r="AA72" s="91"/>
      <c r="AB72" s="91"/>
      <c r="AC72" s="90" t="s">
        <v>2051</v>
      </c>
      <c r="AD72" s="90" t="s">
        <v>267</v>
      </c>
      <c r="AE72" s="90" t="s">
        <v>1603</v>
      </c>
      <c r="AF72" s="90" t="s">
        <v>1947</v>
      </c>
      <c r="AG72" s="90" t="s">
        <v>3204</v>
      </c>
      <c r="AH72" s="91"/>
      <c r="AI72" s="91"/>
      <c r="AJ72" s="90" t="s">
        <v>2051</v>
      </c>
      <c r="AK72" s="91"/>
      <c r="AL72" s="90" t="s">
        <v>2198</v>
      </c>
      <c r="AM72" s="90" t="s">
        <v>2199</v>
      </c>
      <c r="AN72" s="90" t="s">
        <v>2054</v>
      </c>
      <c r="AO72" s="87" t="s">
        <v>3082</v>
      </c>
      <c r="AP72" s="87" t="s">
        <v>1950</v>
      </c>
      <c r="AQ72" s="90" t="s">
        <v>3205</v>
      </c>
      <c r="AR72" s="92">
        <v>78000</v>
      </c>
      <c r="AS72" s="92">
        <v>97000</v>
      </c>
      <c r="AT72" s="92">
        <v>121000</v>
      </c>
      <c r="AU72" s="87" t="s">
        <v>1951</v>
      </c>
      <c r="AV72" s="87" t="s">
        <v>1952</v>
      </c>
      <c r="AW72" s="91"/>
      <c r="AX72" s="91"/>
      <c r="AY72" s="91"/>
      <c r="AZ72" t="str">
        <f t="shared" si="6"/>
        <v>210868</v>
      </c>
      <c r="BA72" t="str">
        <f t="shared" si="7"/>
        <v>0219</v>
      </c>
      <c r="BB72" t="str">
        <f t="shared" si="11"/>
        <v>000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>IFERROR(VLOOKUP(X72,'Status Map'!A:B,2,FALSE),"Status Code Not Mapped")</f>
        <v>Y</v>
      </c>
      <c r="BL72" t="str">
        <f>IFERROR(VLOOKUP(D72,'Invoice Exception Map'!A:C,3,FALSE),"N")</f>
        <v>N</v>
      </c>
      <c r="BM72">
        <f t="shared" si="8"/>
        <v>7</v>
      </c>
      <c r="BN72" t="str">
        <f t="shared" si="9"/>
        <v>Duncan</v>
      </c>
      <c r="BO72" t="str">
        <f t="shared" si="10"/>
        <v>Mark</v>
      </c>
    </row>
    <row r="73" spans="1:67" ht="16" thickBot="1" x14ac:dyDescent="0.25">
      <c r="A73" s="90" t="s">
        <v>2190</v>
      </c>
      <c r="B73" s="90" t="s">
        <v>3414</v>
      </c>
      <c r="C73" s="90" t="s">
        <v>3196</v>
      </c>
      <c r="D73" s="90" t="s">
        <v>3431</v>
      </c>
      <c r="E73" s="90" t="s">
        <v>1953</v>
      </c>
      <c r="F73" s="90" t="s">
        <v>3432</v>
      </c>
      <c r="G73" s="90" t="s">
        <v>2034</v>
      </c>
      <c r="H73" s="90" t="s">
        <v>1943</v>
      </c>
      <c r="I73" s="90" t="s">
        <v>1944</v>
      </c>
      <c r="J73" s="90" t="s">
        <v>831</v>
      </c>
      <c r="K73" s="90" t="s">
        <v>1039</v>
      </c>
      <c r="L73" s="90" t="s">
        <v>3433</v>
      </c>
      <c r="M73" s="87" t="s">
        <v>1945</v>
      </c>
      <c r="N73" s="87" t="s">
        <v>831</v>
      </c>
      <c r="O73" s="88">
        <v>43052</v>
      </c>
      <c r="P73" s="89">
        <v>8.8000000000000007</v>
      </c>
      <c r="Q73" s="90" t="s">
        <v>287</v>
      </c>
      <c r="R73" s="90" t="s">
        <v>3132</v>
      </c>
      <c r="S73" s="90" t="s">
        <v>2154</v>
      </c>
      <c r="T73" s="90" t="s">
        <v>3196</v>
      </c>
      <c r="U73" s="90" t="s">
        <v>3197</v>
      </c>
      <c r="V73" s="88">
        <v>43052</v>
      </c>
      <c r="W73" s="88">
        <v>43052</v>
      </c>
      <c r="X73" s="90" t="s">
        <v>43</v>
      </c>
      <c r="Y73" s="90" t="s">
        <v>257</v>
      </c>
      <c r="Z73" s="90" t="s">
        <v>36</v>
      </c>
      <c r="AA73" s="91"/>
      <c r="AB73" s="91"/>
      <c r="AC73" s="90" t="s">
        <v>2051</v>
      </c>
      <c r="AD73" s="90" t="s">
        <v>267</v>
      </c>
      <c r="AE73" s="90" t="s">
        <v>1603</v>
      </c>
      <c r="AF73" s="90" t="s">
        <v>1947</v>
      </c>
      <c r="AG73" s="90" t="s">
        <v>3157</v>
      </c>
      <c r="AH73" s="91"/>
      <c r="AI73" s="91"/>
      <c r="AJ73" s="90" t="s">
        <v>2051</v>
      </c>
      <c r="AK73" s="91"/>
      <c r="AL73" s="90" t="s">
        <v>2198</v>
      </c>
      <c r="AM73" s="90" t="s">
        <v>2199</v>
      </c>
      <c r="AN73" s="90" t="s">
        <v>2054</v>
      </c>
      <c r="AO73" s="87" t="s">
        <v>3082</v>
      </c>
      <c r="AP73" s="87" t="s">
        <v>1950</v>
      </c>
      <c r="AQ73" s="90" t="s">
        <v>3206</v>
      </c>
      <c r="AR73" s="92">
        <v>78000</v>
      </c>
      <c r="AS73" s="92">
        <v>97000</v>
      </c>
      <c r="AT73" s="92">
        <v>121000</v>
      </c>
      <c r="AU73" s="87" t="s">
        <v>1951</v>
      </c>
      <c r="AV73" s="87" t="s">
        <v>1952</v>
      </c>
      <c r="AW73" s="91"/>
      <c r="AX73" s="91"/>
      <c r="AY73" s="91"/>
      <c r="AZ73" t="str">
        <f t="shared" si="6"/>
        <v>210868</v>
      </c>
      <c r="BA73" t="str">
        <f t="shared" si="7"/>
        <v>0219</v>
      </c>
      <c r="BB73" t="str">
        <f t="shared" si="11"/>
        <v>000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>IFERROR(VLOOKUP(X73,'Status Map'!A:B,2,FALSE),"Status Code Not Mapped")</f>
        <v>Y</v>
      </c>
      <c r="BL73" t="str">
        <f>IFERROR(VLOOKUP(D73,'Invoice Exception Map'!A:C,3,FALSE),"N")</f>
        <v>N</v>
      </c>
      <c r="BM73">
        <f t="shared" si="8"/>
        <v>6</v>
      </c>
      <c r="BN73" t="str">
        <f t="shared" si="9"/>
        <v>Jones</v>
      </c>
      <c r="BO73" t="str">
        <f t="shared" si="10"/>
        <v>Bryn R.</v>
      </c>
    </row>
    <row r="74" spans="1:67" ht="16" thickBot="1" x14ac:dyDescent="0.25">
      <c r="A74" s="90" t="s">
        <v>2190</v>
      </c>
      <c r="B74" s="90" t="s">
        <v>3414</v>
      </c>
      <c r="C74" s="90" t="s">
        <v>3196</v>
      </c>
      <c r="D74" s="90" t="s">
        <v>3434</v>
      </c>
      <c r="E74" s="90" t="s">
        <v>1953</v>
      </c>
      <c r="F74" s="90" t="s">
        <v>3435</v>
      </c>
      <c r="G74" s="90" t="s">
        <v>3428</v>
      </c>
      <c r="H74" s="90" t="s">
        <v>1943</v>
      </c>
      <c r="I74" s="90" t="s">
        <v>1944</v>
      </c>
      <c r="J74" s="90" t="s">
        <v>831</v>
      </c>
      <c r="K74" s="90" t="s">
        <v>3429</v>
      </c>
      <c r="L74" s="90" t="s">
        <v>3436</v>
      </c>
      <c r="M74" s="87" t="s">
        <v>1970</v>
      </c>
      <c r="N74" s="87" t="s">
        <v>3203</v>
      </c>
      <c r="O74" s="88">
        <v>46175</v>
      </c>
      <c r="P74" s="89">
        <v>0.2</v>
      </c>
      <c r="Q74" s="90" t="s">
        <v>287</v>
      </c>
      <c r="R74" s="90" t="s">
        <v>3207</v>
      </c>
      <c r="S74" s="90" t="s">
        <v>2155</v>
      </c>
      <c r="T74" s="90" t="s">
        <v>2197</v>
      </c>
      <c r="U74" s="90" t="s">
        <v>1590</v>
      </c>
      <c r="V74" s="88">
        <v>46175</v>
      </c>
      <c r="W74" s="88">
        <v>46175</v>
      </c>
      <c r="X74" s="90" t="s">
        <v>43</v>
      </c>
      <c r="Y74" s="90" t="s">
        <v>257</v>
      </c>
      <c r="Z74" s="90" t="s">
        <v>36</v>
      </c>
      <c r="AA74" s="91"/>
      <c r="AB74" s="91"/>
      <c r="AC74" s="90" t="s">
        <v>2051</v>
      </c>
      <c r="AD74" s="90" t="s">
        <v>267</v>
      </c>
      <c r="AE74" s="90" t="s">
        <v>1603</v>
      </c>
      <c r="AF74" s="90" t="s">
        <v>1947</v>
      </c>
      <c r="AG74" s="90" t="s">
        <v>3160</v>
      </c>
      <c r="AH74" s="91"/>
      <c r="AI74" s="91"/>
      <c r="AJ74" s="90" t="s">
        <v>2051</v>
      </c>
      <c r="AK74" s="91"/>
      <c r="AL74" s="90" t="s">
        <v>2198</v>
      </c>
      <c r="AM74" s="90" t="s">
        <v>2199</v>
      </c>
      <c r="AN74" s="90" t="s">
        <v>2054</v>
      </c>
      <c r="AO74" s="87" t="s">
        <v>3082</v>
      </c>
      <c r="AP74" s="87" t="s">
        <v>1950</v>
      </c>
      <c r="AQ74" s="90" t="s">
        <v>3208</v>
      </c>
      <c r="AR74" s="92">
        <v>78000</v>
      </c>
      <c r="AS74" s="92">
        <v>97000</v>
      </c>
      <c r="AT74" s="92">
        <v>121000</v>
      </c>
      <c r="AU74" s="87" t="s">
        <v>1951</v>
      </c>
      <c r="AV74" s="87" t="s">
        <v>1952</v>
      </c>
      <c r="AW74" s="91"/>
      <c r="AX74" s="91"/>
      <c r="AY74" s="91"/>
      <c r="AZ74" t="str">
        <f t="shared" si="6"/>
        <v>212910</v>
      </c>
      <c r="BA74" t="str">
        <f t="shared" si="7"/>
        <v>0035</v>
      </c>
      <c r="BB74" t="str">
        <f t="shared" si="11"/>
        <v>000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>IFERROR(VLOOKUP(X74,'Status Map'!A:B,2,FALSE),"Status Code Not Mapped")</f>
        <v>Y</v>
      </c>
      <c r="BL74" t="str">
        <f>IFERROR(VLOOKUP(D74,'Invoice Exception Map'!A:C,3,FALSE),"N")</f>
        <v>N</v>
      </c>
      <c r="BM74">
        <f t="shared" si="8"/>
        <v>8</v>
      </c>
      <c r="BN74" t="str">
        <f t="shared" si="9"/>
        <v>Simpson</v>
      </c>
      <c r="BO74" t="str">
        <f t="shared" si="10"/>
        <v>Thomas J.</v>
      </c>
    </row>
    <row r="75" spans="1:67" ht="16" thickBot="1" x14ac:dyDescent="0.25">
      <c r="A75" s="90" t="s">
        <v>2246</v>
      </c>
      <c r="B75" s="90" t="s">
        <v>2247</v>
      </c>
      <c r="C75" s="90" t="s">
        <v>2248</v>
      </c>
      <c r="D75" s="90" t="s">
        <v>3437</v>
      </c>
      <c r="E75" s="90" t="s">
        <v>1953</v>
      </c>
      <c r="F75" s="90" t="s">
        <v>3438</v>
      </c>
      <c r="G75" s="90" t="s">
        <v>2249</v>
      </c>
      <c r="H75" s="90" t="s">
        <v>1943</v>
      </c>
      <c r="I75" s="90" t="s">
        <v>1944</v>
      </c>
      <c r="J75" s="90" t="s">
        <v>427</v>
      </c>
      <c r="K75" s="90" t="s">
        <v>2250</v>
      </c>
      <c r="L75" s="90" t="s">
        <v>2251</v>
      </c>
      <c r="M75" s="87" t="s">
        <v>1945</v>
      </c>
      <c r="N75" s="87" t="s">
        <v>1983</v>
      </c>
      <c r="O75" s="88">
        <v>43958</v>
      </c>
      <c r="P75" s="89">
        <v>6.3</v>
      </c>
      <c r="Q75" s="90" t="s">
        <v>287</v>
      </c>
      <c r="R75" s="90" t="s">
        <v>3209</v>
      </c>
      <c r="S75" s="90" t="s">
        <v>2252</v>
      </c>
      <c r="T75" s="90" t="s">
        <v>2253</v>
      </c>
      <c r="U75" s="90" t="s">
        <v>2254</v>
      </c>
      <c r="V75" s="88">
        <v>43958</v>
      </c>
      <c r="W75" s="88">
        <v>43958</v>
      </c>
      <c r="X75" s="90" t="s">
        <v>43</v>
      </c>
      <c r="Y75" s="90" t="s">
        <v>257</v>
      </c>
      <c r="Z75" s="90" t="s">
        <v>36</v>
      </c>
      <c r="AA75" s="91"/>
      <c r="AB75" s="91"/>
      <c r="AC75" s="90" t="s">
        <v>2051</v>
      </c>
      <c r="AD75" s="90" t="s">
        <v>267</v>
      </c>
      <c r="AE75" s="90" t="s">
        <v>1611</v>
      </c>
      <c r="AF75" s="90" t="s">
        <v>1947</v>
      </c>
      <c r="AG75" s="90" t="s">
        <v>3210</v>
      </c>
      <c r="AH75" s="90" t="s">
        <v>2255</v>
      </c>
      <c r="AI75" s="90" t="s">
        <v>2255</v>
      </c>
      <c r="AJ75" s="90" t="s">
        <v>2051</v>
      </c>
      <c r="AK75" s="90" t="s">
        <v>36</v>
      </c>
      <c r="AL75" s="90" t="s">
        <v>1610</v>
      </c>
      <c r="AM75" s="90" t="s">
        <v>2256</v>
      </c>
      <c r="AN75" s="90" t="s">
        <v>2054</v>
      </c>
      <c r="AO75" s="87" t="s">
        <v>1949</v>
      </c>
      <c r="AP75" s="87" t="s">
        <v>1950</v>
      </c>
      <c r="AQ75" s="90" t="s">
        <v>1565</v>
      </c>
      <c r="AR75" s="92">
        <v>78000</v>
      </c>
      <c r="AS75" s="92">
        <v>97000</v>
      </c>
      <c r="AT75" s="92">
        <v>121000</v>
      </c>
      <c r="AU75" s="87" t="s">
        <v>1951</v>
      </c>
      <c r="AV75" s="87" t="s">
        <v>1952</v>
      </c>
      <c r="AW75" s="91"/>
      <c r="AX75" s="91"/>
      <c r="AY75" s="91"/>
      <c r="AZ75" t="str">
        <f t="shared" si="6"/>
        <v>206252</v>
      </c>
      <c r="BA75" t="str">
        <f t="shared" si="7"/>
        <v>176</v>
      </c>
      <c r="BB75" t="str">
        <f t="shared" si="11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>IFERROR(VLOOKUP(X75,'Status Map'!A:B,2,FALSE),"Status Code Not Mapped")</f>
        <v>Y</v>
      </c>
      <c r="BL75" t="str">
        <f>IFERROR(VLOOKUP(D75,'Invoice Exception Map'!A:C,3,FALSE),"N")</f>
        <v>N</v>
      </c>
      <c r="BM75">
        <f t="shared" si="8"/>
        <v>9</v>
      </c>
      <c r="BN75" t="str">
        <f t="shared" si="9"/>
        <v>Deshmukh</v>
      </c>
      <c r="BO75" t="str">
        <f t="shared" si="10"/>
        <v>Akash M.</v>
      </c>
    </row>
    <row r="76" spans="1:67" ht="16" thickBot="1" x14ac:dyDescent="0.25">
      <c r="A76" s="90" t="s">
        <v>2246</v>
      </c>
      <c r="B76" s="90" t="s">
        <v>2247</v>
      </c>
      <c r="C76" s="90" t="s">
        <v>2248</v>
      </c>
      <c r="D76" s="90" t="s">
        <v>3209</v>
      </c>
      <c r="E76" s="90" t="s">
        <v>1953</v>
      </c>
      <c r="F76" s="90" t="s">
        <v>2252</v>
      </c>
      <c r="G76" s="90" t="s">
        <v>2162</v>
      </c>
      <c r="H76" s="90" t="s">
        <v>1943</v>
      </c>
      <c r="I76" s="90" t="s">
        <v>1944</v>
      </c>
      <c r="J76" s="90" t="s">
        <v>1955</v>
      </c>
      <c r="K76" s="90" t="s">
        <v>482</v>
      </c>
      <c r="L76" s="90" t="s">
        <v>3439</v>
      </c>
      <c r="M76" s="87" t="s">
        <v>1945</v>
      </c>
      <c r="N76" s="87" t="s">
        <v>66</v>
      </c>
      <c r="O76" s="88">
        <v>40509</v>
      </c>
      <c r="P76" s="89">
        <v>15.8</v>
      </c>
      <c r="Q76" s="90" t="s">
        <v>69</v>
      </c>
      <c r="R76" s="90" t="s">
        <v>3211</v>
      </c>
      <c r="S76" s="90" t="s">
        <v>2257</v>
      </c>
      <c r="T76" s="90" t="s">
        <v>2253</v>
      </c>
      <c r="U76" s="90" t="s">
        <v>2254</v>
      </c>
      <c r="V76" s="88">
        <v>40509</v>
      </c>
      <c r="W76" s="88">
        <v>40509</v>
      </c>
      <c r="X76" s="90" t="s">
        <v>43</v>
      </c>
      <c r="Y76" s="90" t="s">
        <v>257</v>
      </c>
      <c r="Z76" s="90" t="s">
        <v>36</v>
      </c>
      <c r="AA76" s="91"/>
      <c r="AB76" s="91"/>
      <c r="AC76" s="90" t="s">
        <v>2051</v>
      </c>
      <c r="AD76" s="90" t="s">
        <v>267</v>
      </c>
      <c r="AE76" s="90" t="s">
        <v>1611</v>
      </c>
      <c r="AF76" s="90" t="s">
        <v>1947</v>
      </c>
      <c r="AG76" s="90" t="s">
        <v>3212</v>
      </c>
      <c r="AH76" s="90" t="s">
        <v>2255</v>
      </c>
      <c r="AI76" s="90" t="s">
        <v>2255</v>
      </c>
      <c r="AJ76" s="90" t="s">
        <v>2051</v>
      </c>
      <c r="AK76" s="90" t="s">
        <v>36</v>
      </c>
      <c r="AL76" s="90" t="s">
        <v>1610</v>
      </c>
      <c r="AM76" s="90" t="s">
        <v>2256</v>
      </c>
      <c r="AN76" s="90" t="s">
        <v>2054</v>
      </c>
      <c r="AO76" s="87" t="s">
        <v>3082</v>
      </c>
      <c r="AP76" s="87" t="s">
        <v>1950</v>
      </c>
      <c r="AQ76" s="90" t="s">
        <v>3213</v>
      </c>
      <c r="AR76" s="92">
        <v>98000</v>
      </c>
      <c r="AS76" s="92">
        <v>122000</v>
      </c>
      <c r="AT76" s="92">
        <v>153000</v>
      </c>
      <c r="AU76" s="87" t="s">
        <v>1951</v>
      </c>
      <c r="AV76" s="87" t="s">
        <v>1981</v>
      </c>
      <c r="AW76" s="91"/>
      <c r="AX76" s="91"/>
      <c r="AY76" s="91"/>
      <c r="AZ76" t="str">
        <f t="shared" si="6"/>
        <v>205373</v>
      </c>
      <c r="BA76" t="str">
        <f t="shared" si="7"/>
        <v>176</v>
      </c>
      <c r="BB76" t="str">
        <f t="shared" si="11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>IFERROR(VLOOKUP(X76,'Status Map'!A:B,2,FALSE),"Status Code Not Mapped")</f>
        <v>Y</v>
      </c>
      <c r="BL76" t="str">
        <f>IFERROR(VLOOKUP(D76,'Invoice Exception Map'!A:C,3,FALSE),"N")</f>
        <v>N</v>
      </c>
      <c r="BM76">
        <f t="shared" si="8"/>
        <v>6</v>
      </c>
      <c r="BN76" t="str">
        <f t="shared" si="9"/>
        <v>Nikam</v>
      </c>
      <c r="BO76" t="str">
        <f t="shared" si="10"/>
        <v>Sandip</v>
      </c>
    </row>
    <row r="77" spans="1:67" ht="16" thickBot="1" x14ac:dyDescent="0.25">
      <c r="A77" s="90" t="s">
        <v>3440</v>
      </c>
      <c r="B77" s="90" t="s">
        <v>3442</v>
      </c>
      <c r="C77" s="90" t="s">
        <v>3443</v>
      </c>
      <c r="D77" s="90" t="s">
        <v>3444</v>
      </c>
      <c r="E77" s="90" t="s">
        <v>1953</v>
      </c>
      <c r="F77" s="90" t="s">
        <v>3445</v>
      </c>
      <c r="G77" s="90" t="s">
        <v>3446</v>
      </c>
      <c r="H77" s="90" t="s">
        <v>1943</v>
      </c>
      <c r="I77" s="90" t="s">
        <v>1944</v>
      </c>
      <c r="J77" s="90" t="s">
        <v>1955</v>
      </c>
      <c r="K77" s="90" t="s">
        <v>3447</v>
      </c>
      <c r="L77" s="90" t="s">
        <v>2062</v>
      </c>
      <c r="M77" s="87" t="s">
        <v>1998</v>
      </c>
      <c r="N77" s="87" t="s">
        <v>66</v>
      </c>
      <c r="O77" s="88">
        <v>45627</v>
      </c>
      <c r="P77" s="89">
        <v>1.7</v>
      </c>
      <c r="Q77" s="90" t="s">
        <v>287</v>
      </c>
      <c r="R77" s="90" t="s">
        <v>3214</v>
      </c>
      <c r="S77" s="90" t="s">
        <v>3215</v>
      </c>
      <c r="T77" s="90" t="s">
        <v>3216</v>
      </c>
      <c r="U77" s="90" t="s">
        <v>3217</v>
      </c>
      <c r="V77" s="88">
        <v>45627</v>
      </c>
      <c r="W77" s="88">
        <v>45627</v>
      </c>
      <c r="X77" s="90" t="s">
        <v>43</v>
      </c>
      <c r="Y77" s="90" t="s">
        <v>257</v>
      </c>
      <c r="Z77" s="90" t="s">
        <v>36</v>
      </c>
      <c r="AA77" s="91"/>
      <c r="AB77" s="91"/>
      <c r="AC77" s="90" t="s">
        <v>2051</v>
      </c>
      <c r="AD77" s="90" t="s">
        <v>267</v>
      </c>
      <c r="AE77" s="90" t="s">
        <v>3218</v>
      </c>
      <c r="AF77" s="90" t="s">
        <v>1947</v>
      </c>
      <c r="AG77" s="90" t="s">
        <v>3223</v>
      </c>
      <c r="AH77" s="90" t="s">
        <v>3219</v>
      </c>
      <c r="AI77" s="90" t="s">
        <v>3219</v>
      </c>
      <c r="AJ77" s="90" t="s">
        <v>2051</v>
      </c>
      <c r="AK77" s="91"/>
      <c r="AL77" s="90" t="s">
        <v>3220</v>
      </c>
      <c r="AM77" s="90" t="s">
        <v>3221</v>
      </c>
      <c r="AN77" s="90" t="s">
        <v>3123</v>
      </c>
      <c r="AO77" s="87" t="s">
        <v>3118</v>
      </c>
      <c r="AP77" s="87" t="s">
        <v>1950</v>
      </c>
      <c r="AQ77" s="90" t="s">
        <v>3224</v>
      </c>
      <c r="AR77" s="92">
        <v>78000</v>
      </c>
      <c r="AS77" s="92">
        <v>97000</v>
      </c>
      <c r="AT77" s="92">
        <v>121000</v>
      </c>
      <c r="AU77" s="87" t="s">
        <v>1951</v>
      </c>
      <c r="AV77" s="87" t="s">
        <v>1952</v>
      </c>
      <c r="AW77" s="91"/>
      <c r="AX77" s="91"/>
      <c r="AY77" s="90" t="s">
        <v>3225</v>
      </c>
      <c r="AZ77" t="str">
        <f t="shared" si="6"/>
        <v>212047</v>
      </c>
      <c r="BA77" t="str">
        <f t="shared" si="7"/>
        <v>406</v>
      </c>
      <c r="BB77" t="str">
        <f t="shared" si="11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JP</v>
      </c>
      <c r="BH77" t="str">
        <f>IFERROR(VLOOKUP(AM77,'Country Map'!A:E,4,FALSE),"Country Not Mapped")</f>
        <v>JPY</v>
      </c>
      <c r="BJ77" t="str">
        <f>IFERROR(VLOOKUP(X77,'Status Map'!A:B,2,FALSE),"Status Code Not Mapped")</f>
        <v>Y</v>
      </c>
      <c r="BL77" t="str">
        <f>IFERROR(VLOOKUP(D77,'Invoice Exception Map'!A:C,3,FALSE),"N")</f>
        <v>N</v>
      </c>
      <c r="BM77">
        <f t="shared" si="8"/>
        <v>9</v>
      </c>
      <c r="BN77" t="str">
        <f t="shared" si="9"/>
        <v>Nakajima</v>
      </c>
      <c r="BO77" t="str">
        <f t="shared" si="10"/>
        <v>Mariko</v>
      </c>
    </row>
    <row r="78" spans="1:67" s="106" customFormat="1" ht="16" thickBot="1" x14ac:dyDescent="0.25">
      <c r="A78" s="100" t="s">
        <v>3440</v>
      </c>
      <c r="B78" s="100" t="s">
        <v>3442</v>
      </c>
      <c r="C78" s="100" t="s">
        <v>3443</v>
      </c>
      <c r="D78" s="100" t="s">
        <v>3214</v>
      </c>
      <c r="E78" s="100" t="s">
        <v>1953</v>
      </c>
      <c r="F78" s="100" t="s">
        <v>3215</v>
      </c>
      <c r="G78" s="100" t="s">
        <v>3448</v>
      </c>
      <c r="H78" s="100" t="s">
        <v>1943</v>
      </c>
      <c r="I78" s="100" t="s">
        <v>1944</v>
      </c>
      <c r="J78" s="100" t="s">
        <v>1955</v>
      </c>
      <c r="K78" s="100" t="s">
        <v>3449</v>
      </c>
      <c r="L78" s="100" t="s">
        <v>1976</v>
      </c>
      <c r="M78" s="101" t="s">
        <v>1963</v>
      </c>
      <c r="N78" s="101" t="s">
        <v>1991</v>
      </c>
      <c r="O78" s="102">
        <v>45804</v>
      </c>
      <c r="P78" s="103">
        <v>1.3</v>
      </c>
      <c r="Q78" s="100" t="s">
        <v>287</v>
      </c>
      <c r="R78" s="119">
        <v>901934</v>
      </c>
      <c r="S78" s="120" t="s">
        <v>189</v>
      </c>
      <c r="T78" s="100" t="s">
        <v>3216</v>
      </c>
      <c r="U78" s="100" t="s">
        <v>3217</v>
      </c>
      <c r="V78" s="102">
        <v>45804</v>
      </c>
      <c r="W78" s="102">
        <v>45804</v>
      </c>
      <c r="X78" s="100" t="s">
        <v>43</v>
      </c>
      <c r="Y78" s="100" t="s">
        <v>257</v>
      </c>
      <c r="Z78" s="100" t="s">
        <v>36</v>
      </c>
      <c r="AA78" s="104"/>
      <c r="AB78" s="104"/>
      <c r="AC78" s="100" t="s">
        <v>2051</v>
      </c>
      <c r="AD78" s="100" t="s">
        <v>267</v>
      </c>
      <c r="AE78" s="100" t="s">
        <v>3218</v>
      </c>
      <c r="AF78" s="100" t="s">
        <v>1947</v>
      </c>
      <c r="AG78" s="100" t="s">
        <v>3226</v>
      </c>
      <c r="AH78" s="100" t="s">
        <v>3219</v>
      </c>
      <c r="AI78" s="100" t="s">
        <v>3219</v>
      </c>
      <c r="AJ78" s="100" t="s">
        <v>2051</v>
      </c>
      <c r="AK78" s="104"/>
      <c r="AL78" s="100" t="s">
        <v>3220</v>
      </c>
      <c r="AM78" s="100" t="s">
        <v>3221</v>
      </c>
      <c r="AN78" s="100" t="s">
        <v>3227</v>
      </c>
      <c r="AO78" s="101" t="s">
        <v>3118</v>
      </c>
      <c r="AP78" s="101" t="s">
        <v>1950</v>
      </c>
      <c r="AQ78" s="100" t="s">
        <v>3228</v>
      </c>
      <c r="AR78" s="105">
        <v>78000</v>
      </c>
      <c r="AS78" s="105">
        <v>97000</v>
      </c>
      <c r="AT78" s="105">
        <v>121000</v>
      </c>
      <c r="AU78" s="101" t="s">
        <v>1951</v>
      </c>
      <c r="AV78" s="101" t="s">
        <v>1952</v>
      </c>
      <c r="AW78" s="104"/>
      <c r="AX78" s="104"/>
      <c r="AY78" s="104"/>
      <c r="AZ78" s="106">
        <f t="shared" si="6"/>
        <v>901934</v>
      </c>
      <c r="BA78" s="106" t="str">
        <f t="shared" si="7"/>
        <v>406</v>
      </c>
      <c r="BB78" s="106" t="str">
        <f t="shared" si="11"/>
        <v>0000</v>
      </c>
      <c r="BC78" s="106" t="str">
        <f>IFERROR(VLOOKUP(TRIM(Q78),'Salary Map'!A:E,3,FALSE),"Salary Code Not Mapped")</f>
        <v>Default</v>
      </c>
      <c r="BD78" s="106" t="str">
        <f>IFERROR(VLOOKUP(TRIM(Q78),'Salary Map'!A:E,4,FALSE),"Salary Code Not Mapped")</f>
        <v>General</v>
      </c>
      <c r="BE78" s="106">
        <f>IF(BL78="N",0,IFERROR(VLOOKUP(TRIM(Q78),'Salary Map'!A:E,5,FALSE),"Salary Not Mapped"))</f>
        <v>0</v>
      </c>
      <c r="BF78" s="106" t="str">
        <f>IFERROR(VLOOKUP(AM78,'Country Map'!A:E,2,FALSE),"Country Not Mapped")</f>
        <v>JP</v>
      </c>
      <c r="BH78" s="106" t="str">
        <f>IFERROR(VLOOKUP(AM78,'Country Map'!A:E,4,FALSE),"Country Not Mapped")</f>
        <v>JPY</v>
      </c>
      <c r="BJ78" s="106" t="str">
        <f>IFERROR(VLOOKUP(X78,'Status Map'!A:B,2,FALSE),"Status Code Not Mapped")</f>
        <v>Y</v>
      </c>
      <c r="BL78" s="106" t="str">
        <f>IFERROR(VLOOKUP(D78,'Invoice Exception Map'!A:C,3,FALSE),"N")</f>
        <v>N</v>
      </c>
      <c r="BM78" s="106">
        <f t="shared" si="8"/>
        <v>9</v>
      </c>
      <c r="BN78" s="106" t="str">
        <f t="shared" si="9"/>
        <v>Nakasako</v>
      </c>
      <c r="BO78" s="106" t="str">
        <f t="shared" si="10"/>
        <v>Atsushi</v>
      </c>
    </row>
    <row r="79" spans="1:67" ht="16" thickBot="1" x14ac:dyDescent="0.25">
      <c r="A79" s="90" t="s">
        <v>3440</v>
      </c>
      <c r="B79" s="90" t="s">
        <v>3442</v>
      </c>
      <c r="C79" s="90" t="s">
        <v>3443</v>
      </c>
      <c r="D79" s="90" t="s">
        <v>3450</v>
      </c>
      <c r="E79" s="90" t="s">
        <v>1953</v>
      </c>
      <c r="F79" s="90" t="s">
        <v>3451</v>
      </c>
      <c r="G79" s="90" t="s">
        <v>3448</v>
      </c>
      <c r="H79" s="90" t="s">
        <v>1943</v>
      </c>
      <c r="I79" s="90" t="s">
        <v>1944</v>
      </c>
      <c r="J79" s="90" t="s">
        <v>1955</v>
      </c>
      <c r="K79" s="90" t="s">
        <v>3449</v>
      </c>
      <c r="L79" s="90" t="s">
        <v>3452</v>
      </c>
      <c r="M79" s="87" t="s">
        <v>1963</v>
      </c>
      <c r="N79" s="87" t="s">
        <v>1991</v>
      </c>
      <c r="O79" s="88">
        <v>46120</v>
      </c>
      <c r="P79" s="89">
        <v>0.4</v>
      </c>
      <c r="Q79" s="90" t="s">
        <v>287</v>
      </c>
      <c r="R79" s="90" t="s">
        <v>3214</v>
      </c>
      <c r="S79" s="90" t="s">
        <v>3215</v>
      </c>
      <c r="T79" s="90" t="s">
        <v>3216</v>
      </c>
      <c r="U79" s="90" t="s">
        <v>3217</v>
      </c>
      <c r="V79" s="88">
        <v>46120</v>
      </c>
      <c r="W79" s="88">
        <v>46120</v>
      </c>
      <c r="X79" s="90" t="s">
        <v>43</v>
      </c>
      <c r="Y79" s="90" t="s">
        <v>257</v>
      </c>
      <c r="Z79" s="90" t="s">
        <v>36</v>
      </c>
      <c r="AA79" s="91"/>
      <c r="AB79" s="91"/>
      <c r="AC79" s="90" t="s">
        <v>2051</v>
      </c>
      <c r="AD79" s="90" t="s">
        <v>267</v>
      </c>
      <c r="AE79" s="90" t="s">
        <v>3218</v>
      </c>
      <c r="AF79" s="90" t="s">
        <v>1947</v>
      </c>
      <c r="AG79" s="91"/>
      <c r="AH79" s="90" t="s">
        <v>3219</v>
      </c>
      <c r="AI79" s="90" t="s">
        <v>3219</v>
      </c>
      <c r="AJ79" s="90" t="s">
        <v>2051</v>
      </c>
      <c r="AK79" s="91"/>
      <c r="AL79" s="90" t="s">
        <v>3220</v>
      </c>
      <c r="AM79" s="90" t="s">
        <v>3221</v>
      </c>
      <c r="AN79" s="90" t="s">
        <v>3227</v>
      </c>
      <c r="AO79" s="87" t="s">
        <v>3118</v>
      </c>
      <c r="AP79" s="87" t="s">
        <v>1950</v>
      </c>
      <c r="AQ79" s="90" t="s">
        <v>3229</v>
      </c>
      <c r="AR79" s="92">
        <v>78000</v>
      </c>
      <c r="AS79" s="92">
        <v>97000</v>
      </c>
      <c r="AT79" s="92">
        <v>121000</v>
      </c>
      <c r="AU79" s="87" t="s">
        <v>1951</v>
      </c>
      <c r="AV79" s="87" t="s">
        <v>1952</v>
      </c>
      <c r="AW79" s="91"/>
      <c r="AX79" s="91"/>
      <c r="AY79" s="91"/>
      <c r="AZ79" t="str">
        <f t="shared" si="6"/>
        <v>212047</v>
      </c>
      <c r="BA79" t="str">
        <f t="shared" si="7"/>
        <v>406</v>
      </c>
      <c r="BB79" t="str">
        <f t="shared" si="11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JP</v>
      </c>
      <c r="BH79" t="str">
        <f>IFERROR(VLOOKUP(AM79,'Country Map'!A:E,4,FALSE),"Country Not Mapped")</f>
        <v>JPY</v>
      </c>
      <c r="BJ79" t="str">
        <f>IFERROR(VLOOKUP(X79,'Status Map'!A:B,2,FALSE),"Status Code Not Mapped")</f>
        <v>Y</v>
      </c>
      <c r="BL79" t="str">
        <f>IFERROR(VLOOKUP(D79,'Invoice Exception Map'!A:C,3,FALSE),"N")</f>
        <v>N</v>
      </c>
      <c r="BM79">
        <f t="shared" si="8"/>
        <v>9</v>
      </c>
      <c r="BN79" t="str">
        <f t="shared" si="9"/>
        <v>Nakayama</v>
      </c>
      <c r="BO79" t="str">
        <f t="shared" si="10"/>
        <v>Satoru</v>
      </c>
    </row>
    <row r="80" spans="1:67" ht="16" thickBot="1" x14ac:dyDescent="0.25">
      <c r="A80" s="90" t="s">
        <v>3453</v>
      </c>
      <c r="B80" s="90" t="s">
        <v>3454</v>
      </c>
      <c r="C80" s="90" t="s">
        <v>3455</v>
      </c>
      <c r="D80" s="90" t="s">
        <v>3456</v>
      </c>
      <c r="E80" s="90" t="s">
        <v>1953</v>
      </c>
      <c r="F80" s="90" t="s">
        <v>3457</v>
      </c>
      <c r="G80" s="90" t="s">
        <v>3458</v>
      </c>
      <c r="H80" s="90" t="s">
        <v>1943</v>
      </c>
      <c r="I80" s="90" t="s">
        <v>1944</v>
      </c>
      <c r="J80" s="90" t="s">
        <v>241</v>
      </c>
      <c r="K80" s="90" t="s">
        <v>3459</v>
      </c>
      <c r="L80" s="90" t="s">
        <v>3460</v>
      </c>
      <c r="M80" s="87" t="s">
        <v>1963</v>
      </c>
      <c r="N80" s="87" t="s">
        <v>3092</v>
      </c>
      <c r="O80" s="88">
        <v>42248</v>
      </c>
      <c r="P80" s="89">
        <v>11</v>
      </c>
      <c r="Q80" s="90" t="s">
        <v>287</v>
      </c>
      <c r="R80" s="90" t="s">
        <v>3214</v>
      </c>
      <c r="S80" s="90" t="s">
        <v>3215</v>
      </c>
      <c r="T80" s="90" t="s">
        <v>3230</v>
      </c>
      <c r="U80" s="90" t="s">
        <v>3231</v>
      </c>
      <c r="V80" s="88">
        <v>42248</v>
      </c>
      <c r="W80" s="88">
        <v>42248</v>
      </c>
      <c r="X80" s="90" t="s">
        <v>43</v>
      </c>
      <c r="Y80" s="90" t="s">
        <v>257</v>
      </c>
      <c r="Z80" s="90" t="s">
        <v>36</v>
      </c>
      <c r="AA80" s="91"/>
      <c r="AB80" s="91"/>
      <c r="AC80" s="90" t="s">
        <v>2051</v>
      </c>
      <c r="AD80" s="90" t="s">
        <v>267</v>
      </c>
      <c r="AE80" s="90" t="s">
        <v>3218</v>
      </c>
      <c r="AF80" s="90" t="s">
        <v>1947</v>
      </c>
      <c r="AG80" s="90" t="s">
        <v>3232</v>
      </c>
      <c r="AH80" s="90" t="s">
        <v>3233</v>
      </c>
      <c r="AI80" s="90" t="s">
        <v>3233</v>
      </c>
      <c r="AJ80" s="90" t="s">
        <v>2051</v>
      </c>
      <c r="AK80" s="90" t="s">
        <v>36</v>
      </c>
      <c r="AL80" s="90" t="s">
        <v>3220</v>
      </c>
      <c r="AM80" s="90" t="s">
        <v>3221</v>
      </c>
      <c r="AN80" s="90" t="s">
        <v>3234</v>
      </c>
      <c r="AO80" s="87" t="s">
        <v>3118</v>
      </c>
      <c r="AP80" s="87" t="s">
        <v>1950</v>
      </c>
      <c r="AQ80" s="90" t="s">
        <v>3235</v>
      </c>
      <c r="AR80" s="92">
        <v>78000</v>
      </c>
      <c r="AS80" s="92">
        <v>97000</v>
      </c>
      <c r="AT80" s="92">
        <v>121000</v>
      </c>
      <c r="AU80" s="87" t="s">
        <v>1951</v>
      </c>
      <c r="AV80" s="87" t="s">
        <v>1952</v>
      </c>
      <c r="AW80" s="91"/>
      <c r="AX80" s="91"/>
      <c r="AY80" s="90" t="s">
        <v>3236</v>
      </c>
      <c r="AZ80" t="str">
        <f t="shared" si="6"/>
        <v>212047</v>
      </c>
      <c r="BA80" t="str">
        <f t="shared" si="7"/>
        <v>0463</v>
      </c>
      <c r="BB80" t="str">
        <f t="shared" si="11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JP</v>
      </c>
      <c r="BH80" t="str">
        <f>IFERROR(VLOOKUP(AM80,'Country Map'!A:E,4,FALSE),"Country Not Mapped")</f>
        <v>JPY</v>
      </c>
      <c r="BJ80" t="str">
        <f>IFERROR(VLOOKUP(X80,'Status Map'!A:B,2,FALSE),"Status Code Not Mapped")</f>
        <v>Y</v>
      </c>
      <c r="BL80" t="str">
        <f>IFERROR(VLOOKUP(D80,'Invoice Exception Map'!A:C,3,FALSE),"N")</f>
        <v>N</v>
      </c>
      <c r="BM80">
        <f t="shared" si="8"/>
        <v>9</v>
      </c>
      <c r="BN80" t="str">
        <f t="shared" si="9"/>
        <v>Sugawara</v>
      </c>
      <c r="BO80" t="str">
        <f t="shared" si="10"/>
        <v>Makoto</v>
      </c>
    </row>
    <row r="81" spans="1:67" ht="16" thickBot="1" x14ac:dyDescent="0.25">
      <c r="A81" s="90" t="s">
        <v>3453</v>
      </c>
      <c r="B81" s="90" t="s">
        <v>3454</v>
      </c>
      <c r="C81" s="90" t="s">
        <v>3455</v>
      </c>
      <c r="D81" s="90" t="s">
        <v>3461</v>
      </c>
      <c r="E81" s="90" t="s">
        <v>1953</v>
      </c>
      <c r="F81" s="90" t="s">
        <v>3462</v>
      </c>
      <c r="G81" s="90" t="s">
        <v>3428</v>
      </c>
      <c r="H81" s="90" t="s">
        <v>1943</v>
      </c>
      <c r="I81" s="90" t="s">
        <v>1944</v>
      </c>
      <c r="J81" s="90" t="s">
        <v>831</v>
      </c>
      <c r="K81" s="90" t="s">
        <v>3429</v>
      </c>
      <c r="L81" s="90" t="s">
        <v>3441</v>
      </c>
      <c r="M81" s="87" t="s">
        <v>1970</v>
      </c>
      <c r="N81" s="87" t="s">
        <v>3203</v>
      </c>
      <c r="O81" s="88">
        <v>45261</v>
      </c>
      <c r="P81" s="89">
        <v>2.7</v>
      </c>
      <c r="Q81" s="90" t="s">
        <v>287</v>
      </c>
      <c r="R81" s="90" t="s">
        <v>3214</v>
      </c>
      <c r="S81" s="90" t="s">
        <v>3215</v>
      </c>
      <c r="T81" s="90" t="s">
        <v>3230</v>
      </c>
      <c r="U81" s="90" t="s">
        <v>3231</v>
      </c>
      <c r="V81" s="88">
        <v>45261</v>
      </c>
      <c r="W81" s="88">
        <v>45261</v>
      </c>
      <c r="X81" s="90" t="s">
        <v>43</v>
      </c>
      <c r="Y81" s="90" t="s">
        <v>257</v>
      </c>
      <c r="Z81" s="90" t="s">
        <v>36</v>
      </c>
      <c r="AA81" s="91"/>
      <c r="AB81" s="91"/>
      <c r="AC81" s="90" t="s">
        <v>2051</v>
      </c>
      <c r="AD81" s="90" t="s">
        <v>267</v>
      </c>
      <c r="AE81" s="90" t="s">
        <v>3218</v>
      </c>
      <c r="AF81" s="90" t="s">
        <v>1947</v>
      </c>
      <c r="AG81" s="90" t="s">
        <v>3220</v>
      </c>
      <c r="AH81" s="90" t="s">
        <v>3233</v>
      </c>
      <c r="AI81" s="90" t="s">
        <v>3233</v>
      </c>
      <c r="AJ81" s="90" t="s">
        <v>2051</v>
      </c>
      <c r="AK81" s="91"/>
      <c r="AL81" s="90" t="s">
        <v>3220</v>
      </c>
      <c r="AM81" s="90" t="s">
        <v>3221</v>
      </c>
      <c r="AN81" s="90" t="s">
        <v>3234</v>
      </c>
      <c r="AO81" s="87" t="s">
        <v>3118</v>
      </c>
      <c r="AP81" s="87" t="s">
        <v>1950</v>
      </c>
      <c r="AQ81" s="90" t="s">
        <v>3237</v>
      </c>
      <c r="AR81" s="92">
        <v>78000</v>
      </c>
      <c r="AS81" s="92">
        <v>97000</v>
      </c>
      <c r="AT81" s="92">
        <v>121000</v>
      </c>
      <c r="AU81" s="87" t="s">
        <v>1951</v>
      </c>
      <c r="AV81" s="87" t="s">
        <v>1952</v>
      </c>
      <c r="AW81" s="91"/>
      <c r="AX81" s="91"/>
      <c r="AY81" s="90" t="s">
        <v>3222</v>
      </c>
      <c r="AZ81" t="str">
        <f t="shared" si="6"/>
        <v>212047</v>
      </c>
      <c r="BA81" t="str">
        <f t="shared" si="7"/>
        <v>0463</v>
      </c>
      <c r="BB81" t="str">
        <f t="shared" si="11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JP</v>
      </c>
      <c r="BH81" t="str">
        <f>IFERROR(VLOOKUP(AM81,'Country Map'!A:E,4,FALSE),"Country Not Mapped")</f>
        <v>JPY</v>
      </c>
      <c r="BJ81" t="str">
        <f>IFERROR(VLOOKUP(X81,'Status Map'!A:B,2,FALSE),"Status Code Not Mapped")</f>
        <v>Y</v>
      </c>
      <c r="BL81" t="str">
        <f>IFERROR(VLOOKUP(D81,'Invoice Exception Map'!A:C,3,FALSE),"N")</f>
        <v>N</v>
      </c>
      <c r="BM81">
        <f t="shared" si="8"/>
        <v>4</v>
      </c>
      <c r="BN81" t="str">
        <f t="shared" si="9"/>
        <v>Yan</v>
      </c>
      <c r="BO81" t="str">
        <f t="shared" si="10"/>
        <v>Xinhua</v>
      </c>
    </row>
    <row r="82" spans="1:67" ht="16" thickBot="1" x14ac:dyDescent="0.25">
      <c r="A82" s="90" t="s">
        <v>3453</v>
      </c>
      <c r="B82" s="90" t="s">
        <v>3454</v>
      </c>
      <c r="C82" s="90" t="s">
        <v>3455</v>
      </c>
      <c r="D82" s="90" t="s">
        <v>3463</v>
      </c>
      <c r="E82" s="90" t="s">
        <v>1953</v>
      </c>
      <c r="F82" s="90" t="s">
        <v>3464</v>
      </c>
      <c r="G82" s="90" t="s">
        <v>3465</v>
      </c>
      <c r="H82" s="90" t="s">
        <v>1943</v>
      </c>
      <c r="I82" s="90" t="s">
        <v>1944</v>
      </c>
      <c r="J82" s="90" t="s">
        <v>1955</v>
      </c>
      <c r="K82" s="90" t="s">
        <v>3466</v>
      </c>
      <c r="L82" s="90" t="s">
        <v>3467</v>
      </c>
      <c r="M82" s="87" t="s">
        <v>1963</v>
      </c>
      <c r="N82" s="87" t="s">
        <v>1991</v>
      </c>
      <c r="O82" s="88">
        <v>41730</v>
      </c>
      <c r="P82" s="89">
        <v>12.4</v>
      </c>
      <c r="Q82" s="90" t="s">
        <v>151</v>
      </c>
      <c r="R82" s="90" t="s">
        <v>1031</v>
      </c>
      <c r="S82" s="90" t="s">
        <v>3081</v>
      </c>
      <c r="T82" s="90" t="s">
        <v>3230</v>
      </c>
      <c r="U82" s="90" t="s">
        <v>3231</v>
      </c>
      <c r="V82" s="88">
        <v>41730</v>
      </c>
      <c r="W82" s="88">
        <v>41730</v>
      </c>
      <c r="X82" s="90" t="s">
        <v>43</v>
      </c>
      <c r="Y82" s="90" t="s">
        <v>257</v>
      </c>
      <c r="Z82" s="90" t="s">
        <v>36</v>
      </c>
      <c r="AA82" s="91"/>
      <c r="AB82" s="91"/>
      <c r="AC82" s="90" t="s">
        <v>2051</v>
      </c>
      <c r="AD82" s="90" t="s">
        <v>267</v>
      </c>
      <c r="AE82" s="90" t="s">
        <v>3218</v>
      </c>
      <c r="AF82" s="90" t="s">
        <v>1947</v>
      </c>
      <c r="AG82" s="90" t="s">
        <v>3238</v>
      </c>
      <c r="AH82" s="90" t="s">
        <v>3233</v>
      </c>
      <c r="AI82" s="90" t="s">
        <v>3233</v>
      </c>
      <c r="AJ82" s="90" t="s">
        <v>2051</v>
      </c>
      <c r="AK82" s="90" t="s">
        <v>36</v>
      </c>
      <c r="AL82" s="90" t="s">
        <v>3220</v>
      </c>
      <c r="AM82" s="90" t="s">
        <v>3221</v>
      </c>
      <c r="AN82" s="90" t="s">
        <v>3123</v>
      </c>
      <c r="AO82" s="87" t="s">
        <v>3118</v>
      </c>
      <c r="AP82" s="87" t="s">
        <v>1950</v>
      </c>
      <c r="AQ82" s="90" t="s">
        <v>3239</v>
      </c>
      <c r="AR82" s="92">
        <v>88000</v>
      </c>
      <c r="AS82" s="92">
        <v>110000</v>
      </c>
      <c r="AT82" s="92">
        <v>137000</v>
      </c>
      <c r="AU82" s="87" t="s">
        <v>1951</v>
      </c>
      <c r="AV82" s="87" t="s">
        <v>1952</v>
      </c>
      <c r="AW82" s="91"/>
      <c r="AX82" s="91"/>
      <c r="AY82" s="91"/>
      <c r="AZ82" t="str">
        <f t="shared" si="6"/>
        <v>901934</v>
      </c>
      <c r="BA82" t="str">
        <f t="shared" si="7"/>
        <v>0463</v>
      </c>
      <c r="BB82" t="str">
        <f t="shared" si="11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JP</v>
      </c>
      <c r="BH82" t="str">
        <f>IFERROR(VLOOKUP(AM82,'Country Map'!A:E,4,FALSE),"Country Not Mapped")</f>
        <v>JPY</v>
      </c>
      <c r="BJ82" t="str">
        <f>IFERROR(VLOOKUP(X82,'Status Map'!A:B,2,FALSE),"Status Code Not Mapped")</f>
        <v>Y</v>
      </c>
      <c r="BL82" t="str">
        <f>IFERROR(VLOOKUP(D82,'Invoice Exception Map'!A:C,3,FALSE),"N")</f>
        <v>N</v>
      </c>
      <c r="BM82">
        <f t="shared" si="8"/>
        <v>8</v>
      </c>
      <c r="BN82" t="str">
        <f t="shared" si="9"/>
        <v>Yoshino</v>
      </c>
      <c r="BO82" t="str">
        <f t="shared" si="10"/>
        <v>Hideo</v>
      </c>
    </row>
    <row r="83" spans="1:67" ht="16" thickBot="1" x14ac:dyDescent="0.25">
      <c r="A83" s="90" t="s">
        <v>2258</v>
      </c>
      <c r="B83" s="90" t="s">
        <v>2259</v>
      </c>
      <c r="C83" s="90" t="s">
        <v>2260</v>
      </c>
      <c r="D83" s="90" t="s">
        <v>3243</v>
      </c>
      <c r="E83" s="90" t="s">
        <v>1953</v>
      </c>
      <c r="F83" s="90" t="s">
        <v>2261</v>
      </c>
      <c r="G83" s="90" t="s">
        <v>3468</v>
      </c>
      <c r="H83" s="90" t="s">
        <v>1943</v>
      </c>
      <c r="I83" s="90" t="s">
        <v>1944</v>
      </c>
      <c r="J83" s="90" t="s">
        <v>1957</v>
      </c>
      <c r="K83" s="90" t="s">
        <v>3469</v>
      </c>
      <c r="L83" s="90" t="s">
        <v>3470</v>
      </c>
      <c r="M83" s="87" t="s">
        <v>3240</v>
      </c>
      <c r="N83" s="87" t="s">
        <v>1958</v>
      </c>
      <c r="O83" s="88">
        <v>38755</v>
      </c>
      <c r="P83" s="89">
        <v>20.5</v>
      </c>
      <c r="Q83" s="90" t="s">
        <v>69</v>
      </c>
      <c r="R83" s="90" t="s">
        <v>3103</v>
      </c>
      <c r="S83" s="90" t="s">
        <v>2098</v>
      </c>
      <c r="T83" s="90" t="s">
        <v>2262</v>
      </c>
      <c r="U83" s="90" t="s">
        <v>2263</v>
      </c>
      <c r="V83" s="88">
        <v>38755</v>
      </c>
      <c r="W83" s="88">
        <v>38755</v>
      </c>
      <c r="X83" s="90" t="s">
        <v>43</v>
      </c>
      <c r="Y83" s="90" t="s">
        <v>257</v>
      </c>
      <c r="Z83" s="90" t="s">
        <v>36</v>
      </c>
      <c r="AA83" s="91"/>
      <c r="AB83" s="91"/>
      <c r="AC83" s="90" t="s">
        <v>2051</v>
      </c>
      <c r="AD83" s="90" t="s">
        <v>267</v>
      </c>
      <c r="AE83" s="90" t="s">
        <v>1617</v>
      </c>
      <c r="AF83" s="90" t="s">
        <v>1947</v>
      </c>
      <c r="AG83" s="90" t="s">
        <v>3241</v>
      </c>
      <c r="AH83" s="90" t="s">
        <v>2113</v>
      </c>
      <c r="AI83" s="90" t="s">
        <v>2113</v>
      </c>
      <c r="AJ83" s="90" t="s">
        <v>2051</v>
      </c>
      <c r="AK83" s="91"/>
      <c r="AL83" s="90" t="s">
        <v>2264</v>
      </c>
      <c r="AM83" s="90" t="s">
        <v>2265</v>
      </c>
      <c r="AN83" s="90" t="s">
        <v>2054</v>
      </c>
      <c r="AO83" s="87" t="s">
        <v>3082</v>
      </c>
      <c r="AP83" s="87" t="s">
        <v>1950</v>
      </c>
      <c r="AQ83" s="90" t="s">
        <v>3242</v>
      </c>
      <c r="AR83" s="92">
        <v>98000</v>
      </c>
      <c r="AS83" s="92">
        <v>122000</v>
      </c>
      <c r="AT83" s="92">
        <v>153000</v>
      </c>
      <c r="AU83" s="87" t="s">
        <v>1951</v>
      </c>
      <c r="AV83" s="87" t="s">
        <v>1981</v>
      </c>
      <c r="AW83" s="91"/>
      <c r="AX83" s="91"/>
      <c r="AY83" s="91"/>
      <c r="AZ83" t="str">
        <f t="shared" si="6"/>
        <v>205389</v>
      </c>
      <c r="BA83" t="str">
        <f t="shared" si="7"/>
        <v>179</v>
      </c>
      <c r="BB83" t="str">
        <f t="shared" si="11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>IFERROR(VLOOKUP(X83,'Status Map'!A:B,2,FALSE),"Status Code Not Mapped")</f>
        <v>Y</v>
      </c>
      <c r="BL83" t="str">
        <f>IFERROR(VLOOKUP(D83,'Invoice Exception Map'!A:C,3,FALSE),"N")</f>
        <v>N</v>
      </c>
      <c r="BM83">
        <f t="shared" si="8"/>
        <v>5</v>
      </c>
      <c r="BN83" t="str">
        <f t="shared" si="9"/>
        <v>Chon</v>
      </c>
      <c r="BO83" t="str">
        <f t="shared" si="10"/>
        <v>Byoungwook</v>
      </c>
    </row>
    <row r="84" spans="1:67" ht="16" thickBot="1" x14ac:dyDescent="0.25">
      <c r="A84" s="90" t="s">
        <v>2258</v>
      </c>
      <c r="B84" s="90" t="s">
        <v>2259</v>
      </c>
      <c r="C84" s="90" t="s">
        <v>2260</v>
      </c>
      <c r="D84" s="90" t="s">
        <v>3471</v>
      </c>
      <c r="E84" s="90" t="s">
        <v>1953</v>
      </c>
      <c r="F84" s="90" t="s">
        <v>2266</v>
      </c>
      <c r="G84" s="90" t="s">
        <v>2034</v>
      </c>
      <c r="H84" s="90" t="s">
        <v>1943</v>
      </c>
      <c r="I84" s="90" t="s">
        <v>1944</v>
      </c>
      <c r="J84" s="90" t="s">
        <v>831</v>
      </c>
      <c r="K84" s="90" t="s">
        <v>1039</v>
      </c>
      <c r="L84" s="90" t="s">
        <v>1976</v>
      </c>
      <c r="M84" s="87" t="s">
        <v>1945</v>
      </c>
      <c r="N84" s="87" t="s">
        <v>831</v>
      </c>
      <c r="O84" s="88">
        <v>38950</v>
      </c>
      <c r="P84" s="89">
        <v>20</v>
      </c>
      <c r="Q84" s="90" t="s">
        <v>287</v>
      </c>
      <c r="R84" s="90" t="s">
        <v>3243</v>
      </c>
      <c r="S84" s="90" t="s">
        <v>2261</v>
      </c>
      <c r="T84" s="90" t="s">
        <v>2262</v>
      </c>
      <c r="U84" s="90" t="s">
        <v>2263</v>
      </c>
      <c r="V84" s="88">
        <v>38950</v>
      </c>
      <c r="W84" s="88">
        <v>38950</v>
      </c>
      <c r="X84" s="90" t="s">
        <v>43</v>
      </c>
      <c r="Y84" s="90" t="s">
        <v>257</v>
      </c>
      <c r="Z84" s="90" t="s">
        <v>36</v>
      </c>
      <c r="AA84" s="91"/>
      <c r="AB84" s="91"/>
      <c r="AC84" s="90" t="s">
        <v>2051</v>
      </c>
      <c r="AD84" s="90" t="s">
        <v>267</v>
      </c>
      <c r="AE84" s="90" t="s">
        <v>1617</v>
      </c>
      <c r="AF84" s="90" t="s">
        <v>1947</v>
      </c>
      <c r="AG84" s="90" t="s">
        <v>3244</v>
      </c>
      <c r="AH84" s="90" t="s">
        <v>2113</v>
      </c>
      <c r="AI84" s="90" t="s">
        <v>2113</v>
      </c>
      <c r="AJ84" s="90" t="s">
        <v>2051</v>
      </c>
      <c r="AK84" s="91"/>
      <c r="AL84" s="90" t="s">
        <v>2264</v>
      </c>
      <c r="AM84" s="90" t="s">
        <v>2265</v>
      </c>
      <c r="AN84" s="90" t="s">
        <v>2054</v>
      </c>
      <c r="AO84" s="87" t="s">
        <v>1949</v>
      </c>
      <c r="AP84" s="87" t="s">
        <v>1950</v>
      </c>
      <c r="AQ84" s="90" t="s">
        <v>1567</v>
      </c>
      <c r="AR84" s="92">
        <v>78000</v>
      </c>
      <c r="AS84" s="92">
        <v>97000</v>
      </c>
      <c r="AT84" s="92">
        <v>121000</v>
      </c>
      <c r="AU84" s="87" t="s">
        <v>1951</v>
      </c>
      <c r="AV84" s="87" t="s">
        <v>1952</v>
      </c>
      <c r="AW84" s="91"/>
      <c r="AX84" s="91"/>
      <c r="AY84" s="91"/>
      <c r="AZ84" t="str">
        <f t="shared" si="6"/>
        <v>206503</v>
      </c>
      <c r="BA84" t="str">
        <f t="shared" si="7"/>
        <v>179</v>
      </c>
      <c r="BB84" t="str">
        <f t="shared" si="11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>IFERROR(VLOOKUP(X84,'Status Map'!A:B,2,FALSE),"Status Code Not Mapped")</f>
        <v>Y</v>
      </c>
      <c r="BL84" t="str">
        <f>IFERROR(VLOOKUP(D84,'Invoice Exception Map'!A:C,3,FALSE),"N")</f>
        <v>N</v>
      </c>
      <c r="BM84">
        <f t="shared" si="8"/>
        <v>5</v>
      </c>
      <c r="BN84" t="str">
        <f t="shared" si="9"/>
        <v>Jung</v>
      </c>
      <c r="BO84" t="str">
        <f t="shared" si="10"/>
        <v>Yungsek</v>
      </c>
    </row>
    <row r="85" spans="1:67" ht="16" thickBot="1" x14ac:dyDescent="0.25">
      <c r="A85" s="90" t="s">
        <v>2258</v>
      </c>
      <c r="B85" s="90" t="s">
        <v>2259</v>
      </c>
      <c r="C85" s="90" t="s">
        <v>2260</v>
      </c>
      <c r="D85" s="90" t="s">
        <v>3472</v>
      </c>
      <c r="E85" s="90" t="s">
        <v>1953</v>
      </c>
      <c r="F85" s="90" t="s">
        <v>2267</v>
      </c>
      <c r="G85" s="90" t="s">
        <v>2118</v>
      </c>
      <c r="H85" s="90" t="s">
        <v>1943</v>
      </c>
      <c r="I85" s="90" t="s">
        <v>1944</v>
      </c>
      <c r="J85" s="90" t="s">
        <v>831</v>
      </c>
      <c r="K85" s="90" t="s">
        <v>2119</v>
      </c>
      <c r="L85" s="90" t="s">
        <v>2268</v>
      </c>
      <c r="M85" s="87" t="s">
        <v>2121</v>
      </c>
      <c r="N85" s="87" t="s">
        <v>831</v>
      </c>
      <c r="O85" s="88">
        <v>39479</v>
      </c>
      <c r="P85" s="89">
        <v>18.5</v>
      </c>
      <c r="Q85" s="90" t="s">
        <v>504</v>
      </c>
      <c r="R85" s="90" t="s">
        <v>3243</v>
      </c>
      <c r="S85" s="90" t="s">
        <v>2261</v>
      </c>
      <c r="T85" s="90" t="s">
        <v>2262</v>
      </c>
      <c r="U85" s="90" t="s">
        <v>2263</v>
      </c>
      <c r="V85" s="88">
        <v>39479</v>
      </c>
      <c r="W85" s="88">
        <v>39479</v>
      </c>
      <c r="X85" s="90" t="s">
        <v>43</v>
      </c>
      <c r="Y85" s="90" t="s">
        <v>257</v>
      </c>
      <c r="Z85" s="90" t="s">
        <v>36</v>
      </c>
      <c r="AA85" s="91"/>
      <c r="AB85" s="91"/>
      <c r="AC85" s="90" t="s">
        <v>2051</v>
      </c>
      <c r="AD85" s="90" t="s">
        <v>267</v>
      </c>
      <c r="AE85" s="90" t="s">
        <v>1617</v>
      </c>
      <c r="AF85" s="90" t="s">
        <v>1947</v>
      </c>
      <c r="AG85" s="90" t="s">
        <v>3245</v>
      </c>
      <c r="AH85" s="90" t="s">
        <v>2113</v>
      </c>
      <c r="AI85" s="90" t="s">
        <v>2113</v>
      </c>
      <c r="AJ85" s="90" t="s">
        <v>2051</v>
      </c>
      <c r="AK85" s="91"/>
      <c r="AL85" s="90" t="s">
        <v>2264</v>
      </c>
      <c r="AM85" s="90" t="s">
        <v>2265</v>
      </c>
      <c r="AN85" s="90" t="s">
        <v>2054</v>
      </c>
      <c r="AO85" s="87" t="s">
        <v>1949</v>
      </c>
      <c r="AP85" s="87" t="s">
        <v>1950</v>
      </c>
      <c r="AQ85" s="90" t="s">
        <v>1568</v>
      </c>
      <c r="AR85" s="92">
        <v>62000</v>
      </c>
      <c r="AS85" s="92">
        <v>78000</v>
      </c>
      <c r="AT85" s="92">
        <v>97000</v>
      </c>
      <c r="AU85" s="87" t="s">
        <v>1951</v>
      </c>
      <c r="AV85" s="87" t="s">
        <v>1966</v>
      </c>
      <c r="AW85" s="91"/>
      <c r="AX85" s="91"/>
      <c r="AY85" s="91"/>
      <c r="AZ85" t="str">
        <f t="shared" si="6"/>
        <v>206503</v>
      </c>
      <c r="BA85" t="str">
        <f t="shared" si="7"/>
        <v>179</v>
      </c>
      <c r="BB85" t="str">
        <f t="shared" si="11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>IFERROR(VLOOKUP(X85,'Status Map'!A:B,2,FALSE),"Status Code Not Mapped")</f>
        <v>Y</v>
      </c>
      <c r="BL85" t="str">
        <f>IFERROR(VLOOKUP(D85,'Invoice Exception Map'!A:C,3,FALSE),"N")</f>
        <v>N</v>
      </c>
      <c r="BM85">
        <f t="shared" si="8"/>
        <v>5</v>
      </c>
      <c r="BN85" t="str">
        <f t="shared" si="9"/>
        <v>Kwon</v>
      </c>
      <c r="BO85" t="str">
        <f t="shared" si="10"/>
        <v>Young-El</v>
      </c>
    </row>
    <row r="86" spans="1:67" ht="16" thickBot="1" x14ac:dyDescent="0.25">
      <c r="A86" s="90" t="s">
        <v>2258</v>
      </c>
      <c r="B86" s="90" t="s">
        <v>2259</v>
      </c>
      <c r="C86" s="90" t="s">
        <v>2260</v>
      </c>
      <c r="D86" s="90" t="s">
        <v>3473</v>
      </c>
      <c r="E86" s="90" t="s">
        <v>1953</v>
      </c>
      <c r="F86" s="90" t="s">
        <v>2269</v>
      </c>
      <c r="G86" s="90" t="s">
        <v>2118</v>
      </c>
      <c r="H86" s="90" t="s">
        <v>1943</v>
      </c>
      <c r="I86" s="90" t="s">
        <v>1944</v>
      </c>
      <c r="J86" s="90" t="s">
        <v>831</v>
      </c>
      <c r="K86" s="90" t="s">
        <v>2119</v>
      </c>
      <c r="L86" s="90" t="s">
        <v>2270</v>
      </c>
      <c r="M86" s="87" t="s">
        <v>2121</v>
      </c>
      <c r="N86" s="87" t="s">
        <v>831</v>
      </c>
      <c r="O86" s="88">
        <v>41244</v>
      </c>
      <c r="P86" s="89">
        <v>13.7</v>
      </c>
      <c r="Q86" s="90" t="s">
        <v>504</v>
      </c>
      <c r="R86" s="90" t="s">
        <v>3243</v>
      </c>
      <c r="S86" s="90" t="s">
        <v>2261</v>
      </c>
      <c r="T86" s="90" t="s">
        <v>2262</v>
      </c>
      <c r="U86" s="90" t="s">
        <v>2263</v>
      </c>
      <c r="V86" s="88">
        <v>41244</v>
      </c>
      <c r="W86" s="88">
        <v>41244</v>
      </c>
      <c r="X86" s="90" t="s">
        <v>43</v>
      </c>
      <c r="Y86" s="90" t="s">
        <v>257</v>
      </c>
      <c r="Z86" s="90" t="s">
        <v>36</v>
      </c>
      <c r="AA86" s="91"/>
      <c r="AB86" s="91"/>
      <c r="AC86" s="90" t="s">
        <v>2051</v>
      </c>
      <c r="AD86" s="90" t="s">
        <v>267</v>
      </c>
      <c r="AE86" s="90" t="s">
        <v>1617</v>
      </c>
      <c r="AF86" s="90" t="s">
        <v>1947</v>
      </c>
      <c r="AG86" s="90" t="s">
        <v>3244</v>
      </c>
      <c r="AH86" s="90" t="s">
        <v>2113</v>
      </c>
      <c r="AI86" s="90" t="s">
        <v>2113</v>
      </c>
      <c r="AJ86" s="90" t="s">
        <v>2051</v>
      </c>
      <c r="AK86" s="91"/>
      <c r="AL86" s="90" t="s">
        <v>2264</v>
      </c>
      <c r="AM86" s="90" t="s">
        <v>2265</v>
      </c>
      <c r="AN86" s="90" t="s">
        <v>2054</v>
      </c>
      <c r="AO86" s="87" t="s">
        <v>1949</v>
      </c>
      <c r="AP86" s="87" t="s">
        <v>1950</v>
      </c>
      <c r="AQ86" s="90" t="s">
        <v>1569</v>
      </c>
      <c r="AR86" s="92">
        <v>62000</v>
      </c>
      <c r="AS86" s="92">
        <v>78000</v>
      </c>
      <c r="AT86" s="92">
        <v>97000</v>
      </c>
      <c r="AU86" s="87" t="s">
        <v>1951</v>
      </c>
      <c r="AV86" s="87" t="s">
        <v>1966</v>
      </c>
      <c r="AW86" s="91"/>
      <c r="AX86" s="91"/>
      <c r="AY86" s="91"/>
      <c r="AZ86" t="str">
        <f t="shared" si="6"/>
        <v>206503</v>
      </c>
      <c r="BA86" t="str">
        <f t="shared" si="7"/>
        <v>179</v>
      </c>
      <c r="BB86" t="str">
        <f t="shared" si="11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>IFERROR(VLOOKUP(X86,'Status Map'!A:B,2,FALSE),"Status Code Not Mapped")</f>
        <v>Y</v>
      </c>
      <c r="BL86" t="str">
        <f>IFERROR(VLOOKUP(D86,'Invoice Exception Map'!A:C,3,FALSE),"N")</f>
        <v>N</v>
      </c>
      <c r="BM86">
        <f t="shared" si="8"/>
        <v>4</v>
      </c>
      <c r="BN86" t="str">
        <f t="shared" si="9"/>
        <v>Lee</v>
      </c>
      <c r="BO86" t="str">
        <f t="shared" si="10"/>
        <v>YongJun</v>
      </c>
    </row>
    <row r="87" spans="1:67" ht="16" thickBot="1" x14ac:dyDescent="0.25">
      <c r="A87" s="90" t="s">
        <v>2258</v>
      </c>
      <c r="B87" s="90" t="s">
        <v>2259</v>
      </c>
      <c r="C87" s="90" t="s">
        <v>2260</v>
      </c>
      <c r="D87" s="90" t="s">
        <v>3474</v>
      </c>
      <c r="E87" s="90" t="s">
        <v>1953</v>
      </c>
      <c r="F87" s="90" t="s">
        <v>2271</v>
      </c>
      <c r="G87" s="90" t="s">
        <v>2118</v>
      </c>
      <c r="H87" s="90" t="s">
        <v>1943</v>
      </c>
      <c r="I87" s="90" t="s">
        <v>1944</v>
      </c>
      <c r="J87" s="90" t="s">
        <v>831</v>
      </c>
      <c r="K87" s="90" t="s">
        <v>2119</v>
      </c>
      <c r="L87" s="90" t="s">
        <v>2270</v>
      </c>
      <c r="M87" s="87" t="s">
        <v>2121</v>
      </c>
      <c r="N87" s="87" t="s">
        <v>831</v>
      </c>
      <c r="O87" s="88">
        <v>40878</v>
      </c>
      <c r="P87" s="89">
        <v>14.7</v>
      </c>
      <c r="Q87" s="90" t="s">
        <v>504</v>
      </c>
      <c r="R87" s="90" t="s">
        <v>3243</v>
      </c>
      <c r="S87" s="90" t="s">
        <v>2261</v>
      </c>
      <c r="T87" s="90" t="s">
        <v>2262</v>
      </c>
      <c r="U87" s="90" t="s">
        <v>2263</v>
      </c>
      <c r="V87" s="88">
        <v>40878</v>
      </c>
      <c r="W87" s="88">
        <v>40878</v>
      </c>
      <c r="X87" s="90" t="s">
        <v>43</v>
      </c>
      <c r="Y87" s="90" t="s">
        <v>257</v>
      </c>
      <c r="Z87" s="90" t="s">
        <v>36</v>
      </c>
      <c r="AA87" s="91"/>
      <c r="AB87" s="91"/>
      <c r="AC87" s="90" t="s">
        <v>2051</v>
      </c>
      <c r="AD87" s="90" t="s">
        <v>267</v>
      </c>
      <c r="AE87" s="90" t="s">
        <v>1617</v>
      </c>
      <c r="AF87" s="90" t="s">
        <v>1947</v>
      </c>
      <c r="AG87" s="90" t="s">
        <v>3241</v>
      </c>
      <c r="AH87" s="90" t="s">
        <v>2113</v>
      </c>
      <c r="AI87" s="90" t="s">
        <v>2113</v>
      </c>
      <c r="AJ87" s="90" t="s">
        <v>2051</v>
      </c>
      <c r="AK87" s="91"/>
      <c r="AL87" s="90" t="s">
        <v>2264</v>
      </c>
      <c r="AM87" s="90" t="s">
        <v>2265</v>
      </c>
      <c r="AN87" s="90" t="s">
        <v>2054</v>
      </c>
      <c r="AO87" s="87" t="s">
        <v>1949</v>
      </c>
      <c r="AP87" s="87" t="s">
        <v>1950</v>
      </c>
      <c r="AQ87" s="90" t="s">
        <v>1570</v>
      </c>
      <c r="AR87" s="92">
        <v>62000</v>
      </c>
      <c r="AS87" s="92">
        <v>78000</v>
      </c>
      <c r="AT87" s="92">
        <v>97000</v>
      </c>
      <c r="AU87" s="87" t="s">
        <v>1951</v>
      </c>
      <c r="AV87" s="87" t="s">
        <v>1966</v>
      </c>
      <c r="AW87" s="91"/>
      <c r="AX87" s="91"/>
      <c r="AY87" s="91"/>
      <c r="AZ87" t="str">
        <f t="shared" si="6"/>
        <v>206503</v>
      </c>
      <c r="BA87" t="str">
        <f t="shared" si="7"/>
        <v>179</v>
      </c>
      <c r="BB87" t="str">
        <f t="shared" si="11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>IFERROR(VLOOKUP(X87,'Status Map'!A:B,2,FALSE),"Status Code Not Mapped")</f>
        <v>Y</v>
      </c>
      <c r="BL87" t="str">
        <f>IFERROR(VLOOKUP(D87,'Invoice Exception Map'!A:C,3,FALSE),"N")</f>
        <v>N</v>
      </c>
      <c r="BM87">
        <f t="shared" si="8"/>
        <v>5</v>
      </c>
      <c r="BN87" t="str">
        <f t="shared" si="9"/>
        <v>Yoon</v>
      </c>
      <c r="BO87" t="str">
        <f t="shared" si="10"/>
        <v>Sungjae</v>
      </c>
    </row>
    <row r="88" spans="1:67" ht="16" thickBot="1" x14ac:dyDescent="0.25">
      <c r="A88" s="90" t="s">
        <v>2272</v>
      </c>
      <c r="B88" s="90" t="s">
        <v>2273</v>
      </c>
      <c r="C88" s="90" t="s">
        <v>2274</v>
      </c>
      <c r="D88" s="90" t="s">
        <v>3475</v>
      </c>
      <c r="E88" s="90" t="s">
        <v>1953</v>
      </c>
      <c r="F88" s="90" t="s">
        <v>2275</v>
      </c>
      <c r="G88" s="90" t="s">
        <v>2030</v>
      </c>
      <c r="H88" s="90" t="s">
        <v>1943</v>
      </c>
      <c r="I88" s="90" t="s">
        <v>1944</v>
      </c>
      <c r="J88" s="90" t="s">
        <v>1955</v>
      </c>
      <c r="K88" s="90" t="s">
        <v>2031</v>
      </c>
      <c r="L88" s="90" t="s">
        <v>2276</v>
      </c>
      <c r="M88" s="87" t="s">
        <v>1945</v>
      </c>
      <c r="N88" s="87" t="s">
        <v>66</v>
      </c>
      <c r="O88" s="88">
        <v>38245</v>
      </c>
      <c r="P88" s="89">
        <v>22</v>
      </c>
      <c r="Q88" s="90" t="s">
        <v>69</v>
      </c>
      <c r="R88" s="90" t="s">
        <v>3246</v>
      </c>
      <c r="S88" s="90" t="s">
        <v>3247</v>
      </c>
      <c r="T88" s="90" t="s">
        <v>2277</v>
      </c>
      <c r="U88" s="90" t="s">
        <v>1588</v>
      </c>
      <c r="V88" s="88">
        <v>38245</v>
      </c>
      <c r="W88" s="88">
        <v>38245</v>
      </c>
      <c r="X88" s="90" t="s">
        <v>43</v>
      </c>
      <c r="Y88" s="90" t="s">
        <v>257</v>
      </c>
      <c r="Z88" s="90" t="s">
        <v>36</v>
      </c>
      <c r="AA88" s="91"/>
      <c r="AB88" s="91"/>
      <c r="AC88" s="90" t="s">
        <v>2051</v>
      </c>
      <c r="AD88" s="90" t="s">
        <v>267</v>
      </c>
      <c r="AE88" s="90" t="s">
        <v>1600</v>
      </c>
      <c r="AF88" s="90" t="s">
        <v>1947</v>
      </c>
      <c r="AG88" s="90" t="s">
        <v>3248</v>
      </c>
      <c r="AH88" s="90" t="s">
        <v>1619</v>
      </c>
      <c r="AI88" s="90" t="s">
        <v>1619</v>
      </c>
      <c r="AJ88" s="90" t="s">
        <v>2051</v>
      </c>
      <c r="AK88" s="90" t="s">
        <v>36</v>
      </c>
      <c r="AL88" s="90" t="s">
        <v>1599</v>
      </c>
      <c r="AM88" s="90" t="s">
        <v>2278</v>
      </c>
      <c r="AN88" s="90" t="s">
        <v>2054</v>
      </c>
      <c r="AO88" s="87" t="s">
        <v>1949</v>
      </c>
      <c r="AP88" s="87" t="s">
        <v>1950</v>
      </c>
      <c r="AQ88" s="90" t="s">
        <v>1529</v>
      </c>
      <c r="AR88" s="92">
        <v>98000</v>
      </c>
      <c r="AS88" s="92">
        <v>122000</v>
      </c>
      <c r="AT88" s="92">
        <v>153000</v>
      </c>
      <c r="AU88" s="87" t="s">
        <v>1951</v>
      </c>
      <c r="AV88" s="87" t="s">
        <v>1981</v>
      </c>
      <c r="AW88" s="91"/>
      <c r="AX88" s="91"/>
      <c r="AY88" s="91"/>
      <c r="AZ88" t="str">
        <f t="shared" si="6"/>
        <v>202182</v>
      </c>
      <c r="BA88" t="str">
        <f t="shared" si="7"/>
        <v>0084</v>
      </c>
      <c r="BB88" t="str">
        <f t="shared" si="11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>IFERROR(VLOOKUP(X88,'Status Map'!A:B,2,FALSE),"Status Code Not Mapped")</f>
        <v>Y</v>
      </c>
      <c r="BL88" t="str">
        <f>IFERROR(VLOOKUP(D88,'Invoice Exception Map'!A:C,3,FALSE),"N")</f>
        <v>N</v>
      </c>
      <c r="BM88">
        <f t="shared" si="8"/>
        <v>9</v>
      </c>
      <c r="BN88" t="str">
        <f t="shared" si="9"/>
        <v>CARRILLO</v>
      </c>
      <c r="BO88" t="str">
        <f t="shared" si="10"/>
        <v>RICARDO</v>
      </c>
    </row>
    <row r="89" spans="1:67" ht="16" thickBot="1" x14ac:dyDescent="0.25">
      <c r="A89" s="90" t="s">
        <v>2280</v>
      </c>
      <c r="B89" s="90" t="s">
        <v>2281</v>
      </c>
      <c r="C89" s="90" t="s">
        <v>2282</v>
      </c>
      <c r="D89" s="90" t="s">
        <v>3476</v>
      </c>
      <c r="E89" s="90" t="s">
        <v>1953</v>
      </c>
      <c r="F89" s="90" t="s">
        <v>3477</v>
      </c>
      <c r="G89" s="90" t="s">
        <v>2283</v>
      </c>
      <c r="H89" s="90" t="s">
        <v>1943</v>
      </c>
      <c r="I89" s="90" t="s">
        <v>1944</v>
      </c>
      <c r="J89" s="90" t="s">
        <v>427</v>
      </c>
      <c r="K89" s="90" t="s">
        <v>2284</v>
      </c>
      <c r="L89" s="90" t="s">
        <v>2176</v>
      </c>
      <c r="M89" s="87" t="s">
        <v>2036</v>
      </c>
      <c r="N89" s="87" t="s">
        <v>2020</v>
      </c>
      <c r="O89" s="88">
        <v>43374</v>
      </c>
      <c r="P89" s="89">
        <v>7.9</v>
      </c>
      <c r="Q89" s="90" t="s">
        <v>213</v>
      </c>
      <c r="R89" s="90" t="s">
        <v>3246</v>
      </c>
      <c r="S89" s="90" t="s">
        <v>3247</v>
      </c>
      <c r="T89" s="90" t="s">
        <v>2277</v>
      </c>
      <c r="U89" s="90" t="s">
        <v>1588</v>
      </c>
      <c r="V89" s="88">
        <v>44866</v>
      </c>
      <c r="W89" s="88">
        <v>43374</v>
      </c>
      <c r="X89" s="90" t="s">
        <v>43</v>
      </c>
      <c r="Y89" s="90" t="s">
        <v>257</v>
      </c>
      <c r="Z89" s="90" t="s">
        <v>36</v>
      </c>
      <c r="AA89" s="91"/>
      <c r="AB89" s="91"/>
      <c r="AC89" s="90" t="s">
        <v>2051</v>
      </c>
      <c r="AD89" s="90" t="s">
        <v>267</v>
      </c>
      <c r="AE89" s="90" t="s">
        <v>1600</v>
      </c>
      <c r="AF89" s="90" t="s">
        <v>1947</v>
      </c>
      <c r="AG89" s="90" t="s">
        <v>3249</v>
      </c>
      <c r="AH89" s="90" t="s">
        <v>2113</v>
      </c>
      <c r="AI89" s="90" t="s">
        <v>2113</v>
      </c>
      <c r="AJ89" s="90" t="s">
        <v>2051</v>
      </c>
      <c r="AK89" s="90" t="s">
        <v>36</v>
      </c>
      <c r="AL89" s="90" t="s">
        <v>1599</v>
      </c>
      <c r="AM89" s="90" t="s">
        <v>2278</v>
      </c>
      <c r="AN89" s="90" t="s">
        <v>2054</v>
      </c>
      <c r="AO89" s="87" t="s">
        <v>1949</v>
      </c>
      <c r="AP89" s="87" t="s">
        <v>1950</v>
      </c>
      <c r="AQ89" s="90" t="s">
        <v>1536</v>
      </c>
      <c r="AR89" s="92">
        <v>38000</v>
      </c>
      <c r="AS89" s="92">
        <v>47000</v>
      </c>
      <c r="AT89" s="92">
        <v>59000</v>
      </c>
      <c r="AU89" s="87" t="s">
        <v>1972</v>
      </c>
      <c r="AV89" s="87" t="s">
        <v>1973</v>
      </c>
      <c r="AW89" s="91"/>
      <c r="AX89" s="91"/>
      <c r="AY89" s="91"/>
      <c r="AZ89" t="str">
        <f t="shared" si="6"/>
        <v>202182</v>
      </c>
      <c r="BA89" t="str">
        <f t="shared" si="7"/>
        <v>0084</v>
      </c>
      <c r="BB89" t="str">
        <f t="shared" si="11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>IFERROR(VLOOKUP(X89,'Status Map'!A:B,2,FALSE),"Status Code Not Mapped")</f>
        <v>Y</v>
      </c>
      <c r="BL89" t="str">
        <f>IFERROR(VLOOKUP(D89,'Invoice Exception Map'!A:C,3,FALSE),"N")</f>
        <v>N</v>
      </c>
      <c r="BM89">
        <f t="shared" si="8"/>
        <v>19</v>
      </c>
      <c r="BN89" t="str">
        <f t="shared" si="9"/>
        <v>CARRIZALES VÁZQUEZ</v>
      </c>
      <c r="BO89" t="str">
        <f t="shared" si="10"/>
        <v>EDUARDO J.</v>
      </c>
    </row>
    <row r="90" spans="1:67" ht="16" thickBot="1" x14ac:dyDescent="0.25">
      <c r="A90" s="90" t="s">
        <v>2280</v>
      </c>
      <c r="B90" s="90" t="s">
        <v>2281</v>
      </c>
      <c r="C90" s="90" t="s">
        <v>2282</v>
      </c>
      <c r="D90" s="90" t="s">
        <v>3478</v>
      </c>
      <c r="E90" s="90" t="s">
        <v>1953</v>
      </c>
      <c r="F90" s="90" t="s">
        <v>3479</v>
      </c>
      <c r="G90" s="90" t="s">
        <v>2285</v>
      </c>
      <c r="H90" s="90" t="s">
        <v>1943</v>
      </c>
      <c r="I90" s="90" t="s">
        <v>1944</v>
      </c>
      <c r="J90" s="90" t="s">
        <v>1955</v>
      </c>
      <c r="K90" s="90" t="s">
        <v>2286</v>
      </c>
      <c r="L90" s="90" t="s">
        <v>1960</v>
      </c>
      <c r="M90" s="87" t="s">
        <v>1945</v>
      </c>
      <c r="N90" s="87" t="s">
        <v>66</v>
      </c>
      <c r="O90" s="88">
        <v>43234</v>
      </c>
      <c r="P90" s="89">
        <v>8.3000000000000007</v>
      </c>
      <c r="Q90" s="90" t="s">
        <v>287</v>
      </c>
      <c r="R90" s="90" t="s">
        <v>3246</v>
      </c>
      <c r="S90" s="90" t="s">
        <v>3247</v>
      </c>
      <c r="T90" s="90" t="s">
        <v>2287</v>
      </c>
      <c r="U90" s="90" t="s">
        <v>1589</v>
      </c>
      <c r="V90" s="88">
        <v>43234</v>
      </c>
      <c r="W90" s="88">
        <v>43234</v>
      </c>
      <c r="X90" s="90" t="s">
        <v>43</v>
      </c>
      <c r="Y90" s="90" t="s">
        <v>257</v>
      </c>
      <c r="Z90" s="90" t="s">
        <v>36</v>
      </c>
      <c r="AA90" s="91"/>
      <c r="AB90" s="91"/>
      <c r="AC90" s="90" t="s">
        <v>2051</v>
      </c>
      <c r="AD90" s="90" t="s">
        <v>267</v>
      </c>
      <c r="AE90" s="90" t="s">
        <v>1600</v>
      </c>
      <c r="AF90" s="90" t="s">
        <v>1947</v>
      </c>
      <c r="AG90" s="90" t="s">
        <v>3250</v>
      </c>
      <c r="AH90" s="90" t="s">
        <v>2113</v>
      </c>
      <c r="AI90" s="90" t="s">
        <v>2113</v>
      </c>
      <c r="AJ90" s="90" t="s">
        <v>2051</v>
      </c>
      <c r="AK90" s="90" t="s">
        <v>36</v>
      </c>
      <c r="AL90" s="90" t="s">
        <v>1599</v>
      </c>
      <c r="AM90" s="90" t="s">
        <v>2278</v>
      </c>
      <c r="AN90" s="90" t="s">
        <v>2054</v>
      </c>
      <c r="AO90" s="87" t="s">
        <v>1949</v>
      </c>
      <c r="AP90" s="87" t="s">
        <v>1950</v>
      </c>
      <c r="AQ90" s="90" t="s">
        <v>1533</v>
      </c>
      <c r="AR90" s="92">
        <v>78000</v>
      </c>
      <c r="AS90" s="92">
        <v>97000</v>
      </c>
      <c r="AT90" s="92">
        <v>121000</v>
      </c>
      <c r="AU90" s="87" t="s">
        <v>1951</v>
      </c>
      <c r="AV90" s="87" t="s">
        <v>1952</v>
      </c>
      <c r="AW90" s="91"/>
      <c r="AX90" s="91"/>
      <c r="AY90" s="91"/>
      <c r="AZ90" t="str">
        <f t="shared" si="6"/>
        <v>202182</v>
      </c>
      <c r="BA90" t="str">
        <f t="shared" si="7"/>
        <v>0075</v>
      </c>
      <c r="BB90" t="str">
        <f t="shared" si="11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>IFERROR(VLOOKUP(X90,'Status Map'!A:B,2,FALSE),"Status Code Not Mapped")</f>
        <v>Y</v>
      </c>
      <c r="BL90" t="str">
        <f>IFERROR(VLOOKUP(D90,'Invoice Exception Map'!A:C,3,FALSE),"N")</f>
        <v>N</v>
      </c>
      <c r="BM90">
        <f t="shared" si="8"/>
        <v>10</v>
      </c>
      <c r="BN90" t="str">
        <f t="shared" si="9"/>
        <v>CASTORENA</v>
      </c>
      <c r="BO90" t="str">
        <f t="shared" si="10"/>
        <v>MANUEL A.</v>
      </c>
    </row>
    <row r="91" spans="1:67" ht="16" thickBot="1" x14ac:dyDescent="0.25">
      <c r="A91" s="90" t="s">
        <v>2280</v>
      </c>
      <c r="B91" s="90" t="s">
        <v>2281</v>
      </c>
      <c r="C91" s="90" t="s">
        <v>2282</v>
      </c>
      <c r="D91" s="90" t="s">
        <v>3480</v>
      </c>
      <c r="E91" s="90" t="s">
        <v>1953</v>
      </c>
      <c r="F91" s="90" t="s">
        <v>3481</v>
      </c>
      <c r="G91" s="90" t="s">
        <v>2288</v>
      </c>
      <c r="H91" s="90" t="s">
        <v>1943</v>
      </c>
      <c r="I91" s="90" t="s">
        <v>1944</v>
      </c>
      <c r="J91" s="90" t="s">
        <v>1955</v>
      </c>
      <c r="K91" s="90" t="s">
        <v>2289</v>
      </c>
      <c r="L91" s="90" t="s">
        <v>2290</v>
      </c>
      <c r="M91" s="87" t="s">
        <v>2024</v>
      </c>
      <c r="N91" s="87" t="s">
        <v>279</v>
      </c>
      <c r="O91" s="88">
        <v>40514</v>
      </c>
      <c r="P91" s="89">
        <v>15.7</v>
      </c>
      <c r="Q91" s="90" t="s">
        <v>264</v>
      </c>
      <c r="R91" s="90" t="s">
        <v>3246</v>
      </c>
      <c r="S91" s="90" t="s">
        <v>3247</v>
      </c>
      <c r="T91" s="90" t="s">
        <v>2287</v>
      </c>
      <c r="U91" s="90" t="s">
        <v>1589</v>
      </c>
      <c r="V91" s="88">
        <v>40514</v>
      </c>
      <c r="W91" s="88">
        <v>40514</v>
      </c>
      <c r="X91" s="90" t="s">
        <v>43</v>
      </c>
      <c r="Y91" s="90" t="s">
        <v>257</v>
      </c>
      <c r="Z91" s="90" t="s">
        <v>36</v>
      </c>
      <c r="AA91" s="91"/>
      <c r="AB91" s="91"/>
      <c r="AC91" s="90" t="s">
        <v>2051</v>
      </c>
      <c r="AD91" s="90" t="s">
        <v>267</v>
      </c>
      <c r="AE91" s="90" t="s">
        <v>1600</v>
      </c>
      <c r="AF91" s="90" t="s">
        <v>1947</v>
      </c>
      <c r="AG91" s="90" t="s">
        <v>3248</v>
      </c>
      <c r="AH91" s="90" t="s">
        <v>2113</v>
      </c>
      <c r="AI91" s="90" t="s">
        <v>2113</v>
      </c>
      <c r="AJ91" s="90" t="s">
        <v>2051</v>
      </c>
      <c r="AK91" s="90" t="s">
        <v>36</v>
      </c>
      <c r="AL91" s="90" t="s">
        <v>1599</v>
      </c>
      <c r="AM91" s="90" t="s">
        <v>2278</v>
      </c>
      <c r="AN91" s="90" t="s">
        <v>2054</v>
      </c>
      <c r="AO91" s="87" t="s">
        <v>1949</v>
      </c>
      <c r="AP91" s="87" t="s">
        <v>1950</v>
      </c>
      <c r="AQ91" s="90" t="s">
        <v>1532</v>
      </c>
      <c r="AR91" s="92">
        <v>56000</v>
      </c>
      <c r="AS91" s="92">
        <v>70000</v>
      </c>
      <c r="AT91" s="92">
        <v>87000</v>
      </c>
      <c r="AU91" s="87" t="s">
        <v>1951</v>
      </c>
      <c r="AV91" s="87" t="s">
        <v>2002</v>
      </c>
      <c r="AW91" s="91"/>
      <c r="AX91" s="91"/>
      <c r="AY91" s="91"/>
      <c r="AZ91" t="str">
        <f t="shared" si="6"/>
        <v>202182</v>
      </c>
      <c r="BA91" t="str">
        <f t="shared" si="7"/>
        <v>0075</v>
      </c>
      <c r="BB91" t="str">
        <f t="shared" si="11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>IFERROR(VLOOKUP(X91,'Status Map'!A:B,2,FALSE),"Status Code Not Mapped")</f>
        <v>Y</v>
      </c>
      <c r="BL91" t="str">
        <f>IFERROR(VLOOKUP(D91,'Invoice Exception Map'!A:C,3,FALSE),"N")</f>
        <v>N</v>
      </c>
      <c r="BM91">
        <f t="shared" si="8"/>
        <v>9</v>
      </c>
      <c r="BN91" t="str">
        <f t="shared" si="9"/>
        <v>GONZALEZ</v>
      </c>
      <c r="BO91" t="str">
        <f t="shared" si="10"/>
        <v>DANTE A.</v>
      </c>
    </row>
    <row r="92" spans="1:67" ht="16" thickBot="1" x14ac:dyDescent="0.25">
      <c r="A92" s="90" t="s">
        <v>2280</v>
      </c>
      <c r="B92" s="90" t="s">
        <v>2281</v>
      </c>
      <c r="C92" s="90" t="s">
        <v>2282</v>
      </c>
      <c r="D92" s="90" t="s">
        <v>3482</v>
      </c>
      <c r="E92" s="90" t="s">
        <v>1953</v>
      </c>
      <c r="F92" s="90" t="s">
        <v>3483</v>
      </c>
      <c r="G92" s="90" t="s">
        <v>2285</v>
      </c>
      <c r="H92" s="90" t="s">
        <v>1943</v>
      </c>
      <c r="I92" s="90" t="s">
        <v>1944</v>
      </c>
      <c r="J92" s="90" t="s">
        <v>1955</v>
      </c>
      <c r="K92" s="90" t="s">
        <v>2286</v>
      </c>
      <c r="L92" s="90" t="s">
        <v>1960</v>
      </c>
      <c r="M92" s="87" t="s">
        <v>1945</v>
      </c>
      <c r="N92" s="87" t="s">
        <v>66</v>
      </c>
      <c r="O92" s="88">
        <v>44788</v>
      </c>
      <c r="P92" s="89">
        <v>4</v>
      </c>
      <c r="Q92" s="90" t="s">
        <v>287</v>
      </c>
      <c r="R92" s="90" t="s">
        <v>3246</v>
      </c>
      <c r="S92" s="90" t="s">
        <v>3247</v>
      </c>
      <c r="T92" s="90" t="s">
        <v>2287</v>
      </c>
      <c r="U92" s="90" t="s">
        <v>1589</v>
      </c>
      <c r="V92" s="88">
        <v>44788</v>
      </c>
      <c r="W92" s="88">
        <v>44788</v>
      </c>
      <c r="X92" s="90" t="s">
        <v>43</v>
      </c>
      <c r="Y92" s="90" t="s">
        <v>257</v>
      </c>
      <c r="Z92" s="90" t="s">
        <v>36</v>
      </c>
      <c r="AA92" s="91"/>
      <c r="AB92" s="91"/>
      <c r="AC92" s="90" t="s">
        <v>2051</v>
      </c>
      <c r="AD92" s="90" t="s">
        <v>267</v>
      </c>
      <c r="AE92" s="90" t="s">
        <v>1600</v>
      </c>
      <c r="AF92" s="90" t="s">
        <v>1947</v>
      </c>
      <c r="AG92" s="90" t="s">
        <v>3251</v>
      </c>
      <c r="AH92" s="90" t="s">
        <v>2113</v>
      </c>
      <c r="AI92" s="90" t="s">
        <v>2113</v>
      </c>
      <c r="AJ92" s="90" t="s">
        <v>2051</v>
      </c>
      <c r="AK92" s="91"/>
      <c r="AL92" s="90" t="s">
        <v>1599</v>
      </c>
      <c r="AM92" s="90" t="s">
        <v>2278</v>
      </c>
      <c r="AN92" s="90" t="s">
        <v>2054</v>
      </c>
      <c r="AO92" s="87" t="s">
        <v>1949</v>
      </c>
      <c r="AP92" s="87" t="s">
        <v>1950</v>
      </c>
      <c r="AQ92" s="90" t="s">
        <v>1576</v>
      </c>
      <c r="AR92" s="92">
        <v>78000</v>
      </c>
      <c r="AS92" s="92">
        <v>97000</v>
      </c>
      <c r="AT92" s="92">
        <v>121000</v>
      </c>
      <c r="AU92" s="87" t="s">
        <v>1951</v>
      </c>
      <c r="AV92" s="87" t="s">
        <v>1952</v>
      </c>
      <c r="AW92" s="91"/>
      <c r="AX92" s="91"/>
      <c r="AY92" s="91"/>
      <c r="AZ92" t="str">
        <f t="shared" si="6"/>
        <v>202182</v>
      </c>
      <c r="BA92" t="str">
        <f t="shared" si="7"/>
        <v>0075</v>
      </c>
      <c r="BB92" t="str">
        <f t="shared" si="11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>IFERROR(VLOOKUP(X92,'Status Map'!A:B,2,FALSE),"Status Code Not Mapped")</f>
        <v>Y</v>
      </c>
      <c r="BL92" t="str">
        <f>IFERROR(VLOOKUP(D92,'Invoice Exception Map'!A:C,3,FALSE),"N")</f>
        <v>N</v>
      </c>
      <c r="BM92">
        <f t="shared" si="8"/>
        <v>7</v>
      </c>
      <c r="BN92" t="str">
        <f t="shared" si="9"/>
        <v>HILLEL</v>
      </c>
      <c r="BO92" t="str">
        <f t="shared" si="10"/>
        <v>VICTOR A.</v>
      </c>
    </row>
    <row r="93" spans="1:67" ht="16" thickBot="1" x14ac:dyDescent="0.25">
      <c r="A93" s="90" t="s">
        <v>2280</v>
      </c>
      <c r="B93" s="90" t="s">
        <v>2281</v>
      </c>
      <c r="C93" s="90" t="s">
        <v>2282</v>
      </c>
      <c r="D93" s="90" t="s">
        <v>3484</v>
      </c>
      <c r="E93" s="90" t="s">
        <v>1953</v>
      </c>
      <c r="F93" s="90" t="s">
        <v>3485</v>
      </c>
      <c r="G93" s="90" t="s">
        <v>2283</v>
      </c>
      <c r="H93" s="90" t="s">
        <v>1943</v>
      </c>
      <c r="I93" s="90" t="s">
        <v>1944</v>
      </c>
      <c r="J93" s="90" t="s">
        <v>427</v>
      </c>
      <c r="K93" s="90" t="s">
        <v>2284</v>
      </c>
      <c r="L93" s="90" t="s">
        <v>2176</v>
      </c>
      <c r="M93" s="87" t="s">
        <v>2036</v>
      </c>
      <c r="N93" s="87" t="s">
        <v>2020</v>
      </c>
      <c r="O93" s="88">
        <v>39264</v>
      </c>
      <c r="P93" s="89">
        <v>19.100000000000001</v>
      </c>
      <c r="Q93" s="90" t="s">
        <v>213</v>
      </c>
      <c r="R93" s="90" t="s">
        <v>3246</v>
      </c>
      <c r="S93" s="90" t="s">
        <v>3247</v>
      </c>
      <c r="T93" s="90" t="s">
        <v>2277</v>
      </c>
      <c r="U93" s="90" t="s">
        <v>1588</v>
      </c>
      <c r="V93" s="88">
        <v>44866</v>
      </c>
      <c r="W93" s="88">
        <v>39264</v>
      </c>
      <c r="X93" s="90" t="s">
        <v>43</v>
      </c>
      <c r="Y93" s="90" t="s">
        <v>257</v>
      </c>
      <c r="Z93" s="90" t="s">
        <v>36</v>
      </c>
      <c r="AA93" s="91"/>
      <c r="AB93" s="91"/>
      <c r="AC93" s="90" t="s">
        <v>2051</v>
      </c>
      <c r="AD93" s="90" t="s">
        <v>267</v>
      </c>
      <c r="AE93" s="90" t="s">
        <v>1600</v>
      </c>
      <c r="AF93" s="90" t="s">
        <v>1947</v>
      </c>
      <c r="AG93" s="90" t="s">
        <v>3248</v>
      </c>
      <c r="AH93" s="90" t="s">
        <v>2113</v>
      </c>
      <c r="AI93" s="90" t="s">
        <v>2113</v>
      </c>
      <c r="AJ93" s="90" t="s">
        <v>2051</v>
      </c>
      <c r="AK93" s="90" t="s">
        <v>36</v>
      </c>
      <c r="AL93" s="90" t="s">
        <v>1599</v>
      </c>
      <c r="AM93" s="90" t="s">
        <v>2278</v>
      </c>
      <c r="AN93" s="90" t="s">
        <v>2054</v>
      </c>
      <c r="AO93" s="87" t="s">
        <v>1949</v>
      </c>
      <c r="AP93" s="87" t="s">
        <v>1950</v>
      </c>
      <c r="AQ93" s="90" t="s">
        <v>1531</v>
      </c>
      <c r="AR93" s="92">
        <v>38000</v>
      </c>
      <c r="AS93" s="92">
        <v>47000</v>
      </c>
      <c r="AT93" s="92">
        <v>59000</v>
      </c>
      <c r="AU93" s="87" t="s">
        <v>1972</v>
      </c>
      <c r="AV93" s="87" t="s">
        <v>1973</v>
      </c>
      <c r="AW93" s="91"/>
      <c r="AX93" s="91"/>
      <c r="AY93" s="91"/>
      <c r="AZ93" t="str">
        <f t="shared" si="6"/>
        <v>202182</v>
      </c>
      <c r="BA93" t="str">
        <f t="shared" si="7"/>
        <v>0084</v>
      </c>
      <c r="BB93" t="str">
        <f t="shared" si="11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>IFERROR(VLOOKUP(X93,'Status Map'!A:B,2,FALSE),"Status Code Not Mapped")</f>
        <v>Y</v>
      </c>
      <c r="BL93" t="str">
        <f>IFERROR(VLOOKUP(D93,'Invoice Exception Map'!A:C,3,FALSE),"N")</f>
        <v>N</v>
      </c>
      <c r="BM93">
        <f t="shared" si="8"/>
        <v>6</v>
      </c>
      <c r="BN93" t="str">
        <f t="shared" si="9"/>
        <v>MARIN</v>
      </c>
      <c r="BO93" t="str">
        <f t="shared" si="10"/>
        <v>JUAN C.</v>
      </c>
    </row>
    <row r="94" spans="1:67" ht="16" thickBot="1" x14ac:dyDescent="0.25">
      <c r="A94" s="90" t="s">
        <v>2280</v>
      </c>
      <c r="B94" s="90" t="s">
        <v>2281</v>
      </c>
      <c r="C94" s="90" t="s">
        <v>2282</v>
      </c>
      <c r="D94" s="90" t="s">
        <v>3486</v>
      </c>
      <c r="E94" s="90" t="s">
        <v>1953</v>
      </c>
      <c r="F94" s="90" t="s">
        <v>3487</v>
      </c>
      <c r="G94" s="90" t="s">
        <v>2291</v>
      </c>
      <c r="H94" s="90" t="s">
        <v>1943</v>
      </c>
      <c r="I94" s="90" t="s">
        <v>1944</v>
      </c>
      <c r="J94" s="90" t="s">
        <v>692</v>
      </c>
      <c r="K94" s="90" t="s">
        <v>2292</v>
      </c>
      <c r="L94" s="90" t="s">
        <v>2136</v>
      </c>
      <c r="M94" s="87" t="s">
        <v>1965</v>
      </c>
      <c r="N94" s="87" t="s">
        <v>1980</v>
      </c>
      <c r="O94" s="88">
        <v>43381</v>
      </c>
      <c r="P94" s="89">
        <v>7.9</v>
      </c>
      <c r="Q94" s="90" t="s">
        <v>118</v>
      </c>
      <c r="R94" s="90" t="s">
        <v>1000</v>
      </c>
      <c r="S94" s="90" t="s">
        <v>3083</v>
      </c>
      <c r="T94" s="90" t="s">
        <v>2287</v>
      </c>
      <c r="U94" s="90" t="s">
        <v>1589</v>
      </c>
      <c r="V94" s="88">
        <v>43381</v>
      </c>
      <c r="W94" s="88">
        <v>43381</v>
      </c>
      <c r="X94" s="90" t="s">
        <v>43</v>
      </c>
      <c r="Y94" s="90" t="s">
        <v>257</v>
      </c>
      <c r="Z94" s="90" t="s">
        <v>36</v>
      </c>
      <c r="AA94" s="91"/>
      <c r="AB94" s="91"/>
      <c r="AC94" s="90" t="s">
        <v>2051</v>
      </c>
      <c r="AD94" s="90" t="s">
        <v>267</v>
      </c>
      <c r="AE94" s="90" t="s">
        <v>1600</v>
      </c>
      <c r="AF94" s="90" t="s">
        <v>1947</v>
      </c>
      <c r="AG94" s="90" t="s">
        <v>3248</v>
      </c>
      <c r="AH94" s="90" t="s">
        <v>2113</v>
      </c>
      <c r="AI94" s="90" t="s">
        <v>2113</v>
      </c>
      <c r="AJ94" s="90" t="s">
        <v>2051</v>
      </c>
      <c r="AK94" s="90" t="s">
        <v>36</v>
      </c>
      <c r="AL94" s="90" t="s">
        <v>1599</v>
      </c>
      <c r="AM94" s="90" t="s">
        <v>2278</v>
      </c>
      <c r="AN94" s="90" t="s">
        <v>2054</v>
      </c>
      <c r="AO94" s="87" t="s">
        <v>1949</v>
      </c>
      <c r="AP94" s="87" t="s">
        <v>1950</v>
      </c>
      <c r="AQ94" s="90" t="s">
        <v>1535</v>
      </c>
      <c r="AR94" s="92">
        <v>69000</v>
      </c>
      <c r="AS94" s="92">
        <v>87000</v>
      </c>
      <c r="AT94" s="92">
        <v>108000</v>
      </c>
      <c r="AU94" s="87" t="s">
        <v>1951</v>
      </c>
      <c r="AV94" s="87" t="s">
        <v>1966</v>
      </c>
      <c r="AW94" s="91"/>
      <c r="AX94" s="91"/>
      <c r="AY94" s="91"/>
      <c r="AZ94" t="str">
        <f t="shared" si="6"/>
        <v>008750</v>
      </c>
      <c r="BA94" t="str">
        <f t="shared" si="7"/>
        <v>0075</v>
      </c>
      <c r="BB94" t="str">
        <f t="shared" si="11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>IFERROR(VLOOKUP(X94,'Status Map'!A:B,2,FALSE),"Status Code Not Mapped")</f>
        <v>Y</v>
      </c>
      <c r="BL94" t="str">
        <f>IFERROR(VLOOKUP(D94,'Invoice Exception Map'!A:C,3,FALSE),"N")</f>
        <v>N</v>
      </c>
      <c r="BM94">
        <f t="shared" si="8"/>
        <v>9</v>
      </c>
      <c r="BN94" t="str">
        <f t="shared" si="9"/>
        <v>MARTINEZ</v>
      </c>
      <c r="BO94" t="str">
        <f t="shared" si="10"/>
        <v>HECTOR D.</v>
      </c>
    </row>
    <row r="95" spans="1:67" ht="16" thickBot="1" x14ac:dyDescent="0.25">
      <c r="A95" s="90" t="s">
        <v>2280</v>
      </c>
      <c r="B95" s="90" t="s">
        <v>2281</v>
      </c>
      <c r="C95" s="90" t="s">
        <v>2282</v>
      </c>
      <c r="D95" s="90" t="s">
        <v>3488</v>
      </c>
      <c r="E95" s="90" t="s">
        <v>1953</v>
      </c>
      <c r="F95" s="90" t="s">
        <v>3489</v>
      </c>
      <c r="G95" s="90" t="s">
        <v>2283</v>
      </c>
      <c r="H95" s="90" t="s">
        <v>1943</v>
      </c>
      <c r="I95" s="90" t="s">
        <v>1944</v>
      </c>
      <c r="J95" s="90" t="s">
        <v>427</v>
      </c>
      <c r="K95" s="90" t="s">
        <v>2284</v>
      </c>
      <c r="L95" s="90" t="s">
        <v>2293</v>
      </c>
      <c r="M95" s="87" t="s">
        <v>2036</v>
      </c>
      <c r="N95" s="87" t="s">
        <v>2020</v>
      </c>
      <c r="O95" s="88">
        <v>44697</v>
      </c>
      <c r="P95" s="89">
        <v>4.3</v>
      </c>
      <c r="Q95" s="90" t="s">
        <v>213</v>
      </c>
      <c r="R95" s="90" t="s">
        <v>3246</v>
      </c>
      <c r="S95" s="90" t="s">
        <v>3247</v>
      </c>
      <c r="T95" s="90" t="s">
        <v>2277</v>
      </c>
      <c r="U95" s="90" t="s">
        <v>1588</v>
      </c>
      <c r="V95" s="88">
        <v>44697</v>
      </c>
      <c r="W95" s="88">
        <v>44697</v>
      </c>
      <c r="X95" s="90" t="s">
        <v>43</v>
      </c>
      <c r="Y95" s="90" t="s">
        <v>257</v>
      </c>
      <c r="Z95" s="90" t="s">
        <v>36</v>
      </c>
      <c r="AA95" s="91"/>
      <c r="AB95" s="91"/>
      <c r="AC95" s="90" t="s">
        <v>2051</v>
      </c>
      <c r="AD95" s="90" t="s">
        <v>267</v>
      </c>
      <c r="AE95" s="90" t="s">
        <v>1600</v>
      </c>
      <c r="AF95" s="90" t="s">
        <v>1947</v>
      </c>
      <c r="AG95" s="90" t="s">
        <v>3252</v>
      </c>
      <c r="AH95" s="90" t="s">
        <v>2113</v>
      </c>
      <c r="AI95" s="90" t="s">
        <v>2113</v>
      </c>
      <c r="AJ95" s="90" t="s">
        <v>2051</v>
      </c>
      <c r="AK95" s="91"/>
      <c r="AL95" s="90" t="s">
        <v>1599</v>
      </c>
      <c r="AM95" s="90" t="s">
        <v>2278</v>
      </c>
      <c r="AN95" s="90" t="s">
        <v>2054</v>
      </c>
      <c r="AO95" s="87" t="s">
        <v>1949</v>
      </c>
      <c r="AP95" s="87" t="s">
        <v>1950</v>
      </c>
      <c r="AQ95" s="90" t="s">
        <v>1579</v>
      </c>
      <c r="AR95" s="92">
        <v>38000</v>
      </c>
      <c r="AS95" s="92">
        <v>47000</v>
      </c>
      <c r="AT95" s="92">
        <v>59000</v>
      </c>
      <c r="AU95" s="87" t="s">
        <v>1972</v>
      </c>
      <c r="AV95" s="87" t="s">
        <v>1973</v>
      </c>
      <c r="AW95" s="91"/>
      <c r="AX95" s="91"/>
      <c r="AY95" s="91"/>
      <c r="AZ95" t="str">
        <f t="shared" si="6"/>
        <v>202182</v>
      </c>
      <c r="BA95" t="str">
        <f t="shared" si="7"/>
        <v>0084</v>
      </c>
      <c r="BB95" t="str">
        <f t="shared" si="11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>IFERROR(VLOOKUP(X95,'Status Map'!A:B,2,FALSE),"Status Code Not Mapped")</f>
        <v>Y</v>
      </c>
      <c r="BL95" t="str">
        <f>IFERROR(VLOOKUP(D95,'Invoice Exception Map'!A:C,3,FALSE),"N")</f>
        <v>N</v>
      </c>
      <c r="BM95">
        <f t="shared" si="8"/>
        <v>9</v>
      </c>
      <c r="BN95" t="str">
        <f t="shared" si="9"/>
        <v>MEJORADO</v>
      </c>
      <c r="BO95" t="str">
        <f t="shared" si="10"/>
        <v>JUAN E.</v>
      </c>
    </row>
    <row r="96" spans="1:67" ht="16" thickBot="1" x14ac:dyDescent="0.25">
      <c r="A96" s="90" t="s">
        <v>2280</v>
      </c>
      <c r="B96" s="90" t="s">
        <v>2281</v>
      </c>
      <c r="C96" s="90" t="s">
        <v>2282</v>
      </c>
      <c r="D96" s="90" t="s">
        <v>3490</v>
      </c>
      <c r="E96" s="90" t="s">
        <v>1953</v>
      </c>
      <c r="F96" s="90" t="s">
        <v>2294</v>
      </c>
      <c r="G96" s="90" t="s">
        <v>2283</v>
      </c>
      <c r="H96" s="90" t="s">
        <v>1943</v>
      </c>
      <c r="I96" s="90" t="s">
        <v>1944</v>
      </c>
      <c r="J96" s="90" t="s">
        <v>427</v>
      </c>
      <c r="K96" s="90" t="s">
        <v>2284</v>
      </c>
      <c r="L96" s="90" t="s">
        <v>2035</v>
      </c>
      <c r="M96" s="87" t="s">
        <v>2036</v>
      </c>
      <c r="N96" s="87" t="s">
        <v>2020</v>
      </c>
      <c r="O96" s="88">
        <v>45677</v>
      </c>
      <c r="P96" s="89">
        <v>1.6</v>
      </c>
      <c r="Q96" s="90" t="s">
        <v>213</v>
      </c>
      <c r="R96" s="90" t="s">
        <v>3246</v>
      </c>
      <c r="S96" s="90" t="s">
        <v>3247</v>
      </c>
      <c r="T96" s="90" t="s">
        <v>2287</v>
      </c>
      <c r="U96" s="90" t="s">
        <v>1589</v>
      </c>
      <c r="V96" s="88">
        <v>45677</v>
      </c>
      <c r="W96" s="88">
        <v>45677</v>
      </c>
      <c r="X96" s="90" t="s">
        <v>43</v>
      </c>
      <c r="Y96" s="90" t="s">
        <v>257</v>
      </c>
      <c r="Z96" s="90" t="s">
        <v>36</v>
      </c>
      <c r="AA96" s="91"/>
      <c r="AB96" s="91"/>
      <c r="AC96" s="90" t="s">
        <v>2051</v>
      </c>
      <c r="AD96" s="90" t="s">
        <v>267</v>
      </c>
      <c r="AE96" s="90" t="s">
        <v>1600</v>
      </c>
      <c r="AF96" s="90" t="s">
        <v>1947</v>
      </c>
      <c r="AG96" s="90" t="s">
        <v>3249</v>
      </c>
      <c r="AH96" s="90" t="s">
        <v>2113</v>
      </c>
      <c r="AI96" s="90" t="s">
        <v>2113</v>
      </c>
      <c r="AJ96" s="90" t="s">
        <v>2051</v>
      </c>
      <c r="AK96" s="90" t="s">
        <v>2279</v>
      </c>
      <c r="AL96" s="90" t="s">
        <v>1599</v>
      </c>
      <c r="AM96" s="90" t="s">
        <v>2278</v>
      </c>
      <c r="AN96" s="90" t="s">
        <v>2054</v>
      </c>
      <c r="AO96" s="87" t="s">
        <v>1949</v>
      </c>
      <c r="AP96" s="87" t="s">
        <v>1950</v>
      </c>
      <c r="AQ96" s="90" t="s">
        <v>1580</v>
      </c>
      <c r="AR96" s="92">
        <v>38000</v>
      </c>
      <c r="AS96" s="92">
        <v>47000</v>
      </c>
      <c r="AT96" s="92">
        <v>59000</v>
      </c>
      <c r="AU96" s="87" t="s">
        <v>1972</v>
      </c>
      <c r="AV96" s="87" t="s">
        <v>1973</v>
      </c>
      <c r="AW96" s="91"/>
      <c r="AX96" s="91"/>
      <c r="AY96" s="91"/>
      <c r="AZ96" t="str">
        <f t="shared" si="6"/>
        <v>202182</v>
      </c>
      <c r="BA96" t="str">
        <f t="shared" si="7"/>
        <v>0075</v>
      </c>
      <c r="BB96" t="str">
        <f t="shared" si="11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>IFERROR(VLOOKUP(X96,'Status Map'!A:B,2,FALSE),"Status Code Not Mapped")</f>
        <v>Y</v>
      </c>
      <c r="BL96" t="str">
        <f>IFERROR(VLOOKUP(D96,'Invoice Exception Map'!A:C,3,FALSE),"N")</f>
        <v>N</v>
      </c>
      <c r="BM96">
        <f t="shared" si="8"/>
        <v>7</v>
      </c>
      <c r="BN96" t="str">
        <f t="shared" si="9"/>
        <v>Moreno</v>
      </c>
      <c r="BO96" t="str">
        <f t="shared" si="10"/>
        <v>Fernando</v>
      </c>
    </row>
    <row r="97" spans="1:67" ht="16" thickBot="1" x14ac:dyDescent="0.25">
      <c r="A97" s="90" t="s">
        <v>2280</v>
      </c>
      <c r="B97" s="90" t="s">
        <v>2281</v>
      </c>
      <c r="C97" s="90" t="s">
        <v>2282</v>
      </c>
      <c r="D97" s="90" t="s">
        <v>3491</v>
      </c>
      <c r="E97" s="90" t="s">
        <v>1953</v>
      </c>
      <c r="F97" s="90" t="s">
        <v>2295</v>
      </c>
      <c r="G97" s="90" t="s">
        <v>2285</v>
      </c>
      <c r="H97" s="90" t="s">
        <v>1943</v>
      </c>
      <c r="I97" s="90" t="s">
        <v>1944</v>
      </c>
      <c r="J97" s="90" t="s">
        <v>1955</v>
      </c>
      <c r="K97" s="90" t="s">
        <v>2286</v>
      </c>
      <c r="L97" s="90" t="s">
        <v>1960</v>
      </c>
      <c r="M97" s="87" t="s">
        <v>1945</v>
      </c>
      <c r="N97" s="87" t="s">
        <v>66</v>
      </c>
      <c r="O97" s="88">
        <v>43255</v>
      </c>
      <c r="P97" s="89">
        <v>8.1999999999999993</v>
      </c>
      <c r="Q97" s="90" t="s">
        <v>287</v>
      </c>
      <c r="R97" s="90" t="s">
        <v>3246</v>
      </c>
      <c r="S97" s="90" t="s">
        <v>3247</v>
      </c>
      <c r="T97" s="90" t="s">
        <v>2287</v>
      </c>
      <c r="U97" s="90" t="s">
        <v>1589</v>
      </c>
      <c r="V97" s="88">
        <v>43255</v>
      </c>
      <c r="W97" s="88">
        <v>43255</v>
      </c>
      <c r="X97" s="90" t="s">
        <v>43</v>
      </c>
      <c r="Y97" s="90" t="s">
        <v>257</v>
      </c>
      <c r="Z97" s="90" t="s">
        <v>36</v>
      </c>
      <c r="AA97" s="91"/>
      <c r="AB97" s="91"/>
      <c r="AC97" s="90" t="s">
        <v>2051</v>
      </c>
      <c r="AD97" s="90" t="s">
        <v>267</v>
      </c>
      <c r="AE97" s="90" t="s">
        <v>1600</v>
      </c>
      <c r="AF97" s="90" t="s">
        <v>1947</v>
      </c>
      <c r="AG97" s="90" t="s">
        <v>3250</v>
      </c>
      <c r="AH97" s="90" t="s">
        <v>2113</v>
      </c>
      <c r="AI97" s="90" t="s">
        <v>2113</v>
      </c>
      <c r="AJ97" s="90" t="s">
        <v>2051</v>
      </c>
      <c r="AK97" s="90" t="s">
        <v>36</v>
      </c>
      <c r="AL97" s="90" t="s">
        <v>1599</v>
      </c>
      <c r="AM97" s="90" t="s">
        <v>2278</v>
      </c>
      <c r="AN97" s="90" t="s">
        <v>2054</v>
      </c>
      <c r="AO97" s="87" t="s">
        <v>1949</v>
      </c>
      <c r="AP97" s="87" t="s">
        <v>1950</v>
      </c>
      <c r="AQ97" s="90" t="s">
        <v>1534</v>
      </c>
      <c r="AR97" s="92">
        <v>78000</v>
      </c>
      <c r="AS97" s="92">
        <v>97000</v>
      </c>
      <c r="AT97" s="92">
        <v>121000</v>
      </c>
      <c r="AU97" s="87" t="s">
        <v>1951</v>
      </c>
      <c r="AV97" s="87" t="s">
        <v>1952</v>
      </c>
      <c r="AW97" s="91"/>
      <c r="AX97" s="91"/>
      <c r="AY97" s="91"/>
      <c r="AZ97" t="str">
        <f t="shared" si="6"/>
        <v>202182</v>
      </c>
      <c r="BA97" t="str">
        <f t="shared" si="7"/>
        <v>0075</v>
      </c>
      <c r="BB97" t="str">
        <f t="shared" si="11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>IFERROR(VLOOKUP(X97,'Status Map'!A:B,2,FALSE),"Status Code Not Mapped")</f>
        <v>Y</v>
      </c>
      <c r="BL97" t="str">
        <f>IFERROR(VLOOKUP(D97,'Invoice Exception Map'!A:C,3,FALSE),"N")</f>
        <v>N</v>
      </c>
      <c r="BM97">
        <f t="shared" si="8"/>
        <v>6</v>
      </c>
      <c r="BN97" t="str">
        <f t="shared" si="9"/>
        <v>REYES</v>
      </c>
      <c r="BO97" t="str">
        <f t="shared" si="10"/>
        <v>ALFONSO</v>
      </c>
    </row>
    <row r="98" spans="1:67" ht="16" thickBot="1" x14ac:dyDescent="0.25">
      <c r="A98" s="90" t="s">
        <v>2280</v>
      </c>
      <c r="B98" s="90" t="s">
        <v>2281</v>
      </c>
      <c r="C98" s="90" t="s">
        <v>2282</v>
      </c>
      <c r="D98" s="90" t="s">
        <v>3492</v>
      </c>
      <c r="E98" s="90" t="s">
        <v>1953</v>
      </c>
      <c r="F98" s="90" t="s">
        <v>2296</v>
      </c>
      <c r="G98" s="90" t="s">
        <v>1974</v>
      </c>
      <c r="H98" s="90" t="s">
        <v>1943</v>
      </c>
      <c r="I98" s="90" t="s">
        <v>1944</v>
      </c>
      <c r="J98" s="90" t="s">
        <v>831</v>
      </c>
      <c r="K98" s="90" t="s">
        <v>336</v>
      </c>
      <c r="L98" s="90" t="s">
        <v>1979</v>
      </c>
      <c r="M98" s="87" t="s">
        <v>1975</v>
      </c>
      <c r="N98" s="87" t="s">
        <v>831</v>
      </c>
      <c r="O98" s="88">
        <v>44949</v>
      </c>
      <c r="P98" s="89">
        <v>3.6</v>
      </c>
      <c r="Q98" s="90" t="s">
        <v>305</v>
      </c>
      <c r="R98" s="90" t="s">
        <v>3246</v>
      </c>
      <c r="S98" s="90" t="s">
        <v>3247</v>
      </c>
      <c r="T98" s="90" t="s">
        <v>2287</v>
      </c>
      <c r="U98" s="90" t="s">
        <v>1589</v>
      </c>
      <c r="V98" s="88">
        <v>44949</v>
      </c>
      <c r="W98" s="88">
        <v>44949</v>
      </c>
      <c r="X98" s="90" t="s">
        <v>43</v>
      </c>
      <c r="Y98" s="90" t="s">
        <v>257</v>
      </c>
      <c r="Z98" s="90" t="s">
        <v>36</v>
      </c>
      <c r="AA98" s="91"/>
      <c r="AB98" s="91"/>
      <c r="AC98" s="90" t="s">
        <v>2051</v>
      </c>
      <c r="AD98" s="90" t="s">
        <v>267</v>
      </c>
      <c r="AE98" s="90" t="s">
        <v>1600</v>
      </c>
      <c r="AF98" s="90" t="s">
        <v>1947</v>
      </c>
      <c r="AG98" s="90" t="s">
        <v>2297</v>
      </c>
      <c r="AH98" s="90" t="s">
        <v>2113</v>
      </c>
      <c r="AI98" s="90" t="s">
        <v>2113</v>
      </c>
      <c r="AJ98" s="90" t="s">
        <v>2051</v>
      </c>
      <c r="AK98" s="90" t="s">
        <v>2297</v>
      </c>
      <c r="AL98" s="90" t="s">
        <v>1599</v>
      </c>
      <c r="AM98" s="90" t="s">
        <v>2278</v>
      </c>
      <c r="AN98" s="90" t="s">
        <v>2054</v>
      </c>
      <c r="AO98" s="87" t="s">
        <v>1949</v>
      </c>
      <c r="AP98" s="87" t="s">
        <v>1950</v>
      </c>
      <c r="AQ98" s="90" t="s">
        <v>1578</v>
      </c>
      <c r="AR98" s="92">
        <v>50000</v>
      </c>
      <c r="AS98" s="92">
        <v>62000</v>
      </c>
      <c r="AT98" s="92">
        <v>77000</v>
      </c>
      <c r="AU98" s="87" t="s">
        <v>1972</v>
      </c>
      <c r="AV98" s="87" t="s">
        <v>1973</v>
      </c>
      <c r="AW98" s="91"/>
      <c r="AX98" s="91"/>
      <c r="AY98" s="91"/>
      <c r="AZ98" t="str">
        <f t="shared" si="6"/>
        <v>202182</v>
      </c>
      <c r="BA98" t="str">
        <f t="shared" si="7"/>
        <v>0075</v>
      </c>
      <c r="BB98" t="str">
        <f t="shared" si="11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>IFERROR(VLOOKUP(X98,'Status Map'!A:B,2,FALSE),"Status Code Not Mapped")</f>
        <v>Y</v>
      </c>
      <c r="BL98" t="str">
        <f>IFERROR(VLOOKUP(D98,'Invoice Exception Map'!A:C,3,FALSE),"N")</f>
        <v>N</v>
      </c>
      <c r="BM98">
        <f t="shared" si="8"/>
        <v>8</v>
      </c>
      <c r="BN98" t="str">
        <f t="shared" si="9"/>
        <v>VAZQUEZ</v>
      </c>
      <c r="BO98" t="str">
        <f t="shared" si="10"/>
        <v>ISMAEL</v>
      </c>
    </row>
    <row r="99" spans="1:67" ht="16" thickBot="1" x14ac:dyDescent="0.25">
      <c r="A99" s="90" t="s">
        <v>2280</v>
      </c>
      <c r="B99" s="90" t="s">
        <v>2281</v>
      </c>
      <c r="C99" s="90" t="s">
        <v>2282</v>
      </c>
      <c r="D99" s="90" t="s">
        <v>3246</v>
      </c>
      <c r="E99" s="90" t="s">
        <v>1953</v>
      </c>
      <c r="F99" s="90" t="s">
        <v>3247</v>
      </c>
      <c r="G99" s="90" t="s">
        <v>1990</v>
      </c>
      <c r="H99" s="90" t="s">
        <v>1943</v>
      </c>
      <c r="I99" s="90" t="s">
        <v>1944</v>
      </c>
      <c r="J99" s="90" t="s">
        <v>1955</v>
      </c>
      <c r="K99" s="90" t="s">
        <v>750</v>
      </c>
      <c r="L99" s="90" t="s">
        <v>750</v>
      </c>
      <c r="M99" s="87" t="s">
        <v>1945</v>
      </c>
      <c r="N99" s="87" t="s">
        <v>1991</v>
      </c>
      <c r="O99" s="88">
        <v>38600</v>
      </c>
      <c r="P99" s="89">
        <v>21</v>
      </c>
      <c r="Q99" s="90" t="s">
        <v>69</v>
      </c>
      <c r="R99" s="90" t="s">
        <v>160</v>
      </c>
      <c r="S99" s="90" t="s">
        <v>235</v>
      </c>
      <c r="T99" s="90" t="s">
        <v>2287</v>
      </c>
      <c r="U99" s="90" t="s">
        <v>1589</v>
      </c>
      <c r="V99" s="88">
        <v>38600</v>
      </c>
      <c r="W99" s="88">
        <v>38600</v>
      </c>
      <c r="X99" s="90" t="s">
        <v>43</v>
      </c>
      <c r="Y99" s="90" t="s">
        <v>257</v>
      </c>
      <c r="Z99" s="90" t="s">
        <v>36</v>
      </c>
      <c r="AA99" s="91"/>
      <c r="AB99" s="91"/>
      <c r="AC99" s="90" t="s">
        <v>2051</v>
      </c>
      <c r="AD99" s="90" t="s">
        <v>267</v>
      </c>
      <c r="AE99" s="90" t="s">
        <v>1600</v>
      </c>
      <c r="AF99" s="90" t="s">
        <v>1947</v>
      </c>
      <c r="AG99" s="90" t="s">
        <v>3248</v>
      </c>
      <c r="AH99" s="90" t="s">
        <v>2113</v>
      </c>
      <c r="AI99" s="90" t="s">
        <v>2113</v>
      </c>
      <c r="AJ99" s="90" t="s">
        <v>2051</v>
      </c>
      <c r="AK99" s="90" t="s">
        <v>36</v>
      </c>
      <c r="AL99" s="90" t="s">
        <v>1599</v>
      </c>
      <c r="AM99" s="90" t="s">
        <v>2278</v>
      </c>
      <c r="AN99" s="90" t="s">
        <v>2054</v>
      </c>
      <c r="AO99" s="87" t="s">
        <v>1949</v>
      </c>
      <c r="AP99" s="87" t="s">
        <v>1950</v>
      </c>
      <c r="AQ99" s="90" t="s">
        <v>1530</v>
      </c>
      <c r="AR99" s="92">
        <v>98000</v>
      </c>
      <c r="AS99" s="92">
        <v>122000</v>
      </c>
      <c r="AT99" s="92">
        <v>153000</v>
      </c>
      <c r="AU99" s="87" t="s">
        <v>1951</v>
      </c>
      <c r="AV99" s="87" t="s">
        <v>1981</v>
      </c>
      <c r="AW99" s="91"/>
      <c r="AX99" s="91"/>
      <c r="AY99" s="91"/>
      <c r="AZ99" t="str">
        <f t="shared" si="6"/>
        <v>213037</v>
      </c>
      <c r="BA99" t="str">
        <f t="shared" si="7"/>
        <v>0075</v>
      </c>
      <c r="BB99" t="str">
        <f t="shared" si="11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>IFERROR(VLOOKUP(X99,'Status Map'!A:B,2,FALSE),"Status Code Not Mapped")</f>
        <v>Y</v>
      </c>
      <c r="BL99" t="str">
        <f>IFERROR(VLOOKUP(D99,'Invoice Exception Map'!A:C,3,FALSE),"N")</f>
        <v>N</v>
      </c>
      <c r="BM99">
        <f t="shared" si="8"/>
        <v>11</v>
      </c>
      <c r="BN99" t="str">
        <f t="shared" si="9"/>
        <v>VILLARREAL</v>
      </c>
      <c r="BO99" t="str">
        <f t="shared" si="10"/>
        <v>JOAQUIN E.</v>
      </c>
    </row>
    <row r="100" spans="1:67" ht="16" thickBot="1" x14ac:dyDescent="0.25">
      <c r="A100" s="90" t="s">
        <v>2298</v>
      </c>
      <c r="B100" s="90" t="s">
        <v>2299</v>
      </c>
      <c r="C100" s="90" t="s">
        <v>2300</v>
      </c>
      <c r="D100" s="90" t="s">
        <v>3493</v>
      </c>
      <c r="E100" s="90" t="s">
        <v>1953</v>
      </c>
      <c r="F100" s="90" t="s">
        <v>2301</v>
      </c>
      <c r="G100" s="90" t="s">
        <v>2302</v>
      </c>
      <c r="H100" s="90" t="s">
        <v>267</v>
      </c>
      <c r="I100" s="90" t="s">
        <v>1944</v>
      </c>
      <c r="J100" s="90" t="s">
        <v>1620</v>
      </c>
      <c r="K100" s="90" t="s">
        <v>2303</v>
      </c>
      <c r="L100" s="90" t="s">
        <v>2227</v>
      </c>
      <c r="M100" s="87" t="s">
        <v>2072</v>
      </c>
      <c r="N100" s="87" t="s">
        <v>1999</v>
      </c>
      <c r="O100" s="88">
        <v>44367</v>
      </c>
      <c r="P100" s="89">
        <v>5.2</v>
      </c>
      <c r="Q100" s="90" t="s">
        <v>3086</v>
      </c>
      <c r="R100" s="90" t="s">
        <v>3253</v>
      </c>
      <c r="S100" s="90" t="s">
        <v>2304</v>
      </c>
      <c r="T100" s="90" t="s">
        <v>2305</v>
      </c>
      <c r="U100" s="90" t="s">
        <v>1640</v>
      </c>
      <c r="V100" s="88">
        <v>44367</v>
      </c>
      <c r="W100" s="88">
        <v>44367</v>
      </c>
      <c r="X100" s="90" t="s">
        <v>43</v>
      </c>
      <c r="Y100" s="90" t="s">
        <v>257</v>
      </c>
      <c r="Z100" s="90" t="s">
        <v>36</v>
      </c>
      <c r="AA100" s="91"/>
      <c r="AB100" s="91"/>
      <c r="AC100" s="90" t="s">
        <v>2051</v>
      </c>
      <c r="AD100" s="90" t="s">
        <v>267</v>
      </c>
      <c r="AE100" s="90" t="s">
        <v>1636</v>
      </c>
      <c r="AF100" s="90" t="s">
        <v>2004</v>
      </c>
      <c r="AG100" s="90" t="s">
        <v>2793</v>
      </c>
      <c r="AH100" s="90" t="s">
        <v>2306</v>
      </c>
      <c r="AI100" s="90" t="s">
        <v>2306</v>
      </c>
      <c r="AJ100" s="90" t="s">
        <v>2051</v>
      </c>
      <c r="AK100" s="90" t="s">
        <v>36</v>
      </c>
      <c r="AL100" s="90" t="s">
        <v>1635</v>
      </c>
      <c r="AM100" s="90" t="s">
        <v>2307</v>
      </c>
      <c r="AN100" s="90" t="s">
        <v>2054</v>
      </c>
      <c r="AO100" s="87" t="s">
        <v>1949</v>
      </c>
      <c r="AP100" s="87" t="s">
        <v>1950</v>
      </c>
      <c r="AQ100" s="90" t="s">
        <v>2308</v>
      </c>
      <c r="AR100" s="91"/>
      <c r="AS100" s="91"/>
      <c r="AT100" s="91"/>
      <c r="AU100" s="87" t="s">
        <v>1972</v>
      </c>
      <c r="AV100" s="91"/>
      <c r="AW100" s="91"/>
      <c r="AX100" s="91"/>
      <c r="AY100" s="91"/>
      <c r="AZ100" t="str">
        <f t="shared" si="6"/>
        <v>212110</v>
      </c>
      <c r="BA100" t="str">
        <f t="shared" si="7"/>
        <v>0077</v>
      </c>
      <c r="BB100" t="str">
        <f t="shared" si="11"/>
        <v>0000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>IFERROR(VLOOKUP(X100,'Status Map'!A:B,2,FALSE),"Status Code Not Mapped")</f>
        <v>Y</v>
      </c>
      <c r="BL100" t="str">
        <f>IFERROR(VLOOKUP(D100,'Invoice Exception Map'!A:C,3,FALSE),"N")</f>
        <v>N</v>
      </c>
      <c r="BM100">
        <f t="shared" si="8"/>
        <v>9</v>
      </c>
      <c r="BN100" t="str">
        <f t="shared" si="9"/>
        <v>ÅKERBLOM</v>
      </c>
      <c r="BO100" t="str">
        <f t="shared" si="10"/>
        <v>THIMMIE</v>
      </c>
    </row>
    <row r="101" spans="1:67" ht="16" thickBot="1" x14ac:dyDescent="0.25">
      <c r="A101" s="90" t="s">
        <v>2298</v>
      </c>
      <c r="B101" s="90" t="s">
        <v>2299</v>
      </c>
      <c r="C101" s="90" t="s">
        <v>2300</v>
      </c>
      <c r="D101" s="90" t="s">
        <v>3494</v>
      </c>
      <c r="E101" s="90" t="s">
        <v>1953</v>
      </c>
      <c r="F101" s="90" t="s">
        <v>2309</v>
      </c>
      <c r="G101" s="90" t="s">
        <v>2310</v>
      </c>
      <c r="H101" s="90" t="s">
        <v>267</v>
      </c>
      <c r="I101" s="90" t="s">
        <v>1944</v>
      </c>
      <c r="J101" s="90" t="s">
        <v>1620</v>
      </c>
      <c r="K101" s="90" t="s">
        <v>2012</v>
      </c>
      <c r="L101" s="90" t="s">
        <v>2311</v>
      </c>
      <c r="M101" s="87" t="s">
        <v>2007</v>
      </c>
      <c r="N101" s="87" t="s">
        <v>2013</v>
      </c>
      <c r="O101" s="88">
        <v>41449</v>
      </c>
      <c r="P101" s="89">
        <v>13.2</v>
      </c>
      <c r="Q101" s="90" t="s">
        <v>3086</v>
      </c>
      <c r="R101" s="90" t="s">
        <v>3254</v>
      </c>
      <c r="S101" s="90" t="s">
        <v>2312</v>
      </c>
      <c r="T101" s="90" t="s">
        <v>2305</v>
      </c>
      <c r="U101" s="90" t="s">
        <v>1640</v>
      </c>
      <c r="V101" s="88">
        <v>41449</v>
      </c>
      <c r="W101" s="88">
        <v>41449</v>
      </c>
      <c r="X101" s="90" t="s">
        <v>43</v>
      </c>
      <c r="Y101" s="90" t="s">
        <v>257</v>
      </c>
      <c r="Z101" s="90" t="s">
        <v>36</v>
      </c>
      <c r="AA101" s="91"/>
      <c r="AB101" s="91"/>
      <c r="AC101" s="90" t="s">
        <v>2051</v>
      </c>
      <c r="AD101" s="90" t="s">
        <v>267</v>
      </c>
      <c r="AE101" s="90" t="s">
        <v>1636</v>
      </c>
      <c r="AF101" s="90" t="s">
        <v>2004</v>
      </c>
      <c r="AG101" s="90" t="s">
        <v>2793</v>
      </c>
      <c r="AH101" s="90" t="s">
        <v>2306</v>
      </c>
      <c r="AI101" s="90" t="s">
        <v>2306</v>
      </c>
      <c r="AJ101" s="90" t="s">
        <v>2051</v>
      </c>
      <c r="AK101" s="90" t="s">
        <v>36</v>
      </c>
      <c r="AL101" s="90" t="s">
        <v>1635</v>
      </c>
      <c r="AM101" s="90" t="s">
        <v>2307</v>
      </c>
      <c r="AN101" s="90" t="s">
        <v>2054</v>
      </c>
      <c r="AO101" s="87" t="s">
        <v>1949</v>
      </c>
      <c r="AP101" s="87" t="s">
        <v>1950</v>
      </c>
      <c r="AQ101" s="90" t="s">
        <v>2313</v>
      </c>
      <c r="AR101" s="91"/>
      <c r="AS101" s="91"/>
      <c r="AT101" s="91"/>
      <c r="AU101" s="87" t="s">
        <v>1972</v>
      </c>
      <c r="AV101" s="91"/>
      <c r="AW101" s="91"/>
      <c r="AX101" s="91"/>
      <c r="AY101" s="91"/>
      <c r="AZ101" t="str">
        <f t="shared" si="6"/>
        <v>205377</v>
      </c>
      <c r="BA101" t="str">
        <f t="shared" si="7"/>
        <v>0077</v>
      </c>
      <c r="BB101" t="str">
        <f t="shared" si="11"/>
        <v>0000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>IFERROR(VLOOKUP(X101,'Status Map'!A:B,2,FALSE),"Status Code Not Mapped")</f>
        <v>Y</v>
      </c>
      <c r="BL101" t="str">
        <f>IFERROR(VLOOKUP(D101,'Invoice Exception Map'!A:C,3,FALSE),"N")</f>
        <v>N</v>
      </c>
      <c r="BM101">
        <f t="shared" si="8"/>
        <v>6</v>
      </c>
      <c r="BN101" t="str">
        <f t="shared" si="9"/>
        <v>AKGÜN</v>
      </c>
      <c r="BO101" t="str">
        <f t="shared" si="10"/>
        <v>BESIR</v>
      </c>
    </row>
    <row r="102" spans="1:67" ht="16" thickBot="1" x14ac:dyDescent="0.25">
      <c r="A102" s="90" t="s">
        <v>2298</v>
      </c>
      <c r="B102" s="90" t="s">
        <v>2299</v>
      </c>
      <c r="C102" s="90" t="s">
        <v>2300</v>
      </c>
      <c r="D102" s="90" t="s">
        <v>3495</v>
      </c>
      <c r="E102" s="90" t="s">
        <v>1953</v>
      </c>
      <c r="F102" s="90" t="s">
        <v>2314</v>
      </c>
      <c r="G102" s="90" t="s">
        <v>2310</v>
      </c>
      <c r="H102" s="90" t="s">
        <v>267</v>
      </c>
      <c r="I102" s="90" t="s">
        <v>1944</v>
      </c>
      <c r="J102" s="90" t="s">
        <v>1620</v>
      </c>
      <c r="K102" s="90" t="s">
        <v>2012</v>
      </c>
      <c r="L102" s="90" t="s">
        <v>2311</v>
      </c>
      <c r="M102" s="87" t="s">
        <v>2007</v>
      </c>
      <c r="N102" s="87" t="s">
        <v>2013</v>
      </c>
      <c r="O102" s="88">
        <v>44431</v>
      </c>
      <c r="P102" s="89">
        <v>5</v>
      </c>
      <c r="Q102" s="90" t="s">
        <v>3086</v>
      </c>
      <c r="R102" s="90" t="s">
        <v>3255</v>
      </c>
      <c r="S102" s="90" t="s">
        <v>2315</v>
      </c>
      <c r="T102" s="90" t="s">
        <v>2305</v>
      </c>
      <c r="U102" s="90" t="s">
        <v>1640</v>
      </c>
      <c r="V102" s="88">
        <v>44431</v>
      </c>
      <c r="W102" s="88">
        <v>43997</v>
      </c>
      <c r="X102" s="90" t="s">
        <v>43</v>
      </c>
      <c r="Y102" s="90" t="s">
        <v>257</v>
      </c>
      <c r="Z102" s="90" t="s">
        <v>36</v>
      </c>
      <c r="AA102" s="91"/>
      <c r="AB102" s="91"/>
      <c r="AC102" s="90" t="s">
        <v>2051</v>
      </c>
      <c r="AD102" s="90" t="s">
        <v>267</v>
      </c>
      <c r="AE102" s="90" t="s">
        <v>1636</v>
      </c>
      <c r="AF102" s="90" t="s">
        <v>2004</v>
      </c>
      <c r="AG102" s="90" t="s">
        <v>2793</v>
      </c>
      <c r="AH102" s="90" t="s">
        <v>2306</v>
      </c>
      <c r="AI102" s="90" t="s">
        <v>2306</v>
      </c>
      <c r="AJ102" s="90" t="s">
        <v>2051</v>
      </c>
      <c r="AK102" s="90" t="s">
        <v>36</v>
      </c>
      <c r="AL102" s="90" t="s">
        <v>1635</v>
      </c>
      <c r="AM102" s="90" t="s">
        <v>2307</v>
      </c>
      <c r="AN102" s="90" t="s">
        <v>2054</v>
      </c>
      <c r="AO102" s="87" t="s">
        <v>1949</v>
      </c>
      <c r="AP102" s="87" t="s">
        <v>1950</v>
      </c>
      <c r="AQ102" s="90" t="s">
        <v>2316</v>
      </c>
      <c r="AR102" s="91"/>
      <c r="AS102" s="91"/>
      <c r="AT102" s="91"/>
      <c r="AU102" s="87" t="s">
        <v>1972</v>
      </c>
      <c r="AV102" s="91"/>
      <c r="AW102" s="91"/>
      <c r="AX102" s="91"/>
      <c r="AY102" s="91"/>
      <c r="AZ102" t="str">
        <f t="shared" si="6"/>
        <v>205315</v>
      </c>
      <c r="BA102" t="str">
        <f t="shared" si="7"/>
        <v>0077</v>
      </c>
      <c r="BB102" t="str">
        <f t="shared" si="11"/>
        <v>0000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>IFERROR(VLOOKUP(X102,'Status Map'!A:B,2,FALSE),"Status Code Not Mapped")</f>
        <v>Y</v>
      </c>
      <c r="BL102" t="str">
        <f>IFERROR(VLOOKUP(D102,'Invoice Exception Map'!A:C,3,FALSE),"N")</f>
        <v>N</v>
      </c>
      <c r="BM102">
        <f t="shared" si="8"/>
        <v>8</v>
      </c>
      <c r="BN102" t="str">
        <f t="shared" si="9"/>
        <v>ALHOMSI</v>
      </c>
      <c r="BO102" t="str">
        <f t="shared" si="10"/>
        <v>OBADA</v>
      </c>
    </row>
    <row r="103" spans="1:67" ht="16" thickBot="1" x14ac:dyDescent="0.25">
      <c r="A103" s="90" t="s">
        <v>2298</v>
      </c>
      <c r="B103" s="90" t="s">
        <v>2299</v>
      </c>
      <c r="C103" s="90" t="s">
        <v>2300</v>
      </c>
      <c r="D103" s="90" t="s">
        <v>3496</v>
      </c>
      <c r="E103" s="90" t="s">
        <v>1953</v>
      </c>
      <c r="F103" s="90" t="s">
        <v>2317</v>
      </c>
      <c r="G103" s="90" t="s">
        <v>2318</v>
      </c>
      <c r="H103" s="90" t="s">
        <v>267</v>
      </c>
      <c r="I103" s="90" t="s">
        <v>1944</v>
      </c>
      <c r="J103" s="90" t="s">
        <v>1620</v>
      </c>
      <c r="K103" s="90" t="s">
        <v>247</v>
      </c>
      <c r="L103" s="90" t="s">
        <v>2003</v>
      </c>
      <c r="M103" s="87" t="s">
        <v>2003</v>
      </c>
      <c r="N103" s="87" t="s">
        <v>1999</v>
      </c>
      <c r="O103" s="88">
        <v>41736</v>
      </c>
      <c r="P103" s="89">
        <v>12.4</v>
      </c>
      <c r="Q103" s="90" t="s">
        <v>3089</v>
      </c>
      <c r="R103" s="90" t="s">
        <v>3256</v>
      </c>
      <c r="S103" s="90" t="s">
        <v>2319</v>
      </c>
      <c r="T103" s="90" t="s">
        <v>2305</v>
      </c>
      <c r="U103" s="90" t="s">
        <v>1640</v>
      </c>
      <c r="V103" s="88">
        <v>41736</v>
      </c>
      <c r="W103" s="88">
        <v>41736</v>
      </c>
      <c r="X103" s="90" t="s">
        <v>43</v>
      </c>
      <c r="Y103" s="90" t="s">
        <v>257</v>
      </c>
      <c r="Z103" s="90" t="s">
        <v>36</v>
      </c>
      <c r="AA103" s="91"/>
      <c r="AB103" s="91"/>
      <c r="AC103" s="90" t="s">
        <v>2051</v>
      </c>
      <c r="AD103" s="90" t="s">
        <v>267</v>
      </c>
      <c r="AE103" s="90" t="s">
        <v>1636</v>
      </c>
      <c r="AF103" s="90" t="s">
        <v>2004</v>
      </c>
      <c r="AG103" s="90" t="s">
        <v>2793</v>
      </c>
      <c r="AH103" s="90" t="s">
        <v>2320</v>
      </c>
      <c r="AI103" s="90" t="s">
        <v>2320</v>
      </c>
      <c r="AJ103" s="90" t="s">
        <v>2051</v>
      </c>
      <c r="AK103" s="90" t="s">
        <v>36</v>
      </c>
      <c r="AL103" s="90" t="s">
        <v>1635</v>
      </c>
      <c r="AM103" s="90" t="s">
        <v>2307</v>
      </c>
      <c r="AN103" s="90" t="s">
        <v>2054</v>
      </c>
      <c r="AO103" s="87" t="s">
        <v>1949</v>
      </c>
      <c r="AP103" s="87" t="s">
        <v>1950</v>
      </c>
      <c r="AQ103" s="90" t="s">
        <v>2321</v>
      </c>
      <c r="AR103" s="91"/>
      <c r="AS103" s="91"/>
      <c r="AT103" s="91"/>
      <c r="AU103" s="87" t="s">
        <v>1972</v>
      </c>
      <c r="AV103" s="91"/>
      <c r="AW103" s="91"/>
      <c r="AX103" s="91"/>
      <c r="AY103" s="91"/>
      <c r="AZ103" t="str">
        <f t="shared" si="6"/>
        <v>205383</v>
      </c>
      <c r="BA103" t="str">
        <f t="shared" si="7"/>
        <v>0077</v>
      </c>
      <c r="BB103" t="str">
        <f t="shared" si="11"/>
        <v>0000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>IFERROR(VLOOKUP(X103,'Status Map'!A:B,2,FALSE),"Status Code Not Mapped")</f>
        <v>Y</v>
      </c>
      <c r="BL103" t="str">
        <f>IFERROR(VLOOKUP(D103,'Invoice Exception Map'!A:C,3,FALSE),"N")</f>
        <v>N</v>
      </c>
      <c r="BM103">
        <f t="shared" si="8"/>
        <v>7</v>
      </c>
      <c r="BN103" t="str">
        <f t="shared" si="9"/>
        <v>ALLVIN</v>
      </c>
      <c r="BO103" t="str">
        <f t="shared" si="10"/>
        <v>MARIA</v>
      </c>
    </row>
    <row r="104" spans="1:67" ht="16" thickBot="1" x14ac:dyDescent="0.25">
      <c r="A104" s="90" t="s">
        <v>2298</v>
      </c>
      <c r="B104" s="90" t="s">
        <v>2299</v>
      </c>
      <c r="C104" s="90" t="s">
        <v>2300</v>
      </c>
      <c r="D104" s="90" t="s">
        <v>3497</v>
      </c>
      <c r="E104" s="90" t="s">
        <v>1953</v>
      </c>
      <c r="F104" s="90" t="s">
        <v>2322</v>
      </c>
      <c r="G104" s="90" t="s">
        <v>2323</v>
      </c>
      <c r="H104" s="90" t="s">
        <v>1943</v>
      </c>
      <c r="I104" s="90" t="s">
        <v>1944</v>
      </c>
      <c r="J104" s="90" t="s">
        <v>1620</v>
      </c>
      <c r="K104" s="90" t="s">
        <v>2324</v>
      </c>
      <c r="L104" s="90" t="s">
        <v>2324</v>
      </c>
      <c r="M104" s="87" t="s">
        <v>2010</v>
      </c>
      <c r="N104" s="87" t="s">
        <v>2325</v>
      </c>
      <c r="O104" s="88">
        <v>37545</v>
      </c>
      <c r="P104" s="89">
        <v>23.9</v>
      </c>
      <c r="Q104" s="90" t="s">
        <v>3087</v>
      </c>
      <c r="R104" s="90" t="s">
        <v>3257</v>
      </c>
      <c r="S104" s="90" t="s">
        <v>2326</v>
      </c>
      <c r="T104" s="90" t="s">
        <v>2305</v>
      </c>
      <c r="U104" s="90" t="s">
        <v>1640</v>
      </c>
      <c r="V104" s="88">
        <v>37545</v>
      </c>
      <c r="W104" s="88">
        <v>37545</v>
      </c>
      <c r="X104" s="90" t="s">
        <v>43</v>
      </c>
      <c r="Y104" s="90" t="s">
        <v>257</v>
      </c>
      <c r="Z104" s="90" t="s">
        <v>36</v>
      </c>
      <c r="AA104" s="91"/>
      <c r="AB104" s="91"/>
      <c r="AC104" s="90" t="s">
        <v>2051</v>
      </c>
      <c r="AD104" s="90" t="s">
        <v>267</v>
      </c>
      <c r="AE104" s="90" t="s">
        <v>1636</v>
      </c>
      <c r="AF104" s="90" t="s">
        <v>2004</v>
      </c>
      <c r="AG104" s="90" t="s">
        <v>2793</v>
      </c>
      <c r="AH104" s="90" t="s">
        <v>2327</v>
      </c>
      <c r="AI104" s="90" t="s">
        <v>2327</v>
      </c>
      <c r="AJ104" s="90" t="s">
        <v>2051</v>
      </c>
      <c r="AK104" s="90" t="s">
        <v>36</v>
      </c>
      <c r="AL104" s="90" t="s">
        <v>1635</v>
      </c>
      <c r="AM104" s="90" t="s">
        <v>2307</v>
      </c>
      <c r="AN104" s="90" t="s">
        <v>2054</v>
      </c>
      <c r="AO104" s="87" t="s">
        <v>1949</v>
      </c>
      <c r="AP104" s="87" t="s">
        <v>1950</v>
      </c>
      <c r="AQ104" s="90" t="s">
        <v>2328</v>
      </c>
      <c r="AR104" s="91"/>
      <c r="AS104" s="91"/>
      <c r="AT104" s="91"/>
      <c r="AU104" s="87" t="s">
        <v>1972</v>
      </c>
      <c r="AV104" s="91"/>
      <c r="AW104" s="91"/>
      <c r="AX104" s="91"/>
      <c r="AY104" s="91"/>
      <c r="AZ104" t="str">
        <f t="shared" si="6"/>
        <v>205384</v>
      </c>
      <c r="BA104" t="str">
        <f t="shared" si="7"/>
        <v>0077</v>
      </c>
      <c r="BB104" t="str">
        <f t="shared" si="11"/>
        <v>0000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>IFERROR(VLOOKUP(X104,'Status Map'!A:B,2,FALSE),"Status Code Not Mapped")</f>
        <v>Y</v>
      </c>
      <c r="BL104" t="str">
        <f>IFERROR(VLOOKUP(D104,'Invoice Exception Map'!A:C,3,FALSE),"N")</f>
        <v>N</v>
      </c>
      <c r="BM104">
        <f t="shared" si="8"/>
        <v>7</v>
      </c>
      <c r="BN104" t="str">
        <f t="shared" si="9"/>
        <v>ALLVIN</v>
      </c>
      <c r="BO104" t="str">
        <f t="shared" si="10"/>
        <v>RIKARD</v>
      </c>
    </row>
    <row r="105" spans="1:67" ht="16" thickBot="1" x14ac:dyDescent="0.25">
      <c r="A105" s="90" t="s">
        <v>2298</v>
      </c>
      <c r="B105" s="90" t="s">
        <v>2299</v>
      </c>
      <c r="C105" s="90" t="s">
        <v>2300</v>
      </c>
      <c r="D105" s="90" t="s">
        <v>3498</v>
      </c>
      <c r="E105" s="90" t="s">
        <v>1953</v>
      </c>
      <c r="F105" s="90" t="s">
        <v>2329</v>
      </c>
      <c r="G105" s="90" t="s">
        <v>2310</v>
      </c>
      <c r="H105" s="90" t="s">
        <v>267</v>
      </c>
      <c r="I105" s="90" t="s">
        <v>1944</v>
      </c>
      <c r="J105" s="90" t="s">
        <v>1620</v>
      </c>
      <c r="K105" s="90" t="s">
        <v>2012</v>
      </c>
      <c r="L105" s="90" t="s">
        <v>2311</v>
      </c>
      <c r="M105" s="87" t="s">
        <v>2007</v>
      </c>
      <c r="N105" s="87" t="s">
        <v>2013</v>
      </c>
      <c r="O105" s="88">
        <v>44431</v>
      </c>
      <c r="P105" s="89">
        <v>5</v>
      </c>
      <c r="Q105" s="90" t="s">
        <v>3086</v>
      </c>
      <c r="R105" s="90" t="s">
        <v>3255</v>
      </c>
      <c r="S105" s="90" t="s">
        <v>2315</v>
      </c>
      <c r="T105" s="90" t="s">
        <v>2305</v>
      </c>
      <c r="U105" s="90" t="s">
        <v>1640</v>
      </c>
      <c r="V105" s="88">
        <v>44431</v>
      </c>
      <c r="W105" s="88">
        <v>44431</v>
      </c>
      <c r="X105" s="90" t="s">
        <v>43</v>
      </c>
      <c r="Y105" s="90" t="s">
        <v>257</v>
      </c>
      <c r="Z105" s="90" t="s">
        <v>36</v>
      </c>
      <c r="AA105" s="91"/>
      <c r="AB105" s="91"/>
      <c r="AC105" s="90" t="s">
        <v>2051</v>
      </c>
      <c r="AD105" s="90" t="s">
        <v>267</v>
      </c>
      <c r="AE105" s="90" t="s">
        <v>1636</v>
      </c>
      <c r="AF105" s="90" t="s">
        <v>2004</v>
      </c>
      <c r="AG105" s="90" t="s">
        <v>3258</v>
      </c>
      <c r="AH105" s="90" t="s">
        <v>2306</v>
      </c>
      <c r="AI105" s="90" t="s">
        <v>2306</v>
      </c>
      <c r="AJ105" s="90" t="s">
        <v>2051</v>
      </c>
      <c r="AK105" s="91"/>
      <c r="AL105" s="90" t="s">
        <v>1635</v>
      </c>
      <c r="AM105" s="90" t="s">
        <v>2307</v>
      </c>
      <c r="AN105" s="90" t="s">
        <v>2054</v>
      </c>
      <c r="AO105" s="87" t="s">
        <v>1949</v>
      </c>
      <c r="AP105" s="87" t="s">
        <v>1950</v>
      </c>
      <c r="AQ105" s="90" t="s">
        <v>2330</v>
      </c>
      <c r="AR105" s="91"/>
      <c r="AS105" s="91"/>
      <c r="AT105" s="91"/>
      <c r="AU105" s="87" t="s">
        <v>1972</v>
      </c>
      <c r="AV105" s="91"/>
      <c r="AW105" s="91"/>
      <c r="AX105" s="91"/>
      <c r="AY105" s="91"/>
      <c r="AZ105" t="str">
        <f t="shared" si="6"/>
        <v>205315</v>
      </c>
      <c r="BA105" t="str">
        <f t="shared" si="7"/>
        <v>0077</v>
      </c>
      <c r="BB105" t="str">
        <f t="shared" si="11"/>
        <v>0000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>IFERROR(VLOOKUP(X105,'Status Map'!A:B,2,FALSE),"Status Code Not Mapped")</f>
        <v>Y</v>
      </c>
      <c r="BL105" t="str">
        <f>IFERROR(VLOOKUP(D105,'Invoice Exception Map'!A:C,3,FALSE),"N")</f>
        <v>N</v>
      </c>
      <c r="BM105">
        <f t="shared" si="8"/>
        <v>12</v>
      </c>
      <c r="BN105" t="str">
        <f t="shared" si="9"/>
        <v>ALMULLA ALI</v>
      </c>
      <c r="BO105" t="str">
        <f t="shared" si="10"/>
        <v>IBRAHIM</v>
      </c>
    </row>
    <row r="106" spans="1:67" ht="16" thickBot="1" x14ac:dyDescent="0.25">
      <c r="A106" s="90" t="s">
        <v>2298</v>
      </c>
      <c r="B106" s="90" t="s">
        <v>2299</v>
      </c>
      <c r="C106" s="90" t="s">
        <v>2300</v>
      </c>
      <c r="D106" s="90" t="s">
        <v>3499</v>
      </c>
      <c r="E106" s="90" t="s">
        <v>1953</v>
      </c>
      <c r="F106" s="90" t="s">
        <v>2331</v>
      </c>
      <c r="G106" s="90" t="s">
        <v>2302</v>
      </c>
      <c r="H106" s="90" t="s">
        <v>267</v>
      </c>
      <c r="I106" s="90" t="s">
        <v>1944</v>
      </c>
      <c r="J106" s="90" t="s">
        <v>1620</v>
      </c>
      <c r="K106" s="90" t="s">
        <v>2303</v>
      </c>
      <c r="L106" s="90" t="s">
        <v>2227</v>
      </c>
      <c r="M106" s="87" t="s">
        <v>2072</v>
      </c>
      <c r="N106" s="87" t="s">
        <v>1999</v>
      </c>
      <c r="O106" s="88">
        <v>44332</v>
      </c>
      <c r="P106" s="89">
        <v>5.3</v>
      </c>
      <c r="Q106" s="90" t="s">
        <v>3086</v>
      </c>
      <c r="R106" s="90" t="s">
        <v>3254</v>
      </c>
      <c r="S106" s="90" t="s">
        <v>2312</v>
      </c>
      <c r="T106" s="90" t="s">
        <v>2305</v>
      </c>
      <c r="U106" s="90" t="s">
        <v>1640</v>
      </c>
      <c r="V106" s="88">
        <v>44332</v>
      </c>
      <c r="W106" s="88">
        <v>44332</v>
      </c>
      <c r="X106" s="90" t="s">
        <v>43</v>
      </c>
      <c r="Y106" s="90" t="s">
        <v>257</v>
      </c>
      <c r="Z106" s="90" t="s">
        <v>36</v>
      </c>
      <c r="AA106" s="91"/>
      <c r="AB106" s="91"/>
      <c r="AC106" s="90" t="s">
        <v>2051</v>
      </c>
      <c r="AD106" s="90" t="s">
        <v>267</v>
      </c>
      <c r="AE106" s="90" t="s">
        <v>1636</v>
      </c>
      <c r="AF106" s="90" t="s">
        <v>2004</v>
      </c>
      <c r="AG106" s="90" t="s">
        <v>2793</v>
      </c>
      <c r="AH106" s="90" t="s">
        <v>2306</v>
      </c>
      <c r="AI106" s="90" t="s">
        <v>2306</v>
      </c>
      <c r="AJ106" s="90" t="s">
        <v>2051</v>
      </c>
      <c r="AK106" s="90" t="s">
        <v>36</v>
      </c>
      <c r="AL106" s="90" t="s">
        <v>1635</v>
      </c>
      <c r="AM106" s="90" t="s">
        <v>2307</v>
      </c>
      <c r="AN106" s="90" t="s">
        <v>2054</v>
      </c>
      <c r="AO106" s="87" t="s">
        <v>1949</v>
      </c>
      <c r="AP106" s="87" t="s">
        <v>1950</v>
      </c>
      <c r="AQ106" s="90" t="s">
        <v>2332</v>
      </c>
      <c r="AR106" s="91"/>
      <c r="AS106" s="91"/>
      <c r="AT106" s="91"/>
      <c r="AU106" s="87" t="s">
        <v>1972</v>
      </c>
      <c r="AV106" s="91"/>
      <c r="AW106" s="91"/>
      <c r="AX106" s="91"/>
      <c r="AY106" s="91"/>
      <c r="AZ106" t="str">
        <f t="shared" si="6"/>
        <v>205377</v>
      </c>
      <c r="BA106" t="str">
        <f t="shared" si="7"/>
        <v>0077</v>
      </c>
      <c r="BB106" t="str">
        <f t="shared" si="11"/>
        <v>0000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>IFERROR(VLOOKUP(X106,'Status Map'!A:B,2,FALSE),"Status Code Not Mapped")</f>
        <v>Y</v>
      </c>
      <c r="BL106" t="str">
        <f>IFERROR(VLOOKUP(D106,'Invoice Exception Map'!A:C,3,FALSE),"N")</f>
        <v>N</v>
      </c>
      <c r="BM106">
        <f t="shared" si="8"/>
        <v>6</v>
      </c>
      <c r="BN106" t="str">
        <f t="shared" si="9"/>
        <v>AMSOU</v>
      </c>
      <c r="BO106" t="str">
        <f t="shared" si="10"/>
        <v>JALAL</v>
      </c>
    </row>
    <row r="107" spans="1:67" ht="16" thickBot="1" x14ac:dyDescent="0.25">
      <c r="A107" s="90" t="s">
        <v>2298</v>
      </c>
      <c r="B107" s="90" t="s">
        <v>2299</v>
      </c>
      <c r="C107" s="90" t="s">
        <v>2300</v>
      </c>
      <c r="D107" s="90" t="s">
        <v>3500</v>
      </c>
      <c r="E107" s="90" t="s">
        <v>1953</v>
      </c>
      <c r="F107" s="90" t="s">
        <v>2333</v>
      </c>
      <c r="G107" s="90" t="s">
        <v>2323</v>
      </c>
      <c r="H107" s="90" t="s">
        <v>1943</v>
      </c>
      <c r="I107" s="90" t="s">
        <v>1944</v>
      </c>
      <c r="J107" s="90" t="s">
        <v>1620</v>
      </c>
      <c r="K107" s="90" t="s">
        <v>2324</v>
      </c>
      <c r="L107" s="90" t="s">
        <v>2324</v>
      </c>
      <c r="M107" s="87" t="s">
        <v>2010</v>
      </c>
      <c r="N107" s="87" t="s">
        <v>2325</v>
      </c>
      <c r="O107" s="88">
        <v>44532</v>
      </c>
      <c r="P107" s="89">
        <v>4.7</v>
      </c>
      <c r="Q107" s="90" t="s">
        <v>3087</v>
      </c>
      <c r="R107" s="90" t="s">
        <v>3257</v>
      </c>
      <c r="S107" s="90" t="s">
        <v>2326</v>
      </c>
      <c r="T107" s="90" t="s">
        <v>2305</v>
      </c>
      <c r="U107" s="90" t="s">
        <v>1640</v>
      </c>
      <c r="V107" s="88">
        <v>44532</v>
      </c>
      <c r="W107" s="88">
        <v>44532</v>
      </c>
      <c r="X107" s="90" t="s">
        <v>43</v>
      </c>
      <c r="Y107" s="90" t="s">
        <v>257</v>
      </c>
      <c r="Z107" s="90" t="s">
        <v>36</v>
      </c>
      <c r="AA107" s="91"/>
      <c r="AB107" s="91"/>
      <c r="AC107" s="90" t="s">
        <v>2051</v>
      </c>
      <c r="AD107" s="90" t="s">
        <v>267</v>
      </c>
      <c r="AE107" s="90" t="s">
        <v>1636</v>
      </c>
      <c r="AF107" s="90" t="s">
        <v>2004</v>
      </c>
      <c r="AG107" s="90" t="s">
        <v>2793</v>
      </c>
      <c r="AH107" s="90" t="s">
        <v>2327</v>
      </c>
      <c r="AI107" s="90" t="s">
        <v>2327</v>
      </c>
      <c r="AJ107" s="90" t="s">
        <v>2051</v>
      </c>
      <c r="AK107" s="91"/>
      <c r="AL107" s="90" t="s">
        <v>1635</v>
      </c>
      <c r="AM107" s="90" t="s">
        <v>2307</v>
      </c>
      <c r="AN107" s="90" t="s">
        <v>2054</v>
      </c>
      <c r="AO107" s="87" t="s">
        <v>1949</v>
      </c>
      <c r="AP107" s="87" t="s">
        <v>1950</v>
      </c>
      <c r="AQ107" s="90" t="s">
        <v>2334</v>
      </c>
      <c r="AR107" s="91"/>
      <c r="AS107" s="91"/>
      <c r="AT107" s="91"/>
      <c r="AU107" s="87" t="s">
        <v>1972</v>
      </c>
      <c r="AV107" s="91"/>
      <c r="AW107" s="91"/>
      <c r="AX107" s="91"/>
      <c r="AY107" s="91"/>
      <c r="AZ107" t="str">
        <f t="shared" si="6"/>
        <v>205384</v>
      </c>
      <c r="BA107" t="str">
        <f t="shared" si="7"/>
        <v>0077</v>
      </c>
      <c r="BB107" t="str">
        <f t="shared" si="11"/>
        <v>0000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>IFERROR(VLOOKUP(X107,'Status Map'!A:B,2,FALSE),"Status Code Not Mapped")</f>
        <v>Y</v>
      </c>
      <c r="BL107" t="str">
        <f>IFERROR(VLOOKUP(D107,'Invoice Exception Map'!A:C,3,FALSE),"N")</f>
        <v>N</v>
      </c>
      <c r="BM107">
        <f t="shared" si="8"/>
        <v>10</v>
      </c>
      <c r="BN107" t="str">
        <f t="shared" si="9"/>
        <v>ANDERSSON</v>
      </c>
      <c r="BO107" t="str">
        <f t="shared" si="10"/>
        <v>ANDERS</v>
      </c>
    </row>
    <row r="108" spans="1:67" ht="16" thickBot="1" x14ac:dyDescent="0.25">
      <c r="A108" s="90" t="s">
        <v>2298</v>
      </c>
      <c r="B108" s="90" t="s">
        <v>2299</v>
      </c>
      <c r="C108" s="90" t="s">
        <v>2300</v>
      </c>
      <c r="D108" s="90" t="s">
        <v>3501</v>
      </c>
      <c r="E108" s="90" t="s">
        <v>1953</v>
      </c>
      <c r="F108" s="90" t="s">
        <v>2335</v>
      </c>
      <c r="G108" s="90" t="s">
        <v>2310</v>
      </c>
      <c r="H108" s="90" t="s">
        <v>267</v>
      </c>
      <c r="I108" s="90" t="s">
        <v>1944</v>
      </c>
      <c r="J108" s="90" t="s">
        <v>1620</v>
      </c>
      <c r="K108" s="90" t="s">
        <v>2012</v>
      </c>
      <c r="L108" s="90" t="s">
        <v>2311</v>
      </c>
      <c r="M108" s="87" t="s">
        <v>2007</v>
      </c>
      <c r="N108" s="87" t="s">
        <v>2013</v>
      </c>
      <c r="O108" s="88">
        <v>42680</v>
      </c>
      <c r="P108" s="89">
        <v>9.8000000000000007</v>
      </c>
      <c r="Q108" s="90" t="s">
        <v>3086</v>
      </c>
      <c r="R108" s="90" t="s">
        <v>3254</v>
      </c>
      <c r="S108" s="90" t="s">
        <v>2312</v>
      </c>
      <c r="T108" s="90" t="s">
        <v>2305</v>
      </c>
      <c r="U108" s="90" t="s">
        <v>1640</v>
      </c>
      <c r="V108" s="88">
        <v>42680</v>
      </c>
      <c r="W108" s="88">
        <v>42680</v>
      </c>
      <c r="X108" s="90" t="s">
        <v>43</v>
      </c>
      <c r="Y108" s="90" t="s">
        <v>257</v>
      </c>
      <c r="Z108" s="90" t="s">
        <v>36</v>
      </c>
      <c r="AA108" s="91"/>
      <c r="AB108" s="91"/>
      <c r="AC108" s="90" t="s">
        <v>2051</v>
      </c>
      <c r="AD108" s="90" t="s">
        <v>267</v>
      </c>
      <c r="AE108" s="90" t="s">
        <v>1636</v>
      </c>
      <c r="AF108" s="90" t="s">
        <v>2004</v>
      </c>
      <c r="AG108" s="90" t="s">
        <v>3259</v>
      </c>
      <c r="AH108" s="90" t="s">
        <v>2306</v>
      </c>
      <c r="AI108" s="90" t="s">
        <v>2306</v>
      </c>
      <c r="AJ108" s="90" t="s">
        <v>2051</v>
      </c>
      <c r="AK108" s="90" t="s">
        <v>36</v>
      </c>
      <c r="AL108" s="90" t="s">
        <v>1635</v>
      </c>
      <c r="AM108" s="90" t="s">
        <v>2307</v>
      </c>
      <c r="AN108" s="90" t="s">
        <v>2054</v>
      </c>
      <c r="AO108" s="87" t="s">
        <v>1949</v>
      </c>
      <c r="AP108" s="87" t="s">
        <v>1950</v>
      </c>
      <c r="AQ108" s="90" t="s">
        <v>2336</v>
      </c>
      <c r="AR108" s="91"/>
      <c r="AS108" s="91"/>
      <c r="AT108" s="91"/>
      <c r="AU108" s="87" t="s">
        <v>1972</v>
      </c>
      <c r="AV108" s="91"/>
      <c r="AW108" s="91"/>
      <c r="AX108" s="91"/>
      <c r="AY108" s="91"/>
      <c r="AZ108" t="str">
        <f t="shared" si="6"/>
        <v>205377</v>
      </c>
      <c r="BA108" t="str">
        <f t="shared" si="7"/>
        <v>0077</v>
      </c>
      <c r="BB108" t="str">
        <f t="shared" si="11"/>
        <v>0000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>IFERROR(VLOOKUP(X108,'Status Map'!A:B,2,FALSE),"Status Code Not Mapped")</f>
        <v>Y</v>
      </c>
      <c r="BL108" t="str">
        <f>IFERROR(VLOOKUP(D108,'Invoice Exception Map'!A:C,3,FALSE),"N")</f>
        <v>N</v>
      </c>
      <c r="BM108">
        <f t="shared" si="8"/>
        <v>10</v>
      </c>
      <c r="BN108" t="str">
        <f t="shared" si="9"/>
        <v>ANDERSSON</v>
      </c>
      <c r="BO108" t="str">
        <f t="shared" si="10"/>
        <v>CHRISTOFFER</v>
      </c>
    </row>
    <row r="109" spans="1:67" ht="16" thickBot="1" x14ac:dyDescent="0.25">
      <c r="A109" s="90" t="s">
        <v>2298</v>
      </c>
      <c r="B109" s="90" t="s">
        <v>2299</v>
      </c>
      <c r="C109" s="90" t="s">
        <v>2300</v>
      </c>
      <c r="D109" s="90" t="s">
        <v>3502</v>
      </c>
      <c r="E109" s="90" t="s">
        <v>1953</v>
      </c>
      <c r="F109" s="90" t="s">
        <v>2337</v>
      </c>
      <c r="G109" s="90" t="s">
        <v>2037</v>
      </c>
      <c r="H109" s="90" t="s">
        <v>1943</v>
      </c>
      <c r="I109" s="90" t="s">
        <v>1944</v>
      </c>
      <c r="J109" s="90" t="s">
        <v>427</v>
      </c>
      <c r="K109" s="90" t="s">
        <v>541</v>
      </c>
      <c r="L109" s="90" t="s">
        <v>2338</v>
      </c>
      <c r="M109" s="87" t="s">
        <v>1984</v>
      </c>
      <c r="N109" s="87" t="s">
        <v>2021</v>
      </c>
      <c r="O109" s="88">
        <v>34498</v>
      </c>
      <c r="P109" s="89">
        <v>32.200000000000003</v>
      </c>
      <c r="Q109" s="90" t="s">
        <v>213</v>
      </c>
      <c r="R109" s="90" t="s">
        <v>3260</v>
      </c>
      <c r="S109" s="90" t="s">
        <v>2339</v>
      </c>
      <c r="T109" s="90" t="s">
        <v>2305</v>
      </c>
      <c r="U109" s="90" t="s">
        <v>1640</v>
      </c>
      <c r="V109" s="88">
        <v>34498</v>
      </c>
      <c r="W109" s="88">
        <v>34498</v>
      </c>
      <c r="X109" s="90" t="s">
        <v>43</v>
      </c>
      <c r="Y109" s="90" t="s">
        <v>257</v>
      </c>
      <c r="Z109" s="90" t="s">
        <v>36</v>
      </c>
      <c r="AA109" s="91"/>
      <c r="AB109" s="91"/>
      <c r="AC109" s="90" t="s">
        <v>2051</v>
      </c>
      <c r="AD109" s="90" t="s">
        <v>267</v>
      </c>
      <c r="AE109" s="90" t="s">
        <v>1636</v>
      </c>
      <c r="AF109" s="90" t="s">
        <v>1947</v>
      </c>
      <c r="AG109" s="90" t="s">
        <v>2793</v>
      </c>
      <c r="AH109" s="90" t="s">
        <v>2306</v>
      </c>
      <c r="AI109" s="90" t="s">
        <v>2306</v>
      </c>
      <c r="AJ109" s="90" t="s">
        <v>2051</v>
      </c>
      <c r="AK109" s="90" t="s">
        <v>36</v>
      </c>
      <c r="AL109" s="90" t="s">
        <v>1635</v>
      </c>
      <c r="AM109" s="90" t="s">
        <v>2307</v>
      </c>
      <c r="AN109" s="90" t="s">
        <v>2054</v>
      </c>
      <c r="AO109" s="87" t="s">
        <v>1949</v>
      </c>
      <c r="AP109" s="87" t="s">
        <v>1950</v>
      </c>
      <c r="AQ109" s="90" t="s">
        <v>2340</v>
      </c>
      <c r="AR109" s="92">
        <v>38000</v>
      </c>
      <c r="AS109" s="92">
        <v>47000</v>
      </c>
      <c r="AT109" s="92">
        <v>59000</v>
      </c>
      <c r="AU109" s="87" t="s">
        <v>1972</v>
      </c>
      <c r="AV109" s="87" t="s">
        <v>1973</v>
      </c>
      <c r="AW109" s="91"/>
      <c r="AX109" s="91"/>
      <c r="AY109" s="91"/>
      <c r="AZ109" t="str">
        <f t="shared" si="6"/>
        <v>205380</v>
      </c>
      <c r="BA109" t="str">
        <f t="shared" si="7"/>
        <v>0077</v>
      </c>
      <c r="BB109" t="str">
        <f t="shared" si="11"/>
        <v>0000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>IFERROR(VLOOKUP(X109,'Status Map'!A:B,2,FALSE),"Status Code Not Mapped")</f>
        <v>Y</v>
      </c>
      <c r="BL109" t="str">
        <f>IFERROR(VLOOKUP(D109,'Invoice Exception Map'!A:C,3,FALSE),"N")</f>
        <v>N</v>
      </c>
      <c r="BM109">
        <f t="shared" si="8"/>
        <v>10</v>
      </c>
      <c r="BN109" t="str">
        <f t="shared" si="9"/>
        <v>ANDERSSON</v>
      </c>
      <c r="BO109" t="str">
        <f t="shared" si="10"/>
        <v>FREDRIK</v>
      </c>
    </row>
    <row r="110" spans="1:67" ht="16" thickBot="1" x14ac:dyDescent="0.25">
      <c r="A110" s="90" t="s">
        <v>2298</v>
      </c>
      <c r="B110" s="90" t="s">
        <v>2299</v>
      </c>
      <c r="C110" s="90" t="s">
        <v>2300</v>
      </c>
      <c r="D110" s="90" t="s">
        <v>3503</v>
      </c>
      <c r="E110" s="90" t="s">
        <v>1953</v>
      </c>
      <c r="F110" s="90" t="s">
        <v>2341</v>
      </c>
      <c r="G110" s="90" t="s">
        <v>2221</v>
      </c>
      <c r="H110" s="90" t="s">
        <v>267</v>
      </c>
      <c r="I110" s="90" t="s">
        <v>1944</v>
      </c>
      <c r="J110" s="90" t="s">
        <v>1620</v>
      </c>
      <c r="K110" s="90" t="s">
        <v>2222</v>
      </c>
      <c r="L110" s="90" t="s">
        <v>2311</v>
      </c>
      <c r="M110" s="87" t="s">
        <v>2003</v>
      </c>
      <c r="N110" s="87" t="s">
        <v>1999</v>
      </c>
      <c r="O110" s="88">
        <v>37172</v>
      </c>
      <c r="P110" s="89">
        <v>24.9</v>
      </c>
      <c r="Q110" s="90" t="s">
        <v>3084</v>
      </c>
      <c r="R110" s="90" t="s">
        <v>3256</v>
      </c>
      <c r="S110" s="90" t="s">
        <v>2319</v>
      </c>
      <c r="T110" s="90" t="s">
        <v>2305</v>
      </c>
      <c r="U110" s="90" t="s">
        <v>1640</v>
      </c>
      <c r="V110" s="88">
        <v>37172</v>
      </c>
      <c r="W110" s="88">
        <v>37172</v>
      </c>
      <c r="X110" s="90" t="s">
        <v>43</v>
      </c>
      <c r="Y110" s="90" t="s">
        <v>257</v>
      </c>
      <c r="Z110" s="90" t="s">
        <v>36</v>
      </c>
      <c r="AA110" s="91"/>
      <c r="AB110" s="91"/>
      <c r="AC110" s="90" t="s">
        <v>2051</v>
      </c>
      <c r="AD110" s="90" t="s">
        <v>267</v>
      </c>
      <c r="AE110" s="90" t="s">
        <v>1636</v>
      </c>
      <c r="AF110" s="90" t="s">
        <v>2004</v>
      </c>
      <c r="AG110" s="90" t="s">
        <v>2793</v>
      </c>
      <c r="AH110" s="90" t="s">
        <v>2320</v>
      </c>
      <c r="AI110" s="90" t="s">
        <v>2320</v>
      </c>
      <c r="AJ110" s="90" t="s">
        <v>2051</v>
      </c>
      <c r="AK110" s="90" t="s">
        <v>36</v>
      </c>
      <c r="AL110" s="90" t="s">
        <v>1635</v>
      </c>
      <c r="AM110" s="90" t="s">
        <v>2307</v>
      </c>
      <c r="AN110" s="90" t="s">
        <v>2054</v>
      </c>
      <c r="AO110" s="87" t="s">
        <v>1949</v>
      </c>
      <c r="AP110" s="87" t="s">
        <v>1950</v>
      </c>
      <c r="AQ110" s="90" t="s">
        <v>2342</v>
      </c>
      <c r="AR110" s="91"/>
      <c r="AS110" s="91"/>
      <c r="AT110" s="91"/>
      <c r="AU110" s="87" t="s">
        <v>1972</v>
      </c>
      <c r="AV110" s="91"/>
      <c r="AW110" s="91"/>
      <c r="AX110" s="91"/>
      <c r="AY110" s="91"/>
      <c r="AZ110" t="str">
        <f t="shared" si="6"/>
        <v>205383</v>
      </c>
      <c r="BA110" t="str">
        <f t="shared" si="7"/>
        <v>0077</v>
      </c>
      <c r="BB110" t="str">
        <f t="shared" si="11"/>
        <v>0000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>IFERROR(VLOOKUP(X110,'Status Map'!A:B,2,FALSE),"Status Code Not Mapped")</f>
        <v>Y</v>
      </c>
      <c r="BL110" t="str">
        <f>IFERROR(VLOOKUP(D110,'Invoice Exception Map'!A:C,3,FALSE),"N")</f>
        <v>N</v>
      </c>
      <c r="BM110">
        <f t="shared" si="8"/>
        <v>10</v>
      </c>
      <c r="BN110" t="str">
        <f t="shared" si="9"/>
        <v>ANDERSSON</v>
      </c>
      <c r="BO110" t="str">
        <f t="shared" si="10"/>
        <v>LARS</v>
      </c>
    </row>
    <row r="111" spans="1:67" ht="16" thickBot="1" x14ac:dyDescent="0.25">
      <c r="A111" s="90" t="s">
        <v>2298</v>
      </c>
      <c r="B111" s="90" t="s">
        <v>2299</v>
      </c>
      <c r="C111" s="90" t="s">
        <v>2300</v>
      </c>
      <c r="D111" s="90" t="s">
        <v>3504</v>
      </c>
      <c r="E111" s="90" t="s">
        <v>1953</v>
      </c>
      <c r="F111" s="90" t="s">
        <v>2343</v>
      </c>
      <c r="G111" s="90" t="s">
        <v>2318</v>
      </c>
      <c r="H111" s="90" t="s">
        <v>267</v>
      </c>
      <c r="I111" s="90" t="s">
        <v>1944</v>
      </c>
      <c r="J111" s="90" t="s">
        <v>1620</v>
      </c>
      <c r="K111" s="90" t="s">
        <v>247</v>
      </c>
      <c r="L111" s="90" t="s">
        <v>2003</v>
      </c>
      <c r="M111" s="87" t="s">
        <v>2003</v>
      </c>
      <c r="N111" s="87" t="s">
        <v>1999</v>
      </c>
      <c r="O111" s="88">
        <v>37683</v>
      </c>
      <c r="P111" s="89">
        <v>23.5</v>
      </c>
      <c r="Q111" s="90" t="s">
        <v>3089</v>
      </c>
      <c r="R111" s="90" t="s">
        <v>3256</v>
      </c>
      <c r="S111" s="90" t="s">
        <v>2319</v>
      </c>
      <c r="T111" s="90" t="s">
        <v>2305</v>
      </c>
      <c r="U111" s="90" t="s">
        <v>1640</v>
      </c>
      <c r="V111" s="88">
        <v>37683</v>
      </c>
      <c r="W111" s="88">
        <v>37683</v>
      </c>
      <c r="X111" s="90" t="s">
        <v>43</v>
      </c>
      <c r="Y111" s="90" t="s">
        <v>257</v>
      </c>
      <c r="Z111" s="90" t="s">
        <v>36</v>
      </c>
      <c r="AA111" s="91"/>
      <c r="AB111" s="91"/>
      <c r="AC111" s="90" t="s">
        <v>2051</v>
      </c>
      <c r="AD111" s="90" t="s">
        <v>267</v>
      </c>
      <c r="AE111" s="90" t="s">
        <v>1636</v>
      </c>
      <c r="AF111" s="90" t="s">
        <v>2004</v>
      </c>
      <c r="AG111" s="90" t="s">
        <v>2793</v>
      </c>
      <c r="AH111" s="90" t="s">
        <v>2320</v>
      </c>
      <c r="AI111" s="90" t="s">
        <v>2320</v>
      </c>
      <c r="AJ111" s="90" t="s">
        <v>2051</v>
      </c>
      <c r="AK111" s="90" t="s">
        <v>36</v>
      </c>
      <c r="AL111" s="90" t="s">
        <v>1635</v>
      </c>
      <c r="AM111" s="90" t="s">
        <v>2307</v>
      </c>
      <c r="AN111" s="90" t="s">
        <v>2054</v>
      </c>
      <c r="AO111" s="87" t="s">
        <v>1949</v>
      </c>
      <c r="AP111" s="87" t="s">
        <v>1950</v>
      </c>
      <c r="AQ111" s="90" t="s">
        <v>2344</v>
      </c>
      <c r="AR111" s="91"/>
      <c r="AS111" s="91"/>
      <c r="AT111" s="91"/>
      <c r="AU111" s="87" t="s">
        <v>1972</v>
      </c>
      <c r="AV111" s="91"/>
      <c r="AW111" s="91"/>
      <c r="AX111" s="91"/>
      <c r="AY111" s="91"/>
      <c r="AZ111" t="str">
        <f t="shared" si="6"/>
        <v>205383</v>
      </c>
      <c r="BA111" t="str">
        <f t="shared" si="7"/>
        <v>0077</v>
      </c>
      <c r="BB111" t="str">
        <f t="shared" si="11"/>
        <v>0000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>IFERROR(VLOOKUP(X111,'Status Map'!A:B,2,FALSE),"Status Code Not Mapped")</f>
        <v>Y</v>
      </c>
      <c r="BL111" t="str">
        <f>IFERROR(VLOOKUP(D111,'Invoice Exception Map'!A:C,3,FALSE),"N")</f>
        <v>N</v>
      </c>
      <c r="BM111">
        <f t="shared" si="8"/>
        <v>10</v>
      </c>
      <c r="BN111" t="str">
        <f t="shared" si="9"/>
        <v>ANDERSSON</v>
      </c>
      <c r="BO111" t="str">
        <f t="shared" si="10"/>
        <v>MIKAEL</v>
      </c>
    </row>
    <row r="112" spans="1:67" ht="16" thickBot="1" x14ac:dyDescent="0.25">
      <c r="A112" s="90" t="s">
        <v>2298</v>
      </c>
      <c r="B112" s="90" t="s">
        <v>2299</v>
      </c>
      <c r="C112" s="90" t="s">
        <v>2300</v>
      </c>
      <c r="D112" s="90" t="s">
        <v>3505</v>
      </c>
      <c r="E112" s="90" t="s">
        <v>1953</v>
      </c>
      <c r="F112" s="90" t="s">
        <v>2345</v>
      </c>
      <c r="G112" s="90" t="s">
        <v>2318</v>
      </c>
      <c r="H112" s="90" t="s">
        <v>267</v>
      </c>
      <c r="I112" s="90" t="s">
        <v>1944</v>
      </c>
      <c r="J112" s="90" t="s">
        <v>1620</v>
      </c>
      <c r="K112" s="90" t="s">
        <v>247</v>
      </c>
      <c r="L112" s="90" t="s">
        <v>2003</v>
      </c>
      <c r="M112" s="87" t="s">
        <v>2003</v>
      </c>
      <c r="N112" s="87" t="s">
        <v>1999</v>
      </c>
      <c r="O112" s="88">
        <v>40133</v>
      </c>
      <c r="P112" s="89">
        <v>16.8</v>
      </c>
      <c r="Q112" s="90" t="s">
        <v>3089</v>
      </c>
      <c r="R112" s="90" t="s">
        <v>3261</v>
      </c>
      <c r="S112" s="90" t="s">
        <v>2346</v>
      </c>
      <c r="T112" s="90" t="s">
        <v>2305</v>
      </c>
      <c r="U112" s="90" t="s">
        <v>1640</v>
      </c>
      <c r="V112" s="88">
        <v>40133</v>
      </c>
      <c r="W112" s="88">
        <v>40133</v>
      </c>
      <c r="X112" s="90" t="s">
        <v>43</v>
      </c>
      <c r="Y112" s="90" t="s">
        <v>257</v>
      </c>
      <c r="Z112" s="90" t="s">
        <v>36</v>
      </c>
      <c r="AA112" s="91"/>
      <c r="AB112" s="91"/>
      <c r="AC112" s="90" t="s">
        <v>2051</v>
      </c>
      <c r="AD112" s="90" t="s">
        <v>267</v>
      </c>
      <c r="AE112" s="90" t="s">
        <v>1636</v>
      </c>
      <c r="AF112" s="90" t="s">
        <v>2004</v>
      </c>
      <c r="AG112" s="90" t="s">
        <v>2793</v>
      </c>
      <c r="AH112" s="90" t="s">
        <v>2320</v>
      </c>
      <c r="AI112" s="90" t="s">
        <v>2320</v>
      </c>
      <c r="AJ112" s="90" t="s">
        <v>2051</v>
      </c>
      <c r="AK112" s="90" t="s">
        <v>36</v>
      </c>
      <c r="AL112" s="90" t="s">
        <v>1635</v>
      </c>
      <c r="AM112" s="90" t="s">
        <v>2307</v>
      </c>
      <c r="AN112" s="90" t="s">
        <v>2054</v>
      </c>
      <c r="AO112" s="87" t="s">
        <v>1949</v>
      </c>
      <c r="AP112" s="87" t="s">
        <v>1950</v>
      </c>
      <c r="AQ112" s="90" t="s">
        <v>2347</v>
      </c>
      <c r="AR112" s="91"/>
      <c r="AS112" s="91"/>
      <c r="AT112" s="91"/>
      <c r="AU112" s="87" t="s">
        <v>1972</v>
      </c>
      <c r="AV112" s="91"/>
      <c r="AW112" s="91"/>
      <c r="AX112" s="91"/>
      <c r="AY112" s="91"/>
      <c r="AZ112" t="str">
        <f t="shared" si="6"/>
        <v>205116</v>
      </c>
      <c r="BA112" t="str">
        <f t="shared" si="7"/>
        <v>0077</v>
      </c>
      <c r="BB112" t="str">
        <f t="shared" si="11"/>
        <v>0000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>IFERROR(VLOOKUP(X112,'Status Map'!A:B,2,FALSE),"Status Code Not Mapped")</f>
        <v>Y</v>
      </c>
      <c r="BL112" t="str">
        <f>IFERROR(VLOOKUP(D112,'Invoice Exception Map'!A:C,3,FALSE),"N")</f>
        <v>N</v>
      </c>
      <c r="BM112">
        <f t="shared" si="8"/>
        <v>10</v>
      </c>
      <c r="BN112" t="str">
        <f t="shared" si="9"/>
        <v>ANDERSSON</v>
      </c>
      <c r="BO112" t="str">
        <f t="shared" si="10"/>
        <v>ULF</v>
      </c>
    </row>
    <row r="113" spans="1:67" ht="16" thickBot="1" x14ac:dyDescent="0.25">
      <c r="A113" s="90" t="s">
        <v>2298</v>
      </c>
      <c r="B113" s="90" t="s">
        <v>2299</v>
      </c>
      <c r="C113" s="90" t="s">
        <v>2300</v>
      </c>
      <c r="D113" s="90" t="s">
        <v>3506</v>
      </c>
      <c r="E113" s="90" t="s">
        <v>1953</v>
      </c>
      <c r="F113" s="90" t="s">
        <v>2348</v>
      </c>
      <c r="G113" s="90" t="s">
        <v>2310</v>
      </c>
      <c r="H113" s="90" t="s">
        <v>267</v>
      </c>
      <c r="I113" s="90" t="s">
        <v>1944</v>
      </c>
      <c r="J113" s="90" t="s">
        <v>1620</v>
      </c>
      <c r="K113" s="90" t="s">
        <v>2012</v>
      </c>
      <c r="L113" s="90" t="s">
        <v>2311</v>
      </c>
      <c r="M113" s="87" t="s">
        <v>2007</v>
      </c>
      <c r="N113" s="87" t="s">
        <v>2013</v>
      </c>
      <c r="O113" s="88">
        <v>40258</v>
      </c>
      <c r="P113" s="89">
        <v>16.399999999999999</v>
      </c>
      <c r="Q113" s="90" t="s">
        <v>3086</v>
      </c>
      <c r="R113" s="90" t="s">
        <v>3254</v>
      </c>
      <c r="S113" s="90" t="s">
        <v>2312</v>
      </c>
      <c r="T113" s="90" t="s">
        <v>2305</v>
      </c>
      <c r="U113" s="90" t="s">
        <v>1640</v>
      </c>
      <c r="V113" s="88">
        <v>40258</v>
      </c>
      <c r="W113" s="88">
        <v>40258</v>
      </c>
      <c r="X113" s="90" t="s">
        <v>43</v>
      </c>
      <c r="Y113" s="90" t="s">
        <v>257</v>
      </c>
      <c r="Z113" s="90" t="s">
        <v>36</v>
      </c>
      <c r="AA113" s="91"/>
      <c r="AB113" s="91"/>
      <c r="AC113" s="90" t="s">
        <v>2051</v>
      </c>
      <c r="AD113" s="90" t="s">
        <v>267</v>
      </c>
      <c r="AE113" s="90" t="s">
        <v>1636</v>
      </c>
      <c r="AF113" s="90" t="s">
        <v>2004</v>
      </c>
      <c r="AG113" s="90" t="s">
        <v>2793</v>
      </c>
      <c r="AH113" s="90" t="s">
        <v>2306</v>
      </c>
      <c r="AI113" s="90" t="s">
        <v>2306</v>
      </c>
      <c r="AJ113" s="90" t="s">
        <v>2051</v>
      </c>
      <c r="AK113" s="90" t="s">
        <v>36</v>
      </c>
      <c r="AL113" s="90" t="s">
        <v>1635</v>
      </c>
      <c r="AM113" s="90" t="s">
        <v>2307</v>
      </c>
      <c r="AN113" s="90" t="s">
        <v>2054</v>
      </c>
      <c r="AO113" s="87" t="s">
        <v>1949</v>
      </c>
      <c r="AP113" s="87" t="s">
        <v>1950</v>
      </c>
      <c r="AQ113" s="90" t="s">
        <v>2349</v>
      </c>
      <c r="AR113" s="91"/>
      <c r="AS113" s="91"/>
      <c r="AT113" s="91"/>
      <c r="AU113" s="87" t="s">
        <v>1972</v>
      </c>
      <c r="AV113" s="91"/>
      <c r="AW113" s="91"/>
      <c r="AX113" s="91"/>
      <c r="AY113" s="91"/>
      <c r="AZ113" t="str">
        <f t="shared" si="6"/>
        <v>205377</v>
      </c>
      <c r="BA113" t="str">
        <f t="shared" si="7"/>
        <v>0077</v>
      </c>
      <c r="BB113" t="str">
        <f t="shared" si="11"/>
        <v>0000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>IFERROR(VLOOKUP(X113,'Status Map'!A:B,2,FALSE),"Status Code Not Mapped")</f>
        <v>Y</v>
      </c>
      <c r="BL113" t="str">
        <f>IFERROR(VLOOKUP(D113,'Invoice Exception Map'!A:C,3,FALSE),"N")</f>
        <v>N</v>
      </c>
      <c r="BM113">
        <f t="shared" si="8"/>
        <v>7</v>
      </c>
      <c r="BN113" t="str">
        <f t="shared" si="9"/>
        <v>ANDRÉN</v>
      </c>
      <c r="BO113" t="str">
        <f t="shared" si="10"/>
        <v>ERIK</v>
      </c>
    </row>
    <row r="114" spans="1:67" ht="16" thickBot="1" x14ac:dyDescent="0.25">
      <c r="A114" s="90" t="s">
        <v>2298</v>
      </c>
      <c r="B114" s="90" t="s">
        <v>2299</v>
      </c>
      <c r="C114" s="90" t="s">
        <v>2300</v>
      </c>
      <c r="D114" s="90" t="s">
        <v>3507</v>
      </c>
      <c r="E114" s="90" t="s">
        <v>1953</v>
      </c>
      <c r="F114" s="90" t="s">
        <v>2350</v>
      </c>
      <c r="G114" s="90" t="s">
        <v>2318</v>
      </c>
      <c r="H114" s="90" t="s">
        <v>267</v>
      </c>
      <c r="I114" s="90" t="s">
        <v>1944</v>
      </c>
      <c r="J114" s="90" t="s">
        <v>1620</v>
      </c>
      <c r="K114" s="90" t="s">
        <v>247</v>
      </c>
      <c r="L114" s="90" t="s">
        <v>2003</v>
      </c>
      <c r="M114" s="87" t="s">
        <v>2003</v>
      </c>
      <c r="N114" s="87" t="s">
        <v>1999</v>
      </c>
      <c r="O114" s="88">
        <v>42695</v>
      </c>
      <c r="P114" s="89">
        <v>9.8000000000000007</v>
      </c>
      <c r="Q114" s="90" t="s">
        <v>3089</v>
      </c>
      <c r="R114" s="90" t="s">
        <v>3256</v>
      </c>
      <c r="S114" s="90" t="s">
        <v>2319</v>
      </c>
      <c r="T114" s="90" t="s">
        <v>2305</v>
      </c>
      <c r="U114" s="90" t="s">
        <v>1640</v>
      </c>
      <c r="V114" s="88">
        <v>42695</v>
      </c>
      <c r="W114" s="88">
        <v>42695</v>
      </c>
      <c r="X114" s="90" t="s">
        <v>43</v>
      </c>
      <c r="Y114" s="90" t="s">
        <v>257</v>
      </c>
      <c r="Z114" s="90" t="s">
        <v>36</v>
      </c>
      <c r="AA114" s="91"/>
      <c r="AB114" s="91"/>
      <c r="AC114" s="90" t="s">
        <v>2051</v>
      </c>
      <c r="AD114" s="90" t="s">
        <v>267</v>
      </c>
      <c r="AE114" s="90" t="s">
        <v>1636</v>
      </c>
      <c r="AF114" s="90" t="s">
        <v>2004</v>
      </c>
      <c r="AG114" s="90" t="s">
        <v>2793</v>
      </c>
      <c r="AH114" s="90" t="s">
        <v>2320</v>
      </c>
      <c r="AI114" s="90" t="s">
        <v>2320</v>
      </c>
      <c r="AJ114" s="90" t="s">
        <v>2051</v>
      </c>
      <c r="AK114" s="90" t="s">
        <v>36</v>
      </c>
      <c r="AL114" s="90" t="s">
        <v>1635</v>
      </c>
      <c r="AM114" s="90" t="s">
        <v>2307</v>
      </c>
      <c r="AN114" s="90" t="s">
        <v>2054</v>
      </c>
      <c r="AO114" s="87" t="s">
        <v>1949</v>
      </c>
      <c r="AP114" s="87" t="s">
        <v>1950</v>
      </c>
      <c r="AQ114" s="90" t="s">
        <v>2351</v>
      </c>
      <c r="AR114" s="91"/>
      <c r="AS114" s="91"/>
      <c r="AT114" s="91"/>
      <c r="AU114" s="87" t="s">
        <v>1972</v>
      </c>
      <c r="AV114" s="91"/>
      <c r="AW114" s="91"/>
      <c r="AX114" s="91"/>
      <c r="AY114" s="91"/>
      <c r="AZ114" t="str">
        <f t="shared" si="6"/>
        <v>205383</v>
      </c>
      <c r="BA114" t="str">
        <f t="shared" si="7"/>
        <v>0077</v>
      </c>
      <c r="BB114" t="str">
        <f t="shared" si="11"/>
        <v>0000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>IFERROR(VLOOKUP(X114,'Status Map'!A:B,2,FALSE),"Status Code Not Mapped")</f>
        <v>Y</v>
      </c>
      <c r="BL114" t="str">
        <f>IFERROR(VLOOKUP(D114,'Invoice Exception Map'!A:C,3,FALSE),"N")</f>
        <v>N</v>
      </c>
      <c r="BM114">
        <f t="shared" si="8"/>
        <v>10</v>
      </c>
      <c r="BN114" t="str">
        <f t="shared" si="9"/>
        <v>ANTONSSON</v>
      </c>
      <c r="BO114" t="str">
        <f t="shared" si="10"/>
        <v>JOHAN</v>
      </c>
    </row>
    <row r="115" spans="1:67" ht="16" thickBot="1" x14ac:dyDescent="0.25">
      <c r="A115" s="90" t="s">
        <v>2298</v>
      </c>
      <c r="B115" s="90" t="s">
        <v>2299</v>
      </c>
      <c r="C115" s="90" t="s">
        <v>2300</v>
      </c>
      <c r="D115" s="90" t="s">
        <v>3508</v>
      </c>
      <c r="E115" s="90" t="s">
        <v>1953</v>
      </c>
      <c r="F115" s="90" t="s">
        <v>2352</v>
      </c>
      <c r="G115" s="90" t="s">
        <v>2353</v>
      </c>
      <c r="H115" s="90" t="s">
        <v>1943</v>
      </c>
      <c r="I115" s="90" t="s">
        <v>1944</v>
      </c>
      <c r="J115" s="90" t="s">
        <v>1620</v>
      </c>
      <c r="K115" s="90" t="s">
        <v>2354</v>
      </c>
      <c r="L115" s="90" t="s">
        <v>2355</v>
      </c>
      <c r="M115" s="87" t="s">
        <v>2036</v>
      </c>
      <c r="N115" s="87" t="s">
        <v>303</v>
      </c>
      <c r="O115" s="88">
        <v>41153</v>
      </c>
      <c r="P115" s="89">
        <v>14</v>
      </c>
      <c r="Q115" s="90" t="s">
        <v>3088</v>
      </c>
      <c r="R115" s="90" t="s">
        <v>3262</v>
      </c>
      <c r="S115" s="90" t="s">
        <v>2356</v>
      </c>
      <c r="T115" s="90" t="s">
        <v>2305</v>
      </c>
      <c r="U115" s="90" t="s">
        <v>1640</v>
      </c>
      <c r="V115" s="88">
        <v>41153</v>
      </c>
      <c r="W115" s="88">
        <v>41153</v>
      </c>
      <c r="X115" s="90" t="s">
        <v>43</v>
      </c>
      <c r="Y115" s="90" t="s">
        <v>257</v>
      </c>
      <c r="Z115" s="90" t="s">
        <v>36</v>
      </c>
      <c r="AA115" s="91"/>
      <c r="AB115" s="91"/>
      <c r="AC115" s="90" t="s">
        <v>2051</v>
      </c>
      <c r="AD115" s="90" t="s">
        <v>267</v>
      </c>
      <c r="AE115" s="90" t="s">
        <v>1636</v>
      </c>
      <c r="AF115" s="90" t="s">
        <v>2004</v>
      </c>
      <c r="AG115" s="90" t="s">
        <v>3263</v>
      </c>
      <c r="AH115" s="90" t="s">
        <v>2320</v>
      </c>
      <c r="AI115" s="90" t="s">
        <v>2320</v>
      </c>
      <c r="AJ115" s="90" t="s">
        <v>2051</v>
      </c>
      <c r="AK115" s="90" t="s">
        <v>36</v>
      </c>
      <c r="AL115" s="90" t="s">
        <v>1635</v>
      </c>
      <c r="AM115" s="90" t="s">
        <v>2307</v>
      </c>
      <c r="AN115" s="90" t="s">
        <v>2054</v>
      </c>
      <c r="AO115" s="87" t="s">
        <v>1949</v>
      </c>
      <c r="AP115" s="87" t="s">
        <v>1950</v>
      </c>
      <c r="AQ115" s="90" t="s">
        <v>2357</v>
      </c>
      <c r="AR115" s="91"/>
      <c r="AS115" s="91"/>
      <c r="AT115" s="91"/>
      <c r="AU115" s="87" t="s">
        <v>1972</v>
      </c>
      <c r="AV115" s="91"/>
      <c r="AW115" s="91"/>
      <c r="AX115" s="91"/>
      <c r="AY115" s="91"/>
      <c r="AZ115" t="str">
        <f t="shared" si="6"/>
        <v>205375</v>
      </c>
      <c r="BA115" t="str">
        <f t="shared" si="7"/>
        <v>0077</v>
      </c>
      <c r="BB115" t="str">
        <f t="shared" si="11"/>
        <v>0000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>IFERROR(VLOOKUP(X115,'Status Map'!A:B,2,FALSE),"Status Code Not Mapped")</f>
        <v>Y</v>
      </c>
      <c r="BL115" t="str">
        <f>IFERROR(VLOOKUP(D115,'Invoice Exception Map'!A:C,3,FALSE),"N")</f>
        <v>N</v>
      </c>
      <c r="BM115">
        <f t="shared" si="8"/>
        <v>10</v>
      </c>
      <c r="BN115" t="str">
        <f t="shared" si="9"/>
        <v>ARVIDSSON</v>
      </c>
      <c r="BO115" t="str">
        <f t="shared" si="10"/>
        <v>ANNA</v>
      </c>
    </row>
    <row r="116" spans="1:67" ht="16" thickBot="1" x14ac:dyDescent="0.25">
      <c r="A116" s="90" t="s">
        <v>2298</v>
      </c>
      <c r="B116" s="90" t="s">
        <v>2299</v>
      </c>
      <c r="C116" s="90" t="s">
        <v>2300</v>
      </c>
      <c r="D116" s="90" t="s">
        <v>3509</v>
      </c>
      <c r="E116" s="90" t="s">
        <v>1953</v>
      </c>
      <c r="F116" s="90" t="s">
        <v>2358</v>
      </c>
      <c r="G116" s="90" t="s">
        <v>2359</v>
      </c>
      <c r="H116" s="90" t="s">
        <v>1943</v>
      </c>
      <c r="I116" s="90" t="s">
        <v>1944</v>
      </c>
      <c r="J116" s="90" t="s">
        <v>1957</v>
      </c>
      <c r="K116" s="90" t="s">
        <v>2360</v>
      </c>
      <c r="L116" s="90" t="s">
        <v>2361</v>
      </c>
      <c r="M116" s="87" t="s">
        <v>2362</v>
      </c>
      <c r="N116" s="87" t="s">
        <v>2014</v>
      </c>
      <c r="O116" s="88">
        <v>36893</v>
      </c>
      <c r="P116" s="89">
        <v>25.6</v>
      </c>
      <c r="Q116" s="90" t="s">
        <v>3087</v>
      </c>
      <c r="R116" s="90" t="s">
        <v>3264</v>
      </c>
      <c r="S116" s="90" t="s">
        <v>2363</v>
      </c>
      <c r="T116" s="90" t="s">
        <v>2305</v>
      </c>
      <c r="U116" s="90" t="s">
        <v>1640</v>
      </c>
      <c r="V116" s="88">
        <v>36893</v>
      </c>
      <c r="W116" s="88">
        <v>36893</v>
      </c>
      <c r="X116" s="90" t="s">
        <v>43</v>
      </c>
      <c r="Y116" s="90" t="s">
        <v>257</v>
      </c>
      <c r="Z116" s="90" t="s">
        <v>36</v>
      </c>
      <c r="AA116" s="91"/>
      <c r="AB116" s="91"/>
      <c r="AC116" s="90" t="s">
        <v>2051</v>
      </c>
      <c r="AD116" s="90" t="s">
        <v>267</v>
      </c>
      <c r="AE116" s="90" t="s">
        <v>1636</v>
      </c>
      <c r="AF116" s="90" t="s">
        <v>2004</v>
      </c>
      <c r="AG116" s="90" t="s">
        <v>2793</v>
      </c>
      <c r="AH116" s="90" t="s">
        <v>2327</v>
      </c>
      <c r="AI116" s="90" t="s">
        <v>2327</v>
      </c>
      <c r="AJ116" s="90" t="s">
        <v>2051</v>
      </c>
      <c r="AK116" s="90" t="s">
        <v>36</v>
      </c>
      <c r="AL116" s="90" t="s">
        <v>1635</v>
      </c>
      <c r="AM116" s="90" t="s">
        <v>2307</v>
      </c>
      <c r="AN116" s="90" t="s">
        <v>2054</v>
      </c>
      <c r="AO116" s="87" t="s">
        <v>1949</v>
      </c>
      <c r="AP116" s="87" t="s">
        <v>1950</v>
      </c>
      <c r="AQ116" s="90" t="s">
        <v>2364</v>
      </c>
      <c r="AR116" s="91"/>
      <c r="AS116" s="91"/>
      <c r="AT116" s="91"/>
      <c r="AU116" s="87" t="s">
        <v>1972</v>
      </c>
      <c r="AV116" s="91"/>
      <c r="AW116" s="91"/>
      <c r="AX116" s="91"/>
      <c r="AY116" s="91"/>
      <c r="AZ116" t="str">
        <f t="shared" si="6"/>
        <v>213066</v>
      </c>
      <c r="BA116" t="str">
        <f t="shared" si="7"/>
        <v>0077</v>
      </c>
      <c r="BB116" t="str">
        <f t="shared" si="11"/>
        <v>0000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>IFERROR(VLOOKUP(X116,'Status Map'!A:B,2,FALSE),"Status Code Not Mapped")</f>
        <v>Y</v>
      </c>
      <c r="BL116" t="str">
        <f>IFERROR(VLOOKUP(D116,'Invoice Exception Map'!A:C,3,FALSE),"N")</f>
        <v>N</v>
      </c>
      <c r="BM116">
        <f t="shared" si="8"/>
        <v>8</v>
      </c>
      <c r="BN116" t="str">
        <f t="shared" si="9"/>
        <v>ASKLUND</v>
      </c>
      <c r="BO116" t="str">
        <f t="shared" si="10"/>
        <v>LARS</v>
      </c>
    </row>
    <row r="117" spans="1:67" ht="16" thickBot="1" x14ac:dyDescent="0.25">
      <c r="A117" s="90" t="s">
        <v>2298</v>
      </c>
      <c r="B117" s="90" t="s">
        <v>2299</v>
      </c>
      <c r="C117" s="90" t="s">
        <v>2300</v>
      </c>
      <c r="D117" s="90" t="s">
        <v>3510</v>
      </c>
      <c r="E117" s="90" t="s">
        <v>1953</v>
      </c>
      <c r="F117" s="90" t="s">
        <v>2365</v>
      </c>
      <c r="G117" s="90" t="s">
        <v>2221</v>
      </c>
      <c r="H117" s="90" t="s">
        <v>267</v>
      </c>
      <c r="I117" s="90" t="s">
        <v>1944</v>
      </c>
      <c r="J117" s="90" t="s">
        <v>1620</v>
      </c>
      <c r="K117" s="90" t="s">
        <v>2222</v>
      </c>
      <c r="L117" s="90" t="s">
        <v>2003</v>
      </c>
      <c r="M117" s="87" t="s">
        <v>2003</v>
      </c>
      <c r="N117" s="87" t="s">
        <v>1999</v>
      </c>
      <c r="O117" s="88">
        <v>41442</v>
      </c>
      <c r="P117" s="89">
        <v>13.2</v>
      </c>
      <c r="Q117" s="90" t="s">
        <v>3084</v>
      </c>
      <c r="R117" s="90" t="s">
        <v>3256</v>
      </c>
      <c r="S117" s="90" t="s">
        <v>2319</v>
      </c>
      <c r="T117" s="90" t="s">
        <v>2305</v>
      </c>
      <c r="U117" s="90" t="s">
        <v>1640</v>
      </c>
      <c r="V117" s="88">
        <v>41442</v>
      </c>
      <c r="W117" s="88">
        <v>41442</v>
      </c>
      <c r="X117" s="90" t="s">
        <v>43</v>
      </c>
      <c r="Y117" s="90" t="s">
        <v>257</v>
      </c>
      <c r="Z117" s="90" t="s">
        <v>36</v>
      </c>
      <c r="AA117" s="91"/>
      <c r="AB117" s="91"/>
      <c r="AC117" s="90" t="s">
        <v>2051</v>
      </c>
      <c r="AD117" s="90" t="s">
        <v>267</v>
      </c>
      <c r="AE117" s="90" t="s">
        <v>1636</v>
      </c>
      <c r="AF117" s="90" t="s">
        <v>2004</v>
      </c>
      <c r="AG117" s="90" t="s">
        <v>2793</v>
      </c>
      <c r="AH117" s="90" t="s">
        <v>2320</v>
      </c>
      <c r="AI117" s="90" t="s">
        <v>2320</v>
      </c>
      <c r="AJ117" s="90" t="s">
        <v>2051</v>
      </c>
      <c r="AK117" s="90" t="s">
        <v>36</v>
      </c>
      <c r="AL117" s="90" t="s">
        <v>1635</v>
      </c>
      <c r="AM117" s="90" t="s">
        <v>2307</v>
      </c>
      <c r="AN117" s="90" t="s">
        <v>2054</v>
      </c>
      <c r="AO117" s="87" t="s">
        <v>1949</v>
      </c>
      <c r="AP117" s="87" t="s">
        <v>1950</v>
      </c>
      <c r="AQ117" s="90" t="s">
        <v>2366</v>
      </c>
      <c r="AR117" s="91"/>
      <c r="AS117" s="91"/>
      <c r="AT117" s="91"/>
      <c r="AU117" s="87" t="s">
        <v>1972</v>
      </c>
      <c r="AV117" s="91"/>
      <c r="AW117" s="91"/>
      <c r="AX117" s="91"/>
      <c r="AY117" s="91"/>
      <c r="AZ117" t="str">
        <f t="shared" si="6"/>
        <v>205383</v>
      </c>
      <c r="BA117" t="str">
        <f t="shared" si="7"/>
        <v>0077</v>
      </c>
      <c r="BB117" t="str">
        <f t="shared" si="11"/>
        <v>0000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>IFERROR(VLOOKUP(X117,'Status Map'!A:B,2,FALSE),"Status Code Not Mapped")</f>
        <v>Y</v>
      </c>
      <c r="BL117" t="str">
        <f>IFERROR(VLOOKUP(D117,'Invoice Exception Map'!A:C,3,FALSE),"N")</f>
        <v>N</v>
      </c>
      <c r="BM117">
        <f t="shared" si="8"/>
        <v>11</v>
      </c>
      <c r="BN117" t="str">
        <f t="shared" si="9"/>
        <v>AUGUSTSSON</v>
      </c>
      <c r="BO117" t="str">
        <f t="shared" si="10"/>
        <v>DON JONNY</v>
      </c>
    </row>
    <row r="118" spans="1:67" ht="16" thickBot="1" x14ac:dyDescent="0.25">
      <c r="A118" s="90" t="s">
        <v>2298</v>
      </c>
      <c r="B118" s="90" t="s">
        <v>2299</v>
      </c>
      <c r="C118" s="90" t="s">
        <v>2300</v>
      </c>
      <c r="D118" s="90" t="s">
        <v>3511</v>
      </c>
      <c r="E118" s="90" t="s">
        <v>1953</v>
      </c>
      <c r="F118" s="90" t="s">
        <v>2367</v>
      </c>
      <c r="G118" s="90" t="s">
        <v>2318</v>
      </c>
      <c r="H118" s="90" t="s">
        <v>267</v>
      </c>
      <c r="I118" s="90" t="s">
        <v>1944</v>
      </c>
      <c r="J118" s="90" t="s">
        <v>1620</v>
      </c>
      <c r="K118" s="90" t="s">
        <v>247</v>
      </c>
      <c r="L118" s="90" t="s">
        <v>2003</v>
      </c>
      <c r="M118" s="87" t="s">
        <v>2003</v>
      </c>
      <c r="N118" s="87" t="s">
        <v>1999</v>
      </c>
      <c r="O118" s="88">
        <v>42506</v>
      </c>
      <c r="P118" s="89">
        <v>10.3</v>
      </c>
      <c r="Q118" s="90" t="s">
        <v>3089</v>
      </c>
      <c r="R118" s="90" t="s">
        <v>3256</v>
      </c>
      <c r="S118" s="90" t="s">
        <v>2319</v>
      </c>
      <c r="T118" s="90" t="s">
        <v>2305</v>
      </c>
      <c r="U118" s="90" t="s">
        <v>1640</v>
      </c>
      <c r="V118" s="88">
        <v>42506</v>
      </c>
      <c r="W118" s="88">
        <v>42506</v>
      </c>
      <c r="X118" s="90" t="s">
        <v>43</v>
      </c>
      <c r="Y118" s="90" t="s">
        <v>257</v>
      </c>
      <c r="Z118" s="90" t="s">
        <v>36</v>
      </c>
      <c r="AA118" s="91"/>
      <c r="AB118" s="91"/>
      <c r="AC118" s="90" t="s">
        <v>2051</v>
      </c>
      <c r="AD118" s="90" t="s">
        <v>267</v>
      </c>
      <c r="AE118" s="90" t="s">
        <v>1636</v>
      </c>
      <c r="AF118" s="90" t="s">
        <v>2004</v>
      </c>
      <c r="AG118" s="90" t="s">
        <v>2793</v>
      </c>
      <c r="AH118" s="90" t="s">
        <v>2320</v>
      </c>
      <c r="AI118" s="90" t="s">
        <v>2320</v>
      </c>
      <c r="AJ118" s="90" t="s">
        <v>2051</v>
      </c>
      <c r="AK118" s="90" t="s">
        <v>36</v>
      </c>
      <c r="AL118" s="90" t="s">
        <v>1635</v>
      </c>
      <c r="AM118" s="90" t="s">
        <v>2307</v>
      </c>
      <c r="AN118" s="90" t="s">
        <v>2054</v>
      </c>
      <c r="AO118" s="87" t="s">
        <v>1949</v>
      </c>
      <c r="AP118" s="87" t="s">
        <v>1950</v>
      </c>
      <c r="AQ118" s="90" t="s">
        <v>2368</v>
      </c>
      <c r="AR118" s="91"/>
      <c r="AS118" s="91"/>
      <c r="AT118" s="91"/>
      <c r="AU118" s="87" t="s">
        <v>1972</v>
      </c>
      <c r="AV118" s="91"/>
      <c r="AW118" s="91"/>
      <c r="AX118" s="91"/>
      <c r="AY118" s="91"/>
      <c r="AZ118" t="str">
        <f t="shared" si="6"/>
        <v>205383</v>
      </c>
      <c r="BA118" t="str">
        <f t="shared" si="7"/>
        <v>0077</v>
      </c>
      <c r="BB118" t="str">
        <f t="shared" si="11"/>
        <v>0000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>IFERROR(VLOOKUP(X118,'Status Map'!A:B,2,FALSE),"Status Code Not Mapped")</f>
        <v>Y</v>
      </c>
      <c r="BL118" t="str">
        <f>IFERROR(VLOOKUP(D118,'Invoice Exception Map'!A:C,3,FALSE),"N")</f>
        <v>N</v>
      </c>
      <c r="BM118">
        <f t="shared" si="8"/>
        <v>11</v>
      </c>
      <c r="BN118" t="str">
        <f t="shared" si="9"/>
        <v>AUGUSTSSON</v>
      </c>
      <c r="BO118" t="str">
        <f t="shared" si="10"/>
        <v>HANNA</v>
      </c>
    </row>
    <row r="119" spans="1:67" ht="16" thickBot="1" x14ac:dyDescent="0.25">
      <c r="A119" s="90" t="s">
        <v>2298</v>
      </c>
      <c r="B119" s="90" t="s">
        <v>2299</v>
      </c>
      <c r="C119" s="90" t="s">
        <v>2300</v>
      </c>
      <c r="D119" s="90" t="s">
        <v>3512</v>
      </c>
      <c r="E119" s="90" t="s">
        <v>1953</v>
      </c>
      <c r="F119" s="90" t="s">
        <v>2369</v>
      </c>
      <c r="G119" s="90" t="s">
        <v>2302</v>
      </c>
      <c r="H119" s="90" t="s">
        <v>267</v>
      </c>
      <c r="I119" s="90" t="s">
        <v>1944</v>
      </c>
      <c r="J119" s="90" t="s">
        <v>1620</v>
      </c>
      <c r="K119" s="90" t="s">
        <v>2303</v>
      </c>
      <c r="L119" s="90" t="s">
        <v>2227</v>
      </c>
      <c r="M119" s="87" t="s">
        <v>2072</v>
      </c>
      <c r="N119" s="87" t="s">
        <v>1999</v>
      </c>
      <c r="O119" s="88">
        <v>40651</v>
      </c>
      <c r="P119" s="89">
        <v>15.4</v>
      </c>
      <c r="Q119" s="90" t="s">
        <v>3086</v>
      </c>
      <c r="R119" s="90" t="s">
        <v>3254</v>
      </c>
      <c r="S119" s="90" t="s">
        <v>2312</v>
      </c>
      <c r="T119" s="90" t="s">
        <v>2305</v>
      </c>
      <c r="U119" s="90" t="s">
        <v>1640</v>
      </c>
      <c r="V119" s="88">
        <v>40651</v>
      </c>
      <c r="W119" s="88">
        <v>40651</v>
      </c>
      <c r="X119" s="90" t="s">
        <v>43</v>
      </c>
      <c r="Y119" s="90" t="s">
        <v>257</v>
      </c>
      <c r="Z119" s="90" t="s">
        <v>36</v>
      </c>
      <c r="AA119" s="91"/>
      <c r="AB119" s="91"/>
      <c r="AC119" s="90" t="s">
        <v>2051</v>
      </c>
      <c r="AD119" s="90" t="s">
        <v>267</v>
      </c>
      <c r="AE119" s="90" t="s">
        <v>1636</v>
      </c>
      <c r="AF119" s="90" t="s">
        <v>2004</v>
      </c>
      <c r="AG119" s="90" t="s">
        <v>3265</v>
      </c>
      <c r="AH119" s="90" t="s">
        <v>2306</v>
      </c>
      <c r="AI119" s="90" t="s">
        <v>2306</v>
      </c>
      <c r="AJ119" s="90" t="s">
        <v>2051</v>
      </c>
      <c r="AK119" s="90" t="s">
        <v>36</v>
      </c>
      <c r="AL119" s="90" t="s">
        <v>1635</v>
      </c>
      <c r="AM119" s="90" t="s">
        <v>2307</v>
      </c>
      <c r="AN119" s="90" t="s">
        <v>2054</v>
      </c>
      <c r="AO119" s="87" t="s">
        <v>1949</v>
      </c>
      <c r="AP119" s="87" t="s">
        <v>1950</v>
      </c>
      <c r="AQ119" s="90" t="s">
        <v>2370</v>
      </c>
      <c r="AR119" s="91"/>
      <c r="AS119" s="91"/>
      <c r="AT119" s="91"/>
      <c r="AU119" s="87" t="s">
        <v>1972</v>
      </c>
      <c r="AV119" s="91"/>
      <c r="AW119" s="91"/>
      <c r="AX119" s="91"/>
      <c r="AY119" s="91"/>
      <c r="AZ119" t="str">
        <f t="shared" si="6"/>
        <v>205377</v>
      </c>
      <c r="BA119" t="str">
        <f t="shared" si="7"/>
        <v>0077</v>
      </c>
      <c r="BB119" t="str">
        <f t="shared" si="11"/>
        <v>0000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>IFERROR(VLOOKUP(X119,'Status Map'!A:B,2,FALSE),"Status Code Not Mapped")</f>
        <v>Y</v>
      </c>
      <c r="BL119" t="str">
        <f>IFERROR(VLOOKUP(D119,'Invoice Exception Map'!A:C,3,FALSE),"N")</f>
        <v>N</v>
      </c>
      <c r="BM119">
        <f t="shared" si="8"/>
        <v>11</v>
      </c>
      <c r="BN119" t="str">
        <f t="shared" si="9"/>
        <v>AUGUSTSSON</v>
      </c>
      <c r="BO119" t="str">
        <f t="shared" si="10"/>
        <v>LUDVIG</v>
      </c>
    </row>
    <row r="120" spans="1:67" ht="16" thickBot="1" x14ac:dyDescent="0.25">
      <c r="A120" s="90" t="s">
        <v>2298</v>
      </c>
      <c r="B120" s="90" t="s">
        <v>2299</v>
      </c>
      <c r="C120" s="90" t="s">
        <v>2300</v>
      </c>
      <c r="D120" s="90" t="s">
        <v>3513</v>
      </c>
      <c r="E120" s="90" t="s">
        <v>1953</v>
      </c>
      <c r="F120" s="90" t="s">
        <v>2371</v>
      </c>
      <c r="G120" s="90" t="s">
        <v>2310</v>
      </c>
      <c r="H120" s="90" t="s">
        <v>267</v>
      </c>
      <c r="I120" s="90" t="s">
        <v>1944</v>
      </c>
      <c r="J120" s="90" t="s">
        <v>1620</v>
      </c>
      <c r="K120" s="90" t="s">
        <v>2012</v>
      </c>
      <c r="L120" s="90" t="s">
        <v>2311</v>
      </c>
      <c r="M120" s="87" t="s">
        <v>2007</v>
      </c>
      <c r="N120" s="87" t="s">
        <v>2013</v>
      </c>
      <c r="O120" s="88">
        <v>43598</v>
      </c>
      <c r="P120" s="89">
        <v>7.3</v>
      </c>
      <c r="Q120" s="90" t="s">
        <v>3086</v>
      </c>
      <c r="R120" s="90" t="s">
        <v>3255</v>
      </c>
      <c r="S120" s="90" t="s">
        <v>2315</v>
      </c>
      <c r="T120" s="90" t="s">
        <v>2305</v>
      </c>
      <c r="U120" s="90" t="s">
        <v>1640</v>
      </c>
      <c r="V120" s="88">
        <v>43598</v>
      </c>
      <c r="W120" s="88">
        <v>43598</v>
      </c>
      <c r="X120" s="90" t="s">
        <v>43</v>
      </c>
      <c r="Y120" s="90" t="s">
        <v>257</v>
      </c>
      <c r="Z120" s="90" t="s">
        <v>36</v>
      </c>
      <c r="AA120" s="91"/>
      <c r="AB120" s="91"/>
      <c r="AC120" s="90" t="s">
        <v>2051</v>
      </c>
      <c r="AD120" s="90" t="s">
        <v>267</v>
      </c>
      <c r="AE120" s="90" t="s">
        <v>1636</v>
      </c>
      <c r="AF120" s="90" t="s">
        <v>2004</v>
      </c>
      <c r="AG120" s="90" t="s">
        <v>2793</v>
      </c>
      <c r="AH120" s="90" t="s">
        <v>2306</v>
      </c>
      <c r="AI120" s="90" t="s">
        <v>2306</v>
      </c>
      <c r="AJ120" s="90" t="s">
        <v>2051</v>
      </c>
      <c r="AK120" s="90" t="s">
        <v>36</v>
      </c>
      <c r="AL120" s="90" t="s">
        <v>1635</v>
      </c>
      <c r="AM120" s="90" t="s">
        <v>2307</v>
      </c>
      <c r="AN120" s="90" t="s">
        <v>2054</v>
      </c>
      <c r="AO120" s="87" t="s">
        <v>1949</v>
      </c>
      <c r="AP120" s="87" t="s">
        <v>1950</v>
      </c>
      <c r="AQ120" s="90" t="s">
        <v>2372</v>
      </c>
      <c r="AR120" s="91"/>
      <c r="AS120" s="91"/>
      <c r="AT120" s="91"/>
      <c r="AU120" s="87" t="s">
        <v>1972</v>
      </c>
      <c r="AV120" s="91"/>
      <c r="AW120" s="91"/>
      <c r="AX120" s="91"/>
      <c r="AY120" s="91"/>
      <c r="AZ120" t="str">
        <f t="shared" si="6"/>
        <v>205315</v>
      </c>
      <c r="BA120" t="str">
        <f t="shared" si="7"/>
        <v>0077</v>
      </c>
      <c r="BB120" t="str">
        <f t="shared" si="11"/>
        <v>0000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>IFERROR(VLOOKUP(X120,'Status Map'!A:B,2,FALSE),"Status Code Not Mapped")</f>
        <v>Y</v>
      </c>
      <c r="BL120" t="str">
        <f>IFERROR(VLOOKUP(D120,'Invoice Exception Map'!A:C,3,FALSE),"N")</f>
        <v>N</v>
      </c>
      <c r="BM120">
        <f t="shared" si="8"/>
        <v>5</v>
      </c>
      <c r="BN120" t="str">
        <f t="shared" si="9"/>
        <v>AWAD</v>
      </c>
      <c r="BO120" t="str">
        <f t="shared" si="10"/>
        <v>SALEH</v>
      </c>
    </row>
    <row r="121" spans="1:67" ht="16" thickBot="1" x14ac:dyDescent="0.25">
      <c r="A121" s="90" t="s">
        <v>2298</v>
      </c>
      <c r="B121" s="90" t="s">
        <v>2299</v>
      </c>
      <c r="C121" s="90" t="s">
        <v>2300</v>
      </c>
      <c r="D121" s="90" t="s">
        <v>3514</v>
      </c>
      <c r="E121" s="90" t="s">
        <v>1953</v>
      </c>
      <c r="F121" s="90" t="s">
        <v>2373</v>
      </c>
      <c r="G121" s="90" t="s">
        <v>2310</v>
      </c>
      <c r="H121" s="90" t="s">
        <v>267</v>
      </c>
      <c r="I121" s="90" t="s">
        <v>1944</v>
      </c>
      <c r="J121" s="90" t="s">
        <v>1620</v>
      </c>
      <c r="K121" s="90" t="s">
        <v>2012</v>
      </c>
      <c r="L121" s="90" t="s">
        <v>2311</v>
      </c>
      <c r="M121" s="87" t="s">
        <v>2007</v>
      </c>
      <c r="N121" s="87" t="s">
        <v>2013</v>
      </c>
      <c r="O121" s="88">
        <v>43633</v>
      </c>
      <c r="P121" s="89">
        <v>7.2</v>
      </c>
      <c r="Q121" s="90" t="s">
        <v>3086</v>
      </c>
      <c r="R121" s="90" t="s">
        <v>3255</v>
      </c>
      <c r="S121" s="90" t="s">
        <v>2315</v>
      </c>
      <c r="T121" s="90" t="s">
        <v>2305</v>
      </c>
      <c r="U121" s="90" t="s">
        <v>1640</v>
      </c>
      <c r="V121" s="88">
        <v>43633</v>
      </c>
      <c r="W121" s="88">
        <v>43633</v>
      </c>
      <c r="X121" s="90" t="s">
        <v>43</v>
      </c>
      <c r="Y121" s="90" t="s">
        <v>257</v>
      </c>
      <c r="Z121" s="90" t="s">
        <v>36</v>
      </c>
      <c r="AA121" s="91"/>
      <c r="AB121" s="91"/>
      <c r="AC121" s="90" t="s">
        <v>2051</v>
      </c>
      <c r="AD121" s="90" t="s">
        <v>267</v>
      </c>
      <c r="AE121" s="90" t="s">
        <v>1636</v>
      </c>
      <c r="AF121" s="90" t="s">
        <v>2004</v>
      </c>
      <c r="AG121" s="90" t="s">
        <v>3263</v>
      </c>
      <c r="AH121" s="90" t="s">
        <v>2306</v>
      </c>
      <c r="AI121" s="90" t="s">
        <v>2306</v>
      </c>
      <c r="AJ121" s="90" t="s">
        <v>2051</v>
      </c>
      <c r="AK121" s="90" t="s">
        <v>36</v>
      </c>
      <c r="AL121" s="90" t="s">
        <v>1635</v>
      </c>
      <c r="AM121" s="90" t="s">
        <v>2307</v>
      </c>
      <c r="AN121" s="90" t="s">
        <v>2054</v>
      </c>
      <c r="AO121" s="87" t="s">
        <v>1949</v>
      </c>
      <c r="AP121" s="87" t="s">
        <v>1950</v>
      </c>
      <c r="AQ121" s="90" t="s">
        <v>2374</v>
      </c>
      <c r="AR121" s="91"/>
      <c r="AS121" s="91"/>
      <c r="AT121" s="91"/>
      <c r="AU121" s="87" t="s">
        <v>1972</v>
      </c>
      <c r="AV121" s="91"/>
      <c r="AW121" s="91"/>
      <c r="AX121" s="91"/>
      <c r="AY121" s="91"/>
      <c r="AZ121" t="str">
        <f t="shared" si="6"/>
        <v>205315</v>
      </c>
      <c r="BA121" t="str">
        <f t="shared" si="7"/>
        <v>0077</v>
      </c>
      <c r="BB121" t="str">
        <f t="shared" si="11"/>
        <v>0000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>IFERROR(VLOOKUP(X121,'Status Map'!A:B,2,FALSE),"Status Code Not Mapped")</f>
        <v>Y</v>
      </c>
      <c r="BL121" t="str">
        <f>IFERROR(VLOOKUP(D121,'Invoice Exception Map'!A:C,3,FALSE),"N")</f>
        <v>N</v>
      </c>
      <c r="BM121">
        <f t="shared" si="8"/>
        <v>9</v>
      </c>
      <c r="BN121" t="str">
        <f t="shared" si="9"/>
        <v>AXELSSON</v>
      </c>
      <c r="BO121" t="str">
        <f t="shared" si="10"/>
        <v>ELIN</v>
      </c>
    </row>
    <row r="122" spans="1:67" ht="16" thickBot="1" x14ac:dyDescent="0.25">
      <c r="A122" s="90" t="s">
        <v>2298</v>
      </c>
      <c r="B122" s="90" t="s">
        <v>2299</v>
      </c>
      <c r="C122" s="90" t="s">
        <v>2300</v>
      </c>
      <c r="D122" s="90" t="s">
        <v>3515</v>
      </c>
      <c r="E122" s="90" t="s">
        <v>1953</v>
      </c>
      <c r="F122" s="90" t="s">
        <v>2375</v>
      </c>
      <c r="G122" s="90" t="s">
        <v>2310</v>
      </c>
      <c r="H122" s="90" t="s">
        <v>267</v>
      </c>
      <c r="I122" s="90" t="s">
        <v>1944</v>
      </c>
      <c r="J122" s="90" t="s">
        <v>1620</v>
      </c>
      <c r="K122" s="90" t="s">
        <v>2012</v>
      </c>
      <c r="L122" s="90" t="s">
        <v>2311</v>
      </c>
      <c r="M122" s="87" t="s">
        <v>2007</v>
      </c>
      <c r="N122" s="87" t="s">
        <v>2013</v>
      </c>
      <c r="O122" s="88">
        <v>40791</v>
      </c>
      <c r="P122" s="89">
        <v>15</v>
      </c>
      <c r="Q122" s="90" t="s">
        <v>3086</v>
      </c>
      <c r="R122" s="90" t="s">
        <v>3253</v>
      </c>
      <c r="S122" s="90" t="s">
        <v>2304</v>
      </c>
      <c r="T122" s="90" t="s">
        <v>2305</v>
      </c>
      <c r="U122" s="90" t="s">
        <v>1640</v>
      </c>
      <c r="V122" s="88">
        <v>40791</v>
      </c>
      <c r="W122" s="88">
        <v>40791</v>
      </c>
      <c r="X122" s="90" t="s">
        <v>43</v>
      </c>
      <c r="Y122" s="90" t="s">
        <v>257</v>
      </c>
      <c r="Z122" s="90" t="s">
        <v>36</v>
      </c>
      <c r="AA122" s="91"/>
      <c r="AB122" s="91"/>
      <c r="AC122" s="90" t="s">
        <v>2051</v>
      </c>
      <c r="AD122" s="90" t="s">
        <v>267</v>
      </c>
      <c r="AE122" s="90" t="s">
        <v>1636</v>
      </c>
      <c r="AF122" s="90" t="s">
        <v>2004</v>
      </c>
      <c r="AG122" s="90" t="s">
        <v>2793</v>
      </c>
      <c r="AH122" s="90" t="s">
        <v>2306</v>
      </c>
      <c r="AI122" s="90" t="s">
        <v>2306</v>
      </c>
      <c r="AJ122" s="90" t="s">
        <v>2051</v>
      </c>
      <c r="AK122" s="90" t="s">
        <v>36</v>
      </c>
      <c r="AL122" s="90" t="s">
        <v>1635</v>
      </c>
      <c r="AM122" s="90" t="s">
        <v>2307</v>
      </c>
      <c r="AN122" s="90" t="s">
        <v>2054</v>
      </c>
      <c r="AO122" s="87" t="s">
        <v>1949</v>
      </c>
      <c r="AP122" s="87" t="s">
        <v>1950</v>
      </c>
      <c r="AQ122" s="90" t="s">
        <v>2376</v>
      </c>
      <c r="AR122" s="91"/>
      <c r="AS122" s="91"/>
      <c r="AT122" s="91"/>
      <c r="AU122" s="87" t="s">
        <v>1972</v>
      </c>
      <c r="AV122" s="91"/>
      <c r="AW122" s="91"/>
      <c r="AX122" s="91"/>
      <c r="AY122" s="91"/>
      <c r="AZ122" t="str">
        <f t="shared" si="6"/>
        <v>212110</v>
      </c>
      <c r="BA122" t="str">
        <f t="shared" si="7"/>
        <v>0077</v>
      </c>
      <c r="BB122" t="str">
        <f t="shared" si="11"/>
        <v>0000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>IFERROR(VLOOKUP(X122,'Status Map'!A:B,2,FALSE),"Status Code Not Mapped")</f>
        <v>Y</v>
      </c>
      <c r="BL122" t="str">
        <f>IFERROR(VLOOKUP(D122,'Invoice Exception Map'!A:C,3,FALSE),"N")</f>
        <v>N</v>
      </c>
      <c r="BM122">
        <f t="shared" si="8"/>
        <v>9</v>
      </c>
      <c r="BN122" t="str">
        <f t="shared" si="9"/>
        <v>BAJROVIC</v>
      </c>
      <c r="BO122" t="str">
        <f t="shared" si="10"/>
        <v>SANADA</v>
      </c>
    </row>
    <row r="123" spans="1:67" ht="16" thickBot="1" x14ac:dyDescent="0.25">
      <c r="A123" s="90" t="s">
        <v>2298</v>
      </c>
      <c r="B123" s="90" t="s">
        <v>2299</v>
      </c>
      <c r="C123" s="90" t="s">
        <v>2300</v>
      </c>
      <c r="D123" s="90" t="s">
        <v>3516</v>
      </c>
      <c r="E123" s="90" t="s">
        <v>1953</v>
      </c>
      <c r="F123" s="90" t="s">
        <v>2377</v>
      </c>
      <c r="G123" s="90" t="s">
        <v>2302</v>
      </c>
      <c r="H123" s="90" t="s">
        <v>267</v>
      </c>
      <c r="I123" s="90" t="s">
        <v>1944</v>
      </c>
      <c r="J123" s="90" t="s">
        <v>1620</v>
      </c>
      <c r="K123" s="90" t="s">
        <v>2303</v>
      </c>
      <c r="L123" s="90" t="s">
        <v>2227</v>
      </c>
      <c r="M123" s="87" t="s">
        <v>2072</v>
      </c>
      <c r="N123" s="87" t="s">
        <v>1999</v>
      </c>
      <c r="O123" s="88">
        <v>34988</v>
      </c>
      <c r="P123" s="89">
        <v>30.9</v>
      </c>
      <c r="Q123" s="90" t="s">
        <v>3086</v>
      </c>
      <c r="R123" s="90" t="s">
        <v>3253</v>
      </c>
      <c r="S123" s="90" t="s">
        <v>2304</v>
      </c>
      <c r="T123" s="90" t="s">
        <v>2305</v>
      </c>
      <c r="U123" s="90" t="s">
        <v>1640</v>
      </c>
      <c r="V123" s="88">
        <v>34988</v>
      </c>
      <c r="W123" s="88">
        <v>34988</v>
      </c>
      <c r="X123" s="90" t="s">
        <v>43</v>
      </c>
      <c r="Y123" s="90" t="s">
        <v>257</v>
      </c>
      <c r="Z123" s="90" t="s">
        <v>36</v>
      </c>
      <c r="AA123" s="91"/>
      <c r="AB123" s="91"/>
      <c r="AC123" s="90" t="s">
        <v>2051</v>
      </c>
      <c r="AD123" s="90" t="s">
        <v>267</v>
      </c>
      <c r="AE123" s="90" t="s">
        <v>1636</v>
      </c>
      <c r="AF123" s="90" t="s">
        <v>2004</v>
      </c>
      <c r="AG123" s="90" t="s">
        <v>3266</v>
      </c>
      <c r="AH123" s="90" t="s">
        <v>2306</v>
      </c>
      <c r="AI123" s="90" t="s">
        <v>2306</v>
      </c>
      <c r="AJ123" s="90" t="s">
        <v>2051</v>
      </c>
      <c r="AK123" s="90" t="s">
        <v>36</v>
      </c>
      <c r="AL123" s="90" t="s">
        <v>1635</v>
      </c>
      <c r="AM123" s="90" t="s">
        <v>2307</v>
      </c>
      <c r="AN123" s="90" t="s">
        <v>2054</v>
      </c>
      <c r="AO123" s="87" t="s">
        <v>1949</v>
      </c>
      <c r="AP123" s="87" t="s">
        <v>1950</v>
      </c>
      <c r="AQ123" s="90" t="s">
        <v>2378</v>
      </c>
      <c r="AR123" s="91"/>
      <c r="AS123" s="91"/>
      <c r="AT123" s="91"/>
      <c r="AU123" s="87" t="s">
        <v>1972</v>
      </c>
      <c r="AV123" s="91"/>
      <c r="AW123" s="91"/>
      <c r="AX123" s="91"/>
      <c r="AY123" s="91"/>
      <c r="AZ123" t="str">
        <f t="shared" si="6"/>
        <v>212110</v>
      </c>
      <c r="BA123" t="str">
        <f t="shared" si="7"/>
        <v>0077</v>
      </c>
      <c r="BB123" t="str">
        <f t="shared" si="11"/>
        <v>0000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>IFERROR(VLOOKUP(X123,'Status Map'!A:B,2,FALSE),"Status Code Not Mapped")</f>
        <v>Y</v>
      </c>
      <c r="BL123" t="str">
        <f>IFERROR(VLOOKUP(D123,'Invoice Exception Map'!A:C,3,FALSE),"N")</f>
        <v>N</v>
      </c>
      <c r="BM123">
        <f t="shared" si="8"/>
        <v>8</v>
      </c>
      <c r="BN123" t="str">
        <f t="shared" si="9"/>
        <v>BANOVIC</v>
      </c>
      <c r="BO123" t="str">
        <f t="shared" si="10"/>
        <v>ACO</v>
      </c>
    </row>
    <row r="124" spans="1:67" ht="16" thickBot="1" x14ac:dyDescent="0.25">
      <c r="A124" s="90" t="s">
        <v>2298</v>
      </c>
      <c r="B124" s="90" t="s">
        <v>2299</v>
      </c>
      <c r="C124" s="90" t="s">
        <v>2300</v>
      </c>
      <c r="D124" s="90" t="s">
        <v>3517</v>
      </c>
      <c r="E124" s="90" t="s">
        <v>1953</v>
      </c>
      <c r="F124" s="90" t="s">
        <v>2379</v>
      </c>
      <c r="G124" s="90" t="s">
        <v>2302</v>
      </c>
      <c r="H124" s="90" t="s">
        <v>267</v>
      </c>
      <c r="I124" s="90" t="s">
        <v>1944</v>
      </c>
      <c r="J124" s="90" t="s">
        <v>1620</v>
      </c>
      <c r="K124" s="90" t="s">
        <v>2303</v>
      </c>
      <c r="L124" s="90" t="s">
        <v>2227</v>
      </c>
      <c r="M124" s="87" t="s">
        <v>2072</v>
      </c>
      <c r="N124" s="87" t="s">
        <v>1999</v>
      </c>
      <c r="O124" s="88">
        <v>40693</v>
      </c>
      <c r="P124" s="89">
        <v>15.3</v>
      </c>
      <c r="Q124" s="90" t="s">
        <v>3086</v>
      </c>
      <c r="R124" s="90" t="s">
        <v>3256</v>
      </c>
      <c r="S124" s="90" t="s">
        <v>2319</v>
      </c>
      <c r="T124" s="90" t="s">
        <v>2305</v>
      </c>
      <c r="U124" s="90" t="s">
        <v>1640</v>
      </c>
      <c r="V124" s="88">
        <v>40693</v>
      </c>
      <c r="W124" s="88">
        <v>40693</v>
      </c>
      <c r="X124" s="90" t="s">
        <v>43</v>
      </c>
      <c r="Y124" s="90" t="s">
        <v>257</v>
      </c>
      <c r="Z124" s="90" t="s">
        <v>36</v>
      </c>
      <c r="AA124" s="91"/>
      <c r="AB124" s="91"/>
      <c r="AC124" s="90" t="s">
        <v>2051</v>
      </c>
      <c r="AD124" s="90" t="s">
        <v>267</v>
      </c>
      <c r="AE124" s="90" t="s">
        <v>1636</v>
      </c>
      <c r="AF124" s="90" t="s">
        <v>2004</v>
      </c>
      <c r="AG124" s="90" t="s">
        <v>2793</v>
      </c>
      <c r="AH124" s="90" t="s">
        <v>2320</v>
      </c>
      <c r="AI124" s="90" t="s">
        <v>2320</v>
      </c>
      <c r="AJ124" s="90" t="s">
        <v>2051</v>
      </c>
      <c r="AK124" s="90" t="s">
        <v>36</v>
      </c>
      <c r="AL124" s="90" t="s">
        <v>1635</v>
      </c>
      <c r="AM124" s="90" t="s">
        <v>2307</v>
      </c>
      <c r="AN124" s="90" t="s">
        <v>2054</v>
      </c>
      <c r="AO124" s="87" t="s">
        <v>1949</v>
      </c>
      <c r="AP124" s="87" t="s">
        <v>1950</v>
      </c>
      <c r="AQ124" s="90" t="s">
        <v>2380</v>
      </c>
      <c r="AR124" s="91"/>
      <c r="AS124" s="91"/>
      <c r="AT124" s="91"/>
      <c r="AU124" s="87" t="s">
        <v>1972</v>
      </c>
      <c r="AV124" s="91"/>
      <c r="AW124" s="91"/>
      <c r="AX124" s="91"/>
      <c r="AY124" s="91"/>
      <c r="AZ124" t="str">
        <f t="shared" ref="AZ124:AZ187" si="12">R124</f>
        <v>205383</v>
      </c>
      <c r="BA124" t="str">
        <f t="shared" ref="BA124:BA187" si="13">U124</f>
        <v>0077</v>
      </c>
      <c r="BB124" t="str">
        <f t="shared" si="11"/>
        <v>0000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>IFERROR(VLOOKUP(X124,'Status Map'!A:B,2,FALSE),"Status Code Not Mapped")</f>
        <v>Y</v>
      </c>
      <c r="BL124" t="str">
        <f>IFERROR(VLOOKUP(D124,'Invoice Exception Map'!A:C,3,FALSE),"N")</f>
        <v>N</v>
      </c>
      <c r="BM124">
        <f t="shared" ref="BM124:BM187" si="14">FIND(",",F124,1)</f>
        <v>11</v>
      </c>
      <c r="BN124" t="str">
        <f t="shared" ref="BN124:BN187" si="15">LEFT(F124,BM124-1)</f>
        <v>BERGGÅRDEN</v>
      </c>
      <c r="BO124" t="str">
        <f t="shared" ref="BO124:BO187" si="16">MID(F124,BM124+2,45)</f>
        <v>JONAS</v>
      </c>
    </row>
    <row r="125" spans="1:67" ht="16" thickBot="1" x14ac:dyDescent="0.25">
      <c r="A125" s="90" t="s">
        <v>2298</v>
      </c>
      <c r="B125" s="90" t="s">
        <v>2299</v>
      </c>
      <c r="C125" s="90" t="s">
        <v>2300</v>
      </c>
      <c r="D125" s="90" t="s">
        <v>3518</v>
      </c>
      <c r="E125" s="90" t="s">
        <v>1953</v>
      </c>
      <c r="F125" s="90" t="s">
        <v>2381</v>
      </c>
      <c r="G125" s="90" t="s">
        <v>2382</v>
      </c>
      <c r="H125" s="90" t="s">
        <v>267</v>
      </c>
      <c r="I125" s="90" t="s">
        <v>1944</v>
      </c>
      <c r="J125" s="90" t="s">
        <v>1620</v>
      </c>
      <c r="K125" s="90" t="s">
        <v>2383</v>
      </c>
      <c r="L125" s="90" t="s">
        <v>2338</v>
      </c>
      <c r="M125" s="87" t="s">
        <v>2338</v>
      </c>
      <c r="N125" s="87" t="s">
        <v>2005</v>
      </c>
      <c r="O125" s="88">
        <v>36404</v>
      </c>
      <c r="P125" s="89">
        <v>27</v>
      </c>
      <c r="Q125" s="90" t="s">
        <v>3089</v>
      </c>
      <c r="R125" s="90" t="s">
        <v>3260</v>
      </c>
      <c r="S125" s="90" t="s">
        <v>2339</v>
      </c>
      <c r="T125" s="90" t="s">
        <v>2305</v>
      </c>
      <c r="U125" s="90" t="s">
        <v>1640</v>
      </c>
      <c r="V125" s="88">
        <v>36404</v>
      </c>
      <c r="W125" s="88">
        <v>36404</v>
      </c>
      <c r="X125" s="90" t="s">
        <v>43</v>
      </c>
      <c r="Y125" s="90" t="s">
        <v>257</v>
      </c>
      <c r="Z125" s="90" t="s">
        <v>36</v>
      </c>
      <c r="AA125" s="91"/>
      <c r="AB125" s="91"/>
      <c r="AC125" s="90" t="s">
        <v>2051</v>
      </c>
      <c r="AD125" s="90" t="s">
        <v>267</v>
      </c>
      <c r="AE125" s="90" t="s">
        <v>1636</v>
      </c>
      <c r="AF125" s="90" t="s">
        <v>2004</v>
      </c>
      <c r="AG125" s="90" t="s">
        <v>2793</v>
      </c>
      <c r="AH125" s="90" t="s">
        <v>2384</v>
      </c>
      <c r="AI125" s="90" t="s">
        <v>2384</v>
      </c>
      <c r="AJ125" s="90" t="s">
        <v>2051</v>
      </c>
      <c r="AK125" s="90" t="s">
        <v>36</v>
      </c>
      <c r="AL125" s="90" t="s">
        <v>1635</v>
      </c>
      <c r="AM125" s="90" t="s">
        <v>2307</v>
      </c>
      <c r="AN125" s="90" t="s">
        <v>2054</v>
      </c>
      <c r="AO125" s="87" t="s">
        <v>1949</v>
      </c>
      <c r="AP125" s="87" t="s">
        <v>1950</v>
      </c>
      <c r="AQ125" s="90" t="s">
        <v>2385</v>
      </c>
      <c r="AR125" s="91"/>
      <c r="AS125" s="91"/>
      <c r="AT125" s="91"/>
      <c r="AU125" s="87" t="s">
        <v>1972</v>
      </c>
      <c r="AV125" s="91"/>
      <c r="AW125" s="91"/>
      <c r="AX125" s="91"/>
      <c r="AY125" s="91"/>
      <c r="AZ125" t="str">
        <f t="shared" si="12"/>
        <v>205380</v>
      </c>
      <c r="BA125" t="str">
        <f t="shared" si="13"/>
        <v>0077</v>
      </c>
      <c r="BB125" t="str">
        <f t="shared" si="11"/>
        <v>0000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>IFERROR(VLOOKUP(X125,'Status Map'!A:B,2,FALSE),"Status Code Not Mapped")</f>
        <v>Y</v>
      </c>
      <c r="BL125" t="str">
        <f>IFERROR(VLOOKUP(D125,'Invoice Exception Map'!A:C,3,FALSE),"N")</f>
        <v>N</v>
      </c>
      <c r="BM125">
        <f t="shared" si="14"/>
        <v>8</v>
      </c>
      <c r="BN125" t="str">
        <f t="shared" si="15"/>
        <v>BERGMAN</v>
      </c>
      <c r="BO125" t="str">
        <f t="shared" si="16"/>
        <v>MARKUS</v>
      </c>
    </row>
    <row r="126" spans="1:67" ht="16" thickBot="1" x14ac:dyDescent="0.25">
      <c r="A126" s="90" t="s">
        <v>2298</v>
      </c>
      <c r="B126" s="90" t="s">
        <v>2299</v>
      </c>
      <c r="C126" s="90" t="s">
        <v>2300</v>
      </c>
      <c r="D126" s="90" t="s">
        <v>3519</v>
      </c>
      <c r="E126" s="90" t="s">
        <v>1953</v>
      </c>
      <c r="F126" s="90" t="s">
        <v>2386</v>
      </c>
      <c r="G126" s="90" t="s">
        <v>2302</v>
      </c>
      <c r="H126" s="90" t="s">
        <v>267</v>
      </c>
      <c r="I126" s="90" t="s">
        <v>1944</v>
      </c>
      <c r="J126" s="90" t="s">
        <v>1620</v>
      </c>
      <c r="K126" s="90" t="s">
        <v>2303</v>
      </c>
      <c r="L126" s="90" t="s">
        <v>2227</v>
      </c>
      <c r="M126" s="87" t="s">
        <v>2072</v>
      </c>
      <c r="N126" s="87" t="s">
        <v>1999</v>
      </c>
      <c r="O126" s="88">
        <v>40775</v>
      </c>
      <c r="P126" s="89">
        <v>15</v>
      </c>
      <c r="Q126" s="90" t="s">
        <v>3086</v>
      </c>
      <c r="R126" s="90" t="s">
        <v>3254</v>
      </c>
      <c r="S126" s="90" t="s">
        <v>2312</v>
      </c>
      <c r="T126" s="90" t="s">
        <v>2305</v>
      </c>
      <c r="U126" s="90" t="s">
        <v>1640</v>
      </c>
      <c r="V126" s="88">
        <v>40775</v>
      </c>
      <c r="W126" s="88">
        <v>40775</v>
      </c>
      <c r="X126" s="90" t="s">
        <v>43</v>
      </c>
      <c r="Y126" s="90" t="s">
        <v>257</v>
      </c>
      <c r="Z126" s="90" t="s">
        <v>36</v>
      </c>
      <c r="AA126" s="91"/>
      <c r="AB126" s="91"/>
      <c r="AC126" s="90" t="s">
        <v>2051</v>
      </c>
      <c r="AD126" s="90" t="s">
        <v>267</v>
      </c>
      <c r="AE126" s="90" t="s">
        <v>1636</v>
      </c>
      <c r="AF126" s="90" t="s">
        <v>2004</v>
      </c>
      <c r="AG126" s="90" t="s">
        <v>2793</v>
      </c>
      <c r="AH126" s="90" t="s">
        <v>2306</v>
      </c>
      <c r="AI126" s="90" t="s">
        <v>2306</v>
      </c>
      <c r="AJ126" s="90" t="s">
        <v>2051</v>
      </c>
      <c r="AK126" s="90" t="s">
        <v>36</v>
      </c>
      <c r="AL126" s="90" t="s">
        <v>1635</v>
      </c>
      <c r="AM126" s="90" t="s">
        <v>2307</v>
      </c>
      <c r="AN126" s="90" t="s">
        <v>2054</v>
      </c>
      <c r="AO126" s="87" t="s">
        <v>1949</v>
      </c>
      <c r="AP126" s="87" t="s">
        <v>1950</v>
      </c>
      <c r="AQ126" s="90" t="s">
        <v>2387</v>
      </c>
      <c r="AR126" s="91"/>
      <c r="AS126" s="91"/>
      <c r="AT126" s="91"/>
      <c r="AU126" s="87" t="s">
        <v>1972</v>
      </c>
      <c r="AV126" s="91"/>
      <c r="AW126" s="91"/>
      <c r="AX126" s="91"/>
      <c r="AY126" s="91"/>
      <c r="AZ126" t="str">
        <f t="shared" si="12"/>
        <v>205377</v>
      </c>
      <c r="BA126" t="str">
        <f t="shared" si="13"/>
        <v>0077</v>
      </c>
      <c r="BB126" t="str">
        <f t="shared" si="11"/>
        <v>0000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>IFERROR(VLOOKUP(X126,'Status Map'!A:B,2,FALSE),"Status Code Not Mapped")</f>
        <v>Y</v>
      </c>
      <c r="BL126" t="str">
        <f>IFERROR(VLOOKUP(D126,'Invoice Exception Map'!A:C,3,FALSE),"N")</f>
        <v>N</v>
      </c>
      <c r="BM126">
        <f t="shared" si="14"/>
        <v>6</v>
      </c>
      <c r="BN126" t="str">
        <f t="shared" si="15"/>
        <v>BJÖRK</v>
      </c>
      <c r="BO126" t="str">
        <f t="shared" si="16"/>
        <v>ARVID</v>
      </c>
    </row>
    <row r="127" spans="1:67" ht="16" thickBot="1" x14ac:dyDescent="0.25">
      <c r="A127" s="90" t="s">
        <v>2298</v>
      </c>
      <c r="B127" s="90" t="s">
        <v>2299</v>
      </c>
      <c r="C127" s="90" t="s">
        <v>2300</v>
      </c>
      <c r="D127" s="90" t="s">
        <v>3520</v>
      </c>
      <c r="E127" s="90" t="s">
        <v>1953</v>
      </c>
      <c r="F127" s="90" t="s">
        <v>2388</v>
      </c>
      <c r="G127" s="90" t="s">
        <v>2389</v>
      </c>
      <c r="H127" s="90" t="s">
        <v>267</v>
      </c>
      <c r="I127" s="90" t="s">
        <v>1944</v>
      </c>
      <c r="J127" s="90" t="s">
        <v>1957</v>
      </c>
      <c r="K127" s="90" t="s">
        <v>2390</v>
      </c>
      <c r="L127" s="90" t="s">
        <v>2032</v>
      </c>
      <c r="M127" s="87" t="s">
        <v>2032</v>
      </c>
      <c r="N127" s="87" t="s">
        <v>1999</v>
      </c>
      <c r="O127" s="88">
        <v>41366</v>
      </c>
      <c r="P127" s="89">
        <v>13.4</v>
      </c>
      <c r="Q127" s="90" t="s">
        <v>3267</v>
      </c>
      <c r="R127" s="90" t="s">
        <v>3268</v>
      </c>
      <c r="S127" s="90" t="s">
        <v>2391</v>
      </c>
      <c r="T127" s="90" t="s">
        <v>2305</v>
      </c>
      <c r="U127" s="90" t="s">
        <v>1640</v>
      </c>
      <c r="V127" s="88">
        <v>41366</v>
      </c>
      <c r="W127" s="88">
        <v>41366</v>
      </c>
      <c r="X127" s="90" t="s">
        <v>43</v>
      </c>
      <c r="Y127" s="90" t="s">
        <v>257</v>
      </c>
      <c r="Z127" s="90" t="s">
        <v>36</v>
      </c>
      <c r="AA127" s="91"/>
      <c r="AB127" s="91"/>
      <c r="AC127" s="90" t="s">
        <v>2051</v>
      </c>
      <c r="AD127" s="90" t="s">
        <v>267</v>
      </c>
      <c r="AE127" s="90" t="s">
        <v>1636</v>
      </c>
      <c r="AF127" s="90" t="s">
        <v>1947</v>
      </c>
      <c r="AG127" s="90" t="s">
        <v>2793</v>
      </c>
      <c r="AH127" s="90" t="s">
        <v>2392</v>
      </c>
      <c r="AI127" s="90" t="s">
        <v>2392</v>
      </c>
      <c r="AJ127" s="90" t="s">
        <v>2051</v>
      </c>
      <c r="AK127" s="90" t="s">
        <v>36</v>
      </c>
      <c r="AL127" s="90" t="s">
        <v>1635</v>
      </c>
      <c r="AM127" s="90" t="s">
        <v>2307</v>
      </c>
      <c r="AN127" s="90" t="s">
        <v>2054</v>
      </c>
      <c r="AO127" s="87" t="s">
        <v>1949</v>
      </c>
      <c r="AP127" s="87" t="s">
        <v>1950</v>
      </c>
      <c r="AQ127" s="90" t="s">
        <v>2393</v>
      </c>
      <c r="AR127" s="92">
        <v>40000</v>
      </c>
      <c r="AS127" s="92">
        <v>50000</v>
      </c>
      <c r="AT127" s="92">
        <v>62000</v>
      </c>
      <c r="AU127" s="87" t="s">
        <v>1972</v>
      </c>
      <c r="AV127" s="87" t="s">
        <v>1973</v>
      </c>
      <c r="AW127" s="91"/>
      <c r="AX127" s="91"/>
      <c r="AY127" s="91"/>
      <c r="AZ127" t="str">
        <f t="shared" si="12"/>
        <v>205095</v>
      </c>
      <c r="BA127" t="str">
        <f t="shared" si="13"/>
        <v>0077</v>
      </c>
      <c r="BB127" t="str">
        <f t="shared" si="11"/>
        <v>0000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>IFERROR(VLOOKUP(X127,'Status Map'!A:B,2,FALSE),"Status Code Not Mapped")</f>
        <v>Y</v>
      </c>
      <c r="BL127" t="str">
        <f>IFERROR(VLOOKUP(D127,'Invoice Exception Map'!A:C,3,FALSE),"N")</f>
        <v>N</v>
      </c>
      <c r="BM127">
        <f t="shared" si="14"/>
        <v>11</v>
      </c>
      <c r="BN127" t="str">
        <f t="shared" si="15"/>
        <v>BJÖRKEGREN</v>
      </c>
      <c r="BO127" t="str">
        <f t="shared" si="16"/>
        <v>BENJAMIN</v>
      </c>
    </row>
    <row r="128" spans="1:67" s="106" customFormat="1" ht="16" thickBot="1" x14ac:dyDescent="0.25">
      <c r="A128" s="100" t="s">
        <v>2298</v>
      </c>
      <c r="B128" s="100" t="s">
        <v>2299</v>
      </c>
      <c r="C128" s="100" t="s">
        <v>2300</v>
      </c>
      <c r="D128" s="100" t="s">
        <v>3521</v>
      </c>
      <c r="E128" s="100" t="s">
        <v>1953</v>
      </c>
      <c r="F128" s="100" t="s">
        <v>2394</v>
      </c>
      <c r="G128" s="100" t="s">
        <v>2395</v>
      </c>
      <c r="H128" s="100" t="s">
        <v>1943</v>
      </c>
      <c r="I128" s="100" t="s">
        <v>1944</v>
      </c>
      <c r="J128" s="100" t="s">
        <v>1620</v>
      </c>
      <c r="K128" s="100" t="s">
        <v>2396</v>
      </c>
      <c r="L128" s="100" t="s">
        <v>2397</v>
      </c>
      <c r="M128" s="101" t="s">
        <v>2008</v>
      </c>
      <c r="N128" s="101" t="s">
        <v>2009</v>
      </c>
      <c r="O128" s="102">
        <v>40418</v>
      </c>
      <c r="P128" s="103">
        <v>16</v>
      </c>
      <c r="Q128" s="100" t="s">
        <v>3089</v>
      </c>
      <c r="R128" s="100" t="s">
        <v>3269</v>
      </c>
      <c r="S128" s="100" t="s">
        <v>2398</v>
      </c>
      <c r="T128" s="100" t="s">
        <v>2305</v>
      </c>
      <c r="U128" s="100" t="s">
        <v>1640</v>
      </c>
      <c r="V128" s="102">
        <v>40418</v>
      </c>
      <c r="W128" s="102">
        <v>40418</v>
      </c>
      <c r="X128" s="100" t="s">
        <v>43</v>
      </c>
      <c r="Y128" s="100" t="s">
        <v>257</v>
      </c>
      <c r="Z128" s="100" t="s">
        <v>36</v>
      </c>
      <c r="AA128" s="104"/>
      <c r="AB128" s="104"/>
      <c r="AC128" s="100" t="s">
        <v>2051</v>
      </c>
      <c r="AD128" s="100" t="s">
        <v>267</v>
      </c>
      <c r="AE128" s="100" t="s">
        <v>1636</v>
      </c>
      <c r="AF128" s="100" t="s">
        <v>2004</v>
      </c>
      <c r="AG128" s="100" t="s">
        <v>3270</v>
      </c>
      <c r="AH128" s="100" t="s">
        <v>2399</v>
      </c>
      <c r="AI128" s="100" t="s">
        <v>2399</v>
      </c>
      <c r="AJ128" s="100" t="s">
        <v>2051</v>
      </c>
      <c r="AK128" s="100" t="s">
        <v>36</v>
      </c>
      <c r="AL128" s="100" t="s">
        <v>1635</v>
      </c>
      <c r="AM128" s="100" t="s">
        <v>2307</v>
      </c>
      <c r="AN128" s="100" t="s">
        <v>2054</v>
      </c>
      <c r="AO128" s="101" t="s">
        <v>1949</v>
      </c>
      <c r="AP128" s="101" t="s">
        <v>1950</v>
      </c>
      <c r="AQ128" s="114" t="s">
        <v>4141</v>
      </c>
      <c r="AR128" s="104"/>
      <c r="AS128" s="104"/>
      <c r="AT128" s="104"/>
      <c r="AU128" s="101" t="s">
        <v>1972</v>
      </c>
      <c r="AV128" s="104"/>
      <c r="AW128" s="104"/>
      <c r="AX128" s="104"/>
      <c r="AY128" s="104"/>
      <c r="AZ128" s="106" t="str">
        <f t="shared" si="12"/>
        <v>205058</v>
      </c>
      <c r="BA128" s="106" t="str">
        <f t="shared" si="13"/>
        <v>0077</v>
      </c>
      <c r="BB128" s="106" t="str">
        <f t="shared" si="11"/>
        <v>0000</v>
      </c>
      <c r="BC128" s="106" t="str">
        <f>IFERROR(VLOOKUP(TRIM(Q128),'Salary Map'!A:E,3,FALSE),"Salary Code Not Mapped")</f>
        <v>Default</v>
      </c>
      <c r="BD128" s="106" t="str">
        <f>IFERROR(VLOOKUP(TRIM(Q128),'Salary Map'!A:E,4,FALSE),"Salary Code Not Mapped")</f>
        <v>General</v>
      </c>
      <c r="BE128" s="106">
        <f>IF(BL128="N",0,IFERROR(VLOOKUP(TRIM(Q128),'Salary Map'!A:E,5,FALSE),"Salary Not Mapped"))</f>
        <v>0</v>
      </c>
      <c r="BF128" s="106" t="str">
        <f>IFERROR(VLOOKUP(AM128,'Country Map'!A:E,2,FALSE),"Country Not Mapped")</f>
        <v>SE</v>
      </c>
      <c r="BH128" s="106" t="str">
        <f>IFERROR(VLOOKUP(AM128,'Country Map'!A:E,4,FALSE),"Country Not Mapped")</f>
        <v>SEK</v>
      </c>
      <c r="BJ128" s="106" t="str">
        <f>IFERROR(VLOOKUP(X128,'Status Map'!A:B,2,FALSE),"Status Code Not Mapped")</f>
        <v>Y</v>
      </c>
      <c r="BL128" s="106" t="str">
        <f>IFERROR(VLOOKUP(D128,'Invoice Exception Map'!A:C,3,FALSE),"N")</f>
        <v>N</v>
      </c>
      <c r="BM128" s="106">
        <f t="shared" si="14"/>
        <v>11</v>
      </c>
      <c r="BN128" s="106" t="str">
        <f t="shared" si="15"/>
        <v>BJÖRKEGREN</v>
      </c>
      <c r="BO128" s="106" t="str">
        <f t="shared" si="16"/>
        <v>PER</v>
      </c>
    </row>
    <row r="129" spans="1:67" ht="16" thickBot="1" x14ac:dyDescent="0.25">
      <c r="A129" s="90" t="s">
        <v>2298</v>
      </c>
      <c r="B129" s="90" t="s">
        <v>2299</v>
      </c>
      <c r="C129" s="90" t="s">
        <v>2300</v>
      </c>
      <c r="D129" s="90" t="s">
        <v>3522</v>
      </c>
      <c r="E129" s="90" t="s">
        <v>1953</v>
      </c>
      <c r="F129" s="90" t="s">
        <v>2400</v>
      </c>
      <c r="G129" s="90" t="s">
        <v>2302</v>
      </c>
      <c r="H129" s="90" t="s">
        <v>267</v>
      </c>
      <c r="I129" s="90" t="s">
        <v>1944</v>
      </c>
      <c r="J129" s="90" t="s">
        <v>1620</v>
      </c>
      <c r="K129" s="90" t="s">
        <v>2303</v>
      </c>
      <c r="L129" s="90" t="s">
        <v>2227</v>
      </c>
      <c r="M129" s="87" t="s">
        <v>2072</v>
      </c>
      <c r="N129" s="87" t="s">
        <v>1999</v>
      </c>
      <c r="O129" s="88">
        <v>41722</v>
      </c>
      <c r="P129" s="89">
        <v>12.4</v>
      </c>
      <c r="Q129" s="90" t="s">
        <v>3086</v>
      </c>
      <c r="R129" s="90" t="s">
        <v>3254</v>
      </c>
      <c r="S129" s="90" t="s">
        <v>2312</v>
      </c>
      <c r="T129" s="90" t="s">
        <v>2305</v>
      </c>
      <c r="U129" s="90" t="s">
        <v>1640</v>
      </c>
      <c r="V129" s="88">
        <v>41722</v>
      </c>
      <c r="W129" s="88">
        <v>41722</v>
      </c>
      <c r="X129" s="90" t="s">
        <v>43</v>
      </c>
      <c r="Y129" s="90" t="s">
        <v>257</v>
      </c>
      <c r="Z129" s="90" t="s">
        <v>36</v>
      </c>
      <c r="AA129" s="91"/>
      <c r="AB129" s="91"/>
      <c r="AC129" s="90" t="s">
        <v>2051</v>
      </c>
      <c r="AD129" s="90" t="s">
        <v>267</v>
      </c>
      <c r="AE129" s="90" t="s">
        <v>1636</v>
      </c>
      <c r="AF129" s="90" t="s">
        <v>2004</v>
      </c>
      <c r="AG129" s="90" t="s">
        <v>2793</v>
      </c>
      <c r="AH129" s="90" t="s">
        <v>2306</v>
      </c>
      <c r="AI129" s="90" t="s">
        <v>2306</v>
      </c>
      <c r="AJ129" s="90" t="s">
        <v>2051</v>
      </c>
      <c r="AK129" s="90" t="s">
        <v>36</v>
      </c>
      <c r="AL129" s="90" t="s">
        <v>1635</v>
      </c>
      <c r="AM129" s="90" t="s">
        <v>2307</v>
      </c>
      <c r="AN129" s="90" t="s">
        <v>2054</v>
      </c>
      <c r="AO129" s="87" t="s">
        <v>1949</v>
      </c>
      <c r="AP129" s="87" t="s">
        <v>1950</v>
      </c>
      <c r="AQ129" s="90" t="s">
        <v>2401</v>
      </c>
      <c r="AR129" s="91"/>
      <c r="AS129" s="91"/>
      <c r="AT129" s="91"/>
      <c r="AU129" s="87" t="s">
        <v>1972</v>
      </c>
      <c r="AV129" s="91"/>
      <c r="AW129" s="91"/>
      <c r="AX129" s="91"/>
      <c r="AY129" s="91"/>
      <c r="AZ129" t="str">
        <f t="shared" si="12"/>
        <v>205377</v>
      </c>
      <c r="BA129" t="str">
        <f t="shared" si="13"/>
        <v>0077</v>
      </c>
      <c r="BB129" t="str">
        <f t="shared" si="11"/>
        <v>0000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>IFERROR(VLOOKUP(X129,'Status Map'!A:B,2,FALSE),"Status Code Not Mapped")</f>
        <v>Y</v>
      </c>
      <c r="BL129" t="str">
        <f>IFERROR(VLOOKUP(D129,'Invoice Exception Map'!A:C,3,FALSE),"N")</f>
        <v>N</v>
      </c>
      <c r="BM129">
        <f t="shared" si="14"/>
        <v>10</v>
      </c>
      <c r="BN129" t="str">
        <f t="shared" si="15"/>
        <v>BLOMQVIST</v>
      </c>
      <c r="BO129" t="str">
        <f t="shared" si="16"/>
        <v>FREDRIC</v>
      </c>
    </row>
    <row r="130" spans="1:67" ht="16" thickBot="1" x14ac:dyDescent="0.25">
      <c r="A130" s="90" t="s">
        <v>2298</v>
      </c>
      <c r="B130" s="90" t="s">
        <v>2299</v>
      </c>
      <c r="C130" s="90" t="s">
        <v>2300</v>
      </c>
      <c r="D130" s="90" t="s">
        <v>3523</v>
      </c>
      <c r="E130" s="90" t="s">
        <v>1953</v>
      </c>
      <c r="F130" s="90" t="s">
        <v>2402</v>
      </c>
      <c r="G130" s="90" t="s">
        <v>2310</v>
      </c>
      <c r="H130" s="90" t="s">
        <v>267</v>
      </c>
      <c r="I130" s="90" t="s">
        <v>1944</v>
      </c>
      <c r="J130" s="90" t="s">
        <v>1620</v>
      </c>
      <c r="K130" s="90" t="s">
        <v>2012</v>
      </c>
      <c r="L130" s="90" t="s">
        <v>2311</v>
      </c>
      <c r="M130" s="87" t="s">
        <v>2007</v>
      </c>
      <c r="N130" s="87" t="s">
        <v>2013</v>
      </c>
      <c r="O130" s="88">
        <v>42681</v>
      </c>
      <c r="P130" s="89">
        <v>9.8000000000000007</v>
      </c>
      <c r="Q130" s="90" t="s">
        <v>3086</v>
      </c>
      <c r="R130" s="90" t="s">
        <v>3253</v>
      </c>
      <c r="S130" s="90" t="s">
        <v>2304</v>
      </c>
      <c r="T130" s="90" t="s">
        <v>2305</v>
      </c>
      <c r="U130" s="90" t="s">
        <v>1640</v>
      </c>
      <c r="V130" s="88">
        <v>42681</v>
      </c>
      <c r="W130" s="88">
        <v>42681</v>
      </c>
      <c r="X130" s="90" t="s">
        <v>43</v>
      </c>
      <c r="Y130" s="90" t="s">
        <v>257</v>
      </c>
      <c r="Z130" s="90" t="s">
        <v>36</v>
      </c>
      <c r="AA130" s="91"/>
      <c r="AB130" s="91"/>
      <c r="AC130" s="90" t="s">
        <v>2051</v>
      </c>
      <c r="AD130" s="90" t="s">
        <v>267</v>
      </c>
      <c r="AE130" s="90" t="s">
        <v>1636</v>
      </c>
      <c r="AF130" s="90" t="s">
        <v>2004</v>
      </c>
      <c r="AG130" s="90" t="s">
        <v>2793</v>
      </c>
      <c r="AH130" s="90" t="s">
        <v>2306</v>
      </c>
      <c r="AI130" s="90" t="s">
        <v>2306</v>
      </c>
      <c r="AJ130" s="90" t="s">
        <v>2051</v>
      </c>
      <c r="AK130" s="90" t="s">
        <v>36</v>
      </c>
      <c r="AL130" s="90" t="s">
        <v>1635</v>
      </c>
      <c r="AM130" s="90" t="s">
        <v>2307</v>
      </c>
      <c r="AN130" s="90" t="s">
        <v>2054</v>
      </c>
      <c r="AO130" s="87" t="s">
        <v>1949</v>
      </c>
      <c r="AP130" s="87" t="s">
        <v>1950</v>
      </c>
      <c r="AQ130" s="90" t="s">
        <v>2403</v>
      </c>
      <c r="AR130" s="91"/>
      <c r="AS130" s="91"/>
      <c r="AT130" s="91"/>
      <c r="AU130" s="87" t="s">
        <v>1972</v>
      </c>
      <c r="AV130" s="91"/>
      <c r="AW130" s="91"/>
      <c r="AX130" s="91"/>
      <c r="AY130" s="91"/>
      <c r="AZ130" t="str">
        <f t="shared" si="12"/>
        <v>212110</v>
      </c>
      <c r="BA130" t="str">
        <f t="shared" si="13"/>
        <v>0077</v>
      </c>
      <c r="BB130" t="str">
        <f t="shared" si="11"/>
        <v>0000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>IFERROR(VLOOKUP(X130,'Status Map'!A:B,2,FALSE),"Status Code Not Mapped")</f>
        <v>Y</v>
      </c>
      <c r="BL130" t="str">
        <f>IFERROR(VLOOKUP(D130,'Invoice Exception Map'!A:C,3,FALSE),"N")</f>
        <v>N</v>
      </c>
      <c r="BM130">
        <f t="shared" si="14"/>
        <v>5</v>
      </c>
      <c r="BN130" t="str">
        <f t="shared" si="15"/>
        <v>BORG</v>
      </c>
      <c r="BO130" t="str">
        <f t="shared" si="16"/>
        <v>ALBIN</v>
      </c>
    </row>
    <row r="131" spans="1:67" ht="16" thickBot="1" x14ac:dyDescent="0.25">
      <c r="A131" s="90" t="s">
        <v>2298</v>
      </c>
      <c r="B131" s="90" t="s">
        <v>2299</v>
      </c>
      <c r="C131" s="90" t="s">
        <v>2300</v>
      </c>
      <c r="D131" s="90" t="s">
        <v>3524</v>
      </c>
      <c r="E131" s="90" t="s">
        <v>1953</v>
      </c>
      <c r="F131" s="90" t="s">
        <v>2404</v>
      </c>
      <c r="G131" s="90" t="s">
        <v>2302</v>
      </c>
      <c r="H131" s="90" t="s">
        <v>267</v>
      </c>
      <c r="I131" s="90" t="s">
        <v>1944</v>
      </c>
      <c r="J131" s="90" t="s">
        <v>1620</v>
      </c>
      <c r="K131" s="90" t="s">
        <v>2303</v>
      </c>
      <c r="L131" s="90" t="s">
        <v>2227</v>
      </c>
      <c r="M131" s="87" t="s">
        <v>2072</v>
      </c>
      <c r="N131" s="87" t="s">
        <v>1999</v>
      </c>
      <c r="O131" s="88">
        <v>42723</v>
      </c>
      <c r="P131" s="89">
        <v>9.6999999999999993</v>
      </c>
      <c r="Q131" s="90" t="s">
        <v>3086</v>
      </c>
      <c r="R131" s="90" t="s">
        <v>3255</v>
      </c>
      <c r="S131" s="90" t="s">
        <v>2315</v>
      </c>
      <c r="T131" s="90" t="s">
        <v>2305</v>
      </c>
      <c r="U131" s="90" t="s">
        <v>1640</v>
      </c>
      <c r="V131" s="88">
        <v>42723</v>
      </c>
      <c r="W131" s="88">
        <v>42723</v>
      </c>
      <c r="X131" s="90" t="s">
        <v>43</v>
      </c>
      <c r="Y131" s="90" t="s">
        <v>257</v>
      </c>
      <c r="Z131" s="90" t="s">
        <v>36</v>
      </c>
      <c r="AA131" s="91"/>
      <c r="AB131" s="91"/>
      <c r="AC131" s="90" t="s">
        <v>2051</v>
      </c>
      <c r="AD131" s="90" t="s">
        <v>267</v>
      </c>
      <c r="AE131" s="90" t="s">
        <v>1636</v>
      </c>
      <c r="AF131" s="90" t="s">
        <v>2004</v>
      </c>
      <c r="AG131" s="90" t="s">
        <v>2793</v>
      </c>
      <c r="AH131" s="90" t="s">
        <v>2306</v>
      </c>
      <c r="AI131" s="90" t="s">
        <v>2306</v>
      </c>
      <c r="AJ131" s="90" t="s">
        <v>2051</v>
      </c>
      <c r="AK131" s="90" t="s">
        <v>36</v>
      </c>
      <c r="AL131" s="90" t="s">
        <v>1635</v>
      </c>
      <c r="AM131" s="90" t="s">
        <v>2307</v>
      </c>
      <c r="AN131" s="90" t="s">
        <v>2054</v>
      </c>
      <c r="AO131" s="87" t="s">
        <v>1949</v>
      </c>
      <c r="AP131" s="87" t="s">
        <v>1950</v>
      </c>
      <c r="AQ131" s="90" t="s">
        <v>2405</v>
      </c>
      <c r="AR131" s="91"/>
      <c r="AS131" s="91"/>
      <c r="AT131" s="91"/>
      <c r="AU131" s="87" t="s">
        <v>1972</v>
      </c>
      <c r="AV131" s="91"/>
      <c r="AW131" s="91"/>
      <c r="AX131" s="91"/>
      <c r="AY131" s="91"/>
      <c r="AZ131" t="str">
        <f t="shared" si="12"/>
        <v>205315</v>
      </c>
      <c r="BA131" t="str">
        <f t="shared" si="13"/>
        <v>0077</v>
      </c>
      <c r="BB131" t="str">
        <f t="shared" ref="BB131:BB194" si="17">IF(OR(BA131="0077",BA131="177"),"0000",IF(ISBLANK(AI131),"000",AI131))</f>
        <v>0000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>IFERROR(VLOOKUP(X131,'Status Map'!A:B,2,FALSE),"Status Code Not Mapped")</f>
        <v>Y</v>
      </c>
      <c r="BL131" t="str">
        <f>IFERROR(VLOOKUP(D131,'Invoice Exception Map'!A:C,3,FALSE),"N")</f>
        <v>N</v>
      </c>
      <c r="BM131">
        <f t="shared" si="14"/>
        <v>7</v>
      </c>
      <c r="BN131" t="str">
        <f t="shared" si="15"/>
        <v>BRANDT</v>
      </c>
      <c r="BO131" t="str">
        <f t="shared" si="16"/>
        <v>PATRIK</v>
      </c>
    </row>
    <row r="132" spans="1:67" ht="16" thickBot="1" x14ac:dyDescent="0.25">
      <c r="A132" s="90" t="s">
        <v>2298</v>
      </c>
      <c r="B132" s="90" t="s">
        <v>2299</v>
      </c>
      <c r="C132" s="90" t="s">
        <v>2300</v>
      </c>
      <c r="D132" s="90" t="s">
        <v>3525</v>
      </c>
      <c r="E132" s="90" t="s">
        <v>1953</v>
      </c>
      <c r="F132" s="90" t="s">
        <v>2406</v>
      </c>
      <c r="G132" s="90" t="s">
        <v>2359</v>
      </c>
      <c r="H132" s="90" t="s">
        <v>1943</v>
      </c>
      <c r="I132" s="90" t="s">
        <v>1944</v>
      </c>
      <c r="J132" s="90" t="s">
        <v>1957</v>
      </c>
      <c r="K132" s="90" t="s">
        <v>2360</v>
      </c>
      <c r="L132" s="90" t="s">
        <v>2361</v>
      </c>
      <c r="M132" s="87" t="s">
        <v>2362</v>
      </c>
      <c r="N132" s="87" t="s">
        <v>2014</v>
      </c>
      <c r="O132" s="88">
        <v>33999</v>
      </c>
      <c r="P132" s="89">
        <v>33.6</v>
      </c>
      <c r="Q132" s="90" t="s">
        <v>3087</v>
      </c>
      <c r="R132" s="90" t="s">
        <v>3264</v>
      </c>
      <c r="S132" s="90" t="s">
        <v>2363</v>
      </c>
      <c r="T132" s="90" t="s">
        <v>2305</v>
      </c>
      <c r="U132" s="90" t="s">
        <v>1640</v>
      </c>
      <c r="V132" s="88">
        <v>33999</v>
      </c>
      <c r="W132" s="88">
        <v>33999</v>
      </c>
      <c r="X132" s="90" t="s">
        <v>43</v>
      </c>
      <c r="Y132" s="90" t="s">
        <v>257</v>
      </c>
      <c r="Z132" s="90" t="s">
        <v>36</v>
      </c>
      <c r="AA132" s="91"/>
      <c r="AB132" s="91"/>
      <c r="AC132" s="90" t="s">
        <v>2051</v>
      </c>
      <c r="AD132" s="90" t="s">
        <v>267</v>
      </c>
      <c r="AE132" s="90" t="s">
        <v>1636</v>
      </c>
      <c r="AF132" s="90" t="s">
        <v>2004</v>
      </c>
      <c r="AG132" s="90" t="s">
        <v>2793</v>
      </c>
      <c r="AH132" s="90" t="s">
        <v>2327</v>
      </c>
      <c r="AI132" s="90" t="s">
        <v>2327</v>
      </c>
      <c r="AJ132" s="90" t="s">
        <v>2051</v>
      </c>
      <c r="AK132" s="90" t="s">
        <v>36</v>
      </c>
      <c r="AL132" s="90" t="s">
        <v>1635</v>
      </c>
      <c r="AM132" s="90" t="s">
        <v>2307</v>
      </c>
      <c r="AN132" s="90" t="s">
        <v>2054</v>
      </c>
      <c r="AO132" s="87" t="s">
        <v>1949</v>
      </c>
      <c r="AP132" s="87" t="s">
        <v>1950</v>
      </c>
      <c r="AQ132" s="90" t="s">
        <v>2407</v>
      </c>
      <c r="AR132" s="91"/>
      <c r="AS132" s="91"/>
      <c r="AT132" s="91"/>
      <c r="AU132" s="87" t="s">
        <v>1972</v>
      </c>
      <c r="AV132" s="91"/>
      <c r="AW132" s="91"/>
      <c r="AX132" s="91"/>
      <c r="AY132" s="91"/>
      <c r="AZ132" t="str">
        <f t="shared" si="12"/>
        <v>213066</v>
      </c>
      <c r="BA132" t="str">
        <f t="shared" si="13"/>
        <v>0077</v>
      </c>
      <c r="BB132" t="str">
        <f t="shared" si="17"/>
        <v>0000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>IFERROR(VLOOKUP(X132,'Status Map'!A:B,2,FALSE),"Status Code Not Mapped")</f>
        <v>Y</v>
      </c>
      <c r="BL132" t="str">
        <f>IFERROR(VLOOKUP(D132,'Invoice Exception Map'!A:C,3,FALSE),"N")</f>
        <v>N</v>
      </c>
      <c r="BM132">
        <f t="shared" si="14"/>
        <v>9</v>
      </c>
      <c r="BN132" t="str">
        <f t="shared" si="15"/>
        <v>BRICKARP</v>
      </c>
      <c r="BO132" t="str">
        <f t="shared" si="16"/>
        <v>ALBERT</v>
      </c>
    </row>
    <row r="133" spans="1:67" ht="16" thickBot="1" x14ac:dyDescent="0.25">
      <c r="A133" s="90" t="s">
        <v>2298</v>
      </c>
      <c r="B133" s="90" t="s">
        <v>2299</v>
      </c>
      <c r="C133" s="90" t="s">
        <v>2300</v>
      </c>
      <c r="D133" s="90" t="s">
        <v>3526</v>
      </c>
      <c r="E133" s="90" t="s">
        <v>1953</v>
      </c>
      <c r="F133" s="90" t="s">
        <v>2408</v>
      </c>
      <c r="G133" s="90" t="s">
        <v>2310</v>
      </c>
      <c r="H133" s="90" t="s">
        <v>267</v>
      </c>
      <c r="I133" s="90" t="s">
        <v>1944</v>
      </c>
      <c r="J133" s="90" t="s">
        <v>1620</v>
      </c>
      <c r="K133" s="90" t="s">
        <v>2012</v>
      </c>
      <c r="L133" s="90" t="s">
        <v>2311</v>
      </c>
      <c r="M133" s="87" t="s">
        <v>2007</v>
      </c>
      <c r="N133" s="87" t="s">
        <v>2013</v>
      </c>
      <c r="O133" s="88">
        <v>36052</v>
      </c>
      <c r="P133" s="89">
        <v>28</v>
      </c>
      <c r="Q133" s="90" t="s">
        <v>3086</v>
      </c>
      <c r="R133" s="90" t="s">
        <v>3253</v>
      </c>
      <c r="S133" s="90" t="s">
        <v>2304</v>
      </c>
      <c r="T133" s="90" t="s">
        <v>2305</v>
      </c>
      <c r="U133" s="90" t="s">
        <v>1640</v>
      </c>
      <c r="V133" s="88">
        <v>36052</v>
      </c>
      <c r="W133" s="88">
        <v>36052</v>
      </c>
      <c r="X133" s="90" t="s">
        <v>43</v>
      </c>
      <c r="Y133" s="90" t="s">
        <v>257</v>
      </c>
      <c r="Z133" s="90" t="s">
        <v>36</v>
      </c>
      <c r="AA133" s="91"/>
      <c r="AB133" s="91"/>
      <c r="AC133" s="90" t="s">
        <v>2051</v>
      </c>
      <c r="AD133" s="90" t="s">
        <v>267</v>
      </c>
      <c r="AE133" s="90" t="s">
        <v>1636</v>
      </c>
      <c r="AF133" s="90" t="s">
        <v>2004</v>
      </c>
      <c r="AG133" s="90" t="s">
        <v>2793</v>
      </c>
      <c r="AH133" s="90" t="s">
        <v>2306</v>
      </c>
      <c r="AI133" s="90" t="s">
        <v>2306</v>
      </c>
      <c r="AJ133" s="90" t="s">
        <v>2051</v>
      </c>
      <c r="AK133" s="90" t="s">
        <v>36</v>
      </c>
      <c r="AL133" s="90" t="s">
        <v>1635</v>
      </c>
      <c r="AM133" s="90" t="s">
        <v>2307</v>
      </c>
      <c r="AN133" s="90" t="s">
        <v>2054</v>
      </c>
      <c r="AO133" s="87" t="s">
        <v>1949</v>
      </c>
      <c r="AP133" s="87" t="s">
        <v>1950</v>
      </c>
      <c r="AQ133" s="90" t="s">
        <v>2409</v>
      </c>
      <c r="AR133" s="91"/>
      <c r="AS133" s="91"/>
      <c r="AT133" s="91"/>
      <c r="AU133" s="87" t="s">
        <v>1972</v>
      </c>
      <c r="AV133" s="91"/>
      <c r="AW133" s="91"/>
      <c r="AX133" s="91"/>
      <c r="AY133" s="91"/>
      <c r="AZ133" t="str">
        <f t="shared" si="12"/>
        <v>212110</v>
      </c>
      <c r="BA133" t="str">
        <f t="shared" si="13"/>
        <v>0077</v>
      </c>
      <c r="BB133" t="str">
        <f t="shared" si="17"/>
        <v>0000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>IFERROR(VLOOKUP(X133,'Status Map'!A:B,2,FALSE),"Status Code Not Mapped")</f>
        <v>Y</v>
      </c>
      <c r="BL133" t="str">
        <f>IFERROR(VLOOKUP(D133,'Invoice Exception Map'!A:C,3,FALSE),"N")</f>
        <v>N</v>
      </c>
      <c r="BM133">
        <f t="shared" si="14"/>
        <v>8</v>
      </c>
      <c r="BN133" t="str">
        <f t="shared" si="15"/>
        <v>BYSTRÖM</v>
      </c>
      <c r="BO133" t="str">
        <f t="shared" si="16"/>
        <v>JOAKIM</v>
      </c>
    </row>
    <row r="134" spans="1:67" ht="16" thickBot="1" x14ac:dyDescent="0.25">
      <c r="A134" s="90" t="s">
        <v>2298</v>
      </c>
      <c r="B134" s="90" t="s">
        <v>2299</v>
      </c>
      <c r="C134" s="90" t="s">
        <v>2300</v>
      </c>
      <c r="D134" s="90" t="s">
        <v>3527</v>
      </c>
      <c r="E134" s="90" t="s">
        <v>1953</v>
      </c>
      <c r="F134" s="90" t="s">
        <v>2410</v>
      </c>
      <c r="G134" s="90" t="s">
        <v>2318</v>
      </c>
      <c r="H134" s="90" t="s">
        <v>267</v>
      </c>
      <c r="I134" s="90" t="s">
        <v>1944</v>
      </c>
      <c r="J134" s="90" t="s">
        <v>1620</v>
      </c>
      <c r="K134" s="90" t="s">
        <v>247</v>
      </c>
      <c r="L134" s="90" t="s">
        <v>2003</v>
      </c>
      <c r="M134" s="87" t="s">
        <v>2003</v>
      </c>
      <c r="N134" s="87" t="s">
        <v>1999</v>
      </c>
      <c r="O134" s="88">
        <v>40336</v>
      </c>
      <c r="P134" s="89">
        <v>16.2</v>
      </c>
      <c r="Q134" s="90" t="s">
        <v>3089</v>
      </c>
      <c r="R134" s="90" t="s">
        <v>3269</v>
      </c>
      <c r="S134" s="90" t="s">
        <v>2398</v>
      </c>
      <c r="T134" s="90" t="s">
        <v>2305</v>
      </c>
      <c r="U134" s="90" t="s">
        <v>1640</v>
      </c>
      <c r="V134" s="88">
        <v>40336</v>
      </c>
      <c r="W134" s="88">
        <v>40336</v>
      </c>
      <c r="X134" s="90" t="s">
        <v>43</v>
      </c>
      <c r="Y134" s="90" t="s">
        <v>257</v>
      </c>
      <c r="Z134" s="90" t="s">
        <v>36</v>
      </c>
      <c r="AA134" s="91"/>
      <c r="AB134" s="91"/>
      <c r="AC134" s="90" t="s">
        <v>2051</v>
      </c>
      <c r="AD134" s="90" t="s">
        <v>267</v>
      </c>
      <c r="AE134" s="90" t="s">
        <v>1636</v>
      </c>
      <c r="AF134" s="90" t="s">
        <v>2004</v>
      </c>
      <c r="AG134" s="90" t="s">
        <v>2793</v>
      </c>
      <c r="AH134" s="90" t="s">
        <v>2411</v>
      </c>
      <c r="AI134" s="90" t="s">
        <v>2411</v>
      </c>
      <c r="AJ134" s="90" t="s">
        <v>2051</v>
      </c>
      <c r="AK134" s="90" t="s">
        <v>36</v>
      </c>
      <c r="AL134" s="90" t="s">
        <v>1635</v>
      </c>
      <c r="AM134" s="90" t="s">
        <v>2307</v>
      </c>
      <c r="AN134" s="90" t="s">
        <v>2054</v>
      </c>
      <c r="AO134" s="87" t="s">
        <v>1949</v>
      </c>
      <c r="AP134" s="87" t="s">
        <v>1950</v>
      </c>
      <c r="AQ134" s="90" t="s">
        <v>2412</v>
      </c>
      <c r="AR134" s="91"/>
      <c r="AS134" s="91"/>
      <c r="AT134" s="91"/>
      <c r="AU134" s="87" t="s">
        <v>1972</v>
      </c>
      <c r="AV134" s="91"/>
      <c r="AW134" s="91"/>
      <c r="AX134" s="91"/>
      <c r="AY134" s="91"/>
      <c r="AZ134" t="str">
        <f t="shared" si="12"/>
        <v>205058</v>
      </c>
      <c r="BA134" t="str">
        <f t="shared" si="13"/>
        <v>0077</v>
      </c>
      <c r="BB134" t="str">
        <f t="shared" si="17"/>
        <v>0000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>IFERROR(VLOOKUP(X134,'Status Map'!A:B,2,FALSE),"Status Code Not Mapped")</f>
        <v>Y</v>
      </c>
      <c r="BL134" t="str">
        <f>IFERROR(VLOOKUP(D134,'Invoice Exception Map'!A:C,3,FALSE),"N")</f>
        <v>N</v>
      </c>
      <c r="BM134">
        <f t="shared" si="14"/>
        <v>9</v>
      </c>
      <c r="BN134" t="str">
        <f t="shared" si="15"/>
        <v>CARLSSON</v>
      </c>
      <c r="BO134" t="str">
        <f t="shared" si="16"/>
        <v>EMILIA</v>
      </c>
    </row>
    <row r="135" spans="1:67" ht="16" thickBot="1" x14ac:dyDescent="0.25">
      <c r="A135" s="90" t="s">
        <v>2298</v>
      </c>
      <c r="B135" s="90" t="s">
        <v>2299</v>
      </c>
      <c r="C135" s="90" t="s">
        <v>2300</v>
      </c>
      <c r="D135" s="90" t="s">
        <v>3528</v>
      </c>
      <c r="E135" s="90" t="s">
        <v>1953</v>
      </c>
      <c r="F135" s="90" t="s">
        <v>2413</v>
      </c>
      <c r="G135" s="90" t="s">
        <v>2395</v>
      </c>
      <c r="H135" s="90" t="s">
        <v>1943</v>
      </c>
      <c r="I135" s="90" t="s">
        <v>1944</v>
      </c>
      <c r="J135" s="90" t="s">
        <v>1620</v>
      </c>
      <c r="K135" s="90" t="s">
        <v>2396</v>
      </c>
      <c r="L135" s="90" t="s">
        <v>2397</v>
      </c>
      <c r="M135" s="87" t="s">
        <v>2008</v>
      </c>
      <c r="N135" s="87" t="s">
        <v>2009</v>
      </c>
      <c r="O135" s="88">
        <v>40784</v>
      </c>
      <c r="P135" s="89">
        <v>15</v>
      </c>
      <c r="Q135" s="90" t="s">
        <v>3089</v>
      </c>
      <c r="R135" s="90" t="s">
        <v>3269</v>
      </c>
      <c r="S135" s="90" t="s">
        <v>2398</v>
      </c>
      <c r="T135" s="90" t="s">
        <v>2305</v>
      </c>
      <c r="U135" s="90" t="s">
        <v>1640</v>
      </c>
      <c r="V135" s="88">
        <v>40784</v>
      </c>
      <c r="W135" s="88">
        <v>40784</v>
      </c>
      <c r="X135" s="90" t="s">
        <v>43</v>
      </c>
      <c r="Y135" s="90" t="s">
        <v>257</v>
      </c>
      <c r="Z135" s="90" t="s">
        <v>36</v>
      </c>
      <c r="AA135" s="91"/>
      <c r="AB135" s="91"/>
      <c r="AC135" s="90" t="s">
        <v>2051</v>
      </c>
      <c r="AD135" s="90" t="s">
        <v>267</v>
      </c>
      <c r="AE135" s="90" t="s">
        <v>1636</v>
      </c>
      <c r="AF135" s="90" t="s">
        <v>2004</v>
      </c>
      <c r="AG135" s="90" t="s">
        <v>2793</v>
      </c>
      <c r="AH135" s="90" t="s">
        <v>2399</v>
      </c>
      <c r="AI135" s="90" t="s">
        <v>2399</v>
      </c>
      <c r="AJ135" s="90" t="s">
        <v>2051</v>
      </c>
      <c r="AK135" s="90" t="s">
        <v>36</v>
      </c>
      <c r="AL135" s="90" t="s">
        <v>1635</v>
      </c>
      <c r="AM135" s="90" t="s">
        <v>2307</v>
      </c>
      <c r="AN135" s="90" t="s">
        <v>2054</v>
      </c>
      <c r="AO135" s="87" t="s">
        <v>1949</v>
      </c>
      <c r="AP135" s="87" t="s">
        <v>1950</v>
      </c>
      <c r="AQ135" s="90" t="s">
        <v>2414</v>
      </c>
      <c r="AR135" s="91"/>
      <c r="AS135" s="91"/>
      <c r="AT135" s="91"/>
      <c r="AU135" s="87" t="s">
        <v>1972</v>
      </c>
      <c r="AV135" s="91"/>
      <c r="AW135" s="91"/>
      <c r="AX135" s="91"/>
      <c r="AY135" s="91"/>
      <c r="AZ135" t="str">
        <f t="shared" si="12"/>
        <v>205058</v>
      </c>
      <c r="BA135" t="str">
        <f t="shared" si="13"/>
        <v>0077</v>
      </c>
      <c r="BB135" t="str">
        <f t="shared" si="17"/>
        <v>0000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>IFERROR(VLOOKUP(X135,'Status Map'!A:B,2,FALSE),"Status Code Not Mapped")</f>
        <v>Y</v>
      </c>
      <c r="BL135" t="str">
        <f>IFERROR(VLOOKUP(D135,'Invoice Exception Map'!A:C,3,FALSE),"N")</f>
        <v>N</v>
      </c>
      <c r="BM135">
        <f t="shared" si="14"/>
        <v>9</v>
      </c>
      <c r="BN135" t="str">
        <f t="shared" si="15"/>
        <v>CARLSSON</v>
      </c>
      <c r="BO135" t="str">
        <f t="shared" si="16"/>
        <v>FREDRICK</v>
      </c>
    </row>
    <row r="136" spans="1:67" ht="16" thickBot="1" x14ac:dyDescent="0.25">
      <c r="A136" s="90" t="s">
        <v>2298</v>
      </c>
      <c r="B136" s="90" t="s">
        <v>2299</v>
      </c>
      <c r="C136" s="90" t="s">
        <v>2300</v>
      </c>
      <c r="D136" s="90" t="s">
        <v>3529</v>
      </c>
      <c r="E136" s="90" t="s">
        <v>1953</v>
      </c>
      <c r="F136" s="90" t="s">
        <v>2415</v>
      </c>
      <c r="G136" s="90" t="s">
        <v>2084</v>
      </c>
      <c r="H136" s="90" t="s">
        <v>1943</v>
      </c>
      <c r="I136" s="90" t="s">
        <v>1944</v>
      </c>
      <c r="J136" s="90" t="s">
        <v>831</v>
      </c>
      <c r="K136" s="90" t="s">
        <v>2085</v>
      </c>
      <c r="L136" s="90" t="s">
        <v>2416</v>
      </c>
      <c r="M136" s="87" t="s">
        <v>1975</v>
      </c>
      <c r="N136" s="87" t="s">
        <v>831</v>
      </c>
      <c r="O136" s="88">
        <v>42809</v>
      </c>
      <c r="P136" s="89">
        <v>9.5</v>
      </c>
      <c r="Q136" s="90" t="s">
        <v>213</v>
      </c>
      <c r="R136" s="90" t="s">
        <v>3269</v>
      </c>
      <c r="S136" s="90" t="s">
        <v>2398</v>
      </c>
      <c r="T136" s="90" t="s">
        <v>2305</v>
      </c>
      <c r="U136" s="90" t="s">
        <v>1640</v>
      </c>
      <c r="V136" s="88">
        <v>42809</v>
      </c>
      <c r="W136" s="88">
        <v>42809</v>
      </c>
      <c r="X136" s="90" t="s">
        <v>43</v>
      </c>
      <c r="Y136" s="90" t="s">
        <v>257</v>
      </c>
      <c r="Z136" s="90" t="s">
        <v>36</v>
      </c>
      <c r="AA136" s="91"/>
      <c r="AB136" s="91"/>
      <c r="AC136" s="90" t="s">
        <v>2051</v>
      </c>
      <c r="AD136" s="90" t="s">
        <v>267</v>
      </c>
      <c r="AE136" s="90" t="s">
        <v>1636</v>
      </c>
      <c r="AF136" s="90" t="s">
        <v>1947</v>
      </c>
      <c r="AG136" s="90" t="s">
        <v>3266</v>
      </c>
      <c r="AH136" s="90" t="s">
        <v>2399</v>
      </c>
      <c r="AI136" s="90" t="s">
        <v>2399</v>
      </c>
      <c r="AJ136" s="90" t="s">
        <v>2051</v>
      </c>
      <c r="AK136" s="90" t="s">
        <v>36</v>
      </c>
      <c r="AL136" s="90" t="s">
        <v>1635</v>
      </c>
      <c r="AM136" s="90" t="s">
        <v>2307</v>
      </c>
      <c r="AN136" s="90" t="s">
        <v>2054</v>
      </c>
      <c r="AO136" s="87" t="s">
        <v>1949</v>
      </c>
      <c r="AP136" s="87" t="s">
        <v>1950</v>
      </c>
      <c r="AQ136" s="90" t="s">
        <v>2417</v>
      </c>
      <c r="AR136" s="92">
        <v>38000</v>
      </c>
      <c r="AS136" s="92">
        <v>47000</v>
      </c>
      <c r="AT136" s="92">
        <v>59000</v>
      </c>
      <c r="AU136" s="87" t="s">
        <v>1972</v>
      </c>
      <c r="AV136" s="87" t="s">
        <v>1973</v>
      </c>
      <c r="AW136" s="91"/>
      <c r="AX136" s="91"/>
      <c r="AY136" s="91"/>
      <c r="AZ136" t="str">
        <f t="shared" si="12"/>
        <v>205058</v>
      </c>
      <c r="BA136" t="str">
        <f t="shared" si="13"/>
        <v>0077</v>
      </c>
      <c r="BB136" t="str">
        <f t="shared" si="17"/>
        <v>0000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>IFERROR(VLOOKUP(X136,'Status Map'!A:B,2,FALSE),"Status Code Not Mapped")</f>
        <v>Y</v>
      </c>
      <c r="BL136" t="str">
        <f>IFERROR(VLOOKUP(D136,'Invoice Exception Map'!A:C,3,FALSE),"N")</f>
        <v>N</v>
      </c>
      <c r="BM136">
        <f t="shared" si="14"/>
        <v>7</v>
      </c>
      <c r="BN136" t="str">
        <f t="shared" si="15"/>
        <v>CREUTZ</v>
      </c>
      <c r="BO136" t="str">
        <f t="shared" si="16"/>
        <v>GUSTAV</v>
      </c>
    </row>
    <row r="137" spans="1:67" ht="16" thickBot="1" x14ac:dyDescent="0.25">
      <c r="A137" s="90" t="s">
        <v>2298</v>
      </c>
      <c r="B137" s="90" t="s">
        <v>2299</v>
      </c>
      <c r="C137" s="90" t="s">
        <v>2300</v>
      </c>
      <c r="D137" s="90" t="s">
        <v>3530</v>
      </c>
      <c r="E137" s="90" t="s">
        <v>1953</v>
      </c>
      <c r="F137" s="90" t="s">
        <v>2418</v>
      </c>
      <c r="G137" s="90" t="s">
        <v>2359</v>
      </c>
      <c r="H137" s="90" t="s">
        <v>1943</v>
      </c>
      <c r="I137" s="90" t="s">
        <v>1944</v>
      </c>
      <c r="J137" s="90" t="s">
        <v>1957</v>
      </c>
      <c r="K137" s="90" t="s">
        <v>2360</v>
      </c>
      <c r="L137" s="90" t="s">
        <v>2361</v>
      </c>
      <c r="M137" s="87" t="s">
        <v>2362</v>
      </c>
      <c r="N137" s="87" t="s">
        <v>2014</v>
      </c>
      <c r="O137" s="88">
        <v>33035</v>
      </c>
      <c r="P137" s="89">
        <v>36.200000000000003</v>
      </c>
      <c r="Q137" s="90" t="s">
        <v>3087</v>
      </c>
      <c r="R137" s="90" t="s">
        <v>3264</v>
      </c>
      <c r="S137" s="90" t="s">
        <v>2363</v>
      </c>
      <c r="T137" s="90" t="s">
        <v>2305</v>
      </c>
      <c r="U137" s="90" t="s">
        <v>1640</v>
      </c>
      <c r="V137" s="88">
        <v>33035</v>
      </c>
      <c r="W137" s="88">
        <v>33035</v>
      </c>
      <c r="X137" s="90" t="s">
        <v>43</v>
      </c>
      <c r="Y137" s="90" t="s">
        <v>257</v>
      </c>
      <c r="Z137" s="90" t="s">
        <v>36</v>
      </c>
      <c r="AA137" s="91"/>
      <c r="AB137" s="91"/>
      <c r="AC137" s="90" t="s">
        <v>2051</v>
      </c>
      <c r="AD137" s="90" t="s">
        <v>267</v>
      </c>
      <c r="AE137" s="90" t="s">
        <v>1636</v>
      </c>
      <c r="AF137" s="90" t="s">
        <v>2004</v>
      </c>
      <c r="AG137" s="90" t="s">
        <v>2793</v>
      </c>
      <c r="AH137" s="90" t="s">
        <v>2327</v>
      </c>
      <c r="AI137" s="90" t="s">
        <v>2327</v>
      </c>
      <c r="AJ137" s="90" t="s">
        <v>2051</v>
      </c>
      <c r="AK137" s="90" t="s">
        <v>36</v>
      </c>
      <c r="AL137" s="90" t="s">
        <v>1635</v>
      </c>
      <c r="AM137" s="90" t="s">
        <v>2307</v>
      </c>
      <c r="AN137" s="90" t="s">
        <v>2054</v>
      </c>
      <c r="AO137" s="87" t="s">
        <v>1949</v>
      </c>
      <c r="AP137" s="87" t="s">
        <v>1950</v>
      </c>
      <c r="AQ137" s="90" t="s">
        <v>2419</v>
      </c>
      <c r="AR137" s="91"/>
      <c r="AS137" s="91"/>
      <c r="AT137" s="91"/>
      <c r="AU137" s="87" t="s">
        <v>1972</v>
      </c>
      <c r="AV137" s="91"/>
      <c r="AW137" s="91"/>
      <c r="AX137" s="91"/>
      <c r="AY137" s="91"/>
      <c r="AZ137" t="str">
        <f t="shared" si="12"/>
        <v>213066</v>
      </c>
      <c r="BA137" t="str">
        <f t="shared" si="13"/>
        <v>0077</v>
      </c>
      <c r="BB137" t="str">
        <f t="shared" si="17"/>
        <v>0000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>IFERROR(VLOOKUP(X137,'Status Map'!A:B,2,FALSE),"Status Code Not Mapped")</f>
        <v>Y</v>
      </c>
      <c r="BL137" t="str">
        <f>IFERROR(VLOOKUP(D137,'Invoice Exception Map'!A:C,3,FALSE),"N")</f>
        <v>N</v>
      </c>
      <c r="BM137">
        <f t="shared" si="14"/>
        <v>6</v>
      </c>
      <c r="BN137" t="str">
        <f t="shared" si="15"/>
        <v>DACKE</v>
      </c>
      <c r="BO137" t="str">
        <f t="shared" si="16"/>
        <v>CENNETH</v>
      </c>
    </row>
    <row r="138" spans="1:67" ht="16" thickBot="1" x14ac:dyDescent="0.25">
      <c r="A138" s="90" t="s">
        <v>2298</v>
      </c>
      <c r="B138" s="90" t="s">
        <v>2299</v>
      </c>
      <c r="C138" s="90" t="s">
        <v>2300</v>
      </c>
      <c r="D138" s="90" t="s">
        <v>3531</v>
      </c>
      <c r="E138" s="90" t="s">
        <v>1953</v>
      </c>
      <c r="F138" s="90" t="s">
        <v>2420</v>
      </c>
      <c r="G138" s="90" t="s">
        <v>2310</v>
      </c>
      <c r="H138" s="90" t="s">
        <v>267</v>
      </c>
      <c r="I138" s="90" t="s">
        <v>1944</v>
      </c>
      <c r="J138" s="90" t="s">
        <v>1620</v>
      </c>
      <c r="K138" s="90" t="s">
        <v>2012</v>
      </c>
      <c r="L138" s="90" t="s">
        <v>2311</v>
      </c>
      <c r="M138" s="87" t="s">
        <v>2007</v>
      </c>
      <c r="N138" s="87" t="s">
        <v>2013</v>
      </c>
      <c r="O138" s="88">
        <v>34981</v>
      </c>
      <c r="P138" s="89">
        <v>30.9</v>
      </c>
      <c r="Q138" s="90" t="s">
        <v>3086</v>
      </c>
      <c r="R138" s="90" t="s">
        <v>3264</v>
      </c>
      <c r="S138" s="90" t="s">
        <v>2363</v>
      </c>
      <c r="T138" s="90" t="s">
        <v>2305</v>
      </c>
      <c r="U138" s="90" t="s">
        <v>1640</v>
      </c>
      <c r="V138" s="88">
        <v>34981</v>
      </c>
      <c r="W138" s="88">
        <v>34981</v>
      </c>
      <c r="X138" s="90" t="s">
        <v>43</v>
      </c>
      <c r="Y138" s="90" t="s">
        <v>257</v>
      </c>
      <c r="Z138" s="90" t="s">
        <v>36</v>
      </c>
      <c r="AA138" s="91"/>
      <c r="AB138" s="91"/>
      <c r="AC138" s="90" t="s">
        <v>2051</v>
      </c>
      <c r="AD138" s="90" t="s">
        <v>267</v>
      </c>
      <c r="AE138" s="90" t="s">
        <v>1636</v>
      </c>
      <c r="AF138" s="90" t="s">
        <v>2004</v>
      </c>
      <c r="AG138" s="90" t="s">
        <v>3266</v>
      </c>
      <c r="AH138" s="90" t="s">
        <v>2327</v>
      </c>
      <c r="AI138" s="90" t="s">
        <v>2327</v>
      </c>
      <c r="AJ138" s="90" t="s">
        <v>2051</v>
      </c>
      <c r="AK138" s="90" t="s">
        <v>36</v>
      </c>
      <c r="AL138" s="90" t="s">
        <v>1635</v>
      </c>
      <c r="AM138" s="90" t="s">
        <v>2307</v>
      </c>
      <c r="AN138" s="90" t="s">
        <v>2054</v>
      </c>
      <c r="AO138" s="87" t="s">
        <v>1949</v>
      </c>
      <c r="AP138" s="87" t="s">
        <v>1950</v>
      </c>
      <c r="AQ138" s="90" t="s">
        <v>2421</v>
      </c>
      <c r="AR138" s="91"/>
      <c r="AS138" s="91"/>
      <c r="AT138" s="91"/>
      <c r="AU138" s="87" t="s">
        <v>1972</v>
      </c>
      <c r="AV138" s="91"/>
      <c r="AW138" s="91"/>
      <c r="AX138" s="91"/>
      <c r="AY138" s="91"/>
      <c r="AZ138" t="str">
        <f t="shared" si="12"/>
        <v>213066</v>
      </c>
      <c r="BA138" t="str">
        <f t="shared" si="13"/>
        <v>0077</v>
      </c>
      <c r="BB138" t="str">
        <f t="shared" si="17"/>
        <v>0000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>IFERROR(VLOOKUP(X138,'Status Map'!A:B,2,FALSE),"Status Code Not Mapped")</f>
        <v>Y</v>
      </c>
      <c r="BL138" t="str">
        <f>IFERROR(VLOOKUP(D138,'Invoice Exception Map'!A:C,3,FALSE),"N")</f>
        <v>N</v>
      </c>
      <c r="BM138">
        <f t="shared" si="14"/>
        <v>6</v>
      </c>
      <c r="BN138" t="str">
        <f t="shared" si="15"/>
        <v>DACKE</v>
      </c>
      <c r="BO138" t="str">
        <f t="shared" si="16"/>
        <v>CHRISTER</v>
      </c>
    </row>
    <row r="139" spans="1:67" ht="16" thickBot="1" x14ac:dyDescent="0.25">
      <c r="A139" s="90" t="s">
        <v>2298</v>
      </c>
      <c r="B139" s="90" t="s">
        <v>2299</v>
      </c>
      <c r="C139" s="90" t="s">
        <v>2300</v>
      </c>
      <c r="D139" s="90" t="s">
        <v>3532</v>
      </c>
      <c r="E139" s="90" t="s">
        <v>1953</v>
      </c>
      <c r="F139" s="90" t="s">
        <v>2422</v>
      </c>
      <c r="G139" s="90" t="s">
        <v>2310</v>
      </c>
      <c r="H139" s="90" t="s">
        <v>267</v>
      </c>
      <c r="I139" s="90" t="s">
        <v>1944</v>
      </c>
      <c r="J139" s="90" t="s">
        <v>1620</v>
      </c>
      <c r="K139" s="90" t="s">
        <v>2012</v>
      </c>
      <c r="L139" s="90" t="s">
        <v>2311</v>
      </c>
      <c r="M139" s="87" t="s">
        <v>2007</v>
      </c>
      <c r="N139" s="87" t="s">
        <v>2013</v>
      </c>
      <c r="O139" s="88">
        <v>44725</v>
      </c>
      <c r="P139" s="89">
        <v>4.2</v>
      </c>
      <c r="Q139" s="90" t="s">
        <v>3086</v>
      </c>
      <c r="R139" s="90" t="s">
        <v>3255</v>
      </c>
      <c r="S139" s="90" t="s">
        <v>2315</v>
      </c>
      <c r="T139" s="90" t="s">
        <v>2305</v>
      </c>
      <c r="U139" s="90" t="s">
        <v>1640</v>
      </c>
      <c r="V139" s="88">
        <v>44725</v>
      </c>
      <c r="W139" s="88">
        <v>44725</v>
      </c>
      <c r="X139" s="90" t="s">
        <v>43</v>
      </c>
      <c r="Y139" s="90" t="s">
        <v>257</v>
      </c>
      <c r="Z139" s="90" t="s">
        <v>36</v>
      </c>
      <c r="AA139" s="91"/>
      <c r="AB139" s="91"/>
      <c r="AC139" s="90" t="s">
        <v>2051</v>
      </c>
      <c r="AD139" s="90" t="s">
        <v>267</v>
      </c>
      <c r="AE139" s="90" t="s">
        <v>1636</v>
      </c>
      <c r="AF139" s="90" t="s">
        <v>2004</v>
      </c>
      <c r="AG139" s="90" t="s">
        <v>3258</v>
      </c>
      <c r="AH139" s="90" t="s">
        <v>2306</v>
      </c>
      <c r="AI139" s="90" t="s">
        <v>2306</v>
      </c>
      <c r="AJ139" s="90" t="s">
        <v>2051</v>
      </c>
      <c r="AK139" s="91"/>
      <c r="AL139" s="90" t="s">
        <v>1635</v>
      </c>
      <c r="AM139" s="90" t="s">
        <v>2307</v>
      </c>
      <c r="AN139" s="90" t="s">
        <v>2054</v>
      </c>
      <c r="AO139" s="87" t="s">
        <v>1949</v>
      </c>
      <c r="AP139" s="87" t="s">
        <v>1950</v>
      </c>
      <c r="AQ139" s="90" t="s">
        <v>2423</v>
      </c>
      <c r="AR139" s="91"/>
      <c r="AS139" s="91"/>
      <c r="AT139" s="91"/>
      <c r="AU139" s="87" t="s">
        <v>1972</v>
      </c>
      <c r="AV139" s="91"/>
      <c r="AW139" s="91"/>
      <c r="AX139" s="91"/>
      <c r="AY139" s="91"/>
      <c r="AZ139" t="str">
        <f t="shared" si="12"/>
        <v>205315</v>
      </c>
      <c r="BA139" t="str">
        <f t="shared" si="13"/>
        <v>0077</v>
      </c>
      <c r="BB139" t="str">
        <f t="shared" si="17"/>
        <v>0000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>IFERROR(VLOOKUP(X139,'Status Map'!A:B,2,FALSE),"Status Code Not Mapped")</f>
        <v>Y</v>
      </c>
      <c r="BL139" t="str">
        <f>IFERROR(VLOOKUP(D139,'Invoice Exception Map'!A:C,3,FALSE),"N")</f>
        <v>N</v>
      </c>
      <c r="BM139">
        <f t="shared" si="14"/>
        <v>9</v>
      </c>
      <c r="BN139" t="str">
        <f t="shared" si="15"/>
        <v>DAHLGREN</v>
      </c>
      <c r="BO139" t="str">
        <f t="shared" si="16"/>
        <v>LABAN</v>
      </c>
    </row>
    <row r="140" spans="1:67" ht="16" thickBot="1" x14ac:dyDescent="0.25">
      <c r="A140" s="90" t="s">
        <v>2298</v>
      </c>
      <c r="B140" s="90" t="s">
        <v>2299</v>
      </c>
      <c r="C140" s="90" t="s">
        <v>2300</v>
      </c>
      <c r="D140" s="90" t="s">
        <v>3533</v>
      </c>
      <c r="E140" s="90" t="s">
        <v>1953</v>
      </c>
      <c r="F140" s="90" t="s">
        <v>2424</v>
      </c>
      <c r="G140" s="90" t="s">
        <v>2310</v>
      </c>
      <c r="H140" s="90" t="s">
        <v>267</v>
      </c>
      <c r="I140" s="90" t="s">
        <v>1944</v>
      </c>
      <c r="J140" s="90" t="s">
        <v>1620</v>
      </c>
      <c r="K140" s="90" t="s">
        <v>2012</v>
      </c>
      <c r="L140" s="90" t="s">
        <v>2425</v>
      </c>
      <c r="M140" s="87" t="s">
        <v>2007</v>
      </c>
      <c r="N140" s="87" t="s">
        <v>2013</v>
      </c>
      <c r="O140" s="88">
        <v>41160</v>
      </c>
      <c r="P140" s="89">
        <v>14</v>
      </c>
      <c r="Q140" s="90" t="s">
        <v>3086</v>
      </c>
      <c r="R140" s="90" t="s">
        <v>3253</v>
      </c>
      <c r="S140" s="90" t="s">
        <v>2304</v>
      </c>
      <c r="T140" s="90" t="s">
        <v>2305</v>
      </c>
      <c r="U140" s="90" t="s">
        <v>1640</v>
      </c>
      <c r="V140" s="88">
        <v>41160</v>
      </c>
      <c r="W140" s="88">
        <v>41160</v>
      </c>
      <c r="X140" s="90" t="s">
        <v>43</v>
      </c>
      <c r="Y140" s="90" t="s">
        <v>257</v>
      </c>
      <c r="Z140" s="90" t="s">
        <v>36</v>
      </c>
      <c r="AA140" s="91"/>
      <c r="AB140" s="91"/>
      <c r="AC140" s="90" t="s">
        <v>2051</v>
      </c>
      <c r="AD140" s="90" t="s">
        <v>267</v>
      </c>
      <c r="AE140" s="90" t="s">
        <v>1636</v>
      </c>
      <c r="AF140" s="90" t="s">
        <v>2004</v>
      </c>
      <c r="AG140" s="90" t="s">
        <v>2793</v>
      </c>
      <c r="AH140" s="90" t="s">
        <v>2306</v>
      </c>
      <c r="AI140" s="90" t="s">
        <v>2306</v>
      </c>
      <c r="AJ140" s="90" t="s">
        <v>2051</v>
      </c>
      <c r="AK140" s="90" t="s">
        <v>36</v>
      </c>
      <c r="AL140" s="90" t="s">
        <v>1635</v>
      </c>
      <c r="AM140" s="90" t="s">
        <v>2307</v>
      </c>
      <c r="AN140" s="90" t="s">
        <v>2054</v>
      </c>
      <c r="AO140" s="87" t="s">
        <v>1949</v>
      </c>
      <c r="AP140" s="87" t="s">
        <v>1950</v>
      </c>
      <c r="AQ140" s="90" t="s">
        <v>2426</v>
      </c>
      <c r="AR140" s="91"/>
      <c r="AS140" s="91"/>
      <c r="AT140" s="91"/>
      <c r="AU140" s="87" t="s">
        <v>1972</v>
      </c>
      <c r="AV140" s="91"/>
      <c r="AW140" s="91"/>
      <c r="AX140" s="91"/>
      <c r="AY140" s="91"/>
      <c r="AZ140" t="str">
        <f t="shared" si="12"/>
        <v>212110</v>
      </c>
      <c r="BA140" t="str">
        <f t="shared" si="13"/>
        <v>0077</v>
      </c>
      <c r="BB140" t="str">
        <f t="shared" si="17"/>
        <v>0000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>IFERROR(VLOOKUP(X140,'Status Map'!A:B,2,FALSE),"Status Code Not Mapped")</f>
        <v>Y</v>
      </c>
      <c r="BL140" t="str">
        <f>IFERROR(VLOOKUP(D140,'Invoice Exception Map'!A:C,3,FALSE),"N")</f>
        <v>N</v>
      </c>
      <c r="BM140">
        <f t="shared" si="14"/>
        <v>9</v>
      </c>
      <c r="BN140" t="str">
        <f t="shared" si="15"/>
        <v>DAHLGREN</v>
      </c>
      <c r="BO140" t="str">
        <f t="shared" si="16"/>
        <v>MAGNUS</v>
      </c>
    </row>
    <row r="141" spans="1:67" ht="16" thickBot="1" x14ac:dyDescent="0.25">
      <c r="A141" s="90" t="s">
        <v>2298</v>
      </c>
      <c r="B141" s="90" t="s">
        <v>2299</v>
      </c>
      <c r="C141" s="90" t="s">
        <v>2300</v>
      </c>
      <c r="D141" s="90" t="s">
        <v>3534</v>
      </c>
      <c r="E141" s="90" t="s">
        <v>1953</v>
      </c>
      <c r="F141" s="90" t="s">
        <v>2427</v>
      </c>
      <c r="G141" s="90" t="s">
        <v>2221</v>
      </c>
      <c r="H141" s="90" t="s">
        <v>267</v>
      </c>
      <c r="I141" s="90" t="s">
        <v>1944</v>
      </c>
      <c r="J141" s="90" t="s">
        <v>1620</v>
      </c>
      <c r="K141" s="90" t="s">
        <v>2222</v>
      </c>
      <c r="L141" s="90" t="s">
        <v>2003</v>
      </c>
      <c r="M141" s="87" t="s">
        <v>2003</v>
      </c>
      <c r="N141" s="87" t="s">
        <v>1999</v>
      </c>
      <c r="O141" s="88">
        <v>42892</v>
      </c>
      <c r="P141" s="89">
        <v>9.1999999999999993</v>
      </c>
      <c r="Q141" s="90" t="s">
        <v>3084</v>
      </c>
      <c r="R141" s="90" t="s">
        <v>3256</v>
      </c>
      <c r="S141" s="90" t="s">
        <v>2319</v>
      </c>
      <c r="T141" s="90" t="s">
        <v>2305</v>
      </c>
      <c r="U141" s="90" t="s">
        <v>1640</v>
      </c>
      <c r="V141" s="88">
        <v>42892</v>
      </c>
      <c r="W141" s="88">
        <v>42892</v>
      </c>
      <c r="X141" s="90" t="s">
        <v>43</v>
      </c>
      <c r="Y141" s="90" t="s">
        <v>257</v>
      </c>
      <c r="Z141" s="90" t="s">
        <v>36</v>
      </c>
      <c r="AA141" s="91"/>
      <c r="AB141" s="91"/>
      <c r="AC141" s="90" t="s">
        <v>2051</v>
      </c>
      <c r="AD141" s="90" t="s">
        <v>267</v>
      </c>
      <c r="AE141" s="90" t="s">
        <v>1636</v>
      </c>
      <c r="AF141" s="90" t="s">
        <v>2004</v>
      </c>
      <c r="AG141" s="90" t="s">
        <v>2793</v>
      </c>
      <c r="AH141" s="90" t="s">
        <v>2320</v>
      </c>
      <c r="AI141" s="90" t="s">
        <v>2320</v>
      </c>
      <c r="AJ141" s="90" t="s">
        <v>2051</v>
      </c>
      <c r="AK141" s="90" t="s">
        <v>36</v>
      </c>
      <c r="AL141" s="90" t="s">
        <v>1635</v>
      </c>
      <c r="AM141" s="90" t="s">
        <v>2307</v>
      </c>
      <c r="AN141" s="90" t="s">
        <v>2054</v>
      </c>
      <c r="AO141" s="87" t="s">
        <v>1949</v>
      </c>
      <c r="AP141" s="87" t="s">
        <v>1950</v>
      </c>
      <c r="AQ141" s="90" t="s">
        <v>2428</v>
      </c>
      <c r="AR141" s="91"/>
      <c r="AS141" s="91"/>
      <c r="AT141" s="91"/>
      <c r="AU141" s="87" t="s">
        <v>1972</v>
      </c>
      <c r="AV141" s="91"/>
      <c r="AW141" s="91"/>
      <c r="AX141" s="91"/>
      <c r="AY141" s="91"/>
      <c r="AZ141" t="str">
        <f t="shared" si="12"/>
        <v>205383</v>
      </c>
      <c r="BA141" t="str">
        <f t="shared" si="13"/>
        <v>0077</v>
      </c>
      <c r="BB141" t="str">
        <f t="shared" si="17"/>
        <v>0000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>IFERROR(VLOOKUP(X141,'Status Map'!A:B,2,FALSE),"Status Code Not Mapped")</f>
        <v>Y</v>
      </c>
      <c r="BL141" t="str">
        <f>IFERROR(VLOOKUP(D141,'Invoice Exception Map'!A:C,3,FALSE),"N")</f>
        <v>N</v>
      </c>
      <c r="BM141">
        <f t="shared" si="14"/>
        <v>6</v>
      </c>
      <c r="BN141" t="str">
        <f t="shared" si="15"/>
        <v>DAMNE</v>
      </c>
      <c r="BO141" t="str">
        <f t="shared" si="16"/>
        <v>KLAS</v>
      </c>
    </row>
    <row r="142" spans="1:67" ht="16" thickBot="1" x14ac:dyDescent="0.25">
      <c r="A142" s="90" t="s">
        <v>2298</v>
      </c>
      <c r="B142" s="90" t="s">
        <v>2299</v>
      </c>
      <c r="C142" s="90" t="s">
        <v>2300</v>
      </c>
      <c r="D142" s="90" t="s">
        <v>3535</v>
      </c>
      <c r="E142" s="90" t="s">
        <v>1953</v>
      </c>
      <c r="F142" s="90" t="s">
        <v>2429</v>
      </c>
      <c r="G142" s="90" t="s">
        <v>2318</v>
      </c>
      <c r="H142" s="90" t="s">
        <v>267</v>
      </c>
      <c r="I142" s="90" t="s">
        <v>1944</v>
      </c>
      <c r="J142" s="90" t="s">
        <v>1620</v>
      </c>
      <c r="K142" s="90" t="s">
        <v>247</v>
      </c>
      <c r="L142" s="90" t="s">
        <v>2003</v>
      </c>
      <c r="M142" s="87" t="s">
        <v>2003</v>
      </c>
      <c r="N142" s="87" t="s">
        <v>1999</v>
      </c>
      <c r="O142" s="88">
        <v>41708</v>
      </c>
      <c r="P142" s="89">
        <v>12.5</v>
      </c>
      <c r="Q142" s="90" t="s">
        <v>3089</v>
      </c>
      <c r="R142" s="90" t="s">
        <v>3261</v>
      </c>
      <c r="S142" s="90" t="s">
        <v>2346</v>
      </c>
      <c r="T142" s="90" t="s">
        <v>2305</v>
      </c>
      <c r="U142" s="90" t="s">
        <v>1640</v>
      </c>
      <c r="V142" s="88">
        <v>41708</v>
      </c>
      <c r="W142" s="88">
        <v>41708</v>
      </c>
      <c r="X142" s="90" t="s">
        <v>43</v>
      </c>
      <c r="Y142" s="90" t="s">
        <v>257</v>
      </c>
      <c r="Z142" s="90" t="s">
        <v>36</v>
      </c>
      <c r="AA142" s="91"/>
      <c r="AB142" s="91"/>
      <c r="AC142" s="90" t="s">
        <v>2051</v>
      </c>
      <c r="AD142" s="90" t="s">
        <v>267</v>
      </c>
      <c r="AE142" s="90" t="s">
        <v>1636</v>
      </c>
      <c r="AF142" s="90" t="s">
        <v>2004</v>
      </c>
      <c r="AG142" s="90" t="s">
        <v>2793</v>
      </c>
      <c r="AH142" s="90" t="s">
        <v>2320</v>
      </c>
      <c r="AI142" s="90" t="s">
        <v>2320</v>
      </c>
      <c r="AJ142" s="90" t="s">
        <v>2051</v>
      </c>
      <c r="AK142" s="90" t="s">
        <v>36</v>
      </c>
      <c r="AL142" s="90" t="s">
        <v>1635</v>
      </c>
      <c r="AM142" s="90" t="s">
        <v>2307</v>
      </c>
      <c r="AN142" s="90" t="s">
        <v>2054</v>
      </c>
      <c r="AO142" s="87" t="s">
        <v>1949</v>
      </c>
      <c r="AP142" s="87" t="s">
        <v>1950</v>
      </c>
      <c r="AQ142" s="90" t="s">
        <v>2430</v>
      </c>
      <c r="AR142" s="91"/>
      <c r="AS142" s="91"/>
      <c r="AT142" s="91"/>
      <c r="AU142" s="87" t="s">
        <v>1972</v>
      </c>
      <c r="AV142" s="91"/>
      <c r="AW142" s="91"/>
      <c r="AX142" s="91"/>
      <c r="AY142" s="91"/>
      <c r="AZ142" t="str">
        <f t="shared" si="12"/>
        <v>205116</v>
      </c>
      <c r="BA142" t="str">
        <f t="shared" si="13"/>
        <v>0077</v>
      </c>
      <c r="BB142" t="str">
        <f t="shared" si="17"/>
        <v>0000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>IFERROR(VLOOKUP(X142,'Status Map'!A:B,2,FALSE),"Status Code Not Mapped")</f>
        <v>Y</v>
      </c>
      <c r="BL142" t="str">
        <f>IFERROR(VLOOKUP(D142,'Invoice Exception Map'!A:C,3,FALSE),"N")</f>
        <v>N</v>
      </c>
      <c r="BM142">
        <f t="shared" si="14"/>
        <v>11</v>
      </c>
      <c r="BN142" t="str">
        <f t="shared" si="15"/>
        <v>DONNERBORG</v>
      </c>
      <c r="BO142" t="str">
        <f t="shared" si="16"/>
        <v>HENRIK</v>
      </c>
    </row>
    <row r="143" spans="1:67" ht="16" thickBot="1" x14ac:dyDescent="0.25">
      <c r="A143" s="90" t="s">
        <v>2298</v>
      </c>
      <c r="B143" s="90" t="s">
        <v>2299</v>
      </c>
      <c r="C143" s="90" t="s">
        <v>2300</v>
      </c>
      <c r="D143" s="90" t="s">
        <v>3536</v>
      </c>
      <c r="E143" s="90" t="s">
        <v>1953</v>
      </c>
      <c r="F143" s="90" t="s">
        <v>2431</v>
      </c>
      <c r="G143" s="90" t="s">
        <v>2318</v>
      </c>
      <c r="H143" s="90" t="s">
        <v>267</v>
      </c>
      <c r="I143" s="90" t="s">
        <v>1944</v>
      </c>
      <c r="J143" s="90" t="s">
        <v>1620</v>
      </c>
      <c r="K143" s="90" t="s">
        <v>247</v>
      </c>
      <c r="L143" s="90" t="s">
        <v>2003</v>
      </c>
      <c r="M143" s="87" t="s">
        <v>2003</v>
      </c>
      <c r="N143" s="87" t="s">
        <v>1999</v>
      </c>
      <c r="O143" s="88">
        <v>40441</v>
      </c>
      <c r="P143" s="89">
        <v>15.9</v>
      </c>
      <c r="Q143" s="90" t="s">
        <v>3089</v>
      </c>
      <c r="R143" s="90" t="s">
        <v>3256</v>
      </c>
      <c r="S143" s="90" t="s">
        <v>2319</v>
      </c>
      <c r="T143" s="90" t="s">
        <v>2305</v>
      </c>
      <c r="U143" s="90" t="s">
        <v>1640</v>
      </c>
      <c r="V143" s="88">
        <v>40441</v>
      </c>
      <c r="W143" s="88">
        <v>40441</v>
      </c>
      <c r="X143" s="90" t="s">
        <v>43</v>
      </c>
      <c r="Y143" s="90" t="s">
        <v>257</v>
      </c>
      <c r="Z143" s="90" t="s">
        <v>36</v>
      </c>
      <c r="AA143" s="91"/>
      <c r="AB143" s="91"/>
      <c r="AC143" s="90" t="s">
        <v>2051</v>
      </c>
      <c r="AD143" s="90" t="s">
        <v>267</v>
      </c>
      <c r="AE143" s="90" t="s">
        <v>1636</v>
      </c>
      <c r="AF143" s="90" t="s">
        <v>2004</v>
      </c>
      <c r="AG143" s="90" t="s">
        <v>3271</v>
      </c>
      <c r="AH143" s="90" t="s">
        <v>2320</v>
      </c>
      <c r="AI143" s="90" t="s">
        <v>2320</v>
      </c>
      <c r="AJ143" s="90" t="s">
        <v>2051</v>
      </c>
      <c r="AK143" s="90" t="s">
        <v>36</v>
      </c>
      <c r="AL143" s="90" t="s">
        <v>1635</v>
      </c>
      <c r="AM143" s="90" t="s">
        <v>2307</v>
      </c>
      <c r="AN143" s="90" t="s">
        <v>2054</v>
      </c>
      <c r="AO143" s="87" t="s">
        <v>1949</v>
      </c>
      <c r="AP143" s="87" t="s">
        <v>1950</v>
      </c>
      <c r="AQ143" s="90" t="s">
        <v>2432</v>
      </c>
      <c r="AR143" s="91"/>
      <c r="AS143" s="91"/>
      <c r="AT143" s="91"/>
      <c r="AU143" s="87" t="s">
        <v>1972</v>
      </c>
      <c r="AV143" s="91"/>
      <c r="AW143" s="91"/>
      <c r="AX143" s="91"/>
      <c r="AY143" s="91"/>
      <c r="AZ143" t="str">
        <f t="shared" si="12"/>
        <v>205383</v>
      </c>
      <c r="BA143" t="str">
        <f t="shared" si="13"/>
        <v>0077</v>
      </c>
      <c r="BB143" t="str">
        <f t="shared" si="17"/>
        <v>0000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>IFERROR(VLOOKUP(X143,'Status Map'!A:B,2,FALSE),"Status Code Not Mapped")</f>
        <v>Y</v>
      </c>
      <c r="BL143" t="str">
        <f>IFERROR(VLOOKUP(D143,'Invoice Exception Map'!A:C,3,FALSE),"N")</f>
        <v>N</v>
      </c>
      <c r="BM143">
        <f t="shared" si="14"/>
        <v>5</v>
      </c>
      <c r="BN143" t="str">
        <f t="shared" si="15"/>
        <v>DYYK</v>
      </c>
      <c r="BO143" t="str">
        <f t="shared" si="16"/>
        <v>BENNY</v>
      </c>
    </row>
    <row r="144" spans="1:67" ht="16" thickBot="1" x14ac:dyDescent="0.25">
      <c r="A144" s="90" t="s">
        <v>2298</v>
      </c>
      <c r="B144" s="90" t="s">
        <v>2299</v>
      </c>
      <c r="C144" s="90" t="s">
        <v>2300</v>
      </c>
      <c r="D144" s="90" t="s">
        <v>3537</v>
      </c>
      <c r="E144" s="90" t="s">
        <v>1953</v>
      </c>
      <c r="F144" s="90" t="s">
        <v>2433</v>
      </c>
      <c r="G144" s="90" t="s">
        <v>2318</v>
      </c>
      <c r="H144" s="90" t="s">
        <v>267</v>
      </c>
      <c r="I144" s="90" t="s">
        <v>1944</v>
      </c>
      <c r="J144" s="90" t="s">
        <v>1620</v>
      </c>
      <c r="K144" s="90" t="s">
        <v>247</v>
      </c>
      <c r="L144" s="90" t="s">
        <v>2003</v>
      </c>
      <c r="M144" s="87" t="s">
        <v>2003</v>
      </c>
      <c r="N144" s="87" t="s">
        <v>1999</v>
      </c>
      <c r="O144" s="88">
        <v>37526</v>
      </c>
      <c r="P144" s="89">
        <v>23.9</v>
      </c>
      <c r="Q144" s="90" t="s">
        <v>3089</v>
      </c>
      <c r="R144" s="90" t="s">
        <v>3261</v>
      </c>
      <c r="S144" s="90" t="s">
        <v>2346</v>
      </c>
      <c r="T144" s="90" t="s">
        <v>2305</v>
      </c>
      <c r="U144" s="90" t="s">
        <v>1640</v>
      </c>
      <c r="V144" s="88">
        <v>37526</v>
      </c>
      <c r="W144" s="88">
        <v>37526</v>
      </c>
      <c r="X144" s="90" t="s">
        <v>43</v>
      </c>
      <c r="Y144" s="90" t="s">
        <v>257</v>
      </c>
      <c r="Z144" s="90" t="s">
        <v>36</v>
      </c>
      <c r="AA144" s="91"/>
      <c r="AB144" s="91"/>
      <c r="AC144" s="90" t="s">
        <v>2051</v>
      </c>
      <c r="AD144" s="90" t="s">
        <v>267</v>
      </c>
      <c r="AE144" s="90" t="s">
        <v>1636</v>
      </c>
      <c r="AF144" s="90" t="s">
        <v>2004</v>
      </c>
      <c r="AG144" s="90" t="s">
        <v>2793</v>
      </c>
      <c r="AH144" s="90" t="s">
        <v>2320</v>
      </c>
      <c r="AI144" s="90" t="s">
        <v>2320</v>
      </c>
      <c r="AJ144" s="90" t="s">
        <v>2051</v>
      </c>
      <c r="AK144" s="90" t="s">
        <v>36</v>
      </c>
      <c r="AL144" s="90" t="s">
        <v>1635</v>
      </c>
      <c r="AM144" s="90" t="s">
        <v>2307</v>
      </c>
      <c r="AN144" s="90" t="s">
        <v>2054</v>
      </c>
      <c r="AO144" s="87" t="s">
        <v>1949</v>
      </c>
      <c r="AP144" s="87" t="s">
        <v>1950</v>
      </c>
      <c r="AQ144" s="90" t="s">
        <v>2434</v>
      </c>
      <c r="AR144" s="91"/>
      <c r="AS144" s="91"/>
      <c r="AT144" s="91"/>
      <c r="AU144" s="87" t="s">
        <v>1972</v>
      </c>
      <c r="AV144" s="91"/>
      <c r="AW144" s="91"/>
      <c r="AX144" s="91"/>
      <c r="AY144" s="91"/>
      <c r="AZ144" t="str">
        <f t="shared" si="12"/>
        <v>205116</v>
      </c>
      <c r="BA144" t="str">
        <f t="shared" si="13"/>
        <v>0077</v>
      </c>
      <c r="BB144" t="str">
        <f t="shared" si="17"/>
        <v>0000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>IFERROR(VLOOKUP(X144,'Status Map'!A:B,2,FALSE),"Status Code Not Mapped")</f>
        <v>Y</v>
      </c>
      <c r="BL144" t="str">
        <f>IFERROR(VLOOKUP(D144,'Invoice Exception Map'!A:C,3,FALSE),"N")</f>
        <v>N</v>
      </c>
      <c r="BM144">
        <f t="shared" si="14"/>
        <v>11</v>
      </c>
      <c r="BN144" t="str">
        <f t="shared" si="15"/>
        <v>EFRAIMSSON</v>
      </c>
      <c r="BO144" t="str">
        <f t="shared" si="16"/>
        <v>MIKAEL</v>
      </c>
    </row>
    <row r="145" spans="1:67" ht="16" thickBot="1" x14ac:dyDescent="0.25">
      <c r="A145" s="90" t="s">
        <v>2298</v>
      </c>
      <c r="B145" s="90" t="s">
        <v>2299</v>
      </c>
      <c r="C145" s="90" t="s">
        <v>2300</v>
      </c>
      <c r="D145" s="90" t="s">
        <v>3538</v>
      </c>
      <c r="E145" s="90" t="s">
        <v>1953</v>
      </c>
      <c r="F145" s="90" t="s">
        <v>2435</v>
      </c>
      <c r="G145" s="90" t="s">
        <v>2359</v>
      </c>
      <c r="H145" s="90" t="s">
        <v>1943</v>
      </c>
      <c r="I145" s="90" t="s">
        <v>1944</v>
      </c>
      <c r="J145" s="90" t="s">
        <v>1957</v>
      </c>
      <c r="K145" s="90" t="s">
        <v>2360</v>
      </c>
      <c r="L145" s="90" t="s">
        <v>2361</v>
      </c>
      <c r="M145" s="87" t="s">
        <v>2362</v>
      </c>
      <c r="N145" s="87" t="s">
        <v>2014</v>
      </c>
      <c r="O145" s="88">
        <v>40139</v>
      </c>
      <c r="P145" s="89">
        <v>16.8</v>
      </c>
      <c r="Q145" s="90" t="s">
        <v>3087</v>
      </c>
      <c r="R145" s="90" t="s">
        <v>3264</v>
      </c>
      <c r="S145" s="90" t="s">
        <v>2363</v>
      </c>
      <c r="T145" s="90" t="s">
        <v>2305</v>
      </c>
      <c r="U145" s="90" t="s">
        <v>1640</v>
      </c>
      <c r="V145" s="88">
        <v>40139</v>
      </c>
      <c r="W145" s="88">
        <v>40139</v>
      </c>
      <c r="X145" s="90" t="s">
        <v>43</v>
      </c>
      <c r="Y145" s="90" t="s">
        <v>257</v>
      </c>
      <c r="Z145" s="90" t="s">
        <v>36</v>
      </c>
      <c r="AA145" s="91"/>
      <c r="AB145" s="91"/>
      <c r="AC145" s="90" t="s">
        <v>2051</v>
      </c>
      <c r="AD145" s="90" t="s">
        <v>267</v>
      </c>
      <c r="AE145" s="90" t="s">
        <v>1636</v>
      </c>
      <c r="AF145" s="90" t="s">
        <v>2004</v>
      </c>
      <c r="AG145" s="90" t="s">
        <v>2793</v>
      </c>
      <c r="AH145" s="90" t="s">
        <v>2327</v>
      </c>
      <c r="AI145" s="90" t="s">
        <v>2327</v>
      </c>
      <c r="AJ145" s="90" t="s">
        <v>2051</v>
      </c>
      <c r="AK145" s="90" t="s">
        <v>36</v>
      </c>
      <c r="AL145" s="90" t="s">
        <v>1635</v>
      </c>
      <c r="AM145" s="90" t="s">
        <v>2307</v>
      </c>
      <c r="AN145" s="90" t="s">
        <v>2054</v>
      </c>
      <c r="AO145" s="87" t="s">
        <v>1949</v>
      </c>
      <c r="AP145" s="87" t="s">
        <v>1950</v>
      </c>
      <c r="AQ145" s="90" t="s">
        <v>2436</v>
      </c>
      <c r="AR145" s="91"/>
      <c r="AS145" s="91"/>
      <c r="AT145" s="91"/>
      <c r="AU145" s="87" t="s">
        <v>1972</v>
      </c>
      <c r="AV145" s="91"/>
      <c r="AW145" s="91"/>
      <c r="AX145" s="91"/>
      <c r="AY145" s="91"/>
      <c r="AZ145" t="str">
        <f t="shared" si="12"/>
        <v>213066</v>
      </c>
      <c r="BA145" t="str">
        <f t="shared" si="13"/>
        <v>0077</v>
      </c>
      <c r="BB145" t="str">
        <f t="shared" si="17"/>
        <v>0000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>IFERROR(VLOOKUP(X145,'Status Map'!A:B,2,FALSE),"Status Code Not Mapped")</f>
        <v>Y</v>
      </c>
      <c r="BL145" t="str">
        <f>IFERROR(VLOOKUP(D145,'Invoice Exception Map'!A:C,3,FALSE),"N")</f>
        <v>N</v>
      </c>
      <c r="BM145">
        <f t="shared" si="14"/>
        <v>7</v>
      </c>
      <c r="BN145" t="str">
        <f t="shared" si="15"/>
        <v>EKDAHL</v>
      </c>
      <c r="BO145" t="str">
        <f t="shared" si="16"/>
        <v>JONAS</v>
      </c>
    </row>
    <row r="146" spans="1:67" ht="16" thickBot="1" x14ac:dyDescent="0.25">
      <c r="A146" s="90" t="s">
        <v>2298</v>
      </c>
      <c r="B146" s="90" t="s">
        <v>2299</v>
      </c>
      <c r="C146" s="90" t="s">
        <v>2300</v>
      </c>
      <c r="D146" s="90" t="s">
        <v>3539</v>
      </c>
      <c r="E146" s="90" t="s">
        <v>1953</v>
      </c>
      <c r="F146" s="90" t="s">
        <v>2437</v>
      </c>
      <c r="G146" s="90" t="s">
        <v>2310</v>
      </c>
      <c r="H146" s="90" t="s">
        <v>267</v>
      </c>
      <c r="I146" s="90" t="s">
        <v>1944</v>
      </c>
      <c r="J146" s="90" t="s">
        <v>1620</v>
      </c>
      <c r="K146" s="90" t="s">
        <v>2012</v>
      </c>
      <c r="L146" s="90" t="s">
        <v>2311</v>
      </c>
      <c r="M146" s="87" t="s">
        <v>2007</v>
      </c>
      <c r="N146" s="87" t="s">
        <v>2013</v>
      </c>
      <c r="O146" s="88">
        <v>35373</v>
      </c>
      <c r="P146" s="89">
        <v>29.8</v>
      </c>
      <c r="Q146" s="90" t="s">
        <v>3086</v>
      </c>
      <c r="R146" s="90" t="s">
        <v>3253</v>
      </c>
      <c r="S146" s="90" t="s">
        <v>2304</v>
      </c>
      <c r="T146" s="90" t="s">
        <v>2305</v>
      </c>
      <c r="U146" s="90" t="s">
        <v>1640</v>
      </c>
      <c r="V146" s="88">
        <v>35373</v>
      </c>
      <c r="W146" s="88">
        <v>35373</v>
      </c>
      <c r="X146" s="90" t="s">
        <v>43</v>
      </c>
      <c r="Y146" s="90" t="s">
        <v>257</v>
      </c>
      <c r="Z146" s="90" t="s">
        <v>36</v>
      </c>
      <c r="AA146" s="91"/>
      <c r="AB146" s="91"/>
      <c r="AC146" s="90" t="s">
        <v>2051</v>
      </c>
      <c r="AD146" s="90" t="s">
        <v>267</v>
      </c>
      <c r="AE146" s="90" t="s">
        <v>1636</v>
      </c>
      <c r="AF146" s="90" t="s">
        <v>2004</v>
      </c>
      <c r="AG146" s="90" t="s">
        <v>2793</v>
      </c>
      <c r="AH146" s="90" t="s">
        <v>2306</v>
      </c>
      <c r="AI146" s="90" t="s">
        <v>2306</v>
      </c>
      <c r="AJ146" s="90" t="s">
        <v>2051</v>
      </c>
      <c r="AK146" s="90" t="s">
        <v>36</v>
      </c>
      <c r="AL146" s="90" t="s">
        <v>1635</v>
      </c>
      <c r="AM146" s="90" t="s">
        <v>2307</v>
      </c>
      <c r="AN146" s="90" t="s">
        <v>2054</v>
      </c>
      <c r="AO146" s="87" t="s">
        <v>1949</v>
      </c>
      <c r="AP146" s="87" t="s">
        <v>1950</v>
      </c>
      <c r="AQ146" s="90" t="s">
        <v>2438</v>
      </c>
      <c r="AR146" s="91"/>
      <c r="AS146" s="91"/>
      <c r="AT146" s="91"/>
      <c r="AU146" s="87" t="s">
        <v>1972</v>
      </c>
      <c r="AV146" s="91"/>
      <c r="AW146" s="91"/>
      <c r="AX146" s="91"/>
      <c r="AY146" s="91"/>
      <c r="AZ146" t="str">
        <f t="shared" si="12"/>
        <v>212110</v>
      </c>
      <c r="BA146" t="str">
        <f t="shared" si="13"/>
        <v>0077</v>
      </c>
      <c r="BB146" t="str">
        <f t="shared" si="17"/>
        <v>0000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>IFERROR(VLOOKUP(X146,'Status Map'!A:B,2,FALSE),"Status Code Not Mapped")</f>
        <v>Y</v>
      </c>
      <c r="BL146" t="str">
        <f>IFERROR(VLOOKUP(D146,'Invoice Exception Map'!A:C,3,FALSE),"N")</f>
        <v>N</v>
      </c>
      <c r="BM146">
        <f t="shared" si="14"/>
        <v>6</v>
      </c>
      <c r="BN146" t="str">
        <f t="shared" si="15"/>
        <v>EKMAN</v>
      </c>
      <c r="BO146" t="str">
        <f t="shared" si="16"/>
        <v>TOMMY</v>
      </c>
    </row>
    <row r="147" spans="1:67" ht="16" thickBot="1" x14ac:dyDescent="0.25">
      <c r="A147" s="90" t="s">
        <v>2298</v>
      </c>
      <c r="B147" s="90" t="s">
        <v>2299</v>
      </c>
      <c r="C147" s="90" t="s">
        <v>2300</v>
      </c>
      <c r="D147" s="90" t="s">
        <v>3540</v>
      </c>
      <c r="E147" s="90" t="s">
        <v>1953</v>
      </c>
      <c r="F147" s="90" t="s">
        <v>2439</v>
      </c>
      <c r="G147" s="90" t="s">
        <v>2323</v>
      </c>
      <c r="H147" s="90" t="s">
        <v>1943</v>
      </c>
      <c r="I147" s="90" t="s">
        <v>1944</v>
      </c>
      <c r="J147" s="90" t="s">
        <v>1620</v>
      </c>
      <c r="K147" s="90" t="s">
        <v>2324</v>
      </c>
      <c r="L147" s="90" t="s">
        <v>2324</v>
      </c>
      <c r="M147" s="87" t="s">
        <v>2010</v>
      </c>
      <c r="N147" s="87" t="s">
        <v>2325</v>
      </c>
      <c r="O147" s="88">
        <v>33035</v>
      </c>
      <c r="P147" s="89">
        <v>36.200000000000003</v>
      </c>
      <c r="Q147" s="90" t="s">
        <v>3087</v>
      </c>
      <c r="R147" s="90" t="s">
        <v>3264</v>
      </c>
      <c r="S147" s="90" t="s">
        <v>2363</v>
      </c>
      <c r="T147" s="90" t="s">
        <v>2305</v>
      </c>
      <c r="U147" s="90" t="s">
        <v>1640</v>
      </c>
      <c r="V147" s="88">
        <v>33035</v>
      </c>
      <c r="W147" s="88">
        <v>33035</v>
      </c>
      <c r="X147" s="90" t="s">
        <v>43</v>
      </c>
      <c r="Y147" s="90" t="s">
        <v>257</v>
      </c>
      <c r="Z147" s="90" t="s">
        <v>36</v>
      </c>
      <c r="AA147" s="91"/>
      <c r="AB147" s="91"/>
      <c r="AC147" s="90" t="s">
        <v>2051</v>
      </c>
      <c r="AD147" s="90" t="s">
        <v>267</v>
      </c>
      <c r="AE147" s="90" t="s">
        <v>1636</v>
      </c>
      <c r="AF147" s="90" t="s">
        <v>2004</v>
      </c>
      <c r="AG147" s="90" t="s">
        <v>2793</v>
      </c>
      <c r="AH147" s="90" t="s">
        <v>2327</v>
      </c>
      <c r="AI147" s="90" t="s">
        <v>2327</v>
      </c>
      <c r="AJ147" s="90" t="s">
        <v>2051</v>
      </c>
      <c r="AK147" s="90" t="s">
        <v>36</v>
      </c>
      <c r="AL147" s="90" t="s">
        <v>1635</v>
      </c>
      <c r="AM147" s="90" t="s">
        <v>2307</v>
      </c>
      <c r="AN147" s="90" t="s">
        <v>2054</v>
      </c>
      <c r="AO147" s="87" t="s">
        <v>1949</v>
      </c>
      <c r="AP147" s="87" t="s">
        <v>1950</v>
      </c>
      <c r="AQ147" s="90" t="s">
        <v>2440</v>
      </c>
      <c r="AR147" s="91"/>
      <c r="AS147" s="91"/>
      <c r="AT147" s="91"/>
      <c r="AU147" s="87" t="s">
        <v>1972</v>
      </c>
      <c r="AV147" s="91"/>
      <c r="AW147" s="91"/>
      <c r="AX147" s="91"/>
      <c r="AY147" s="91"/>
      <c r="AZ147" t="str">
        <f t="shared" si="12"/>
        <v>213066</v>
      </c>
      <c r="BA147" t="str">
        <f t="shared" si="13"/>
        <v>0077</v>
      </c>
      <c r="BB147" t="str">
        <f t="shared" si="17"/>
        <v>0000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>IFERROR(VLOOKUP(X147,'Status Map'!A:B,2,FALSE),"Status Code Not Mapped")</f>
        <v>Y</v>
      </c>
      <c r="BL147" t="str">
        <f>IFERROR(VLOOKUP(D147,'Invoice Exception Map'!A:C,3,FALSE),"N")</f>
        <v>N</v>
      </c>
      <c r="BM147">
        <f t="shared" si="14"/>
        <v>8</v>
      </c>
      <c r="BN147" t="str">
        <f t="shared" si="15"/>
        <v>EKSTRÖM</v>
      </c>
      <c r="BO147" t="str">
        <f t="shared" si="16"/>
        <v>TOMAS</v>
      </c>
    </row>
    <row r="148" spans="1:67" ht="16" thickBot="1" x14ac:dyDescent="0.25">
      <c r="A148" s="90" t="s">
        <v>2298</v>
      </c>
      <c r="B148" s="90" t="s">
        <v>2299</v>
      </c>
      <c r="C148" s="90" t="s">
        <v>2300</v>
      </c>
      <c r="D148" s="90" t="s">
        <v>3541</v>
      </c>
      <c r="E148" s="90" t="s">
        <v>1953</v>
      </c>
      <c r="F148" s="90" t="s">
        <v>2441</v>
      </c>
      <c r="G148" s="90" t="s">
        <v>2318</v>
      </c>
      <c r="H148" s="90" t="s">
        <v>267</v>
      </c>
      <c r="I148" s="90" t="s">
        <v>1944</v>
      </c>
      <c r="J148" s="90" t="s">
        <v>1620</v>
      </c>
      <c r="K148" s="90" t="s">
        <v>247</v>
      </c>
      <c r="L148" s="90" t="s">
        <v>2003</v>
      </c>
      <c r="M148" s="87" t="s">
        <v>2003</v>
      </c>
      <c r="N148" s="87" t="s">
        <v>1999</v>
      </c>
      <c r="O148" s="88">
        <v>40228</v>
      </c>
      <c r="P148" s="89">
        <v>16.5</v>
      </c>
      <c r="Q148" s="90" t="s">
        <v>3089</v>
      </c>
      <c r="R148" s="90" t="s">
        <v>3256</v>
      </c>
      <c r="S148" s="90" t="s">
        <v>2319</v>
      </c>
      <c r="T148" s="90" t="s">
        <v>2305</v>
      </c>
      <c r="U148" s="90" t="s">
        <v>1640</v>
      </c>
      <c r="V148" s="88">
        <v>40228</v>
      </c>
      <c r="W148" s="88">
        <v>40228</v>
      </c>
      <c r="X148" s="90" t="s">
        <v>43</v>
      </c>
      <c r="Y148" s="90" t="s">
        <v>257</v>
      </c>
      <c r="Z148" s="90" t="s">
        <v>36</v>
      </c>
      <c r="AA148" s="91"/>
      <c r="AB148" s="91"/>
      <c r="AC148" s="90" t="s">
        <v>2051</v>
      </c>
      <c r="AD148" s="90" t="s">
        <v>267</v>
      </c>
      <c r="AE148" s="90" t="s">
        <v>1636</v>
      </c>
      <c r="AF148" s="90" t="s">
        <v>2004</v>
      </c>
      <c r="AG148" s="90" t="s">
        <v>2793</v>
      </c>
      <c r="AH148" s="90" t="s">
        <v>2320</v>
      </c>
      <c r="AI148" s="90" t="s">
        <v>2320</v>
      </c>
      <c r="AJ148" s="90" t="s">
        <v>2051</v>
      </c>
      <c r="AK148" s="90" t="s">
        <v>36</v>
      </c>
      <c r="AL148" s="90" t="s">
        <v>1635</v>
      </c>
      <c r="AM148" s="90" t="s">
        <v>2307</v>
      </c>
      <c r="AN148" s="90" t="s">
        <v>2054</v>
      </c>
      <c r="AO148" s="87" t="s">
        <v>1949</v>
      </c>
      <c r="AP148" s="87" t="s">
        <v>1950</v>
      </c>
      <c r="AQ148" s="90" t="s">
        <v>2442</v>
      </c>
      <c r="AR148" s="91"/>
      <c r="AS148" s="91"/>
      <c r="AT148" s="91"/>
      <c r="AU148" s="87" t="s">
        <v>1972</v>
      </c>
      <c r="AV148" s="91"/>
      <c r="AW148" s="91"/>
      <c r="AX148" s="91"/>
      <c r="AY148" s="91"/>
      <c r="AZ148" t="str">
        <f t="shared" si="12"/>
        <v>205383</v>
      </c>
      <c r="BA148" t="str">
        <f t="shared" si="13"/>
        <v>0077</v>
      </c>
      <c r="BB148" t="str">
        <f t="shared" si="17"/>
        <v>0000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>IFERROR(VLOOKUP(X148,'Status Map'!A:B,2,FALSE),"Status Code Not Mapped")</f>
        <v>Y</v>
      </c>
      <c r="BL148" t="str">
        <f>IFERROR(VLOOKUP(D148,'Invoice Exception Map'!A:C,3,FALSE),"N")</f>
        <v>N</v>
      </c>
      <c r="BM148">
        <f t="shared" si="14"/>
        <v>7</v>
      </c>
      <c r="BN148" t="str">
        <f t="shared" si="15"/>
        <v>EKVALL</v>
      </c>
      <c r="BO148" t="str">
        <f t="shared" si="16"/>
        <v>SUSANNE</v>
      </c>
    </row>
    <row r="149" spans="1:67" ht="16" thickBot="1" x14ac:dyDescent="0.25">
      <c r="A149" s="90" t="s">
        <v>2298</v>
      </c>
      <c r="B149" s="90" t="s">
        <v>2299</v>
      </c>
      <c r="C149" s="90" t="s">
        <v>2300</v>
      </c>
      <c r="D149" s="90" t="s">
        <v>3542</v>
      </c>
      <c r="E149" s="90" t="s">
        <v>1953</v>
      </c>
      <c r="F149" s="90" t="s">
        <v>2443</v>
      </c>
      <c r="G149" s="90" t="s">
        <v>2444</v>
      </c>
      <c r="H149" s="90" t="s">
        <v>1943</v>
      </c>
      <c r="I149" s="90" t="s">
        <v>1944</v>
      </c>
      <c r="J149" s="90" t="s">
        <v>1620</v>
      </c>
      <c r="K149" s="90" t="s">
        <v>2445</v>
      </c>
      <c r="L149" s="90" t="s">
        <v>2446</v>
      </c>
      <c r="M149" s="87" t="s">
        <v>1970</v>
      </c>
      <c r="N149" s="87" t="s">
        <v>303</v>
      </c>
      <c r="O149" s="88">
        <v>36948</v>
      </c>
      <c r="P149" s="89">
        <v>25.5</v>
      </c>
      <c r="Q149" s="90" t="s">
        <v>3090</v>
      </c>
      <c r="R149" s="90" t="s">
        <v>3272</v>
      </c>
      <c r="S149" s="90" t="s">
        <v>2447</v>
      </c>
      <c r="T149" s="90" t="s">
        <v>2305</v>
      </c>
      <c r="U149" s="90" t="s">
        <v>1640</v>
      </c>
      <c r="V149" s="88">
        <v>36948</v>
      </c>
      <c r="W149" s="88">
        <v>36948</v>
      </c>
      <c r="X149" s="90" t="s">
        <v>43</v>
      </c>
      <c r="Y149" s="90" t="s">
        <v>257</v>
      </c>
      <c r="Z149" s="90" t="s">
        <v>36</v>
      </c>
      <c r="AA149" s="91"/>
      <c r="AB149" s="91"/>
      <c r="AC149" s="90" t="s">
        <v>2051</v>
      </c>
      <c r="AD149" s="90" t="s">
        <v>267</v>
      </c>
      <c r="AE149" s="90" t="s">
        <v>1636</v>
      </c>
      <c r="AF149" s="90" t="s">
        <v>2004</v>
      </c>
      <c r="AG149" s="90" t="s">
        <v>3273</v>
      </c>
      <c r="AH149" s="90" t="s">
        <v>2327</v>
      </c>
      <c r="AI149" s="90" t="s">
        <v>2327</v>
      </c>
      <c r="AJ149" s="90" t="s">
        <v>2051</v>
      </c>
      <c r="AK149" s="90" t="s">
        <v>36</v>
      </c>
      <c r="AL149" s="90" t="s">
        <v>1635</v>
      </c>
      <c r="AM149" s="90" t="s">
        <v>2307</v>
      </c>
      <c r="AN149" s="90" t="s">
        <v>2054</v>
      </c>
      <c r="AO149" s="87" t="s">
        <v>1949</v>
      </c>
      <c r="AP149" s="87" t="s">
        <v>1950</v>
      </c>
      <c r="AQ149" s="90" t="s">
        <v>2448</v>
      </c>
      <c r="AR149" s="91"/>
      <c r="AS149" s="91"/>
      <c r="AT149" s="91"/>
      <c r="AU149" s="87" t="s">
        <v>1972</v>
      </c>
      <c r="AV149" s="91"/>
      <c r="AW149" s="91"/>
      <c r="AX149" s="91"/>
      <c r="AY149" s="91"/>
      <c r="AZ149" t="str">
        <f t="shared" si="12"/>
        <v>213460</v>
      </c>
      <c r="BA149" t="str">
        <f t="shared" si="13"/>
        <v>0077</v>
      </c>
      <c r="BB149" t="str">
        <f t="shared" si="17"/>
        <v>0000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>IFERROR(VLOOKUP(X149,'Status Map'!A:B,2,FALSE),"Status Code Not Mapped")</f>
        <v>Y</v>
      </c>
      <c r="BL149" t="str">
        <f>IFERROR(VLOOKUP(D149,'Invoice Exception Map'!A:C,3,FALSE),"N")</f>
        <v>N</v>
      </c>
      <c r="BM149">
        <f t="shared" si="14"/>
        <v>4</v>
      </c>
      <c r="BN149" t="str">
        <f t="shared" si="15"/>
        <v>ELM</v>
      </c>
      <c r="BO149" t="str">
        <f t="shared" si="16"/>
        <v>MIKAEL</v>
      </c>
    </row>
    <row r="150" spans="1:67" ht="16" thickBot="1" x14ac:dyDescent="0.25">
      <c r="A150" s="90" t="s">
        <v>2298</v>
      </c>
      <c r="B150" s="90" t="s">
        <v>2299</v>
      </c>
      <c r="C150" s="90" t="s">
        <v>2300</v>
      </c>
      <c r="D150" s="90" t="s">
        <v>3543</v>
      </c>
      <c r="E150" s="90" t="s">
        <v>1953</v>
      </c>
      <c r="F150" s="90" t="s">
        <v>2449</v>
      </c>
      <c r="G150" s="90" t="s">
        <v>2310</v>
      </c>
      <c r="H150" s="90" t="s">
        <v>267</v>
      </c>
      <c r="I150" s="90" t="s">
        <v>1944</v>
      </c>
      <c r="J150" s="90" t="s">
        <v>1620</v>
      </c>
      <c r="K150" s="90" t="s">
        <v>2012</v>
      </c>
      <c r="L150" s="90" t="s">
        <v>2311</v>
      </c>
      <c r="M150" s="87" t="s">
        <v>2007</v>
      </c>
      <c r="N150" s="87" t="s">
        <v>2013</v>
      </c>
      <c r="O150" s="88">
        <v>43101</v>
      </c>
      <c r="P150" s="89">
        <v>8.6</v>
      </c>
      <c r="Q150" s="90" t="s">
        <v>3086</v>
      </c>
      <c r="R150" s="90" t="s">
        <v>3253</v>
      </c>
      <c r="S150" s="90" t="s">
        <v>2304</v>
      </c>
      <c r="T150" s="90" t="s">
        <v>2305</v>
      </c>
      <c r="U150" s="90" t="s">
        <v>1640</v>
      </c>
      <c r="V150" s="88">
        <v>43101</v>
      </c>
      <c r="W150" s="88">
        <v>43101</v>
      </c>
      <c r="X150" s="90" t="s">
        <v>43</v>
      </c>
      <c r="Y150" s="90" t="s">
        <v>257</v>
      </c>
      <c r="Z150" s="90" t="s">
        <v>36</v>
      </c>
      <c r="AA150" s="91"/>
      <c r="AB150" s="91"/>
      <c r="AC150" s="90" t="s">
        <v>2051</v>
      </c>
      <c r="AD150" s="90" t="s">
        <v>267</v>
      </c>
      <c r="AE150" s="90" t="s">
        <v>1636</v>
      </c>
      <c r="AF150" s="90" t="s">
        <v>2004</v>
      </c>
      <c r="AG150" s="90" t="s">
        <v>2793</v>
      </c>
      <c r="AH150" s="90" t="s">
        <v>2306</v>
      </c>
      <c r="AI150" s="90" t="s">
        <v>2306</v>
      </c>
      <c r="AJ150" s="90" t="s">
        <v>2051</v>
      </c>
      <c r="AK150" s="90" t="s">
        <v>36</v>
      </c>
      <c r="AL150" s="90" t="s">
        <v>1635</v>
      </c>
      <c r="AM150" s="90" t="s">
        <v>2307</v>
      </c>
      <c r="AN150" s="90" t="s">
        <v>2054</v>
      </c>
      <c r="AO150" s="87" t="s">
        <v>1949</v>
      </c>
      <c r="AP150" s="87" t="s">
        <v>1950</v>
      </c>
      <c r="AQ150" s="90" t="s">
        <v>2450</v>
      </c>
      <c r="AR150" s="91"/>
      <c r="AS150" s="91"/>
      <c r="AT150" s="91"/>
      <c r="AU150" s="87" t="s">
        <v>1972</v>
      </c>
      <c r="AV150" s="91"/>
      <c r="AW150" s="91"/>
      <c r="AX150" s="91"/>
      <c r="AY150" s="91"/>
      <c r="AZ150" t="str">
        <f t="shared" si="12"/>
        <v>212110</v>
      </c>
      <c r="BA150" t="str">
        <f t="shared" si="13"/>
        <v>0077</v>
      </c>
      <c r="BB150" t="str">
        <f t="shared" si="17"/>
        <v>0000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>IFERROR(VLOOKUP(X150,'Status Map'!A:B,2,FALSE),"Status Code Not Mapped")</f>
        <v>Y</v>
      </c>
      <c r="BL150" t="str">
        <f>IFERROR(VLOOKUP(D150,'Invoice Exception Map'!A:C,3,FALSE),"N")</f>
        <v>N</v>
      </c>
      <c r="BM150">
        <f t="shared" si="14"/>
        <v>8</v>
      </c>
      <c r="BN150" t="str">
        <f t="shared" si="15"/>
        <v>ENGLUND</v>
      </c>
      <c r="BO150" t="str">
        <f t="shared" si="16"/>
        <v>LARS-OLOV</v>
      </c>
    </row>
    <row r="151" spans="1:67" ht="16" thickBot="1" x14ac:dyDescent="0.25">
      <c r="A151" s="90" t="s">
        <v>2298</v>
      </c>
      <c r="B151" s="90" t="s">
        <v>2299</v>
      </c>
      <c r="C151" s="90" t="s">
        <v>2300</v>
      </c>
      <c r="D151" s="90" t="s">
        <v>3544</v>
      </c>
      <c r="E151" s="90" t="s">
        <v>1953</v>
      </c>
      <c r="F151" s="90" t="s">
        <v>2451</v>
      </c>
      <c r="G151" s="90" t="s">
        <v>2302</v>
      </c>
      <c r="H151" s="90" t="s">
        <v>267</v>
      </c>
      <c r="I151" s="90" t="s">
        <v>1944</v>
      </c>
      <c r="J151" s="90" t="s">
        <v>1620</v>
      </c>
      <c r="K151" s="90" t="s">
        <v>2303</v>
      </c>
      <c r="L151" s="90" t="s">
        <v>2227</v>
      </c>
      <c r="M151" s="87" t="s">
        <v>2072</v>
      </c>
      <c r="N151" s="87" t="s">
        <v>1999</v>
      </c>
      <c r="O151" s="88">
        <v>42723</v>
      </c>
      <c r="P151" s="89">
        <v>9.6999999999999993</v>
      </c>
      <c r="Q151" s="90" t="s">
        <v>3086</v>
      </c>
      <c r="R151" s="90" t="s">
        <v>3255</v>
      </c>
      <c r="S151" s="90" t="s">
        <v>2315</v>
      </c>
      <c r="T151" s="90" t="s">
        <v>2305</v>
      </c>
      <c r="U151" s="90" t="s">
        <v>1640</v>
      </c>
      <c r="V151" s="88">
        <v>42723</v>
      </c>
      <c r="W151" s="88">
        <v>42723</v>
      </c>
      <c r="X151" s="90" t="s">
        <v>43</v>
      </c>
      <c r="Y151" s="90" t="s">
        <v>257</v>
      </c>
      <c r="Z151" s="90" t="s">
        <v>36</v>
      </c>
      <c r="AA151" s="91"/>
      <c r="AB151" s="91"/>
      <c r="AC151" s="90" t="s">
        <v>2051</v>
      </c>
      <c r="AD151" s="90" t="s">
        <v>267</v>
      </c>
      <c r="AE151" s="90" t="s">
        <v>1636</v>
      </c>
      <c r="AF151" s="90" t="s">
        <v>2004</v>
      </c>
      <c r="AG151" s="90" t="s">
        <v>2793</v>
      </c>
      <c r="AH151" s="90" t="s">
        <v>2306</v>
      </c>
      <c r="AI151" s="90" t="s">
        <v>2306</v>
      </c>
      <c r="AJ151" s="90" t="s">
        <v>2051</v>
      </c>
      <c r="AK151" s="90" t="s">
        <v>36</v>
      </c>
      <c r="AL151" s="90" t="s">
        <v>1635</v>
      </c>
      <c r="AM151" s="90" t="s">
        <v>2307</v>
      </c>
      <c r="AN151" s="90" t="s">
        <v>2054</v>
      </c>
      <c r="AO151" s="87" t="s">
        <v>1949</v>
      </c>
      <c r="AP151" s="87" t="s">
        <v>1950</v>
      </c>
      <c r="AQ151" s="90" t="s">
        <v>2452</v>
      </c>
      <c r="AR151" s="91"/>
      <c r="AS151" s="91"/>
      <c r="AT151" s="91"/>
      <c r="AU151" s="87" t="s">
        <v>1972</v>
      </c>
      <c r="AV151" s="91"/>
      <c r="AW151" s="91"/>
      <c r="AX151" s="91"/>
      <c r="AY151" s="91"/>
      <c r="AZ151" t="str">
        <f t="shared" si="12"/>
        <v>205315</v>
      </c>
      <c r="BA151" t="str">
        <f t="shared" si="13"/>
        <v>0077</v>
      </c>
      <c r="BB151" t="str">
        <f t="shared" si="17"/>
        <v>0000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>IFERROR(VLOOKUP(X151,'Status Map'!A:B,2,FALSE),"Status Code Not Mapped")</f>
        <v>Y</v>
      </c>
      <c r="BL151" t="str">
        <f>IFERROR(VLOOKUP(D151,'Invoice Exception Map'!A:C,3,FALSE),"N")</f>
        <v>N</v>
      </c>
      <c r="BM151">
        <f t="shared" si="14"/>
        <v>8</v>
      </c>
      <c r="BN151" t="str">
        <f t="shared" si="15"/>
        <v>ENGVALL</v>
      </c>
      <c r="BO151" t="str">
        <f t="shared" si="16"/>
        <v>MATTHIAS</v>
      </c>
    </row>
    <row r="152" spans="1:67" ht="16" thickBot="1" x14ac:dyDescent="0.25">
      <c r="A152" s="90" t="s">
        <v>2298</v>
      </c>
      <c r="B152" s="90" t="s">
        <v>2299</v>
      </c>
      <c r="C152" s="90" t="s">
        <v>2300</v>
      </c>
      <c r="D152" s="90" t="s">
        <v>3545</v>
      </c>
      <c r="E152" s="90" t="s">
        <v>1953</v>
      </c>
      <c r="F152" s="90" t="s">
        <v>2453</v>
      </c>
      <c r="G152" s="90" t="s">
        <v>2444</v>
      </c>
      <c r="H152" s="90" t="s">
        <v>1943</v>
      </c>
      <c r="I152" s="90" t="s">
        <v>1944</v>
      </c>
      <c r="J152" s="90" t="s">
        <v>1620</v>
      </c>
      <c r="K152" s="90" t="s">
        <v>2445</v>
      </c>
      <c r="L152" s="90" t="s">
        <v>2446</v>
      </c>
      <c r="M152" s="87" t="s">
        <v>1970</v>
      </c>
      <c r="N152" s="87" t="s">
        <v>303</v>
      </c>
      <c r="O152" s="88">
        <v>41806</v>
      </c>
      <c r="P152" s="89">
        <v>12.2</v>
      </c>
      <c r="Q152" s="90" t="s">
        <v>3090</v>
      </c>
      <c r="R152" s="90" t="s">
        <v>3272</v>
      </c>
      <c r="S152" s="90" t="s">
        <v>2447</v>
      </c>
      <c r="T152" s="90" t="s">
        <v>2305</v>
      </c>
      <c r="U152" s="90" t="s">
        <v>1640</v>
      </c>
      <c r="V152" s="88">
        <v>41806</v>
      </c>
      <c r="W152" s="88">
        <v>41806</v>
      </c>
      <c r="X152" s="90" t="s">
        <v>43</v>
      </c>
      <c r="Y152" s="90" t="s">
        <v>257</v>
      </c>
      <c r="Z152" s="90" t="s">
        <v>36</v>
      </c>
      <c r="AA152" s="91"/>
      <c r="AB152" s="91"/>
      <c r="AC152" s="90" t="s">
        <v>2051</v>
      </c>
      <c r="AD152" s="90" t="s">
        <v>267</v>
      </c>
      <c r="AE152" s="90" t="s">
        <v>1636</v>
      </c>
      <c r="AF152" s="90" t="s">
        <v>2004</v>
      </c>
      <c r="AG152" s="90" t="s">
        <v>3263</v>
      </c>
      <c r="AH152" s="90" t="s">
        <v>2327</v>
      </c>
      <c r="AI152" s="90" t="s">
        <v>2327</v>
      </c>
      <c r="AJ152" s="90" t="s">
        <v>2051</v>
      </c>
      <c r="AK152" s="90" t="s">
        <v>36</v>
      </c>
      <c r="AL152" s="90" t="s">
        <v>1635</v>
      </c>
      <c r="AM152" s="90" t="s">
        <v>2307</v>
      </c>
      <c r="AN152" s="90" t="s">
        <v>2054</v>
      </c>
      <c r="AO152" s="87" t="s">
        <v>1949</v>
      </c>
      <c r="AP152" s="87" t="s">
        <v>1950</v>
      </c>
      <c r="AQ152" s="90" t="s">
        <v>2454</v>
      </c>
      <c r="AR152" s="91"/>
      <c r="AS152" s="91"/>
      <c r="AT152" s="91"/>
      <c r="AU152" s="87" t="s">
        <v>1972</v>
      </c>
      <c r="AV152" s="91"/>
      <c r="AW152" s="91"/>
      <c r="AX152" s="91"/>
      <c r="AY152" s="91"/>
      <c r="AZ152" t="str">
        <f t="shared" si="12"/>
        <v>213460</v>
      </c>
      <c r="BA152" t="str">
        <f t="shared" si="13"/>
        <v>0077</v>
      </c>
      <c r="BB152" t="str">
        <f t="shared" si="17"/>
        <v>0000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>IFERROR(VLOOKUP(X152,'Status Map'!A:B,2,FALSE),"Status Code Not Mapped")</f>
        <v>Y</v>
      </c>
      <c r="BL152" t="str">
        <f>IFERROR(VLOOKUP(D152,'Invoice Exception Map'!A:C,3,FALSE),"N")</f>
        <v>N</v>
      </c>
      <c r="BM152">
        <f t="shared" si="14"/>
        <v>10</v>
      </c>
      <c r="BN152" t="str">
        <f t="shared" si="15"/>
        <v>FAGERLUND</v>
      </c>
      <c r="BO152" t="str">
        <f t="shared" si="16"/>
        <v>DENNIS</v>
      </c>
    </row>
    <row r="153" spans="1:67" ht="16" thickBot="1" x14ac:dyDescent="0.25">
      <c r="A153" s="90" t="s">
        <v>2298</v>
      </c>
      <c r="B153" s="90" t="s">
        <v>2299</v>
      </c>
      <c r="C153" s="90" t="s">
        <v>2300</v>
      </c>
      <c r="D153" s="90" t="s">
        <v>3546</v>
      </c>
      <c r="E153" s="90" t="s">
        <v>1953</v>
      </c>
      <c r="F153" s="90" t="s">
        <v>2455</v>
      </c>
      <c r="G153" s="90" t="s">
        <v>2382</v>
      </c>
      <c r="H153" s="90" t="s">
        <v>267</v>
      </c>
      <c r="I153" s="90" t="s">
        <v>1944</v>
      </c>
      <c r="J153" s="90" t="s">
        <v>1620</v>
      </c>
      <c r="K153" s="90" t="s">
        <v>2383</v>
      </c>
      <c r="L153" s="90" t="s">
        <v>2338</v>
      </c>
      <c r="M153" s="87" t="s">
        <v>2338</v>
      </c>
      <c r="N153" s="87" t="s">
        <v>2005</v>
      </c>
      <c r="O153" s="88">
        <v>41806</v>
      </c>
      <c r="P153" s="89">
        <v>12.2</v>
      </c>
      <c r="Q153" s="90" t="s">
        <v>3089</v>
      </c>
      <c r="R153" s="90" t="s">
        <v>3260</v>
      </c>
      <c r="S153" s="90" t="s">
        <v>2339</v>
      </c>
      <c r="T153" s="90" t="s">
        <v>2305</v>
      </c>
      <c r="U153" s="90" t="s">
        <v>1640</v>
      </c>
      <c r="V153" s="88">
        <v>41806</v>
      </c>
      <c r="W153" s="88">
        <v>41806</v>
      </c>
      <c r="X153" s="90" t="s">
        <v>43</v>
      </c>
      <c r="Y153" s="90" t="s">
        <v>257</v>
      </c>
      <c r="Z153" s="90" t="s">
        <v>36</v>
      </c>
      <c r="AA153" s="91"/>
      <c r="AB153" s="91"/>
      <c r="AC153" s="90" t="s">
        <v>2051</v>
      </c>
      <c r="AD153" s="90" t="s">
        <v>267</v>
      </c>
      <c r="AE153" s="90" t="s">
        <v>1636</v>
      </c>
      <c r="AF153" s="90" t="s">
        <v>2004</v>
      </c>
      <c r="AG153" s="90" t="s">
        <v>3263</v>
      </c>
      <c r="AH153" s="90" t="s">
        <v>2384</v>
      </c>
      <c r="AI153" s="90" t="s">
        <v>2384</v>
      </c>
      <c r="AJ153" s="90" t="s">
        <v>2051</v>
      </c>
      <c r="AK153" s="90" t="s">
        <v>36</v>
      </c>
      <c r="AL153" s="90" t="s">
        <v>1635</v>
      </c>
      <c r="AM153" s="90" t="s">
        <v>2307</v>
      </c>
      <c r="AN153" s="90" t="s">
        <v>2054</v>
      </c>
      <c r="AO153" s="87" t="s">
        <v>1949</v>
      </c>
      <c r="AP153" s="87" t="s">
        <v>1950</v>
      </c>
      <c r="AQ153" s="90" t="s">
        <v>2456</v>
      </c>
      <c r="AR153" s="91"/>
      <c r="AS153" s="91"/>
      <c r="AT153" s="91"/>
      <c r="AU153" s="87" t="s">
        <v>1972</v>
      </c>
      <c r="AV153" s="91"/>
      <c r="AW153" s="91"/>
      <c r="AX153" s="91"/>
      <c r="AY153" s="91"/>
      <c r="AZ153" t="str">
        <f t="shared" si="12"/>
        <v>205380</v>
      </c>
      <c r="BA153" t="str">
        <f t="shared" si="13"/>
        <v>0077</v>
      </c>
      <c r="BB153" t="str">
        <f t="shared" si="17"/>
        <v>0000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>IFERROR(VLOOKUP(X153,'Status Map'!A:B,2,FALSE),"Status Code Not Mapped")</f>
        <v>Y</v>
      </c>
      <c r="BL153" t="str">
        <f>IFERROR(VLOOKUP(D153,'Invoice Exception Map'!A:C,3,FALSE),"N")</f>
        <v>N</v>
      </c>
      <c r="BM153">
        <f t="shared" si="14"/>
        <v>10</v>
      </c>
      <c r="BN153" t="str">
        <f t="shared" si="15"/>
        <v>FAGERLUND</v>
      </c>
      <c r="BO153" t="str">
        <f t="shared" si="16"/>
        <v>SIMON</v>
      </c>
    </row>
    <row r="154" spans="1:67" ht="16" thickBot="1" x14ac:dyDescent="0.25">
      <c r="A154" s="90" t="s">
        <v>2298</v>
      </c>
      <c r="B154" s="90" t="s">
        <v>2299</v>
      </c>
      <c r="C154" s="90" t="s">
        <v>2300</v>
      </c>
      <c r="D154" s="90" t="s">
        <v>3547</v>
      </c>
      <c r="E154" s="90" t="s">
        <v>1953</v>
      </c>
      <c r="F154" s="90" t="s">
        <v>2457</v>
      </c>
      <c r="G154" s="90" t="s">
        <v>2310</v>
      </c>
      <c r="H154" s="90" t="s">
        <v>267</v>
      </c>
      <c r="I154" s="90" t="s">
        <v>1944</v>
      </c>
      <c r="J154" s="90" t="s">
        <v>1620</v>
      </c>
      <c r="K154" s="90" t="s">
        <v>2012</v>
      </c>
      <c r="L154" s="90" t="s">
        <v>2311</v>
      </c>
      <c r="M154" s="87" t="s">
        <v>2007</v>
      </c>
      <c r="N154" s="87" t="s">
        <v>2013</v>
      </c>
      <c r="O154" s="88">
        <v>44368</v>
      </c>
      <c r="P154" s="89">
        <v>5.2</v>
      </c>
      <c r="Q154" s="90" t="s">
        <v>3086</v>
      </c>
      <c r="R154" s="90" t="s">
        <v>3255</v>
      </c>
      <c r="S154" s="90" t="s">
        <v>2315</v>
      </c>
      <c r="T154" s="90" t="s">
        <v>2305</v>
      </c>
      <c r="U154" s="90" t="s">
        <v>1640</v>
      </c>
      <c r="V154" s="88">
        <v>44368</v>
      </c>
      <c r="W154" s="88">
        <v>44368</v>
      </c>
      <c r="X154" s="90" t="s">
        <v>43</v>
      </c>
      <c r="Y154" s="90" t="s">
        <v>257</v>
      </c>
      <c r="Z154" s="90" t="s">
        <v>36</v>
      </c>
      <c r="AA154" s="91"/>
      <c r="AB154" s="91"/>
      <c r="AC154" s="90" t="s">
        <v>2051</v>
      </c>
      <c r="AD154" s="90" t="s">
        <v>267</v>
      </c>
      <c r="AE154" s="90" t="s">
        <v>1636</v>
      </c>
      <c r="AF154" s="90" t="s">
        <v>2004</v>
      </c>
      <c r="AG154" s="90" t="s">
        <v>2793</v>
      </c>
      <c r="AH154" s="90" t="s">
        <v>2306</v>
      </c>
      <c r="AI154" s="90" t="s">
        <v>2306</v>
      </c>
      <c r="AJ154" s="90" t="s">
        <v>2051</v>
      </c>
      <c r="AK154" s="90" t="s">
        <v>36</v>
      </c>
      <c r="AL154" s="90" t="s">
        <v>1635</v>
      </c>
      <c r="AM154" s="90" t="s">
        <v>2307</v>
      </c>
      <c r="AN154" s="90" t="s">
        <v>2054</v>
      </c>
      <c r="AO154" s="87" t="s">
        <v>1949</v>
      </c>
      <c r="AP154" s="87" t="s">
        <v>1950</v>
      </c>
      <c r="AQ154" s="90" t="s">
        <v>2458</v>
      </c>
      <c r="AR154" s="91"/>
      <c r="AS154" s="91"/>
      <c r="AT154" s="91"/>
      <c r="AU154" s="87" t="s">
        <v>1972</v>
      </c>
      <c r="AV154" s="91"/>
      <c r="AW154" s="91"/>
      <c r="AX154" s="91"/>
      <c r="AY154" s="91"/>
      <c r="AZ154" t="str">
        <f t="shared" si="12"/>
        <v>205315</v>
      </c>
      <c r="BA154" t="str">
        <f t="shared" si="13"/>
        <v>0077</v>
      </c>
      <c r="BB154" t="str">
        <f t="shared" si="17"/>
        <v>0000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>IFERROR(VLOOKUP(X154,'Status Map'!A:B,2,FALSE),"Status Code Not Mapped")</f>
        <v>Y</v>
      </c>
      <c r="BL154" t="str">
        <f>IFERROR(VLOOKUP(D154,'Invoice Exception Map'!A:C,3,FALSE),"N")</f>
        <v>N</v>
      </c>
      <c r="BM154">
        <f t="shared" si="14"/>
        <v>6</v>
      </c>
      <c r="BN154" t="str">
        <f t="shared" si="15"/>
        <v>FEIZY</v>
      </c>
      <c r="BO154" t="str">
        <f t="shared" si="16"/>
        <v>HASSAN</v>
      </c>
    </row>
    <row r="155" spans="1:67" ht="16" thickBot="1" x14ac:dyDescent="0.25">
      <c r="A155" s="90" t="s">
        <v>2298</v>
      </c>
      <c r="B155" s="90" t="s">
        <v>2299</v>
      </c>
      <c r="C155" s="90" t="s">
        <v>2300</v>
      </c>
      <c r="D155" s="90" t="s">
        <v>3548</v>
      </c>
      <c r="E155" s="90" t="s">
        <v>1953</v>
      </c>
      <c r="F155" s="90" t="s">
        <v>2459</v>
      </c>
      <c r="G155" s="90" t="s">
        <v>2460</v>
      </c>
      <c r="H155" s="90" t="s">
        <v>1943</v>
      </c>
      <c r="I155" s="90" t="s">
        <v>1944</v>
      </c>
      <c r="J155" s="90" t="s">
        <v>1620</v>
      </c>
      <c r="K155" s="90" t="s">
        <v>2383</v>
      </c>
      <c r="L155" s="90" t="s">
        <v>2338</v>
      </c>
      <c r="M155" s="87" t="s">
        <v>2461</v>
      </c>
      <c r="N155" s="87" t="s">
        <v>2005</v>
      </c>
      <c r="O155" s="88">
        <v>40404</v>
      </c>
      <c r="P155" s="89">
        <v>16</v>
      </c>
      <c r="Q155" s="90" t="s">
        <v>3084</v>
      </c>
      <c r="R155" s="90" t="s">
        <v>3260</v>
      </c>
      <c r="S155" s="90" t="s">
        <v>2339</v>
      </c>
      <c r="T155" s="90" t="s">
        <v>2305</v>
      </c>
      <c r="U155" s="90" t="s">
        <v>1640</v>
      </c>
      <c r="V155" s="88">
        <v>40404</v>
      </c>
      <c r="W155" s="88">
        <v>40404</v>
      </c>
      <c r="X155" s="90" t="s">
        <v>43</v>
      </c>
      <c r="Y155" s="90" t="s">
        <v>257</v>
      </c>
      <c r="Z155" s="90" t="s">
        <v>36</v>
      </c>
      <c r="AA155" s="91"/>
      <c r="AB155" s="91"/>
      <c r="AC155" s="90" t="s">
        <v>2051</v>
      </c>
      <c r="AD155" s="90" t="s">
        <v>267</v>
      </c>
      <c r="AE155" s="90" t="s">
        <v>1636</v>
      </c>
      <c r="AF155" s="90" t="s">
        <v>2004</v>
      </c>
      <c r="AG155" s="90" t="s">
        <v>2793</v>
      </c>
      <c r="AH155" s="90" t="s">
        <v>2384</v>
      </c>
      <c r="AI155" s="90" t="s">
        <v>2384</v>
      </c>
      <c r="AJ155" s="90" t="s">
        <v>2051</v>
      </c>
      <c r="AK155" s="90" t="s">
        <v>36</v>
      </c>
      <c r="AL155" s="90" t="s">
        <v>1635</v>
      </c>
      <c r="AM155" s="90" t="s">
        <v>2307</v>
      </c>
      <c r="AN155" s="90" t="s">
        <v>2054</v>
      </c>
      <c r="AO155" s="87" t="s">
        <v>1949</v>
      </c>
      <c r="AP155" s="87" t="s">
        <v>1950</v>
      </c>
      <c r="AQ155" s="90" t="s">
        <v>2462</v>
      </c>
      <c r="AR155" s="91"/>
      <c r="AS155" s="91"/>
      <c r="AT155" s="91"/>
      <c r="AU155" s="87" t="s">
        <v>1972</v>
      </c>
      <c r="AV155" s="91"/>
      <c r="AW155" s="91"/>
      <c r="AX155" s="91"/>
      <c r="AY155" s="91"/>
      <c r="AZ155" t="str">
        <f t="shared" si="12"/>
        <v>205380</v>
      </c>
      <c r="BA155" t="str">
        <f t="shared" si="13"/>
        <v>0077</v>
      </c>
      <c r="BB155" t="str">
        <f t="shared" si="17"/>
        <v>0000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>IFERROR(VLOOKUP(X155,'Status Map'!A:B,2,FALSE),"Status Code Not Mapped")</f>
        <v>Y</v>
      </c>
      <c r="BL155" t="str">
        <f>IFERROR(VLOOKUP(D155,'Invoice Exception Map'!A:C,3,FALSE),"N")</f>
        <v>N</v>
      </c>
      <c r="BM155">
        <f t="shared" si="14"/>
        <v>8</v>
      </c>
      <c r="BN155" t="str">
        <f t="shared" si="15"/>
        <v>FOGELIN</v>
      </c>
      <c r="BO155" t="str">
        <f t="shared" si="16"/>
        <v>VIKTOR</v>
      </c>
    </row>
    <row r="156" spans="1:67" ht="16" thickBot="1" x14ac:dyDescent="0.25">
      <c r="A156" s="90" t="s">
        <v>2298</v>
      </c>
      <c r="B156" s="90" t="s">
        <v>2299</v>
      </c>
      <c r="C156" s="90" t="s">
        <v>2300</v>
      </c>
      <c r="D156" s="90" t="s">
        <v>3549</v>
      </c>
      <c r="E156" s="90" t="s">
        <v>1953</v>
      </c>
      <c r="F156" s="90" t="s">
        <v>2463</v>
      </c>
      <c r="G156" s="90" t="s">
        <v>2464</v>
      </c>
      <c r="H156" s="90" t="s">
        <v>267</v>
      </c>
      <c r="I156" s="90" t="s">
        <v>1944</v>
      </c>
      <c r="J156" s="90" t="s">
        <v>1620</v>
      </c>
      <c r="K156" s="90" t="s">
        <v>2465</v>
      </c>
      <c r="L156" s="90" t="s">
        <v>2466</v>
      </c>
      <c r="M156" s="87" t="s">
        <v>2466</v>
      </c>
      <c r="N156" s="87" t="s">
        <v>1999</v>
      </c>
      <c r="O156" s="88">
        <v>41729</v>
      </c>
      <c r="P156" s="89">
        <v>12.4</v>
      </c>
      <c r="Q156" s="90" t="s">
        <v>3086</v>
      </c>
      <c r="R156" s="90" t="s">
        <v>3264</v>
      </c>
      <c r="S156" s="90" t="s">
        <v>2363</v>
      </c>
      <c r="T156" s="90" t="s">
        <v>2305</v>
      </c>
      <c r="U156" s="90" t="s">
        <v>1640</v>
      </c>
      <c r="V156" s="88">
        <v>41729</v>
      </c>
      <c r="W156" s="88">
        <v>41729</v>
      </c>
      <c r="X156" s="90" t="s">
        <v>43</v>
      </c>
      <c r="Y156" s="90" t="s">
        <v>257</v>
      </c>
      <c r="Z156" s="90" t="s">
        <v>36</v>
      </c>
      <c r="AA156" s="91"/>
      <c r="AB156" s="91"/>
      <c r="AC156" s="90" t="s">
        <v>2051</v>
      </c>
      <c r="AD156" s="90" t="s">
        <v>267</v>
      </c>
      <c r="AE156" s="90" t="s">
        <v>1636</v>
      </c>
      <c r="AF156" s="90" t="s">
        <v>2004</v>
      </c>
      <c r="AG156" s="90" t="s">
        <v>3265</v>
      </c>
      <c r="AH156" s="90" t="s">
        <v>2327</v>
      </c>
      <c r="AI156" s="90" t="s">
        <v>2327</v>
      </c>
      <c r="AJ156" s="90" t="s">
        <v>2051</v>
      </c>
      <c r="AK156" s="90" t="s">
        <v>36</v>
      </c>
      <c r="AL156" s="90" t="s">
        <v>1635</v>
      </c>
      <c r="AM156" s="90" t="s">
        <v>2307</v>
      </c>
      <c r="AN156" s="90" t="s">
        <v>2054</v>
      </c>
      <c r="AO156" s="87" t="s">
        <v>1949</v>
      </c>
      <c r="AP156" s="87" t="s">
        <v>1950</v>
      </c>
      <c r="AQ156" s="90" t="s">
        <v>2467</v>
      </c>
      <c r="AR156" s="91"/>
      <c r="AS156" s="91"/>
      <c r="AT156" s="91"/>
      <c r="AU156" s="87" t="s">
        <v>1972</v>
      </c>
      <c r="AV156" s="91"/>
      <c r="AW156" s="91"/>
      <c r="AX156" s="91"/>
      <c r="AY156" s="91"/>
      <c r="AZ156" t="str">
        <f t="shared" si="12"/>
        <v>213066</v>
      </c>
      <c r="BA156" t="str">
        <f t="shared" si="13"/>
        <v>0077</v>
      </c>
      <c r="BB156" t="str">
        <f t="shared" si="17"/>
        <v>0000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>IFERROR(VLOOKUP(X156,'Status Map'!A:B,2,FALSE),"Status Code Not Mapped")</f>
        <v>Y</v>
      </c>
      <c r="BL156" t="str">
        <f>IFERROR(VLOOKUP(D156,'Invoice Exception Map'!A:C,3,FALSE),"N")</f>
        <v>N</v>
      </c>
      <c r="BM156">
        <f t="shared" si="14"/>
        <v>9</v>
      </c>
      <c r="BN156" t="str">
        <f t="shared" si="15"/>
        <v>FORSLUND</v>
      </c>
      <c r="BO156" t="str">
        <f t="shared" si="16"/>
        <v>ANDERS</v>
      </c>
    </row>
    <row r="157" spans="1:67" ht="16" thickBot="1" x14ac:dyDescent="0.25">
      <c r="A157" s="90" t="s">
        <v>2298</v>
      </c>
      <c r="B157" s="90" t="s">
        <v>2299</v>
      </c>
      <c r="C157" s="90" t="s">
        <v>2300</v>
      </c>
      <c r="D157" s="90" t="s">
        <v>3550</v>
      </c>
      <c r="E157" s="90" t="s">
        <v>1953</v>
      </c>
      <c r="F157" s="90" t="s">
        <v>2468</v>
      </c>
      <c r="G157" s="90" t="s">
        <v>2382</v>
      </c>
      <c r="H157" s="90" t="s">
        <v>267</v>
      </c>
      <c r="I157" s="90" t="s">
        <v>1944</v>
      </c>
      <c r="J157" s="90" t="s">
        <v>1620</v>
      </c>
      <c r="K157" s="90" t="s">
        <v>2383</v>
      </c>
      <c r="L157" s="90" t="s">
        <v>2338</v>
      </c>
      <c r="M157" s="87" t="s">
        <v>2338</v>
      </c>
      <c r="N157" s="87" t="s">
        <v>2005</v>
      </c>
      <c r="O157" s="88">
        <v>40623</v>
      </c>
      <c r="P157" s="89">
        <v>15.4</v>
      </c>
      <c r="Q157" s="90" t="s">
        <v>3089</v>
      </c>
      <c r="R157" s="90" t="s">
        <v>3260</v>
      </c>
      <c r="S157" s="90" t="s">
        <v>2339</v>
      </c>
      <c r="T157" s="90" t="s">
        <v>2305</v>
      </c>
      <c r="U157" s="90" t="s">
        <v>1640</v>
      </c>
      <c r="V157" s="88">
        <v>40623</v>
      </c>
      <c r="W157" s="88">
        <v>40623</v>
      </c>
      <c r="X157" s="90" t="s">
        <v>43</v>
      </c>
      <c r="Y157" s="90" t="s">
        <v>257</v>
      </c>
      <c r="Z157" s="90" t="s">
        <v>36</v>
      </c>
      <c r="AA157" s="91"/>
      <c r="AB157" s="91"/>
      <c r="AC157" s="90" t="s">
        <v>2051</v>
      </c>
      <c r="AD157" s="90" t="s">
        <v>267</v>
      </c>
      <c r="AE157" s="90" t="s">
        <v>1636</v>
      </c>
      <c r="AF157" s="90" t="s">
        <v>2004</v>
      </c>
      <c r="AG157" s="90" t="s">
        <v>2793</v>
      </c>
      <c r="AH157" s="90" t="s">
        <v>2399</v>
      </c>
      <c r="AI157" s="90" t="s">
        <v>2399</v>
      </c>
      <c r="AJ157" s="90" t="s">
        <v>2051</v>
      </c>
      <c r="AK157" s="90" t="s">
        <v>36</v>
      </c>
      <c r="AL157" s="90" t="s">
        <v>1635</v>
      </c>
      <c r="AM157" s="90" t="s">
        <v>2307</v>
      </c>
      <c r="AN157" s="90" t="s">
        <v>2054</v>
      </c>
      <c r="AO157" s="87" t="s">
        <v>1949</v>
      </c>
      <c r="AP157" s="87" t="s">
        <v>1950</v>
      </c>
      <c r="AQ157" s="90" t="s">
        <v>2469</v>
      </c>
      <c r="AR157" s="91"/>
      <c r="AS157" s="91"/>
      <c r="AT157" s="91"/>
      <c r="AU157" s="87" t="s">
        <v>1972</v>
      </c>
      <c r="AV157" s="91"/>
      <c r="AW157" s="91"/>
      <c r="AX157" s="91"/>
      <c r="AY157" s="91"/>
      <c r="AZ157" t="str">
        <f t="shared" si="12"/>
        <v>205380</v>
      </c>
      <c r="BA157" t="str">
        <f t="shared" si="13"/>
        <v>0077</v>
      </c>
      <c r="BB157" t="str">
        <f t="shared" si="17"/>
        <v>0000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>IFERROR(VLOOKUP(X157,'Status Map'!A:B,2,FALSE),"Status Code Not Mapped")</f>
        <v>Y</v>
      </c>
      <c r="BL157" t="str">
        <f>IFERROR(VLOOKUP(D157,'Invoice Exception Map'!A:C,3,FALSE),"N")</f>
        <v>N</v>
      </c>
      <c r="BM157">
        <f t="shared" si="14"/>
        <v>12</v>
      </c>
      <c r="BN157" t="str">
        <f t="shared" si="15"/>
        <v>FREDRIKSSON</v>
      </c>
      <c r="BO157" t="str">
        <f t="shared" si="16"/>
        <v>LINUS</v>
      </c>
    </row>
    <row r="158" spans="1:67" ht="16" thickBot="1" x14ac:dyDescent="0.25">
      <c r="A158" s="90" t="s">
        <v>2298</v>
      </c>
      <c r="B158" s="90" t="s">
        <v>2299</v>
      </c>
      <c r="C158" s="90" t="s">
        <v>2300</v>
      </c>
      <c r="D158" s="90" t="s">
        <v>3551</v>
      </c>
      <c r="E158" s="90" t="s">
        <v>1953</v>
      </c>
      <c r="F158" s="90" t="s">
        <v>2470</v>
      </c>
      <c r="G158" s="90" t="s">
        <v>2310</v>
      </c>
      <c r="H158" s="90" t="s">
        <v>267</v>
      </c>
      <c r="I158" s="90" t="s">
        <v>1944</v>
      </c>
      <c r="J158" s="90" t="s">
        <v>1620</v>
      </c>
      <c r="K158" s="90" t="s">
        <v>2012</v>
      </c>
      <c r="L158" s="90" t="s">
        <v>2311</v>
      </c>
      <c r="M158" s="87" t="s">
        <v>2007</v>
      </c>
      <c r="N158" s="87" t="s">
        <v>2013</v>
      </c>
      <c r="O158" s="88">
        <v>40588</v>
      </c>
      <c r="P158" s="89">
        <v>15.5</v>
      </c>
      <c r="Q158" s="90" t="s">
        <v>3086</v>
      </c>
      <c r="R158" s="90" t="s">
        <v>3255</v>
      </c>
      <c r="S158" s="90" t="s">
        <v>2315</v>
      </c>
      <c r="T158" s="90" t="s">
        <v>2305</v>
      </c>
      <c r="U158" s="90" t="s">
        <v>1640</v>
      </c>
      <c r="V158" s="88">
        <v>40588</v>
      </c>
      <c r="W158" s="88">
        <v>40588</v>
      </c>
      <c r="X158" s="90" t="s">
        <v>43</v>
      </c>
      <c r="Y158" s="90" t="s">
        <v>257</v>
      </c>
      <c r="Z158" s="90" t="s">
        <v>36</v>
      </c>
      <c r="AA158" s="91"/>
      <c r="AB158" s="91"/>
      <c r="AC158" s="90" t="s">
        <v>2051</v>
      </c>
      <c r="AD158" s="90" t="s">
        <v>267</v>
      </c>
      <c r="AE158" s="90" t="s">
        <v>1636</v>
      </c>
      <c r="AF158" s="90" t="s">
        <v>2004</v>
      </c>
      <c r="AG158" s="90" t="s">
        <v>2793</v>
      </c>
      <c r="AH158" s="90" t="s">
        <v>2306</v>
      </c>
      <c r="AI158" s="90" t="s">
        <v>2306</v>
      </c>
      <c r="AJ158" s="90" t="s">
        <v>2051</v>
      </c>
      <c r="AK158" s="90" t="s">
        <v>36</v>
      </c>
      <c r="AL158" s="90" t="s">
        <v>1635</v>
      </c>
      <c r="AM158" s="90" t="s">
        <v>2307</v>
      </c>
      <c r="AN158" s="90" t="s">
        <v>2054</v>
      </c>
      <c r="AO158" s="87" t="s">
        <v>1949</v>
      </c>
      <c r="AP158" s="87" t="s">
        <v>1950</v>
      </c>
      <c r="AQ158" s="90" t="s">
        <v>2471</v>
      </c>
      <c r="AR158" s="91"/>
      <c r="AS158" s="91"/>
      <c r="AT158" s="91"/>
      <c r="AU158" s="87" t="s">
        <v>1972</v>
      </c>
      <c r="AV158" s="91"/>
      <c r="AW158" s="91"/>
      <c r="AX158" s="91"/>
      <c r="AY158" s="91"/>
      <c r="AZ158" t="str">
        <f t="shared" si="12"/>
        <v>205315</v>
      </c>
      <c r="BA158" t="str">
        <f t="shared" si="13"/>
        <v>0077</v>
      </c>
      <c r="BB158" t="str">
        <f t="shared" si="17"/>
        <v>0000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>IFERROR(VLOOKUP(X158,'Status Map'!A:B,2,FALSE),"Status Code Not Mapped")</f>
        <v>Y</v>
      </c>
      <c r="BL158" t="str">
        <f>IFERROR(VLOOKUP(D158,'Invoice Exception Map'!A:C,3,FALSE),"N")</f>
        <v>N</v>
      </c>
      <c r="BM158">
        <f t="shared" si="14"/>
        <v>8</v>
      </c>
      <c r="BN158" t="str">
        <f t="shared" si="15"/>
        <v>FRIBERG</v>
      </c>
      <c r="BO158" t="str">
        <f t="shared" si="16"/>
        <v>CHRISTOPHER</v>
      </c>
    </row>
    <row r="159" spans="1:67" ht="16" thickBot="1" x14ac:dyDescent="0.25">
      <c r="A159" s="90" t="s">
        <v>2298</v>
      </c>
      <c r="B159" s="90" t="s">
        <v>2299</v>
      </c>
      <c r="C159" s="90" t="s">
        <v>2300</v>
      </c>
      <c r="D159" s="90" t="s">
        <v>3552</v>
      </c>
      <c r="E159" s="90" t="s">
        <v>1953</v>
      </c>
      <c r="F159" s="90" t="s">
        <v>2472</v>
      </c>
      <c r="G159" s="90" t="s">
        <v>2310</v>
      </c>
      <c r="H159" s="90" t="s">
        <v>267</v>
      </c>
      <c r="I159" s="90" t="s">
        <v>1944</v>
      </c>
      <c r="J159" s="90" t="s">
        <v>1620</v>
      </c>
      <c r="K159" s="90" t="s">
        <v>2012</v>
      </c>
      <c r="L159" s="90" t="s">
        <v>2311</v>
      </c>
      <c r="M159" s="87" t="s">
        <v>2007</v>
      </c>
      <c r="N159" s="87" t="s">
        <v>2013</v>
      </c>
      <c r="O159" s="88">
        <v>40973</v>
      </c>
      <c r="P159" s="89">
        <v>14.5</v>
      </c>
      <c r="Q159" s="90" t="s">
        <v>3086</v>
      </c>
      <c r="R159" s="90" t="s">
        <v>3253</v>
      </c>
      <c r="S159" s="90" t="s">
        <v>2304</v>
      </c>
      <c r="T159" s="90" t="s">
        <v>2305</v>
      </c>
      <c r="U159" s="90" t="s">
        <v>1640</v>
      </c>
      <c r="V159" s="88">
        <v>40973</v>
      </c>
      <c r="W159" s="88">
        <v>40973</v>
      </c>
      <c r="X159" s="90" t="s">
        <v>43</v>
      </c>
      <c r="Y159" s="90" t="s">
        <v>257</v>
      </c>
      <c r="Z159" s="90" t="s">
        <v>36</v>
      </c>
      <c r="AA159" s="91"/>
      <c r="AB159" s="91"/>
      <c r="AC159" s="90" t="s">
        <v>2051</v>
      </c>
      <c r="AD159" s="90" t="s">
        <v>267</v>
      </c>
      <c r="AE159" s="90" t="s">
        <v>1636</v>
      </c>
      <c r="AF159" s="90" t="s">
        <v>2004</v>
      </c>
      <c r="AG159" s="90" t="s">
        <v>2793</v>
      </c>
      <c r="AH159" s="90" t="s">
        <v>2306</v>
      </c>
      <c r="AI159" s="90" t="s">
        <v>2306</v>
      </c>
      <c r="AJ159" s="90" t="s">
        <v>2051</v>
      </c>
      <c r="AK159" s="90" t="s">
        <v>36</v>
      </c>
      <c r="AL159" s="90" t="s">
        <v>1635</v>
      </c>
      <c r="AM159" s="90" t="s">
        <v>2307</v>
      </c>
      <c r="AN159" s="90" t="s">
        <v>2054</v>
      </c>
      <c r="AO159" s="87" t="s">
        <v>1949</v>
      </c>
      <c r="AP159" s="87" t="s">
        <v>1950</v>
      </c>
      <c r="AQ159" s="90" t="s">
        <v>2473</v>
      </c>
      <c r="AR159" s="91"/>
      <c r="AS159" s="91"/>
      <c r="AT159" s="91"/>
      <c r="AU159" s="87" t="s">
        <v>1972</v>
      </c>
      <c r="AV159" s="91"/>
      <c r="AW159" s="91"/>
      <c r="AX159" s="91"/>
      <c r="AY159" s="91"/>
      <c r="AZ159" t="str">
        <f t="shared" si="12"/>
        <v>212110</v>
      </c>
      <c r="BA159" t="str">
        <f t="shared" si="13"/>
        <v>0077</v>
      </c>
      <c r="BB159" t="str">
        <f t="shared" si="17"/>
        <v>0000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>IFERROR(VLOOKUP(X159,'Status Map'!A:B,2,FALSE),"Status Code Not Mapped")</f>
        <v>Y</v>
      </c>
      <c r="BL159" t="str">
        <f>IFERROR(VLOOKUP(D159,'Invoice Exception Map'!A:C,3,FALSE),"N")</f>
        <v>N</v>
      </c>
      <c r="BM159">
        <f t="shared" si="14"/>
        <v>6</v>
      </c>
      <c r="BN159" t="str">
        <f t="shared" si="15"/>
        <v>FRISK</v>
      </c>
      <c r="BO159" t="str">
        <f t="shared" si="16"/>
        <v>STEFAN</v>
      </c>
    </row>
    <row r="160" spans="1:67" ht="16" thickBot="1" x14ac:dyDescent="0.25">
      <c r="A160" s="90" t="s">
        <v>2298</v>
      </c>
      <c r="B160" s="90" t="s">
        <v>2299</v>
      </c>
      <c r="C160" s="90" t="s">
        <v>2300</v>
      </c>
      <c r="D160" s="90" t="s">
        <v>3553</v>
      </c>
      <c r="E160" s="90" t="s">
        <v>1953</v>
      </c>
      <c r="F160" s="90" t="s">
        <v>2474</v>
      </c>
      <c r="G160" s="90" t="s">
        <v>2382</v>
      </c>
      <c r="H160" s="90" t="s">
        <v>267</v>
      </c>
      <c r="I160" s="90" t="s">
        <v>1944</v>
      </c>
      <c r="J160" s="90" t="s">
        <v>1620</v>
      </c>
      <c r="K160" s="90" t="s">
        <v>2383</v>
      </c>
      <c r="L160" s="90" t="s">
        <v>2338</v>
      </c>
      <c r="M160" s="87" t="s">
        <v>2338</v>
      </c>
      <c r="N160" s="87" t="s">
        <v>2005</v>
      </c>
      <c r="O160" s="88">
        <v>37746</v>
      </c>
      <c r="P160" s="89">
        <v>23.3</v>
      </c>
      <c r="Q160" s="90" t="s">
        <v>3089</v>
      </c>
      <c r="R160" s="90" t="s">
        <v>3260</v>
      </c>
      <c r="S160" s="90" t="s">
        <v>2339</v>
      </c>
      <c r="T160" s="90" t="s">
        <v>2305</v>
      </c>
      <c r="U160" s="90" t="s">
        <v>1640</v>
      </c>
      <c r="V160" s="88">
        <v>37746</v>
      </c>
      <c r="W160" s="88">
        <v>37746</v>
      </c>
      <c r="X160" s="90" t="s">
        <v>43</v>
      </c>
      <c r="Y160" s="90" t="s">
        <v>257</v>
      </c>
      <c r="Z160" s="90" t="s">
        <v>36</v>
      </c>
      <c r="AA160" s="91"/>
      <c r="AB160" s="91"/>
      <c r="AC160" s="90" t="s">
        <v>2051</v>
      </c>
      <c r="AD160" s="90" t="s">
        <v>267</v>
      </c>
      <c r="AE160" s="90" t="s">
        <v>1636</v>
      </c>
      <c r="AF160" s="90" t="s">
        <v>2004</v>
      </c>
      <c r="AG160" s="90" t="s">
        <v>2793</v>
      </c>
      <c r="AH160" s="90" t="s">
        <v>2384</v>
      </c>
      <c r="AI160" s="90" t="s">
        <v>2384</v>
      </c>
      <c r="AJ160" s="90" t="s">
        <v>2051</v>
      </c>
      <c r="AK160" s="90" t="s">
        <v>36</v>
      </c>
      <c r="AL160" s="90" t="s">
        <v>1635</v>
      </c>
      <c r="AM160" s="90" t="s">
        <v>2307</v>
      </c>
      <c r="AN160" s="90" t="s">
        <v>2054</v>
      </c>
      <c r="AO160" s="87" t="s">
        <v>1949</v>
      </c>
      <c r="AP160" s="87" t="s">
        <v>1950</v>
      </c>
      <c r="AQ160" s="90" t="s">
        <v>2475</v>
      </c>
      <c r="AR160" s="91"/>
      <c r="AS160" s="91"/>
      <c r="AT160" s="91"/>
      <c r="AU160" s="87" t="s">
        <v>1972</v>
      </c>
      <c r="AV160" s="91"/>
      <c r="AW160" s="91"/>
      <c r="AX160" s="91"/>
      <c r="AY160" s="91"/>
      <c r="AZ160" t="str">
        <f t="shared" si="12"/>
        <v>205380</v>
      </c>
      <c r="BA160" t="str">
        <f t="shared" si="13"/>
        <v>0077</v>
      </c>
      <c r="BB160" t="str">
        <f t="shared" si="17"/>
        <v>0000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>IFERROR(VLOOKUP(X160,'Status Map'!A:B,2,FALSE),"Status Code Not Mapped")</f>
        <v>Y</v>
      </c>
      <c r="BL160" t="str">
        <f>IFERROR(VLOOKUP(D160,'Invoice Exception Map'!A:C,3,FALSE),"N")</f>
        <v>N</v>
      </c>
      <c r="BM160">
        <f t="shared" si="14"/>
        <v>6</v>
      </c>
      <c r="BN160" t="str">
        <f t="shared" si="15"/>
        <v>FRÖJD</v>
      </c>
      <c r="BO160" t="str">
        <f t="shared" si="16"/>
        <v>MIKAEL</v>
      </c>
    </row>
    <row r="161" spans="1:67" ht="16" thickBot="1" x14ac:dyDescent="0.25">
      <c r="A161" s="90" t="s">
        <v>2298</v>
      </c>
      <c r="B161" s="90" t="s">
        <v>2299</v>
      </c>
      <c r="C161" s="90" t="s">
        <v>2300</v>
      </c>
      <c r="D161" s="90" t="s">
        <v>3554</v>
      </c>
      <c r="E161" s="90" t="s">
        <v>1953</v>
      </c>
      <c r="F161" s="90" t="s">
        <v>2476</v>
      </c>
      <c r="G161" s="90" t="s">
        <v>2318</v>
      </c>
      <c r="H161" s="90" t="s">
        <v>267</v>
      </c>
      <c r="I161" s="90" t="s">
        <v>1944</v>
      </c>
      <c r="J161" s="90" t="s">
        <v>1620</v>
      </c>
      <c r="K161" s="90" t="s">
        <v>247</v>
      </c>
      <c r="L161" s="90" t="s">
        <v>2003</v>
      </c>
      <c r="M161" s="87" t="s">
        <v>2003</v>
      </c>
      <c r="N161" s="87" t="s">
        <v>1999</v>
      </c>
      <c r="O161" s="88">
        <v>42548</v>
      </c>
      <c r="P161" s="89">
        <v>10.199999999999999</v>
      </c>
      <c r="Q161" s="90" t="s">
        <v>3089</v>
      </c>
      <c r="R161" s="90" t="s">
        <v>3261</v>
      </c>
      <c r="S161" s="90" t="s">
        <v>2346</v>
      </c>
      <c r="T161" s="90" t="s">
        <v>2305</v>
      </c>
      <c r="U161" s="90" t="s">
        <v>1640</v>
      </c>
      <c r="V161" s="88">
        <v>42548</v>
      </c>
      <c r="W161" s="88">
        <v>42548</v>
      </c>
      <c r="X161" s="90" t="s">
        <v>43</v>
      </c>
      <c r="Y161" s="90" t="s">
        <v>257</v>
      </c>
      <c r="Z161" s="90" t="s">
        <v>36</v>
      </c>
      <c r="AA161" s="91"/>
      <c r="AB161" s="91"/>
      <c r="AC161" s="90" t="s">
        <v>2051</v>
      </c>
      <c r="AD161" s="90" t="s">
        <v>267</v>
      </c>
      <c r="AE161" s="90" t="s">
        <v>1636</v>
      </c>
      <c r="AF161" s="90" t="s">
        <v>2004</v>
      </c>
      <c r="AG161" s="90" t="s">
        <v>2793</v>
      </c>
      <c r="AH161" s="90" t="s">
        <v>2320</v>
      </c>
      <c r="AI161" s="90" t="s">
        <v>2320</v>
      </c>
      <c r="AJ161" s="90" t="s">
        <v>2051</v>
      </c>
      <c r="AK161" s="90" t="s">
        <v>36</v>
      </c>
      <c r="AL161" s="90" t="s">
        <v>1635</v>
      </c>
      <c r="AM161" s="90" t="s">
        <v>2307</v>
      </c>
      <c r="AN161" s="90" t="s">
        <v>2054</v>
      </c>
      <c r="AO161" s="87" t="s">
        <v>1949</v>
      </c>
      <c r="AP161" s="87" t="s">
        <v>1950</v>
      </c>
      <c r="AQ161" s="90" t="s">
        <v>2477</v>
      </c>
      <c r="AR161" s="91"/>
      <c r="AS161" s="91"/>
      <c r="AT161" s="91"/>
      <c r="AU161" s="87" t="s">
        <v>1972</v>
      </c>
      <c r="AV161" s="91"/>
      <c r="AW161" s="91"/>
      <c r="AX161" s="91"/>
      <c r="AY161" s="91"/>
      <c r="AZ161" t="str">
        <f t="shared" si="12"/>
        <v>205116</v>
      </c>
      <c r="BA161" t="str">
        <f t="shared" si="13"/>
        <v>0077</v>
      </c>
      <c r="BB161" t="str">
        <f t="shared" si="17"/>
        <v>0000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>IFERROR(VLOOKUP(X161,'Status Map'!A:B,2,FALSE),"Status Code Not Mapped")</f>
        <v>Y</v>
      </c>
      <c r="BL161" t="str">
        <f>IFERROR(VLOOKUP(D161,'Invoice Exception Map'!A:C,3,FALSE),"N")</f>
        <v>N</v>
      </c>
      <c r="BM161">
        <f t="shared" si="14"/>
        <v>6</v>
      </c>
      <c r="BN161" t="str">
        <f t="shared" si="15"/>
        <v>GAZIC</v>
      </c>
      <c r="BO161" t="str">
        <f t="shared" si="16"/>
        <v>MELIS</v>
      </c>
    </row>
    <row r="162" spans="1:67" ht="16" thickBot="1" x14ac:dyDescent="0.25">
      <c r="A162" s="90" t="s">
        <v>2298</v>
      </c>
      <c r="B162" s="90" t="s">
        <v>2299</v>
      </c>
      <c r="C162" s="90" t="s">
        <v>2300</v>
      </c>
      <c r="D162" s="90" t="s">
        <v>3555</v>
      </c>
      <c r="E162" s="90" t="s">
        <v>1953</v>
      </c>
      <c r="F162" s="90" t="s">
        <v>2478</v>
      </c>
      <c r="G162" s="90" t="s">
        <v>2382</v>
      </c>
      <c r="H162" s="90" t="s">
        <v>267</v>
      </c>
      <c r="I162" s="90" t="s">
        <v>1944</v>
      </c>
      <c r="J162" s="90" t="s">
        <v>1620</v>
      </c>
      <c r="K162" s="90" t="s">
        <v>2383</v>
      </c>
      <c r="L162" s="90" t="s">
        <v>2338</v>
      </c>
      <c r="M162" s="87" t="s">
        <v>2338</v>
      </c>
      <c r="N162" s="87" t="s">
        <v>2005</v>
      </c>
      <c r="O162" s="88">
        <v>41673</v>
      </c>
      <c r="P162" s="89">
        <v>12.5</v>
      </c>
      <c r="Q162" s="90" t="s">
        <v>3089</v>
      </c>
      <c r="R162" s="90" t="s">
        <v>3260</v>
      </c>
      <c r="S162" s="90" t="s">
        <v>2339</v>
      </c>
      <c r="T162" s="90" t="s">
        <v>2305</v>
      </c>
      <c r="U162" s="90" t="s">
        <v>1640</v>
      </c>
      <c r="V162" s="88">
        <v>41673</v>
      </c>
      <c r="W162" s="88">
        <v>41673</v>
      </c>
      <c r="X162" s="90" t="s">
        <v>43</v>
      </c>
      <c r="Y162" s="90" t="s">
        <v>257</v>
      </c>
      <c r="Z162" s="90" t="s">
        <v>36</v>
      </c>
      <c r="AA162" s="91"/>
      <c r="AB162" s="91"/>
      <c r="AC162" s="90" t="s">
        <v>2051</v>
      </c>
      <c r="AD162" s="90" t="s">
        <v>267</v>
      </c>
      <c r="AE162" s="90" t="s">
        <v>1636</v>
      </c>
      <c r="AF162" s="90" t="s">
        <v>2004</v>
      </c>
      <c r="AG162" s="90" t="s">
        <v>2793</v>
      </c>
      <c r="AH162" s="90" t="s">
        <v>2384</v>
      </c>
      <c r="AI162" s="90" t="s">
        <v>2384</v>
      </c>
      <c r="AJ162" s="90" t="s">
        <v>2051</v>
      </c>
      <c r="AK162" s="90" t="s">
        <v>36</v>
      </c>
      <c r="AL162" s="90" t="s">
        <v>1635</v>
      </c>
      <c r="AM162" s="90" t="s">
        <v>2307</v>
      </c>
      <c r="AN162" s="90" t="s">
        <v>2054</v>
      </c>
      <c r="AO162" s="87" t="s">
        <v>1949</v>
      </c>
      <c r="AP162" s="87" t="s">
        <v>1950</v>
      </c>
      <c r="AQ162" s="90" t="s">
        <v>2479</v>
      </c>
      <c r="AR162" s="91"/>
      <c r="AS162" s="91"/>
      <c r="AT162" s="91"/>
      <c r="AU162" s="87" t="s">
        <v>1972</v>
      </c>
      <c r="AV162" s="91"/>
      <c r="AW162" s="91"/>
      <c r="AX162" s="91"/>
      <c r="AY162" s="91"/>
      <c r="AZ162" t="str">
        <f t="shared" si="12"/>
        <v>205380</v>
      </c>
      <c r="BA162" t="str">
        <f t="shared" si="13"/>
        <v>0077</v>
      </c>
      <c r="BB162" t="str">
        <f t="shared" si="17"/>
        <v>0000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>IFERROR(VLOOKUP(X162,'Status Map'!A:B,2,FALSE),"Status Code Not Mapped")</f>
        <v>Y</v>
      </c>
      <c r="BL162" t="str">
        <f>IFERROR(VLOOKUP(D162,'Invoice Exception Map'!A:C,3,FALSE),"N")</f>
        <v>N</v>
      </c>
      <c r="BM162">
        <f t="shared" si="14"/>
        <v>6</v>
      </c>
      <c r="BN162" t="str">
        <f t="shared" si="15"/>
        <v>GOJAK</v>
      </c>
      <c r="BO162" t="str">
        <f t="shared" si="16"/>
        <v>AJSELA</v>
      </c>
    </row>
    <row r="163" spans="1:67" ht="16" thickBot="1" x14ac:dyDescent="0.25">
      <c r="A163" s="90" t="s">
        <v>2298</v>
      </c>
      <c r="B163" s="90" t="s">
        <v>2299</v>
      </c>
      <c r="C163" s="90" t="s">
        <v>2300</v>
      </c>
      <c r="D163" s="90" t="s">
        <v>3556</v>
      </c>
      <c r="E163" s="90" t="s">
        <v>1953</v>
      </c>
      <c r="F163" s="90" t="s">
        <v>2480</v>
      </c>
      <c r="G163" s="90" t="s">
        <v>2318</v>
      </c>
      <c r="H163" s="90" t="s">
        <v>267</v>
      </c>
      <c r="I163" s="90" t="s">
        <v>1944</v>
      </c>
      <c r="J163" s="90" t="s">
        <v>1620</v>
      </c>
      <c r="K163" s="90" t="s">
        <v>247</v>
      </c>
      <c r="L163" s="90" t="s">
        <v>2003</v>
      </c>
      <c r="M163" s="87" t="s">
        <v>2003</v>
      </c>
      <c r="N163" s="87" t="s">
        <v>1999</v>
      </c>
      <c r="O163" s="88">
        <v>42506</v>
      </c>
      <c r="P163" s="89">
        <v>10.3</v>
      </c>
      <c r="Q163" s="90" t="s">
        <v>3089</v>
      </c>
      <c r="R163" s="90" t="s">
        <v>3256</v>
      </c>
      <c r="S163" s="90" t="s">
        <v>2319</v>
      </c>
      <c r="T163" s="90" t="s">
        <v>2305</v>
      </c>
      <c r="U163" s="90" t="s">
        <v>1640</v>
      </c>
      <c r="V163" s="88">
        <v>42506</v>
      </c>
      <c r="W163" s="88">
        <v>42506</v>
      </c>
      <c r="X163" s="90" t="s">
        <v>43</v>
      </c>
      <c r="Y163" s="90" t="s">
        <v>257</v>
      </c>
      <c r="Z163" s="90" t="s">
        <v>36</v>
      </c>
      <c r="AA163" s="91"/>
      <c r="AB163" s="91"/>
      <c r="AC163" s="90" t="s">
        <v>2051</v>
      </c>
      <c r="AD163" s="90" t="s">
        <v>267</v>
      </c>
      <c r="AE163" s="90" t="s">
        <v>1636</v>
      </c>
      <c r="AF163" s="90" t="s">
        <v>2004</v>
      </c>
      <c r="AG163" s="90" t="s">
        <v>2793</v>
      </c>
      <c r="AH163" s="90" t="s">
        <v>2320</v>
      </c>
      <c r="AI163" s="90" t="s">
        <v>2320</v>
      </c>
      <c r="AJ163" s="90" t="s">
        <v>2051</v>
      </c>
      <c r="AK163" s="90" t="s">
        <v>36</v>
      </c>
      <c r="AL163" s="90" t="s">
        <v>1635</v>
      </c>
      <c r="AM163" s="90" t="s">
        <v>2307</v>
      </c>
      <c r="AN163" s="90" t="s">
        <v>2054</v>
      </c>
      <c r="AO163" s="87" t="s">
        <v>1949</v>
      </c>
      <c r="AP163" s="87" t="s">
        <v>1950</v>
      </c>
      <c r="AQ163" s="90" t="s">
        <v>2481</v>
      </c>
      <c r="AR163" s="91"/>
      <c r="AS163" s="91"/>
      <c r="AT163" s="91"/>
      <c r="AU163" s="87" t="s">
        <v>1972</v>
      </c>
      <c r="AV163" s="91"/>
      <c r="AW163" s="91"/>
      <c r="AX163" s="91"/>
      <c r="AY163" s="91"/>
      <c r="AZ163" t="str">
        <f t="shared" si="12"/>
        <v>205383</v>
      </c>
      <c r="BA163" t="str">
        <f t="shared" si="13"/>
        <v>0077</v>
      </c>
      <c r="BB163" t="str">
        <f t="shared" si="17"/>
        <v>0000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>IFERROR(VLOOKUP(X163,'Status Map'!A:B,2,FALSE),"Status Code Not Mapped")</f>
        <v>Y</v>
      </c>
      <c r="BL163" t="str">
        <f>IFERROR(VLOOKUP(D163,'Invoice Exception Map'!A:C,3,FALSE),"N")</f>
        <v>N</v>
      </c>
      <c r="BM163">
        <f t="shared" si="14"/>
        <v>10</v>
      </c>
      <c r="BN163" t="str">
        <f t="shared" si="15"/>
        <v>GÖRANSSON</v>
      </c>
      <c r="BO163" t="str">
        <f t="shared" si="16"/>
        <v>EMIL</v>
      </c>
    </row>
    <row r="164" spans="1:67" ht="16" thickBot="1" x14ac:dyDescent="0.25">
      <c r="A164" s="90" t="s">
        <v>2298</v>
      </c>
      <c r="B164" s="90" t="s">
        <v>2299</v>
      </c>
      <c r="C164" s="90" t="s">
        <v>2300</v>
      </c>
      <c r="D164" s="90" t="s">
        <v>3557</v>
      </c>
      <c r="E164" s="90" t="s">
        <v>1953</v>
      </c>
      <c r="F164" s="90" t="s">
        <v>2482</v>
      </c>
      <c r="G164" s="90" t="s">
        <v>2318</v>
      </c>
      <c r="H164" s="90" t="s">
        <v>267</v>
      </c>
      <c r="I164" s="90" t="s">
        <v>1944</v>
      </c>
      <c r="J164" s="90" t="s">
        <v>1620</v>
      </c>
      <c r="K164" s="90" t="s">
        <v>247</v>
      </c>
      <c r="L164" s="90" t="s">
        <v>2003</v>
      </c>
      <c r="M164" s="87" t="s">
        <v>2003</v>
      </c>
      <c r="N164" s="87" t="s">
        <v>1999</v>
      </c>
      <c r="O164" s="88">
        <v>44200</v>
      </c>
      <c r="P164" s="89">
        <v>5.6</v>
      </c>
      <c r="Q164" s="90" t="s">
        <v>3089</v>
      </c>
      <c r="R164" s="90" t="s">
        <v>3256</v>
      </c>
      <c r="S164" s="90" t="s">
        <v>2319</v>
      </c>
      <c r="T164" s="90" t="s">
        <v>2305</v>
      </c>
      <c r="U164" s="90" t="s">
        <v>1640</v>
      </c>
      <c r="V164" s="88">
        <v>44200</v>
      </c>
      <c r="W164" s="88">
        <v>44200</v>
      </c>
      <c r="X164" s="90" t="s">
        <v>43</v>
      </c>
      <c r="Y164" s="90" t="s">
        <v>257</v>
      </c>
      <c r="Z164" s="90" t="s">
        <v>36</v>
      </c>
      <c r="AA164" s="91"/>
      <c r="AB164" s="91"/>
      <c r="AC164" s="90" t="s">
        <v>2051</v>
      </c>
      <c r="AD164" s="90" t="s">
        <v>267</v>
      </c>
      <c r="AE164" s="90" t="s">
        <v>1636</v>
      </c>
      <c r="AF164" s="90" t="s">
        <v>2004</v>
      </c>
      <c r="AG164" s="90" t="s">
        <v>3271</v>
      </c>
      <c r="AH164" s="90" t="s">
        <v>2320</v>
      </c>
      <c r="AI164" s="90" t="s">
        <v>2320</v>
      </c>
      <c r="AJ164" s="90" t="s">
        <v>2051</v>
      </c>
      <c r="AK164" s="90" t="s">
        <v>36</v>
      </c>
      <c r="AL164" s="90" t="s">
        <v>1635</v>
      </c>
      <c r="AM164" s="90" t="s">
        <v>2307</v>
      </c>
      <c r="AN164" s="90" t="s">
        <v>2054</v>
      </c>
      <c r="AO164" s="87" t="s">
        <v>1949</v>
      </c>
      <c r="AP164" s="87" t="s">
        <v>1950</v>
      </c>
      <c r="AQ164" s="90" t="s">
        <v>2483</v>
      </c>
      <c r="AR164" s="91"/>
      <c r="AS164" s="91"/>
      <c r="AT164" s="91"/>
      <c r="AU164" s="87" t="s">
        <v>1972</v>
      </c>
      <c r="AV164" s="91"/>
      <c r="AW164" s="91"/>
      <c r="AX164" s="91"/>
      <c r="AY164" s="91"/>
      <c r="AZ164" t="str">
        <f t="shared" si="12"/>
        <v>205383</v>
      </c>
      <c r="BA164" t="str">
        <f t="shared" si="13"/>
        <v>0077</v>
      </c>
      <c r="BB164" t="str">
        <f t="shared" si="17"/>
        <v>0000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>IFERROR(VLOOKUP(X164,'Status Map'!A:B,2,FALSE),"Status Code Not Mapped")</f>
        <v>Y</v>
      </c>
      <c r="BL164" t="str">
        <f>IFERROR(VLOOKUP(D164,'Invoice Exception Map'!A:C,3,FALSE),"N")</f>
        <v>N</v>
      </c>
      <c r="BM164">
        <f t="shared" si="14"/>
        <v>10</v>
      </c>
      <c r="BN164" t="str">
        <f t="shared" si="15"/>
        <v>GÖRANSSON</v>
      </c>
      <c r="BO164" t="str">
        <f t="shared" si="16"/>
        <v>TONY</v>
      </c>
    </row>
    <row r="165" spans="1:67" s="106" customFormat="1" ht="16" thickBot="1" x14ac:dyDescent="0.25">
      <c r="A165" s="100" t="s">
        <v>2298</v>
      </c>
      <c r="B165" s="100" t="s">
        <v>2299</v>
      </c>
      <c r="C165" s="100" t="s">
        <v>2300</v>
      </c>
      <c r="D165" s="100" t="s">
        <v>3558</v>
      </c>
      <c r="E165" s="100" t="s">
        <v>1953</v>
      </c>
      <c r="F165" s="100" t="s">
        <v>2484</v>
      </c>
      <c r="G165" s="100" t="s">
        <v>2359</v>
      </c>
      <c r="H165" s="100" t="s">
        <v>1943</v>
      </c>
      <c r="I165" s="100" t="s">
        <v>1944</v>
      </c>
      <c r="J165" s="100" t="s">
        <v>1957</v>
      </c>
      <c r="K165" s="100" t="s">
        <v>2360</v>
      </c>
      <c r="L165" s="100" t="s">
        <v>2361</v>
      </c>
      <c r="M165" s="101" t="s">
        <v>2362</v>
      </c>
      <c r="N165" s="101" t="s">
        <v>2014</v>
      </c>
      <c r="O165" s="102">
        <v>29017</v>
      </c>
      <c r="P165" s="103">
        <v>47.2</v>
      </c>
      <c r="Q165" s="100" t="s">
        <v>3087</v>
      </c>
      <c r="R165" s="100" t="s">
        <v>3264</v>
      </c>
      <c r="S165" s="100" t="s">
        <v>2363</v>
      </c>
      <c r="T165" s="100" t="s">
        <v>2305</v>
      </c>
      <c r="U165" s="100" t="s">
        <v>1640</v>
      </c>
      <c r="V165" s="102">
        <v>29017</v>
      </c>
      <c r="W165" s="102">
        <v>29017</v>
      </c>
      <c r="X165" s="100" t="s">
        <v>43</v>
      </c>
      <c r="Y165" s="100" t="s">
        <v>257</v>
      </c>
      <c r="Z165" s="100" t="s">
        <v>36</v>
      </c>
      <c r="AA165" s="104"/>
      <c r="AB165" s="104"/>
      <c r="AC165" s="100" t="s">
        <v>2051</v>
      </c>
      <c r="AD165" s="100" t="s">
        <v>267</v>
      </c>
      <c r="AE165" s="100" t="s">
        <v>1636</v>
      </c>
      <c r="AF165" s="100" t="s">
        <v>2004</v>
      </c>
      <c r="AG165" s="100" t="s">
        <v>2793</v>
      </c>
      <c r="AH165" s="100" t="s">
        <v>2327</v>
      </c>
      <c r="AI165" s="100" t="s">
        <v>2327</v>
      </c>
      <c r="AJ165" s="100" t="s">
        <v>2051</v>
      </c>
      <c r="AK165" s="100" t="s">
        <v>36</v>
      </c>
      <c r="AL165" s="100" t="s">
        <v>1635</v>
      </c>
      <c r="AM165" s="100" t="s">
        <v>2307</v>
      </c>
      <c r="AN165" s="100" t="s">
        <v>2054</v>
      </c>
      <c r="AO165" s="101" t="s">
        <v>1949</v>
      </c>
      <c r="AP165" s="101" t="s">
        <v>1950</v>
      </c>
      <c r="AQ165" s="114" t="s">
        <v>4145</v>
      </c>
      <c r="AR165" s="104"/>
      <c r="AS165" s="104"/>
      <c r="AT165" s="104"/>
      <c r="AU165" s="101" t="s">
        <v>1972</v>
      </c>
      <c r="AV165" s="104"/>
      <c r="AW165" s="104"/>
      <c r="AX165" s="104"/>
      <c r="AY165" s="104"/>
      <c r="AZ165" s="106" t="str">
        <f t="shared" si="12"/>
        <v>213066</v>
      </c>
      <c r="BA165" s="106" t="str">
        <f t="shared" si="13"/>
        <v>0077</v>
      </c>
      <c r="BB165" t="str">
        <f t="shared" si="17"/>
        <v>0000</v>
      </c>
      <c r="BC165" s="106" t="str">
        <f>IFERROR(VLOOKUP(TRIM(Q165),'Salary Map'!A:E,3,FALSE),"Salary Code Not Mapped")</f>
        <v>Default</v>
      </c>
      <c r="BD165" s="106" t="str">
        <f>IFERROR(VLOOKUP(TRIM(Q165),'Salary Map'!A:E,4,FALSE),"Salary Code Not Mapped")</f>
        <v>General</v>
      </c>
      <c r="BE165" s="106">
        <f>IF(BL165="N",0,IFERROR(VLOOKUP(TRIM(Q165),'Salary Map'!A:E,5,FALSE),"Salary Not Mapped"))</f>
        <v>0</v>
      </c>
      <c r="BF165" s="106" t="str">
        <f>IFERROR(VLOOKUP(AM165,'Country Map'!A:E,2,FALSE),"Country Not Mapped")</f>
        <v>SE</v>
      </c>
      <c r="BH165" s="106" t="str">
        <f>IFERROR(VLOOKUP(AM165,'Country Map'!A:E,4,FALSE),"Country Not Mapped")</f>
        <v>SEK</v>
      </c>
      <c r="BJ165" s="106" t="str">
        <f>IFERROR(VLOOKUP(X165,'Status Map'!A:B,2,FALSE),"Status Code Not Mapped")</f>
        <v>Y</v>
      </c>
      <c r="BL165" s="106" t="str">
        <f>IFERROR(VLOOKUP(D165,'Invoice Exception Map'!A:C,3,FALSE),"N")</f>
        <v>N</v>
      </c>
      <c r="BM165" s="106">
        <f t="shared" si="14"/>
        <v>10</v>
      </c>
      <c r="BN165" s="106" t="str">
        <f t="shared" si="15"/>
        <v>GÖRANSSON</v>
      </c>
      <c r="BO165" s="106" t="str">
        <f t="shared" si="16"/>
        <v>TORBJÖRN</v>
      </c>
    </row>
    <row r="166" spans="1:67" ht="16" thickBot="1" x14ac:dyDescent="0.25">
      <c r="A166" s="90" t="s">
        <v>2298</v>
      </c>
      <c r="B166" s="90" t="s">
        <v>2299</v>
      </c>
      <c r="C166" s="90" t="s">
        <v>2300</v>
      </c>
      <c r="D166" s="90" t="s">
        <v>3559</v>
      </c>
      <c r="E166" s="90" t="s">
        <v>1953</v>
      </c>
      <c r="F166" s="90" t="s">
        <v>2485</v>
      </c>
      <c r="G166" s="90" t="s">
        <v>2310</v>
      </c>
      <c r="H166" s="90" t="s">
        <v>267</v>
      </c>
      <c r="I166" s="90" t="s">
        <v>1944</v>
      </c>
      <c r="J166" s="90" t="s">
        <v>1620</v>
      </c>
      <c r="K166" s="90" t="s">
        <v>2012</v>
      </c>
      <c r="L166" s="90" t="s">
        <v>2311</v>
      </c>
      <c r="M166" s="87" t="s">
        <v>2007</v>
      </c>
      <c r="N166" s="87" t="s">
        <v>2013</v>
      </c>
      <c r="O166" s="88">
        <v>36752</v>
      </c>
      <c r="P166" s="89">
        <v>26</v>
      </c>
      <c r="Q166" s="90" t="s">
        <v>3086</v>
      </c>
      <c r="R166" s="90" t="s">
        <v>3253</v>
      </c>
      <c r="S166" s="90" t="s">
        <v>2304</v>
      </c>
      <c r="T166" s="90" t="s">
        <v>2305</v>
      </c>
      <c r="U166" s="90" t="s">
        <v>1640</v>
      </c>
      <c r="V166" s="88">
        <v>36752</v>
      </c>
      <c r="W166" s="88">
        <v>36752</v>
      </c>
      <c r="X166" s="90" t="s">
        <v>43</v>
      </c>
      <c r="Y166" s="90" t="s">
        <v>257</v>
      </c>
      <c r="Z166" s="90" t="s">
        <v>36</v>
      </c>
      <c r="AA166" s="91"/>
      <c r="AB166" s="91"/>
      <c r="AC166" s="90" t="s">
        <v>2051</v>
      </c>
      <c r="AD166" s="90" t="s">
        <v>267</v>
      </c>
      <c r="AE166" s="90" t="s">
        <v>1636</v>
      </c>
      <c r="AF166" s="90" t="s">
        <v>2004</v>
      </c>
      <c r="AG166" s="90" t="s">
        <v>2793</v>
      </c>
      <c r="AH166" s="90" t="s">
        <v>2306</v>
      </c>
      <c r="AI166" s="90" t="s">
        <v>2306</v>
      </c>
      <c r="AJ166" s="90" t="s">
        <v>2051</v>
      </c>
      <c r="AK166" s="90" t="s">
        <v>36</v>
      </c>
      <c r="AL166" s="90" t="s">
        <v>1635</v>
      </c>
      <c r="AM166" s="90" t="s">
        <v>2307</v>
      </c>
      <c r="AN166" s="90" t="s">
        <v>2054</v>
      </c>
      <c r="AO166" s="87" t="s">
        <v>1949</v>
      </c>
      <c r="AP166" s="87" t="s">
        <v>1950</v>
      </c>
      <c r="AQ166" s="90" t="s">
        <v>2486</v>
      </c>
      <c r="AR166" s="91"/>
      <c r="AS166" s="91"/>
      <c r="AT166" s="91"/>
      <c r="AU166" s="87" t="s">
        <v>1972</v>
      </c>
      <c r="AV166" s="91"/>
      <c r="AW166" s="91"/>
      <c r="AX166" s="91"/>
      <c r="AY166" s="91"/>
      <c r="AZ166" t="str">
        <f t="shared" si="12"/>
        <v>212110</v>
      </c>
      <c r="BA166" t="str">
        <f t="shared" si="13"/>
        <v>0077</v>
      </c>
      <c r="BB166" t="str">
        <f t="shared" si="17"/>
        <v>0000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>IFERROR(VLOOKUP(X166,'Status Map'!A:B,2,FALSE),"Status Code Not Mapped")</f>
        <v>Y</v>
      </c>
      <c r="BL166" t="str">
        <f>IFERROR(VLOOKUP(D166,'Invoice Exception Map'!A:C,3,FALSE),"N")</f>
        <v>N</v>
      </c>
      <c r="BM166">
        <f t="shared" si="14"/>
        <v>9</v>
      </c>
      <c r="BN166" t="str">
        <f t="shared" si="15"/>
        <v>GOTOVUSA</v>
      </c>
      <c r="BO166" t="str">
        <f t="shared" si="16"/>
        <v>FUAD</v>
      </c>
    </row>
    <row r="167" spans="1:67" ht="16" thickBot="1" x14ac:dyDescent="0.25">
      <c r="A167" s="90" t="s">
        <v>2298</v>
      </c>
      <c r="B167" s="90" t="s">
        <v>2299</v>
      </c>
      <c r="C167" s="90" t="s">
        <v>2300</v>
      </c>
      <c r="D167" s="90" t="s">
        <v>3560</v>
      </c>
      <c r="E167" s="90" t="s">
        <v>1953</v>
      </c>
      <c r="F167" s="90" t="s">
        <v>2487</v>
      </c>
      <c r="G167" s="90" t="s">
        <v>2310</v>
      </c>
      <c r="H167" s="90" t="s">
        <v>267</v>
      </c>
      <c r="I167" s="90" t="s">
        <v>1944</v>
      </c>
      <c r="J167" s="90" t="s">
        <v>1620</v>
      </c>
      <c r="K167" s="90" t="s">
        <v>2012</v>
      </c>
      <c r="L167" s="90" t="s">
        <v>2311</v>
      </c>
      <c r="M167" s="87" t="s">
        <v>2007</v>
      </c>
      <c r="N167" s="87" t="s">
        <v>2013</v>
      </c>
      <c r="O167" s="88">
        <v>36557</v>
      </c>
      <c r="P167" s="89">
        <v>26.5</v>
      </c>
      <c r="Q167" s="90" t="s">
        <v>3086</v>
      </c>
      <c r="R167" s="90" t="s">
        <v>3253</v>
      </c>
      <c r="S167" s="90" t="s">
        <v>2304</v>
      </c>
      <c r="T167" s="90" t="s">
        <v>2305</v>
      </c>
      <c r="U167" s="90" t="s">
        <v>1640</v>
      </c>
      <c r="V167" s="88">
        <v>36557</v>
      </c>
      <c r="W167" s="88">
        <v>36557</v>
      </c>
      <c r="X167" s="90" t="s">
        <v>43</v>
      </c>
      <c r="Y167" s="90" t="s">
        <v>257</v>
      </c>
      <c r="Z167" s="90" t="s">
        <v>36</v>
      </c>
      <c r="AA167" s="91"/>
      <c r="AB167" s="91"/>
      <c r="AC167" s="90" t="s">
        <v>2051</v>
      </c>
      <c r="AD167" s="90" t="s">
        <v>267</v>
      </c>
      <c r="AE167" s="90" t="s">
        <v>1636</v>
      </c>
      <c r="AF167" s="90" t="s">
        <v>2004</v>
      </c>
      <c r="AG167" s="90" t="s">
        <v>2793</v>
      </c>
      <c r="AH167" s="90" t="s">
        <v>2306</v>
      </c>
      <c r="AI167" s="90" t="s">
        <v>2306</v>
      </c>
      <c r="AJ167" s="90" t="s">
        <v>2051</v>
      </c>
      <c r="AK167" s="90" t="s">
        <v>36</v>
      </c>
      <c r="AL167" s="90" t="s">
        <v>1635</v>
      </c>
      <c r="AM167" s="90" t="s">
        <v>2307</v>
      </c>
      <c r="AN167" s="90" t="s">
        <v>2054</v>
      </c>
      <c r="AO167" s="87" t="s">
        <v>1949</v>
      </c>
      <c r="AP167" s="87" t="s">
        <v>1950</v>
      </c>
      <c r="AQ167" s="90" t="s">
        <v>2488</v>
      </c>
      <c r="AR167" s="91"/>
      <c r="AS167" s="91"/>
      <c r="AT167" s="91"/>
      <c r="AU167" s="87" t="s">
        <v>1972</v>
      </c>
      <c r="AV167" s="91"/>
      <c r="AW167" s="91"/>
      <c r="AX167" s="91"/>
      <c r="AY167" s="91"/>
      <c r="AZ167" t="str">
        <f t="shared" si="12"/>
        <v>212110</v>
      </c>
      <c r="BA167" t="str">
        <f t="shared" si="13"/>
        <v>0077</v>
      </c>
      <c r="BB167" t="str">
        <f t="shared" si="17"/>
        <v>0000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>IFERROR(VLOOKUP(X167,'Status Map'!A:B,2,FALSE),"Status Code Not Mapped")</f>
        <v>Y</v>
      </c>
      <c r="BL167" t="str">
        <f>IFERROR(VLOOKUP(D167,'Invoice Exception Map'!A:C,3,FALSE),"N")</f>
        <v>N</v>
      </c>
      <c r="BM167">
        <f t="shared" si="14"/>
        <v>11</v>
      </c>
      <c r="BN167" t="str">
        <f t="shared" si="15"/>
        <v>GUSTAFSSON</v>
      </c>
      <c r="BO167" t="str">
        <f t="shared" si="16"/>
        <v>TOBIAS</v>
      </c>
    </row>
    <row r="168" spans="1:67" ht="16" thickBot="1" x14ac:dyDescent="0.25">
      <c r="A168" s="90" t="s">
        <v>2298</v>
      </c>
      <c r="B168" s="90" t="s">
        <v>2299</v>
      </c>
      <c r="C168" s="90" t="s">
        <v>2300</v>
      </c>
      <c r="D168" s="90" t="s">
        <v>3561</v>
      </c>
      <c r="E168" s="90" t="s">
        <v>1953</v>
      </c>
      <c r="F168" s="90" t="s">
        <v>2489</v>
      </c>
      <c r="G168" s="90" t="s">
        <v>2382</v>
      </c>
      <c r="H168" s="90" t="s">
        <v>267</v>
      </c>
      <c r="I168" s="90" t="s">
        <v>1944</v>
      </c>
      <c r="J168" s="90" t="s">
        <v>1620</v>
      </c>
      <c r="K168" s="90" t="s">
        <v>2383</v>
      </c>
      <c r="L168" s="90" t="s">
        <v>2338</v>
      </c>
      <c r="M168" s="87" t="s">
        <v>2338</v>
      </c>
      <c r="N168" s="87" t="s">
        <v>2005</v>
      </c>
      <c r="O168" s="88">
        <v>44711</v>
      </c>
      <c r="P168" s="89">
        <v>4.3</v>
      </c>
      <c r="Q168" s="90" t="s">
        <v>3089</v>
      </c>
      <c r="R168" s="90" t="s">
        <v>3260</v>
      </c>
      <c r="S168" s="90" t="s">
        <v>2339</v>
      </c>
      <c r="T168" s="90" t="s">
        <v>2305</v>
      </c>
      <c r="U168" s="90" t="s">
        <v>1640</v>
      </c>
      <c r="V168" s="88">
        <v>44711</v>
      </c>
      <c r="W168" s="88">
        <v>44711</v>
      </c>
      <c r="X168" s="90" t="s">
        <v>43</v>
      </c>
      <c r="Y168" s="90" t="s">
        <v>257</v>
      </c>
      <c r="Z168" s="90" t="s">
        <v>36</v>
      </c>
      <c r="AA168" s="91"/>
      <c r="AB168" s="91"/>
      <c r="AC168" s="90" t="s">
        <v>2051</v>
      </c>
      <c r="AD168" s="90" t="s">
        <v>267</v>
      </c>
      <c r="AE168" s="90" t="s">
        <v>1636</v>
      </c>
      <c r="AF168" s="90" t="s">
        <v>2004</v>
      </c>
      <c r="AG168" s="90" t="s">
        <v>2793</v>
      </c>
      <c r="AH168" s="90" t="s">
        <v>2384</v>
      </c>
      <c r="AI168" s="90" t="s">
        <v>2384</v>
      </c>
      <c r="AJ168" s="90" t="s">
        <v>2051</v>
      </c>
      <c r="AK168" s="91"/>
      <c r="AL168" s="90" t="s">
        <v>1635</v>
      </c>
      <c r="AM168" s="90" t="s">
        <v>2307</v>
      </c>
      <c r="AN168" s="90" t="s">
        <v>2054</v>
      </c>
      <c r="AO168" s="87" t="s">
        <v>1949</v>
      </c>
      <c r="AP168" s="87" t="s">
        <v>1950</v>
      </c>
      <c r="AQ168" s="90" t="s">
        <v>2490</v>
      </c>
      <c r="AR168" s="91"/>
      <c r="AS168" s="91"/>
      <c r="AT168" s="91"/>
      <c r="AU168" s="87" t="s">
        <v>1972</v>
      </c>
      <c r="AV168" s="91"/>
      <c r="AW168" s="91"/>
      <c r="AX168" s="91"/>
      <c r="AY168" s="91"/>
      <c r="AZ168" t="str">
        <f t="shared" si="12"/>
        <v>205380</v>
      </c>
      <c r="BA168" t="str">
        <f t="shared" si="13"/>
        <v>0077</v>
      </c>
      <c r="BB168" t="str">
        <f t="shared" si="17"/>
        <v>0000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>IFERROR(VLOOKUP(X168,'Status Map'!A:B,2,FALSE),"Status Code Not Mapped")</f>
        <v>Y</v>
      </c>
      <c r="BL168" t="str">
        <f>IFERROR(VLOOKUP(D168,'Invoice Exception Map'!A:C,3,FALSE),"N")</f>
        <v>N</v>
      </c>
      <c r="BM168">
        <f t="shared" si="14"/>
        <v>11</v>
      </c>
      <c r="BN168" t="str">
        <f t="shared" si="15"/>
        <v>GUSTAVSSON</v>
      </c>
      <c r="BO168" t="str">
        <f t="shared" si="16"/>
        <v>TONY</v>
      </c>
    </row>
    <row r="169" spans="1:67" ht="16" thickBot="1" x14ac:dyDescent="0.25">
      <c r="A169" s="90" t="s">
        <v>2298</v>
      </c>
      <c r="B169" s="90" t="s">
        <v>2299</v>
      </c>
      <c r="C169" s="90" t="s">
        <v>2300</v>
      </c>
      <c r="D169" s="90" t="s">
        <v>3562</v>
      </c>
      <c r="E169" s="90" t="s">
        <v>1953</v>
      </c>
      <c r="F169" s="90" t="s">
        <v>2491</v>
      </c>
      <c r="G169" s="90" t="s">
        <v>2310</v>
      </c>
      <c r="H169" s="90" t="s">
        <v>267</v>
      </c>
      <c r="I169" s="90" t="s">
        <v>1944</v>
      </c>
      <c r="J169" s="90" t="s">
        <v>1620</v>
      </c>
      <c r="K169" s="90" t="s">
        <v>2012</v>
      </c>
      <c r="L169" s="90" t="s">
        <v>2311</v>
      </c>
      <c r="M169" s="87" t="s">
        <v>2007</v>
      </c>
      <c r="N169" s="87" t="s">
        <v>2013</v>
      </c>
      <c r="O169" s="88">
        <v>43269</v>
      </c>
      <c r="P169" s="89">
        <v>8.1999999999999993</v>
      </c>
      <c r="Q169" s="90" t="s">
        <v>3086</v>
      </c>
      <c r="R169" s="90" t="s">
        <v>3253</v>
      </c>
      <c r="S169" s="90" t="s">
        <v>2304</v>
      </c>
      <c r="T169" s="90" t="s">
        <v>2305</v>
      </c>
      <c r="U169" s="90" t="s">
        <v>1640</v>
      </c>
      <c r="V169" s="88">
        <v>43269</v>
      </c>
      <c r="W169" s="88">
        <v>43269</v>
      </c>
      <c r="X169" s="90" t="s">
        <v>43</v>
      </c>
      <c r="Y169" s="90" t="s">
        <v>257</v>
      </c>
      <c r="Z169" s="90" t="s">
        <v>36</v>
      </c>
      <c r="AA169" s="91"/>
      <c r="AB169" s="91"/>
      <c r="AC169" s="90" t="s">
        <v>2051</v>
      </c>
      <c r="AD169" s="90" t="s">
        <v>267</v>
      </c>
      <c r="AE169" s="90" t="s">
        <v>1636</v>
      </c>
      <c r="AF169" s="90" t="s">
        <v>2004</v>
      </c>
      <c r="AG169" s="90" t="s">
        <v>2793</v>
      </c>
      <c r="AH169" s="90" t="s">
        <v>2306</v>
      </c>
      <c r="AI169" s="90" t="s">
        <v>2306</v>
      </c>
      <c r="AJ169" s="90" t="s">
        <v>2051</v>
      </c>
      <c r="AK169" s="90" t="s">
        <v>36</v>
      </c>
      <c r="AL169" s="90" t="s">
        <v>1635</v>
      </c>
      <c r="AM169" s="90" t="s">
        <v>2307</v>
      </c>
      <c r="AN169" s="90" t="s">
        <v>2054</v>
      </c>
      <c r="AO169" s="87" t="s">
        <v>1949</v>
      </c>
      <c r="AP169" s="87" t="s">
        <v>1950</v>
      </c>
      <c r="AQ169" s="90" t="s">
        <v>2492</v>
      </c>
      <c r="AR169" s="91"/>
      <c r="AS169" s="91"/>
      <c r="AT169" s="91"/>
      <c r="AU169" s="87" t="s">
        <v>1972</v>
      </c>
      <c r="AV169" s="91"/>
      <c r="AW169" s="91"/>
      <c r="AX169" s="91"/>
      <c r="AY169" s="91"/>
      <c r="AZ169" t="str">
        <f t="shared" si="12"/>
        <v>212110</v>
      </c>
      <c r="BA169" t="str">
        <f t="shared" si="13"/>
        <v>0077</v>
      </c>
      <c r="BB169" t="str">
        <f t="shared" si="17"/>
        <v>0000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>IFERROR(VLOOKUP(X169,'Status Map'!A:B,2,FALSE),"Status Code Not Mapped")</f>
        <v>Y</v>
      </c>
      <c r="BL169" t="str">
        <f>IFERROR(VLOOKUP(D169,'Invoice Exception Map'!A:C,3,FALSE),"N")</f>
        <v>N</v>
      </c>
      <c r="BM169">
        <f t="shared" si="14"/>
        <v>11</v>
      </c>
      <c r="BN169" t="str">
        <f t="shared" si="15"/>
        <v>GYLLENSTEN</v>
      </c>
      <c r="BO169" t="str">
        <f t="shared" si="16"/>
        <v>TOBIAS</v>
      </c>
    </row>
    <row r="170" spans="1:67" ht="16" thickBot="1" x14ac:dyDescent="0.25">
      <c r="A170" s="90" t="s">
        <v>2298</v>
      </c>
      <c r="B170" s="90" t="s">
        <v>2299</v>
      </c>
      <c r="C170" s="90" t="s">
        <v>2300</v>
      </c>
      <c r="D170" s="90" t="s">
        <v>3563</v>
      </c>
      <c r="E170" s="90" t="s">
        <v>1953</v>
      </c>
      <c r="F170" s="90" t="s">
        <v>2493</v>
      </c>
      <c r="G170" s="90" t="s">
        <v>2310</v>
      </c>
      <c r="H170" s="90" t="s">
        <v>267</v>
      </c>
      <c r="I170" s="90" t="s">
        <v>1944</v>
      </c>
      <c r="J170" s="90" t="s">
        <v>1620</v>
      </c>
      <c r="K170" s="90" t="s">
        <v>2012</v>
      </c>
      <c r="L170" s="90" t="s">
        <v>2311</v>
      </c>
      <c r="M170" s="87" t="s">
        <v>2007</v>
      </c>
      <c r="N170" s="87" t="s">
        <v>2013</v>
      </c>
      <c r="O170" s="88">
        <v>42419</v>
      </c>
      <c r="P170" s="89">
        <v>10.5</v>
      </c>
      <c r="Q170" s="90" t="s">
        <v>3086</v>
      </c>
      <c r="R170" s="90" t="s">
        <v>3255</v>
      </c>
      <c r="S170" s="90" t="s">
        <v>2315</v>
      </c>
      <c r="T170" s="90" t="s">
        <v>2305</v>
      </c>
      <c r="U170" s="90" t="s">
        <v>1640</v>
      </c>
      <c r="V170" s="88">
        <v>42419</v>
      </c>
      <c r="W170" s="88">
        <v>42419</v>
      </c>
      <c r="X170" s="90" t="s">
        <v>43</v>
      </c>
      <c r="Y170" s="90" t="s">
        <v>257</v>
      </c>
      <c r="Z170" s="90" t="s">
        <v>36</v>
      </c>
      <c r="AA170" s="91"/>
      <c r="AB170" s="91"/>
      <c r="AC170" s="90" t="s">
        <v>2051</v>
      </c>
      <c r="AD170" s="90" t="s">
        <v>267</v>
      </c>
      <c r="AE170" s="90" t="s">
        <v>1636</v>
      </c>
      <c r="AF170" s="90" t="s">
        <v>2004</v>
      </c>
      <c r="AG170" s="90" t="s">
        <v>3270</v>
      </c>
      <c r="AH170" s="90" t="s">
        <v>2306</v>
      </c>
      <c r="AI170" s="90" t="s">
        <v>2306</v>
      </c>
      <c r="AJ170" s="90" t="s">
        <v>2051</v>
      </c>
      <c r="AK170" s="90" t="s">
        <v>36</v>
      </c>
      <c r="AL170" s="90" t="s">
        <v>1635</v>
      </c>
      <c r="AM170" s="90" t="s">
        <v>2307</v>
      </c>
      <c r="AN170" s="90" t="s">
        <v>2054</v>
      </c>
      <c r="AO170" s="87" t="s">
        <v>1949</v>
      </c>
      <c r="AP170" s="87" t="s">
        <v>1950</v>
      </c>
      <c r="AQ170" s="90" t="s">
        <v>2494</v>
      </c>
      <c r="AR170" s="91"/>
      <c r="AS170" s="91"/>
      <c r="AT170" s="91"/>
      <c r="AU170" s="87" t="s">
        <v>1972</v>
      </c>
      <c r="AV170" s="91"/>
      <c r="AW170" s="91"/>
      <c r="AX170" s="91"/>
      <c r="AY170" s="91"/>
      <c r="AZ170" t="str">
        <f t="shared" si="12"/>
        <v>205315</v>
      </c>
      <c r="BA170" t="str">
        <f t="shared" si="13"/>
        <v>0077</v>
      </c>
      <c r="BB170" t="str">
        <f t="shared" si="17"/>
        <v>0000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>IFERROR(VLOOKUP(X170,'Status Map'!A:B,2,FALSE),"Status Code Not Mapped")</f>
        <v>Y</v>
      </c>
      <c r="BL170" t="str">
        <f>IFERROR(VLOOKUP(D170,'Invoice Exception Map'!A:C,3,FALSE),"N")</f>
        <v>N</v>
      </c>
      <c r="BM170">
        <f t="shared" si="14"/>
        <v>6</v>
      </c>
      <c r="BN170" t="str">
        <f t="shared" si="15"/>
        <v>HÄGER</v>
      </c>
      <c r="BO170" t="str">
        <f t="shared" si="16"/>
        <v>PETER</v>
      </c>
    </row>
    <row r="171" spans="1:67" ht="16" thickBot="1" x14ac:dyDescent="0.25">
      <c r="A171" s="90" t="s">
        <v>2298</v>
      </c>
      <c r="B171" s="90" t="s">
        <v>2299</v>
      </c>
      <c r="C171" s="90" t="s">
        <v>2300</v>
      </c>
      <c r="D171" s="90" t="s">
        <v>3564</v>
      </c>
      <c r="E171" s="90" t="s">
        <v>1953</v>
      </c>
      <c r="F171" s="90" t="s">
        <v>2495</v>
      </c>
      <c r="G171" s="90" t="s">
        <v>2318</v>
      </c>
      <c r="H171" s="90" t="s">
        <v>267</v>
      </c>
      <c r="I171" s="90" t="s">
        <v>1944</v>
      </c>
      <c r="J171" s="90" t="s">
        <v>1620</v>
      </c>
      <c r="K171" s="90" t="s">
        <v>247</v>
      </c>
      <c r="L171" s="90" t="s">
        <v>2003</v>
      </c>
      <c r="M171" s="87" t="s">
        <v>2003</v>
      </c>
      <c r="N171" s="87" t="s">
        <v>1999</v>
      </c>
      <c r="O171" s="88">
        <v>38593</v>
      </c>
      <c r="P171" s="89">
        <v>21</v>
      </c>
      <c r="Q171" s="90" t="s">
        <v>3089</v>
      </c>
      <c r="R171" s="90" t="s">
        <v>3256</v>
      </c>
      <c r="S171" s="90" t="s">
        <v>2319</v>
      </c>
      <c r="T171" s="90" t="s">
        <v>2305</v>
      </c>
      <c r="U171" s="90" t="s">
        <v>1640</v>
      </c>
      <c r="V171" s="88">
        <v>38593</v>
      </c>
      <c r="W171" s="88">
        <v>38593</v>
      </c>
      <c r="X171" s="90" t="s">
        <v>43</v>
      </c>
      <c r="Y171" s="90" t="s">
        <v>257</v>
      </c>
      <c r="Z171" s="90" t="s">
        <v>36</v>
      </c>
      <c r="AA171" s="91"/>
      <c r="AB171" s="91"/>
      <c r="AC171" s="90" t="s">
        <v>2051</v>
      </c>
      <c r="AD171" s="90" t="s">
        <v>267</v>
      </c>
      <c r="AE171" s="90" t="s">
        <v>1636</v>
      </c>
      <c r="AF171" s="90" t="s">
        <v>2004</v>
      </c>
      <c r="AG171" s="90" t="s">
        <v>2793</v>
      </c>
      <c r="AH171" s="90" t="s">
        <v>2320</v>
      </c>
      <c r="AI171" s="90" t="s">
        <v>2320</v>
      </c>
      <c r="AJ171" s="90" t="s">
        <v>2051</v>
      </c>
      <c r="AK171" s="90" t="s">
        <v>36</v>
      </c>
      <c r="AL171" s="90" t="s">
        <v>1635</v>
      </c>
      <c r="AM171" s="90" t="s">
        <v>2307</v>
      </c>
      <c r="AN171" s="90" t="s">
        <v>2054</v>
      </c>
      <c r="AO171" s="87" t="s">
        <v>1949</v>
      </c>
      <c r="AP171" s="87" t="s">
        <v>1950</v>
      </c>
      <c r="AQ171" s="90" t="s">
        <v>2496</v>
      </c>
      <c r="AR171" s="91"/>
      <c r="AS171" s="91"/>
      <c r="AT171" s="91"/>
      <c r="AU171" s="87" t="s">
        <v>1972</v>
      </c>
      <c r="AV171" s="91"/>
      <c r="AW171" s="91"/>
      <c r="AX171" s="91"/>
      <c r="AY171" s="91"/>
      <c r="AZ171" t="str">
        <f t="shared" si="12"/>
        <v>205383</v>
      </c>
      <c r="BA171" t="str">
        <f t="shared" si="13"/>
        <v>0077</v>
      </c>
      <c r="BB171" t="str">
        <f t="shared" si="17"/>
        <v>0000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>IFERROR(VLOOKUP(X171,'Status Map'!A:B,2,FALSE),"Status Code Not Mapped")</f>
        <v>Y</v>
      </c>
      <c r="BL171" t="str">
        <f>IFERROR(VLOOKUP(D171,'Invoice Exception Map'!A:C,3,FALSE),"N")</f>
        <v>N</v>
      </c>
      <c r="BM171">
        <f t="shared" si="14"/>
        <v>9</v>
      </c>
      <c r="BN171" t="str">
        <f t="shared" si="15"/>
        <v>HAGSTRÖM</v>
      </c>
      <c r="BO171" t="str">
        <f t="shared" si="16"/>
        <v>TONY</v>
      </c>
    </row>
    <row r="172" spans="1:67" ht="16" thickBot="1" x14ac:dyDescent="0.25">
      <c r="A172" s="90" t="s">
        <v>2298</v>
      </c>
      <c r="B172" s="90" t="s">
        <v>2299</v>
      </c>
      <c r="C172" s="90" t="s">
        <v>2300</v>
      </c>
      <c r="D172" s="90" t="s">
        <v>3565</v>
      </c>
      <c r="E172" s="90" t="s">
        <v>1953</v>
      </c>
      <c r="F172" s="90" t="s">
        <v>2497</v>
      </c>
      <c r="G172" s="90" t="s">
        <v>2310</v>
      </c>
      <c r="H172" s="90" t="s">
        <v>267</v>
      </c>
      <c r="I172" s="90" t="s">
        <v>1944</v>
      </c>
      <c r="J172" s="90" t="s">
        <v>1620</v>
      </c>
      <c r="K172" s="90" t="s">
        <v>2012</v>
      </c>
      <c r="L172" s="90" t="s">
        <v>2311</v>
      </c>
      <c r="M172" s="87" t="s">
        <v>2007</v>
      </c>
      <c r="N172" s="87" t="s">
        <v>2013</v>
      </c>
      <c r="O172" s="88">
        <v>40196</v>
      </c>
      <c r="P172" s="89">
        <v>16.600000000000001</v>
      </c>
      <c r="Q172" s="90" t="s">
        <v>3086</v>
      </c>
      <c r="R172" s="90" t="s">
        <v>3253</v>
      </c>
      <c r="S172" s="90" t="s">
        <v>2304</v>
      </c>
      <c r="T172" s="90" t="s">
        <v>2305</v>
      </c>
      <c r="U172" s="90" t="s">
        <v>1640</v>
      </c>
      <c r="V172" s="88">
        <v>40196</v>
      </c>
      <c r="W172" s="88">
        <v>40196</v>
      </c>
      <c r="X172" s="90" t="s">
        <v>43</v>
      </c>
      <c r="Y172" s="90" t="s">
        <v>257</v>
      </c>
      <c r="Z172" s="90" t="s">
        <v>36</v>
      </c>
      <c r="AA172" s="91"/>
      <c r="AB172" s="91"/>
      <c r="AC172" s="90" t="s">
        <v>2051</v>
      </c>
      <c r="AD172" s="90" t="s">
        <v>267</v>
      </c>
      <c r="AE172" s="90" t="s">
        <v>1636</v>
      </c>
      <c r="AF172" s="90" t="s">
        <v>2004</v>
      </c>
      <c r="AG172" s="90" t="s">
        <v>3265</v>
      </c>
      <c r="AH172" s="90" t="s">
        <v>2306</v>
      </c>
      <c r="AI172" s="90" t="s">
        <v>2306</v>
      </c>
      <c r="AJ172" s="90" t="s">
        <v>2051</v>
      </c>
      <c r="AK172" s="90" t="s">
        <v>36</v>
      </c>
      <c r="AL172" s="90" t="s">
        <v>1635</v>
      </c>
      <c r="AM172" s="90" t="s">
        <v>2307</v>
      </c>
      <c r="AN172" s="90" t="s">
        <v>2054</v>
      </c>
      <c r="AO172" s="87" t="s">
        <v>1949</v>
      </c>
      <c r="AP172" s="87" t="s">
        <v>1950</v>
      </c>
      <c r="AQ172" s="90" t="s">
        <v>2498</v>
      </c>
      <c r="AR172" s="91"/>
      <c r="AS172" s="91"/>
      <c r="AT172" s="91"/>
      <c r="AU172" s="87" t="s">
        <v>1972</v>
      </c>
      <c r="AV172" s="91"/>
      <c r="AW172" s="91"/>
      <c r="AX172" s="91"/>
      <c r="AY172" s="91"/>
      <c r="AZ172" t="str">
        <f t="shared" si="12"/>
        <v>212110</v>
      </c>
      <c r="BA172" t="str">
        <f t="shared" si="13"/>
        <v>0077</v>
      </c>
      <c r="BB172" t="str">
        <f t="shared" si="17"/>
        <v>0000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>IFERROR(VLOOKUP(X172,'Status Map'!A:B,2,FALSE),"Status Code Not Mapped")</f>
        <v>Y</v>
      </c>
      <c r="BL172" t="str">
        <f>IFERROR(VLOOKUP(D172,'Invoice Exception Map'!A:C,3,FALSE),"N")</f>
        <v>N</v>
      </c>
      <c r="BM172">
        <f t="shared" si="14"/>
        <v>8</v>
      </c>
      <c r="BN172" t="str">
        <f t="shared" si="15"/>
        <v>HALLMAN</v>
      </c>
      <c r="BO172" t="str">
        <f t="shared" si="16"/>
        <v>JENS</v>
      </c>
    </row>
    <row r="173" spans="1:67" ht="16" thickBot="1" x14ac:dyDescent="0.25">
      <c r="A173" s="90" t="s">
        <v>2298</v>
      </c>
      <c r="B173" s="90" t="s">
        <v>2299</v>
      </c>
      <c r="C173" s="90" t="s">
        <v>2300</v>
      </c>
      <c r="D173" s="90" t="s">
        <v>3566</v>
      </c>
      <c r="E173" s="90" t="s">
        <v>1953</v>
      </c>
      <c r="F173" s="90" t="s">
        <v>2499</v>
      </c>
      <c r="G173" s="90" t="s">
        <v>2318</v>
      </c>
      <c r="H173" s="90" t="s">
        <v>267</v>
      </c>
      <c r="I173" s="90" t="s">
        <v>1944</v>
      </c>
      <c r="J173" s="90" t="s">
        <v>1620</v>
      </c>
      <c r="K173" s="90" t="s">
        <v>247</v>
      </c>
      <c r="L173" s="90" t="s">
        <v>2003</v>
      </c>
      <c r="M173" s="87" t="s">
        <v>2003</v>
      </c>
      <c r="N173" s="87" t="s">
        <v>1999</v>
      </c>
      <c r="O173" s="88">
        <v>41665</v>
      </c>
      <c r="P173" s="89">
        <v>12.6</v>
      </c>
      <c r="Q173" s="90" t="s">
        <v>3089</v>
      </c>
      <c r="R173" s="90" t="s">
        <v>3253</v>
      </c>
      <c r="S173" s="90" t="s">
        <v>2304</v>
      </c>
      <c r="T173" s="90" t="s">
        <v>2305</v>
      </c>
      <c r="U173" s="90" t="s">
        <v>1640</v>
      </c>
      <c r="V173" s="88">
        <v>41665</v>
      </c>
      <c r="W173" s="88">
        <v>41665</v>
      </c>
      <c r="X173" s="90" t="s">
        <v>43</v>
      </c>
      <c r="Y173" s="90" t="s">
        <v>257</v>
      </c>
      <c r="Z173" s="90" t="s">
        <v>36</v>
      </c>
      <c r="AA173" s="91"/>
      <c r="AB173" s="91"/>
      <c r="AC173" s="90" t="s">
        <v>2051</v>
      </c>
      <c r="AD173" s="90" t="s">
        <v>267</v>
      </c>
      <c r="AE173" s="90" t="s">
        <v>1636</v>
      </c>
      <c r="AF173" s="90" t="s">
        <v>2004</v>
      </c>
      <c r="AG173" s="90" t="s">
        <v>3274</v>
      </c>
      <c r="AH173" s="90" t="s">
        <v>2306</v>
      </c>
      <c r="AI173" s="90" t="s">
        <v>2306</v>
      </c>
      <c r="AJ173" s="90" t="s">
        <v>2051</v>
      </c>
      <c r="AK173" s="90" t="s">
        <v>36</v>
      </c>
      <c r="AL173" s="90" t="s">
        <v>1635</v>
      </c>
      <c r="AM173" s="90" t="s">
        <v>2307</v>
      </c>
      <c r="AN173" s="90" t="s">
        <v>2054</v>
      </c>
      <c r="AO173" s="87" t="s">
        <v>1949</v>
      </c>
      <c r="AP173" s="87" t="s">
        <v>1950</v>
      </c>
      <c r="AQ173" s="90" t="s">
        <v>2500</v>
      </c>
      <c r="AR173" s="91"/>
      <c r="AS173" s="91"/>
      <c r="AT173" s="91"/>
      <c r="AU173" s="87" t="s">
        <v>1972</v>
      </c>
      <c r="AV173" s="91"/>
      <c r="AW173" s="91"/>
      <c r="AX173" s="91"/>
      <c r="AY173" s="91"/>
      <c r="AZ173" t="str">
        <f t="shared" si="12"/>
        <v>212110</v>
      </c>
      <c r="BA173" t="str">
        <f t="shared" si="13"/>
        <v>0077</v>
      </c>
      <c r="BB173" t="str">
        <f t="shared" si="17"/>
        <v>0000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>IFERROR(VLOOKUP(X173,'Status Map'!A:B,2,FALSE),"Status Code Not Mapped")</f>
        <v>Y</v>
      </c>
      <c r="BL173" t="str">
        <f>IFERROR(VLOOKUP(D173,'Invoice Exception Map'!A:C,3,FALSE),"N")</f>
        <v>N</v>
      </c>
      <c r="BM173">
        <f t="shared" si="14"/>
        <v>8</v>
      </c>
      <c r="BN173" t="str">
        <f t="shared" si="15"/>
        <v>HANSSON</v>
      </c>
      <c r="BO173" t="str">
        <f t="shared" si="16"/>
        <v>TORBJÖRN</v>
      </c>
    </row>
    <row r="174" spans="1:67" ht="16" thickBot="1" x14ac:dyDescent="0.25">
      <c r="A174" s="90" t="s">
        <v>2298</v>
      </c>
      <c r="B174" s="90" t="s">
        <v>2299</v>
      </c>
      <c r="C174" s="90" t="s">
        <v>2300</v>
      </c>
      <c r="D174" s="90" t="s">
        <v>3567</v>
      </c>
      <c r="E174" s="90" t="s">
        <v>1953</v>
      </c>
      <c r="F174" s="90" t="s">
        <v>2501</v>
      </c>
      <c r="G174" s="90" t="s">
        <v>2310</v>
      </c>
      <c r="H174" s="90" t="s">
        <v>267</v>
      </c>
      <c r="I174" s="90" t="s">
        <v>1944</v>
      </c>
      <c r="J174" s="90" t="s">
        <v>1620</v>
      </c>
      <c r="K174" s="90" t="s">
        <v>2012</v>
      </c>
      <c r="L174" s="90" t="s">
        <v>2311</v>
      </c>
      <c r="M174" s="87" t="s">
        <v>2007</v>
      </c>
      <c r="N174" s="87" t="s">
        <v>2013</v>
      </c>
      <c r="O174" s="88">
        <v>41701</v>
      </c>
      <c r="P174" s="89">
        <v>12.5</v>
      </c>
      <c r="Q174" s="90" t="s">
        <v>3086</v>
      </c>
      <c r="R174" s="90" t="s">
        <v>3253</v>
      </c>
      <c r="S174" s="90" t="s">
        <v>2304</v>
      </c>
      <c r="T174" s="90" t="s">
        <v>2305</v>
      </c>
      <c r="U174" s="90" t="s">
        <v>1640</v>
      </c>
      <c r="V174" s="88">
        <v>41701</v>
      </c>
      <c r="W174" s="88">
        <v>41701</v>
      </c>
      <c r="X174" s="90" t="s">
        <v>43</v>
      </c>
      <c r="Y174" s="90" t="s">
        <v>257</v>
      </c>
      <c r="Z174" s="90" t="s">
        <v>36</v>
      </c>
      <c r="AA174" s="91"/>
      <c r="AB174" s="91"/>
      <c r="AC174" s="90" t="s">
        <v>2051</v>
      </c>
      <c r="AD174" s="90" t="s">
        <v>267</v>
      </c>
      <c r="AE174" s="90" t="s">
        <v>1636</v>
      </c>
      <c r="AF174" s="90" t="s">
        <v>2004</v>
      </c>
      <c r="AG174" s="90" t="s">
        <v>2793</v>
      </c>
      <c r="AH174" s="90" t="s">
        <v>2306</v>
      </c>
      <c r="AI174" s="90" t="s">
        <v>2306</v>
      </c>
      <c r="AJ174" s="90" t="s">
        <v>2051</v>
      </c>
      <c r="AK174" s="90" t="s">
        <v>36</v>
      </c>
      <c r="AL174" s="90" t="s">
        <v>1635</v>
      </c>
      <c r="AM174" s="90" t="s">
        <v>2307</v>
      </c>
      <c r="AN174" s="90" t="s">
        <v>2054</v>
      </c>
      <c r="AO174" s="87" t="s">
        <v>1949</v>
      </c>
      <c r="AP174" s="87" t="s">
        <v>1950</v>
      </c>
      <c r="AQ174" s="90" t="s">
        <v>2502</v>
      </c>
      <c r="AR174" s="91"/>
      <c r="AS174" s="91"/>
      <c r="AT174" s="91"/>
      <c r="AU174" s="87" t="s">
        <v>1972</v>
      </c>
      <c r="AV174" s="91"/>
      <c r="AW174" s="91"/>
      <c r="AX174" s="91"/>
      <c r="AY174" s="91"/>
      <c r="AZ174" t="str">
        <f t="shared" si="12"/>
        <v>212110</v>
      </c>
      <c r="BA174" t="str">
        <f t="shared" si="13"/>
        <v>0077</v>
      </c>
      <c r="BB174" t="str">
        <f t="shared" si="17"/>
        <v>0000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>IFERROR(VLOOKUP(X174,'Status Map'!A:B,2,FALSE),"Status Code Not Mapped")</f>
        <v>Y</v>
      </c>
      <c r="BL174" t="str">
        <f>IFERROR(VLOOKUP(D174,'Invoice Exception Map'!A:C,3,FALSE),"N")</f>
        <v>N</v>
      </c>
      <c r="BM174">
        <f t="shared" si="14"/>
        <v>9</v>
      </c>
      <c r="BN174" t="str">
        <f t="shared" si="15"/>
        <v>HASKOVIC</v>
      </c>
      <c r="BO174" t="str">
        <f t="shared" si="16"/>
        <v>MEVLUDIN</v>
      </c>
    </row>
    <row r="175" spans="1:67" ht="16" thickBot="1" x14ac:dyDescent="0.25">
      <c r="A175" s="90" t="s">
        <v>2298</v>
      </c>
      <c r="B175" s="90" t="s">
        <v>2299</v>
      </c>
      <c r="C175" s="90" t="s">
        <v>2300</v>
      </c>
      <c r="D175" s="90" t="s">
        <v>3568</v>
      </c>
      <c r="E175" s="90" t="s">
        <v>1953</v>
      </c>
      <c r="F175" s="90" t="s">
        <v>2503</v>
      </c>
      <c r="G175" s="90" t="s">
        <v>2323</v>
      </c>
      <c r="H175" s="90" t="s">
        <v>1943</v>
      </c>
      <c r="I175" s="90" t="s">
        <v>1944</v>
      </c>
      <c r="J175" s="90" t="s">
        <v>1620</v>
      </c>
      <c r="K175" s="90" t="s">
        <v>2324</v>
      </c>
      <c r="L175" s="90" t="s">
        <v>2324</v>
      </c>
      <c r="M175" s="87" t="s">
        <v>2010</v>
      </c>
      <c r="N175" s="87" t="s">
        <v>2325</v>
      </c>
      <c r="O175" s="88">
        <v>43353</v>
      </c>
      <c r="P175" s="89">
        <v>8</v>
      </c>
      <c r="Q175" s="90" t="s">
        <v>3087</v>
      </c>
      <c r="R175" s="90" t="s">
        <v>3257</v>
      </c>
      <c r="S175" s="90" t="s">
        <v>2326</v>
      </c>
      <c r="T175" s="90" t="s">
        <v>2305</v>
      </c>
      <c r="U175" s="90" t="s">
        <v>1640</v>
      </c>
      <c r="V175" s="88">
        <v>43353</v>
      </c>
      <c r="W175" s="88">
        <v>43353</v>
      </c>
      <c r="X175" s="90" t="s">
        <v>43</v>
      </c>
      <c r="Y175" s="90" t="s">
        <v>257</v>
      </c>
      <c r="Z175" s="90" t="s">
        <v>36</v>
      </c>
      <c r="AA175" s="91"/>
      <c r="AB175" s="91"/>
      <c r="AC175" s="90" t="s">
        <v>2051</v>
      </c>
      <c r="AD175" s="90" t="s">
        <v>267</v>
      </c>
      <c r="AE175" s="90" t="s">
        <v>1636</v>
      </c>
      <c r="AF175" s="90" t="s">
        <v>2004</v>
      </c>
      <c r="AG175" s="90" t="s">
        <v>2793</v>
      </c>
      <c r="AH175" s="90" t="s">
        <v>2327</v>
      </c>
      <c r="AI175" s="90" t="s">
        <v>2327</v>
      </c>
      <c r="AJ175" s="90" t="s">
        <v>2051</v>
      </c>
      <c r="AK175" s="90" t="s">
        <v>36</v>
      </c>
      <c r="AL175" s="90" t="s">
        <v>1635</v>
      </c>
      <c r="AM175" s="90" t="s">
        <v>2307</v>
      </c>
      <c r="AN175" s="90" t="s">
        <v>2054</v>
      </c>
      <c r="AO175" s="87" t="s">
        <v>1949</v>
      </c>
      <c r="AP175" s="87" t="s">
        <v>1950</v>
      </c>
      <c r="AQ175" s="90" t="s">
        <v>2504</v>
      </c>
      <c r="AR175" s="91"/>
      <c r="AS175" s="91"/>
      <c r="AT175" s="91"/>
      <c r="AU175" s="87" t="s">
        <v>1972</v>
      </c>
      <c r="AV175" s="91"/>
      <c r="AW175" s="91"/>
      <c r="AX175" s="91"/>
      <c r="AY175" s="91"/>
      <c r="AZ175" t="str">
        <f t="shared" si="12"/>
        <v>205384</v>
      </c>
      <c r="BA175" t="str">
        <f t="shared" si="13"/>
        <v>0077</v>
      </c>
      <c r="BB175" t="str">
        <f t="shared" si="17"/>
        <v>0000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>IFERROR(VLOOKUP(X175,'Status Map'!A:B,2,FALSE),"Status Code Not Mapped")</f>
        <v>Y</v>
      </c>
      <c r="BL175" t="str">
        <f>IFERROR(VLOOKUP(D175,'Invoice Exception Map'!A:C,3,FALSE),"N")</f>
        <v>N</v>
      </c>
      <c r="BM175">
        <f t="shared" si="14"/>
        <v>8</v>
      </c>
      <c r="BN175" t="str">
        <f t="shared" si="15"/>
        <v>HEDLUND</v>
      </c>
      <c r="BO175" t="str">
        <f t="shared" si="16"/>
        <v>PIERRE</v>
      </c>
    </row>
    <row r="176" spans="1:67" ht="16" thickBot="1" x14ac:dyDescent="0.25">
      <c r="A176" s="90" t="s">
        <v>2298</v>
      </c>
      <c r="B176" s="90" t="s">
        <v>2299</v>
      </c>
      <c r="C176" s="90" t="s">
        <v>2300</v>
      </c>
      <c r="D176" s="90" t="s">
        <v>3569</v>
      </c>
      <c r="E176" s="90" t="s">
        <v>1953</v>
      </c>
      <c r="F176" s="90" t="s">
        <v>2505</v>
      </c>
      <c r="G176" s="90" t="s">
        <v>2310</v>
      </c>
      <c r="H176" s="90" t="s">
        <v>267</v>
      </c>
      <c r="I176" s="90" t="s">
        <v>1944</v>
      </c>
      <c r="J176" s="90" t="s">
        <v>1620</v>
      </c>
      <c r="K176" s="90" t="s">
        <v>2012</v>
      </c>
      <c r="L176" s="90" t="s">
        <v>2311</v>
      </c>
      <c r="M176" s="87" t="s">
        <v>2007</v>
      </c>
      <c r="N176" s="87" t="s">
        <v>2013</v>
      </c>
      <c r="O176" s="88">
        <v>44431</v>
      </c>
      <c r="P176" s="89">
        <v>5</v>
      </c>
      <c r="Q176" s="90" t="s">
        <v>3086</v>
      </c>
      <c r="R176" s="90" t="s">
        <v>3253</v>
      </c>
      <c r="S176" s="90" t="s">
        <v>2304</v>
      </c>
      <c r="T176" s="90" t="s">
        <v>2305</v>
      </c>
      <c r="U176" s="90" t="s">
        <v>1640</v>
      </c>
      <c r="V176" s="88">
        <v>44431</v>
      </c>
      <c r="W176" s="88">
        <v>44431</v>
      </c>
      <c r="X176" s="90" t="s">
        <v>43</v>
      </c>
      <c r="Y176" s="90" t="s">
        <v>257</v>
      </c>
      <c r="Z176" s="90" t="s">
        <v>36</v>
      </c>
      <c r="AA176" s="91"/>
      <c r="AB176" s="91"/>
      <c r="AC176" s="90" t="s">
        <v>2051</v>
      </c>
      <c r="AD176" s="90" t="s">
        <v>267</v>
      </c>
      <c r="AE176" s="90" t="s">
        <v>1636</v>
      </c>
      <c r="AF176" s="90" t="s">
        <v>2004</v>
      </c>
      <c r="AG176" s="90" t="s">
        <v>3258</v>
      </c>
      <c r="AH176" s="90" t="s">
        <v>2306</v>
      </c>
      <c r="AI176" s="90" t="s">
        <v>2306</v>
      </c>
      <c r="AJ176" s="90" t="s">
        <v>2051</v>
      </c>
      <c r="AK176" s="91"/>
      <c r="AL176" s="90" t="s">
        <v>1635</v>
      </c>
      <c r="AM176" s="90" t="s">
        <v>2307</v>
      </c>
      <c r="AN176" s="90" t="s">
        <v>2054</v>
      </c>
      <c r="AO176" s="87" t="s">
        <v>1949</v>
      </c>
      <c r="AP176" s="87" t="s">
        <v>1950</v>
      </c>
      <c r="AQ176" s="90" t="s">
        <v>2506</v>
      </c>
      <c r="AR176" s="91"/>
      <c r="AS176" s="91"/>
      <c r="AT176" s="91"/>
      <c r="AU176" s="87" t="s">
        <v>1972</v>
      </c>
      <c r="AV176" s="91"/>
      <c r="AW176" s="91"/>
      <c r="AX176" s="91"/>
      <c r="AY176" s="91"/>
      <c r="AZ176" t="str">
        <f t="shared" si="12"/>
        <v>212110</v>
      </c>
      <c r="BA176" t="str">
        <f t="shared" si="13"/>
        <v>0077</v>
      </c>
      <c r="BB176" t="str">
        <f t="shared" si="17"/>
        <v>0000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>IFERROR(VLOOKUP(X176,'Status Map'!A:B,2,FALSE),"Status Code Not Mapped")</f>
        <v>Y</v>
      </c>
      <c r="BL176" t="str">
        <f>IFERROR(VLOOKUP(D176,'Invoice Exception Map'!A:C,3,FALSE),"N")</f>
        <v>N</v>
      </c>
      <c r="BM176">
        <f t="shared" si="14"/>
        <v>8</v>
      </c>
      <c r="BN176" t="str">
        <f t="shared" si="15"/>
        <v>HEIDARI</v>
      </c>
      <c r="BO176" t="str">
        <f t="shared" si="16"/>
        <v>TAHA</v>
      </c>
    </row>
    <row r="177" spans="1:67" ht="16" thickBot="1" x14ac:dyDescent="0.25">
      <c r="A177" s="90" t="s">
        <v>2298</v>
      </c>
      <c r="B177" s="90" t="s">
        <v>2299</v>
      </c>
      <c r="C177" s="90" t="s">
        <v>2300</v>
      </c>
      <c r="D177" s="90" t="s">
        <v>3570</v>
      </c>
      <c r="E177" s="90" t="s">
        <v>1953</v>
      </c>
      <c r="F177" s="90" t="s">
        <v>2507</v>
      </c>
      <c r="G177" s="90" t="s">
        <v>2302</v>
      </c>
      <c r="H177" s="90" t="s">
        <v>267</v>
      </c>
      <c r="I177" s="90" t="s">
        <v>1944</v>
      </c>
      <c r="J177" s="90" t="s">
        <v>1620</v>
      </c>
      <c r="K177" s="90" t="s">
        <v>2303</v>
      </c>
      <c r="L177" s="90" t="s">
        <v>2227</v>
      </c>
      <c r="M177" s="87" t="s">
        <v>2072</v>
      </c>
      <c r="N177" s="87" t="s">
        <v>1999</v>
      </c>
      <c r="O177" s="88">
        <v>42919</v>
      </c>
      <c r="P177" s="89">
        <v>9.1</v>
      </c>
      <c r="Q177" s="90" t="s">
        <v>3086</v>
      </c>
      <c r="R177" s="90" t="s">
        <v>3255</v>
      </c>
      <c r="S177" s="90" t="s">
        <v>2315</v>
      </c>
      <c r="T177" s="90" t="s">
        <v>2305</v>
      </c>
      <c r="U177" s="90" t="s">
        <v>1640</v>
      </c>
      <c r="V177" s="88">
        <v>42919</v>
      </c>
      <c r="W177" s="88">
        <v>42919</v>
      </c>
      <c r="X177" s="90" t="s">
        <v>43</v>
      </c>
      <c r="Y177" s="90" t="s">
        <v>257</v>
      </c>
      <c r="Z177" s="90" t="s">
        <v>36</v>
      </c>
      <c r="AA177" s="91"/>
      <c r="AB177" s="91"/>
      <c r="AC177" s="90" t="s">
        <v>2051</v>
      </c>
      <c r="AD177" s="90" t="s">
        <v>267</v>
      </c>
      <c r="AE177" s="90" t="s">
        <v>1636</v>
      </c>
      <c r="AF177" s="90" t="s">
        <v>2004</v>
      </c>
      <c r="AG177" s="90" t="s">
        <v>2793</v>
      </c>
      <c r="AH177" s="90" t="s">
        <v>2306</v>
      </c>
      <c r="AI177" s="90" t="s">
        <v>2306</v>
      </c>
      <c r="AJ177" s="90" t="s">
        <v>2051</v>
      </c>
      <c r="AK177" s="90" t="s">
        <v>36</v>
      </c>
      <c r="AL177" s="90" t="s">
        <v>1635</v>
      </c>
      <c r="AM177" s="90" t="s">
        <v>2307</v>
      </c>
      <c r="AN177" s="90" t="s">
        <v>2054</v>
      </c>
      <c r="AO177" s="87" t="s">
        <v>1949</v>
      </c>
      <c r="AP177" s="87" t="s">
        <v>1950</v>
      </c>
      <c r="AQ177" s="90" t="s">
        <v>2508</v>
      </c>
      <c r="AR177" s="91"/>
      <c r="AS177" s="91"/>
      <c r="AT177" s="91"/>
      <c r="AU177" s="87" t="s">
        <v>1972</v>
      </c>
      <c r="AV177" s="91"/>
      <c r="AW177" s="91"/>
      <c r="AX177" s="91"/>
      <c r="AY177" s="91"/>
      <c r="AZ177" t="str">
        <f t="shared" si="12"/>
        <v>205315</v>
      </c>
      <c r="BA177" t="str">
        <f t="shared" si="13"/>
        <v>0077</v>
      </c>
      <c r="BB177" t="str">
        <f t="shared" si="17"/>
        <v>0000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>IFERROR(VLOOKUP(X177,'Status Map'!A:B,2,FALSE),"Status Code Not Mapped")</f>
        <v>Y</v>
      </c>
      <c r="BL177" t="str">
        <f>IFERROR(VLOOKUP(D177,'Invoice Exception Map'!A:C,3,FALSE),"N")</f>
        <v>N</v>
      </c>
      <c r="BM177">
        <f t="shared" si="14"/>
        <v>12</v>
      </c>
      <c r="BN177" t="str">
        <f t="shared" si="15"/>
        <v>HELLMANSSON</v>
      </c>
      <c r="BO177" t="str">
        <f t="shared" si="16"/>
        <v>RASMUS</v>
      </c>
    </row>
    <row r="178" spans="1:67" ht="16" thickBot="1" x14ac:dyDescent="0.25">
      <c r="A178" s="90" t="s">
        <v>2298</v>
      </c>
      <c r="B178" s="90" t="s">
        <v>2299</v>
      </c>
      <c r="C178" s="90" t="s">
        <v>2300</v>
      </c>
      <c r="D178" s="90" t="s">
        <v>3571</v>
      </c>
      <c r="E178" s="90" t="s">
        <v>1953</v>
      </c>
      <c r="F178" s="90" t="s">
        <v>2509</v>
      </c>
      <c r="G178" s="90" t="s">
        <v>2302</v>
      </c>
      <c r="H178" s="90" t="s">
        <v>267</v>
      </c>
      <c r="I178" s="90" t="s">
        <v>1944</v>
      </c>
      <c r="J178" s="90" t="s">
        <v>1620</v>
      </c>
      <c r="K178" s="90" t="s">
        <v>2303</v>
      </c>
      <c r="L178" s="90" t="s">
        <v>2227</v>
      </c>
      <c r="M178" s="87" t="s">
        <v>2072</v>
      </c>
      <c r="N178" s="87" t="s">
        <v>1999</v>
      </c>
      <c r="O178" s="88">
        <v>42905</v>
      </c>
      <c r="P178" s="89">
        <v>9.1999999999999993</v>
      </c>
      <c r="Q178" s="90" t="s">
        <v>3086</v>
      </c>
      <c r="R178" s="90" t="s">
        <v>3254</v>
      </c>
      <c r="S178" s="90" t="s">
        <v>2312</v>
      </c>
      <c r="T178" s="90" t="s">
        <v>2305</v>
      </c>
      <c r="U178" s="90" t="s">
        <v>1640</v>
      </c>
      <c r="V178" s="88">
        <v>42905</v>
      </c>
      <c r="W178" s="88">
        <v>42905</v>
      </c>
      <c r="X178" s="90" t="s">
        <v>43</v>
      </c>
      <c r="Y178" s="90" t="s">
        <v>257</v>
      </c>
      <c r="Z178" s="90" t="s">
        <v>36</v>
      </c>
      <c r="AA178" s="91"/>
      <c r="AB178" s="91"/>
      <c r="AC178" s="90" t="s">
        <v>2051</v>
      </c>
      <c r="AD178" s="90" t="s">
        <v>267</v>
      </c>
      <c r="AE178" s="90" t="s">
        <v>1636</v>
      </c>
      <c r="AF178" s="90" t="s">
        <v>2004</v>
      </c>
      <c r="AG178" s="90" t="s">
        <v>2793</v>
      </c>
      <c r="AH178" s="90" t="s">
        <v>2306</v>
      </c>
      <c r="AI178" s="90" t="s">
        <v>2306</v>
      </c>
      <c r="AJ178" s="90" t="s">
        <v>2051</v>
      </c>
      <c r="AK178" s="90" t="s">
        <v>36</v>
      </c>
      <c r="AL178" s="90" t="s">
        <v>1635</v>
      </c>
      <c r="AM178" s="90" t="s">
        <v>2307</v>
      </c>
      <c r="AN178" s="90" t="s">
        <v>2054</v>
      </c>
      <c r="AO178" s="87" t="s">
        <v>1949</v>
      </c>
      <c r="AP178" s="87" t="s">
        <v>1950</v>
      </c>
      <c r="AQ178" s="90" t="s">
        <v>2510</v>
      </c>
      <c r="AR178" s="91"/>
      <c r="AS178" s="91"/>
      <c r="AT178" s="91"/>
      <c r="AU178" s="87" t="s">
        <v>1972</v>
      </c>
      <c r="AV178" s="91"/>
      <c r="AW178" s="91"/>
      <c r="AX178" s="91"/>
      <c r="AY178" s="91"/>
      <c r="AZ178" t="str">
        <f t="shared" si="12"/>
        <v>205377</v>
      </c>
      <c r="BA178" t="str">
        <f t="shared" si="13"/>
        <v>0077</v>
      </c>
      <c r="BB178" t="str">
        <f t="shared" si="17"/>
        <v>0000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>IFERROR(VLOOKUP(X178,'Status Map'!A:B,2,FALSE),"Status Code Not Mapped")</f>
        <v>Y</v>
      </c>
      <c r="BL178" t="str">
        <f>IFERROR(VLOOKUP(D178,'Invoice Exception Map'!A:C,3,FALSE),"N")</f>
        <v>N</v>
      </c>
      <c r="BM178">
        <f t="shared" si="14"/>
        <v>10</v>
      </c>
      <c r="BN178" t="str">
        <f t="shared" si="15"/>
        <v>HOLMQVIST</v>
      </c>
      <c r="BO178" t="str">
        <f t="shared" si="16"/>
        <v>MELKER</v>
      </c>
    </row>
    <row r="179" spans="1:67" ht="16" thickBot="1" x14ac:dyDescent="0.25">
      <c r="A179" s="90" t="s">
        <v>2298</v>
      </c>
      <c r="B179" s="90" t="s">
        <v>2299</v>
      </c>
      <c r="C179" s="90" t="s">
        <v>2300</v>
      </c>
      <c r="D179" s="90" t="s">
        <v>3572</v>
      </c>
      <c r="E179" s="90" t="s">
        <v>1953</v>
      </c>
      <c r="F179" s="90" t="s">
        <v>2511</v>
      </c>
      <c r="G179" s="90" t="s">
        <v>2310</v>
      </c>
      <c r="H179" s="90" t="s">
        <v>267</v>
      </c>
      <c r="I179" s="90" t="s">
        <v>1944</v>
      </c>
      <c r="J179" s="90" t="s">
        <v>1620</v>
      </c>
      <c r="K179" s="90" t="s">
        <v>2012</v>
      </c>
      <c r="L179" s="90" t="s">
        <v>2311</v>
      </c>
      <c r="M179" s="87" t="s">
        <v>2007</v>
      </c>
      <c r="N179" s="87" t="s">
        <v>2013</v>
      </c>
      <c r="O179" s="88">
        <v>36850</v>
      </c>
      <c r="P179" s="89">
        <v>25.8</v>
      </c>
      <c r="Q179" s="90" t="s">
        <v>3086</v>
      </c>
      <c r="R179" s="90" t="s">
        <v>3255</v>
      </c>
      <c r="S179" s="90" t="s">
        <v>2315</v>
      </c>
      <c r="T179" s="90" t="s">
        <v>2305</v>
      </c>
      <c r="U179" s="90" t="s">
        <v>1640</v>
      </c>
      <c r="V179" s="88">
        <v>36850</v>
      </c>
      <c r="W179" s="88">
        <v>36850</v>
      </c>
      <c r="X179" s="90" t="s">
        <v>43</v>
      </c>
      <c r="Y179" s="90" t="s">
        <v>257</v>
      </c>
      <c r="Z179" s="90" t="s">
        <v>36</v>
      </c>
      <c r="AA179" s="91"/>
      <c r="AB179" s="91"/>
      <c r="AC179" s="90" t="s">
        <v>2051</v>
      </c>
      <c r="AD179" s="90" t="s">
        <v>267</v>
      </c>
      <c r="AE179" s="90" t="s">
        <v>1636</v>
      </c>
      <c r="AF179" s="90" t="s">
        <v>2004</v>
      </c>
      <c r="AG179" s="90" t="s">
        <v>2793</v>
      </c>
      <c r="AH179" s="90" t="s">
        <v>2306</v>
      </c>
      <c r="AI179" s="90" t="s">
        <v>2306</v>
      </c>
      <c r="AJ179" s="90" t="s">
        <v>2051</v>
      </c>
      <c r="AK179" s="90" t="s">
        <v>36</v>
      </c>
      <c r="AL179" s="90" t="s">
        <v>1635</v>
      </c>
      <c r="AM179" s="90" t="s">
        <v>2307</v>
      </c>
      <c r="AN179" s="90" t="s">
        <v>2054</v>
      </c>
      <c r="AO179" s="87" t="s">
        <v>1949</v>
      </c>
      <c r="AP179" s="87" t="s">
        <v>1950</v>
      </c>
      <c r="AQ179" s="90" t="s">
        <v>2512</v>
      </c>
      <c r="AR179" s="91"/>
      <c r="AS179" s="91"/>
      <c r="AT179" s="91"/>
      <c r="AU179" s="87" t="s">
        <v>1972</v>
      </c>
      <c r="AV179" s="91"/>
      <c r="AW179" s="91"/>
      <c r="AX179" s="91"/>
      <c r="AY179" s="91"/>
      <c r="AZ179" t="str">
        <f t="shared" si="12"/>
        <v>205315</v>
      </c>
      <c r="BA179" t="str">
        <f t="shared" si="13"/>
        <v>0077</v>
      </c>
      <c r="BB179" t="str">
        <f t="shared" si="17"/>
        <v>0000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>IFERROR(VLOOKUP(X179,'Status Map'!A:B,2,FALSE),"Status Code Not Mapped")</f>
        <v>Y</v>
      </c>
      <c r="BL179" t="str">
        <f>IFERROR(VLOOKUP(D179,'Invoice Exception Map'!A:C,3,FALSE),"N")</f>
        <v>N</v>
      </c>
      <c r="BM179">
        <f t="shared" si="14"/>
        <v>10</v>
      </c>
      <c r="BN179" t="str">
        <f t="shared" si="15"/>
        <v>HOLMSTEDT</v>
      </c>
      <c r="BO179" t="str">
        <f t="shared" si="16"/>
        <v>ANNA-LENA</v>
      </c>
    </row>
    <row r="180" spans="1:67" ht="16" thickBot="1" x14ac:dyDescent="0.25">
      <c r="A180" s="90" t="s">
        <v>2298</v>
      </c>
      <c r="B180" s="90" t="s">
        <v>2299</v>
      </c>
      <c r="C180" s="90" t="s">
        <v>2300</v>
      </c>
      <c r="D180" s="90" t="s">
        <v>3573</v>
      </c>
      <c r="E180" s="90" t="s">
        <v>1953</v>
      </c>
      <c r="F180" s="90" t="s">
        <v>2513</v>
      </c>
      <c r="G180" s="90" t="s">
        <v>2310</v>
      </c>
      <c r="H180" s="90" t="s">
        <v>267</v>
      </c>
      <c r="I180" s="90" t="s">
        <v>1944</v>
      </c>
      <c r="J180" s="90" t="s">
        <v>1620</v>
      </c>
      <c r="K180" s="90" t="s">
        <v>2012</v>
      </c>
      <c r="L180" s="90" t="s">
        <v>2311</v>
      </c>
      <c r="M180" s="87" t="s">
        <v>2007</v>
      </c>
      <c r="N180" s="87" t="s">
        <v>2013</v>
      </c>
      <c r="O180" s="88">
        <v>42401</v>
      </c>
      <c r="P180" s="89">
        <v>10.5</v>
      </c>
      <c r="Q180" s="90" t="s">
        <v>3086</v>
      </c>
      <c r="R180" s="90" t="s">
        <v>3254</v>
      </c>
      <c r="S180" s="90" t="s">
        <v>2312</v>
      </c>
      <c r="T180" s="90" t="s">
        <v>2305</v>
      </c>
      <c r="U180" s="90" t="s">
        <v>1640</v>
      </c>
      <c r="V180" s="88">
        <v>42401</v>
      </c>
      <c r="W180" s="88">
        <v>42401</v>
      </c>
      <c r="X180" s="90" t="s">
        <v>43</v>
      </c>
      <c r="Y180" s="90" t="s">
        <v>257</v>
      </c>
      <c r="Z180" s="90" t="s">
        <v>36</v>
      </c>
      <c r="AA180" s="91"/>
      <c r="AB180" s="91"/>
      <c r="AC180" s="90" t="s">
        <v>2051</v>
      </c>
      <c r="AD180" s="90" t="s">
        <v>267</v>
      </c>
      <c r="AE180" s="90" t="s">
        <v>1636</v>
      </c>
      <c r="AF180" s="90" t="s">
        <v>2004</v>
      </c>
      <c r="AG180" s="90" t="s">
        <v>2793</v>
      </c>
      <c r="AH180" s="90" t="s">
        <v>2306</v>
      </c>
      <c r="AI180" s="90" t="s">
        <v>2306</v>
      </c>
      <c r="AJ180" s="90" t="s">
        <v>2051</v>
      </c>
      <c r="AK180" s="90" t="s">
        <v>36</v>
      </c>
      <c r="AL180" s="90" t="s">
        <v>1635</v>
      </c>
      <c r="AM180" s="90" t="s">
        <v>2307</v>
      </c>
      <c r="AN180" s="90" t="s">
        <v>2054</v>
      </c>
      <c r="AO180" s="87" t="s">
        <v>1949</v>
      </c>
      <c r="AP180" s="87" t="s">
        <v>1950</v>
      </c>
      <c r="AQ180" s="90" t="s">
        <v>2514</v>
      </c>
      <c r="AR180" s="91"/>
      <c r="AS180" s="91"/>
      <c r="AT180" s="91"/>
      <c r="AU180" s="87" t="s">
        <v>1972</v>
      </c>
      <c r="AV180" s="91"/>
      <c r="AW180" s="91"/>
      <c r="AX180" s="91"/>
      <c r="AY180" s="91"/>
      <c r="AZ180" t="str">
        <f t="shared" si="12"/>
        <v>205377</v>
      </c>
      <c r="BA180" t="str">
        <f t="shared" si="13"/>
        <v>0077</v>
      </c>
      <c r="BB180" t="str">
        <f t="shared" si="17"/>
        <v>0000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>IFERROR(VLOOKUP(X180,'Status Map'!A:B,2,FALSE),"Status Code Not Mapped")</f>
        <v>Y</v>
      </c>
      <c r="BL180" t="str">
        <f>IFERROR(VLOOKUP(D180,'Invoice Exception Map'!A:C,3,FALSE),"N")</f>
        <v>N</v>
      </c>
      <c r="BM180">
        <f t="shared" si="14"/>
        <v>7</v>
      </c>
      <c r="BN180" t="str">
        <f t="shared" si="15"/>
        <v>HULTÉN</v>
      </c>
      <c r="BO180" t="str">
        <f t="shared" si="16"/>
        <v>MATHIAS</v>
      </c>
    </row>
    <row r="181" spans="1:67" ht="16" thickBot="1" x14ac:dyDescent="0.25">
      <c r="A181" s="90" t="s">
        <v>2298</v>
      </c>
      <c r="B181" s="90" t="s">
        <v>2299</v>
      </c>
      <c r="C181" s="90" t="s">
        <v>2300</v>
      </c>
      <c r="D181" s="90" t="s">
        <v>3574</v>
      </c>
      <c r="E181" s="90" t="s">
        <v>1953</v>
      </c>
      <c r="F181" s="90" t="s">
        <v>2515</v>
      </c>
      <c r="G181" s="90" t="s">
        <v>2310</v>
      </c>
      <c r="H181" s="90" t="s">
        <v>267</v>
      </c>
      <c r="I181" s="90" t="s">
        <v>1944</v>
      </c>
      <c r="J181" s="90" t="s">
        <v>1620</v>
      </c>
      <c r="K181" s="90" t="s">
        <v>2012</v>
      </c>
      <c r="L181" s="90" t="s">
        <v>2311</v>
      </c>
      <c r="M181" s="87" t="s">
        <v>2007</v>
      </c>
      <c r="N181" s="87" t="s">
        <v>2013</v>
      </c>
      <c r="O181" s="88">
        <v>42709</v>
      </c>
      <c r="P181" s="89">
        <v>9.6999999999999993</v>
      </c>
      <c r="Q181" s="90" t="s">
        <v>3086</v>
      </c>
      <c r="R181" s="90" t="s">
        <v>3254</v>
      </c>
      <c r="S181" s="90" t="s">
        <v>2312</v>
      </c>
      <c r="T181" s="90" t="s">
        <v>2305</v>
      </c>
      <c r="U181" s="90" t="s">
        <v>1640</v>
      </c>
      <c r="V181" s="88">
        <v>42709</v>
      </c>
      <c r="W181" s="88">
        <v>42709</v>
      </c>
      <c r="X181" s="90" t="s">
        <v>43</v>
      </c>
      <c r="Y181" s="90" t="s">
        <v>257</v>
      </c>
      <c r="Z181" s="90" t="s">
        <v>36</v>
      </c>
      <c r="AA181" s="91"/>
      <c r="AB181" s="91"/>
      <c r="AC181" s="90" t="s">
        <v>2051</v>
      </c>
      <c r="AD181" s="90" t="s">
        <v>267</v>
      </c>
      <c r="AE181" s="90" t="s">
        <v>1636</v>
      </c>
      <c r="AF181" s="90" t="s">
        <v>2004</v>
      </c>
      <c r="AG181" s="90" t="s">
        <v>2793</v>
      </c>
      <c r="AH181" s="90" t="s">
        <v>2306</v>
      </c>
      <c r="AI181" s="90" t="s">
        <v>2306</v>
      </c>
      <c r="AJ181" s="90" t="s">
        <v>2051</v>
      </c>
      <c r="AK181" s="90" t="s">
        <v>36</v>
      </c>
      <c r="AL181" s="90" t="s">
        <v>1635</v>
      </c>
      <c r="AM181" s="90" t="s">
        <v>2307</v>
      </c>
      <c r="AN181" s="90" t="s">
        <v>2054</v>
      </c>
      <c r="AO181" s="87" t="s">
        <v>1949</v>
      </c>
      <c r="AP181" s="87" t="s">
        <v>1950</v>
      </c>
      <c r="AQ181" s="90" t="s">
        <v>2516</v>
      </c>
      <c r="AR181" s="91"/>
      <c r="AS181" s="91"/>
      <c r="AT181" s="91"/>
      <c r="AU181" s="87" t="s">
        <v>1972</v>
      </c>
      <c r="AV181" s="91"/>
      <c r="AW181" s="91"/>
      <c r="AX181" s="91"/>
      <c r="AY181" s="91"/>
      <c r="AZ181" t="str">
        <f t="shared" si="12"/>
        <v>205377</v>
      </c>
      <c r="BA181" t="str">
        <f t="shared" si="13"/>
        <v>0077</v>
      </c>
      <c r="BB181" t="str">
        <f t="shared" si="17"/>
        <v>0000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>IFERROR(VLOOKUP(X181,'Status Map'!A:B,2,FALSE),"Status Code Not Mapped")</f>
        <v>Y</v>
      </c>
      <c r="BL181" t="str">
        <f>IFERROR(VLOOKUP(D181,'Invoice Exception Map'!A:C,3,FALSE),"N")</f>
        <v>N</v>
      </c>
      <c r="BM181">
        <f t="shared" si="14"/>
        <v>8</v>
      </c>
      <c r="BN181" t="str">
        <f t="shared" si="15"/>
        <v>HULTMAN</v>
      </c>
      <c r="BO181" t="str">
        <f t="shared" si="16"/>
        <v>OSCAR</v>
      </c>
    </row>
    <row r="182" spans="1:67" ht="16" thickBot="1" x14ac:dyDescent="0.25">
      <c r="A182" s="90" t="s">
        <v>2298</v>
      </c>
      <c r="B182" s="90" t="s">
        <v>2299</v>
      </c>
      <c r="C182" s="90" t="s">
        <v>2300</v>
      </c>
      <c r="D182" s="90" t="s">
        <v>3575</v>
      </c>
      <c r="E182" s="90" t="s">
        <v>1953</v>
      </c>
      <c r="F182" s="90" t="s">
        <v>2517</v>
      </c>
      <c r="G182" s="90" t="s">
        <v>2310</v>
      </c>
      <c r="H182" s="90" t="s">
        <v>267</v>
      </c>
      <c r="I182" s="90" t="s">
        <v>1944</v>
      </c>
      <c r="J182" s="90" t="s">
        <v>1620</v>
      </c>
      <c r="K182" s="90" t="s">
        <v>2012</v>
      </c>
      <c r="L182" s="90" t="s">
        <v>2311</v>
      </c>
      <c r="M182" s="87" t="s">
        <v>2007</v>
      </c>
      <c r="N182" s="87" t="s">
        <v>2013</v>
      </c>
      <c r="O182" s="88">
        <v>37032</v>
      </c>
      <c r="P182" s="89">
        <v>25.3</v>
      </c>
      <c r="Q182" s="90" t="s">
        <v>3086</v>
      </c>
      <c r="R182" s="90" t="s">
        <v>3254</v>
      </c>
      <c r="S182" s="90" t="s">
        <v>2312</v>
      </c>
      <c r="T182" s="90" t="s">
        <v>2305</v>
      </c>
      <c r="U182" s="90" t="s">
        <v>1640</v>
      </c>
      <c r="V182" s="88">
        <v>37032</v>
      </c>
      <c r="W182" s="88">
        <v>37032</v>
      </c>
      <c r="X182" s="90" t="s">
        <v>43</v>
      </c>
      <c r="Y182" s="90" t="s">
        <v>257</v>
      </c>
      <c r="Z182" s="90" t="s">
        <v>36</v>
      </c>
      <c r="AA182" s="91"/>
      <c r="AB182" s="91"/>
      <c r="AC182" s="90" t="s">
        <v>2051</v>
      </c>
      <c r="AD182" s="90" t="s">
        <v>267</v>
      </c>
      <c r="AE182" s="90" t="s">
        <v>1636</v>
      </c>
      <c r="AF182" s="90" t="s">
        <v>2004</v>
      </c>
      <c r="AG182" s="90" t="s">
        <v>2793</v>
      </c>
      <c r="AH182" s="90" t="s">
        <v>2306</v>
      </c>
      <c r="AI182" s="90" t="s">
        <v>2306</v>
      </c>
      <c r="AJ182" s="90" t="s">
        <v>2051</v>
      </c>
      <c r="AK182" s="90" t="s">
        <v>36</v>
      </c>
      <c r="AL182" s="90" t="s">
        <v>1635</v>
      </c>
      <c r="AM182" s="90" t="s">
        <v>2307</v>
      </c>
      <c r="AN182" s="90" t="s">
        <v>2054</v>
      </c>
      <c r="AO182" s="87" t="s">
        <v>1949</v>
      </c>
      <c r="AP182" s="87" t="s">
        <v>1950</v>
      </c>
      <c r="AQ182" s="90" t="s">
        <v>2518</v>
      </c>
      <c r="AR182" s="91"/>
      <c r="AS182" s="91"/>
      <c r="AT182" s="91"/>
      <c r="AU182" s="87" t="s">
        <v>1972</v>
      </c>
      <c r="AV182" s="91"/>
      <c r="AW182" s="91"/>
      <c r="AX182" s="91"/>
      <c r="AY182" s="91"/>
      <c r="AZ182" t="str">
        <f t="shared" si="12"/>
        <v>205377</v>
      </c>
      <c r="BA182" t="str">
        <f t="shared" si="13"/>
        <v>0077</v>
      </c>
      <c r="BB182" t="str">
        <f t="shared" si="17"/>
        <v>0000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>IFERROR(VLOOKUP(X182,'Status Map'!A:B,2,FALSE),"Status Code Not Mapped")</f>
        <v>Y</v>
      </c>
      <c r="BL182" t="str">
        <f>IFERROR(VLOOKUP(D182,'Invoice Exception Map'!A:C,3,FALSE),"N")</f>
        <v>N</v>
      </c>
      <c r="BM182">
        <f t="shared" si="14"/>
        <v>7</v>
      </c>
      <c r="BN182" t="str">
        <f t="shared" si="15"/>
        <v>HUSKIC</v>
      </c>
      <c r="BO182" t="str">
        <f t="shared" si="16"/>
        <v>EDIN</v>
      </c>
    </row>
    <row r="183" spans="1:67" ht="16" thickBot="1" x14ac:dyDescent="0.25">
      <c r="A183" s="90" t="s">
        <v>2298</v>
      </c>
      <c r="B183" s="90" t="s">
        <v>2299</v>
      </c>
      <c r="C183" s="90" t="s">
        <v>2300</v>
      </c>
      <c r="D183" s="90" t="s">
        <v>3576</v>
      </c>
      <c r="E183" s="90" t="s">
        <v>1953</v>
      </c>
      <c r="F183" s="90" t="s">
        <v>2519</v>
      </c>
      <c r="G183" s="90" t="s">
        <v>2302</v>
      </c>
      <c r="H183" s="90" t="s">
        <v>267</v>
      </c>
      <c r="I183" s="90" t="s">
        <v>1944</v>
      </c>
      <c r="J183" s="90" t="s">
        <v>1620</v>
      </c>
      <c r="K183" s="90" t="s">
        <v>2303</v>
      </c>
      <c r="L183" s="90" t="s">
        <v>2227</v>
      </c>
      <c r="M183" s="87" t="s">
        <v>2072</v>
      </c>
      <c r="N183" s="87" t="s">
        <v>1999</v>
      </c>
      <c r="O183" s="88">
        <v>44368</v>
      </c>
      <c r="P183" s="89">
        <v>5.2</v>
      </c>
      <c r="Q183" s="90" t="s">
        <v>3086</v>
      </c>
      <c r="R183" s="90" t="s">
        <v>3253</v>
      </c>
      <c r="S183" s="90" t="s">
        <v>2304</v>
      </c>
      <c r="T183" s="90" t="s">
        <v>2305</v>
      </c>
      <c r="U183" s="90" t="s">
        <v>1640</v>
      </c>
      <c r="V183" s="88">
        <v>44368</v>
      </c>
      <c r="W183" s="88">
        <v>44368</v>
      </c>
      <c r="X183" s="90" t="s">
        <v>43</v>
      </c>
      <c r="Y183" s="90" t="s">
        <v>257</v>
      </c>
      <c r="Z183" s="90" t="s">
        <v>36</v>
      </c>
      <c r="AA183" s="91"/>
      <c r="AB183" s="91"/>
      <c r="AC183" s="90" t="s">
        <v>2051</v>
      </c>
      <c r="AD183" s="90" t="s">
        <v>267</v>
      </c>
      <c r="AE183" s="90" t="s">
        <v>1636</v>
      </c>
      <c r="AF183" s="90" t="s">
        <v>2004</v>
      </c>
      <c r="AG183" s="90" t="s">
        <v>2793</v>
      </c>
      <c r="AH183" s="90" t="s">
        <v>2306</v>
      </c>
      <c r="AI183" s="90" t="s">
        <v>2306</v>
      </c>
      <c r="AJ183" s="90" t="s">
        <v>2051</v>
      </c>
      <c r="AK183" s="90" t="s">
        <v>36</v>
      </c>
      <c r="AL183" s="90" t="s">
        <v>1635</v>
      </c>
      <c r="AM183" s="90" t="s">
        <v>2307</v>
      </c>
      <c r="AN183" s="90" t="s">
        <v>2054</v>
      </c>
      <c r="AO183" s="87" t="s">
        <v>1949</v>
      </c>
      <c r="AP183" s="87" t="s">
        <v>1950</v>
      </c>
      <c r="AQ183" s="90" t="s">
        <v>2520</v>
      </c>
      <c r="AR183" s="91"/>
      <c r="AS183" s="91"/>
      <c r="AT183" s="91"/>
      <c r="AU183" s="87" t="s">
        <v>1972</v>
      </c>
      <c r="AV183" s="91"/>
      <c r="AW183" s="91"/>
      <c r="AX183" s="91"/>
      <c r="AY183" s="91"/>
      <c r="AZ183" t="str">
        <f t="shared" si="12"/>
        <v>212110</v>
      </c>
      <c r="BA183" t="str">
        <f t="shared" si="13"/>
        <v>0077</v>
      </c>
      <c r="BB183" t="str">
        <f t="shared" si="17"/>
        <v>0000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>IFERROR(VLOOKUP(X183,'Status Map'!A:B,2,FALSE),"Status Code Not Mapped")</f>
        <v>Y</v>
      </c>
      <c r="BL183" t="str">
        <f>IFERROR(VLOOKUP(D183,'Invoice Exception Map'!A:C,3,FALSE),"N")</f>
        <v>N</v>
      </c>
      <c r="BM183">
        <f t="shared" si="14"/>
        <v>7</v>
      </c>
      <c r="BN183" t="str">
        <f t="shared" si="15"/>
        <v>JAFARI</v>
      </c>
      <c r="BO183" t="str">
        <f t="shared" si="16"/>
        <v>HABIB</v>
      </c>
    </row>
    <row r="184" spans="1:67" ht="16" thickBot="1" x14ac:dyDescent="0.25">
      <c r="A184" s="90" t="s">
        <v>2298</v>
      </c>
      <c r="B184" s="90" t="s">
        <v>2299</v>
      </c>
      <c r="C184" s="90" t="s">
        <v>2300</v>
      </c>
      <c r="D184" s="90" t="s">
        <v>3577</v>
      </c>
      <c r="E184" s="90" t="s">
        <v>1953</v>
      </c>
      <c r="F184" s="90" t="s">
        <v>2521</v>
      </c>
      <c r="G184" s="90" t="s">
        <v>2310</v>
      </c>
      <c r="H184" s="90" t="s">
        <v>267</v>
      </c>
      <c r="I184" s="90" t="s">
        <v>1944</v>
      </c>
      <c r="J184" s="90" t="s">
        <v>1620</v>
      </c>
      <c r="K184" s="90" t="s">
        <v>2012</v>
      </c>
      <c r="L184" s="90" t="s">
        <v>2311</v>
      </c>
      <c r="M184" s="87" t="s">
        <v>2007</v>
      </c>
      <c r="N184" s="87" t="s">
        <v>2013</v>
      </c>
      <c r="O184" s="88">
        <v>37109</v>
      </c>
      <c r="P184" s="89">
        <v>25</v>
      </c>
      <c r="Q184" s="90" t="s">
        <v>3086</v>
      </c>
      <c r="R184" s="90" t="s">
        <v>3255</v>
      </c>
      <c r="S184" s="90" t="s">
        <v>2315</v>
      </c>
      <c r="T184" s="90" t="s">
        <v>2305</v>
      </c>
      <c r="U184" s="90" t="s">
        <v>1640</v>
      </c>
      <c r="V184" s="88">
        <v>37109</v>
      </c>
      <c r="W184" s="88">
        <v>37109</v>
      </c>
      <c r="X184" s="90" t="s">
        <v>43</v>
      </c>
      <c r="Y184" s="90" t="s">
        <v>257</v>
      </c>
      <c r="Z184" s="90" t="s">
        <v>36</v>
      </c>
      <c r="AA184" s="91"/>
      <c r="AB184" s="91"/>
      <c r="AC184" s="90" t="s">
        <v>2051</v>
      </c>
      <c r="AD184" s="90" t="s">
        <v>267</v>
      </c>
      <c r="AE184" s="90" t="s">
        <v>1636</v>
      </c>
      <c r="AF184" s="90" t="s">
        <v>2004</v>
      </c>
      <c r="AG184" s="90" t="s">
        <v>2793</v>
      </c>
      <c r="AH184" s="90" t="s">
        <v>2306</v>
      </c>
      <c r="AI184" s="90" t="s">
        <v>2306</v>
      </c>
      <c r="AJ184" s="90" t="s">
        <v>2051</v>
      </c>
      <c r="AK184" s="90" t="s">
        <v>36</v>
      </c>
      <c r="AL184" s="90" t="s">
        <v>1635</v>
      </c>
      <c r="AM184" s="90" t="s">
        <v>2307</v>
      </c>
      <c r="AN184" s="90" t="s">
        <v>2054</v>
      </c>
      <c r="AO184" s="87" t="s">
        <v>1949</v>
      </c>
      <c r="AP184" s="87" t="s">
        <v>1950</v>
      </c>
      <c r="AQ184" s="90" t="s">
        <v>2522</v>
      </c>
      <c r="AR184" s="91"/>
      <c r="AS184" s="91"/>
      <c r="AT184" s="91"/>
      <c r="AU184" s="87" t="s">
        <v>1972</v>
      </c>
      <c r="AV184" s="91"/>
      <c r="AW184" s="91"/>
      <c r="AX184" s="91"/>
      <c r="AY184" s="91"/>
      <c r="AZ184" t="str">
        <f t="shared" si="12"/>
        <v>205315</v>
      </c>
      <c r="BA184" t="str">
        <f t="shared" si="13"/>
        <v>0077</v>
      </c>
      <c r="BB184" t="str">
        <f t="shared" si="17"/>
        <v>0000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>IFERROR(VLOOKUP(X184,'Status Map'!A:B,2,FALSE),"Status Code Not Mapped")</f>
        <v>Y</v>
      </c>
      <c r="BL184" t="str">
        <f>IFERROR(VLOOKUP(D184,'Invoice Exception Map'!A:C,3,FALSE),"N")</f>
        <v>N</v>
      </c>
      <c r="BM184">
        <f t="shared" si="14"/>
        <v>10</v>
      </c>
      <c r="BN184" t="str">
        <f t="shared" si="15"/>
        <v>JAKOBSSON</v>
      </c>
      <c r="BO184" t="str">
        <f t="shared" si="16"/>
        <v>ANNA-LENA</v>
      </c>
    </row>
    <row r="185" spans="1:67" ht="16" thickBot="1" x14ac:dyDescent="0.25">
      <c r="A185" s="90" t="s">
        <v>2298</v>
      </c>
      <c r="B185" s="90" t="s">
        <v>2299</v>
      </c>
      <c r="C185" s="90" t="s">
        <v>2300</v>
      </c>
      <c r="D185" s="90" t="s">
        <v>3578</v>
      </c>
      <c r="E185" s="90" t="s">
        <v>1953</v>
      </c>
      <c r="F185" s="90" t="s">
        <v>2523</v>
      </c>
      <c r="G185" s="90" t="s">
        <v>2302</v>
      </c>
      <c r="H185" s="90" t="s">
        <v>267</v>
      </c>
      <c r="I185" s="90" t="s">
        <v>1944</v>
      </c>
      <c r="J185" s="90" t="s">
        <v>1620</v>
      </c>
      <c r="K185" s="90" t="s">
        <v>2303</v>
      </c>
      <c r="L185" s="90" t="s">
        <v>2227</v>
      </c>
      <c r="M185" s="87" t="s">
        <v>2072</v>
      </c>
      <c r="N185" s="87" t="s">
        <v>1999</v>
      </c>
      <c r="O185" s="88">
        <v>41160</v>
      </c>
      <c r="P185" s="89">
        <v>14</v>
      </c>
      <c r="Q185" s="90" t="s">
        <v>3086</v>
      </c>
      <c r="R185" s="90" t="s">
        <v>3256</v>
      </c>
      <c r="S185" s="90" t="s">
        <v>2319</v>
      </c>
      <c r="T185" s="90" t="s">
        <v>2305</v>
      </c>
      <c r="U185" s="90" t="s">
        <v>1640</v>
      </c>
      <c r="V185" s="88">
        <v>41160</v>
      </c>
      <c r="W185" s="88">
        <v>41160</v>
      </c>
      <c r="X185" s="90" t="s">
        <v>43</v>
      </c>
      <c r="Y185" s="90" t="s">
        <v>257</v>
      </c>
      <c r="Z185" s="90" t="s">
        <v>36</v>
      </c>
      <c r="AA185" s="91"/>
      <c r="AB185" s="91"/>
      <c r="AC185" s="90" t="s">
        <v>2051</v>
      </c>
      <c r="AD185" s="90" t="s">
        <v>267</v>
      </c>
      <c r="AE185" s="90" t="s">
        <v>1636</v>
      </c>
      <c r="AF185" s="90" t="s">
        <v>2004</v>
      </c>
      <c r="AG185" s="90" t="s">
        <v>2793</v>
      </c>
      <c r="AH185" s="90" t="s">
        <v>2320</v>
      </c>
      <c r="AI185" s="90" t="s">
        <v>2320</v>
      </c>
      <c r="AJ185" s="90" t="s">
        <v>2051</v>
      </c>
      <c r="AK185" s="90" t="s">
        <v>36</v>
      </c>
      <c r="AL185" s="90" t="s">
        <v>1635</v>
      </c>
      <c r="AM185" s="90" t="s">
        <v>2307</v>
      </c>
      <c r="AN185" s="90" t="s">
        <v>2054</v>
      </c>
      <c r="AO185" s="87" t="s">
        <v>1949</v>
      </c>
      <c r="AP185" s="87" t="s">
        <v>1950</v>
      </c>
      <c r="AQ185" s="90" t="s">
        <v>2524</v>
      </c>
      <c r="AR185" s="91"/>
      <c r="AS185" s="91"/>
      <c r="AT185" s="91"/>
      <c r="AU185" s="87" t="s">
        <v>1972</v>
      </c>
      <c r="AV185" s="91"/>
      <c r="AW185" s="91"/>
      <c r="AX185" s="91"/>
      <c r="AY185" s="91"/>
      <c r="AZ185" t="str">
        <f t="shared" si="12"/>
        <v>205383</v>
      </c>
      <c r="BA185" t="str">
        <f t="shared" si="13"/>
        <v>0077</v>
      </c>
      <c r="BB185" t="str">
        <f t="shared" si="17"/>
        <v>0000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>IFERROR(VLOOKUP(X185,'Status Map'!A:B,2,FALSE),"Status Code Not Mapped")</f>
        <v>Y</v>
      </c>
      <c r="BL185" t="str">
        <f>IFERROR(VLOOKUP(D185,'Invoice Exception Map'!A:C,3,FALSE),"N")</f>
        <v>N</v>
      </c>
      <c r="BM185">
        <f t="shared" si="14"/>
        <v>10</v>
      </c>
      <c r="BN185" t="str">
        <f t="shared" si="15"/>
        <v>JOHANSSON</v>
      </c>
      <c r="BO185" t="str">
        <f t="shared" si="16"/>
        <v>JENNY</v>
      </c>
    </row>
    <row r="186" spans="1:67" ht="16" thickBot="1" x14ac:dyDescent="0.25">
      <c r="A186" s="90" t="s">
        <v>2298</v>
      </c>
      <c r="B186" s="90" t="s">
        <v>2299</v>
      </c>
      <c r="C186" s="90" t="s">
        <v>2300</v>
      </c>
      <c r="D186" s="90" t="s">
        <v>3579</v>
      </c>
      <c r="E186" s="90" t="s">
        <v>1953</v>
      </c>
      <c r="F186" s="90" t="s">
        <v>2525</v>
      </c>
      <c r="G186" s="90" t="s">
        <v>2310</v>
      </c>
      <c r="H186" s="90" t="s">
        <v>267</v>
      </c>
      <c r="I186" s="90" t="s">
        <v>1944</v>
      </c>
      <c r="J186" s="90" t="s">
        <v>1620</v>
      </c>
      <c r="K186" s="90" t="s">
        <v>2012</v>
      </c>
      <c r="L186" s="90" t="s">
        <v>2311</v>
      </c>
      <c r="M186" s="87" t="s">
        <v>2007</v>
      </c>
      <c r="N186" s="87" t="s">
        <v>2013</v>
      </c>
      <c r="O186" s="88">
        <v>36850</v>
      </c>
      <c r="P186" s="89">
        <v>25.8</v>
      </c>
      <c r="Q186" s="90" t="s">
        <v>3086</v>
      </c>
      <c r="R186" s="90" t="s">
        <v>3253</v>
      </c>
      <c r="S186" s="90" t="s">
        <v>2304</v>
      </c>
      <c r="T186" s="90" t="s">
        <v>2305</v>
      </c>
      <c r="U186" s="90" t="s">
        <v>1640</v>
      </c>
      <c r="V186" s="88">
        <v>36850</v>
      </c>
      <c r="W186" s="88">
        <v>36850</v>
      </c>
      <c r="X186" s="90" t="s">
        <v>43</v>
      </c>
      <c r="Y186" s="90" t="s">
        <v>257</v>
      </c>
      <c r="Z186" s="90" t="s">
        <v>36</v>
      </c>
      <c r="AA186" s="91"/>
      <c r="AB186" s="91"/>
      <c r="AC186" s="90" t="s">
        <v>2051</v>
      </c>
      <c r="AD186" s="90" t="s">
        <v>267</v>
      </c>
      <c r="AE186" s="90" t="s">
        <v>1636</v>
      </c>
      <c r="AF186" s="90" t="s">
        <v>2004</v>
      </c>
      <c r="AG186" s="90" t="s">
        <v>2793</v>
      </c>
      <c r="AH186" s="90" t="s">
        <v>2306</v>
      </c>
      <c r="AI186" s="90" t="s">
        <v>2306</v>
      </c>
      <c r="AJ186" s="90" t="s">
        <v>2051</v>
      </c>
      <c r="AK186" s="90" t="s">
        <v>36</v>
      </c>
      <c r="AL186" s="90" t="s">
        <v>1635</v>
      </c>
      <c r="AM186" s="90" t="s">
        <v>2307</v>
      </c>
      <c r="AN186" s="90" t="s">
        <v>2054</v>
      </c>
      <c r="AO186" s="87" t="s">
        <v>1949</v>
      </c>
      <c r="AP186" s="87" t="s">
        <v>1950</v>
      </c>
      <c r="AQ186" s="90" t="s">
        <v>2526</v>
      </c>
      <c r="AR186" s="91"/>
      <c r="AS186" s="91"/>
      <c r="AT186" s="91"/>
      <c r="AU186" s="87" t="s">
        <v>1972</v>
      </c>
      <c r="AV186" s="91"/>
      <c r="AW186" s="91"/>
      <c r="AX186" s="91"/>
      <c r="AY186" s="91"/>
      <c r="AZ186" t="str">
        <f t="shared" si="12"/>
        <v>212110</v>
      </c>
      <c r="BA186" t="str">
        <f t="shared" si="13"/>
        <v>0077</v>
      </c>
      <c r="BB186" t="str">
        <f t="shared" si="17"/>
        <v>0000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>IFERROR(VLOOKUP(X186,'Status Map'!A:B,2,FALSE),"Status Code Not Mapped")</f>
        <v>Y</v>
      </c>
      <c r="BL186" t="str">
        <f>IFERROR(VLOOKUP(D186,'Invoice Exception Map'!A:C,3,FALSE),"N")</f>
        <v>N</v>
      </c>
      <c r="BM186">
        <f t="shared" si="14"/>
        <v>10</v>
      </c>
      <c r="BN186" t="str">
        <f t="shared" si="15"/>
        <v>JOHANSSON</v>
      </c>
      <c r="BO186" t="str">
        <f t="shared" si="16"/>
        <v>MIKAEL</v>
      </c>
    </row>
    <row r="187" spans="1:67" ht="16" thickBot="1" x14ac:dyDescent="0.25">
      <c r="A187" s="90" t="s">
        <v>2298</v>
      </c>
      <c r="B187" s="90" t="s">
        <v>2299</v>
      </c>
      <c r="C187" s="90" t="s">
        <v>2300</v>
      </c>
      <c r="D187" s="90" t="s">
        <v>3580</v>
      </c>
      <c r="E187" s="90" t="s">
        <v>1953</v>
      </c>
      <c r="F187" s="90" t="s">
        <v>2527</v>
      </c>
      <c r="G187" s="90" t="s">
        <v>2310</v>
      </c>
      <c r="H187" s="90" t="s">
        <v>267</v>
      </c>
      <c r="I187" s="90" t="s">
        <v>1944</v>
      </c>
      <c r="J187" s="90" t="s">
        <v>1620</v>
      </c>
      <c r="K187" s="90" t="s">
        <v>2012</v>
      </c>
      <c r="L187" s="90" t="s">
        <v>2311</v>
      </c>
      <c r="M187" s="87" t="s">
        <v>2007</v>
      </c>
      <c r="N187" s="87" t="s">
        <v>2013</v>
      </c>
      <c r="O187" s="88">
        <v>42905</v>
      </c>
      <c r="P187" s="89">
        <v>9.1999999999999993</v>
      </c>
      <c r="Q187" s="90" t="s">
        <v>3086</v>
      </c>
      <c r="R187" s="90" t="s">
        <v>3253</v>
      </c>
      <c r="S187" s="90" t="s">
        <v>2304</v>
      </c>
      <c r="T187" s="90" t="s">
        <v>2305</v>
      </c>
      <c r="U187" s="90" t="s">
        <v>1640</v>
      </c>
      <c r="V187" s="88">
        <v>42905</v>
      </c>
      <c r="W187" s="88">
        <v>42905</v>
      </c>
      <c r="X187" s="90" t="s">
        <v>43</v>
      </c>
      <c r="Y187" s="90" t="s">
        <v>257</v>
      </c>
      <c r="Z187" s="90" t="s">
        <v>36</v>
      </c>
      <c r="AA187" s="91"/>
      <c r="AB187" s="91"/>
      <c r="AC187" s="90" t="s">
        <v>2051</v>
      </c>
      <c r="AD187" s="90" t="s">
        <v>267</v>
      </c>
      <c r="AE187" s="90" t="s">
        <v>1636</v>
      </c>
      <c r="AF187" s="90" t="s">
        <v>2004</v>
      </c>
      <c r="AG187" s="90" t="s">
        <v>3266</v>
      </c>
      <c r="AH187" s="90" t="s">
        <v>2306</v>
      </c>
      <c r="AI187" s="90" t="s">
        <v>2306</v>
      </c>
      <c r="AJ187" s="90" t="s">
        <v>2051</v>
      </c>
      <c r="AK187" s="90" t="s">
        <v>36</v>
      </c>
      <c r="AL187" s="90" t="s">
        <v>1635</v>
      </c>
      <c r="AM187" s="90" t="s">
        <v>2307</v>
      </c>
      <c r="AN187" s="90" t="s">
        <v>2054</v>
      </c>
      <c r="AO187" s="87" t="s">
        <v>1949</v>
      </c>
      <c r="AP187" s="87" t="s">
        <v>1950</v>
      </c>
      <c r="AQ187" s="90" t="s">
        <v>2528</v>
      </c>
      <c r="AR187" s="91"/>
      <c r="AS187" s="91"/>
      <c r="AT187" s="91"/>
      <c r="AU187" s="87" t="s">
        <v>1972</v>
      </c>
      <c r="AV187" s="91"/>
      <c r="AW187" s="91"/>
      <c r="AX187" s="91"/>
      <c r="AY187" s="91"/>
      <c r="AZ187" t="str">
        <f t="shared" si="12"/>
        <v>212110</v>
      </c>
      <c r="BA187" t="str">
        <f t="shared" si="13"/>
        <v>0077</v>
      </c>
      <c r="BB187" t="str">
        <f t="shared" si="17"/>
        <v>0000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>IFERROR(VLOOKUP(X187,'Status Map'!A:B,2,FALSE),"Status Code Not Mapped")</f>
        <v>Y</v>
      </c>
      <c r="BL187" t="str">
        <f>IFERROR(VLOOKUP(D187,'Invoice Exception Map'!A:C,3,FALSE),"N")</f>
        <v>N</v>
      </c>
      <c r="BM187">
        <f t="shared" si="14"/>
        <v>10</v>
      </c>
      <c r="BN187" t="str">
        <f t="shared" si="15"/>
        <v>JOHANSSON</v>
      </c>
      <c r="BO187" t="str">
        <f t="shared" si="16"/>
        <v>SOFIE</v>
      </c>
    </row>
    <row r="188" spans="1:67" ht="16" thickBot="1" x14ac:dyDescent="0.25">
      <c r="A188" s="90" t="s">
        <v>2298</v>
      </c>
      <c r="B188" s="90" t="s">
        <v>2299</v>
      </c>
      <c r="C188" s="90" t="s">
        <v>2300</v>
      </c>
      <c r="D188" s="90" t="s">
        <v>3581</v>
      </c>
      <c r="E188" s="90" t="s">
        <v>1953</v>
      </c>
      <c r="F188" s="90" t="s">
        <v>2529</v>
      </c>
      <c r="G188" s="90" t="s">
        <v>2395</v>
      </c>
      <c r="H188" s="90" t="s">
        <v>1943</v>
      </c>
      <c r="I188" s="90" t="s">
        <v>1944</v>
      </c>
      <c r="J188" s="90" t="s">
        <v>1620</v>
      </c>
      <c r="K188" s="90" t="s">
        <v>2396</v>
      </c>
      <c r="L188" s="90" t="s">
        <v>2530</v>
      </c>
      <c r="M188" s="87" t="s">
        <v>2008</v>
      </c>
      <c r="N188" s="87" t="s">
        <v>2009</v>
      </c>
      <c r="O188" s="88">
        <v>42702</v>
      </c>
      <c r="P188" s="89">
        <v>9.8000000000000007</v>
      </c>
      <c r="Q188" s="90" t="s">
        <v>3089</v>
      </c>
      <c r="R188" s="90" t="s">
        <v>3269</v>
      </c>
      <c r="S188" s="90" t="s">
        <v>2398</v>
      </c>
      <c r="T188" s="90" t="s">
        <v>2305</v>
      </c>
      <c r="U188" s="90" t="s">
        <v>1640</v>
      </c>
      <c r="V188" s="88">
        <v>42702</v>
      </c>
      <c r="W188" s="88">
        <v>42702</v>
      </c>
      <c r="X188" s="90" t="s">
        <v>43</v>
      </c>
      <c r="Y188" s="90" t="s">
        <v>257</v>
      </c>
      <c r="Z188" s="90" t="s">
        <v>36</v>
      </c>
      <c r="AA188" s="91"/>
      <c r="AB188" s="91"/>
      <c r="AC188" s="90" t="s">
        <v>2051</v>
      </c>
      <c r="AD188" s="90" t="s">
        <v>267</v>
      </c>
      <c r="AE188" s="90" t="s">
        <v>1636</v>
      </c>
      <c r="AF188" s="90" t="s">
        <v>2004</v>
      </c>
      <c r="AG188" s="90" t="s">
        <v>2793</v>
      </c>
      <c r="AH188" s="90" t="s">
        <v>2399</v>
      </c>
      <c r="AI188" s="90" t="s">
        <v>2399</v>
      </c>
      <c r="AJ188" s="90" t="s">
        <v>2051</v>
      </c>
      <c r="AK188" s="90" t="s">
        <v>36</v>
      </c>
      <c r="AL188" s="90" t="s">
        <v>1635</v>
      </c>
      <c r="AM188" s="90" t="s">
        <v>2307</v>
      </c>
      <c r="AN188" s="90" t="s">
        <v>2054</v>
      </c>
      <c r="AO188" s="87" t="s">
        <v>1949</v>
      </c>
      <c r="AP188" s="87" t="s">
        <v>1950</v>
      </c>
      <c r="AQ188" s="90" t="s">
        <v>2531</v>
      </c>
      <c r="AR188" s="91"/>
      <c r="AS188" s="91"/>
      <c r="AT188" s="91"/>
      <c r="AU188" s="87" t="s">
        <v>1972</v>
      </c>
      <c r="AV188" s="91"/>
      <c r="AW188" s="91"/>
      <c r="AX188" s="91"/>
      <c r="AY188" s="91"/>
      <c r="AZ188" t="str">
        <f t="shared" ref="AZ188:AZ251" si="18">R188</f>
        <v>205058</v>
      </c>
      <c r="BA188" t="str">
        <f t="shared" ref="BA188:BA251" si="19">U188</f>
        <v>0077</v>
      </c>
      <c r="BB188" t="str">
        <f t="shared" si="17"/>
        <v>0000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>IFERROR(VLOOKUP(X188,'Status Map'!A:B,2,FALSE),"Status Code Not Mapped")</f>
        <v>Y</v>
      </c>
      <c r="BL188" t="str">
        <f>IFERROR(VLOOKUP(D188,'Invoice Exception Map'!A:C,3,FALSE),"N")</f>
        <v>N</v>
      </c>
      <c r="BM188">
        <f t="shared" ref="BM188:BM251" si="20">FIND(",",F188,1)</f>
        <v>9</v>
      </c>
      <c r="BN188" t="str">
        <f t="shared" ref="BN188:BN251" si="21">LEFT(F188,BM188-1)</f>
        <v>JOHNSSON</v>
      </c>
      <c r="BO188" t="str">
        <f t="shared" ref="BO188:BO251" si="22">MID(F188,BM188+2,45)</f>
        <v>CLAES</v>
      </c>
    </row>
    <row r="189" spans="1:67" ht="16" thickBot="1" x14ac:dyDescent="0.25">
      <c r="A189" s="90" t="s">
        <v>2298</v>
      </c>
      <c r="B189" s="90" t="s">
        <v>2299</v>
      </c>
      <c r="C189" s="90" t="s">
        <v>2300</v>
      </c>
      <c r="D189" s="90" t="s">
        <v>3582</v>
      </c>
      <c r="E189" s="90" t="s">
        <v>1953</v>
      </c>
      <c r="F189" s="90" t="s">
        <v>2532</v>
      </c>
      <c r="G189" s="90" t="s">
        <v>2382</v>
      </c>
      <c r="H189" s="90" t="s">
        <v>267</v>
      </c>
      <c r="I189" s="90" t="s">
        <v>1944</v>
      </c>
      <c r="J189" s="90" t="s">
        <v>1620</v>
      </c>
      <c r="K189" s="90" t="s">
        <v>2383</v>
      </c>
      <c r="L189" s="90" t="s">
        <v>2338</v>
      </c>
      <c r="M189" s="87" t="s">
        <v>2338</v>
      </c>
      <c r="N189" s="87" t="s">
        <v>2005</v>
      </c>
      <c r="O189" s="88">
        <v>40113</v>
      </c>
      <c r="P189" s="89">
        <v>16.899999999999999</v>
      </c>
      <c r="Q189" s="90" t="s">
        <v>3089</v>
      </c>
      <c r="R189" s="90" t="s">
        <v>3260</v>
      </c>
      <c r="S189" s="90" t="s">
        <v>2339</v>
      </c>
      <c r="T189" s="90" t="s">
        <v>2305</v>
      </c>
      <c r="U189" s="90" t="s">
        <v>1640</v>
      </c>
      <c r="V189" s="88">
        <v>40113</v>
      </c>
      <c r="W189" s="88">
        <v>40113</v>
      </c>
      <c r="X189" s="90" t="s">
        <v>43</v>
      </c>
      <c r="Y189" s="90" t="s">
        <v>257</v>
      </c>
      <c r="Z189" s="90" t="s">
        <v>36</v>
      </c>
      <c r="AA189" s="91"/>
      <c r="AB189" s="91"/>
      <c r="AC189" s="90" t="s">
        <v>2051</v>
      </c>
      <c r="AD189" s="90" t="s">
        <v>267</v>
      </c>
      <c r="AE189" s="90" t="s">
        <v>1636</v>
      </c>
      <c r="AF189" s="90" t="s">
        <v>2004</v>
      </c>
      <c r="AG189" s="90" t="s">
        <v>2793</v>
      </c>
      <c r="AH189" s="90" t="s">
        <v>2399</v>
      </c>
      <c r="AI189" s="90" t="s">
        <v>2399</v>
      </c>
      <c r="AJ189" s="90" t="s">
        <v>2051</v>
      </c>
      <c r="AK189" s="90" t="s">
        <v>36</v>
      </c>
      <c r="AL189" s="90" t="s">
        <v>1635</v>
      </c>
      <c r="AM189" s="90" t="s">
        <v>2307</v>
      </c>
      <c r="AN189" s="90" t="s">
        <v>2054</v>
      </c>
      <c r="AO189" s="87" t="s">
        <v>1949</v>
      </c>
      <c r="AP189" s="87" t="s">
        <v>1950</v>
      </c>
      <c r="AQ189" s="90" t="s">
        <v>2533</v>
      </c>
      <c r="AR189" s="91"/>
      <c r="AS189" s="91"/>
      <c r="AT189" s="91"/>
      <c r="AU189" s="87" t="s">
        <v>1972</v>
      </c>
      <c r="AV189" s="91"/>
      <c r="AW189" s="91"/>
      <c r="AX189" s="91"/>
      <c r="AY189" s="91"/>
      <c r="AZ189" t="str">
        <f t="shared" si="18"/>
        <v>205380</v>
      </c>
      <c r="BA189" t="str">
        <f t="shared" si="19"/>
        <v>0077</v>
      </c>
      <c r="BB189" t="str">
        <f t="shared" si="17"/>
        <v>0000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>IFERROR(VLOOKUP(X189,'Status Map'!A:B,2,FALSE),"Status Code Not Mapped")</f>
        <v>Y</v>
      </c>
      <c r="BL189" t="str">
        <f>IFERROR(VLOOKUP(D189,'Invoice Exception Map'!A:C,3,FALSE),"N")</f>
        <v>N</v>
      </c>
      <c r="BM189">
        <f t="shared" si="20"/>
        <v>10</v>
      </c>
      <c r="BN189" t="str">
        <f t="shared" si="21"/>
        <v>JONEBRING</v>
      </c>
      <c r="BO189" t="str">
        <f t="shared" si="22"/>
        <v>LARS</v>
      </c>
    </row>
    <row r="190" spans="1:67" ht="16" thickBot="1" x14ac:dyDescent="0.25">
      <c r="A190" s="90" t="s">
        <v>2298</v>
      </c>
      <c r="B190" s="90" t="s">
        <v>2299</v>
      </c>
      <c r="C190" s="90" t="s">
        <v>2300</v>
      </c>
      <c r="D190" s="90" t="s">
        <v>3583</v>
      </c>
      <c r="E190" s="90" t="s">
        <v>1953</v>
      </c>
      <c r="F190" s="90" t="s">
        <v>2534</v>
      </c>
      <c r="G190" s="90" t="s">
        <v>2323</v>
      </c>
      <c r="H190" s="90" t="s">
        <v>1943</v>
      </c>
      <c r="I190" s="90" t="s">
        <v>1944</v>
      </c>
      <c r="J190" s="90" t="s">
        <v>1620</v>
      </c>
      <c r="K190" s="90" t="s">
        <v>2324</v>
      </c>
      <c r="L190" s="90" t="s">
        <v>2324</v>
      </c>
      <c r="M190" s="87" t="s">
        <v>2010</v>
      </c>
      <c r="N190" s="87" t="s">
        <v>2325</v>
      </c>
      <c r="O190" s="88">
        <v>42893</v>
      </c>
      <c r="P190" s="89">
        <v>9.1999999999999993</v>
      </c>
      <c r="Q190" s="90" t="s">
        <v>3087</v>
      </c>
      <c r="R190" s="90" t="s">
        <v>3257</v>
      </c>
      <c r="S190" s="90" t="s">
        <v>2326</v>
      </c>
      <c r="T190" s="90" t="s">
        <v>2305</v>
      </c>
      <c r="U190" s="90" t="s">
        <v>1640</v>
      </c>
      <c r="V190" s="88">
        <v>42893</v>
      </c>
      <c r="W190" s="88">
        <v>42893</v>
      </c>
      <c r="X190" s="90" t="s">
        <v>43</v>
      </c>
      <c r="Y190" s="90" t="s">
        <v>257</v>
      </c>
      <c r="Z190" s="90" t="s">
        <v>36</v>
      </c>
      <c r="AA190" s="91"/>
      <c r="AB190" s="91"/>
      <c r="AC190" s="90" t="s">
        <v>2051</v>
      </c>
      <c r="AD190" s="90" t="s">
        <v>267</v>
      </c>
      <c r="AE190" s="90" t="s">
        <v>1636</v>
      </c>
      <c r="AF190" s="90" t="s">
        <v>2004</v>
      </c>
      <c r="AG190" s="90" t="s">
        <v>2793</v>
      </c>
      <c r="AH190" s="90" t="s">
        <v>2327</v>
      </c>
      <c r="AI190" s="90" t="s">
        <v>2327</v>
      </c>
      <c r="AJ190" s="90" t="s">
        <v>2051</v>
      </c>
      <c r="AK190" s="90" t="s">
        <v>36</v>
      </c>
      <c r="AL190" s="90" t="s">
        <v>1635</v>
      </c>
      <c r="AM190" s="90" t="s">
        <v>2307</v>
      </c>
      <c r="AN190" s="90" t="s">
        <v>2054</v>
      </c>
      <c r="AO190" s="87" t="s">
        <v>1949</v>
      </c>
      <c r="AP190" s="87" t="s">
        <v>1950</v>
      </c>
      <c r="AQ190" s="90" t="s">
        <v>2535</v>
      </c>
      <c r="AR190" s="91"/>
      <c r="AS190" s="91"/>
      <c r="AT190" s="91"/>
      <c r="AU190" s="87" t="s">
        <v>1972</v>
      </c>
      <c r="AV190" s="91"/>
      <c r="AW190" s="91"/>
      <c r="AX190" s="91"/>
      <c r="AY190" s="91"/>
      <c r="AZ190" t="str">
        <f t="shared" si="18"/>
        <v>205384</v>
      </c>
      <c r="BA190" t="str">
        <f t="shared" si="19"/>
        <v>0077</v>
      </c>
      <c r="BB190" t="str">
        <f t="shared" si="17"/>
        <v>0000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>IFERROR(VLOOKUP(X190,'Status Map'!A:B,2,FALSE),"Status Code Not Mapped")</f>
        <v>Y</v>
      </c>
      <c r="BL190" t="str">
        <f>IFERROR(VLOOKUP(D190,'Invoice Exception Map'!A:C,3,FALSE),"N")</f>
        <v>N</v>
      </c>
      <c r="BM190">
        <f t="shared" si="20"/>
        <v>8</v>
      </c>
      <c r="BN190" t="str">
        <f t="shared" si="21"/>
        <v>JONSSON</v>
      </c>
      <c r="BO190" t="str">
        <f t="shared" si="22"/>
        <v>ANDREAS</v>
      </c>
    </row>
    <row r="191" spans="1:67" ht="16" thickBot="1" x14ac:dyDescent="0.25">
      <c r="A191" s="90" t="s">
        <v>2298</v>
      </c>
      <c r="B191" s="90" t="s">
        <v>2299</v>
      </c>
      <c r="C191" s="90" t="s">
        <v>2300</v>
      </c>
      <c r="D191" s="90" t="s">
        <v>3584</v>
      </c>
      <c r="E191" s="90" t="s">
        <v>1953</v>
      </c>
      <c r="F191" s="90" t="s">
        <v>2536</v>
      </c>
      <c r="G191" s="90" t="s">
        <v>2302</v>
      </c>
      <c r="H191" s="90" t="s">
        <v>267</v>
      </c>
      <c r="I191" s="90" t="s">
        <v>1944</v>
      </c>
      <c r="J191" s="90" t="s">
        <v>1620</v>
      </c>
      <c r="K191" s="90" t="s">
        <v>2303</v>
      </c>
      <c r="L191" s="90" t="s">
        <v>2227</v>
      </c>
      <c r="M191" s="87" t="s">
        <v>2072</v>
      </c>
      <c r="N191" s="87" t="s">
        <v>1999</v>
      </c>
      <c r="O191" s="88">
        <v>37751</v>
      </c>
      <c r="P191" s="89">
        <v>23.3</v>
      </c>
      <c r="Q191" s="90" t="s">
        <v>3086</v>
      </c>
      <c r="R191" s="90" t="s">
        <v>3255</v>
      </c>
      <c r="S191" s="90" t="s">
        <v>2315</v>
      </c>
      <c r="T191" s="90" t="s">
        <v>2305</v>
      </c>
      <c r="U191" s="90" t="s">
        <v>1640</v>
      </c>
      <c r="V191" s="88">
        <v>37751</v>
      </c>
      <c r="W191" s="88">
        <v>37751</v>
      </c>
      <c r="X191" s="90" t="s">
        <v>43</v>
      </c>
      <c r="Y191" s="90" t="s">
        <v>257</v>
      </c>
      <c r="Z191" s="90" t="s">
        <v>36</v>
      </c>
      <c r="AA191" s="91"/>
      <c r="AB191" s="91"/>
      <c r="AC191" s="90" t="s">
        <v>2051</v>
      </c>
      <c r="AD191" s="90" t="s">
        <v>267</v>
      </c>
      <c r="AE191" s="90" t="s">
        <v>1636</v>
      </c>
      <c r="AF191" s="90" t="s">
        <v>2004</v>
      </c>
      <c r="AG191" s="90" t="s">
        <v>2793</v>
      </c>
      <c r="AH191" s="90" t="s">
        <v>2306</v>
      </c>
      <c r="AI191" s="90" t="s">
        <v>2306</v>
      </c>
      <c r="AJ191" s="90" t="s">
        <v>2051</v>
      </c>
      <c r="AK191" s="90" t="s">
        <v>36</v>
      </c>
      <c r="AL191" s="90" t="s">
        <v>1635</v>
      </c>
      <c r="AM191" s="90" t="s">
        <v>2307</v>
      </c>
      <c r="AN191" s="90" t="s">
        <v>2054</v>
      </c>
      <c r="AO191" s="87" t="s">
        <v>1949</v>
      </c>
      <c r="AP191" s="87" t="s">
        <v>1950</v>
      </c>
      <c r="AQ191" s="90" t="s">
        <v>2537</v>
      </c>
      <c r="AR191" s="91"/>
      <c r="AS191" s="91"/>
      <c r="AT191" s="91"/>
      <c r="AU191" s="87" t="s">
        <v>1972</v>
      </c>
      <c r="AV191" s="91"/>
      <c r="AW191" s="91"/>
      <c r="AX191" s="91"/>
      <c r="AY191" s="91"/>
      <c r="AZ191" t="str">
        <f t="shared" si="18"/>
        <v>205315</v>
      </c>
      <c r="BA191" t="str">
        <f t="shared" si="19"/>
        <v>0077</v>
      </c>
      <c r="BB191" t="str">
        <f t="shared" si="17"/>
        <v>0000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>IFERROR(VLOOKUP(X191,'Status Map'!A:B,2,FALSE),"Status Code Not Mapped")</f>
        <v>Y</v>
      </c>
      <c r="BL191" t="str">
        <f>IFERROR(VLOOKUP(D191,'Invoice Exception Map'!A:C,3,FALSE),"N")</f>
        <v>N</v>
      </c>
      <c r="BM191">
        <f t="shared" si="20"/>
        <v>10</v>
      </c>
      <c r="BN191" t="str">
        <f t="shared" si="21"/>
        <v>KAHAREVIC</v>
      </c>
      <c r="BO191" t="str">
        <f t="shared" si="22"/>
        <v>NIHAD</v>
      </c>
    </row>
    <row r="192" spans="1:67" ht="16" thickBot="1" x14ac:dyDescent="0.25">
      <c r="A192" s="90" t="s">
        <v>2298</v>
      </c>
      <c r="B192" s="90" t="s">
        <v>2299</v>
      </c>
      <c r="C192" s="90" t="s">
        <v>2300</v>
      </c>
      <c r="D192" s="90" t="s">
        <v>3585</v>
      </c>
      <c r="E192" s="90" t="s">
        <v>1953</v>
      </c>
      <c r="F192" s="90" t="s">
        <v>2538</v>
      </c>
      <c r="G192" s="90" t="s">
        <v>2539</v>
      </c>
      <c r="H192" s="90" t="s">
        <v>267</v>
      </c>
      <c r="I192" s="90" t="s">
        <v>1944</v>
      </c>
      <c r="J192" s="90" t="s">
        <v>1620</v>
      </c>
      <c r="K192" s="90" t="s">
        <v>2540</v>
      </c>
      <c r="L192" s="90" t="s">
        <v>2541</v>
      </c>
      <c r="M192" s="87" t="s">
        <v>1970</v>
      </c>
      <c r="N192" s="87" t="s">
        <v>303</v>
      </c>
      <c r="O192" s="88">
        <v>34862</v>
      </c>
      <c r="P192" s="89">
        <v>31.2</v>
      </c>
      <c r="Q192" s="90" t="s">
        <v>3090</v>
      </c>
      <c r="R192" s="90" t="s">
        <v>3272</v>
      </c>
      <c r="S192" s="90" t="s">
        <v>2447</v>
      </c>
      <c r="T192" s="90" t="s">
        <v>2305</v>
      </c>
      <c r="U192" s="90" t="s">
        <v>1640</v>
      </c>
      <c r="V192" s="88">
        <v>34862</v>
      </c>
      <c r="W192" s="88">
        <v>34862</v>
      </c>
      <c r="X192" s="90" t="s">
        <v>43</v>
      </c>
      <c r="Y192" s="90" t="s">
        <v>257</v>
      </c>
      <c r="Z192" s="90" t="s">
        <v>36</v>
      </c>
      <c r="AA192" s="91"/>
      <c r="AB192" s="91"/>
      <c r="AC192" s="90" t="s">
        <v>2051</v>
      </c>
      <c r="AD192" s="90" t="s">
        <v>267</v>
      </c>
      <c r="AE192" s="90" t="s">
        <v>1636</v>
      </c>
      <c r="AF192" s="90" t="s">
        <v>2004</v>
      </c>
      <c r="AG192" s="90" t="s">
        <v>2793</v>
      </c>
      <c r="AH192" s="90" t="s">
        <v>2327</v>
      </c>
      <c r="AI192" s="90" t="s">
        <v>2327</v>
      </c>
      <c r="AJ192" s="90" t="s">
        <v>2051</v>
      </c>
      <c r="AK192" s="90" t="s">
        <v>36</v>
      </c>
      <c r="AL192" s="90" t="s">
        <v>1635</v>
      </c>
      <c r="AM192" s="90" t="s">
        <v>2307</v>
      </c>
      <c r="AN192" s="90" t="s">
        <v>2054</v>
      </c>
      <c r="AO192" s="87" t="s">
        <v>1949</v>
      </c>
      <c r="AP192" s="87" t="s">
        <v>1950</v>
      </c>
      <c r="AQ192" s="90" t="s">
        <v>2542</v>
      </c>
      <c r="AR192" s="91"/>
      <c r="AS192" s="91"/>
      <c r="AT192" s="91"/>
      <c r="AU192" s="87" t="s">
        <v>1972</v>
      </c>
      <c r="AV192" s="91"/>
      <c r="AW192" s="91"/>
      <c r="AX192" s="91"/>
      <c r="AY192" s="91"/>
      <c r="AZ192" t="str">
        <f t="shared" si="18"/>
        <v>213460</v>
      </c>
      <c r="BA192" t="str">
        <f t="shared" si="19"/>
        <v>0077</v>
      </c>
      <c r="BB192" t="str">
        <f t="shared" si="17"/>
        <v>0000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>IFERROR(VLOOKUP(X192,'Status Map'!A:B,2,FALSE),"Status Code Not Mapped")</f>
        <v>Y</v>
      </c>
      <c r="BL192" t="str">
        <f>IFERROR(VLOOKUP(D192,'Invoice Exception Map'!A:C,3,FALSE),"N")</f>
        <v>N</v>
      </c>
      <c r="BM192">
        <f t="shared" si="20"/>
        <v>9</v>
      </c>
      <c r="BN192" t="str">
        <f t="shared" si="21"/>
        <v>KAMSPÅNG</v>
      </c>
      <c r="BO192" t="str">
        <f t="shared" si="22"/>
        <v>NICLAS</v>
      </c>
    </row>
    <row r="193" spans="1:67" ht="16" thickBot="1" x14ac:dyDescent="0.25">
      <c r="A193" s="90" t="s">
        <v>2298</v>
      </c>
      <c r="B193" s="90" t="s">
        <v>2299</v>
      </c>
      <c r="C193" s="90" t="s">
        <v>2300</v>
      </c>
      <c r="D193" s="90" t="s">
        <v>3586</v>
      </c>
      <c r="E193" s="90" t="s">
        <v>1953</v>
      </c>
      <c r="F193" s="90" t="s">
        <v>2543</v>
      </c>
      <c r="G193" s="90" t="s">
        <v>2318</v>
      </c>
      <c r="H193" s="90" t="s">
        <v>267</v>
      </c>
      <c r="I193" s="90" t="s">
        <v>1944</v>
      </c>
      <c r="J193" s="90" t="s">
        <v>1620</v>
      </c>
      <c r="K193" s="90" t="s">
        <v>247</v>
      </c>
      <c r="L193" s="90" t="s">
        <v>2003</v>
      </c>
      <c r="M193" s="87" t="s">
        <v>2003</v>
      </c>
      <c r="N193" s="87" t="s">
        <v>1999</v>
      </c>
      <c r="O193" s="88">
        <v>44683</v>
      </c>
      <c r="P193" s="89">
        <v>4.3</v>
      </c>
      <c r="Q193" s="90" t="s">
        <v>3089</v>
      </c>
      <c r="R193" s="90" t="s">
        <v>3261</v>
      </c>
      <c r="S193" s="90" t="s">
        <v>2346</v>
      </c>
      <c r="T193" s="90" t="s">
        <v>2305</v>
      </c>
      <c r="U193" s="90" t="s">
        <v>1640</v>
      </c>
      <c r="V193" s="88">
        <v>44683</v>
      </c>
      <c r="W193" s="88">
        <v>44683</v>
      </c>
      <c r="X193" s="90" t="s">
        <v>43</v>
      </c>
      <c r="Y193" s="90" t="s">
        <v>257</v>
      </c>
      <c r="Z193" s="90" t="s">
        <v>36</v>
      </c>
      <c r="AA193" s="91"/>
      <c r="AB193" s="91"/>
      <c r="AC193" s="90" t="s">
        <v>2051</v>
      </c>
      <c r="AD193" s="90" t="s">
        <v>267</v>
      </c>
      <c r="AE193" s="90" t="s">
        <v>1636</v>
      </c>
      <c r="AF193" s="90" t="s">
        <v>2004</v>
      </c>
      <c r="AG193" s="90" t="s">
        <v>2793</v>
      </c>
      <c r="AH193" s="90" t="s">
        <v>2320</v>
      </c>
      <c r="AI193" s="90" t="s">
        <v>2320</v>
      </c>
      <c r="AJ193" s="90" t="s">
        <v>2051</v>
      </c>
      <c r="AK193" s="91"/>
      <c r="AL193" s="90" t="s">
        <v>1635</v>
      </c>
      <c r="AM193" s="90" t="s">
        <v>2307</v>
      </c>
      <c r="AN193" s="90" t="s">
        <v>2054</v>
      </c>
      <c r="AO193" s="87" t="s">
        <v>1949</v>
      </c>
      <c r="AP193" s="87" t="s">
        <v>1950</v>
      </c>
      <c r="AQ193" s="90" t="s">
        <v>2544</v>
      </c>
      <c r="AR193" s="91"/>
      <c r="AS193" s="91"/>
      <c r="AT193" s="91"/>
      <c r="AU193" s="87" t="s">
        <v>1972</v>
      </c>
      <c r="AV193" s="91"/>
      <c r="AW193" s="91"/>
      <c r="AX193" s="91"/>
      <c r="AY193" s="91"/>
      <c r="AZ193" t="str">
        <f t="shared" si="18"/>
        <v>205116</v>
      </c>
      <c r="BA193" t="str">
        <f t="shared" si="19"/>
        <v>0077</v>
      </c>
      <c r="BB193" t="str">
        <f t="shared" si="17"/>
        <v>0000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>IFERROR(VLOOKUP(X193,'Status Map'!A:B,2,FALSE),"Status Code Not Mapped")</f>
        <v>Y</v>
      </c>
      <c r="BL193" t="str">
        <f>IFERROR(VLOOKUP(D193,'Invoice Exception Map'!A:C,3,FALSE),"N")</f>
        <v>N</v>
      </c>
      <c r="BM193">
        <f t="shared" si="20"/>
        <v>7</v>
      </c>
      <c r="BN193" t="str">
        <f t="shared" si="21"/>
        <v>KAN-OP</v>
      </c>
      <c r="BO193" t="str">
        <f t="shared" si="22"/>
        <v>SAIBUA</v>
      </c>
    </row>
    <row r="194" spans="1:67" ht="16" thickBot="1" x14ac:dyDescent="0.25">
      <c r="A194" s="90" t="s">
        <v>2298</v>
      </c>
      <c r="B194" s="90" t="s">
        <v>2299</v>
      </c>
      <c r="C194" s="90" t="s">
        <v>2300</v>
      </c>
      <c r="D194" s="90" t="s">
        <v>3587</v>
      </c>
      <c r="E194" s="90" t="s">
        <v>1953</v>
      </c>
      <c r="F194" s="90" t="s">
        <v>2545</v>
      </c>
      <c r="G194" s="90" t="s">
        <v>2302</v>
      </c>
      <c r="H194" s="90" t="s">
        <v>267</v>
      </c>
      <c r="I194" s="90" t="s">
        <v>1944</v>
      </c>
      <c r="J194" s="90" t="s">
        <v>1620</v>
      </c>
      <c r="K194" s="90" t="s">
        <v>2303</v>
      </c>
      <c r="L194" s="90" t="s">
        <v>2227</v>
      </c>
      <c r="M194" s="87" t="s">
        <v>2072</v>
      </c>
      <c r="N194" s="87" t="s">
        <v>1999</v>
      </c>
      <c r="O194" s="88">
        <v>40775</v>
      </c>
      <c r="P194" s="89">
        <v>15</v>
      </c>
      <c r="Q194" s="90" t="s">
        <v>3086</v>
      </c>
      <c r="R194" s="90" t="s">
        <v>3253</v>
      </c>
      <c r="S194" s="90" t="s">
        <v>2304</v>
      </c>
      <c r="T194" s="90" t="s">
        <v>2305</v>
      </c>
      <c r="U194" s="90" t="s">
        <v>1640</v>
      </c>
      <c r="V194" s="88">
        <v>40775</v>
      </c>
      <c r="W194" s="88">
        <v>40775</v>
      </c>
      <c r="X194" s="90" t="s">
        <v>43</v>
      </c>
      <c r="Y194" s="90" t="s">
        <v>257</v>
      </c>
      <c r="Z194" s="90" t="s">
        <v>36</v>
      </c>
      <c r="AA194" s="91"/>
      <c r="AB194" s="91"/>
      <c r="AC194" s="90" t="s">
        <v>2051</v>
      </c>
      <c r="AD194" s="90" t="s">
        <v>267</v>
      </c>
      <c r="AE194" s="90" t="s">
        <v>1636</v>
      </c>
      <c r="AF194" s="90" t="s">
        <v>2004</v>
      </c>
      <c r="AG194" s="90" t="s">
        <v>2793</v>
      </c>
      <c r="AH194" s="90" t="s">
        <v>2306</v>
      </c>
      <c r="AI194" s="90" t="s">
        <v>2306</v>
      </c>
      <c r="AJ194" s="90" t="s">
        <v>2051</v>
      </c>
      <c r="AK194" s="90" t="s">
        <v>36</v>
      </c>
      <c r="AL194" s="90" t="s">
        <v>1635</v>
      </c>
      <c r="AM194" s="90" t="s">
        <v>2307</v>
      </c>
      <c r="AN194" s="90" t="s">
        <v>2054</v>
      </c>
      <c r="AO194" s="87" t="s">
        <v>1949</v>
      </c>
      <c r="AP194" s="87" t="s">
        <v>1950</v>
      </c>
      <c r="AQ194" s="90" t="s">
        <v>2546</v>
      </c>
      <c r="AR194" s="91"/>
      <c r="AS194" s="91"/>
      <c r="AT194" s="91"/>
      <c r="AU194" s="87" t="s">
        <v>1972</v>
      </c>
      <c r="AV194" s="91"/>
      <c r="AW194" s="91"/>
      <c r="AX194" s="91"/>
      <c r="AY194" s="91"/>
      <c r="AZ194" t="str">
        <f t="shared" si="18"/>
        <v>212110</v>
      </c>
      <c r="BA194" t="str">
        <f t="shared" si="19"/>
        <v>0077</v>
      </c>
      <c r="BB194" t="str">
        <f t="shared" si="17"/>
        <v>0000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>IFERROR(VLOOKUP(X194,'Status Map'!A:B,2,FALSE),"Status Code Not Mapped")</f>
        <v>Y</v>
      </c>
      <c r="BL194" t="str">
        <f>IFERROR(VLOOKUP(D194,'Invoice Exception Map'!A:C,3,FALSE),"N")</f>
        <v>N</v>
      </c>
      <c r="BM194">
        <f t="shared" si="20"/>
        <v>11</v>
      </c>
      <c r="BN194" t="str">
        <f t="shared" si="21"/>
        <v>KANNIAINEN</v>
      </c>
      <c r="BO194" t="str">
        <f t="shared" si="22"/>
        <v>FREDRIK</v>
      </c>
    </row>
    <row r="195" spans="1:67" ht="16" thickBot="1" x14ac:dyDescent="0.25">
      <c r="A195" s="90" t="s">
        <v>2298</v>
      </c>
      <c r="B195" s="90" t="s">
        <v>2299</v>
      </c>
      <c r="C195" s="90" t="s">
        <v>2300</v>
      </c>
      <c r="D195" s="90" t="s">
        <v>3588</v>
      </c>
      <c r="E195" s="90" t="s">
        <v>1953</v>
      </c>
      <c r="F195" s="90" t="s">
        <v>2547</v>
      </c>
      <c r="G195" s="90" t="s">
        <v>2221</v>
      </c>
      <c r="H195" s="90" t="s">
        <v>267</v>
      </c>
      <c r="I195" s="90" t="s">
        <v>1944</v>
      </c>
      <c r="J195" s="90" t="s">
        <v>1620</v>
      </c>
      <c r="K195" s="90" t="s">
        <v>2222</v>
      </c>
      <c r="L195" s="90" t="s">
        <v>2227</v>
      </c>
      <c r="M195" s="87" t="s">
        <v>2003</v>
      </c>
      <c r="N195" s="87" t="s">
        <v>1999</v>
      </c>
      <c r="O195" s="88">
        <v>44263</v>
      </c>
      <c r="P195" s="89">
        <v>5.5</v>
      </c>
      <c r="Q195" s="90" t="s">
        <v>3084</v>
      </c>
      <c r="R195" s="90" t="s">
        <v>3256</v>
      </c>
      <c r="S195" s="90" t="s">
        <v>2319</v>
      </c>
      <c r="T195" s="90" t="s">
        <v>2305</v>
      </c>
      <c r="U195" s="90" t="s">
        <v>1640</v>
      </c>
      <c r="V195" s="88">
        <v>44263</v>
      </c>
      <c r="W195" s="88">
        <v>44263</v>
      </c>
      <c r="X195" s="90" t="s">
        <v>43</v>
      </c>
      <c r="Y195" s="90" t="s">
        <v>257</v>
      </c>
      <c r="Z195" s="90" t="s">
        <v>36</v>
      </c>
      <c r="AA195" s="91"/>
      <c r="AB195" s="91"/>
      <c r="AC195" s="90" t="s">
        <v>2051</v>
      </c>
      <c r="AD195" s="90" t="s">
        <v>267</v>
      </c>
      <c r="AE195" s="90" t="s">
        <v>1636</v>
      </c>
      <c r="AF195" s="90" t="s">
        <v>2004</v>
      </c>
      <c r="AG195" s="90" t="s">
        <v>2793</v>
      </c>
      <c r="AH195" s="90" t="s">
        <v>2320</v>
      </c>
      <c r="AI195" s="90" t="s">
        <v>2320</v>
      </c>
      <c r="AJ195" s="90" t="s">
        <v>2051</v>
      </c>
      <c r="AK195" s="90" t="s">
        <v>36</v>
      </c>
      <c r="AL195" s="90" t="s">
        <v>1635</v>
      </c>
      <c r="AM195" s="90" t="s">
        <v>2307</v>
      </c>
      <c r="AN195" s="90" t="s">
        <v>2054</v>
      </c>
      <c r="AO195" s="87" t="s">
        <v>1949</v>
      </c>
      <c r="AP195" s="87" t="s">
        <v>1950</v>
      </c>
      <c r="AQ195" s="90" t="s">
        <v>2548</v>
      </c>
      <c r="AR195" s="91"/>
      <c r="AS195" s="91"/>
      <c r="AT195" s="91"/>
      <c r="AU195" s="87" t="s">
        <v>1972</v>
      </c>
      <c r="AV195" s="91"/>
      <c r="AW195" s="91"/>
      <c r="AX195" s="91"/>
      <c r="AY195" s="91"/>
      <c r="AZ195" t="str">
        <f t="shared" si="18"/>
        <v>205383</v>
      </c>
      <c r="BA195" t="str">
        <f t="shared" si="19"/>
        <v>0077</v>
      </c>
      <c r="BB195" t="str">
        <f t="shared" ref="BB195:BB258" si="23">IF(OR(BA195="0077",BA195="177"),"0000",IF(ISBLANK(AI195),"000",AI195))</f>
        <v>0000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>IFERROR(VLOOKUP(X195,'Status Map'!A:B,2,FALSE),"Status Code Not Mapped")</f>
        <v>Y</v>
      </c>
      <c r="BL195" t="str">
        <f>IFERROR(VLOOKUP(D195,'Invoice Exception Map'!A:C,3,FALSE),"N")</f>
        <v>N</v>
      </c>
      <c r="BM195">
        <f t="shared" si="20"/>
        <v>14</v>
      </c>
      <c r="BN195" t="str">
        <f t="shared" si="21"/>
        <v>KARINSUNGNOEN</v>
      </c>
      <c r="BO195" t="str">
        <f t="shared" si="22"/>
        <v>RUCHIPHAT</v>
      </c>
    </row>
    <row r="196" spans="1:67" ht="16" thickBot="1" x14ac:dyDescent="0.25">
      <c r="A196" s="90" t="s">
        <v>2298</v>
      </c>
      <c r="B196" s="90" t="s">
        <v>2299</v>
      </c>
      <c r="C196" s="90" t="s">
        <v>2300</v>
      </c>
      <c r="D196" s="90" t="s">
        <v>3589</v>
      </c>
      <c r="E196" s="90" t="s">
        <v>1953</v>
      </c>
      <c r="F196" s="90" t="s">
        <v>2549</v>
      </c>
      <c r="G196" s="90" t="s">
        <v>2302</v>
      </c>
      <c r="H196" s="90" t="s">
        <v>267</v>
      </c>
      <c r="I196" s="90" t="s">
        <v>1944</v>
      </c>
      <c r="J196" s="90" t="s">
        <v>1620</v>
      </c>
      <c r="K196" s="90" t="s">
        <v>2303</v>
      </c>
      <c r="L196" s="90" t="s">
        <v>2227</v>
      </c>
      <c r="M196" s="87" t="s">
        <v>2072</v>
      </c>
      <c r="N196" s="87" t="s">
        <v>1999</v>
      </c>
      <c r="O196" s="88">
        <v>42602</v>
      </c>
      <c r="P196" s="89">
        <v>10</v>
      </c>
      <c r="Q196" s="90" t="s">
        <v>3086</v>
      </c>
      <c r="R196" s="90" t="s">
        <v>3255</v>
      </c>
      <c r="S196" s="90" t="s">
        <v>2315</v>
      </c>
      <c r="T196" s="90" t="s">
        <v>2305</v>
      </c>
      <c r="U196" s="90" t="s">
        <v>1640</v>
      </c>
      <c r="V196" s="88">
        <v>42602</v>
      </c>
      <c r="W196" s="88">
        <v>42602</v>
      </c>
      <c r="X196" s="90" t="s">
        <v>43</v>
      </c>
      <c r="Y196" s="90" t="s">
        <v>257</v>
      </c>
      <c r="Z196" s="90" t="s">
        <v>36</v>
      </c>
      <c r="AA196" s="91"/>
      <c r="AB196" s="91"/>
      <c r="AC196" s="90" t="s">
        <v>2051</v>
      </c>
      <c r="AD196" s="90" t="s">
        <v>267</v>
      </c>
      <c r="AE196" s="90" t="s">
        <v>1636</v>
      </c>
      <c r="AF196" s="90" t="s">
        <v>2004</v>
      </c>
      <c r="AG196" s="90" t="s">
        <v>2793</v>
      </c>
      <c r="AH196" s="90" t="s">
        <v>2306</v>
      </c>
      <c r="AI196" s="90" t="s">
        <v>2306</v>
      </c>
      <c r="AJ196" s="90" t="s">
        <v>2051</v>
      </c>
      <c r="AK196" s="90" t="s">
        <v>36</v>
      </c>
      <c r="AL196" s="90" t="s">
        <v>1635</v>
      </c>
      <c r="AM196" s="90" t="s">
        <v>2307</v>
      </c>
      <c r="AN196" s="90" t="s">
        <v>2054</v>
      </c>
      <c r="AO196" s="87" t="s">
        <v>1949</v>
      </c>
      <c r="AP196" s="87" t="s">
        <v>1950</v>
      </c>
      <c r="AQ196" s="90" t="s">
        <v>2550</v>
      </c>
      <c r="AR196" s="91"/>
      <c r="AS196" s="91"/>
      <c r="AT196" s="91"/>
      <c r="AU196" s="87" t="s">
        <v>1972</v>
      </c>
      <c r="AV196" s="91"/>
      <c r="AW196" s="91"/>
      <c r="AX196" s="91"/>
      <c r="AY196" s="91"/>
      <c r="AZ196" t="str">
        <f t="shared" si="18"/>
        <v>205315</v>
      </c>
      <c r="BA196" t="str">
        <f t="shared" si="19"/>
        <v>0077</v>
      </c>
      <c r="BB196" t="str">
        <f t="shared" si="23"/>
        <v>0000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>IFERROR(VLOOKUP(X196,'Status Map'!A:B,2,FALSE),"Status Code Not Mapped")</f>
        <v>Y</v>
      </c>
      <c r="BL196" t="str">
        <f>IFERROR(VLOOKUP(D196,'Invoice Exception Map'!A:C,3,FALSE),"N")</f>
        <v>N</v>
      </c>
      <c r="BM196">
        <f t="shared" si="20"/>
        <v>9</v>
      </c>
      <c r="BN196" t="str">
        <f t="shared" si="21"/>
        <v>KARLSSON</v>
      </c>
      <c r="BO196" t="str">
        <f t="shared" si="22"/>
        <v>ALEXANDER</v>
      </c>
    </row>
    <row r="197" spans="1:67" ht="16" thickBot="1" x14ac:dyDescent="0.25">
      <c r="A197" s="90" t="s">
        <v>2298</v>
      </c>
      <c r="B197" s="90" t="s">
        <v>2299</v>
      </c>
      <c r="C197" s="90" t="s">
        <v>2300</v>
      </c>
      <c r="D197" s="90" t="s">
        <v>3590</v>
      </c>
      <c r="E197" s="90" t="s">
        <v>1953</v>
      </c>
      <c r="F197" s="90" t="s">
        <v>2551</v>
      </c>
      <c r="G197" s="90" t="s">
        <v>2318</v>
      </c>
      <c r="H197" s="90" t="s">
        <v>267</v>
      </c>
      <c r="I197" s="90" t="s">
        <v>1944</v>
      </c>
      <c r="J197" s="90" t="s">
        <v>1620</v>
      </c>
      <c r="K197" s="90" t="s">
        <v>247</v>
      </c>
      <c r="L197" s="90" t="s">
        <v>2003</v>
      </c>
      <c r="M197" s="87" t="s">
        <v>2003</v>
      </c>
      <c r="N197" s="87" t="s">
        <v>1999</v>
      </c>
      <c r="O197" s="88">
        <v>42506</v>
      </c>
      <c r="P197" s="89">
        <v>10.3</v>
      </c>
      <c r="Q197" s="90" t="s">
        <v>3089</v>
      </c>
      <c r="R197" s="90" t="s">
        <v>3256</v>
      </c>
      <c r="S197" s="90" t="s">
        <v>2319</v>
      </c>
      <c r="T197" s="90" t="s">
        <v>2305</v>
      </c>
      <c r="U197" s="90" t="s">
        <v>1640</v>
      </c>
      <c r="V197" s="88">
        <v>42506</v>
      </c>
      <c r="W197" s="88">
        <v>42506</v>
      </c>
      <c r="X197" s="90" t="s">
        <v>43</v>
      </c>
      <c r="Y197" s="90" t="s">
        <v>257</v>
      </c>
      <c r="Z197" s="90" t="s">
        <v>36</v>
      </c>
      <c r="AA197" s="91"/>
      <c r="AB197" s="91"/>
      <c r="AC197" s="90" t="s">
        <v>2051</v>
      </c>
      <c r="AD197" s="90" t="s">
        <v>267</v>
      </c>
      <c r="AE197" s="90" t="s">
        <v>1636</v>
      </c>
      <c r="AF197" s="90" t="s">
        <v>2004</v>
      </c>
      <c r="AG197" s="90" t="s">
        <v>2793</v>
      </c>
      <c r="AH197" s="90" t="s">
        <v>2320</v>
      </c>
      <c r="AI197" s="90" t="s">
        <v>2320</v>
      </c>
      <c r="AJ197" s="90" t="s">
        <v>2051</v>
      </c>
      <c r="AK197" s="90" t="s">
        <v>36</v>
      </c>
      <c r="AL197" s="90" t="s">
        <v>1635</v>
      </c>
      <c r="AM197" s="90" t="s">
        <v>2307</v>
      </c>
      <c r="AN197" s="90" t="s">
        <v>2054</v>
      </c>
      <c r="AO197" s="87" t="s">
        <v>1949</v>
      </c>
      <c r="AP197" s="87" t="s">
        <v>1950</v>
      </c>
      <c r="AQ197" s="90" t="s">
        <v>2552</v>
      </c>
      <c r="AR197" s="91"/>
      <c r="AS197" s="91"/>
      <c r="AT197" s="91"/>
      <c r="AU197" s="87" t="s">
        <v>1972</v>
      </c>
      <c r="AV197" s="91"/>
      <c r="AW197" s="91"/>
      <c r="AX197" s="91"/>
      <c r="AY197" s="91"/>
      <c r="AZ197" t="str">
        <f t="shared" si="18"/>
        <v>205383</v>
      </c>
      <c r="BA197" t="str">
        <f t="shared" si="19"/>
        <v>0077</v>
      </c>
      <c r="BB197" t="str">
        <f t="shared" si="23"/>
        <v>0000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>IFERROR(VLOOKUP(X197,'Status Map'!A:B,2,FALSE),"Status Code Not Mapped")</f>
        <v>Y</v>
      </c>
      <c r="BL197" t="str">
        <f>IFERROR(VLOOKUP(D197,'Invoice Exception Map'!A:C,3,FALSE),"N")</f>
        <v>N</v>
      </c>
      <c r="BM197">
        <f t="shared" si="20"/>
        <v>9</v>
      </c>
      <c r="BN197" t="str">
        <f t="shared" si="21"/>
        <v>KARLSSON</v>
      </c>
      <c r="BO197" t="str">
        <f t="shared" si="22"/>
        <v>JOHANNA</v>
      </c>
    </row>
    <row r="198" spans="1:67" ht="16" thickBot="1" x14ac:dyDescent="0.25">
      <c r="A198" s="90" t="s">
        <v>2298</v>
      </c>
      <c r="B198" s="90" t="s">
        <v>2299</v>
      </c>
      <c r="C198" s="90" t="s">
        <v>2300</v>
      </c>
      <c r="D198" s="90" t="s">
        <v>3591</v>
      </c>
      <c r="E198" s="90" t="s">
        <v>1953</v>
      </c>
      <c r="F198" s="90" t="s">
        <v>2553</v>
      </c>
      <c r="G198" s="90" t="s">
        <v>2464</v>
      </c>
      <c r="H198" s="90" t="s">
        <v>267</v>
      </c>
      <c r="I198" s="90" t="s">
        <v>1944</v>
      </c>
      <c r="J198" s="90" t="s">
        <v>1620</v>
      </c>
      <c r="K198" s="90" t="s">
        <v>2465</v>
      </c>
      <c r="L198" s="90" t="s">
        <v>2466</v>
      </c>
      <c r="M198" s="87" t="s">
        <v>2466</v>
      </c>
      <c r="N198" s="87" t="s">
        <v>1999</v>
      </c>
      <c r="O198" s="88">
        <v>41729</v>
      </c>
      <c r="P198" s="89">
        <v>12.4</v>
      </c>
      <c r="Q198" s="90" t="s">
        <v>3086</v>
      </c>
      <c r="R198" s="90" t="s">
        <v>3253</v>
      </c>
      <c r="S198" s="90" t="s">
        <v>2304</v>
      </c>
      <c r="T198" s="90" t="s">
        <v>2305</v>
      </c>
      <c r="U198" s="90" t="s">
        <v>1640</v>
      </c>
      <c r="V198" s="88">
        <v>41729</v>
      </c>
      <c r="W198" s="88">
        <v>41729</v>
      </c>
      <c r="X198" s="90" t="s">
        <v>43</v>
      </c>
      <c r="Y198" s="90" t="s">
        <v>257</v>
      </c>
      <c r="Z198" s="90" t="s">
        <v>36</v>
      </c>
      <c r="AA198" s="91"/>
      <c r="AB198" s="91"/>
      <c r="AC198" s="90" t="s">
        <v>2051</v>
      </c>
      <c r="AD198" s="90" t="s">
        <v>267</v>
      </c>
      <c r="AE198" s="90" t="s">
        <v>1636</v>
      </c>
      <c r="AF198" s="90" t="s">
        <v>2004</v>
      </c>
      <c r="AG198" s="90" t="s">
        <v>3266</v>
      </c>
      <c r="AH198" s="90" t="s">
        <v>2306</v>
      </c>
      <c r="AI198" s="90" t="s">
        <v>2306</v>
      </c>
      <c r="AJ198" s="90" t="s">
        <v>2051</v>
      </c>
      <c r="AK198" s="90" t="s">
        <v>36</v>
      </c>
      <c r="AL198" s="90" t="s">
        <v>1635</v>
      </c>
      <c r="AM198" s="90" t="s">
        <v>2307</v>
      </c>
      <c r="AN198" s="90" t="s">
        <v>2054</v>
      </c>
      <c r="AO198" s="87" t="s">
        <v>1949</v>
      </c>
      <c r="AP198" s="87" t="s">
        <v>1950</v>
      </c>
      <c r="AQ198" s="90" t="s">
        <v>2554</v>
      </c>
      <c r="AR198" s="91"/>
      <c r="AS198" s="91"/>
      <c r="AT198" s="91"/>
      <c r="AU198" s="87" t="s">
        <v>1972</v>
      </c>
      <c r="AV198" s="91"/>
      <c r="AW198" s="91"/>
      <c r="AX198" s="91"/>
      <c r="AY198" s="91"/>
      <c r="AZ198" t="str">
        <f t="shared" si="18"/>
        <v>212110</v>
      </c>
      <c r="BA198" t="str">
        <f t="shared" si="19"/>
        <v>0077</v>
      </c>
      <c r="BB198" t="str">
        <f t="shared" si="23"/>
        <v>0000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>IFERROR(VLOOKUP(X198,'Status Map'!A:B,2,FALSE),"Status Code Not Mapped")</f>
        <v>Y</v>
      </c>
      <c r="BL198" t="str">
        <f>IFERROR(VLOOKUP(D198,'Invoice Exception Map'!A:C,3,FALSE),"N")</f>
        <v>N</v>
      </c>
      <c r="BM198">
        <f t="shared" si="20"/>
        <v>9</v>
      </c>
      <c r="BN198" t="str">
        <f t="shared" si="21"/>
        <v>KARLSSON</v>
      </c>
      <c r="BO198" t="str">
        <f t="shared" si="22"/>
        <v>MIKAEL</v>
      </c>
    </row>
    <row r="199" spans="1:67" ht="16" thickBot="1" x14ac:dyDescent="0.25">
      <c r="A199" s="90" t="s">
        <v>2298</v>
      </c>
      <c r="B199" s="90" t="s">
        <v>2299</v>
      </c>
      <c r="C199" s="90" t="s">
        <v>2300</v>
      </c>
      <c r="D199" s="90" t="s">
        <v>3592</v>
      </c>
      <c r="E199" s="90" t="s">
        <v>1953</v>
      </c>
      <c r="F199" s="90" t="s">
        <v>2555</v>
      </c>
      <c r="G199" s="90" t="s">
        <v>2037</v>
      </c>
      <c r="H199" s="90" t="s">
        <v>1943</v>
      </c>
      <c r="I199" s="90" t="s">
        <v>1944</v>
      </c>
      <c r="J199" s="90" t="s">
        <v>427</v>
      </c>
      <c r="K199" s="90" t="s">
        <v>541</v>
      </c>
      <c r="L199" s="90" t="s">
        <v>2338</v>
      </c>
      <c r="M199" s="87" t="s">
        <v>1984</v>
      </c>
      <c r="N199" s="87" t="s">
        <v>2021</v>
      </c>
      <c r="O199" s="88">
        <v>43143</v>
      </c>
      <c r="P199" s="89">
        <v>8.5</v>
      </c>
      <c r="Q199" s="90" t="s">
        <v>213</v>
      </c>
      <c r="R199" s="90" t="s">
        <v>3260</v>
      </c>
      <c r="S199" s="90" t="s">
        <v>2339</v>
      </c>
      <c r="T199" s="90" t="s">
        <v>2305</v>
      </c>
      <c r="U199" s="90" t="s">
        <v>1640</v>
      </c>
      <c r="V199" s="88">
        <v>43143</v>
      </c>
      <c r="W199" s="88">
        <v>43143</v>
      </c>
      <c r="X199" s="90" t="s">
        <v>43</v>
      </c>
      <c r="Y199" s="90" t="s">
        <v>257</v>
      </c>
      <c r="Z199" s="90" t="s">
        <v>36</v>
      </c>
      <c r="AA199" s="91"/>
      <c r="AB199" s="91"/>
      <c r="AC199" s="90" t="s">
        <v>2051</v>
      </c>
      <c r="AD199" s="90" t="s">
        <v>267</v>
      </c>
      <c r="AE199" s="90" t="s">
        <v>1636</v>
      </c>
      <c r="AF199" s="90" t="s">
        <v>1947</v>
      </c>
      <c r="AG199" s="90" t="s">
        <v>2793</v>
      </c>
      <c r="AH199" s="90" t="s">
        <v>2384</v>
      </c>
      <c r="AI199" s="90" t="s">
        <v>2384</v>
      </c>
      <c r="AJ199" s="90" t="s">
        <v>2051</v>
      </c>
      <c r="AK199" s="90" t="s">
        <v>36</v>
      </c>
      <c r="AL199" s="90" t="s">
        <v>1635</v>
      </c>
      <c r="AM199" s="90" t="s">
        <v>2307</v>
      </c>
      <c r="AN199" s="90" t="s">
        <v>2054</v>
      </c>
      <c r="AO199" s="87" t="s">
        <v>1949</v>
      </c>
      <c r="AP199" s="87" t="s">
        <v>1950</v>
      </c>
      <c r="AQ199" s="90" t="s">
        <v>2556</v>
      </c>
      <c r="AR199" s="92">
        <v>38000</v>
      </c>
      <c r="AS199" s="92">
        <v>47000</v>
      </c>
      <c r="AT199" s="92">
        <v>59000</v>
      </c>
      <c r="AU199" s="87" t="s">
        <v>1972</v>
      </c>
      <c r="AV199" s="87" t="s">
        <v>1973</v>
      </c>
      <c r="AW199" s="91"/>
      <c r="AX199" s="91"/>
      <c r="AY199" s="91"/>
      <c r="AZ199" t="str">
        <f t="shared" si="18"/>
        <v>205380</v>
      </c>
      <c r="BA199" t="str">
        <f t="shared" si="19"/>
        <v>0077</v>
      </c>
      <c r="BB199" t="str">
        <f t="shared" si="23"/>
        <v>0000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>IFERROR(VLOOKUP(X199,'Status Map'!A:B,2,FALSE),"Status Code Not Mapped")</f>
        <v>Y</v>
      </c>
      <c r="BL199" t="str">
        <f>IFERROR(VLOOKUP(D199,'Invoice Exception Map'!A:C,3,FALSE),"N")</f>
        <v>N</v>
      </c>
      <c r="BM199">
        <f t="shared" si="20"/>
        <v>9</v>
      </c>
      <c r="BN199" t="str">
        <f t="shared" si="21"/>
        <v>KARLSSON</v>
      </c>
      <c r="BO199" t="str">
        <f t="shared" si="22"/>
        <v>NIKLAS</v>
      </c>
    </row>
    <row r="200" spans="1:67" ht="16" thickBot="1" x14ac:dyDescent="0.25">
      <c r="A200" s="90" t="s">
        <v>2298</v>
      </c>
      <c r="B200" s="90" t="s">
        <v>2299</v>
      </c>
      <c r="C200" s="90" t="s">
        <v>2300</v>
      </c>
      <c r="D200" s="90" t="s">
        <v>3593</v>
      </c>
      <c r="E200" s="90" t="s">
        <v>1953</v>
      </c>
      <c r="F200" s="90" t="s">
        <v>2557</v>
      </c>
      <c r="G200" s="90" t="s">
        <v>2318</v>
      </c>
      <c r="H200" s="90" t="s">
        <v>267</v>
      </c>
      <c r="I200" s="90" t="s">
        <v>1944</v>
      </c>
      <c r="J200" s="90" t="s">
        <v>1620</v>
      </c>
      <c r="K200" s="90" t="s">
        <v>247</v>
      </c>
      <c r="L200" s="90" t="s">
        <v>2003</v>
      </c>
      <c r="M200" s="87" t="s">
        <v>2003</v>
      </c>
      <c r="N200" s="87" t="s">
        <v>1999</v>
      </c>
      <c r="O200" s="88">
        <v>42914</v>
      </c>
      <c r="P200" s="89">
        <v>9.1999999999999993</v>
      </c>
      <c r="Q200" s="90" t="s">
        <v>3089</v>
      </c>
      <c r="R200" s="90" t="s">
        <v>3261</v>
      </c>
      <c r="S200" s="90" t="s">
        <v>2346</v>
      </c>
      <c r="T200" s="90" t="s">
        <v>2305</v>
      </c>
      <c r="U200" s="90" t="s">
        <v>1640</v>
      </c>
      <c r="V200" s="88">
        <v>42914</v>
      </c>
      <c r="W200" s="88">
        <v>42914</v>
      </c>
      <c r="X200" s="90" t="s">
        <v>43</v>
      </c>
      <c r="Y200" s="90" t="s">
        <v>257</v>
      </c>
      <c r="Z200" s="90" t="s">
        <v>36</v>
      </c>
      <c r="AA200" s="91"/>
      <c r="AB200" s="91"/>
      <c r="AC200" s="90" t="s">
        <v>2051</v>
      </c>
      <c r="AD200" s="90" t="s">
        <v>267</v>
      </c>
      <c r="AE200" s="90" t="s">
        <v>1636</v>
      </c>
      <c r="AF200" s="90" t="s">
        <v>2004</v>
      </c>
      <c r="AG200" s="90" t="s">
        <v>2793</v>
      </c>
      <c r="AH200" s="90" t="s">
        <v>2320</v>
      </c>
      <c r="AI200" s="90" t="s">
        <v>2320</v>
      </c>
      <c r="AJ200" s="90" t="s">
        <v>2051</v>
      </c>
      <c r="AK200" s="90" t="s">
        <v>36</v>
      </c>
      <c r="AL200" s="90" t="s">
        <v>1635</v>
      </c>
      <c r="AM200" s="90" t="s">
        <v>2307</v>
      </c>
      <c r="AN200" s="90" t="s">
        <v>2054</v>
      </c>
      <c r="AO200" s="87" t="s">
        <v>1949</v>
      </c>
      <c r="AP200" s="87" t="s">
        <v>1950</v>
      </c>
      <c r="AQ200" s="90" t="s">
        <v>2558</v>
      </c>
      <c r="AR200" s="91"/>
      <c r="AS200" s="91"/>
      <c r="AT200" s="91"/>
      <c r="AU200" s="87" t="s">
        <v>1972</v>
      </c>
      <c r="AV200" s="91"/>
      <c r="AW200" s="91"/>
      <c r="AX200" s="91"/>
      <c r="AY200" s="91"/>
      <c r="AZ200" t="str">
        <f t="shared" si="18"/>
        <v>205116</v>
      </c>
      <c r="BA200" t="str">
        <f t="shared" si="19"/>
        <v>0077</v>
      </c>
      <c r="BB200" t="str">
        <f t="shared" si="23"/>
        <v>0000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>IFERROR(VLOOKUP(X200,'Status Map'!A:B,2,FALSE),"Status Code Not Mapped")</f>
        <v>Y</v>
      </c>
      <c r="BL200" t="str">
        <f>IFERROR(VLOOKUP(D200,'Invoice Exception Map'!A:C,3,FALSE),"N")</f>
        <v>N</v>
      </c>
      <c r="BM200">
        <f t="shared" si="20"/>
        <v>9</v>
      </c>
      <c r="BN200" t="str">
        <f t="shared" si="21"/>
        <v>KARLSSON</v>
      </c>
      <c r="BO200" t="str">
        <f t="shared" si="22"/>
        <v>STEPHAN</v>
      </c>
    </row>
    <row r="201" spans="1:67" ht="16" thickBot="1" x14ac:dyDescent="0.25">
      <c r="A201" s="90" t="s">
        <v>2298</v>
      </c>
      <c r="B201" s="90" t="s">
        <v>2299</v>
      </c>
      <c r="C201" s="90" t="s">
        <v>2300</v>
      </c>
      <c r="D201" s="90" t="s">
        <v>3594</v>
      </c>
      <c r="E201" s="90" t="s">
        <v>1953</v>
      </c>
      <c r="F201" s="90" t="s">
        <v>2559</v>
      </c>
      <c r="G201" s="90" t="s">
        <v>2310</v>
      </c>
      <c r="H201" s="90" t="s">
        <v>267</v>
      </c>
      <c r="I201" s="90" t="s">
        <v>1944</v>
      </c>
      <c r="J201" s="90" t="s">
        <v>1620</v>
      </c>
      <c r="K201" s="90" t="s">
        <v>2012</v>
      </c>
      <c r="L201" s="90" t="s">
        <v>2311</v>
      </c>
      <c r="M201" s="87" t="s">
        <v>2007</v>
      </c>
      <c r="N201" s="87" t="s">
        <v>2013</v>
      </c>
      <c r="O201" s="88">
        <v>42984</v>
      </c>
      <c r="P201" s="89">
        <v>9</v>
      </c>
      <c r="Q201" s="90" t="s">
        <v>3086</v>
      </c>
      <c r="R201" s="90" t="s">
        <v>3254</v>
      </c>
      <c r="S201" s="90" t="s">
        <v>2312</v>
      </c>
      <c r="T201" s="90" t="s">
        <v>2305</v>
      </c>
      <c r="U201" s="90" t="s">
        <v>1640</v>
      </c>
      <c r="V201" s="88">
        <v>42984</v>
      </c>
      <c r="W201" s="88">
        <v>42984</v>
      </c>
      <c r="X201" s="90" t="s">
        <v>43</v>
      </c>
      <c r="Y201" s="90" t="s">
        <v>257</v>
      </c>
      <c r="Z201" s="90" t="s">
        <v>36</v>
      </c>
      <c r="AA201" s="91"/>
      <c r="AB201" s="91"/>
      <c r="AC201" s="90" t="s">
        <v>2051</v>
      </c>
      <c r="AD201" s="90" t="s">
        <v>267</v>
      </c>
      <c r="AE201" s="90" t="s">
        <v>1636</v>
      </c>
      <c r="AF201" s="90" t="s">
        <v>2004</v>
      </c>
      <c r="AG201" s="90" t="s">
        <v>3275</v>
      </c>
      <c r="AH201" s="90" t="s">
        <v>2306</v>
      </c>
      <c r="AI201" s="90" t="s">
        <v>2306</v>
      </c>
      <c r="AJ201" s="90" t="s">
        <v>2051</v>
      </c>
      <c r="AK201" s="90" t="s">
        <v>36</v>
      </c>
      <c r="AL201" s="90" t="s">
        <v>1635</v>
      </c>
      <c r="AM201" s="90" t="s">
        <v>2307</v>
      </c>
      <c r="AN201" s="90" t="s">
        <v>2054</v>
      </c>
      <c r="AO201" s="87" t="s">
        <v>1949</v>
      </c>
      <c r="AP201" s="87" t="s">
        <v>1950</v>
      </c>
      <c r="AQ201" s="90" t="s">
        <v>2560</v>
      </c>
      <c r="AR201" s="91"/>
      <c r="AS201" s="91"/>
      <c r="AT201" s="91"/>
      <c r="AU201" s="87" t="s">
        <v>1972</v>
      </c>
      <c r="AV201" s="91"/>
      <c r="AW201" s="91"/>
      <c r="AX201" s="91"/>
      <c r="AY201" s="91"/>
      <c r="AZ201" t="str">
        <f t="shared" si="18"/>
        <v>205377</v>
      </c>
      <c r="BA201" t="str">
        <f t="shared" si="19"/>
        <v>0077</v>
      </c>
      <c r="BB201" t="str">
        <f t="shared" si="23"/>
        <v>0000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>IFERROR(VLOOKUP(X201,'Status Map'!A:B,2,FALSE),"Status Code Not Mapped")</f>
        <v>Y</v>
      </c>
      <c r="BL201" t="str">
        <f>IFERROR(VLOOKUP(D201,'Invoice Exception Map'!A:C,3,FALSE),"N")</f>
        <v>N</v>
      </c>
      <c r="BM201">
        <f t="shared" si="20"/>
        <v>10</v>
      </c>
      <c r="BN201" t="str">
        <f t="shared" si="21"/>
        <v>KARPPINEN</v>
      </c>
      <c r="BO201" t="str">
        <f t="shared" si="22"/>
        <v>KEIJO</v>
      </c>
    </row>
    <row r="202" spans="1:67" ht="16" thickBot="1" x14ac:dyDescent="0.25">
      <c r="A202" s="90" t="s">
        <v>2298</v>
      </c>
      <c r="B202" s="90" t="s">
        <v>2299</v>
      </c>
      <c r="C202" s="90" t="s">
        <v>2300</v>
      </c>
      <c r="D202" s="90" t="s">
        <v>3595</v>
      </c>
      <c r="E202" s="90" t="s">
        <v>1953</v>
      </c>
      <c r="F202" s="90" t="s">
        <v>2561</v>
      </c>
      <c r="G202" s="90" t="s">
        <v>2323</v>
      </c>
      <c r="H202" s="90" t="s">
        <v>1943</v>
      </c>
      <c r="I202" s="90" t="s">
        <v>1944</v>
      </c>
      <c r="J202" s="90" t="s">
        <v>1620</v>
      </c>
      <c r="K202" s="90" t="s">
        <v>2324</v>
      </c>
      <c r="L202" s="90" t="s">
        <v>2324</v>
      </c>
      <c r="M202" s="87" t="s">
        <v>2010</v>
      </c>
      <c r="N202" s="87" t="s">
        <v>2325</v>
      </c>
      <c r="O202" s="88">
        <v>38341</v>
      </c>
      <c r="P202" s="89">
        <v>21.7</v>
      </c>
      <c r="Q202" s="90" t="s">
        <v>3087</v>
      </c>
      <c r="R202" s="90" t="s">
        <v>3257</v>
      </c>
      <c r="S202" s="90" t="s">
        <v>2326</v>
      </c>
      <c r="T202" s="90" t="s">
        <v>2305</v>
      </c>
      <c r="U202" s="90" t="s">
        <v>1640</v>
      </c>
      <c r="V202" s="88">
        <v>38341</v>
      </c>
      <c r="W202" s="88">
        <v>38341</v>
      </c>
      <c r="X202" s="90" t="s">
        <v>43</v>
      </c>
      <c r="Y202" s="90" t="s">
        <v>257</v>
      </c>
      <c r="Z202" s="90" t="s">
        <v>36</v>
      </c>
      <c r="AA202" s="91"/>
      <c r="AB202" s="91"/>
      <c r="AC202" s="90" t="s">
        <v>2051</v>
      </c>
      <c r="AD202" s="90" t="s">
        <v>267</v>
      </c>
      <c r="AE202" s="90" t="s">
        <v>1636</v>
      </c>
      <c r="AF202" s="90" t="s">
        <v>2004</v>
      </c>
      <c r="AG202" s="90" t="s">
        <v>2793</v>
      </c>
      <c r="AH202" s="90" t="s">
        <v>2327</v>
      </c>
      <c r="AI202" s="90" t="s">
        <v>2327</v>
      </c>
      <c r="AJ202" s="90" t="s">
        <v>2051</v>
      </c>
      <c r="AK202" s="90" t="s">
        <v>36</v>
      </c>
      <c r="AL202" s="90" t="s">
        <v>1635</v>
      </c>
      <c r="AM202" s="90" t="s">
        <v>2307</v>
      </c>
      <c r="AN202" s="90" t="s">
        <v>2054</v>
      </c>
      <c r="AO202" s="87" t="s">
        <v>1949</v>
      </c>
      <c r="AP202" s="87" t="s">
        <v>1950</v>
      </c>
      <c r="AQ202" s="90" t="s">
        <v>2562</v>
      </c>
      <c r="AR202" s="91"/>
      <c r="AS202" s="91"/>
      <c r="AT202" s="91"/>
      <c r="AU202" s="87" t="s">
        <v>1972</v>
      </c>
      <c r="AV202" s="91"/>
      <c r="AW202" s="91"/>
      <c r="AX202" s="91"/>
      <c r="AY202" s="91"/>
      <c r="AZ202" t="str">
        <f t="shared" si="18"/>
        <v>205384</v>
      </c>
      <c r="BA202" t="str">
        <f t="shared" si="19"/>
        <v>0077</v>
      </c>
      <c r="BB202" t="str">
        <f t="shared" si="23"/>
        <v>0000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>IFERROR(VLOOKUP(X202,'Status Map'!A:B,2,FALSE),"Status Code Not Mapped")</f>
        <v>Y</v>
      </c>
      <c r="BL202" t="str">
        <f>IFERROR(VLOOKUP(D202,'Invoice Exception Map'!A:C,3,FALSE),"N")</f>
        <v>N</v>
      </c>
      <c r="BM202">
        <f t="shared" si="20"/>
        <v>7</v>
      </c>
      <c r="BN202" t="str">
        <f t="shared" si="21"/>
        <v>KARTAL</v>
      </c>
      <c r="BO202" t="str">
        <f t="shared" si="22"/>
        <v>ERNIS</v>
      </c>
    </row>
    <row r="203" spans="1:67" ht="16" thickBot="1" x14ac:dyDescent="0.25">
      <c r="A203" s="90" t="s">
        <v>2298</v>
      </c>
      <c r="B203" s="90" t="s">
        <v>2299</v>
      </c>
      <c r="C203" s="90" t="s">
        <v>2300</v>
      </c>
      <c r="D203" s="90" t="s">
        <v>3596</v>
      </c>
      <c r="E203" s="90" t="s">
        <v>1953</v>
      </c>
      <c r="F203" s="90" t="s">
        <v>2563</v>
      </c>
      <c r="G203" s="90" t="s">
        <v>2310</v>
      </c>
      <c r="H203" s="90" t="s">
        <v>267</v>
      </c>
      <c r="I203" s="90" t="s">
        <v>1944</v>
      </c>
      <c r="J203" s="90" t="s">
        <v>1620</v>
      </c>
      <c r="K203" s="90" t="s">
        <v>2012</v>
      </c>
      <c r="L203" s="90" t="s">
        <v>2311</v>
      </c>
      <c r="M203" s="87" t="s">
        <v>2007</v>
      </c>
      <c r="N203" s="87" t="s">
        <v>2013</v>
      </c>
      <c r="O203" s="88">
        <v>43268</v>
      </c>
      <c r="P203" s="89">
        <v>8.1999999999999993</v>
      </c>
      <c r="Q203" s="90" t="s">
        <v>3086</v>
      </c>
      <c r="R203" s="90" t="s">
        <v>3253</v>
      </c>
      <c r="S203" s="90" t="s">
        <v>2304</v>
      </c>
      <c r="T203" s="90" t="s">
        <v>2305</v>
      </c>
      <c r="U203" s="90" t="s">
        <v>1640</v>
      </c>
      <c r="V203" s="88">
        <v>43268</v>
      </c>
      <c r="W203" s="88">
        <v>43268</v>
      </c>
      <c r="X203" s="90" t="s">
        <v>43</v>
      </c>
      <c r="Y203" s="90" t="s">
        <v>257</v>
      </c>
      <c r="Z203" s="90" t="s">
        <v>36</v>
      </c>
      <c r="AA203" s="91"/>
      <c r="AB203" s="91"/>
      <c r="AC203" s="90" t="s">
        <v>2051</v>
      </c>
      <c r="AD203" s="90" t="s">
        <v>267</v>
      </c>
      <c r="AE203" s="90" t="s">
        <v>1636</v>
      </c>
      <c r="AF203" s="90" t="s">
        <v>2004</v>
      </c>
      <c r="AG203" s="90" t="s">
        <v>2793</v>
      </c>
      <c r="AH203" s="90" t="s">
        <v>2306</v>
      </c>
      <c r="AI203" s="90" t="s">
        <v>2306</v>
      </c>
      <c r="AJ203" s="90" t="s">
        <v>2051</v>
      </c>
      <c r="AK203" s="90" t="s">
        <v>36</v>
      </c>
      <c r="AL203" s="90" t="s">
        <v>1635</v>
      </c>
      <c r="AM203" s="90" t="s">
        <v>2307</v>
      </c>
      <c r="AN203" s="90" t="s">
        <v>2054</v>
      </c>
      <c r="AO203" s="87" t="s">
        <v>1949</v>
      </c>
      <c r="AP203" s="87" t="s">
        <v>1950</v>
      </c>
      <c r="AQ203" s="90" t="s">
        <v>2564</v>
      </c>
      <c r="AR203" s="91"/>
      <c r="AS203" s="91"/>
      <c r="AT203" s="91"/>
      <c r="AU203" s="87" t="s">
        <v>1972</v>
      </c>
      <c r="AV203" s="91"/>
      <c r="AW203" s="91"/>
      <c r="AX203" s="91"/>
      <c r="AY203" s="91"/>
      <c r="AZ203" t="str">
        <f t="shared" si="18"/>
        <v>212110</v>
      </c>
      <c r="BA203" t="str">
        <f t="shared" si="19"/>
        <v>0077</v>
      </c>
      <c r="BB203" t="str">
        <f t="shared" si="23"/>
        <v>0000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>IFERROR(VLOOKUP(X203,'Status Map'!A:B,2,FALSE),"Status Code Not Mapped")</f>
        <v>Y</v>
      </c>
      <c r="BL203" t="str">
        <f>IFERROR(VLOOKUP(D203,'Invoice Exception Map'!A:C,3,FALSE),"N")</f>
        <v>N</v>
      </c>
      <c r="BM203">
        <f t="shared" si="20"/>
        <v>17</v>
      </c>
      <c r="BN203" t="str">
        <f t="shared" si="21"/>
        <v>KEMPE GYLLENSTEN</v>
      </c>
      <c r="BO203" t="str">
        <f t="shared" si="22"/>
        <v>ALEXANDER</v>
      </c>
    </row>
    <row r="204" spans="1:67" ht="16" thickBot="1" x14ac:dyDescent="0.25">
      <c r="A204" s="90" t="s">
        <v>2298</v>
      </c>
      <c r="B204" s="90" t="s">
        <v>2299</v>
      </c>
      <c r="C204" s="90" t="s">
        <v>2300</v>
      </c>
      <c r="D204" s="90" t="s">
        <v>3597</v>
      </c>
      <c r="E204" s="90" t="s">
        <v>1953</v>
      </c>
      <c r="F204" s="90" t="s">
        <v>2565</v>
      </c>
      <c r="G204" s="90" t="s">
        <v>2310</v>
      </c>
      <c r="H204" s="90" t="s">
        <v>267</v>
      </c>
      <c r="I204" s="90" t="s">
        <v>1944</v>
      </c>
      <c r="J204" s="90" t="s">
        <v>1620</v>
      </c>
      <c r="K204" s="90" t="s">
        <v>2012</v>
      </c>
      <c r="L204" s="90" t="s">
        <v>2311</v>
      </c>
      <c r="M204" s="87" t="s">
        <v>2007</v>
      </c>
      <c r="N204" s="87" t="s">
        <v>2013</v>
      </c>
      <c r="O204" s="88">
        <v>35275</v>
      </c>
      <c r="P204" s="89">
        <v>30.1</v>
      </c>
      <c r="Q204" s="90" t="s">
        <v>3086</v>
      </c>
      <c r="R204" s="90" t="s">
        <v>3253</v>
      </c>
      <c r="S204" s="90" t="s">
        <v>2304</v>
      </c>
      <c r="T204" s="90" t="s">
        <v>2305</v>
      </c>
      <c r="U204" s="90" t="s">
        <v>1640</v>
      </c>
      <c r="V204" s="88">
        <v>35275</v>
      </c>
      <c r="W204" s="88">
        <v>35275</v>
      </c>
      <c r="X204" s="90" t="s">
        <v>43</v>
      </c>
      <c r="Y204" s="90" t="s">
        <v>257</v>
      </c>
      <c r="Z204" s="90" t="s">
        <v>36</v>
      </c>
      <c r="AA204" s="91"/>
      <c r="AB204" s="91"/>
      <c r="AC204" s="90" t="s">
        <v>2051</v>
      </c>
      <c r="AD204" s="90" t="s">
        <v>267</v>
      </c>
      <c r="AE204" s="90" t="s">
        <v>1636</v>
      </c>
      <c r="AF204" s="90" t="s">
        <v>2004</v>
      </c>
      <c r="AG204" s="90" t="s">
        <v>2793</v>
      </c>
      <c r="AH204" s="90" t="s">
        <v>2306</v>
      </c>
      <c r="AI204" s="90" t="s">
        <v>2306</v>
      </c>
      <c r="AJ204" s="90" t="s">
        <v>2051</v>
      </c>
      <c r="AK204" s="90" t="s">
        <v>36</v>
      </c>
      <c r="AL204" s="90" t="s">
        <v>1635</v>
      </c>
      <c r="AM204" s="90" t="s">
        <v>2307</v>
      </c>
      <c r="AN204" s="90" t="s">
        <v>2054</v>
      </c>
      <c r="AO204" s="87" t="s">
        <v>1949</v>
      </c>
      <c r="AP204" s="87" t="s">
        <v>1950</v>
      </c>
      <c r="AQ204" s="90" t="s">
        <v>2566</v>
      </c>
      <c r="AR204" s="91"/>
      <c r="AS204" s="91"/>
      <c r="AT204" s="91"/>
      <c r="AU204" s="87" t="s">
        <v>1972</v>
      </c>
      <c r="AV204" s="91"/>
      <c r="AW204" s="91"/>
      <c r="AX204" s="91"/>
      <c r="AY204" s="91"/>
      <c r="AZ204" t="str">
        <f t="shared" si="18"/>
        <v>212110</v>
      </c>
      <c r="BA204" t="str">
        <f t="shared" si="19"/>
        <v>0077</v>
      </c>
      <c r="BB204" t="str">
        <f t="shared" si="23"/>
        <v>0000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>IFERROR(VLOOKUP(X204,'Status Map'!A:B,2,FALSE),"Status Code Not Mapped")</f>
        <v>Y</v>
      </c>
      <c r="BL204" t="str">
        <f>IFERROR(VLOOKUP(D204,'Invoice Exception Map'!A:C,3,FALSE),"N")</f>
        <v>N</v>
      </c>
      <c r="BM204">
        <f t="shared" si="20"/>
        <v>8</v>
      </c>
      <c r="BN204" t="str">
        <f t="shared" si="21"/>
        <v>KLASSON</v>
      </c>
      <c r="BO204" t="str">
        <f t="shared" si="22"/>
        <v>ANETTE</v>
      </c>
    </row>
    <row r="205" spans="1:67" ht="16" thickBot="1" x14ac:dyDescent="0.25">
      <c r="A205" s="90" t="s">
        <v>2298</v>
      </c>
      <c r="B205" s="90" t="s">
        <v>2299</v>
      </c>
      <c r="C205" s="90" t="s">
        <v>2300</v>
      </c>
      <c r="D205" s="90" t="s">
        <v>3598</v>
      </c>
      <c r="E205" s="90" t="s">
        <v>1953</v>
      </c>
      <c r="F205" s="90" t="s">
        <v>2567</v>
      </c>
      <c r="G205" s="90" t="s">
        <v>2310</v>
      </c>
      <c r="H205" s="90" t="s">
        <v>267</v>
      </c>
      <c r="I205" s="90" t="s">
        <v>1944</v>
      </c>
      <c r="J205" s="90" t="s">
        <v>1620</v>
      </c>
      <c r="K205" s="90" t="s">
        <v>2012</v>
      </c>
      <c r="L205" s="90" t="s">
        <v>2311</v>
      </c>
      <c r="M205" s="87" t="s">
        <v>2007</v>
      </c>
      <c r="N205" s="87" t="s">
        <v>2013</v>
      </c>
      <c r="O205" s="88">
        <v>37739</v>
      </c>
      <c r="P205" s="89">
        <v>23.4</v>
      </c>
      <c r="Q205" s="90" t="s">
        <v>3086</v>
      </c>
      <c r="R205" s="90" t="s">
        <v>3253</v>
      </c>
      <c r="S205" s="90" t="s">
        <v>2304</v>
      </c>
      <c r="T205" s="90" t="s">
        <v>2305</v>
      </c>
      <c r="U205" s="90" t="s">
        <v>1640</v>
      </c>
      <c r="V205" s="88">
        <v>37739</v>
      </c>
      <c r="W205" s="88">
        <v>37739</v>
      </c>
      <c r="X205" s="90" t="s">
        <v>43</v>
      </c>
      <c r="Y205" s="90" t="s">
        <v>257</v>
      </c>
      <c r="Z205" s="90" t="s">
        <v>36</v>
      </c>
      <c r="AA205" s="91"/>
      <c r="AB205" s="91"/>
      <c r="AC205" s="90" t="s">
        <v>2051</v>
      </c>
      <c r="AD205" s="90" t="s">
        <v>267</v>
      </c>
      <c r="AE205" s="90" t="s">
        <v>1636</v>
      </c>
      <c r="AF205" s="90" t="s">
        <v>2004</v>
      </c>
      <c r="AG205" s="90" t="s">
        <v>2793</v>
      </c>
      <c r="AH205" s="90" t="s">
        <v>2306</v>
      </c>
      <c r="AI205" s="90" t="s">
        <v>2306</v>
      </c>
      <c r="AJ205" s="90" t="s">
        <v>2051</v>
      </c>
      <c r="AK205" s="90" t="s">
        <v>36</v>
      </c>
      <c r="AL205" s="90" t="s">
        <v>1635</v>
      </c>
      <c r="AM205" s="90" t="s">
        <v>2307</v>
      </c>
      <c r="AN205" s="90" t="s">
        <v>2054</v>
      </c>
      <c r="AO205" s="87" t="s">
        <v>1949</v>
      </c>
      <c r="AP205" s="87" t="s">
        <v>1950</v>
      </c>
      <c r="AQ205" s="90" t="s">
        <v>2568</v>
      </c>
      <c r="AR205" s="91"/>
      <c r="AS205" s="91"/>
      <c r="AT205" s="91"/>
      <c r="AU205" s="87" t="s">
        <v>1972</v>
      </c>
      <c r="AV205" s="91"/>
      <c r="AW205" s="91"/>
      <c r="AX205" s="91"/>
      <c r="AY205" s="91"/>
      <c r="AZ205" t="str">
        <f t="shared" si="18"/>
        <v>212110</v>
      </c>
      <c r="BA205" t="str">
        <f t="shared" si="19"/>
        <v>0077</v>
      </c>
      <c r="BB205" t="str">
        <f t="shared" si="23"/>
        <v>0000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>IFERROR(VLOOKUP(X205,'Status Map'!A:B,2,FALSE),"Status Code Not Mapped")</f>
        <v>Y</v>
      </c>
      <c r="BL205" t="str">
        <f>IFERROR(VLOOKUP(D205,'Invoice Exception Map'!A:C,3,FALSE),"N")</f>
        <v>N</v>
      </c>
      <c r="BM205">
        <f t="shared" si="20"/>
        <v>8</v>
      </c>
      <c r="BN205" t="str">
        <f t="shared" si="21"/>
        <v>KLASSON</v>
      </c>
      <c r="BO205" t="str">
        <f t="shared" si="22"/>
        <v>HÅKAN</v>
      </c>
    </row>
    <row r="206" spans="1:67" ht="16" thickBot="1" x14ac:dyDescent="0.25">
      <c r="A206" s="90" t="s">
        <v>2298</v>
      </c>
      <c r="B206" s="90" t="s">
        <v>2299</v>
      </c>
      <c r="C206" s="90" t="s">
        <v>2300</v>
      </c>
      <c r="D206" s="90" t="s">
        <v>3599</v>
      </c>
      <c r="E206" s="90" t="s">
        <v>1953</v>
      </c>
      <c r="F206" s="90" t="s">
        <v>2569</v>
      </c>
      <c r="G206" s="90" t="s">
        <v>2318</v>
      </c>
      <c r="H206" s="90" t="s">
        <v>267</v>
      </c>
      <c r="I206" s="90" t="s">
        <v>1944</v>
      </c>
      <c r="J206" s="90" t="s">
        <v>1620</v>
      </c>
      <c r="K206" s="90" t="s">
        <v>247</v>
      </c>
      <c r="L206" s="90" t="s">
        <v>2003</v>
      </c>
      <c r="M206" s="87" t="s">
        <v>2003</v>
      </c>
      <c r="N206" s="87" t="s">
        <v>1999</v>
      </c>
      <c r="O206" s="88">
        <v>40483</v>
      </c>
      <c r="P206" s="89">
        <v>15.8</v>
      </c>
      <c r="Q206" s="90" t="s">
        <v>3089</v>
      </c>
      <c r="R206" s="90" t="s">
        <v>3261</v>
      </c>
      <c r="S206" s="90" t="s">
        <v>2346</v>
      </c>
      <c r="T206" s="90" t="s">
        <v>2305</v>
      </c>
      <c r="U206" s="90" t="s">
        <v>1640</v>
      </c>
      <c r="V206" s="88">
        <v>40483</v>
      </c>
      <c r="W206" s="88">
        <v>40483</v>
      </c>
      <c r="X206" s="90" t="s">
        <v>43</v>
      </c>
      <c r="Y206" s="90" t="s">
        <v>257</v>
      </c>
      <c r="Z206" s="90" t="s">
        <v>36</v>
      </c>
      <c r="AA206" s="91"/>
      <c r="AB206" s="91"/>
      <c r="AC206" s="90" t="s">
        <v>2051</v>
      </c>
      <c r="AD206" s="90" t="s">
        <v>267</v>
      </c>
      <c r="AE206" s="90" t="s">
        <v>1636</v>
      </c>
      <c r="AF206" s="90" t="s">
        <v>2004</v>
      </c>
      <c r="AG206" s="90" t="s">
        <v>2793</v>
      </c>
      <c r="AH206" s="90" t="s">
        <v>2320</v>
      </c>
      <c r="AI206" s="90" t="s">
        <v>2320</v>
      </c>
      <c r="AJ206" s="90" t="s">
        <v>2051</v>
      </c>
      <c r="AK206" s="90" t="s">
        <v>36</v>
      </c>
      <c r="AL206" s="90" t="s">
        <v>1635</v>
      </c>
      <c r="AM206" s="90" t="s">
        <v>2307</v>
      </c>
      <c r="AN206" s="90" t="s">
        <v>2054</v>
      </c>
      <c r="AO206" s="87" t="s">
        <v>1949</v>
      </c>
      <c r="AP206" s="87" t="s">
        <v>1950</v>
      </c>
      <c r="AQ206" s="90" t="s">
        <v>2570</v>
      </c>
      <c r="AR206" s="91"/>
      <c r="AS206" s="91"/>
      <c r="AT206" s="91"/>
      <c r="AU206" s="87" t="s">
        <v>1972</v>
      </c>
      <c r="AV206" s="91"/>
      <c r="AW206" s="91"/>
      <c r="AX206" s="91"/>
      <c r="AY206" s="91"/>
      <c r="AZ206" t="str">
        <f t="shared" si="18"/>
        <v>205116</v>
      </c>
      <c r="BA206" t="str">
        <f t="shared" si="19"/>
        <v>0077</v>
      </c>
      <c r="BB206" t="str">
        <f t="shared" si="23"/>
        <v>0000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>IFERROR(VLOOKUP(X206,'Status Map'!A:B,2,FALSE),"Status Code Not Mapped")</f>
        <v>Y</v>
      </c>
      <c r="BL206" t="str">
        <f>IFERROR(VLOOKUP(D206,'Invoice Exception Map'!A:C,3,FALSE),"N")</f>
        <v>N</v>
      </c>
      <c r="BM206">
        <f t="shared" si="20"/>
        <v>10</v>
      </c>
      <c r="BN206" t="str">
        <f t="shared" si="21"/>
        <v>KULLANDER</v>
      </c>
      <c r="BO206" t="str">
        <f t="shared" si="22"/>
        <v>JONNY</v>
      </c>
    </row>
    <row r="207" spans="1:67" ht="16" thickBot="1" x14ac:dyDescent="0.25">
      <c r="A207" s="90" t="s">
        <v>2298</v>
      </c>
      <c r="B207" s="90" t="s">
        <v>2299</v>
      </c>
      <c r="C207" s="90" t="s">
        <v>2300</v>
      </c>
      <c r="D207" s="90" t="s">
        <v>3600</v>
      </c>
      <c r="E207" s="90" t="s">
        <v>1953</v>
      </c>
      <c r="F207" s="90" t="s">
        <v>2571</v>
      </c>
      <c r="G207" s="90" t="s">
        <v>2302</v>
      </c>
      <c r="H207" s="90" t="s">
        <v>267</v>
      </c>
      <c r="I207" s="90" t="s">
        <v>1944</v>
      </c>
      <c r="J207" s="90" t="s">
        <v>1620</v>
      </c>
      <c r="K207" s="90" t="s">
        <v>2303</v>
      </c>
      <c r="L207" s="90" t="s">
        <v>2227</v>
      </c>
      <c r="M207" s="87" t="s">
        <v>2072</v>
      </c>
      <c r="N207" s="87" t="s">
        <v>1999</v>
      </c>
      <c r="O207" s="88">
        <v>40637</v>
      </c>
      <c r="P207" s="89">
        <v>15.4</v>
      </c>
      <c r="Q207" s="90" t="s">
        <v>3086</v>
      </c>
      <c r="R207" s="90" t="s">
        <v>3255</v>
      </c>
      <c r="S207" s="90" t="s">
        <v>2315</v>
      </c>
      <c r="T207" s="90" t="s">
        <v>2305</v>
      </c>
      <c r="U207" s="90" t="s">
        <v>1640</v>
      </c>
      <c r="V207" s="88">
        <v>40637</v>
      </c>
      <c r="W207" s="88">
        <v>40637</v>
      </c>
      <c r="X207" s="90" t="s">
        <v>43</v>
      </c>
      <c r="Y207" s="90" t="s">
        <v>257</v>
      </c>
      <c r="Z207" s="90" t="s">
        <v>36</v>
      </c>
      <c r="AA207" s="91"/>
      <c r="AB207" s="91"/>
      <c r="AC207" s="90" t="s">
        <v>2051</v>
      </c>
      <c r="AD207" s="90" t="s">
        <v>267</v>
      </c>
      <c r="AE207" s="90" t="s">
        <v>1636</v>
      </c>
      <c r="AF207" s="90" t="s">
        <v>2004</v>
      </c>
      <c r="AG207" s="90" t="s">
        <v>3271</v>
      </c>
      <c r="AH207" s="90" t="s">
        <v>2306</v>
      </c>
      <c r="AI207" s="90" t="s">
        <v>2306</v>
      </c>
      <c r="AJ207" s="90" t="s">
        <v>2051</v>
      </c>
      <c r="AK207" s="90" t="s">
        <v>36</v>
      </c>
      <c r="AL207" s="90" t="s">
        <v>1635</v>
      </c>
      <c r="AM207" s="90" t="s">
        <v>2307</v>
      </c>
      <c r="AN207" s="90" t="s">
        <v>2054</v>
      </c>
      <c r="AO207" s="87" t="s">
        <v>1949</v>
      </c>
      <c r="AP207" s="87" t="s">
        <v>1950</v>
      </c>
      <c r="AQ207" s="90" t="s">
        <v>2572</v>
      </c>
      <c r="AR207" s="91"/>
      <c r="AS207" s="91"/>
      <c r="AT207" s="91"/>
      <c r="AU207" s="87" t="s">
        <v>1972</v>
      </c>
      <c r="AV207" s="91"/>
      <c r="AW207" s="91"/>
      <c r="AX207" s="91"/>
      <c r="AY207" s="91"/>
      <c r="AZ207" t="str">
        <f t="shared" si="18"/>
        <v>205315</v>
      </c>
      <c r="BA207" t="str">
        <f t="shared" si="19"/>
        <v>0077</v>
      </c>
      <c r="BB207" t="str">
        <f t="shared" si="23"/>
        <v>0000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>IFERROR(VLOOKUP(X207,'Status Map'!A:B,2,FALSE),"Status Code Not Mapped")</f>
        <v>Y</v>
      </c>
      <c r="BL207" t="str">
        <f>IFERROR(VLOOKUP(D207,'Invoice Exception Map'!A:C,3,FALSE),"N")</f>
        <v>N</v>
      </c>
      <c r="BM207">
        <f t="shared" si="20"/>
        <v>10</v>
      </c>
      <c r="BN207" t="str">
        <f t="shared" si="21"/>
        <v>KYLEFJORD</v>
      </c>
      <c r="BO207" t="str">
        <f t="shared" si="22"/>
        <v>ELIN</v>
      </c>
    </row>
    <row r="208" spans="1:67" ht="16" thickBot="1" x14ac:dyDescent="0.25">
      <c r="A208" s="90" t="s">
        <v>2298</v>
      </c>
      <c r="B208" s="90" t="s">
        <v>2299</v>
      </c>
      <c r="C208" s="90" t="s">
        <v>2300</v>
      </c>
      <c r="D208" s="90" t="s">
        <v>3601</v>
      </c>
      <c r="E208" s="90" t="s">
        <v>1953</v>
      </c>
      <c r="F208" s="90" t="s">
        <v>2573</v>
      </c>
      <c r="G208" s="90" t="s">
        <v>2318</v>
      </c>
      <c r="H208" s="90" t="s">
        <v>267</v>
      </c>
      <c r="I208" s="90" t="s">
        <v>1944</v>
      </c>
      <c r="J208" s="90" t="s">
        <v>1620</v>
      </c>
      <c r="K208" s="90" t="s">
        <v>247</v>
      </c>
      <c r="L208" s="90" t="s">
        <v>2003</v>
      </c>
      <c r="M208" s="87" t="s">
        <v>2003</v>
      </c>
      <c r="N208" s="87" t="s">
        <v>1999</v>
      </c>
      <c r="O208" s="88">
        <v>40428</v>
      </c>
      <c r="P208" s="89">
        <v>16</v>
      </c>
      <c r="Q208" s="90" t="s">
        <v>3089</v>
      </c>
      <c r="R208" s="90" t="s">
        <v>3261</v>
      </c>
      <c r="S208" s="90" t="s">
        <v>2346</v>
      </c>
      <c r="T208" s="90" t="s">
        <v>2305</v>
      </c>
      <c r="U208" s="90" t="s">
        <v>1640</v>
      </c>
      <c r="V208" s="88">
        <v>40428</v>
      </c>
      <c r="W208" s="88">
        <v>40428</v>
      </c>
      <c r="X208" s="90" t="s">
        <v>43</v>
      </c>
      <c r="Y208" s="90" t="s">
        <v>257</v>
      </c>
      <c r="Z208" s="90" t="s">
        <v>36</v>
      </c>
      <c r="AA208" s="91"/>
      <c r="AB208" s="91"/>
      <c r="AC208" s="90" t="s">
        <v>2051</v>
      </c>
      <c r="AD208" s="90" t="s">
        <v>267</v>
      </c>
      <c r="AE208" s="90" t="s">
        <v>1636</v>
      </c>
      <c r="AF208" s="90" t="s">
        <v>2004</v>
      </c>
      <c r="AG208" s="90" t="s">
        <v>2793</v>
      </c>
      <c r="AH208" s="90" t="s">
        <v>2320</v>
      </c>
      <c r="AI208" s="90" t="s">
        <v>2320</v>
      </c>
      <c r="AJ208" s="90" t="s">
        <v>2051</v>
      </c>
      <c r="AK208" s="90" t="s">
        <v>36</v>
      </c>
      <c r="AL208" s="90" t="s">
        <v>1635</v>
      </c>
      <c r="AM208" s="90" t="s">
        <v>2307</v>
      </c>
      <c r="AN208" s="90" t="s">
        <v>2054</v>
      </c>
      <c r="AO208" s="87" t="s">
        <v>1949</v>
      </c>
      <c r="AP208" s="87" t="s">
        <v>1950</v>
      </c>
      <c r="AQ208" s="90" t="s">
        <v>2574</v>
      </c>
      <c r="AR208" s="91"/>
      <c r="AS208" s="91"/>
      <c r="AT208" s="91"/>
      <c r="AU208" s="87" t="s">
        <v>1972</v>
      </c>
      <c r="AV208" s="91"/>
      <c r="AW208" s="91"/>
      <c r="AX208" s="91"/>
      <c r="AY208" s="91"/>
      <c r="AZ208" t="str">
        <f t="shared" si="18"/>
        <v>205116</v>
      </c>
      <c r="BA208" t="str">
        <f t="shared" si="19"/>
        <v>0077</v>
      </c>
      <c r="BB208" t="str">
        <f t="shared" si="23"/>
        <v>0000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>IFERROR(VLOOKUP(X208,'Status Map'!A:B,2,FALSE),"Status Code Not Mapped")</f>
        <v>Y</v>
      </c>
      <c r="BL208" t="str">
        <f>IFERROR(VLOOKUP(D208,'Invoice Exception Map'!A:C,3,FALSE),"N")</f>
        <v>N</v>
      </c>
      <c r="BM208">
        <f t="shared" si="20"/>
        <v>8</v>
      </c>
      <c r="BN208" t="str">
        <f t="shared" si="21"/>
        <v>LAMBERG</v>
      </c>
      <c r="BO208" t="str">
        <f t="shared" si="22"/>
        <v>KENNETH</v>
      </c>
    </row>
    <row r="209" spans="1:67" ht="16" thickBot="1" x14ac:dyDescent="0.25">
      <c r="A209" s="90" t="s">
        <v>2298</v>
      </c>
      <c r="B209" s="90" t="s">
        <v>2299</v>
      </c>
      <c r="C209" s="90" t="s">
        <v>2300</v>
      </c>
      <c r="D209" s="90" t="s">
        <v>3602</v>
      </c>
      <c r="E209" s="90" t="s">
        <v>1953</v>
      </c>
      <c r="F209" s="90" t="s">
        <v>2575</v>
      </c>
      <c r="G209" s="90" t="s">
        <v>2323</v>
      </c>
      <c r="H209" s="90" t="s">
        <v>1943</v>
      </c>
      <c r="I209" s="90" t="s">
        <v>1944</v>
      </c>
      <c r="J209" s="90" t="s">
        <v>1620</v>
      </c>
      <c r="K209" s="90" t="s">
        <v>2324</v>
      </c>
      <c r="L209" s="90" t="s">
        <v>2324</v>
      </c>
      <c r="M209" s="87" t="s">
        <v>2010</v>
      </c>
      <c r="N209" s="87" t="s">
        <v>2325</v>
      </c>
      <c r="O209" s="88">
        <v>42037</v>
      </c>
      <c r="P209" s="89">
        <v>11.5</v>
      </c>
      <c r="Q209" s="90" t="s">
        <v>3087</v>
      </c>
      <c r="R209" s="90" t="s">
        <v>3257</v>
      </c>
      <c r="S209" s="90" t="s">
        <v>2326</v>
      </c>
      <c r="T209" s="90" t="s">
        <v>2305</v>
      </c>
      <c r="U209" s="90" t="s">
        <v>1640</v>
      </c>
      <c r="V209" s="88">
        <v>42037</v>
      </c>
      <c r="W209" s="88">
        <v>42037</v>
      </c>
      <c r="X209" s="90" t="s">
        <v>43</v>
      </c>
      <c r="Y209" s="90" t="s">
        <v>257</v>
      </c>
      <c r="Z209" s="90" t="s">
        <v>36</v>
      </c>
      <c r="AA209" s="91"/>
      <c r="AB209" s="91"/>
      <c r="AC209" s="90" t="s">
        <v>2051</v>
      </c>
      <c r="AD209" s="90" t="s">
        <v>267</v>
      </c>
      <c r="AE209" s="90" t="s">
        <v>1636</v>
      </c>
      <c r="AF209" s="90" t="s">
        <v>2004</v>
      </c>
      <c r="AG209" s="90" t="s">
        <v>2793</v>
      </c>
      <c r="AH209" s="90" t="s">
        <v>2327</v>
      </c>
      <c r="AI209" s="90" t="s">
        <v>2327</v>
      </c>
      <c r="AJ209" s="90" t="s">
        <v>2051</v>
      </c>
      <c r="AK209" s="90" t="s">
        <v>36</v>
      </c>
      <c r="AL209" s="90" t="s">
        <v>1635</v>
      </c>
      <c r="AM209" s="90" t="s">
        <v>2307</v>
      </c>
      <c r="AN209" s="90" t="s">
        <v>2054</v>
      </c>
      <c r="AO209" s="87" t="s">
        <v>1949</v>
      </c>
      <c r="AP209" s="87" t="s">
        <v>1950</v>
      </c>
      <c r="AQ209" s="90" t="s">
        <v>2576</v>
      </c>
      <c r="AR209" s="91"/>
      <c r="AS209" s="91"/>
      <c r="AT209" s="91"/>
      <c r="AU209" s="87" t="s">
        <v>1972</v>
      </c>
      <c r="AV209" s="91"/>
      <c r="AW209" s="91"/>
      <c r="AX209" s="91"/>
      <c r="AY209" s="91"/>
      <c r="AZ209" t="str">
        <f t="shared" si="18"/>
        <v>205384</v>
      </c>
      <c r="BA209" t="str">
        <f t="shared" si="19"/>
        <v>0077</v>
      </c>
      <c r="BB209" t="str">
        <f t="shared" si="23"/>
        <v>0000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>IFERROR(VLOOKUP(X209,'Status Map'!A:B,2,FALSE),"Status Code Not Mapped")</f>
        <v>Y</v>
      </c>
      <c r="BL209" t="str">
        <f>IFERROR(VLOOKUP(D209,'Invoice Exception Map'!A:C,3,FALSE),"N")</f>
        <v>N</v>
      </c>
      <c r="BM209">
        <f t="shared" si="20"/>
        <v>7</v>
      </c>
      <c r="BN209" t="str">
        <f t="shared" si="21"/>
        <v>LINDER</v>
      </c>
      <c r="BO209" t="str">
        <f t="shared" si="22"/>
        <v>ANDREAS</v>
      </c>
    </row>
    <row r="210" spans="1:67" ht="16" thickBot="1" x14ac:dyDescent="0.25">
      <c r="A210" s="90" t="s">
        <v>2298</v>
      </c>
      <c r="B210" s="90" t="s">
        <v>2299</v>
      </c>
      <c r="C210" s="90" t="s">
        <v>2300</v>
      </c>
      <c r="D210" s="90" t="s">
        <v>3603</v>
      </c>
      <c r="E210" s="90" t="s">
        <v>1953</v>
      </c>
      <c r="F210" s="90" t="s">
        <v>2577</v>
      </c>
      <c r="G210" s="90" t="s">
        <v>2302</v>
      </c>
      <c r="H210" s="90" t="s">
        <v>267</v>
      </c>
      <c r="I210" s="90" t="s">
        <v>1944</v>
      </c>
      <c r="J210" s="90" t="s">
        <v>1620</v>
      </c>
      <c r="K210" s="90" t="s">
        <v>2303</v>
      </c>
      <c r="L210" s="90" t="s">
        <v>2227</v>
      </c>
      <c r="M210" s="87" t="s">
        <v>2072</v>
      </c>
      <c r="N210" s="87" t="s">
        <v>1999</v>
      </c>
      <c r="O210" s="88">
        <v>35947</v>
      </c>
      <c r="P210" s="89">
        <v>28.2</v>
      </c>
      <c r="Q210" s="90" t="s">
        <v>3086</v>
      </c>
      <c r="R210" s="90" t="s">
        <v>3276</v>
      </c>
      <c r="S210" s="90" t="s">
        <v>2578</v>
      </c>
      <c r="T210" s="90" t="s">
        <v>2305</v>
      </c>
      <c r="U210" s="90" t="s">
        <v>1640</v>
      </c>
      <c r="V210" s="88">
        <v>35947</v>
      </c>
      <c r="W210" s="88">
        <v>35947</v>
      </c>
      <c r="X210" s="90" t="s">
        <v>43</v>
      </c>
      <c r="Y210" s="90" t="s">
        <v>257</v>
      </c>
      <c r="Z210" s="90" t="s">
        <v>36</v>
      </c>
      <c r="AA210" s="91"/>
      <c r="AB210" s="91"/>
      <c r="AC210" s="90" t="s">
        <v>2051</v>
      </c>
      <c r="AD210" s="90" t="s">
        <v>267</v>
      </c>
      <c r="AE210" s="90" t="s">
        <v>1636</v>
      </c>
      <c r="AF210" s="90" t="s">
        <v>2004</v>
      </c>
      <c r="AG210" s="90" t="s">
        <v>2793</v>
      </c>
      <c r="AH210" s="90" t="s">
        <v>1988</v>
      </c>
      <c r="AI210" s="90" t="s">
        <v>1988</v>
      </c>
      <c r="AJ210" s="90" t="s">
        <v>2051</v>
      </c>
      <c r="AK210" s="90" t="s">
        <v>36</v>
      </c>
      <c r="AL210" s="90" t="s">
        <v>1635</v>
      </c>
      <c r="AM210" s="90" t="s">
        <v>2307</v>
      </c>
      <c r="AN210" s="90" t="s">
        <v>2054</v>
      </c>
      <c r="AO210" s="87" t="s">
        <v>1949</v>
      </c>
      <c r="AP210" s="87" t="s">
        <v>1950</v>
      </c>
      <c r="AQ210" s="90" t="s">
        <v>2579</v>
      </c>
      <c r="AR210" s="91"/>
      <c r="AS210" s="91"/>
      <c r="AT210" s="91"/>
      <c r="AU210" s="87" t="s">
        <v>1972</v>
      </c>
      <c r="AV210" s="91"/>
      <c r="AW210" s="91"/>
      <c r="AX210" s="91"/>
      <c r="AY210" s="91"/>
      <c r="AZ210" t="str">
        <f t="shared" si="18"/>
        <v>211474</v>
      </c>
      <c r="BA210" t="str">
        <f t="shared" si="19"/>
        <v>0077</v>
      </c>
      <c r="BB210" t="str">
        <f t="shared" si="23"/>
        <v>0000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>IFERROR(VLOOKUP(X210,'Status Map'!A:B,2,FALSE),"Status Code Not Mapped")</f>
        <v>Y</v>
      </c>
      <c r="BL210" t="str">
        <f>IFERROR(VLOOKUP(D210,'Invoice Exception Map'!A:C,3,FALSE),"N")</f>
        <v>N</v>
      </c>
      <c r="BM210">
        <f t="shared" si="20"/>
        <v>10</v>
      </c>
      <c r="BN210" t="str">
        <f t="shared" si="21"/>
        <v>LINDQVIST</v>
      </c>
      <c r="BO210" t="str">
        <f t="shared" si="22"/>
        <v>EMANUEL</v>
      </c>
    </row>
    <row r="211" spans="1:67" ht="16" thickBot="1" x14ac:dyDescent="0.25">
      <c r="A211" s="90" t="s">
        <v>2298</v>
      </c>
      <c r="B211" s="90" t="s">
        <v>2299</v>
      </c>
      <c r="C211" s="90" t="s">
        <v>2300</v>
      </c>
      <c r="D211" s="90" t="s">
        <v>3604</v>
      </c>
      <c r="E211" s="90" t="s">
        <v>1953</v>
      </c>
      <c r="F211" s="90" t="s">
        <v>2580</v>
      </c>
      <c r="G211" s="90" t="s">
        <v>2318</v>
      </c>
      <c r="H211" s="90" t="s">
        <v>267</v>
      </c>
      <c r="I211" s="90" t="s">
        <v>1944</v>
      </c>
      <c r="J211" s="90" t="s">
        <v>1620</v>
      </c>
      <c r="K211" s="90" t="s">
        <v>247</v>
      </c>
      <c r="L211" s="90" t="s">
        <v>2003</v>
      </c>
      <c r="M211" s="87" t="s">
        <v>2003</v>
      </c>
      <c r="N211" s="87" t="s">
        <v>1999</v>
      </c>
      <c r="O211" s="88">
        <v>38341</v>
      </c>
      <c r="P211" s="89">
        <v>21.7</v>
      </c>
      <c r="Q211" s="90" t="s">
        <v>3089</v>
      </c>
      <c r="R211" s="90" t="s">
        <v>3261</v>
      </c>
      <c r="S211" s="90" t="s">
        <v>2346</v>
      </c>
      <c r="T211" s="90" t="s">
        <v>2305</v>
      </c>
      <c r="U211" s="90" t="s">
        <v>1640</v>
      </c>
      <c r="V211" s="88">
        <v>38341</v>
      </c>
      <c r="W211" s="88">
        <v>38341</v>
      </c>
      <c r="X211" s="90" t="s">
        <v>43</v>
      </c>
      <c r="Y211" s="90" t="s">
        <v>257</v>
      </c>
      <c r="Z211" s="90" t="s">
        <v>36</v>
      </c>
      <c r="AA211" s="91"/>
      <c r="AB211" s="91"/>
      <c r="AC211" s="90" t="s">
        <v>2051</v>
      </c>
      <c r="AD211" s="90" t="s">
        <v>267</v>
      </c>
      <c r="AE211" s="90" t="s">
        <v>1636</v>
      </c>
      <c r="AF211" s="90" t="s">
        <v>2004</v>
      </c>
      <c r="AG211" s="90" t="s">
        <v>2793</v>
      </c>
      <c r="AH211" s="90" t="s">
        <v>2320</v>
      </c>
      <c r="AI211" s="90" t="s">
        <v>2320</v>
      </c>
      <c r="AJ211" s="90" t="s">
        <v>2051</v>
      </c>
      <c r="AK211" s="90" t="s">
        <v>36</v>
      </c>
      <c r="AL211" s="90" t="s">
        <v>1635</v>
      </c>
      <c r="AM211" s="90" t="s">
        <v>2307</v>
      </c>
      <c r="AN211" s="90" t="s">
        <v>2054</v>
      </c>
      <c r="AO211" s="87" t="s">
        <v>1949</v>
      </c>
      <c r="AP211" s="87" t="s">
        <v>1950</v>
      </c>
      <c r="AQ211" s="90" t="s">
        <v>2581</v>
      </c>
      <c r="AR211" s="91"/>
      <c r="AS211" s="91"/>
      <c r="AT211" s="91"/>
      <c r="AU211" s="87" t="s">
        <v>1972</v>
      </c>
      <c r="AV211" s="91"/>
      <c r="AW211" s="91"/>
      <c r="AX211" s="91"/>
      <c r="AY211" s="91"/>
      <c r="AZ211" t="str">
        <f t="shared" si="18"/>
        <v>205116</v>
      </c>
      <c r="BA211" t="str">
        <f t="shared" si="19"/>
        <v>0077</v>
      </c>
      <c r="BB211" t="str">
        <f t="shared" si="23"/>
        <v>0000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>IFERROR(VLOOKUP(X211,'Status Map'!A:B,2,FALSE),"Status Code Not Mapped")</f>
        <v>Y</v>
      </c>
      <c r="BL211" t="str">
        <f>IFERROR(VLOOKUP(D211,'Invoice Exception Map'!A:C,3,FALSE),"N")</f>
        <v>N</v>
      </c>
      <c r="BM211">
        <f t="shared" si="20"/>
        <v>10</v>
      </c>
      <c r="BN211" t="str">
        <f t="shared" si="21"/>
        <v>LINDSTRÖM</v>
      </c>
      <c r="BO211" t="str">
        <f t="shared" si="22"/>
        <v>ANDERS</v>
      </c>
    </row>
    <row r="212" spans="1:67" ht="16" thickBot="1" x14ac:dyDescent="0.25">
      <c r="A212" s="90" t="s">
        <v>2298</v>
      </c>
      <c r="B212" s="90" t="s">
        <v>2299</v>
      </c>
      <c r="C212" s="90" t="s">
        <v>2300</v>
      </c>
      <c r="D212" s="90" t="s">
        <v>3605</v>
      </c>
      <c r="E212" s="90" t="s">
        <v>1953</v>
      </c>
      <c r="F212" s="90" t="s">
        <v>2582</v>
      </c>
      <c r="G212" s="90" t="s">
        <v>2302</v>
      </c>
      <c r="H212" s="90" t="s">
        <v>267</v>
      </c>
      <c r="I212" s="90" t="s">
        <v>1944</v>
      </c>
      <c r="J212" s="90" t="s">
        <v>1620</v>
      </c>
      <c r="K212" s="90" t="s">
        <v>2303</v>
      </c>
      <c r="L212" s="90" t="s">
        <v>2227</v>
      </c>
      <c r="M212" s="87" t="s">
        <v>2072</v>
      </c>
      <c r="N212" s="87" t="s">
        <v>1999</v>
      </c>
      <c r="O212" s="88">
        <v>43248</v>
      </c>
      <c r="P212" s="89">
        <v>8.3000000000000007</v>
      </c>
      <c r="Q212" s="90" t="s">
        <v>3086</v>
      </c>
      <c r="R212" s="90" t="s">
        <v>3253</v>
      </c>
      <c r="S212" s="90" t="s">
        <v>2304</v>
      </c>
      <c r="T212" s="90" t="s">
        <v>2305</v>
      </c>
      <c r="U212" s="90" t="s">
        <v>1640</v>
      </c>
      <c r="V212" s="88">
        <v>43248</v>
      </c>
      <c r="W212" s="88">
        <v>43248</v>
      </c>
      <c r="X212" s="90" t="s">
        <v>43</v>
      </c>
      <c r="Y212" s="90" t="s">
        <v>257</v>
      </c>
      <c r="Z212" s="90" t="s">
        <v>36</v>
      </c>
      <c r="AA212" s="91"/>
      <c r="AB212" s="91"/>
      <c r="AC212" s="90" t="s">
        <v>2051</v>
      </c>
      <c r="AD212" s="90" t="s">
        <v>267</v>
      </c>
      <c r="AE212" s="90" t="s">
        <v>1636</v>
      </c>
      <c r="AF212" s="90" t="s">
        <v>2004</v>
      </c>
      <c r="AG212" s="90" t="s">
        <v>2793</v>
      </c>
      <c r="AH212" s="90" t="s">
        <v>2306</v>
      </c>
      <c r="AI212" s="90" t="s">
        <v>2306</v>
      </c>
      <c r="AJ212" s="90" t="s">
        <v>2051</v>
      </c>
      <c r="AK212" s="90" t="s">
        <v>36</v>
      </c>
      <c r="AL212" s="90" t="s">
        <v>1635</v>
      </c>
      <c r="AM212" s="90" t="s">
        <v>2307</v>
      </c>
      <c r="AN212" s="90" t="s">
        <v>2054</v>
      </c>
      <c r="AO212" s="87" t="s">
        <v>1949</v>
      </c>
      <c r="AP212" s="87" t="s">
        <v>1950</v>
      </c>
      <c r="AQ212" s="90" t="s">
        <v>2583</v>
      </c>
      <c r="AR212" s="91"/>
      <c r="AS212" s="91"/>
      <c r="AT212" s="91"/>
      <c r="AU212" s="87" t="s">
        <v>1972</v>
      </c>
      <c r="AV212" s="91"/>
      <c r="AW212" s="91"/>
      <c r="AX212" s="91"/>
      <c r="AY212" s="91"/>
      <c r="AZ212" t="str">
        <f t="shared" si="18"/>
        <v>212110</v>
      </c>
      <c r="BA212" t="str">
        <f t="shared" si="19"/>
        <v>0077</v>
      </c>
      <c r="BB212" t="str">
        <f t="shared" si="23"/>
        <v>0000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>IFERROR(VLOOKUP(X212,'Status Map'!A:B,2,FALSE),"Status Code Not Mapped")</f>
        <v>Y</v>
      </c>
      <c r="BL212" t="str">
        <f>IFERROR(VLOOKUP(D212,'Invoice Exception Map'!A:C,3,FALSE),"N")</f>
        <v>N</v>
      </c>
      <c r="BM212">
        <f t="shared" si="20"/>
        <v>10</v>
      </c>
      <c r="BN212" t="str">
        <f t="shared" si="21"/>
        <v>LINDSTRÖM</v>
      </c>
      <c r="BO212" t="str">
        <f t="shared" si="22"/>
        <v>JOHAN</v>
      </c>
    </row>
    <row r="213" spans="1:67" ht="16" thickBot="1" x14ac:dyDescent="0.25">
      <c r="A213" s="90" t="s">
        <v>2298</v>
      </c>
      <c r="B213" s="90" t="s">
        <v>2299</v>
      </c>
      <c r="C213" s="90" t="s">
        <v>2300</v>
      </c>
      <c r="D213" s="90" t="s">
        <v>3606</v>
      </c>
      <c r="E213" s="90" t="s">
        <v>1953</v>
      </c>
      <c r="F213" s="90" t="s">
        <v>2584</v>
      </c>
      <c r="G213" s="90" t="s">
        <v>2310</v>
      </c>
      <c r="H213" s="90" t="s">
        <v>267</v>
      </c>
      <c r="I213" s="90" t="s">
        <v>1944</v>
      </c>
      <c r="J213" s="90" t="s">
        <v>1620</v>
      </c>
      <c r="K213" s="90" t="s">
        <v>2012</v>
      </c>
      <c r="L213" s="90" t="s">
        <v>2311</v>
      </c>
      <c r="M213" s="87" t="s">
        <v>2007</v>
      </c>
      <c r="N213" s="87" t="s">
        <v>2013</v>
      </c>
      <c r="O213" s="88">
        <v>40196</v>
      </c>
      <c r="P213" s="89">
        <v>16.600000000000001</v>
      </c>
      <c r="Q213" s="90" t="s">
        <v>3086</v>
      </c>
      <c r="R213" s="90" t="s">
        <v>3255</v>
      </c>
      <c r="S213" s="90" t="s">
        <v>2315</v>
      </c>
      <c r="T213" s="90" t="s">
        <v>2305</v>
      </c>
      <c r="U213" s="90" t="s">
        <v>1640</v>
      </c>
      <c r="V213" s="88">
        <v>40196</v>
      </c>
      <c r="W213" s="88">
        <v>40196</v>
      </c>
      <c r="X213" s="90" t="s">
        <v>43</v>
      </c>
      <c r="Y213" s="90" t="s">
        <v>257</v>
      </c>
      <c r="Z213" s="90" t="s">
        <v>36</v>
      </c>
      <c r="AA213" s="91"/>
      <c r="AB213" s="91"/>
      <c r="AC213" s="90" t="s">
        <v>2051</v>
      </c>
      <c r="AD213" s="90" t="s">
        <v>267</v>
      </c>
      <c r="AE213" s="90" t="s">
        <v>1636</v>
      </c>
      <c r="AF213" s="90" t="s">
        <v>2004</v>
      </c>
      <c r="AG213" s="90" t="s">
        <v>3265</v>
      </c>
      <c r="AH213" s="90" t="s">
        <v>2306</v>
      </c>
      <c r="AI213" s="90" t="s">
        <v>2306</v>
      </c>
      <c r="AJ213" s="90" t="s">
        <v>2051</v>
      </c>
      <c r="AK213" s="90" t="s">
        <v>36</v>
      </c>
      <c r="AL213" s="90" t="s">
        <v>1635</v>
      </c>
      <c r="AM213" s="90" t="s">
        <v>2307</v>
      </c>
      <c r="AN213" s="90" t="s">
        <v>2054</v>
      </c>
      <c r="AO213" s="87" t="s">
        <v>1949</v>
      </c>
      <c r="AP213" s="87" t="s">
        <v>1950</v>
      </c>
      <c r="AQ213" s="90" t="s">
        <v>2585</v>
      </c>
      <c r="AR213" s="91"/>
      <c r="AS213" s="91"/>
      <c r="AT213" s="91"/>
      <c r="AU213" s="87" t="s">
        <v>1972</v>
      </c>
      <c r="AV213" s="91"/>
      <c r="AW213" s="91"/>
      <c r="AX213" s="91"/>
      <c r="AY213" s="91"/>
      <c r="AZ213" t="str">
        <f t="shared" si="18"/>
        <v>205315</v>
      </c>
      <c r="BA213" t="str">
        <f t="shared" si="19"/>
        <v>0077</v>
      </c>
      <c r="BB213" t="str">
        <f t="shared" si="23"/>
        <v>0000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>IFERROR(VLOOKUP(X213,'Status Map'!A:B,2,FALSE),"Status Code Not Mapped")</f>
        <v>Y</v>
      </c>
      <c r="BL213" t="str">
        <f>IFERROR(VLOOKUP(D213,'Invoice Exception Map'!A:C,3,FALSE),"N")</f>
        <v>N</v>
      </c>
      <c r="BM213">
        <f t="shared" si="20"/>
        <v>8</v>
      </c>
      <c r="BN213" t="str">
        <f t="shared" si="21"/>
        <v>LÖVGREN</v>
      </c>
      <c r="BO213" t="str">
        <f t="shared" si="22"/>
        <v>ANGELIKA</v>
      </c>
    </row>
    <row r="214" spans="1:67" ht="16" thickBot="1" x14ac:dyDescent="0.25">
      <c r="A214" s="90" t="s">
        <v>2298</v>
      </c>
      <c r="B214" s="90" t="s">
        <v>2299</v>
      </c>
      <c r="C214" s="90" t="s">
        <v>2300</v>
      </c>
      <c r="D214" s="90" t="s">
        <v>3607</v>
      </c>
      <c r="E214" s="90" t="s">
        <v>1953</v>
      </c>
      <c r="F214" s="90" t="s">
        <v>2586</v>
      </c>
      <c r="G214" s="90" t="s">
        <v>2302</v>
      </c>
      <c r="H214" s="90" t="s">
        <v>267</v>
      </c>
      <c r="I214" s="90" t="s">
        <v>1944</v>
      </c>
      <c r="J214" s="90" t="s">
        <v>1620</v>
      </c>
      <c r="K214" s="90" t="s">
        <v>2303</v>
      </c>
      <c r="L214" s="90" t="s">
        <v>2227</v>
      </c>
      <c r="M214" s="87" t="s">
        <v>2072</v>
      </c>
      <c r="N214" s="87" t="s">
        <v>1999</v>
      </c>
      <c r="O214" s="88">
        <v>37368</v>
      </c>
      <c r="P214" s="89">
        <v>24.4</v>
      </c>
      <c r="Q214" s="90" t="s">
        <v>3086</v>
      </c>
      <c r="R214" s="90" t="s">
        <v>3253</v>
      </c>
      <c r="S214" s="90" t="s">
        <v>2304</v>
      </c>
      <c r="T214" s="90" t="s">
        <v>2305</v>
      </c>
      <c r="U214" s="90" t="s">
        <v>1640</v>
      </c>
      <c r="V214" s="88">
        <v>37368</v>
      </c>
      <c r="W214" s="88">
        <v>37368</v>
      </c>
      <c r="X214" s="90" t="s">
        <v>43</v>
      </c>
      <c r="Y214" s="90" t="s">
        <v>257</v>
      </c>
      <c r="Z214" s="90" t="s">
        <v>36</v>
      </c>
      <c r="AA214" s="91"/>
      <c r="AB214" s="91"/>
      <c r="AC214" s="90" t="s">
        <v>2051</v>
      </c>
      <c r="AD214" s="90" t="s">
        <v>267</v>
      </c>
      <c r="AE214" s="90" t="s">
        <v>1636</v>
      </c>
      <c r="AF214" s="90" t="s">
        <v>2004</v>
      </c>
      <c r="AG214" s="90" t="s">
        <v>2793</v>
      </c>
      <c r="AH214" s="90" t="s">
        <v>2306</v>
      </c>
      <c r="AI214" s="90" t="s">
        <v>2306</v>
      </c>
      <c r="AJ214" s="90" t="s">
        <v>2051</v>
      </c>
      <c r="AK214" s="90" t="s">
        <v>36</v>
      </c>
      <c r="AL214" s="90" t="s">
        <v>1635</v>
      </c>
      <c r="AM214" s="90" t="s">
        <v>2307</v>
      </c>
      <c r="AN214" s="90" t="s">
        <v>2054</v>
      </c>
      <c r="AO214" s="87" t="s">
        <v>1949</v>
      </c>
      <c r="AP214" s="87" t="s">
        <v>1950</v>
      </c>
      <c r="AQ214" s="90" t="s">
        <v>2587</v>
      </c>
      <c r="AR214" s="91"/>
      <c r="AS214" s="91"/>
      <c r="AT214" s="91"/>
      <c r="AU214" s="87" t="s">
        <v>1972</v>
      </c>
      <c r="AV214" s="91"/>
      <c r="AW214" s="91"/>
      <c r="AX214" s="91"/>
      <c r="AY214" s="91"/>
      <c r="AZ214" t="str">
        <f t="shared" si="18"/>
        <v>212110</v>
      </c>
      <c r="BA214" t="str">
        <f t="shared" si="19"/>
        <v>0077</v>
      </c>
      <c r="BB214" t="str">
        <f t="shared" si="23"/>
        <v>0000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>IFERROR(VLOOKUP(X214,'Status Map'!A:B,2,FALSE),"Status Code Not Mapped")</f>
        <v>Y</v>
      </c>
      <c r="BL214" t="str">
        <f>IFERROR(VLOOKUP(D214,'Invoice Exception Map'!A:C,3,FALSE),"N")</f>
        <v>N</v>
      </c>
      <c r="BM214">
        <f t="shared" si="20"/>
        <v>6</v>
      </c>
      <c r="BN214" t="str">
        <f t="shared" si="21"/>
        <v>LUKIC</v>
      </c>
      <c r="BO214" t="str">
        <f t="shared" si="22"/>
        <v>NENAD</v>
      </c>
    </row>
    <row r="215" spans="1:67" ht="16" thickBot="1" x14ac:dyDescent="0.25">
      <c r="A215" s="90" t="s">
        <v>2298</v>
      </c>
      <c r="B215" s="90" t="s">
        <v>2299</v>
      </c>
      <c r="C215" s="90" t="s">
        <v>2300</v>
      </c>
      <c r="D215" s="90" t="s">
        <v>3608</v>
      </c>
      <c r="E215" s="90" t="s">
        <v>1953</v>
      </c>
      <c r="F215" s="90" t="s">
        <v>2588</v>
      </c>
      <c r="G215" s="90" t="s">
        <v>2318</v>
      </c>
      <c r="H215" s="90" t="s">
        <v>267</v>
      </c>
      <c r="I215" s="90" t="s">
        <v>1944</v>
      </c>
      <c r="J215" s="90" t="s">
        <v>1620</v>
      </c>
      <c r="K215" s="90" t="s">
        <v>247</v>
      </c>
      <c r="L215" s="90" t="s">
        <v>2003</v>
      </c>
      <c r="M215" s="87" t="s">
        <v>2003</v>
      </c>
      <c r="N215" s="87" t="s">
        <v>1999</v>
      </c>
      <c r="O215" s="88">
        <v>40497</v>
      </c>
      <c r="P215" s="89">
        <v>15.8</v>
      </c>
      <c r="Q215" s="90" t="s">
        <v>3089</v>
      </c>
      <c r="R215" s="90" t="s">
        <v>3256</v>
      </c>
      <c r="S215" s="90" t="s">
        <v>2319</v>
      </c>
      <c r="T215" s="90" t="s">
        <v>2305</v>
      </c>
      <c r="U215" s="90" t="s">
        <v>1640</v>
      </c>
      <c r="V215" s="88">
        <v>40497</v>
      </c>
      <c r="W215" s="88">
        <v>40497</v>
      </c>
      <c r="X215" s="90" t="s">
        <v>43</v>
      </c>
      <c r="Y215" s="90" t="s">
        <v>257</v>
      </c>
      <c r="Z215" s="90" t="s">
        <v>36</v>
      </c>
      <c r="AA215" s="91"/>
      <c r="AB215" s="91"/>
      <c r="AC215" s="90" t="s">
        <v>2051</v>
      </c>
      <c r="AD215" s="90" t="s">
        <v>267</v>
      </c>
      <c r="AE215" s="90" t="s">
        <v>1636</v>
      </c>
      <c r="AF215" s="90" t="s">
        <v>2004</v>
      </c>
      <c r="AG215" s="90" t="s">
        <v>2793</v>
      </c>
      <c r="AH215" s="90" t="s">
        <v>2320</v>
      </c>
      <c r="AI215" s="90" t="s">
        <v>2320</v>
      </c>
      <c r="AJ215" s="90" t="s">
        <v>2051</v>
      </c>
      <c r="AK215" s="90" t="s">
        <v>36</v>
      </c>
      <c r="AL215" s="90" t="s">
        <v>1635</v>
      </c>
      <c r="AM215" s="90" t="s">
        <v>2307</v>
      </c>
      <c r="AN215" s="90" t="s">
        <v>2054</v>
      </c>
      <c r="AO215" s="87" t="s">
        <v>1949</v>
      </c>
      <c r="AP215" s="87" t="s">
        <v>1950</v>
      </c>
      <c r="AQ215" s="90" t="s">
        <v>2589</v>
      </c>
      <c r="AR215" s="91"/>
      <c r="AS215" s="91"/>
      <c r="AT215" s="91"/>
      <c r="AU215" s="87" t="s">
        <v>1972</v>
      </c>
      <c r="AV215" s="91"/>
      <c r="AW215" s="91"/>
      <c r="AX215" s="91"/>
      <c r="AY215" s="91"/>
      <c r="AZ215" t="str">
        <f t="shared" si="18"/>
        <v>205383</v>
      </c>
      <c r="BA215" t="str">
        <f t="shared" si="19"/>
        <v>0077</v>
      </c>
      <c r="BB215" t="str">
        <f t="shared" si="23"/>
        <v>0000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>IFERROR(VLOOKUP(X215,'Status Map'!A:B,2,FALSE),"Status Code Not Mapped")</f>
        <v>Y</v>
      </c>
      <c r="BL215" t="str">
        <f>IFERROR(VLOOKUP(D215,'Invoice Exception Map'!A:C,3,FALSE),"N")</f>
        <v>N</v>
      </c>
      <c r="BM215">
        <f t="shared" si="20"/>
        <v>8</v>
      </c>
      <c r="BN215" t="str">
        <f t="shared" si="21"/>
        <v>MALMSJÖ</v>
      </c>
      <c r="BO215" t="str">
        <f t="shared" si="22"/>
        <v>PER</v>
      </c>
    </row>
    <row r="216" spans="1:67" ht="16" thickBot="1" x14ac:dyDescent="0.25">
      <c r="A216" s="90" t="s">
        <v>2298</v>
      </c>
      <c r="B216" s="90" t="s">
        <v>2299</v>
      </c>
      <c r="C216" s="90" t="s">
        <v>2300</v>
      </c>
      <c r="D216" s="90" t="s">
        <v>3609</v>
      </c>
      <c r="E216" s="90" t="s">
        <v>1953</v>
      </c>
      <c r="F216" s="90" t="s">
        <v>2590</v>
      </c>
      <c r="G216" s="90" t="s">
        <v>2302</v>
      </c>
      <c r="H216" s="90" t="s">
        <v>267</v>
      </c>
      <c r="I216" s="90" t="s">
        <v>1944</v>
      </c>
      <c r="J216" s="90" t="s">
        <v>1620</v>
      </c>
      <c r="K216" s="90" t="s">
        <v>2303</v>
      </c>
      <c r="L216" s="90" t="s">
        <v>2227</v>
      </c>
      <c r="M216" s="87" t="s">
        <v>2072</v>
      </c>
      <c r="N216" s="87" t="s">
        <v>1999</v>
      </c>
      <c r="O216" s="88">
        <v>40455</v>
      </c>
      <c r="P216" s="89">
        <v>15.9</v>
      </c>
      <c r="Q216" s="90" t="s">
        <v>3086</v>
      </c>
      <c r="R216" s="90" t="s">
        <v>3253</v>
      </c>
      <c r="S216" s="90" t="s">
        <v>2304</v>
      </c>
      <c r="T216" s="90" t="s">
        <v>2305</v>
      </c>
      <c r="U216" s="90" t="s">
        <v>1640</v>
      </c>
      <c r="V216" s="88">
        <v>40455</v>
      </c>
      <c r="W216" s="88">
        <v>40455</v>
      </c>
      <c r="X216" s="90" t="s">
        <v>43</v>
      </c>
      <c r="Y216" s="90" t="s">
        <v>257</v>
      </c>
      <c r="Z216" s="90" t="s">
        <v>36</v>
      </c>
      <c r="AA216" s="91"/>
      <c r="AB216" s="91"/>
      <c r="AC216" s="90" t="s">
        <v>2051</v>
      </c>
      <c r="AD216" s="90" t="s">
        <v>267</v>
      </c>
      <c r="AE216" s="90" t="s">
        <v>1636</v>
      </c>
      <c r="AF216" s="90" t="s">
        <v>2004</v>
      </c>
      <c r="AG216" s="90" t="s">
        <v>3265</v>
      </c>
      <c r="AH216" s="90" t="s">
        <v>2306</v>
      </c>
      <c r="AI216" s="90" t="s">
        <v>2306</v>
      </c>
      <c r="AJ216" s="90" t="s">
        <v>2051</v>
      </c>
      <c r="AK216" s="90" t="s">
        <v>36</v>
      </c>
      <c r="AL216" s="90" t="s">
        <v>1635</v>
      </c>
      <c r="AM216" s="90" t="s">
        <v>2307</v>
      </c>
      <c r="AN216" s="90" t="s">
        <v>2054</v>
      </c>
      <c r="AO216" s="87" t="s">
        <v>1949</v>
      </c>
      <c r="AP216" s="87" t="s">
        <v>1950</v>
      </c>
      <c r="AQ216" s="90" t="s">
        <v>2591</v>
      </c>
      <c r="AR216" s="91"/>
      <c r="AS216" s="91"/>
      <c r="AT216" s="91"/>
      <c r="AU216" s="87" t="s">
        <v>1972</v>
      </c>
      <c r="AV216" s="91"/>
      <c r="AW216" s="91"/>
      <c r="AX216" s="91"/>
      <c r="AY216" s="91"/>
      <c r="AZ216" t="str">
        <f t="shared" si="18"/>
        <v>212110</v>
      </c>
      <c r="BA216" t="str">
        <f t="shared" si="19"/>
        <v>0077</v>
      </c>
      <c r="BB216" t="str">
        <f t="shared" si="23"/>
        <v>0000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>IFERROR(VLOOKUP(X216,'Status Map'!A:B,2,FALSE),"Status Code Not Mapped")</f>
        <v>Y</v>
      </c>
      <c r="BL216" t="str">
        <f>IFERROR(VLOOKUP(D216,'Invoice Exception Map'!A:C,3,FALSE),"N")</f>
        <v>N</v>
      </c>
      <c r="BM216">
        <f t="shared" si="20"/>
        <v>11</v>
      </c>
      <c r="BN216" t="str">
        <f t="shared" si="21"/>
        <v>MANSOURIAN</v>
      </c>
      <c r="BO216" t="str">
        <f t="shared" si="22"/>
        <v>HOSEIN</v>
      </c>
    </row>
    <row r="217" spans="1:67" ht="16" thickBot="1" x14ac:dyDescent="0.25">
      <c r="A217" s="90" t="s">
        <v>2298</v>
      </c>
      <c r="B217" s="90" t="s">
        <v>2299</v>
      </c>
      <c r="C217" s="90" t="s">
        <v>2300</v>
      </c>
      <c r="D217" s="90" t="s">
        <v>3610</v>
      </c>
      <c r="E217" s="90" t="s">
        <v>1953</v>
      </c>
      <c r="F217" s="90" t="s">
        <v>2592</v>
      </c>
      <c r="G217" s="90" t="s">
        <v>2302</v>
      </c>
      <c r="H217" s="90" t="s">
        <v>267</v>
      </c>
      <c r="I217" s="90" t="s">
        <v>1944</v>
      </c>
      <c r="J217" s="90" t="s">
        <v>1620</v>
      </c>
      <c r="K217" s="90" t="s">
        <v>2303</v>
      </c>
      <c r="L217" s="90" t="s">
        <v>2227</v>
      </c>
      <c r="M217" s="87" t="s">
        <v>2072</v>
      </c>
      <c r="N217" s="87" t="s">
        <v>1999</v>
      </c>
      <c r="O217" s="88">
        <v>42709</v>
      </c>
      <c r="P217" s="89">
        <v>9.6999999999999993</v>
      </c>
      <c r="Q217" s="90" t="s">
        <v>3086</v>
      </c>
      <c r="R217" s="90" t="s">
        <v>3255</v>
      </c>
      <c r="S217" s="90" t="s">
        <v>2315</v>
      </c>
      <c r="T217" s="90" t="s">
        <v>2305</v>
      </c>
      <c r="U217" s="90" t="s">
        <v>1640</v>
      </c>
      <c r="V217" s="88">
        <v>42709</v>
      </c>
      <c r="W217" s="88">
        <v>42709</v>
      </c>
      <c r="X217" s="90" t="s">
        <v>43</v>
      </c>
      <c r="Y217" s="90" t="s">
        <v>257</v>
      </c>
      <c r="Z217" s="90" t="s">
        <v>36</v>
      </c>
      <c r="AA217" s="91"/>
      <c r="AB217" s="91"/>
      <c r="AC217" s="90" t="s">
        <v>2051</v>
      </c>
      <c r="AD217" s="90" t="s">
        <v>267</v>
      </c>
      <c r="AE217" s="90" t="s">
        <v>1636</v>
      </c>
      <c r="AF217" s="90" t="s">
        <v>2004</v>
      </c>
      <c r="AG217" s="90" t="s">
        <v>2793</v>
      </c>
      <c r="AH217" s="90" t="s">
        <v>2306</v>
      </c>
      <c r="AI217" s="90" t="s">
        <v>2306</v>
      </c>
      <c r="AJ217" s="90" t="s">
        <v>2051</v>
      </c>
      <c r="AK217" s="90" t="s">
        <v>36</v>
      </c>
      <c r="AL217" s="90" t="s">
        <v>1635</v>
      </c>
      <c r="AM217" s="90" t="s">
        <v>2307</v>
      </c>
      <c r="AN217" s="90" t="s">
        <v>2054</v>
      </c>
      <c r="AO217" s="87" t="s">
        <v>1949</v>
      </c>
      <c r="AP217" s="87" t="s">
        <v>1950</v>
      </c>
      <c r="AQ217" s="90" t="s">
        <v>2593</v>
      </c>
      <c r="AR217" s="91"/>
      <c r="AS217" s="91"/>
      <c r="AT217" s="91"/>
      <c r="AU217" s="87" t="s">
        <v>1972</v>
      </c>
      <c r="AV217" s="91"/>
      <c r="AW217" s="91"/>
      <c r="AX217" s="91"/>
      <c r="AY217" s="91"/>
      <c r="AZ217" t="str">
        <f t="shared" si="18"/>
        <v>205315</v>
      </c>
      <c r="BA217" t="str">
        <f t="shared" si="19"/>
        <v>0077</v>
      </c>
      <c r="BB217" t="str">
        <f t="shared" si="23"/>
        <v>0000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>IFERROR(VLOOKUP(X217,'Status Map'!A:B,2,FALSE),"Status Code Not Mapped")</f>
        <v>Y</v>
      </c>
      <c r="BL217" t="str">
        <f>IFERROR(VLOOKUP(D217,'Invoice Exception Map'!A:C,3,FALSE),"N")</f>
        <v>N</v>
      </c>
      <c r="BM217">
        <f t="shared" si="20"/>
        <v>7</v>
      </c>
      <c r="BN217" t="str">
        <f t="shared" si="21"/>
        <v>MASLIC</v>
      </c>
      <c r="BO217" t="str">
        <f t="shared" si="22"/>
        <v>RIFET</v>
      </c>
    </row>
    <row r="218" spans="1:67" ht="16" thickBot="1" x14ac:dyDescent="0.25">
      <c r="A218" s="90" t="s">
        <v>2298</v>
      </c>
      <c r="B218" s="90" t="s">
        <v>2299</v>
      </c>
      <c r="C218" s="90" t="s">
        <v>2300</v>
      </c>
      <c r="D218" s="90" t="s">
        <v>3611</v>
      </c>
      <c r="E218" s="90" t="s">
        <v>1953</v>
      </c>
      <c r="F218" s="90" t="s">
        <v>2594</v>
      </c>
      <c r="G218" s="90" t="s">
        <v>2595</v>
      </c>
      <c r="H218" s="90" t="s">
        <v>1943</v>
      </c>
      <c r="I218" s="90" t="s">
        <v>1944</v>
      </c>
      <c r="J218" s="90" t="s">
        <v>241</v>
      </c>
      <c r="K218" s="90" t="s">
        <v>2596</v>
      </c>
      <c r="L218" s="90" t="s">
        <v>2597</v>
      </c>
      <c r="M218" s="87" t="s">
        <v>2598</v>
      </c>
      <c r="N218" s="87" t="s">
        <v>2598</v>
      </c>
      <c r="O218" s="88">
        <v>42646</v>
      </c>
      <c r="P218" s="89">
        <v>9.9</v>
      </c>
      <c r="Q218" s="90" t="s">
        <v>3084</v>
      </c>
      <c r="R218" s="90" t="s">
        <v>3276</v>
      </c>
      <c r="S218" s="90" t="s">
        <v>2578</v>
      </c>
      <c r="T218" s="90" t="s">
        <v>2305</v>
      </c>
      <c r="U218" s="90" t="s">
        <v>1640</v>
      </c>
      <c r="V218" s="88">
        <v>42646</v>
      </c>
      <c r="W218" s="88">
        <v>42646</v>
      </c>
      <c r="X218" s="90" t="s">
        <v>43</v>
      </c>
      <c r="Y218" s="90" t="s">
        <v>257</v>
      </c>
      <c r="Z218" s="90" t="s">
        <v>36</v>
      </c>
      <c r="AA218" s="91"/>
      <c r="AB218" s="91"/>
      <c r="AC218" s="90" t="s">
        <v>2051</v>
      </c>
      <c r="AD218" s="90" t="s">
        <v>267</v>
      </c>
      <c r="AE218" s="90" t="s">
        <v>1636</v>
      </c>
      <c r="AF218" s="90" t="s">
        <v>2004</v>
      </c>
      <c r="AG218" s="90" t="s">
        <v>2793</v>
      </c>
      <c r="AH218" s="90" t="s">
        <v>2599</v>
      </c>
      <c r="AI218" s="90" t="s">
        <v>2599</v>
      </c>
      <c r="AJ218" s="90" t="s">
        <v>2051</v>
      </c>
      <c r="AK218" s="90" t="s">
        <v>36</v>
      </c>
      <c r="AL218" s="90" t="s">
        <v>1635</v>
      </c>
      <c r="AM218" s="90" t="s">
        <v>2307</v>
      </c>
      <c r="AN218" s="90" t="s">
        <v>2054</v>
      </c>
      <c r="AO218" s="87" t="s">
        <v>1949</v>
      </c>
      <c r="AP218" s="87" t="s">
        <v>1950</v>
      </c>
      <c r="AQ218" s="90" t="s">
        <v>2600</v>
      </c>
      <c r="AR218" s="91"/>
      <c r="AS218" s="91"/>
      <c r="AT218" s="91"/>
      <c r="AU218" s="87" t="s">
        <v>1972</v>
      </c>
      <c r="AV218" s="91"/>
      <c r="AW218" s="91"/>
      <c r="AX218" s="91"/>
      <c r="AY218" s="91"/>
      <c r="AZ218" t="str">
        <f t="shared" si="18"/>
        <v>211474</v>
      </c>
      <c r="BA218" t="str">
        <f t="shared" si="19"/>
        <v>0077</v>
      </c>
      <c r="BB218" t="str">
        <f t="shared" si="23"/>
        <v>0000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>IFERROR(VLOOKUP(X218,'Status Map'!A:B,2,FALSE),"Status Code Not Mapped")</f>
        <v>Y</v>
      </c>
      <c r="BL218" t="str">
        <f>IFERROR(VLOOKUP(D218,'Invoice Exception Map'!A:C,3,FALSE),"N")</f>
        <v>N</v>
      </c>
      <c r="BM218">
        <f t="shared" si="20"/>
        <v>9</v>
      </c>
      <c r="BN218" t="str">
        <f t="shared" si="21"/>
        <v>MATTSSON</v>
      </c>
      <c r="BO218" t="str">
        <f t="shared" si="22"/>
        <v>JACOB</v>
      </c>
    </row>
    <row r="219" spans="1:67" ht="16" thickBot="1" x14ac:dyDescent="0.25">
      <c r="A219" s="90" t="s">
        <v>2298</v>
      </c>
      <c r="B219" s="90" t="s">
        <v>2299</v>
      </c>
      <c r="C219" s="90" t="s">
        <v>2300</v>
      </c>
      <c r="D219" s="90" t="s">
        <v>3612</v>
      </c>
      <c r="E219" s="90" t="s">
        <v>1953</v>
      </c>
      <c r="F219" s="90" t="s">
        <v>2601</v>
      </c>
      <c r="G219" s="90" t="s">
        <v>2318</v>
      </c>
      <c r="H219" s="90" t="s">
        <v>267</v>
      </c>
      <c r="I219" s="90" t="s">
        <v>1944</v>
      </c>
      <c r="J219" s="90" t="s">
        <v>1620</v>
      </c>
      <c r="K219" s="90" t="s">
        <v>247</v>
      </c>
      <c r="L219" s="90" t="s">
        <v>2003</v>
      </c>
      <c r="M219" s="87" t="s">
        <v>2003</v>
      </c>
      <c r="N219" s="87" t="s">
        <v>1999</v>
      </c>
      <c r="O219" s="88">
        <v>40147</v>
      </c>
      <c r="P219" s="89">
        <v>16.8</v>
      </c>
      <c r="Q219" s="90" t="s">
        <v>3089</v>
      </c>
      <c r="R219" s="90" t="s">
        <v>3256</v>
      </c>
      <c r="S219" s="90" t="s">
        <v>2319</v>
      </c>
      <c r="T219" s="90" t="s">
        <v>2305</v>
      </c>
      <c r="U219" s="90" t="s">
        <v>1640</v>
      </c>
      <c r="V219" s="88">
        <v>40147</v>
      </c>
      <c r="W219" s="88">
        <v>40147</v>
      </c>
      <c r="X219" s="90" t="s">
        <v>43</v>
      </c>
      <c r="Y219" s="90" t="s">
        <v>257</v>
      </c>
      <c r="Z219" s="90" t="s">
        <v>36</v>
      </c>
      <c r="AA219" s="91"/>
      <c r="AB219" s="91"/>
      <c r="AC219" s="90" t="s">
        <v>2051</v>
      </c>
      <c r="AD219" s="90" t="s">
        <v>267</v>
      </c>
      <c r="AE219" s="90" t="s">
        <v>1636</v>
      </c>
      <c r="AF219" s="90" t="s">
        <v>2004</v>
      </c>
      <c r="AG219" s="90" t="s">
        <v>2793</v>
      </c>
      <c r="AH219" s="90" t="s">
        <v>2320</v>
      </c>
      <c r="AI219" s="90" t="s">
        <v>2320</v>
      </c>
      <c r="AJ219" s="90" t="s">
        <v>2051</v>
      </c>
      <c r="AK219" s="90" t="s">
        <v>36</v>
      </c>
      <c r="AL219" s="90" t="s">
        <v>1635</v>
      </c>
      <c r="AM219" s="90" t="s">
        <v>2307</v>
      </c>
      <c r="AN219" s="90" t="s">
        <v>2054</v>
      </c>
      <c r="AO219" s="87" t="s">
        <v>1949</v>
      </c>
      <c r="AP219" s="87" t="s">
        <v>1950</v>
      </c>
      <c r="AQ219" s="90" t="s">
        <v>2602</v>
      </c>
      <c r="AR219" s="91"/>
      <c r="AS219" s="91"/>
      <c r="AT219" s="91"/>
      <c r="AU219" s="87" t="s">
        <v>1972</v>
      </c>
      <c r="AV219" s="91"/>
      <c r="AW219" s="91"/>
      <c r="AX219" s="91"/>
      <c r="AY219" s="91"/>
      <c r="AZ219" t="str">
        <f t="shared" si="18"/>
        <v>205383</v>
      </c>
      <c r="BA219" t="str">
        <f t="shared" si="19"/>
        <v>0077</v>
      </c>
      <c r="BB219" t="str">
        <f t="shared" si="23"/>
        <v>0000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>IFERROR(VLOOKUP(X219,'Status Map'!A:B,2,FALSE),"Status Code Not Mapped")</f>
        <v>Y</v>
      </c>
      <c r="BL219" t="str">
        <f>IFERROR(VLOOKUP(D219,'Invoice Exception Map'!A:C,3,FALSE),"N")</f>
        <v>N</v>
      </c>
      <c r="BM219">
        <f t="shared" si="20"/>
        <v>7</v>
      </c>
      <c r="BN219" t="str">
        <f t="shared" si="21"/>
        <v>MEHDIC</v>
      </c>
      <c r="BO219" t="str">
        <f t="shared" si="22"/>
        <v>HAJRIJA</v>
      </c>
    </row>
    <row r="220" spans="1:67" ht="16" thickBot="1" x14ac:dyDescent="0.25">
      <c r="A220" s="90" t="s">
        <v>2298</v>
      </c>
      <c r="B220" s="90" t="s">
        <v>2299</v>
      </c>
      <c r="C220" s="90" t="s">
        <v>2300</v>
      </c>
      <c r="D220" s="90" t="s">
        <v>3613</v>
      </c>
      <c r="E220" s="90" t="s">
        <v>1953</v>
      </c>
      <c r="F220" s="90" t="s">
        <v>2603</v>
      </c>
      <c r="G220" s="90" t="s">
        <v>2302</v>
      </c>
      <c r="H220" s="90" t="s">
        <v>267</v>
      </c>
      <c r="I220" s="90" t="s">
        <v>1944</v>
      </c>
      <c r="J220" s="90" t="s">
        <v>1620</v>
      </c>
      <c r="K220" s="90" t="s">
        <v>2303</v>
      </c>
      <c r="L220" s="90" t="s">
        <v>2227</v>
      </c>
      <c r="M220" s="87" t="s">
        <v>2072</v>
      </c>
      <c r="N220" s="87" t="s">
        <v>1999</v>
      </c>
      <c r="O220" s="88">
        <v>35681</v>
      </c>
      <c r="P220" s="89">
        <v>29</v>
      </c>
      <c r="Q220" s="90" t="s">
        <v>3086</v>
      </c>
      <c r="R220" s="90" t="s">
        <v>3255</v>
      </c>
      <c r="S220" s="90" t="s">
        <v>2315</v>
      </c>
      <c r="T220" s="90" t="s">
        <v>2305</v>
      </c>
      <c r="U220" s="90" t="s">
        <v>1640</v>
      </c>
      <c r="V220" s="88">
        <v>35681</v>
      </c>
      <c r="W220" s="88">
        <v>35681</v>
      </c>
      <c r="X220" s="90" t="s">
        <v>43</v>
      </c>
      <c r="Y220" s="90" t="s">
        <v>257</v>
      </c>
      <c r="Z220" s="90" t="s">
        <v>36</v>
      </c>
      <c r="AA220" s="91"/>
      <c r="AB220" s="91"/>
      <c r="AC220" s="90" t="s">
        <v>2051</v>
      </c>
      <c r="AD220" s="90" t="s">
        <v>267</v>
      </c>
      <c r="AE220" s="90" t="s">
        <v>1636</v>
      </c>
      <c r="AF220" s="90" t="s">
        <v>2004</v>
      </c>
      <c r="AG220" s="90" t="s">
        <v>2793</v>
      </c>
      <c r="AH220" s="90" t="s">
        <v>2306</v>
      </c>
      <c r="AI220" s="90" t="s">
        <v>2306</v>
      </c>
      <c r="AJ220" s="90" t="s">
        <v>2051</v>
      </c>
      <c r="AK220" s="90" t="s">
        <v>36</v>
      </c>
      <c r="AL220" s="90" t="s">
        <v>1635</v>
      </c>
      <c r="AM220" s="90" t="s">
        <v>2307</v>
      </c>
      <c r="AN220" s="90" t="s">
        <v>2054</v>
      </c>
      <c r="AO220" s="87" t="s">
        <v>1949</v>
      </c>
      <c r="AP220" s="87" t="s">
        <v>1950</v>
      </c>
      <c r="AQ220" s="90" t="s">
        <v>2604</v>
      </c>
      <c r="AR220" s="91"/>
      <c r="AS220" s="91"/>
      <c r="AT220" s="91"/>
      <c r="AU220" s="87" t="s">
        <v>1972</v>
      </c>
      <c r="AV220" s="91"/>
      <c r="AW220" s="91"/>
      <c r="AX220" s="91"/>
      <c r="AY220" s="91"/>
      <c r="AZ220" t="str">
        <f t="shared" si="18"/>
        <v>205315</v>
      </c>
      <c r="BA220" t="str">
        <f t="shared" si="19"/>
        <v>0077</v>
      </c>
      <c r="BB220" t="str">
        <f t="shared" si="23"/>
        <v>0000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>IFERROR(VLOOKUP(X220,'Status Map'!A:B,2,FALSE),"Status Code Not Mapped")</f>
        <v>Y</v>
      </c>
      <c r="BL220" t="str">
        <f>IFERROR(VLOOKUP(D220,'Invoice Exception Map'!A:C,3,FALSE),"N")</f>
        <v>N</v>
      </c>
      <c r="BM220">
        <f t="shared" si="20"/>
        <v>7</v>
      </c>
      <c r="BN220" t="str">
        <f t="shared" si="21"/>
        <v>MEHDIC</v>
      </c>
      <c r="BO220" t="str">
        <f t="shared" si="22"/>
        <v>JASMIN</v>
      </c>
    </row>
    <row r="221" spans="1:67" ht="16" thickBot="1" x14ac:dyDescent="0.25">
      <c r="A221" s="90" t="s">
        <v>2298</v>
      </c>
      <c r="B221" s="90" t="s">
        <v>2299</v>
      </c>
      <c r="C221" s="90" t="s">
        <v>2300</v>
      </c>
      <c r="D221" s="90" t="s">
        <v>3614</v>
      </c>
      <c r="E221" s="90" t="s">
        <v>1953</v>
      </c>
      <c r="F221" s="90" t="s">
        <v>2605</v>
      </c>
      <c r="G221" s="90" t="s">
        <v>2302</v>
      </c>
      <c r="H221" s="90" t="s">
        <v>267</v>
      </c>
      <c r="I221" s="90" t="s">
        <v>1944</v>
      </c>
      <c r="J221" s="90" t="s">
        <v>1620</v>
      </c>
      <c r="K221" s="90" t="s">
        <v>2303</v>
      </c>
      <c r="L221" s="90" t="s">
        <v>2227</v>
      </c>
      <c r="M221" s="87" t="s">
        <v>2072</v>
      </c>
      <c r="N221" s="87" t="s">
        <v>1999</v>
      </c>
      <c r="O221" s="88">
        <v>35884</v>
      </c>
      <c r="P221" s="89">
        <v>28.4</v>
      </c>
      <c r="Q221" s="90" t="s">
        <v>3086</v>
      </c>
      <c r="R221" s="90" t="s">
        <v>3253</v>
      </c>
      <c r="S221" s="90" t="s">
        <v>2304</v>
      </c>
      <c r="T221" s="90" t="s">
        <v>2305</v>
      </c>
      <c r="U221" s="90" t="s">
        <v>1640</v>
      </c>
      <c r="V221" s="88">
        <v>35884</v>
      </c>
      <c r="W221" s="88">
        <v>35884</v>
      </c>
      <c r="X221" s="90" t="s">
        <v>43</v>
      </c>
      <c r="Y221" s="90" t="s">
        <v>257</v>
      </c>
      <c r="Z221" s="90" t="s">
        <v>36</v>
      </c>
      <c r="AA221" s="91"/>
      <c r="AB221" s="91"/>
      <c r="AC221" s="90" t="s">
        <v>2051</v>
      </c>
      <c r="AD221" s="90" t="s">
        <v>267</v>
      </c>
      <c r="AE221" s="90" t="s">
        <v>1636</v>
      </c>
      <c r="AF221" s="90" t="s">
        <v>2004</v>
      </c>
      <c r="AG221" s="90" t="s">
        <v>2793</v>
      </c>
      <c r="AH221" s="90" t="s">
        <v>2306</v>
      </c>
      <c r="AI221" s="90" t="s">
        <v>2306</v>
      </c>
      <c r="AJ221" s="90" t="s">
        <v>2051</v>
      </c>
      <c r="AK221" s="90" t="s">
        <v>36</v>
      </c>
      <c r="AL221" s="90" t="s">
        <v>1635</v>
      </c>
      <c r="AM221" s="90" t="s">
        <v>2307</v>
      </c>
      <c r="AN221" s="90" t="s">
        <v>2054</v>
      </c>
      <c r="AO221" s="87" t="s">
        <v>1949</v>
      </c>
      <c r="AP221" s="87" t="s">
        <v>1950</v>
      </c>
      <c r="AQ221" s="90" t="s">
        <v>2606</v>
      </c>
      <c r="AR221" s="91"/>
      <c r="AS221" s="91"/>
      <c r="AT221" s="91"/>
      <c r="AU221" s="87" t="s">
        <v>1972</v>
      </c>
      <c r="AV221" s="91"/>
      <c r="AW221" s="91"/>
      <c r="AX221" s="91"/>
      <c r="AY221" s="91"/>
      <c r="AZ221" t="str">
        <f t="shared" si="18"/>
        <v>212110</v>
      </c>
      <c r="BA221" t="str">
        <f t="shared" si="19"/>
        <v>0077</v>
      </c>
      <c r="BB221" t="str">
        <f t="shared" si="23"/>
        <v>0000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>IFERROR(VLOOKUP(X221,'Status Map'!A:B,2,FALSE),"Status Code Not Mapped")</f>
        <v>Y</v>
      </c>
      <c r="BL221" t="str">
        <f>IFERROR(VLOOKUP(D221,'Invoice Exception Map'!A:C,3,FALSE),"N")</f>
        <v>N</v>
      </c>
      <c r="BM221">
        <f t="shared" si="20"/>
        <v>7</v>
      </c>
      <c r="BN221" t="str">
        <f t="shared" si="21"/>
        <v>MILJAK</v>
      </c>
      <c r="BO221" t="str">
        <f t="shared" si="22"/>
        <v>MARKO</v>
      </c>
    </row>
    <row r="222" spans="1:67" ht="16" thickBot="1" x14ac:dyDescent="0.25">
      <c r="A222" s="90" t="s">
        <v>2298</v>
      </c>
      <c r="B222" s="90" t="s">
        <v>2299</v>
      </c>
      <c r="C222" s="90" t="s">
        <v>2300</v>
      </c>
      <c r="D222" s="90" t="s">
        <v>3615</v>
      </c>
      <c r="E222" s="90" t="s">
        <v>1953</v>
      </c>
      <c r="F222" s="90" t="s">
        <v>2607</v>
      </c>
      <c r="G222" s="90" t="s">
        <v>2310</v>
      </c>
      <c r="H222" s="90" t="s">
        <v>267</v>
      </c>
      <c r="I222" s="90" t="s">
        <v>1944</v>
      </c>
      <c r="J222" s="90" t="s">
        <v>1620</v>
      </c>
      <c r="K222" s="90" t="s">
        <v>2012</v>
      </c>
      <c r="L222" s="90" t="s">
        <v>2311</v>
      </c>
      <c r="M222" s="87" t="s">
        <v>2007</v>
      </c>
      <c r="N222" s="87" t="s">
        <v>2013</v>
      </c>
      <c r="O222" s="88">
        <v>40238</v>
      </c>
      <c r="P222" s="89">
        <v>16.5</v>
      </c>
      <c r="Q222" s="90" t="s">
        <v>3086</v>
      </c>
      <c r="R222" s="90" t="s">
        <v>3255</v>
      </c>
      <c r="S222" s="90" t="s">
        <v>2315</v>
      </c>
      <c r="T222" s="90" t="s">
        <v>2305</v>
      </c>
      <c r="U222" s="90" t="s">
        <v>1640</v>
      </c>
      <c r="V222" s="88">
        <v>40238</v>
      </c>
      <c r="W222" s="88">
        <v>40238</v>
      </c>
      <c r="X222" s="90" t="s">
        <v>43</v>
      </c>
      <c r="Y222" s="90" t="s">
        <v>257</v>
      </c>
      <c r="Z222" s="90" t="s">
        <v>36</v>
      </c>
      <c r="AA222" s="91"/>
      <c r="AB222" s="91"/>
      <c r="AC222" s="90" t="s">
        <v>2051</v>
      </c>
      <c r="AD222" s="90" t="s">
        <v>267</v>
      </c>
      <c r="AE222" s="90" t="s">
        <v>1636</v>
      </c>
      <c r="AF222" s="90" t="s">
        <v>2004</v>
      </c>
      <c r="AG222" s="90" t="s">
        <v>3270</v>
      </c>
      <c r="AH222" s="90" t="s">
        <v>2306</v>
      </c>
      <c r="AI222" s="90" t="s">
        <v>2306</v>
      </c>
      <c r="AJ222" s="90" t="s">
        <v>2051</v>
      </c>
      <c r="AK222" s="90" t="s">
        <v>36</v>
      </c>
      <c r="AL222" s="90" t="s">
        <v>1635</v>
      </c>
      <c r="AM222" s="90" t="s">
        <v>2307</v>
      </c>
      <c r="AN222" s="90" t="s">
        <v>2054</v>
      </c>
      <c r="AO222" s="87" t="s">
        <v>1949</v>
      </c>
      <c r="AP222" s="87" t="s">
        <v>1950</v>
      </c>
      <c r="AQ222" s="90" t="s">
        <v>2608</v>
      </c>
      <c r="AR222" s="91"/>
      <c r="AS222" s="91"/>
      <c r="AT222" s="91"/>
      <c r="AU222" s="87" t="s">
        <v>1972</v>
      </c>
      <c r="AV222" s="91"/>
      <c r="AW222" s="91"/>
      <c r="AX222" s="91"/>
      <c r="AY222" s="91"/>
      <c r="AZ222" t="str">
        <f t="shared" si="18"/>
        <v>205315</v>
      </c>
      <c r="BA222" t="str">
        <f t="shared" si="19"/>
        <v>0077</v>
      </c>
      <c r="BB222" t="str">
        <f t="shared" si="23"/>
        <v>0000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>IFERROR(VLOOKUP(X222,'Status Map'!A:B,2,FALSE),"Status Code Not Mapped")</f>
        <v>Y</v>
      </c>
      <c r="BL222" t="str">
        <f>IFERROR(VLOOKUP(D222,'Invoice Exception Map'!A:C,3,FALSE),"N")</f>
        <v>N</v>
      </c>
      <c r="BM222">
        <f t="shared" si="20"/>
        <v>10</v>
      </c>
      <c r="BN222" t="str">
        <f t="shared" si="21"/>
        <v>MILOSEVIC</v>
      </c>
      <c r="BO222" t="str">
        <f t="shared" si="22"/>
        <v>DRAGAN</v>
      </c>
    </row>
    <row r="223" spans="1:67" ht="16" thickBot="1" x14ac:dyDescent="0.25">
      <c r="A223" s="90" t="s">
        <v>2298</v>
      </c>
      <c r="B223" s="90" t="s">
        <v>2299</v>
      </c>
      <c r="C223" s="90" t="s">
        <v>2300</v>
      </c>
      <c r="D223" s="90" t="s">
        <v>3616</v>
      </c>
      <c r="E223" s="90" t="s">
        <v>1953</v>
      </c>
      <c r="F223" s="90" t="s">
        <v>2609</v>
      </c>
      <c r="G223" s="90" t="s">
        <v>2302</v>
      </c>
      <c r="H223" s="90" t="s">
        <v>267</v>
      </c>
      <c r="I223" s="90" t="s">
        <v>1944</v>
      </c>
      <c r="J223" s="90" t="s">
        <v>1620</v>
      </c>
      <c r="K223" s="90" t="s">
        <v>2303</v>
      </c>
      <c r="L223" s="90" t="s">
        <v>2227</v>
      </c>
      <c r="M223" s="87" t="s">
        <v>2072</v>
      </c>
      <c r="N223" s="87" t="s">
        <v>1999</v>
      </c>
      <c r="O223" s="88">
        <v>41160</v>
      </c>
      <c r="P223" s="89">
        <v>14</v>
      </c>
      <c r="Q223" s="90" t="s">
        <v>3086</v>
      </c>
      <c r="R223" s="90" t="s">
        <v>3253</v>
      </c>
      <c r="S223" s="90" t="s">
        <v>2304</v>
      </c>
      <c r="T223" s="90" t="s">
        <v>2305</v>
      </c>
      <c r="U223" s="90" t="s">
        <v>1640</v>
      </c>
      <c r="V223" s="88">
        <v>41160</v>
      </c>
      <c r="W223" s="88">
        <v>41160</v>
      </c>
      <c r="X223" s="90" t="s">
        <v>43</v>
      </c>
      <c r="Y223" s="90" t="s">
        <v>257</v>
      </c>
      <c r="Z223" s="90" t="s">
        <v>36</v>
      </c>
      <c r="AA223" s="91"/>
      <c r="AB223" s="91"/>
      <c r="AC223" s="90" t="s">
        <v>2051</v>
      </c>
      <c r="AD223" s="90" t="s">
        <v>267</v>
      </c>
      <c r="AE223" s="90" t="s">
        <v>1636</v>
      </c>
      <c r="AF223" s="90" t="s">
        <v>2004</v>
      </c>
      <c r="AG223" s="90" t="s">
        <v>2793</v>
      </c>
      <c r="AH223" s="90" t="s">
        <v>2306</v>
      </c>
      <c r="AI223" s="90" t="s">
        <v>2306</v>
      </c>
      <c r="AJ223" s="90" t="s">
        <v>2051</v>
      </c>
      <c r="AK223" s="90" t="s">
        <v>36</v>
      </c>
      <c r="AL223" s="90" t="s">
        <v>1635</v>
      </c>
      <c r="AM223" s="90" t="s">
        <v>2307</v>
      </c>
      <c r="AN223" s="90" t="s">
        <v>2054</v>
      </c>
      <c r="AO223" s="87" t="s">
        <v>1949</v>
      </c>
      <c r="AP223" s="87" t="s">
        <v>1950</v>
      </c>
      <c r="AQ223" s="90" t="s">
        <v>2610</v>
      </c>
      <c r="AR223" s="91"/>
      <c r="AS223" s="91"/>
      <c r="AT223" s="91"/>
      <c r="AU223" s="87" t="s">
        <v>1972</v>
      </c>
      <c r="AV223" s="91"/>
      <c r="AW223" s="91"/>
      <c r="AX223" s="91"/>
      <c r="AY223" s="91"/>
      <c r="AZ223" t="str">
        <f t="shared" si="18"/>
        <v>212110</v>
      </c>
      <c r="BA223" t="str">
        <f t="shared" si="19"/>
        <v>0077</v>
      </c>
      <c r="BB223" t="str">
        <f t="shared" si="23"/>
        <v>0000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>IFERROR(VLOOKUP(X223,'Status Map'!A:B,2,FALSE),"Status Code Not Mapped")</f>
        <v>Y</v>
      </c>
      <c r="BL223" t="str">
        <f>IFERROR(VLOOKUP(D223,'Invoice Exception Map'!A:C,3,FALSE),"N")</f>
        <v>N</v>
      </c>
      <c r="BM223">
        <f t="shared" si="20"/>
        <v>7</v>
      </c>
      <c r="BN223" t="str">
        <f t="shared" si="21"/>
        <v>MONELL</v>
      </c>
      <c r="BO223" t="str">
        <f t="shared" si="22"/>
        <v>JOHAN</v>
      </c>
    </row>
    <row r="224" spans="1:67" ht="16" thickBot="1" x14ac:dyDescent="0.25">
      <c r="A224" s="90" t="s">
        <v>2298</v>
      </c>
      <c r="B224" s="90" t="s">
        <v>2299</v>
      </c>
      <c r="C224" s="90" t="s">
        <v>2300</v>
      </c>
      <c r="D224" s="90" t="s">
        <v>3617</v>
      </c>
      <c r="E224" s="90" t="s">
        <v>1953</v>
      </c>
      <c r="F224" s="90" t="s">
        <v>2611</v>
      </c>
      <c r="G224" s="90" t="s">
        <v>2612</v>
      </c>
      <c r="H224" s="90" t="s">
        <v>1943</v>
      </c>
      <c r="I224" s="90" t="s">
        <v>1944</v>
      </c>
      <c r="J224" s="90" t="s">
        <v>1620</v>
      </c>
      <c r="K224" s="90" t="s">
        <v>2613</v>
      </c>
      <c r="L224" s="90" t="s">
        <v>2338</v>
      </c>
      <c r="M224" s="87" t="s">
        <v>1984</v>
      </c>
      <c r="N224" s="87" t="s">
        <v>2005</v>
      </c>
      <c r="O224" s="88">
        <v>40196</v>
      </c>
      <c r="P224" s="89">
        <v>16.600000000000001</v>
      </c>
      <c r="Q224" s="90" t="s">
        <v>3177</v>
      </c>
      <c r="R224" s="90" t="s">
        <v>3260</v>
      </c>
      <c r="S224" s="90" t="s">
        <v>2339</v>
      </c>
      <c r="T224" s="90" t="s">
        <v>2305</v>
      </c>
      <c r="U224" s="90" t="s">
        <v>1640</v>
      </c>
      <c r="V224" s="88">
        <v>40196</v>
      </c>
      <c r="W224" s="88">
        <v>40196</v>
      </c>
      <c r="X224" s="90" t="s">
        <v>43</v>
      </c>
      <c r="Y224" s="90" t="s">
        <v>257</v>
      </c>
      <c r="Z224" s="90" t="s">
        <v>36</v>
      </c>
      <c r="AA224" s="91"/>
      <c r="AB224" s="91"/>
      <c r="AC224" s="90" t="s">
        <v>2051</v>
      </c>
      <c r="AD224" s="90" t="s">
        <v>267</v>
      </c>
      <c r="AE224" s="90" t="s">
        <v>1636</v>
      </c>
      <c r="AF224" s="90" t="s">
        <v>2004</v>
      </c>
      <c r="AG224" s="90" t="s">
        <v>3271</v>
      </c>
      <c r="AH224" s="90" t="s">
        <v>2399</v>
      </c>
      <c r="AI224" s="90" t="s">
        <v>2399</v>
      </c>
      <c r="AJ224" s="90" t="s">
        <v>2051</v>
      </c>
      <c r="AK224" s="90" t="s">
        <v>36</v>
      </c>
      <c r="AL224" s="90" t="s">
        <v>1635</v>
      </c>
      <c r="AM224" s="90" t="s">
        <v>2307</v>
      </c>
      <c r="AN224" s="90" t="s">
        <v>2054</v>
      </c>
      <c r="AO224" s="87" t="s">
        <v>1949</v>
      </c>
      <c r="AP224" s="87" t="s">
        <v>1950</v>
      </c>
      <c r="AQ224" s="90" t="s">
        <v>2614</v>
      </c>
      <c r="AR224" s="91"/>
      <c r="AS224" s="91"/>
      <c r="AT224" s="91"/>
      <c r="AU224" s="87" t="s">
        <v>1972</v>
      </c>
      <c r="AV224" s="91"/>
      <c r="AW224" s="91"/>
      <c r="AX224" s="91"/>
      <c r="AY224" s="91"/>
      <c r="AZ224" t="str">
        <f t="shared" si="18"/>
        <v>205380</v>
      </c>
      <c r="BA224" t="str">
        <f t="shared" si="19"/>
        <v>0077</v>
      </c>
      <c r="BB224" t="str">
        <f t="shared" si="23"/>
        <v>0000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>IFERROR(VLOOKUP(X224,'Status Map'!A:B,2,FALSE),"Status Code Not Mapped")</f>
        <v>Y</v>
      </c>
      <c r="BL224" t="str">
        <f>IFERROR(VLOOKUP(D224,'Invoice Exception Map'!A:C,3,FALSE),"N")</f>
        <v>N</v>
      </c>
      <c r="BM224">
        <f t="shared" si="20"/>
        <v>8</v>
      </c>
      <c r="BN224" t="str">
        <f t="shared" si="21"/>
        <v>NILSSON</v>
      </c>
      <c r="BO224" t="str">
        <f t="shared" si="22"/>
        <v>ANDREAS</v>
      </c>
    </row>
    <row r="225" spans="1:67" ht="16" thickBot="1" x14ac:dyDescent="0.25">
      <c r="A225" s="90" t="s">
        <v>2298</v>
      </c>
      <c r="B225" s="90" t="s">
        <v>2299</v>
      </c>
      <c r="C225" s="90" t="s">
        <v>2300</v>
      </c>
      <c r="D225" s="90" t="s">
        <v>3618</v>
      </c>
      <c r="E225" s="90" t="s">
        <v>1953</v>
      </c>
      <c r="F225" s="90" t="s">
        <v>2615</v>
      </c>
      <c r="G225" s="90" t="s">
        <v>2310</v>
      </c>
      <c r="H225" s="90" t="s">
        <v>267</v>
      </c>
      <c r="I225" s="90" t="s">
        <v>1944</v>
      </c>
      <c r="J225" s="90" t="s">
        <v>1620</v>
      </c>
      <c r="K225" s="90" t="s">
        <v>2012</v>
      </c>
      <c r="L225" s="90" t="s">
        <v>2311</v>
      </c>
      <c r="M225" s="87" t="s">
        <v>2007</v>
      </c>
      <c r="N225" s="87" t="s">
        <v>2013</v>
      </c>
      <c r="O225" s="88">
        <v>42905</v>
      </c>
      <c r="P225" s="89">
        <v>9.1999999999999993</v>
      </c>
      <c r="Q225" s="90" t="s">
        <v>3086</v>
      </c>
      <c r="R225" s="90" t="s">
        <v>3253</v>
      </c>
      <c r="S225" s="90" t="s">
        <v>2304</v>
      </c>
      <c r="T225" s="90" t="s">
        <v>2305</v>
      </c>
      <c r="U225" s="90" t="s">
        <v>1640</v>
      </c>
      <c r="V225" s="88">
        <v>42905</v>
      </c>
      <c r="W225" s="88">
        <v>42905</v>
      </c>
      <c r="X225" s="90" t="s">
        <v>43</v>
      </c>
      <c r="Y225" s="90" t="s">
        <v>257</v>
      </c>
      <c r="Z225" s="90" t="s">
        <v>36</v>
      </c>
      <c r="AA225" s="91"/>
      <c r="AB225" s="91"/>
      <c r="AC225" s="90" t="s">
        <v>2051</v>
      </c>
      <c r="AD225" s="90" t="s">
        <v>267</v>
      </c>
      <c r="AE225" s="90" t="s">
        <v>1636</v>
      </c>
      <c r="AF225" s="90" t="s">
        <v>2004</v>
      </c>
      <c r="AG225" s="90" t="s">
        <v>2793</v>
      </c>
      <c r="AH225" s="90" t="s">
        <v>2306</v>
      </c>
      <c r="AI225" s="90" t="s">
        <v>2306</v>
      </c>
      <c r="AJ225" s="90" t="s">
        <v>2051</v>
      </c>
      <c r="AK225" s="90" t="s">
        <v>36</v>
      </c>
      <c r="AL225" s="90" t="s">
        <v>1635</v>
      </c>
      <c r="AM225" s="90" t="s">
        <v>2307</v>
      </c>
      <c r="AN225" s="90" t="s">
        <v>2054</v>
      </c>
      <c r="AO225" s="87" t="s">
        <v>1949</v>
      </c>
      <c r="AP225" s="87" t="s">
        <v>1950</v>
      </c>
      <c r="AQ225" s="90" t="s">
        <v>2616</v>
      </c>
      <c r="AR225" s="91"/>
      <c r="AS225" s="91"/>
      <c r="AT225" s="91"/>
      <c r="AU225" s="87" t="s">
        <v>1972</v>
      </c>
      <c r="AV225" s="91"/>
      <c r="AW225" s="91"/>
      <c r="AX225" s="91"/>
      <c r="AY225" s="91"/>
      <c r="AZ225" t="str">
        <f t="shared" si="18"/>
        <v>212110</v>
      </c>
      <c r="BA225" t="str">
        <f t="shared" si="19"/>
        <v>0077</v>
      </c>
      <c r="BB225" t="str">
        <f t="shared" si="23"/>
        <v>0000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>IFERROR(VLOOKUP(X225,'Status Map'!A:B,2,FALSE),"Status Code Not Mapped")</f>
        <v>Y</v>
      </c>
      <c r="BL225" t="str">
        <f>IFERROR(VLOOKUP(D225,'Invoice Exception Map'!A:C,3,FALSE),"N")</f>
        <v>N</v>
      </c>
      <c r="BM225">
        <f t="shared" si="20"/>
        <v>8</v>
      </c>
      <c r="BN225" t="str">
        <f t="shared" si="21"/>
        <v>NILSSON</v>
      </c>
      <c r="BO225" t="str">
        <f t="shared" si="22"/>
        <v>GOTTFRID</v>
      </c>
    </row>
    <row r="226" spans="1:67" ht="16" thickBot="1" x14ac:dyDescent="0.25">
      <c r="A226" s="90" t="s">
        <v>2298</v>
      </c>
      <c r="B226" s="90" t="s">
        <v>2299</v>
      </c>
      <c r="C226" s="90" t="s">
        <v>2300</v>
      </c>
      <c r="D226" s="90" t="s">
        <v>3619</v>
      </c>
      <c r="E226" s="90" t="s">
        <v>1953</v>
      </c>
      <c r="F226" s="90" t="s">
        <v>2617</v>
      </c>
      <c r="G226" s="90" t="s">
        <v>2318</v>
      </c>
      <c r="H226" s="90" t="s">
        <v>267</v>
      </c>
      <c r="I226" s="90" t="s">
        <v>1944</v>
      </c>
      <c r="J226" s="90" t="s">
        <v>1620</v>
      </c>
      <c r="K226" s="90" t="s">
        <v>247</v>
      </c>
      <c r="L226" s="90" t="s">
        <v>2003</v>
      </c>
      <c r="M226" s="87" t="s">
        <v>2003</v>
      </c>
      <c r="N226" s="87" t="s">
        <v>1999</v>
      </c>
      <c r="O226" s="88">
        <v>44229</v>
      </c>
      <c r="P226" s="89">
        <v>5.5</v>
      </c>
      <c r="Q226" s="90" t="s">
        <v>3089</v>
      </c>
      <c r="R226" s="90" t="s">
        <v>3261</v>
      </c>
      <c r="S226" s="90" t="s">
        <v>2346</v>
      </c>
      <c r="T226" s="90" t="s">
        <v>2305</v>
      </c>
      <c r="U226" s="90" t="s">
        <v>1640</v>
      </c>
      <c r="V226" s="88">
        <v>44256</v>
      </c>
      <c r="W226" s="88">
        <v>44229</v>
      </c>
      <c r="X226" s="90" t="s">
        <v>43</v>
      </c>
      <c r="Y226" s="90" t="s">
        <v>257</v>
      </c>
      <c r="Z226" s="90" t="s">
        <v>36</v>
      </c>
      <c r="AA226" s="91"/>
      <c r="AB226" s="91"/>
      <c r="AC226" s="90" t="s">
        <v>2051</v>
      </c>
      <c r="AD226" s="90" t="s">
        <v>267</v>
      </c>
      <c r="AE226" s="90" t="s">
        <v>1636</v>
      </c>
      <c r="AF226" s="90" t="s">
        <v>2004</v>
      </c>
      <c r="AG226" s="90" t="s">
        <v>2793</v>
      </c>
      <c r="AH226" s="90" t="s">
        <v>2320</v>
      </c>
      <c r="AI226" s="90" t="s">
        <v>2320</v>
      </c>
      <c r="AJ226" s="90" t="s">
        <v>2051</v>
      </c>
      <c r="AK226" s="90" t="s">
        <v>36</v>
      </c>
      <c r="AL226" s="90" t="s">
        <v>1635</v>
      </c>
      <c r="AM226" s="90" t="s">
        <v>2307</v>
      </c>
      <c r="AN226" s="90" t="s">
        <v>2054</v>
      </c>
      <c r="AO226" s="87" t="s">
        <v>1949</v>
      </c>
      <c r="AP226" s="87" t="s">
        <v>1950</v>
      </c>
      <c r="AQ226" s="90" t="s">
        <v>2618</v>
      </c>
      <c r="AR226" s="91"/>
      <c r="AS226" s="91"/>
      <c r="AT226" s="91"/>
      <c r="AU226" s="87" t="s">
        <v>1972</v>
      </c>
      <c r="AV226" s="91"/>
      <c r="AW226" s="91"/>
      <c r="AX226" s="91"/>
      <c r="AY226" s="91"/>
      <c r="AZ226" t="str">
        <f t="shared" si="18"/>
        <v>205116</v>
      </c>
      <c r="BA226" t="str">
        <f t="shared" si="19"/>
        <v>0077</v>
      </c>
      <c r="BB226" t="str">
        <f t="shared" si="23"/>
        <v>0000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>IFERROR(VLOOKUP(X226,'Status Map'!A:B,2,FALSE),"Status Code Not Mapped")</f>
        <v>Y</v>
      </c>
      <c r="BL226" t="str">
        <f>IFERROR(VLOOKUP(D226,'Invoice Exception Map'!A:C,3,FALSE),"N")</f>
        <v>N</v>
      </c>
      <c r="BM226">
        <f t="shared" si="20"/>
        <v>8</v>
      </c>
      <c r="BN226" t="str">
        <f t="shared" si="21"/>
        <v>NILSSON</v>
      </c>
      <c r="BO226" t="str">
        <f t="shared" si="22"/>
        <v>SANDRA</v>
      </c>
    </row>
    <row r="227" spans="1:67" ht="16" thickBot="1" x14ac:dyDescent="0.25">
      <c r="A227" s="90" t="s">
        <v>2298</v>
      </c>
      <c r="B227" s="90" t="s">
        <v>2299</v>
      </c>
      <c r="C227" s="90" t="s">
        <v>2300</v>
      </c>
      <c r="D227" s="90" t="s">
        <v>3620</v>
      </c>
      <c r="E227" s="90" t="s">
        <v>1953</v>
      </c>
      <c r="F227" s="90" t="s">
        <v>2619</v>
      </c>
      <c r="G227" s="90" t="s">
        <v>2620</v>
      </c>
      <c r="H227" s="90" t="s">
        <v>267</v>
      </c>
      <c r="I227" s="90" t="s">
        <v>1944</v>
      </c>
      <c r="J227" s="90" t="s">
        <v>1620</v>
      </c>
      <c r="K227" s="90" t="s">
        <v>2222</v>
      </c>
      <c r="L227" s="90" t="s">
        <v>2621</v>
      </c>
      <c r="M227" s="87" t="s">
        <v>2003</v>
      </c>
      <c r="N227" s="87" t="s">
        <v>1999</v>
      </c>
      <c r="O227" s="88">
        <v>45033</v>
      </c>
      <c r="P227" s="89">
        <v>3.4</v>
      </c>
      <c r="Q227" s="90" t="s">
        <v>3177</v>
      </c>
      <c r="R227" s="90" t="s">
        <v>3256</v>
      </c>
      <c r="S227" s="90" t="s">
        <v>2319</v>
      </c>
      <c r="T227" s="90" t="s">
        <v>2305</v>
      </c>
      <c r="U227" s="90" t="s">
        <v>1640</v>
      </c>
      <c r="V227" s="88">
        <v>45033</v>
      </c>
      <c r="W227" s="88">
        <v>44375</v>
      </c>
      <c r="X227" s="90" t="s">
        <v>43</v>
      </c>
      <c r="Y227" s="90" t="s">
        <v>257</v>
      </c>
      <c r="Z227" s="90" t="s">
        <v>36</v>
      </c>
      <c r="AA227" s="91"/>
      <c r="AB227" s="91"/>
      <c r="AC227" s="90" t="s">
        <v>2051</v>
      </c>
      <c r="AD227" s="90" t="s">
        <v>267</v>
      </c>
      <c r="AE227" s="90" t="s">
        <v>1636</v>
      </c>
      <c r="AF227" s="90" t="s">
        <v>1947</v>
      </c>
      <c r="AG227" s="90" t="s">
        <v>2793</v>
      </c>
      <c r="AH227" s="90" t="s">
        <v>2320</v>
      </c>
      <c r="AI227" s="90" t="s">
        <v>2320</v>
      </c>
      <c r="AJ227" s="90" t="s">
        <v>2051</v>
      </c>
      <c r="AK227" s="90" t="s">
        <v>36</v>
      </c>
      <c r="AL227" s="90" t="s">
        <v>1635</v>
      </c>
      <c r="AM227" s="90" t="s">
        <v>2307</v>
      </c>
      <c r="AN227" s="90" t="s">
        <v>2054</v>
      </c>
      <c r="AO227" s="87" t="s">
        <v>1949</v>
      </c>
      <c r="AP227" s="87" t="s">
        <v>1950</v>
      </c>
      <c r="AQ227" s="90" t="s">
        <v>2622</v>
      </c>
      <c r="AR227" s="91"/>
      <c r="AS227" s="91"/>
      <c r="AT227" s="91"/>
      <c r="AU227" s="87" t="s">
        <v>1972</v>
      </c>
      <c r="AV227" s="91"/>
      <c r="AW227" s="91"/>
      <c r="AX227" s="91"/>
      <c r="AY227" s="91"/>
      <c r="AZ227" t="str">
        <f t="shared" si="18"/>
        <v>205383</v>
      </c>
      <c r="BA227" t="str">
        <f t="shared" si="19"/>
        <v>0077</v>
      </c>
      <c r="BB227" t="str">
        <f t="shared" si="23"/>
        <v>0000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>IFERROR(VLOOKUP(X227,'Status Map'!A:B,2,FALSE),"Status Code Not Mapped")</f>
        <v>Y</v>
      </c>
      <c r="BL227" t="str">
        <f>IFERROR(VLOOKUP(D227,'Invoice Exception Map'!A:C,3,FALSE),"N")</f>
        <v>N</v>
      </c>
      <c r="BM227">
        <f t="shared" si="20"/>
        <v>8</v>
      </c>
      <c r="BN227" t="str">
        <f t="shared" si="21"/>
        <v>NORLING</v>
      </c>
      <c r="BO227" t="str">
        <f t="shared" si="22"/>
        <v>CHRISTOPHER</v>
      </c>
    </row>
    <row r="228" spans="1:67" ht="16" thickBot="1" x14ac:dyDescent="0.25">
      <c r="A228" s="90" t="s">
        <v>2298</v>
      </c>
      <c r="B228" s="90" t="s">
        <v>2299</v>
      </c>
      <c r="C228" s="90" t="s">
        <v>2300</v>
      </c>
      <c r="D228" s="90" t="s">
        <v>3621</v>
      </c>
      <c r="E228" s="90" t="s">
        <v>1953</v>
      </c>
      <c r="F228" s="90" t="s">
        <v>2623</v>
      </c>
      <c r="G228" s="90" t="s">
        <v>2310</v>
      </c>
      <c r="H228" s="90" t="s">
        <v>267</v>
      </c>
      <c r="I228" s="90" t="s">
        <v>1944</v>
      </c>
      <c r="J228" s="90" t="s">
        <v>1620</v>
      </c>
      <c r="K228" s="90" t="s">
        <v>2012</v>
      </c>
      <c r="L228" s="90" t="s">
        <v>2311</v>
      </c>
      <c r="M228" s="87" t="s">
        <v>2007</v>
      </c>
      <c r="N228" s="87" t="s">
        <v>2013</v>
      </c>
      <c r="O228" s="88">
        <v>42905</v>
      </c>
      <c r="P228" s="89">
        <v>9.1999999999999993</v>
      </c>
      <c r="Q228" s="90" t="s">
        <v>3086</v>
      </c>
      <c r="R228" s="90" t="s">
        <v>3255</v>
      </c>
      <c r="S228" s="90" t="s">
        <v>2315</v>
      </c>
      <c r="T228" s="90" t="s">
        <v>2305</v>
      </c>
      <c r="U228" s="90" t="s">
        <v>1640</v>
      </c>
      <c r="V228" s="88">
        <v>42905</v>
      </c>
      <c r="W228" s="88">
        <v>42905</v>
      </c>
      <c r="X228" s="90" t="s">
        <v>43</v>
      </c>
      <c r="Y228" s="90" t="s">
        <v>257</v>
      </c>
      <c r="Z228" s="90" t="s">
        <v>36</v>
      </c>
      <c r="AA228" s="91"/>
      <c r="AB228" s="91"/>
      <c r="AC228" s="90" t="s">
        <v>2051</v>
      </c>
      <c r="AD228" s="90" t="s">
        <v>267</v>
      </c>
      <c r="AE228" s="90" t="s">
        <v>1636</v>
      </c>
      <c r="AF228" s="90" t="s">
        <v>2004</v>
      </c>
      <c r="AG228" s="90" t="s">
        <v>3277</v>
      </c>
      <c r="AH228" s="90" t="s">
        <v>2306</v>
      </c>
      <c r="AI228" s="90" t="s">
        <v>2306</v>
      </c>
      <c r="AJ228" s="90" t="s">
        <v>2051</v>
      </c>
      <c r="AK228" s="90" t="s">
        <v>36</v>
      </c>
      <c r="AL228" s="90" t="s">
        <v>1635</v>
      </c>
      <c r="AM228" s="90" t="s">
        <v>2307</v>
      </c>
      <c r="AN228" s="90" t="s">
        <v>2054</v>
      </c>
      <c r="AO228" s="87" t="s">
        <v>1949</v>
      </c>
      <c r="AP228" s="87" t="s">
        <v>1950</v>
      </c>
      <c r="AQ228" s="90" t="s">
        <v>2624</v>
      </c>
      <c r="AR228" s="91"/>
      <c r="AS228" s="91"/>
      <c r="AT228" s="91"/>
      <c r="AU228" s="87" t="s">
        <v>1972</v>
      </c>
      <c r="AV228" s="91"/>
      <c r="AW228" s="91"/>
      <c r="AX228" s="91"/>
      <c r="AY228" s="91"/>
      <c r="AZ228" t="str">
        <f t="shared" si="18"/>
        <v>205315</v>
      </c>
      <c r="BA228" t="str">
        <f t="shared" si="19"/>
        <v>0077</v>
      </c>
      <c r="BB228" t="str">
        <f t="shared" si="23"/>
        <v>0000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>IFERROR(VLOOKUP(X228,'Status Map'!A:B,2,FALSE),"Status Code Not Mapped")</f>
        <v>Y</v>
      </c>
      <c r="BL228" t="str">
        <f>IFERROR(VLOOKUP(D228,'Invoice Exception Map'!A:C,3,FALSE),"N")</f>
        <v>N</v>
      </c>
      <c r="BM228">
        <f t="shared" si="20"/>
        <v>9</v>
      </c>
      <c r="BN228" t="str">
        <f t="shared" si="21"/>
        <v>ODHAMMER</v>
      </c>
      <c r="BO228" t="str">
        <f t="shared" si="22"/>
        <v>JON</v>
      </c>
    </row>
    <row r="229" spans="1:67" ht="16" thickBot="1" x14ac:dyDescent="0.25">
      <c r="A229" s="90" t="s">
        <v>2298</v>
      </c>
      <c r="B229" s="90" t="s">
        <v>2299</v>
      </c>
      <c r="C229" s="90" t="s">
        <v>2300</v>
      </c>
      <c r="D229" s="90" t="s">
        <v>3622</v>
      </c>
      <c r="E229" s="90" t="s">
        <v>1953</v>
      </c>
      <c r="F229" s="90" t="s">
        <v>2625</v>
      </c>
      <c r="G229" s="90" t="s">
        <v>2310</v>
      </c>
      <c r="H229" s="90" t="s">
        <v>267</v>
      </c>
      <c r="I229" s="90" t="s">
        <v>1944</v>
      </c>
      <c r="J229" s="90" t="s">
        <v>1620</v>
      </c>
      <c r="K229" s="90" t="s">
        <v>2012</v>
      </c>
      <c r="L229" s="90" t="s">
        <v>2311</v>
      </c>
      <c r="M229" s="87" t="s">
        <v>2007</v>
      </c>
      <c r="N229" s="87" t="s">
        <v>2013</v>
      </c>
      <c r="O229" s="88">
        <v>40140</v>
      </c>
      <c r="P229" s="89">
        <v>16.8</v>
      </c>
      <c r="Q229" s="90" t="s">
        <v>3086</v>
      </c>
      <c r="R229" s="90" t="s">
        <v>3255</v>
      </c>
      <c r="S229" s="90" t="s">
        <v>2315</v>
      </c>
      <c r="T229" s="90" t="s">
        <v>2305</v>
      </c>
      <c r="U229" s="90" t="s">
        <v>1640</v>
      </c>
      <c r="V229" s="88">
        <v>40140</v>
      </c>
      <c r="W229" s="88">
        <v>40140</v>
      </c>
      <c r="X229" s="90" t="s">
        <v>43</v>
      </c>
      <c r="Y229" s="90" t="s">
        <v>257</v>
      </c>
      <c r="Z229" s="90" t="s">
        <v>36</v>
      </c>
      <c r="AA229" s="91"/>
      <c r="AB229" s="91"/>
      <c r="AC229" s="90" t="s">
        <v>2051</v>
      </c>
      <c r="AD229" s="90" t="s">
        <v>267</v>
      </c>
      <c r="AE229" s="90" t="s">
        <v>1636</v>
      </c>
      <c r="AF229" s="90" t="s">
        <v>2004</v>
      </c>
      <c r="AG229" s="90" t="s">
        <v>2793</v>
      </c>
      <c r="AH229" s="90" t="s">
        <v>2306</v>
      </c>
      <c r="AI229" s="90" t="s">
        <v>2306</v>
      </c>
      <c r="AJ229" s="90" t="s">
        <v>2051</v>
      </c>
      <c r="AK229" s="90" t="s">
        <v>36</v>
      </c>
      <c r="AL229" s="90" t="s">
        <v>1635</v>
      </c>
      <c r="AM229" s="90" t="s">
        <v>2307</v>
      </c>
      <c r="AN229" s="90" t="s">
        <v>2054</v>
      </c>
      <c r="AO229" s="87" t="s">
        <v>1949</v>
      </c>
      <c r="AP229" s="87" t="s">
        <v>1950</v>
      </c>
      <c r="AQ229" s="90" t="s">
        <v>2626</v>
      </c>
      <c r="AR229" s="91"/>
      <c r="AS229" s="91"/>
      <c r="AT229" s="91"/>
      <c r="AU229" s="87" t="s">
        <v>1972</v>
      </c>
      <c r="AV229" s="91"/>
      <c r="AW229" s="91"/>
      <c r="AX229" s="91"/>
      <c r="AY229" s="91"/>
      <c r="AZ229" t="str">
        <f t="shared" si="18"/>
        <v>205315</v>
      </c>
      <c r="BA229" t="str">
        <f t="shared" si="19"/>
        <v>0077</v>
      </c>
      <c r="BB229" t="str">
        <f t="shared" si="23"/>
        <v>0000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>IFERROR(VLOOKUP(X229,'Status Map'!A:B,2,FALSE),"Status Code Not Mapped")</f>
        <v>Y</v>
      </c>
      <c r="BL229" t="str">
        <f>IFERROR(VLOOKUP(D229,'Invoice Exception Map'!A:C,3,FALSE),"N")</f>
        <v>N</v>
      </c>
      <c r="BM229">
        <f t="shared" si="20"/>
        <v>6</v>
      </c>
      <c r="BN229" t="str">
        <f t="shared" si="21"/>
        <v>ODZAK</v>
      </c>
      <c r="BO229" t="str">
        <f t="shared" si="22"/>
        <v>MUSA</v>
      </c>
    </row>
    <row r="230" spans="1:67" ht="16" thickBot="1" x14ac:dyDescent="0.25">
      <c r="A230" s="90" t="s">
        <v>2298</v>
      </c>
      <c r="B230" s="90" t="s">
        <v>2299</v>
      </c>
      <c r="C230" s="90" t="s">
        <v>2300</v>
      </c>
      <c r="D230" s="90" t="s">
        <v>3623</v>
      </c>
      <c r="E230" s="90" t="s">
        <v>1953</v>
      </c>
      <c r="F230" s="90" t="s">
        <v>2627</v>
      </c>
      <c r="G230" s="90" t="s">
        <v>2318</v>
      </c>
      <c r="H230" s="90" t="s">
        <v>267</v>
      </c>
      <c r="I230" s="90" t="s">
        <v>1944</v>
      </c>
      <c r="J230" s="90" t="s">
        <v>1620</v>
      </c>
      <c r="K230" s="90" t="s">
        <v>247</v>
      </c>
      <c r="L230" s="90" t="s">
        <v>2003</v>
      </c>
      <c r="M230" s="87" t="s">
        <v>2003</v>
      </c>
      <c r="N230" s="87" t="s">
        <v>1999</v>
      </c>
      <c r="O230" s="88">
        <v>42528</v>
      </c>
      <c r="P230" s="89">
        <v>10.199999999999999</v>
      </c>
      <c r="Q230" s="90" t="s">
        <v>3089</v>
      </c>
      <c r="R230" s="90" t="s">
        <v>3261</v>
      </c>
      <c r="S230" s="90" t="s">
        <v>2346</v>
      </c>
      <c r="T230" s="90" t="s">
        <v>2305</v>
      </c>
      <c r="U230" s="90" t="s">
        <v>1640</v>
      </c>
      <c r="V230" s="88">
        <v>42528</v>
      </c>
      <c r="W230" s="88">
        <v>42528</v>
      </c>
      <c r="X230" s="90" t="s">
        <v>43</v>
      </c>
      <c r="Y230" s="90" t="s">
        <v>257</v>
      </c>
      <c r="Z230" s="90" t="s">
        <v>36</v>
      </c>
      <c r="AA230" s="91"/>
      <c r="AB230" s="91"/>
      <c r="AC230" s="90" t="s">
        <v>2051</v>
      </c>
      <c r="AD230" s="90" t="s">
        <v>267</v>
      </c>
      <c r="AE230" s="90" t="s">
        <v>1636</v>
      </c>
      <c r="AF230" s="90" t="s">
        <v>2004</v>
      </c>
      <c r="AG230" s="90" t="s">
        <v>2793</v>
      </c>
      <c r="AH230" s="90" t="s">
        <v>2320</v>
      </c>
      <c r="AI230" s="90" t="s">
        <v>2320</v>
      </c>
      <c r="AJ230" s="90" t="s">
        <v>2051</v>
      </c>
      <c r="AK230" s="90" t="s">
        <v>36</v>
      </c>
      <c r="AL230" s="90" t="s">
        <v>1635</v>
      </c>
      <c r="AM230" s="90" t="s">
        <v>2307</v>
      </c>
      <c r="AN230" s="90" t="s">
        <v>2054</v>
      </c>
      <c r="AO230" s="87" t="s">
        <v>1949</v>
      </c>
      <c r="AP230" s="87" t="s">
        <v>1950</v>
      </c>
      <c r="AQ230" s="90" t="s">
        <v>2628</v>
      </c>
      <c r="AR230" s="91"/>
      <c r="AS230" s="91"/>
      <c r="AT230" s="91"/>
      <c r="AU230" s="87" t="s">
        <v>1972</v>
      </c>
      <c r="AV230" s="91"/>
      <c r="AW230" s="91"/>
      <c r="AX230" s="91"/>
      <c r="AY230" s="91"/>
      <c r="AZ230" t="str">
        <f t="shared" si="18"/>
        <v>205116</v>
      </c>
      <c r="BA230" t="str">
        <f t="shared" si="19"/>
        <v>0077</v>
      </c>
      <c r="BB230" t="str">
        <f t="shared" si="23"/>
        <v>0000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>IFERROR(VLOOKUP(X230,'Status Map'!A:B,2,FALSE),"Status Code Not Mapped")</f>
        <v>Y</v>
      </c>
      <c r="BL230" t="str">
        <f>IFERROR(VLOOKUP(D230,'Invoice Exception Map'!A:C,3,FALSE),"N")</f>
        <v>N</v>
      </c>
      <c r="BM230">
        <f t="shared" si="20"/>
        <v>7</v>
      </c>
      <c r="BN230" t="str">
        <f t="shared" si="21"/>
        <v>OHLSON</v>
      </c>
      <c r="BO230" t="str">
        <f t="shared" si="22"/>
        <v>AMANDA</v>
      </c>
    </row>
    <row r="231" spans="1:67" ht="16" thickBot="1" x14ac:dyDescent="0.25">
      <c r="A231" s="90" t="s">
        <v>2298</v>
      </c>
      <c r="B231" s="90" t="s">
        <v>2299</v>
      </c>
      <c r="C231" s="90" t="s">
        <v>2300</v>
      </c>
      <c r="D231" s="90" t="s">
        <v>3624</v>
      </c>
      <c r="E231" s="90" t="s">
        <v>1953</v>
      </c>
      <c r="F231" s="90" t="s">
        <v>2629</v>
      </c>
      <c r="G231" s="90" t="s">
        <v>2310</v>
      </c>
      <c r="H231" s="90" t="s">
        <v>267</v>
      </c>
      <c r="I231" s="90" t="s">
        <v>1944</v>
      </c>
      <c r="J231" s="90" t="s">
        <v>1620</v>
      </c>
      <c r="K231" s="90" t="s">
        <v>2012</v>
      </c>
      <c r="L231" s="90" t="s">
        <v>2311</v>
      </c>
      <c r="M231" s="87" t="s">
        <v>2007</v>
      </c>
      <c r="N231" s="87" t="s">
        <v>2013</v>
      </c>
      <c r="O231" s="88">
        <v>43268</v>
      </c>
      <c r="P231" s="89">
        <v>8.1999999999999993</v>
      </c>
      <c r="Q231" s="90" t="s">
        <v>3086</v>
      </c>
      <c r="R231" s="90" t="s">
        <v>3255</v>
      </c>
      <c r="S231" s="90" t="s">
        <v>2315</v>
      </c>
      <c r="T231" s="90" t="s">
        <v>2305</v>
      </c>
      <c r="U231" s="90" t="s">
        <v>1640</v>
      </c>
      <c r="V231" s="88">
        <v>43268</v>
      </c>
      <c r="W231" s="88">
        <v>43268</v>
      </c>
      <c r="X231" s="90" t="s">
        <v>43</v>
      </c>
      <c r="Y231" s="90" t="s">
        <v>257</v>
      </c>
      <c r="Z231" s="90" t="s">
        <v>36</v>
      </c>
      <c r="AA231" s="91"/>
      <c r="AB231" s="91"/>
      <c r="AC231" s="90" t="s">
        <v>2051</v>
      </c>
      <c r="AD231" s="90" t="s">
        <v>267</v>
      </c>
      <c r="AE231" s="90" t="s">
        <v>1636</v>
      </c>
      <c r="AF231" s="90" t="s">
        <v>2004</v>
      </c>
      <c r="AG231" s="90" t="s">
        <v>2793</v>
      </c>
      <c r="AH231" s="90" t="s">
        <v>2306</v>
      </c>
      <c r="AI231" s="90" t="s">
        <v>2306</v>
      </c>
      <c r="AJ231" s="90" t="s">
        <v>2051</v>
      </c>
      <c r="AK231" s="90" t="s">
        <v>36</v>
      </c>
      <c r="AL231" s="90" t="s">
        <v>1635</v>
      </c>
      <c r="AM231" s="90" t="s">
        <v>2307</v>
      </c>
      <c r="AN231" s="90" t="s">
        <v>2054</v>
      </c>
      <c r="AO231" s="87" t="s">
        <v>1949</v>
      </c>
      <c r="AP231" s="87" t="s">
        <v>1950</v>
      </c>
      <c r="AQ231" s="90" t="s">
        <v>2630</v>
      </c>
      <c r="AR231" s="91"/>
      <c r="AS231" s="91"/>
      <c r="AT231" s="91"/>
      <c r="AU231" s="87" t="s">
        <v>1972</v>
      </c>
      <c r="AV231" s="91"/>
      <c r="AW231" s="91"/>
      <c r="AX231" s="91"/>
      <c r="AY231" s="91"/>
      <c r="AZ231" t="str">
        <f t="shared" si="18"/>
        <v>205315</v>
      </c>
      <c r="BA231" t="str">
        <f t="shared" si="19"/>
        <v>0077</v>
      </c>
      <c r="BB231" t="str">
        <f t="shared" si="23"/>
        <v>0000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>IFERROR(VLOOKUP(X231,'Status Map'!A:B,2,FALSE),"Status Code Not Mapped")</f>
        <v>Y</v>
      </c>
      <c r="BL231" t="str">
        <f>IFERROR(VLOOKUP(D231,'Invoice Exception Map'!A:C,3,FALSE),"N")</f>
        <v>N</v>
      </c>
      <c r="BM231">
        <f t="shared" si="20"/>
        <v>7</v>
      </c>
      <c r="BN231" t="str">
        <f t="shared" si="21"/>
        <v>OLESEN</v>
      </c>
      <c r="BO231" t="str">
        <f t="shared" si="22"/>
        <v>TOBIAS</v>
      </c>
    </row>
    <row r="232" spans="1:67" ht="16" thickBot="1" x14ac:dyDescent="0.25">
      <c r="A232" s="90" t="s">
        <v>2298</v>
      </c>
      <c r="B232" s="90" t="s">
        <v>2299</v>
      </c>
      <c r="C232" s="90" t="s">
        <v>2300</v>
      </c>
      <c r="D232" s="90" t="s">
        <v>3625</v>
      </c>
      <c r="E232" s="90" t="s">
        <v>1953</v>
      </c>
      <c r="F232" s="90" t="s">
        <v>2631</v>
      </c>
      <c r="G232" s="90" t="s">
        <v>2310</v>
      </c>
      <c r="H232" s="90" t="s">
        <v>267</v>
      </c>
      <c r="I232" s="90" t="s">
        <v>1944</v>
      </c>
      <c r="J232" s="90" t="s">
        <v>1620</v>
      </c>
      <c r="K232" s="90" t="s">
        <v>2012</v>
      </c>
      <c r="L232" s="90" t="s">
        <v>2311</v>
      </c>
      <c r="M232" s="87" t="s">
        <v>2007</v>
      </c>
      <c r="N232" s="87" t="s">
        <v>2013</v>
      </c>
      <c r="O232" s="88">
        <v>42697</v>
      </c>
      <c r="P232" s="89">
        <v>9.8000000000000007</v>
      </c>
      <c r="Q232" s="90" t="s">
        <v>3086</v>
      </c>
      <c r="R232" s="90" t="s">
        <v>3255</v>
      </c>
      <c r="S232" s="90" t="s">
        <v>2315</v>
      </c>
      <c r="T232" s="90" t="s">
        <v>2305</v>
      </c>
      <c r="U232" s="90" t="s">
        <v>1640</v>
      </c>
      <c r="V232" s="88">
        <v>42697</v>
      </c>
      <c r="W232" s="88">
        <v>42697</v>
      </c>
      <c r="X232" s="90" t="s">
        <v>43</v>
      </c>
      <c r="Y232" s="90" t="s">
        <v>257</v>
      </c>
      <c r="Z232" s="90" t="s">
        <v>36</v>
      </c>
      <c r="AA232" s="91"/>
      <c r="AB232" s="91"/>
      <c r="AC232" s="90" t="s">
        <v>2051</v>
      </c>
      <c r="AD232" s="90" t="s">
        <v>267</v>
      </c>
      <c r="AE232" s="90" t="s">
        <v>1636</v>
      </c>
      <c r="AF232" s="90" t="s">
        <v>2004</v>
      </c>
      <c r="AG232" s="90" t="s">
        <v>2793</v>
      </c>
      <c r="AH232" s="90" t="s">
        <v>2306</v>
      </c>
      <c r="AI232" s="90" t="s">
        <v>2306</v>
      </c>
      <c r="AJ232" s="90" t="s">
        <v>2051</v>
      </c>
      <c r="AK232" s="90" t="s">
        <v>36</v>
      </c>
      <c r="AL232" s="90" t="s">
        <v>1635</v>
      </c>
      <c r="AM232" s="90" t="s">
        <v>2307</v>
      </c>
      <c r="AN232" s="90" t="s">
        <v>2054</v>
      </c>
      <c r="AO232" s="87" t="s">
        <v>1949</v>
      </c>
      <c r="AP232" s="87" t="s">
        <v>1950</v>
      </c>
      <c r="AQ232" s="90" t="s">
        <v>2632</v>
      </c>
      <c r="AR232" s="91"/>
      <c r="AS232" s="91"/>
      <c r="AT232" s="91"/>
      <c r="AU232" s="87" t="s">
        <v>1972</v>
      </c>
      <c r="AV232" s="91"/>
      <c r="AW232" s="91"/>
      <c r="AX232" s="91"/>
      <c r="AY232" s="91"/>
      <c r="AZ232" t="str">
        <f t="shared" si="18"/>
        <v>205315</v>
      </c>
      <c r="BA232" t="str">
        <f t="shared" si="19"/>
        <v>0077</v>
      </c>
      <c r="BB232" t="str">
        <f t="shared" si="23"/>
        <v>0000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>IFERROR(VLOOKUP(X232,'Status Map'!A:B,2,FALSE),"Status Code Not Mapped")</f>
        <v>Y</v>
      </c>
      <c r="BL232" t="str">
        <f>IFERROR(VLOOKUP(D232,'Invoice Exception Map'!A:C,3,FALSE),"N")</f>
        <v>N</v>
      </c>
      <c r="BM232">
        <f t="shared" si="20"/>
        <v>6</v>
      </c>
      <c r="BN232" t="str">
        <f t="shared" si="21"/>
        <v>OLGUS</v>
      </c>
      <c r="BO232" t="str">
        <f t="shared" si="22"/>
        <v>DAVID</v>
      </c>
    </row>
    <row r="233" spans="1:67" ht="16" thickBot="1" x14ac:dyDescent="0.25">
      <c r="A233" s="90" t="s">
        <v>2298</v>
      </c>
      <c r="B233" s="90" t="s">
        <v>2299</v>
      </c>
      <c r="C233" s="90" t="s">
        <v>2300</v>
      </c>
      <c r="D233" s="90" t="s">
        <v>3626</v>
      </c>
      <c r="E233" s="90" t="s">
        <v>1953</v>
      </c>
      <c r="F233" s="90" t="s">
        <v>2633</v>
      </c>
      <c r="G233" s="90" t="s">
        <v>2539</v>
      </c>
      <c r="H233" s="90" t="s">
        <v>267</v>
      </c>
      <c r="I233" s="90" t="s">
        <v>1944</v>
      </c>
      <c r="J233" s="90" t="s">
        <v>1620</v>
      </c>
      <c r="K233" s="90" t="s">
        <v>2540</v>
      </c>
      <c r="L233" s="90" t="s">
        <v>2541</v>
      </c>
      <c r="M233" s="87" t="s">
        <v>1970</v>
      </c>
      <c r="N233" s="87" t="s">
        <v>303</v>
      </c>
      <c r="O233" s="88">
        <v>41806</v>
      </c>
      <c r="P233" s="89">
        <v>12.2</v>
      </c>
      <c r="Q233" s="90" t="s">
        <v>3090</v>
      </c>
      <c r="R233" s="90" t="s">
        <v>3272</v>
      </c>
      <c r="S233" s="90" t="s">
        <v>2447</v>
      </c>
      <c r="T233" s="90" t="s">
        <v>2305</v>
      </c>
      <c r="U233" s="90" t="s">
        <v>1640</v>
      </c>
      <c r="V233" s="88">
        <v>41806</v>
      </c>
      <c r="W233" s="88">
        <v>41806</v>
      </c>
      <c r="X233" s="90" t="s">
        <v>43</v>
      </c>
      <c r="Y233" s="90" t="s">
        <v>257</v>
      </c>
      <c r="Z233" s="90" t="s">
        <v>36</v>
      </c>
      <c r="AA233" s="91"/>
      <c r="AB233" s="91"/>
      <c r="AC233" s="90" t="s">
        <v>2051</v>
      </c>
      <c r="AD233" s="90" t="s">
        <v>267</v>
      </c>
      <c r="AE233" s="90" t="s">
        <v>1636</v>
      </c>
      <c r="AF233" s="90" t="s">
        <v>2004</v>
      </c>
      <c r="AG233" s="90" t="s">
        <v>3278</v>
      </c>
      <c r="AH233" s="90" t="s">
        <v>2327</v>
      </c>
      <c r="AI233" s="90" t="s">
        <v>2327</v>
      </c>
      <c r="AJ233" s="90" t="s">
        <v>2051</v>
      </c>
      <c r="AK233" s="90" t="s">
        <v>36</v>
      </c>
      <c r="AL233" s="90" t="s">
        <v>1635</v>
      </c>
      <c r="AM233" s="90" t="s">
        <v>2307</v>
      </c>
      <c r="AN233" s="90" t="s">
        <v>2054</v>
      </c>
      <c r="AO233" s="87" t="s">
        <v>1949</v>
      </c>
      <c r="AP233" s="87" t="s">
        <v>1950</v>
      </c>
      <c r="AQ233" s="90" t="s">
        <v>2634</v>
      </c>
      <c r="AR233" s="91"/>
      <c r="AS233" s="91"/>
      <c r="AT233" s="91"/>
      <c r="AU233" s="87" t="s">
        <v>1972</v>
      </c>
      <c r="AV233" s="91"/>
      <c r="AW233" s="91"/>
      <c r="AX233" s="91"/>
      <c r="AY233" s="91"/>
      <c r="AZ233" t="str">
        <f t="shared" si="18"/>
        <v>213460</v>
      </c>
      <c r="BA233" t="str">
        <f t="shared" si="19"/>
        <v>0077</v>
      </c>
      <c r="BB233" t="str">
        <f t="shared" si="23"/>
        <v>0000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>IFERROR(VLOOKUP(X233,'Status Map'!A:B,2,FALSE),"Status Code Not Mapped")</f>
        <v>Y</v>
      </c>
      <c r="BL233" t="str">
        <f>IFERROR(VLOOKUP(D233,'Invoice Exception Map'!A:C,3,FALSE),"N")</f>
        <v>N</v>
      </c>
      <c r="BM233">
        <f t="shared" si="20"/>
        <v>6</v>
      </c>
      <c r="BN233" t="str">
        <f t="shared" si="21"/>
        <v>OSOLA</v>
      </c>
      <c r="BO233" t="str">
        <f t="shared" si="22"/>
        <v>MARCUS</v>
      </c>
    </row>
    <row r="234" spans="1:67" s="106" customFormat="1" ht="16" thickBot="1" x14ac:dyDescent="0.25">
      <c r="A234" s="100" t="s">
        <v>2298</v>
      </c>
      <c r="B234" s="100" t="s">
        <v>2299</v>
      </c>
      <c r="C234" s="100" t="s">
        <v>2300</v>
      </c>
      <c r="D234" s="100" t="s">
        <v>3627</v>
      </c>
      <c r="E234" s="100" t="s">
        <v>1953</v>
      </c>
      <c r="F234" s="100" t="s">
        <v>2635</v>
      </c>
      <c r="G234" s="100" t="s">
        <v>2323</v>
      </c>
      <c r="H234" s="100" t="s">
        <v>1943</v>
      </c>
      <c r="I234" s="100" t="s">
        <v>1944</v>
      </c>
      <c r="J234" s="100" t="s">
        <v>1620</v>
      </c>
      <c r="K234" s="100" t="s">
        <v>2324</v>
      </c>
      <c r="L234" s="100" t="s">
        <v>2324</v>
      </c>
      <c r="M234" s="101" t="s">
        <v>2010</v>
      </c>
      <c r="N234" s="101" t="s">
        <v>2325</v>
      </c>
      <c r="O234" s="102">
        <v>35366</v>
      </c>
      <c r="P234" s="103">
        <v>29.9</v>
      </c>
      <c r="Q234" s="100" t="s">
        <v>3087</v>
      </c>
      <c r="R234" s="100" t="s">
        <v>3257</v>
      </c>
      <c r="S234" s="100" t="s">
        <v>2326</v>
      </c>
      <c r="T234" s="100" t="s">
        <v>2305</v>
      </c>
      <c r="U234" s="100" t="s">
        <v>1640</v>
      </c>
      <c r="V234" s="102">
        <v>35366</v>
      </c>
      <c r="W234" s="102">
        <v>35366</v>
      </c>
      <c r="X234" s="100" t="s">
        <v>43</v>
      </c>
      <c r="Y234" s="100" t="s">
        <v>257</v>
      </c>
      <c r="Z234" s="100" t="s">
        <v>36</v>
      </c>
      <c r="AA234" s="104"/>
      <c r="AB234" s="104"/>
      <c r="AC234" s="100" t="s">
        <v>2051</v>
      </c>
      <c r="AD234" s="100" t="s">
        <v>267</v>
      </c>
      <c r="AE234" s="100" t="s">
        <v>1636</v>
      </c>
      <c r="AF234" s="100" t="s">
        <v>2004</v>
      </c>
      <c r="AG234" s="100" t="s">
        <v>2793</v>
      </c>
      <c r="AH234" s="100" t="s">
        <v>2327</v>
      </c>
      <c r="AI234" s="100" t="s">
        <v>2327</v>
      </c>
      <c r="AJ234" s="100" t="s">
        <v>2051</v>
      </c>
      <c r="AK234" s="100" t="s">
        <v>36</v>
      </c>
      <c r="AL234" s="100" t="s">
        <v>1635</v>
      </c>
      <c r="AM234" s="100" t="s">
        <v>2307</v>
      </c>
      <c r="AN234" s="100" t="s">
        <v>2054</v>
      </c>
      <c r="AO234" s="101" t="s">
        <v>1949</v>
      </c>
      <c r="AP234" s="101" t="s">
        <v>1950</v>
      </c>
      <c r="AQ234" s="114" t="s">
        <v>4144</v>
      </c>
      <c r="AR234" s="104"/>
      <c r="AS234" s="104"/>
      <c r="AT234" s="104"/>
      <c r="AU234" s="101" t="s">
        <v>1972</v>
      </c>
      <c r="AV234" s="104"/>
      <c r="AW234" s="104"/>
      <c r="AX234" s="104"/>
      <c r="AY234" s="104"/>
      <c r="AZ234" s="106" t="str">
        <f t="shared" si="18"/>
        <v>205384</v>
      </c>
      <c r="BA234" s="106" t="str">
        <f t="shared" si="19"/>
        <v>0077</v>
      </c>
      <c r="BB234" t="str">
        <f t="shared" si="23"/>
        <v>0000</v>
      </c>
      <c r="BC234" s="106" t="str">
        <f>IFERROR(VLOOKUP(TRIM(Q234),'Salary Map'!A:E,3,FALSE),"Salary Code Not Mapped")</f>
        <v>Default</v>
      </c>
      <c r="BD234" s="106" t="str">
        <f>IFERROR(VLOOKUP(TRIM(Q234),'Salary Map'!A:E,4,FALSE),"Salary Code Not Mapped")</f>
        <v>General</v>
      </c>
      <c r="BE234" s="106">
        <f>IF(BL234="N",0,IFERROR(VLOOKUP(TRIM(Q234),'Salary Map'!A:E,5,FALSE),"Salary Not Mapped"))</f>
        <v>0</v>
      </c>
      <c r="BF234" s="106" t="str">
        <f>IFERROR(VLOOKUP(AM234,'Country Map'!A:E,2,FALSE),"Country Not Mapped")</f>
        <v>SE</v>
      </c>
      <c r="BH234" s="106" t="str">
        <f>IFERROR(VLOOKUP(AM234,'Country Map'!A:E,4,FALSE),"Country Not Mapped")</f>
        <v>SEK</v>
      </c>
      <c r="BJ234" s="106" t="str">
        <f>IFERROR(VLOOKUP(X234,'Status Map'!A:B,2,FALSE),"Status Code Not Mapped")</f>
        <v>Y</v>
      </c>
      <c r="BL234" s="106" t="str">
        <f>IFERROR(VLOOKUP(D234,'Invoice Exception Map'!A:C,3,FALSE),"N")</f>
        <v>N</v>
      </c>
      <c r="BM234" s="106">
        <f t="shared" si="20"/>
        <v>4</v>
      </c>
      <c r="BN234" s="106" t="str">
        <f t="shared" si="21"/>
        <v>ÖST</v>
      </c>
      <c r="BO234" s="106" t="str">
        <f t="shared" si="22"/>
        <v>DANIEL</v>
      </c>
    </row>
    <row r="235" spans="1:67" ht="16" thickBot="1" x14ac:dyDescent="0.25">
      <c r="A235" s="90" t="s">
        <v>2298</v>
      </c>
      <c r="B235" s="90" t="s">
        <v>2299</v>
      </c>
      <c r="C235" s="90" t="s">
        <v>2300</v>
      </c>
      <c r="D235" s="90" t="s">
        <v>3628</v>
      </c>
      <c r="E235" s="90" t="s">
        <v>1953</v>
      </c>
      <c r="F235" s="90" t="s">
        <v>2636</v>
      </c>
      <c r="G235" s="90" t="s">
        <v>2318</v>
      </c>
      <c r="H235" s="90" t="s">
        <v>267</v>
      </c>
      <c r="I235" s="90" t="s">
        <v>1944</v>
      </c>
      <c r="J235" s="90" t="s">
        <v>1620</v>
      </c>
      <c r="K235" s="90" t="s">
        <v>247</v>
      </c>
      <c r="L235" s="90" t="s">
        <v>2003</v>
      </c>
      <c r="M235" s="87" t="s">
        <v>2003</v>
      </c>
      <c r="N235" s="87" t="s">
        <v>1999</v>
      </c>
      <c r="O235" s="88">
        <v>41760</v>
      </c>
      <c r="P235" s="89">
        <v>12.3</v>
      </c>
      <c r="Q235" s="90" t="s">
        <v>3089</v>
      </c>
      <c r="R235" s="90" t="s">
        <v>3256</v>
      </c>
      <c r="S235" s="90" t="s">
        <v>2319</v>
      </c>
      <c r="T235" s="90" t="s">
        <v>2305</v>
      </c>
      <c r="U235" s="90" t="s">
        <v>1640</v>
      </c>
      <c r="V235" s="88">
        <v>41760</v>
      </c>
      <c r="W235" s="88">
        <v>41760</v>
      </c>
      <c r="X235" s="90" t="s">
        <v>43</v>
      </c>
      <c r="Y235" s="90" t="s">
        <v>257</v>
      </c>
      <c r="Z235" s="90" t="s">
        <v>36</v>
      </c>
      <c r="AA235" s="91"/>
      <c r="AB235" s="91"/>
      <c r="AC235" s="90" t="s">
        <v>2051</v>
      </c>
      <c r="AD235" s="90" t="s">
        <v>267</v>
      </c>
      <c r="AE235" s="90" t="s">
        <v>1636</v>
      </c>
      <c r="AF235" s="90" t="s">
        <v>2004</v>
      </c>
      <c r="AG235" s="90" t="s">
        <v>3271</v>
      </c>
      <c r="AH235" s="90" t="s">
        <v>2320</v>
      </c>
      <c r="AI235" s="90" t="s">
        <v>2320</v>
      </c>
      <c r="AJ235" s="90" t="s">
        <v>2051</v>
      </c>
      <c r="AK235" s="90" t="s">
        <v>36</v>
      </c>
      <c r="AL235" s="90" t="s">
        <v>1635</v>
      </c>
      <c r="AM235" s="90" t="s">
        <v>2307</v>
      </c>
      <c r="AN235" s="90" t="s">
        <v>2054</v>
      </c>
      <c r="AO235" s="87" t="s">
        <v>1949</v>
      </c>
      <c r="AP235" s="87" t="s">
        <v>1950</v>
      </c>
      <c r="AQ235" s="90" t="s">
        <v>2637</v>
      </c>
      <c r="AR235" s="91"/>
      <c r="AS235" s="91"/>
      <c r="AT235" s="91"/>
      <c r="AU235" s="87" t="s">
        <v>1972</v>
      </c>
      <c r="AV235" s="91"/>
      <c r="AW235" s="91"/>
      <c r="AX235" s="91"/>
      <c r="AY235" s="91"/>
      <c r="AZ235" t="str">
        <f t="shared" si="18"/>
        <v>205383</v>
      </c>
      <c r="BA235" t="str">
        <f t="shared" si="19"/>
        <v>0077</v>
      </c>
      <c r="BB235" t="str">
        <f t="shared" si="23"/>
        <v>0000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>IFERROR(VLOOKUP(X235,'Status Map'!A:B,2,FALSE),"Status Code Not Mapped")</f>
        <v>Y</v>
      </c>
      <c r="BL235" t="str">
        <f>IFERROR(VLOOKUP(D235,'Invoice Exception Map'!A:C,3,FALSE),"N")</f>
        <v>N</v>
      </c>
      <c r="BM235">
        <f t="shared" si="20"/>
        <v>9</v>
      </c>
      <c r="BN235" t="str">
        <f t="shared" si="21"/>
        <v>OTTOSSON</v>
      </c>
      <c r="BO235" t="str">
        <f t="shared" si="22"/>
        <v>ALEXANDRA</v>
      </c>
    </row>
    <row r="236" spans="1:67" ht="16" thickBot="1" x14ac:dyDescent="0.25">
      <c r="A236" s="90" t="s">
        <v>2298</v>
      </c>
      <c r="B236" s="90" t="s">
        <v>2299</v>
      </c>
      <c r="C236" s="90" t="s">
        <v>2300</v>
      </c>
      <c r="D236" s="90" t="s">
        <v>3629</v>
      </c>
      <c r="E236" s="90" t="s">
        <v>1953</v>
      </c>
      <c r="F236" s="90" t="s">
        <v>2638</v>
      </c>
      <c r="G236" s="90" t="s">
        <v>2382</v>
      </c>
      <c r="H236" s="90" t="s">
        <v>267</v>
      </c>
      <c r="I236" s="90" t="s">
        <v>1944</v>
      </c>
      <c r="J236" s="90" t="s">
        <v>1620</v>
      </c>
      <c r="K236" s="90" t="s">
        <v>2383</v>
      </c>
      <c r="L236" s="90" t="s">
        <v>2338</v>
      </c>
      <c r="M236" s="87" t="s">
        <v>2338</v>
      </c>
      <c r="N236" s="87" t="s">
        <v>2005</v>
      </c>
      <c r="O236" s="88">
        <v>40623</v>
      </c>
      <c r="P236" s="89">
        <v>15.4</v>
      </c>
      <c r="Q236" s="90" t="s">
        <v>3089</v>
      </c>
      <c r="R236" s="90" t="s">
        <v>3260</v>
      </c>
      <c r="S236" s="90" t="s">
        <v>2339</v>
      </c>
      <c r="T236" s="90" t="s">
        <v>2305</v>
      </c>
      <c r="U236" s="90" t="s">
        <v>1640</v>
      </c>
      <c r="V236" s="88">
        <v>40623</v>
      </c>
      <c r="W236" s="88">
        <v>40623</v>
      </c>
      <c r="X236" s="90" t="s">
        <v>43</v>
      </c>
      <c r="Y236" s="90" t="s">
        <v>257</v>
      </c>
      <c r="Z236" s="90" t="s">
        <v>36</v>
      </c>
      <c r="AA236" s="91"/>
      <c r="AB236" s="91"/>
      <c r="AC236" s="90" t="s">
        <v>2051</v>
      </c>
      <c r="AD236" s="90" t="s">
        <v>267</v>
      </c>
      <c r="AE236" s="90" t="s">
        <v>1636</v>
      </c>
      <c r="AF236" s="90" t="s">
        <v>2004</v>
      </c>
      <c r="AG236" s="90" t="s">
        <v>2793</v>
      </c>
      <c r="AH236" s="90" t="s">
        <v>2384</v>
      </c>
      <c r="AI236" s="90" t="s">
        <v>2384</v>
      </c>
      <c r="AJ236" s="90" t="s">
        <v>2051</v>
      </c>
      <c r="AK236" s="90" t="s">
        <v>36</v>
      </c>
      <c r="AL236" s="90" t="s">
        <v>1635</v>
      </c>
      <c r="AM236" s="90" t="s">
        <v>2307</v>
      </c>
      <c r="AN236" s="90" t="s">
        <v>2054</v>
      </c>
      <c r="AO236" s="87" t="s">
        <v>1949</v>
      </c>
      <c r="AP236" s="87" t="s">
        <v>1950</v>
      </c>
      <c r="AQ236" s="90" t="s">
        <v>2639</v>
      </c>
      <c r="AR236" s="91"/>
      <c r="AS236" s="91"/>
      <c r="AT236" s="91"/>
      <c r="AU236" s="87" t="s">
        <v>1972</v>
      </c>
      <c r="AV236" s="91"/>
      <c r="AW236" s="91"/>
      <c r="AX236" s="91"/>
      <c r="AY236" s="91"/>
      <c r="AZ236" t="str">
        <f t="shared" si="18"/>
        <v>205380</v>
      </c>
      <c r="BA236" t="str">
        <f t="shared" si="19"/>
        <v>0077</v>
      </c>
      <c r="BB236" t="str">
        <f t="shared" si="23"/>
        <v>0000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>IFERROR(VLOOKUP(X236,'Status Map'!A:B,2,FALSE),"Status Code Not Mapped")</f>
        <v>Y</v>
      </c>
      <c r="BL236" t="str">
        <f>IFERROR(VLOOKUP(D236,'Invoice Exception Map'!A:C,3,FALSE),"N")</f>
        <v>N</v>
      </c>
      <c r="BM236">
        <f t="shared" si="20"/>
        <v>9</v>
      </c>
      <c r="BN236" t="str">
        <f t="shared" si="21"/>
        <v>OTTOSSON</v>
      </c>
      <c r="BO236" t="str">
        <f t="shared" si="22"/>
        <v>ROBIN</v>
      </c>
    </row>
    <row r="237" spans="1:67" ht="16" thickBot="1" x14ac:dyDescent="0.25">
      <c r="A237" s="90" t="s">
        <v>2298</v>
      </c>
      <c r="B237" s="90" t="s">
        <v>2299</v>
      </c>
      <c r="C237" s="90" t="s">
        <v>2300</v>
      </c>
      <c r="D237" s="90" t="s">
        <v>3630</v>
      </c>
      <c r="E237" s="90" t="s">
        <v>1953</v>
      </c>
      <c r="F237" s="90" t="s">
        <v>2640</v>
      </c>
      <c r="G237" s="90" t="s">
        <v>2310</v>
      </c>
      <c r="H237" s="90" t="s">
        <v>267</v>
      </c>
      <c r="I237" s="90" t="s">
        <v>1944</v>
      </c>
      <c r="J237" s="90" t="s">
        <v>1620</v>
      </c>
      <c r="K237" s="90" t="s">
        <v>2012</v>
      </c>
      <c r="L237" s="90" t="s">
        <v>2311</v>
      </c>
      <c r="M237" s="87" t="s">
        <v>2007</v>
      </c>
      <c r="N237" s="87" t="s">
        <v>2013</v>
      </c>
      <c r="O237" s="88">
        <v>37473</v>
      </c>
      <c r="P237" s="89">
        <v>24</v>
      </c>
      <c r="Q237" s="90" t="s">
        <v>3086</v>
      </c>
      <c r="R237" s="90" t="s">
        <v>3255</v>
      </c>
      <c r="S237" s="90" t="s">
        <v>2315</v>
      </c>
      <c r="T237" s="90" t="s">
        <v>2305</v>
      </c>
      <c r="U237" s="90" t="s">
        <v>1640</v>
      </c>
      <c r="V237" s="88">
        <v>37473</v>
      </c>
      <c r="W237" s="88">
        <v>37473</v>
      </c>
      <c r="X237" s="90" t="s">
        <v>43</v>
      </c>
      <c r="Y237" s="90" t="s">
        <v>257</v>
      </c>
      <c r="Z237" s="90" t="s">
        <v>36</v>
      </c>
      <c r="AA237" s="91"/>
      <c r="AB237" s="91"/>
      <c r="AC237" s="90" t="s">
        <v>2051</v>
      </c>
      <c r="AD237" s="90" t="s">
        <v>267</v>
      </c>
      <c r="AE237" s="90" t="s">
        <v>1636</v>
      </c>
      <c r="AF237" s="90" t="s">
        <v>2004</v>
      </c>
      <c r="AG237" s="90" t="s">
        <v>2793</v>
      </c>
      <c r="AH237" s="90" t="s">
        <v>2306</v>
      </c>
      <c r="AI237" s="90" t="s">
        <v>2306</v>
      </c>
      <c r="AJ237" s="90" t="s">
        <v>2051</v>
      </c>
      <c r="AK237" s="90" t="s">
        <v>36</v>
      </c>
      <c r="AL237" s="90" t="s">
        <v>1635</v>
      </c>
      <c r="AM237" s="90" t="s">
        <v>2307</v>
      </c>
      <c r="AN237" s="90" t="s">
        <v>2054</v>
      </c>
      <c r="AO237" s="87" t="s">
        <v>1949</v>
      </c>
      <c r="AP237" s="87" t="s">
        <v>1950</v>
      </c>
      <c r="AQ237" s="90" t="s">
        <v>2641</v>
      </c>
      <c r="AR237" s="91"/>
      <c r="AS237" s="91"/>
      <c r="AT237" s="91"/>
      <c r="AU237" s="87" t="s">
        <v>1972</v>
      </c>
      <c r="AV237" s="91"/>
      <c r="AW237" s="91"/>
      <c r="AX237" s="91"/>
      <c r="AY237" s="91"/>
      <c r="AZ237" t="str">
        <f t="shared" si="18"/>
        <v>205315</v>
      </c>
      <c r="BA237" t="str">
        <f t="shared" si="19"/>
        <v>0077</v>
      </c>
      <c r="BB237" t="str">
        <f t="shared" si="23"/>
        <v>0000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>IFERROR(VLOOKUP(X237,'Status Map'!A:B,2,FALSE),"Status Code Not Mapped")</f>
        <v>Y</v>
      </c>
      <c r="BL237" t="str">
        <f>IFERROR(VLOOKUP(D237,'Invoice Exception Map'!A:C,3,FALSE),"N")</f>
        <v>N</v>
      </c>
      <c r="BM237">
        <f t="shared" si="20"/>
        <v>8</v>
      </c>
      <c r="BN237" t="str">
        <f t="shared" si="21"/>
        <v>PERSSON</v>
      </c>
      <c r="BO237" t="str">
        <f t="shared" si="22"/>
        <v>MARTIN</v>
      </c>
    </row>
    <row r="238" spans="1:67" ht="16" thickBot="1" x14ac:dyDescent="0.25">
      <c r="A238" s="90" t="s">
        <v>2298</v>
      </c>
      <c r="B238" s="90" t="s">
        <v>2299</v>
      </c>
      <c r="C238" s="90" t="s">
        <v>2300</v>
      </c>
      <c r="D238" s="90" t="s">
        <v>3631</v>
      </c>
      <c r="E238" s="90" t="s">
        <v>1953</v>
      </c>
      <c r="F238" s="90" t="s">
        <v>2642</v>
      </c>
      <c r="G238" s="90" t="s">
        <v>2318</v>
      </c>
      <c r="H238" s="90" t="s">
        <v>267</v>
      </c>
      <c r="I238" s="90" t="s">
        <v>1944</v>
      </c>
      <c r="J238" s="90" t="s">
        <v>1620</v>
      </c>
      <c r="K238" s="90" t="s">
        <v>247</v>
      </c>
      <c r="L238" s="90" t="s">
        <v>2003</v>
      </c>
      <c r="M238" s="87" t="s">
        <v>2003</v>
      </c>
      <c r="N238" s="87" t="s">
        <v>1999</v>
      </c>
      <c r="O238" s="88">
        <v>40427</v>
      </c>
      <c r="P238" s="89">
        <v>16</v>
      </c>
      <c r="Q238" s="90" t="s">
        <v>3089</v>
      </c>
      <c r="R238" s="90" t="s">
        <v>3261</v>
      </c>
      <c r="S238" s="90" t="s">
        <v>2346</v>
      </c>
      <c r="T238" s="90" t="s">
        <v>2305</v>
      </c>
      <c r="U238" s="90" t="s">
        <v>1640</v>
      </c>
      <c r="V238" s="88">
        <v>40427</v>
      </c>
      <c r="W238" s="88">
        <v>40427</v>
      </c>
      <c r="X238" s="90" t="s">
        <v>43</v>
      </c>
      <c r="Y238" s="90" t="s">
        <v>257</v>
      </c>
      <c r="Z238" s="90" t="s">
        <v>36</v>
      </c>
      <c r="AA238" s="91"/>
      <c r="AB238" s="91"/>
      <c r="AC238" s="90" t="s">
        <v>2051</v>
      </c>
      <c r="AD238" s="90" t="s">
        <v>267</v>
      </c>
      <c r="AE238" s="90" t="s">
        <v>1636</v>
      </c>
      <c r="AF238" s="90" t="s">
        <v>2004</v>
      </c>
      <c r="AG238" s="90" t="s">
        <v>2793</v>
      </c>
      <c r="AH238" s="90" t="s">
        <v>2320</v>
      </c>
      <c r="AI238" s="90" t="s">
        <v>2320</v>
      </c>
      <c r="AJ238" s="90" t="s">
        <v>2051</v>
      </c>
      <c r="AK238" s="90" t="s">
        <v>36</v>
      </c>
      <c r="AL238" s="90" t="s">
        <v>1635</v>
      </c>
      <c r="AM238" s="90" t="s">
        <v>2307</v>
      </c>
      <c r="AN238" s="90" t="s">
        <v>2054</v>
      </c>
      <c r="AO238" s="87" t="s">
        <v>1949</v>
      </c>
      <c r="AP238" s="87" t="s">
        <v>1950</v>
      </c>
      <c r="AQ238" s="90" t="s">
        <v>2643</v>
      </c>
      <c r="AR238" s="91"/>
      <c r="AS238" s="91"/>
      <c r="AT238" s="91"/>
      <c r="AU238" s="87" t="s">
        <v>1972</v>
      </c>
      <c r="AV238" s="91"/>
      <c r="AW238" s="91"/>
      <c r="AX238" s="91"/>
      <c r="AY238" s="91"/>
      <c r="AZ238" t="str">
        <f t="shared" si="18"/>
        <v>205116</v>
      </c>
      <c r="BA238" t="str">
        <f t="shared" si="19"/>
        <v>0077</v>
      </c>
      <c r="BB238" t="str">
        <f t="shared" si="23"/>
        <v>0000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>IFERROR(VLOOKUP(X238,'Status Map'!A:B,2,FALSE),"Status Code Not Mapped")</f>
        <v>Y</v>
      </c>
      <c r="BL238" t="str">
        <f>IFERROR(VLOOKUP(D238,'Invoice Exception Map'!A:C,3,FALSE),"N")</f>
        <v>N</v>
      </c>
      <c r="BM238">
        <f t="shared" si="20"/>
        <v>11</v>
      </c>
      <c r="BN238" t="str">
        <f t="shared" si="21"/>
        <v>PETTERSSON</v>
      </c>
      <c r="BO238" t="str">
        <f t="shared" si="22"/>
        <v>LENA</v>
      </c>
    </row>
    <row r="239" spans="1:67" ht="16" thickBot="1" x14ac:dyDescent="0.25">
      <c r="A239" s="90" t="s">
        <v>2298</v>
      </c>
      <c r="B239" s="90" t="s">
        <v>2299</v>
      </c>
      <c r="C239" s="90" t="s">
        <v>2300</v>
      </c>
      <c r="D239" s="90" t="s">
        <v>3632</v>
      </c>
      <c r="E239" s="90" t="s">
        <v>1953</v>
      </c>
      <c r="F239" s="90" t="s">
        <v>2644</v>
      </c>
      <c r="G239" s="90" t="s">
        <v>2302</v>
      </c>
      <c r="H239" s="90" t="s">
        <v>267</v>
      </c>
      <c r="I239" s="90" t="s">
        <v>1944</v>
      </c>
      <c r="J239" s="90" t="s">
        <v>1620</v>
      </c>
      <c r="K239" s="90" t="s">
        <v>2303</v>
      </c>
      <c r="L239" s="90" t="s">
        <v>2227</v>
      </c>
      <c r="M239" s="87" t="s">
        <v>2072</v>
      </c>
      <c r="N239" s="87" t="s">
        <v>1999</v>
      </c>
      <c r="O239" s="88">
        <v>36789</v>
      </c>
      <c r="P239" s="89">
        <v>25.9</v>
      </c>
      <c r="Q239" s="90" t="s">
        <v>3086</v>
      </c>
      <c r="R239" s="90" t="s">
        <v>3253</v>
      </c>
      <c r="S239" s="90" t="s">
        <v>2304</v>
      </c>
      <c r="T239" s="90" t="s">
        <v>2305</v>
      </c>
      <c r="U239" s="90" t="s">
        <v>1640</v>
      </c>
      <c r="V239" s="88">
        <v>36789</v>
      </c>
      <c r="W239" s="88">
        <v>36789</v>
      </c>
      <c r="X239" s="90" t="s">
        <v>43</v>
      </c>
      <c r="Y239" s="90" t="s">
        <v>257</v>
      </c>
      <c r="Z239" s="90" t="s">
        <v>36</v>
      </c>
      <c r="AA239" s="91"/>
      <c r="AB239" s="91"/>
      <c r="AC239" s="90" t="s">
        <v>2051</v>
      </c>
      <c r="AD239" s="90" t="s">
        <v>267</v>
      </c>
      <c r="AE239" s="90" t="s">
        <v>1636</v>
      </c>
      <c r="AF239" s="90" t="s">
        <v>2004</v>
      </c>
      <c r="AG239" s="90" t="s">
        <v>2793</v>
      </c>
      <c r="AH239" s="90" t="s">
        <v>2306</v>
      </c>
      <c r="AI239" s="90" t="s">
        <v>2306</v>
      </c>
      <c r="AJ239" s="90" t="s">
        <v>2051</v>
      </c>
      <c r="AK239" s="90" t="s">
        <v>36</v>
      </c>
      <c r="AL239" s="90" t="s">
        <v>1635</v>
      </c>
      <c r="AM239" s="90" t="s">
        <v>2307</v>
      </c>
      <c r="AN239" s="90" t="s">
        <v>2054</v>
      </c>
      <c r="AO239" s="87" t="s">
        <v>1949</v>
      </c>
      <c r="AP239" s="87" t="s">
        <v>1950</v>
      </c>
      <c r="AQ239" s="90" t="s">
        <v>2645</v>
      </c>
      <c r="AR239" s="91"/>
      <c r="AS239" s="91"/>
      <c r="AT239" s="91"/>
      <c r="AU239" s="87" t="s">
        <v>1972</v>
      </c>
      <c r="AV239" s="91"/>
      <c r="AW239" s="91"/>
      <c r="AX239" s="91"/>
      <c r="AY239" s="91"/>
      <c r="AZ239" t="str">
        <f t="shared" si="18"/>
        <v>212110</v>
      </c>
      <c r="BA239" t="str">
        <f t="shared" si="19"/>
        <v>0077</v>
      </c>
      <c r="BB239" t="str">
        <f t="shared" si="23"/>
        <v>0000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>IFERROR(VLOOKUP(X239,'Status Map'!A:B,2,FALSE),"Status Code Not Mapped")</f>
        <v>Y</v>
      </c>
      <c r="BL239" t="str">
        <f>IFERROR(VLOOKUP(D239,'Invoice Exception Map'!A:C,3,FALSE),"N")</f>
        <v>N</v>
      </c>
      <c r="BM239">
        <f t="shared" si="20"/>
        <v>10</v>
      </c>
      <c r="BN239" t="str">
        <f t="shared" si="21"/>
        <v>PILIPOVIC</v>
      </c>
      <c r="BO239" t="str">
        <f t="shared" si="22"/>
        <v>ILIJA</v>
      </c>
    </row>
    <row r="240" spans="1:67" ht="16" thickBot="1" x14ac:dyDescent="0.25">
      <c r="A240" s="90" t="s">
        <v>2298</v>
      </c>
      <c r="B240" s="90" t="s">
        <v>2299</v>
      </c>
      <c r="C240" s="90" t="s">
        <v>2300</v>
      </c>
      <c r="D240" s="90" t="s">
        <v>3633</v>
      </c>
      <c r="E240" s="90" t="s">
        <v>1953</v>
      </c>
      <c r="F240" s="90" t="s">
        <v>2646</v>
      </c>
      <c r="G240" s="90" t="s">
        <v>2310</v>
      </c>
      <c r="H240" s="90" t="s">
        <v>267</v>
      </c>
      <c r="I240" s="90" t="s">
        <v>1944</v>
      </c>
      <c r="J240" s="90" t="s">
        <v>1620</v>
      </c>
      <c r="K240" s="90" t="s">
        <v>2012</v>
      </c>
      <c r="L240" s="90" t="s">
        <v>2311</v>
      </c>
      <c r="M240" s="87" t="s">
        <v>2007</v>
      </c>
      <c r="N240" s="87" t="s">
        <v>2013</v>
      </c>
      <c r="O240" s="88">
        <v>36059</v>
      </c>
      <c r="P240" s="89">
        <v>27.9</v>
      </c>
      <c r="Q240" s="90" t="s">
        <v>3086</v>
      </c>
      <c r="R240" s="90" t="s">
        <v>3256</v>
      </c>
      <c r="S240" s="90" t="s">
        <v>2319</v>
      </c>
      <c r="T240" s="90" t="s">
        <v>2305</v>
      </c>
      <c r="U240" s="90" t="s">
        <v>1640</v>
      </c>
      <c r="V240" s="88">
        <v>36059</v>
      </c>
      <c r="W240" s="88">
        <v>36059</v>
      </c>
      <c r="X240" s="90" t="s">
        <v>43</v>
      </c>
      <c r="Y240" s="90" t="s">
        <v>257</v>
      </c>
      <c r="Z240" s="90" t="s">
        <v>36</v>
      </c>
      <c r="AA240" s="91"/>
      <c r="AB240" s="91"/>
      <c r="AC240" s="90" t="s">
        <v>2051</v>
      </c>
      <c r="AD240" s="90" t="s">
        <v>267</v>
      </c>
      <c r="AE240" s="90" t="s">
        <v>1636</v>
      </c>
      <c r="AF240" s="90" t="s">
        <v>2004</v>
      </c>
      <c r="AG240" s="90" t="s">
        <v>2793</v>
      </c>
      <c r="AH240" s="90" t="s">
        <v>2320</v>
      </c>
      <c r="AI240" s="90" t="s">
        <v>2320</v>
      </c>
      <c r="AJ240" s="90" t="s">
        <v>2051</v>
      </c>
      <c r="AK240" s="90" t="s">
        <v>36</v>
      </c>
      <c r="AL240" s="90" t="s">
        <v>1635</v>
      </c>
      <c r="AM240" s="90" t="s">
        <v>2307</v>
      </c>
      <c r="AN240" s="90" t="s">
        <v>2054</v>
      </c>
      <c r="AO240" s="87" t="s">
        <v>1949</v>
      </c>
      <c r="AP240" s="87" t="s">
        <v>1950</v>
      </c>
      <c r="AQ240" s="90" t="s">
        <v>2647</v>
      </c>
      <c r="AR240" s="91"/>
      <c r="AS240" s="91"/>
      <c r="AT240" s="91"/>
      <c r="AU240" s="87" t="s">
        <v>1972</v>
      </c>
      <c r="AV240" s="91"/>
      <c r="AW240" s="91"/>
      <c r="AX240" s="91"/>
      <c r="AY240" s="91"/>
      <c r="AZ240" t="str">
        <f t="shared" si="18"/>
        <v>205383</v>
      </c>
      <c r="BA240" t="str">
        <f t="shared" si="19"/>
        <v>0077</v>
      </c>
      <c r="BB240" t="str">
        <f t="shared" si="23"/>
        <v>0000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>IFERROR(VLOOKUP(X240,'Status Map'!A:B,2,FALSE),"Status Code Not Mapped")</f>
        <v>Y</v>
      </c>
      <c r="BL240" t="str">
        <f>IFERROR(VLOOKUP(D240,'Invoice Exception Map'!A:C,3,FALSE),"N")</f>
        <v>N</v>
      </c>
      <c r="BM240">
        <f t="shared" si="20"/>
        <v>10</v>
      </c>
      <c r="BN240" t="str">
        <f t="shared" si="21"/>
        <v>PILIPOVIC</v>
      </c>
      <c r="BO240" t="str">
        <f t="shared" si="22"/>
        <v>JAKOV</v>
      </c>
    </row>
    <row r="241" spans="1:67" ht="16" thickBot="1" x14ac:dyDescent="0.25">
      <c r="A241" s="90" t="s">
        <v>2298</v>
      </c>
      <c r="B241" s="90" t="s">
        <v>2299</v>
      </c>
      <c r="C241" s="90" t="s">
        <v>2300</v>
      </c>
      <c r="D241" s="90" t="s">
        <v>3634</v>
      </c>
      <c r="E241" s="90" t="s">
        <v>1953</v>
      </c>
      <c r="F241" s="90" t="s">
        <v>2648</v>
      </c>
      <c r="G241" s="90" t="s">
        <v>2464</v>
      </c>
      <c r="H241" s="90" t="s">
        <v>267</v>
      </c>
      <c r="I241" s="90" t="s">
        <v>1944</v>
      </c>
      <c r="J241" s="90" t="s">
        <v>1620</v>
      </c>
      <c r="K241" s="90" t="s">
        <v>2465</v>
      </c>
      <c r="L241" s="90" t="s">
        <v>2466</v>
      </c>
      <c r="M241" s="87" t="s">
        <v>2466</v>
      </c>
      <c r="N241" s="87" t="s">
        <v>1999</v>
      </c>
      <c r="O241" s="88">
        <v>43640</v>
      </c>
      <c r="P241" s="89">
        <v>7.2</v>
      </c>
      <c r="Q241" s="90" t="s">
        <v>3086</v>
      </c>
      <c r="R241" s="90" t="s">
        <v>3255</v>
      </c>
      <c r="S241" s="90" t="s">
        <v>2315</v>
      </c>
      <c r="T241" s="90" t="s">
        <v>2305</v>
      </c>
      <c r="U241" s="90" t="s">
        <v>1640</v>
      </c>
      <c r="V241" s="88">
        <v>43640</v>
      </c>
      <c r="W241" s="88">
        <v>43640</v>
      </c>
      <c r="X241" s="90" t="s">
        <v>43</v>
      </c>
      <c r="Y241" s="90" t="s">
        <v>257</v>
      </c>
      <c r="Z241" s="90" t="s">
        <v>36</v>
      </c>
      <c r="AA241" s="91"/>
      <c r="AB241" s="91"/>
      <c r="AC241" s="90" t="s">
        <v>2051</v>
      </c>
      <c r="AD241" s="90" t="s">
        <v>267</v>
      </c>
      <c r="AE241" s="90" t="s">
        <v>1636</v>
      </c>
      <c r="AF241" s="90" t="s">
        <v>2004</v>
      </c>
      <c r="AG241" s="90" t="s">
        <v>2793</v>
      </c>
      <c r="AH241" s="90" t="s">
        <v>2306</v>
      </c>
      <c r="AI241" s="90" t="s">
        <v>2306</v>
      </c>
      <c r="AJ241" s="90" t="s">
        <v>2051</v>
      </c>
      <c r="AK241" s="90" t="s">
        <v>36</v>
      </c>
      <c r="AL241" s="90" t="s">
        <v>1635</v>
      </c>
      <c r="AM241" s="90" t="s">
        <v>2307</v>
      </c>
      <c r="AN241" s="90" t="s">
        <v>2054</v>
      </c>
      <c r="AO241" s="87" t="s">
        <v>1949</v>
      </c>
      <c r="AP241" s="87" t="s">
        <v>1950</v>
      </c>
      <c r="AQ241" s="90" t="s">
        <v>2649</v>
      </c>
      <c r="AR241" s="91"/>
      <c r="AS241" s="91"/>
      <c r="AT241" s="91"/>
      <c r="AU241" s="87" t="s">
        <v>1972</v>
      </c>
      <c r="AV241" s="91"/>
      <c r="AW241" s="91"/>
      <c r="AX241" s="91"/>
      <c r="AY241" s="91"/>
      <c r="AZ241" t="str">
        <f t="shared" si="18"/>
        <v>205315</v>
      </c>
      <c r="BA241" t="str">
        <f t="shared" si="19"/>
        <v>0077</v>
      </c>
      <c r="BB241" t="str">
        <f t="shared" si="23"/>
        <v>0000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>IFERROR(VLOOKUP(X241,'Status Map'!A:B,2,FALSE),"Status Code Not Mapped")</f>
        <v>Y</v>
      </c>
      <c r="BL241" t="str">
        <f>IFERROR(VLOOKUP(D241,'Invoice Exception Map'!A:C,3,FALSE),"N")</f>
        <v>N</v>
      </c>
      <c r="BM241">
        <f t="shared" si="20"/>
        <v>7</v>
      </c>
      <c r="BN241" t="str">
        <f t="shared" si="21"/>
        <v>POLJAK</v>
      </c>
      <c r="BO241" t="str">
        <f t="shared" si="22"/>
        <v>SAMIR</v>
      </c>
    </row>
    <row r="242" spans="1:67" ht="16" thickBot="1" x14ac:dyDescent="0.25">
      <c r="A242" s="90" t="s">
        <v>2298</v>
      </c>
      <c r="B242" s="90" t="s">
        <v>2299</v>
      </c>
      <c r="C242" s="90" t="s">
        <v>2300</v>
      </c>
      <c r="D242" s="90" t="s">
        <v>3635</v>
      </c>
      <c r="E242" s="90" t="s">
        <v>1953</v>
      </c>
      <c r="F242" s="90" t="s">
        <v>2650</v>
      </c>
      <c r="G242" s="90" t="s">
        <v>2318</v>
      </c>
      <c r="H242" s="90" t="s">
        <v>267</v>
      </c>
      <c r="I242" s="90" t="s">
        <v>1944</v>
      </c>
      <c r="J242" s="90" t="s">
        <v>1620</v>
      </c>
      <c r="K242" s="90" t="s">
        <v>247</v>
      </c>
      <c r="L242" s="90" t="s">
        <v>2003</v>
      </c>
      <c r="M242" s="87" t="s">
        <v>2003</v>
      </c>
      <c r="N242" s="87" t="s">
        <v>1999</v>
      </c>
      <c r="O242" s="88">
        <v>35066</v>
      </c>
      <c r="P242" s="89">
        <v>30.6</v>
      </c>
      <c r="Q242" s="90" t="s">
        <v>3089</v>
      </c>
      <c r="R242" s="90" t="s">
        <v>3256</v>
      </c>
      <c r="S242" s="90" t="s">
        <v>2319</v>
      </c>
      <c r="T242" s="90" t="s">
        <v>2305</v>
      </c>
      <c r="U242" s="90" t="s">
        <v>1640</v>
      </c>
      <c r="V242" s="88">
        <v>35066</v>
      </c>
      <c r="W242" s="88">
        <v>35066</v>
      </c>
      <c r="X242" s="90" t="s">
        <v>43</v>
      </c>
      <c r="Y242" s="90" t="s">
        <v>257</v>
      </c>
      <c r="Z242" s="90" t="s">
        <v>36</v>
      </c>
      <c r="AA242" s="91"/>
      <c r="AB242" s="91"/>
      <c r="AC242" s="90" t="s">
        <v>2051</v>
      </c>
      <c r="AD242" s="90" t="s">
        <v>267</v>
      </c>
      <c r="AE242" s="90" t="s">
        <v>1636</v>
      </c>
      <c r="AF242" s="90" t="s">
        <v>2004</v>
      </c>
      <c r="AG242" s="90" t="s">
        <v>2793</v>
      </c>
      <c r="AH242" s="90" t="s">
        <v>2320</v>
      </c>
      <c r="AI242" s="90" t="s">
        <v>2320</v>
      </c>
      <c r="AJ242" s="90" t="s">
        <v>2051</v>
      </c>
      <c r="AK242" s="90" t="s">
        <v>36</v>
      </c>
      <c r="AL242" s="90" t="s">
        <v>1635</v>
      </c>
      <c r="AM242" s="90" t="s">
        <v>2307</v>
      </c>
      <c r="AN242" s="90" t="s">
        <v>2054</v>
      </c>
      <c r="AO242" s="87" t="s">
        <v>1949</v>
      </c>
      <c r="AP242" s="87" t="s">
        <v>1950</v>
      </c>
      <c r="AQ242" s="90" t="s">
        <v>2651</v>
      </c>
      <c r="AR242" s="91"/>
      <c r="AS242" s="91"/>
      <c r="AT242" s="91"/>
      <c r="AU242" s="87" t="s">
        <v>1972</v>
      </c>
      <c r="AV242" s="91"/>
      <c r="AW242" s="91"/>
      <c r="AX242" s="91"/>
      <c r="AY242" s="91"/>
      <c r="AZ242" t="str">
        <f t="shared" si="18"/>
        <v>205383</v>
      </c>
      <c r="BA242" t="str">
        <f t="shared" si="19"/>
        <v>0077</v>
      </c>
      <c r="BB242" t="str">
        <f t="shared" si="23"/>
        <v>0000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>IFERROR(VLOOKUP(X242,'Status Map'!A:B,2,FALSE),"Status Code Not Mapped")</f>
        <v>Y</v>
      </c>
      <c r="BL242" t="str">
        <f>IFERROR(VLOOKUP(D242,'Invoice Exception Map'!A:C,3,FALSE),"N")</f>
        <v>N</v>
      </c>
      <c r="BM242">
        <f t="shared" si="20"/>
        <v>6</v>
      </c>
      <c r="BN242" t="str">
        <f t="shared" si="21"/>
        <v>POSCH</v>
      </c>
      <c r="BO242" t="str">
        <f t="shared" si="22"/>
        <v>THOMAS</v>
      </c>
    </row>
    <row r="243" spans="1:67" ht="16" thickBot="1" x14ac:dyDescent="0.25">
      <c r="A243" s="90" t="s">
        <v>2298</v>
      </c>
      <c r="B243" s="90" t="s">
        <v>2299</v>
      </c>
      <c r="C243" s="90" t="s">
        <v>2300</v>
      </c>
      <c r="D243" s="90" t="s">
        <v>3636</v>
      </c>
      <c r="E243" s="90" t="s">
        <v>1953</v>
      </c>
      <c r="F243" s="90" t="s">
        <v>2652</v>
      </c>
      <c r="G243" s="90" t="s">
        <v>2310</v>
      </c>
      <c r="H243" s="90" t="s">
        <v>267</v>
      </c>
      <c r="I243" s="90" t="s">
        <v>1944</v>
      </c>
      <c r="J243" s="90" t="s">
        <v>1620</v>
      </c>
      <c r="K243" s="90" t="s">
        <v>2012</v>
      </c>
      <c r="L243" s="90" t="s">
        <v>2311</v>
      </c>
      <c r="M243" s="87" t="s">
        <v>2007</v>
      </c>
      <c r="N243" s="87" t="s">
        <v>2013</v>
      </c>
      <c r="O243" s="88">
        <v>42905</v>
      </c>
      <c r="P243" s="89">
        <v>9.1999999999999993</v>
      </c>
      <c r="Q243" s="90" t="s">
        <v>3086</v>
      </c>
      <c r="R243" s="90" t="s">
        <v>3255</v>
      </c>
      <c r="S243" s="90" t="s">
        <v>2315</v>
      </c>
      <c r="T243" s="90" t="s">
        <v>2305</v>
      </c>
      <c r="U243" s="90" t="s">
        <v>1640</v>
      </c>
      <c r="V243" s="88">
        <v>42905</v>
      </c>
      <c r="W243" s="88">
        <v>42905</v>
      </c>
      <c r="X243" s="90" t="s">
        <v>43</v>
      </c>
      <c r="Y243" s="90" t="s">
        <v>257</v>
      </c>
      <c r="Z243" s="90" t="s">
        <v>36</v>
      </c>
      <c r="AA243" s="91"/>
      <c r="AB243" s="91"/>
      <c r="AC243" s="90" t="s">
        <v>2051</v>
      </c>
      <c r="AD243" s="90" t="s">
        <v>267</v>
      </c>
      <c r="AE243" s="90" t="s">
        <v>1636</v>
      </c>
      <c r="AF243" s="90" t="s">
        <v>2004</v>
      </c>
      <c r="AG243" s="90" t="s">
        <v>2793</v>
      </c>
      <c r="AH243" s="90" t="s">
        <v>2306</v>
      </c>
      <c r="AI243" s="90" t="s">
        <v>2306</v>
      </c>
      <c r="AJ243" s="90" t="s">
        <v>2051</v>
      </c>
      <c r="AK243" s="90" t="s">
        <v>36</v>
      </c>
      <c r="AL243" s="90" t="s">
        <v>1635</v>
      </c>
      <c r="AM243" s="90" t="s">
        <v>2307</v>
      </c>
      <c r="AN243" s="90" t="s">
        <v>2054</v>
      </c>
      <c r="AO243" s="87" t="s">
        <v>1949</v>
      </c>
      <c r="AP243" s="87" t="s">
        <v>1950</v>
      </c>
      <c r="AQ243" s="90" t="s">
        <v>2653</v>
      </c>
      <c r="AR243" s="91"/>
      <c r="AS243" s="91"/>
      <c r="AT243" s="91"/>
      <c r="AU243" s="87" t="s">
        <v>1972</v>
      </c>
      <c r="AV243" s="91"/>
      <c r="AW243" s="91"/>
      <c r="AX243" s="91"/>
      <c r="AY243" s="91"/>
      <c r="AZ243" t="str">
        <f t="shared" si="18"/>
        <v>205315</v>
      </c>
      <c r="BA243" t="str">
        <f t="shared" si="19"/>
        <v>0077</v>
      </c>
      <c r="BB243" t="str">
        <f t="shared" si="23"/>
        <v>0000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>IFERROR(VLOOKUP(X243,'Status Map'!A:B,2,FALSE),"Status Code Not Mapped")</f>
        <v>Y</v>
      </c>
      <c r="BL243" t="str">
        <f>IFERROR(VLOOKUP(D243,'Invoice Exception Map'!A:C,3,FALSE),"N")</f>
        <v>N</v>
      </c>
      <c r="BM243">
        <f t="shared" si="20"/>
        <v>10</v>
      </c>
      <c r="BN243" t="str">
        <f t="shared" si="21"/>
        <v>RINGSTRÖM</v>
      </c>
      <c r="BO243" t="str">
        <f t="shared" si="22"/>
        <v>CHARLIE</v>
      </c>
    </row>
    <row r="244" spans="1:67" ht="16" thickBot="1" x14ac:dyDescent="0.25">
      <c r="A244" s="90" t="s">
        <v>2298</v>
      </c>
      <c r="B244" s="90" t="s">
        <v>2299</v>
      </c>
      <c r="C244" s="90" t="s">
        <v>2300</v>
      </c>
      <c r="D244" s="90" t="s">
        <v>3637</v>
      </c>
      <c r="E244" s="90" t="s">
        <v>1953</v>
      </c>
      <c r="F244" s="90" t="s">
        <v>2654</v>
      </c>
      <c r="G244" s="90" t="s">
        <v>2318</v>
      </c>
      <c r="H244" s="90" t="s">
        <v>267</v>
      </c>
      <c r="I244" s="90" t="s">
        <v>1944</v>
      </c>
      <c r="J244" s="90" t="s">
        <v>1620</v>
      </c>
      <c r="K244" s="90" t="s">
        <v>247</v>
      </c>
      <c r="L244" s="90" t="s">
        <v>2003</v>
      </c>
      <c r="M244" s="87" t="s">
        <v>2003</v>
      </c>
      <c r="N244" s="87" t="s">
        <v>1999</v>
      </c>
      <c r="O244" s="88">
        <v>35352</v>
      </c>
      <c r="P244" s="89">
        <v>29.9</v>
      </c>
      <c r="Q244" s="90" t="s">
        <v>3089</v>
      </c>
      <c r="R244" s="90" t="s">
        <v>3261</v>
      </c>
      <c r="S244" s="90" t="s">
        <v>2346</v>
      </c>
      <c r="T244" s="90" t="s">
        <v>2305</v>
      </c>
      <c r="U244" s="90" t="s">
        <v>1640</v>
      </c>
      <c r="V244" s="88">
        <v>35352</v>
      </c>
      <c r="W244" s="88">
        <v>35352</v>
      </c>
      <c r="X244" s="90" t="s">
        <v>43</v>
      </c>
      <c r="Y244" s="90" t="s">
        <v>257</v>
      </c>
      <c r="Z244" s="90" t="s">
        <v>36</v>
      </c>
      <c r="AA244" s="91"/>
      <c r="AB244" s="91"/>
      <c r="AC244" s="90" t="s">
        <v>2051</v>
      </c>
      <c r="AD244" s="90" t="s">
        <v>267</v>
      </c>
      <c r="AE244" s="90" t="s">
        <v>1636</v>
      </c>
      <c r="AF244" s="90" t="s">
        <v>2004</v>
      </c>
      <c r="AG244" s="90" t="s">
        <v>2793</v>
      </c>
      <c r="AH244" s="90" t="s">
        <v>2320</v>
      </c>
      <c r="AI244" s="90" t="s">
        <v>2320</v>
      </c>
      <c r="AJ244" s="90" t="s">
        <v>2051</v>
      </c>
      <c r="AK244" s="90" t="s">
        <v>36</v>
      </c>
      <c r="AL244" s="90" t="s">
        <v>1635</v>
      </c>
      <c r="AM244" s="90" t="s">
        <v>2307</v>
      </c>
      <c r="AN244" s="90" t="s">
        <v>2054</v>
      </c>
      <c r="AO244" s="87" t="s">
        <v>1949</v>
      </c>
      <c r="AP244" s="87" t="s">
        <v>1950</v>
      </c>
      <c r="AQ244" s="90" t="s">
        <v>2655</v>
      </c>
      <c r="AR244" s="91"/>
      <c r="AS244" s="91"/>
      <c r="AT244" s="91"/>
      <c r="AU244" s="87" t="s">
        <v>1972</v>
      </c>
      <c r="AV244" s="91"/>
      <c r="AW244" s="91"/>
      <c r="AX244" s="91"/>
      <c r="AY244" s="91"/>
      <c r="AZ244" t="str">
        <f t="shared" si="18"/>
        <v>205116</v>
      </c>
      <c r="BA244" t="str">
        <f t="shared" si="19"/>
        <v>0077</v>
      </c>
      <c r="BB244" t="str">
        <f t="shared" si="23"/>
        <v>0000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>IFERROR(VLOOKUP(X244,'Status Map'!A:B,2,FALSE),"Status Code Not Mapped")</f>
        <v>Y</v>
      </c>
      <c r="BL244" t="str">
        <f>IFERROR(VLOOKUP(D244,'Invoice Exception Map'!A:C,3,FALSE),"N")</f>
        <v>N</v>
      </c>
      <c r="BM244">
        <f t="shared" si="20"/>
        <v>8</v>
      </c>
      <c r="BN244" t="str">
        <f t="shared" si="21"/>
        <v>RITHELL</v>
      </c>
      <c r="BO244" t="str">
        <f t="shared" si="22"/>
        <v>KARINA</v>
      </c>
    </row>
    <row r="245" spans="1:67" ht="16" thickBot="1" x14ac:dyDescent="0.25">
      <c r="A245" s="90" t="s">
        <v>2298</v>
      </c>
      <c r="B245" s="90" t="s">
        <v>2299</v>
      </c>
      <c r="C245" s="90" t="s">
        <v>2300</v>
      </c>
      <c r="D245" s="90" t="s">
        <v>3638</v>
      </c>
      <c r="E245" s="90" t="s">
        <v>1953</v>
      </c>
      <c r="F245" s="90" t="s">
        <v>2656</v>
      </c>
      <c r="G245" s="90" t="s">
        <v>2318</v>
      </c>
      <c r="H245" s="90" t="s">
        <v>267</v>
      </c>
      <c r="I245" s="90" t="s">
        <v>1944</v>
      </c>
      <c r="J245" s="90" t="s">
        <v>1620</v>
      </c>
      <c r="K245" s="90" t="s">
        <v>247</v>
      </c>
      <c r="L245" s="90" t="s">
        <v>2003</v>
      </c>
      <c r="M245" s="87" t="s">
        <v>2003</v>
      </c>
      <c r="N245" s="87" t="s">
        <v>1999</v>
      </c>
      <c r="O245" s="88">
        <v>40357</v>
      </c>
      <c r="P245" s="89">
        <v>16.2</v>
      </c>
      <c r="Q245" s="90" t="s">
        <v>3089</v>
      </c>
      <c r="R245" s="90" t="s">
        <v>3261</v>
      </c>
      <c r="S245" s="90" t="s">
        <v>2346</v>
      </c>
      <c r="T245" s="90" t="s">
        <v>2305</v>
      </c>
      <c r="U245" s="90" t="s">
        <v>1640</v>
      </c>
      <c r="V245" s="88">
        <v>40357</v>
      </c>
      <c r="W245" s="88">
        <v>40357</v>
      </c>
      <c r="X245" s="90" t="s">
        <v>43</v>
      </c>
      <c r="Y245" s="90" t="s">
        <v>257</v>
      </c>
      <c r="Z245" s="90" t="s">
        <v>36</v>
      </c>
      <c r="AA245" s="91"/>
      <c r="AB245" s="91"/>
      <c r="AC245" s="90" t="s">
        <v>2051</v>
      </c>
      <c r="AD245" s="90" t="s">
        <v>267</v>
      </c>
      <c r="AE245" s="90" t="s">
        <v>1636</v>
      </c>
      <c r="AF245" s="90" t="s">
        <v>2004</v>
      </c>
      <c r="AG245" s="90" t="s">
        <v>2793</v>
      </c>
      <c r="AH245" s="90" t="s">
        <v>2320</v>
      </c>
      <c r="AI245" s="90" t="s">
        <v>2320</v>
      </c>
      <c r="AJ245" s="90" t="s">
        <v>2051</v>
      </c>
      <c r="AK245" s="90" t="s">
        <v>36</v>
      </c>
      <c r="AL245" s="90" t="s">
        <v>1635</v>
      </c>
      <c r="AM245" s="90" t="s">
        <v>2307</v>
      </c>
      <c r="AN245" s="90" t="s">
        <v>2054</v>
      </c>
      <c r="AO245" s="87" t="s">
        <v>1949</v>
      </c>
      <c r="AP245" s="87" t="s">
        <v>1950</v>
      </c>
      <c r="AQ245" s="90" t="s">
        <v>2657</v>
      </c>
      <c r="AR245" s="91"/>
      <c r="AS245" s="91"/>
      <c r="AT245" s="91"/>
      <c r="AU245" s="87" t="s">
        <v>1972</v>
      </c>
      <c r="AV245" s="91"/>
      <c r="AW245" s="91"/>
      <c r="AX245" s="91"/>
      <c r="AY245" s="91"/>
      <c r="AZ245" t="str">
        <f t="shared" si="18"/>
        <v>205116</v>
      </c>
      <c r="BA245" t="str">
        <f t="shared" si="19"/>
        <v>0077</v>
      </c>
      <c r="BB245" t="str">
        <f t="shared" si="23"/>
        <v>0000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>IFERROR(VLOOKUP(X245,'Status Map'!A:B,2,FALSE),"Status Code Not Mapped")</f>
        <v>Y</v>
      </c>
      <c r="BL245" t="str">
        <f>IFERROR(VLOOKUP(D245,'Invoice Exception Map'!A:C,3,FALSE),"N")</f>
        <v>N</v>
      </c>
      <c r="BM245">
        <f t="shared" si="20"/>
        <v>8</v>
      </c>
      <c r="BN245" t="str">
        <f t="shared" si="21"/>
        <v>RITHELL</v>
      </c>
      <c r="BO245" t="str">
        <f t="shared" si="22"/>
        <v>MATS</v>
      </c>
    </row>
    <row r="246" spans="1:67" ht="16" thickBot="1" x14ac:dyDescent="0.25">
      <c r="A246" s="90" t="s">
        <v>2298</v>
      </c>
      <c r="B246" s="90" t="s">
        <v>2299</v>
      </c>
      <c r="C246" s="90" t="s">
        <v>2300</v>
      </c>
      <c r="D246" s="90" t="s">
        <v>3639</v>
      </c>
      <c r="E246" s="90" t="s">
        <v>1953</v>
      </c>
      <c r="F246" s="90" t="s">
        <v>2658</v>
      </c>
      <c r="G246" s="90" t="s">
        <v>2318</v>
      </c>
      <c r="H246" s="90" t="s">
        <v>267</v>
      </c>
      <c r="I246" s="90" t="s">
        <v>1944</v>
      </c>
      <c r="J246" s="90" t="s">
        <v>1620</v>
      </c>
      <c r="K246" s="90" t="s">
        <v>247</v>
      </c>
      <c r="L246" s="90" t="s">
        <v>2003</v>
      </c>
      <c r="M246" s="87" t="s">
        <v>2003</v>
      </c>
      <c r="N246" s="87" t="s">
        <v>1999</v>
      </c>
      <c r="O246" s="88">
        <v>42884</v>
      </c>
      <c r="P246" s="89">
        <v>9.3000000000000007</v>
      </c>
      <c r="Q246" s="90" t="s">
        <v>3089</v>
      </c>
      <c r="R246" s="90" t="s">
        <v>3256</v>
      </c>
      <c r="S246" s="90" t="s">
        <v>2319</v>
      </c>
      <c r="T246" s="90" t="s">
        <v>2305</v>
      </c>
      <c r="U246" s="90" t="s">
        <v>1640</v>
      </c>
      <c r="V246" s="88">
        <v>42884</v>
      </c>
      <c r="W246" s="88">
        <v>42884</v>
      </c>
      <c r="X246" s="90" t="s">
        <v>43</v>
      </c>
      <c r="Y246" s="90" t="s">
        <v>257</v>
      </c>
      <c r="Z246" s="90" t="s">
        <v>36</v>
      </c>
      <c r="AA246" s="91"/>
      <c r="AB246" s="91"/>
      <c r="AC246" s="90" t="s">
        <v>2051</v>
      </c>
      <c r="AD246" s="90" t="s">
        <v>267</v>
      </c>
      <c r="AE246" s="90" t="s">
        <v>1636</v>
      </c>
      <c r="AF246" s="90" t="s">
        <v>2004</v>
      </c>
      <c r="AG246" s="90" t="s">
        <v>3266</v>
      </c>
      <c r="AH246" s="90" t="s">
        <v>2320</v>
      </c>
      <c r="AI246" s="90" t="s">
        <v>2320</v>
      </c>
      <c r="AJ246" s="90" t="s">
        <v>2051</v>
      </c>
      <c r="AK246" s="90" t="s">
        <v>36</v>
      </c>
      <c r="AL246" s="90" t="s">
        <v>1635</v>
      </c>
      <c r="AM246" s="90" t="s">
        <v>2307</v>
      </c>
      <c r="AN246" s="90" t="s">
        <v>2054</v>
      </c>
      <c r="AO246" s="87" t="s">
        <v>1949</v>
      </c>
      <c r="AP246" s="87" t="s">
        <v>1950</v>
      </c>
      <c r="AQ246" s="90" t="s">
        <v>2659</v>
      </c>
      <c r="AR246" s="91"/>
      <c r="AS246" s="91"/>
      <c r="AT246" s="91"/>
      <c r="AU246" s="87" t="s">
        <v>1972</v>
      </c>
      <c r="AV246" s="91"/>
      <c r="AW246" s="91"/>
      <c r="AX246" s="91"/>
      <c r="AY246" s="91"/>
      <c r="AZ246" t="str">
        <f t="shared" si="18"/>
        <v>205383</v>
      </c>
      <c r="BA246" t="str">
        <f t="shared" si="19"/>
        <v>0077</v>
      </c>
      <c r="BB246" t="str">
        <f t="shared" si="23"/>
        <v>0000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>IFERROR(VLOOKUP(X246,'Status Map'!A:B,2,FALSE),"Status Code Not Mapped")</f>
        <v>Y</v>
      </c>
      <c r="BL246" t="str">
        <f>IFERROR(VLOOKUP(D246,'Invoice Exception Map'!A:C,3,FALSE),"N")</f>
        <v>N</v>
      </c>
      <c r="BM246">
        <f t="shared" si="20"/>
        <v>7</v>
      </c>
      <c r="BN246" t="str">
        <f t="shared" si="21"/>
        <v>ROHDIN</v>
      </c>
      <c r="BO246" t="str">
        <f t="shared" si="22"/>
        <v>CAMILLA</v>
      </c>
    </row>
    <row r="247" spans="1:67" ht="16" thickBot="1" x14ac:dyDescent="0.25">
      <c r="A247" s="90" t="s">
        <v>2298</v>
      </c>
      <c r="B247" s="90" t="s">
        <v>2299</v>
      </c>
      <c r="C247" s="90" t="s">
        <v>2300</v>
      </c>
      <c r="D247" s="90" t="s">
        <v>3640</v>
      </c>
      <c r="E247" s="90" t="s">
        <v>1953</v>
      </c>
      <c r="F247" s="90" t="s">
        <v>2660</v>
      </c>
      <c r="G247" s="90" t="s">
        <v>2318</v>
      </c>
      <c r="H247" s="90" t="s">
        <v>267</v>
      </c>
      <c r="I247" s="90" t="s">
        <v>1944</v>
      </c>
      <c r="J247" s="90" t="s">
        <v>1620</v>
      </c>
      <c r="K247" s="90" t="s">
        <v>247</v>
      </c>
      <c r="L247" s="90" t="s">
        <v>2003</v>
      </c>
      <c r="M247" s="87" t="s">
        <v>2003</v>
      </c>
      <c r="N247" s="87" t="s">
        <v>1999</v>
      </c>
      <c r="O247" s="88">
        <v>42541</v>
      </c>
      <c r="P247" s="89">
        <v>10.199999999999999</v>
      </c>
      <c r="Q247" s="90" t="s">
        <v>3089</v>
      </c>
      <c r="R247" s="90" t="s">
        <v>3256</v>
      </c>
      <c r="S247" s="90" t="s">
        <v>2319</v>
      </c>
      <c r="T247" s="90" t="s">
        <v>2305</v>
      </c>
      <c r="U247" s="90" t="s">
        <v>1640</v>
      </c>
      <c r="V247" s="88">
        <v>42541</v>
      </c>
      <c r="W247" s="88">
        <v>42541</v>
      </c>
      <c r="X247" s="90" t="s">
        <v>43</v>
      </c>
      <c r="Y247" s="90" t="s">
        <v>257</v>
      </c>
      <c r="Z247" s="90" t="s">
        <v>36</v>
      </c>
      <c r="AA247" s="91"/>
      <c r="AB247" s="91"/>
      <c r="AC247" s="90" t="s">
        <v>2051</v>
      </c>
      <c r="AD247" s="90" t="s">
        <v>267</v>
      </c>
      <c r="AE247" s="90" t="s">
        <v>1636</v>
      </c>
      <c r="AF247" s="90" t="s">
        <v>2004</v>
      </c>
      <c r="AG247" s="90" t="s">
        <v>2793</v>
      </c>
      <c r="AH247" s="90" t="s">
        <v>2320</v>
      </c>
      <c r="AI247" s="90" t="s">
        <v>2320</v>
      </c>
      <c r="AJ247" s="90" t="s">
        <v>2051</v>
      </c>
      <c r="AK247" s="90" t="s">
        <v>36</v>
      </c>
      <c r="AL247" s="90" t="s">
        <v>1635</v>
      </c>
      <c r="AM247" s="90" t="s">
        <v>2307</v>
      </c>
      <c r="AN247" s="90" t="s">
        <v>2054</v>
      </c>
      <c r="AO247" s="87" t="s">
        <v>1949</v>
      </c>
      <c r="AP247" s="87" t="s">
        <v>1950</v>
      </c>
      <c r="AQ247" s="90" t="s">
        <v>2661</v>
      </c>
      <c r="AR247" s="91"/>
      <c r="AS247" s="91"/>
      <c r="AT247" s="91"/>
      <c r="AU247" s="87" t="s">
        <v>1972</v>
      </c>
      <c r="AV247" s="91"/>
      <c r="AW247" s="91"/>
      <c r="AX247" s="91"/>
      <c r="AY247" s="91"/>
      <c r="AZ247" t="str">
        <f t="shared" si="18"/>
        <v>205383</v>
      </c>
      <c r="BA247" t="str">
        <f t="shared" si="19"/>
        <v>0077</v>
      </c>
      <c r="BB247" t="str">
        <f t="shared" si="23"/>
        <v>0000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>IFERROR(VLOOKUP(X247,'Status Map'!A:B,2,FALSE),"Status Code Not Mapped")</f>
        <v>Y</v>
      </c>
      <c r="BL247" t="str">
        <f>IFERROR(VLOOKUP(D247,'Invoice Exception Map'!A:C,3,FALSE),"N")</f>
        <v>N</v>
      </c>
      <c r="BM247">
        <f t="shared" si="20"/>
        <v>5</v>
      </c>
      <c r="BN247" t="str">
        <f t="shared" si="21"/>
        <v>RUNN</v>
      </c>
      <c r="BO247" t="str">
        <f t="shared" si="22"/>
        <v>KAJSA</v>
      </c>
    </row>
    <row r="248" spans="1:67" ht="16" thickBot="1" x14ac:dyDescent="0.25">
      <c r="A248" s="90" t="s">
        <v>2298</v>
      </c>
      <c r="B248" s="90" t="s">
        <v>2299</v>
      </c>
      <c r="C248" s="90" t="s">
        <v>2300</v>
      </c>
      <c r="D248" s="90" t="s">
        <v>3641</v>
      </c>
      <c r="E248" s="90" t="s">
        <v>1953</v>
      </c>
      <c r="F248" s="90" t="s">
        <v>2662</v>
      </c>
      <c r="G248" s="90" t="s">
        <v>2310</v>
      </c>
      <c r="H248" s="90" t="s">
        <v>267</v>
      </c>
      <c r="I248" s="90" t="s">
        <v>1944</v>
      </c>
      <c r="J248" s="90" t="s">
        <v>1620</v>
      </c>
      <c r="K248" s="90" t="s">
        <v>2012</v>
      </c>
      <c r="L248" s="90" t="s">
        <v>2311</v>
      </c>
      <c r="M248" s="87" t="s">
        <v>2007</v>
      </c>
      <c r="N248" s="87" t="s">
        <v>2013</v>
      </c>
      <c r="O248" s="88">
        <v>40553</v>
      </c>
      <c r="P248" s="89">
        <v>15.6</v>
      </c>
      <c r="Q248" s="90" t="s">
        <v>3086</v>
      </c>
      <c r="R248" s="90" t="s">
        <v>3253</v>
      </c>
      <c r="S248" s="90" t="s">
        <v>2304</v>
      </c>
      <c r="T248" s="90" t="s">
        <v>2305</v>
      </c>
      <c r="U248" s="90" t="s">
        <v>1640</v>
      </c>
      <c r="V248" s="88">
        <v>40553</v>
      </c>
      <c r="W248" s="88">
        <v>40553</v>
      </c>
      <c r="X248" s="90" t="s">
        <v>43</v>
      </c>
      <c r="Y248" s="90" t="s">
        <v>257</v>
      </c>
      <c r="Z248" s="90" t="s">
        <v>36</v>
      </c>
      <c r="AA248" s="91"/>
      <c r="AB248" s="91"/>
      <c r="AC248" s="90" t="s">
        <v>2051</v>
      </c>
      <c r="AD248" s="90" t="s">
        <v>267</v>
      </c>
      <c r="AE248" s="90" t="s">
        <v>1636</v>
      </c>
      <c r="AF248" s="90" t="s">
        <v>2004</v>
      </c>
      <c r="AG248" s="90" t="s">
        <v>2793</v>
      </c>
      <c r="AH248" s="90" t="s">
        <v>2306</v>
      </c>
      <c r="AI248" s="90" t="s">
        <v>2306</v>
      </c>
      <c r="AJ248" s="90" t="s">
        <v>2051</v>
      </c>
      <c r="AK248" s="90" t="s">
        <v>36</v>
      </c>
      <c r="AL248" s="90" t="s">
        <v>1635</v>
      </c>
      <c r="AM248" s="90" t="s">
        <v>2307</v>
      </c>
      <c r="AN248" s="90" t="s">
        <v>2054</v>
      </c>
      <c r="AO248" s="87" t="s">
        <v>1949</v>
      </c>
      <c r="AP248" s="87" t="s">
        <v>1950</v>
      </c>
      <c r="AQ248" s="90" t="s">
        <v>2663</v>
      </c>
      <c r="AR248" s="91"/>
      <c r="AS248" s="91"/>
      <c r="AT248" s="91"/>
      <c r="AU248" s="87" t="s">
        <v>1972</v>
      </c>
      <c r="AV248" s="91"/>
      <c r="AW248" s="91"/>
      <c r="AX248" s="91"/>
      <c r="AY248" s="91"/>
      <c r="AZ248" t="str">
        <f t="shared" si="18"/>
        <v>212110</v>
      </c>
      <c r="BA248" t="str">
        <f t="shared" si="19"/>
        <v>0077</v>
      </c>
      <c r="BB248" t="str">
        <f t="shared" si="23"/>
        <v>0000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>IFERROR(VLOOKUP(X248,'Status Map'!A:B,2,FALSE),"Status Code Not Mapped")</f>
        <v>Y</v>
      </c>
      <c r="BL248" t="str">
        <f>IFERROR(VLOOKUP(D248,'Invoice Exception Map'!A:C,3,FALSE),"N")</f>
        <v>N</v>
      </c>
      <c r="BM248">
        <f t="shared" si="20"/>
        <v>11</v>
      </c>
      <c r="BN248" t="str">
        <f t="shared" si="21"/>
        <v>SABELSTRÖM</v>
      </c>
      <c r="BO248" t="str">
        <f t="shared" si="22"/>
        <v>PATRICK</v>
      </c>
    </row>
    <row r="249" spans="1:67" ht="16" thickBot="1" x14ac:dyDescent="0.25">
      <c r="A249" s="90" t="s">
        <v>2298</v>
      </c>
      <c r="B249" s="90" t="s">
        <v>2299</v>
      </c>
      <c r="C249" s="90" t="s">
        <v>2300</v>
      </c>
      <c r="D249" s="90" t="s">
        <v>3642</v>
      </c>
      <c r="E249" s="90" t="s">
        <v>1953</v>
      </c>
      <c r="F249" s="90" t="s">
        <v>2664</v>
      </c>
      <c r="G249" s="90" t="s">
        <v>2323</v>
      </c>
      <c r="H249" s="90" t="s">
        <v>1943</v>
      </c>
      <c r="I249" s="90" t="s">
        <v>1944</v>
      </c>
      <c r="J249" s="90" t="s">
        <v>1620</v>
      </c>
      <c r="K249" s="90" t="s">
        <v>2324</v>
      </c>
      <c r="L249" s="90" t="s">
        <v>2665</v>
      </c>
      <c r="M249" s="87" t="s">
        <v>2010</v>
      </c>
      <c r="N249" s="87" t="s">
        <v>2325</v>
      </c>
      <c r="O249" s="88">
        <v>40404</v>
      </c>
      <c r="P249" s="89">
        <v>16</v>
      </c>
      <c r="Q249" s="90" t="s">
        <v>3087</v>
      </c>
      <c r="R249" s="90" t="s">
        <v>3257</v>
      </c>
      <c r="S249" s="90" t="s">
        <v>2326</v>
      </c>
      <c r="T249" s="90" t="s">
        <v>2305</v>
      </c>
      <c r="U249" s="90" t="s">
        <v>1640</v>
      </c>
      <c r="V249" s="88">
        <v>40404</v>
      </c>
      <c r="W249" s="88">
        <v>40404</v>
      </c>
      <c r="X249" s="90" t="s">
        <v>43</v>
      </c>
      <c r="Y249" s="90" t="s">
        <v>257</v>
      </c>
      <c r="Z249" s="90" t="s">
        <v>36</v>
      </c>
      <c r="AA249" s="91"/>
      <c r="AB249" s="91"/>
      <c r="AC249" s="90" t="s">
        <v>2051</v>
      </c>
      <c r="AD249" s="90" t="s">
        <v>267</v>
      </c>
      <c r="AE249" s="90" t="s">
        <v>1636</v>
      </c>
      <c r="AF249" s="90" t="s">
        <v>2004</v>
      </c>
      <c r="AG249" s="90" t="s">
        <v>2793</v>
      </c>
      <c r="AH249" s="90" t="s">
        <v>2306</v>
      </c>
      <c r="AI249" s="90" t="s">
        <v>2306</v>
      </c>
      <c r="AJ249" s="90" t="s">
        <v>2051</v>
      </c>
      <c r="AK249" s="90" t="s">
        <v>36</v>
      </c>
      <c r="AL249" s="90" t="s">
        <v>1635</v>
      </c>
      <c r="AM249" s="90" t="s">
        <v>2307</v>
      </c>
      <c r="AN249" s="90" t="s">
        <v>2054</v>
      </c>
      <c r="AO249" s="87" t="s">
        <v>1949</v>
      </c>
      <c r="AP249" s="87" t="s">
        <v>1950</v>
      </c>
      <c r="AQ249" s="90" t="s">
        <v>2666</v>
      </c>
      <c r="AR249" s="91"/>
      <c r="AS249" s="91"/>
      <c r="AT249" s="91"/>
      <c r="AU249" s="87" t="s">
        <v>1972</v>
      </c>
      <c r="AV249" s="91"/>
      <c r="AW249" s="91"/>
      <c r="AX249" s="91"/>
      <c r="AY249" s="91"/>
      <c r="AZ249" t="str">
        <f t="shared" si="18"/>
        <v>205384</v>
      </c>
      <c r="BA249" t="str">
        <f t="shared" si="19"/>
        <v>0077</v>
      </c>
      <c r="BB249" t="str">
        <f t="shared" si="23"/>
        <v>0000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>IFERROR(VLOOKUP(X249,'Status Map'!A:B,2,FALSE),"Status Code Not Mapped")</f>
        <v>Y</v>
      </c>
      <c r="BL249" t="str">
        <f>IFERROR(VLOOKUP(D249,'Invoice Exception Map'!A:C,3,FALSE),"N")</f>
        <v>N</v>
      </c>
      <c r="BM249">
        <f t="shared" si="20"/>
        <v>11</v>
      </c>
      <c r="BN249" t="str">
        <f t="shared" si="21"/>
        <v>SABELSTRÖM</v>
      </c>
      <c r="BO249" t="str">
        <f t="shared" si="22"/>
        <v>RICHARD</v>
      </c>
    </row>
    <row r="250" spans="1:67" ht="16" thickBot="1" x14ac:dyDescent="0.25">
      <c r="A250" s="90" t="s">
        <v>2298</v>
      </c>
      <c r="B250" s="90" t="s">
        <v>2299</v>
      </c>
      <c r="C250" s="90" t="s">
        <v>2300</v>
      </c>
      <c r="D250" s="90" t="s">
        <v>3643</v>
      </c>
      <c r="E250" s="90" t="s">
        <v>1953</v>
      </c>
      <c r="F250" s="90" t="s">
        <v>2667</v>
      </c>
      <c r="G250" s="90" t="s">
        <v>2302</v>
      </c>
      <c r="H250" s="90" t="s">
        <v>267</v>
      </c>
      <c r="I250" s="90" t="s">
        <v>1944</v>
      </c>
      <c r="J250" s="90" t="s">
        <v>1620</v>
      </c>
      <c r="K250" s="90" t="s">
        <v>2303</v>
      </c>
      <c r="L250" s="90" t="s">
        <v>2227</v>
      </c>
      <c r="M250" s="87" t="s">
        <v>2072</v>
      </c>
      <c r="N250" s="87" t="s">
        <v>1999</v>
      </c>
      <c r="O250" s="88">
        <v>44298</v>
      </c>
      <c r="P250" s="89">
        <v>5.4</v>
      </c>
      <c r="Q250" s="90" t="s">
        <v>3086</v>
      </c>
      <c r="R250" s="90" t="s">
        <v>3255</v>
      </c>
      <c r="S250" s="90" t="s">
        <v>2315</v>
      </c>
      <c r="T250" s="90" t="s">
        <v>2305</v>
      </c>
      <c r="U250" s="90" t="s">
        <v>1640</v>
      </c>
      <c r="V250" s="88">
        <v>44298</v>
      </c>
      <c r="W250" s="88">
        <v>44298</v>
      </c>
      <c r="X250" s="90" t="s">
        <v>43</v>
      </c>
      <c r="Y250" s="90" t="s">
        <v>257</v>
      </c>
      <c r="Z250" s="90" t="s">
        <v>36</v>
      </c>
      <c r="AA250" s="91"/>
      <c r="AB250" s="91"/>
      <c r="AC250" s="90" t="s">
        <v>2051</v>
      </c>
      <c r="AD250" s="90" t="s">
        <v>267</v>
      </c>
      <c r="AE250" s="90" t="s">
        <v>1636</v>
      </c>
      <c r="AF250" s="90" t="s">
        <v>2004</v>
      </c>
      <c r="AG250" s="90" t="s">
        <v>2793</v>
      </c>
      <c r="AH250" s="90" t="s">
        <v>2306</v>
      </c>
      <c r="AI250" s="90" t="s">
        <v>2306</v>
      </c>
      <c r="AJ250" s="90" t="s">
        <v>2051</v>
      </c>
      <c r="AK250" s="90" t="s">
        <v>36</v>
      </c>
      <c r="AL250" s="90" t="s">
        <v>1635</v>
      </c>
      <c r="AM250" s="90" t="s">
        <v>2307</v>
      </c>
      <c r="AN250" s="90" t="s">
        <v>2054</v>
      </c>
      <c r="AO250" s="87" t="s">
        <v>1949</v>
      </c>
      <c r="AP250" s="87" t="s">
        <v>1950</v>
      </c>
      <c r="AQ250" s="90" t="s">
        <v>2668</v>
      </c>
      <c r="AR250" s="91"/>
      <c r="AS250" s="91"/>
      <c r="AT250" s="91"/>
      <c r="AU250" s="87" t="s">
        <v>1972</v>
      </c>
      <c r="AV250" s="91"/>
      <c r="AW250" s="91"/>
      <c r="AX250" s="91"/>
      <c r="AY250" s="91"/>
      <c r="AZ250" t="str">
        <f t="shared" si="18"/>
        <v>205315</v>
      </c>
      <c r="BA250" t="str">
        <f t="shared" si="19"/>
        <v>0077</v>
      </c>
      <c r="BB250" t="str">
        <f t="shared" si="23"/>
        <v>0000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>IFERROR(VLOOKUP(X250,'Status Map'!A:B,2,FALSE),"Status Code Not Mapped")</f>
        <v>Y</v>
      </c>
      <c r="BL250" t="str">
        <f>IFERROR(VLOOKUP(D250,'Invoice Exception Map'!A:C,3,FALSE),"N")</f>
        <v>N</v>
      </c>
      <c r="BM250">
        <f t="shared" si="20"/>
        <v>14</v>
      </c>
      <c r="BN250" t="str">
        <f t="shared" si="21"/>
        <v>SAID ALHALABI</v>
      </c>
      <c r="BO250" t="str">
        <f t="shared" si="22"/>
        <v>MOHAMMAD</v>
      </c>
    </row>
    <row r="251" spans="1:67" ht="16" thickBot="1" x14ac:dyDescent="0.25">
      <c r="A251" s="90" t="s">
        <v>2298</v>
      </c>
      <c r="B251" s="90" t="s">
        <v>2299</v>
      </c>
      <c r="C251" s="90" t="s">
        <v>2300</v>
      </c>
      <c r="D251" s="90" t="s">
        <v>3644</v>
      </c>
      <c r="E251" s="90" t="s">
        <v>1953</v>
      </c>
      <c r="F251" s="90" t="s">
        <v>2669</v>
      </c>
      <c r="G251" s="90" t="s">
        <v>2318</v>
      </c>
      <c r="H251" s="90" t="s">
        <v>267</v>
      </c>
      <c r="I251" s="90" t="s">
        <v>1944</v>
      </c>
      <c r="J251" s="90" t="s">
        <v>1620</v>
      </c>
      <c r="K251" s="90" t="s">
        <v>247</v>
      </c>
      <c r="L251" s="90" t="s">
        <v>2003</v>
      </c>
      <c r="M251" s="87" t="s">
        <v>2003</v>
      </c>
      <c r="N251" s="87" t="s">
        <v>1999</v>
      </c>
      <c r="O251" s="88">
        <v>44200</v>
      </c>
      <c r="P251" s="89">
        <v>5.6</v>
      </c>
      <c r="Q251" s="90" t="s">
        <v>3089</v>
      </c>
      <c r="R251" s="90" t="s">
        <v>3256</v>
      </c>
      <c r="S251" s="90" t="s">
        <v>2319</v>
      </c>
      <c r="T251" s="90" t="s">
        <v>2305</v>
      </c>
      <c r="U251" s="90" t="s">
        <v>1640</v>
      </c>
      <c r="V251" s="88">
        <v>44256</v>
      </c>
      <c r="W251" s="88">
        <v>44200</v>
      </c>
      <c r="X251" s="90" t="s">
        <v>43</v>
      </c>
      <c r="Y251" s="90" t="s">
        <v>257</v>
      </c>
      <c r="Z251" s="90" t="s">
        <v>36</v>
      </c>
      <c r="AA251" s="91"/>
      <c r="AB251" s="91"/>
      <c r="AC251" s="90" t="s">
        <v>2051</v>
      </c>
      <c r="AD251" s="90" t="s">
        <v>267</v>
      </c>
      <c r="AE251" s="90" t="s">
        <v>1636</v>
      </c>
      <c r="AF251" s="90" t="s">
        <v>2004</v>
      </c>
      <c r="AG251" s="90" t="s">
        <v>2793</v>
      </c>
      <c r="AH251" s="90" t="s">
        <v>2320</v>
      </c>
      <c r="AI251" s="90" t="s">
        <v>2320</v>
      </c>
      <c r="AJ251" s="90" t="s">
        <v>2051</v>
      </c>
      <c r="AK251" s="90" t="s">
        <v>36</v>
      </c>
      <c r="AL251" s="90" t="s">
        <v>1635</v>
      </c>
      <c r="AM251" s="90" t="s">
        <v>2307</v>
      </c>
      <c r="AN251" s="90" t="s">
        <v>2054</v>
      </c>
      <c r="AO251" s="87" t="s">
        <v>1949</v>
      </c>
      <c r="AP251" s="87" t="s">
        <v>1950</v>
      </c>
      <c r="AQ251" s="90" t="s">
        <v>2670</v>
      </c>
      <c r="AR251" s="91"/>
      <c r="AS251" s="91"/>
      <c r="AT251" s="91"/>
      <c r="AU251" s="87" t="s">
        <v>1972</v>
      </c>
      <c r="AV251" s="91"/>
      <c r="AW251" s="91"/>
      <c r="AX251" s="91"/>
      <c r="AY251" s="91"/>
      <c r="AZ251" t="str">
        <f t="shared" si="18"/>
        <v>205383</v>
      </c>
      <c r="BA251" t="str">
        <f t="shared" si="19"/>
        <v>0077</v>
      </c>
      <c r="BB251" t="str">
        <f t="shared" si="23"/>
        <v>0000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>IFERROR(VLOOKUP(X251,'Status Map'!A:B,2,FALSE),"Status Code Not Mapped")</f>
        <v>Y</v>
      </c>
      <c r="BL251" t="str">
        <f>IFERROR(VLOOKUP(D251,'Invoice Exception Map'!A:C,3,FALSE),"N")</f>
        <v>N</v>
      </c>
      <c r="BM251">
        <f t="shared" si="20"/>
        <v>6</v>
      </c>
      <c r="BN251" t="str">
        <f t="shared" si="21"/>
        <v>SALMA</v>
      </c>
      <c r="BO251" t="str">
        <f t="shared" si="22"/>
        <v>KATARINA</v>
      </c>
    </row>
    <row r="252" spans="1:67" ht="16" thickBot="1" x14ac:dyDescent="0.25">
      <c r="A252" s="90" t="s">
        <v>2298</v>
      </c>
      <c r="B252" s="90" t="s">
        <v>2299</v>
      </c>
      <c r="C252" s="90" t="s">
        <v>2300</v>
      </c>
      <c r="D252" s="90" t="s">
        <v>3645</v>
      </c>
      <c r="E252" s="90" t="s">
        <v>1953</v>
      </c>
      <c r="F252" s="90" t="s">
        <v>2671</v>
      </c>
      <c r="G252" s="90" t="s">
        <v>2310</v>
      </c>
      <c r="H252" s="90" t="s">
        <v>267</v>
      </c>
      <c r="I252" s="90" t="s">
        <v>1944</v>
      </c>
      <c r="J252" s="90" t="s">
        <v>1620</v>
      </c>
      <c r="K252" s="90" t="s">
        <v>2012</v>
      </c>
      <c r="L252" s="90" t="s">
        <v>2311</v>
      </c>
      <c r="M252" s="87" t="s">
        <v>2007</v>
      </c>
      <c r="N252" s="87" t="s">
        <v>2013</v>
      </c>
      <c r="O252" s="88">
        <v>40437</v>
      </c>
      <c r="P252" s="89">
        <v>16</v>
      </c>
      <c r="Q252" s="90" t="s">
        <v>3086</v>
      </c>
      <c r="R252" s="90" t="s">
        <v>3253</v>
      </c>
      <c r="S252" s="90" t="s">
        <v>2304</v>
      </c>
      <c r="T252" s="90" t="s">
        <v>2305</v>
      </c>
      <c r="U252" s="90" t="s">
        <v>1640</v>
      </c>
      <c r="V252" s="88">
        <v>40437</v>
      </c>
      <c r="W252" s="88">
        <v>40437</v>
      </c>
      <c r="X252" s="90" t="s">
        <v>43</v>
      </c>
      <c r="Y252" s="90" t="s">
        <v>257</v>
      </c>
      <c r="Z252" s="90" t="s">
        <v>36</v>
      </c>
      <c r="AA252" s="91"/>
      <c r="AB252" s="91"/>
      <c r="AC252" s="90" t="s">
        <v>2051</v>
      </c>
      <c r="AD252" s="90" t="s">
        <v>267</v>
      </c>
      <c r="AE252" s="90" t="s">
        <v>1636</v>
      </c>
      <c r="AF252" s="90" t="s">
        <v>2004</v>
      </c>
      <c r="AG252" s="90" t="s">
        <v>2793</v>
      </c>
      <c r="AH252" s="90" t="s">
        <v>2306</v>
      </c>
      <c r="AI252" s="90" t="s">
        <v>2306</v>
      </c>
      <c r="AJ252" s="90" t="s">
        <v>2051</v>
      </c>
      <c r="AK252" s="90" t="s">
        <v>36</v>
      </c>
      <c r="AL252" s="90" t="s">
        <v>1635</v>
      </c>
      <c r="AM252" s="90" t="s">
        <v>2307</v>
      </c>
      <c r="AN252" s="90" t="s">
        <v>2054</v>
      </c>
      <c r="AO252" s="87" t="s">
        <v>1949</v>
      </c>
      <c r="AP252" s="87" t="s">
        <v>1950</v>
      </c>
      <c r="AQ252" s="90" t="s">
        <v>2672</v>
      </c>
      <c r="AR252" s="91"/>
      <c r="AS252" s="91"/>
      <c r="AT252" s="91"/>
      <c r="AU252" s="87" t="s">
        <v>1972</v>
      </c>
      <c r="AV252" s="91"/>
      <c r="AW252" s="91"/>
      <c r="AX252" s="91"/>
      <c r="AY252" s="91"/>
      <c r="AZ252" t="str">
        <f t="shared" ref="AZ252:AZ315" si="24">R252</f>
        <v>212110</v>
      </c>
      <c r="BA252" t="str">
        <f t="shared" ref="BA252:BA315" si="25">U252</f>
        <v>0077</v>
      </c>
      <c r="BB252" t="str">
        <f t="shared" si="23"/>
        <v>0000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>IFERROR(VLOOKUP(X252,'Status Map'!A:B,2,FALSE),"Status Code Not Mapped")</f>
        <v>Y</v>
      </c>
      <c r="BL252" t="str">
        <f>IFERROR(VLOOKUP(D252,'Invoice Exception Map'!A:C,3,FALSE),"N")</f>
        <v>N</v>
      </c>
      <c r="BM252">
        <f t="shared" ref="BM252:BM315" si="26">FIND(",",F252,1)</f>
        <v>6</v>
      </c>
      <c r="BN252" t="str">
        <f t="shared" ref="BN252:BN315" si="27">LEFT(F252,BM252-1)</f>
        <v>SALMA</v>
      </c>
      <c r="BO252" t="str">
        <f t="shared" ref="BO252:BO315" si="28">MID(F252,BM252+2,45)</f>
        <v>RUDOLF</v>
      </c>
    </row>
    <row r="253" spans="1:67" ht="16" thickBot="1" x14ac:dyDescent="0.25">
      <c r="A253" s="90" t="s">
        <v>2298</v>
      </c>
      <c r="B253" s="90" t="s">
        <v>2299</v>
      </c>
      <c r="C253" s="90" t="s">
        <v>2300</v>
      </c>
      <c r="D253" s="90" t="s">
        <v>3646</v>
      </c>
      <c r="E253" s="90" t="s">
        <v>1953</v>
      </c>
      <c r="F253" s="90" t="s">
        <v>2673</v>
      </c>
      <c r="G253" s="90" t="s">
        <v>2318</v>
      </c>
      <c r="H253" s="90" t="s">
        <v>267</v>
      </c>
      <c r="I253" s="90" t="s">
        <v>1944</v>
      </c>
      <c r="J253" s="90" t="s">
        <v>1620</v>
      </c>
      <c r="K253" s="90" t="s">
        <v>247</v>
      </c>
      <c r="L253" s="90" t="s">
        <v>2003</v>
      </c>
      <c r="M253" s="87" t="s">
        <v>2003</v>
      </c>
      <c r="N253" s="87" t="s">
        <v>1999</v>
      </c>
      <c r="O253" s="88">
        <v>40210</v>
      </c>
      <c r="P253" s="89">
        <v>16.5</v>
      </c>
      <c r="Q253" s="90" t="s">
        <v>3089</v>
      </c>
      <c r="R253" s="90" t="s">
        <v>3256</v>
      </c>
      <c r="S253" s="90" t="s">
        <v>2319</v>
      </c>
      <c r="T253" s="90" t="s">
        <v>2305</v>
      </c>
      <c r="U253" s="90" t="s">
        <v>1640</v>
      </c>
      <c r="V253" s="88">
        <v>40210</v>
      </c>
      <c r="W253" s="88">
        <v>40210</v>
      </c>
      <c r="X253" s="90" t="s">
        <v>43</v>
      </c>
      <c r="Y253" s="90" t="s">
        <v>257</v>
      </c>
      <c r="Z253" s="90" t="s">
        <v>36</v>
      </c>
      <c r="AA253" s="91"/>
      <c r="AB253" s="91"/>
      <c r="AC253" s="90" t="s">
        <v>2051</v>
      </c>
      <c r="AD253" s="90" t="s">
        <v>267</v>
      </c>
      <c r="AE253" s="90" t="s">
        <v>1636</v>
      </c>
      <c r="AF253" s="90" t="s">
        <v>2004</v>
      </c>
      <c r="AG253" s="90" t="s">
        <v>2793</v>
      </c>
      <c r="AH253" s="90" t="s">
        <v>2320</v>
      </c>
      <c r="AI253" s="90" t="s">
        <v>2320</v>
      </c>
      <c r="AJ253" s="90" t="s">
        <v>2051</v>
      </c>
      <c r="AK253" s="90" t="s">
        <v>36</v>
      </c>
      <c r="AL253" s="90" t="s">
        <v>1635</v>
      </c>
      <c r="AM253" s="90" t="s">
        <v>2307</v>
      </c>
      <c r="AN253" s="90" t="s">
        <v>2054</v>
      </c>
      <c r="AO253" s="87" t="s">
        <v>1949</v>
      </c>
      <c r="AP253" s="87" t="s">
        <v>1950</v>
      </c>
      <c r="AQ253" s="90" t="s">
        <v>2674</v>
      </c>
      <c r="AR253" s="91"/>
      <c r="AS253" s="91"/>
      <c r="AT253" s="91"/>
      <c r="AU253" s="87" t="s">
        <v>1972</v>
      </c>
      <c r="AV253" s="91"/>
      <c r="AW253" s="91"/>
      <c r="AX253" s="91"/>
      <c r="AY253" s="91"/>
      <c r="AZ253" t="str">
        <f t="shared" si="24"/>
        <v>205383</v>
      </c>
      <c r="BA253" t="str">
        <f t="shared" si="25"/>
        <v>0077</v>
      </c>
      <c r="BB253" t="str">
        <f t="shared" si="23"/>
        <v>0000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>IFERROR(VLOOKUP(X253,'Status Map'!A:B,2,FALSE),"Status Code Not Mapped")</f>
        <v>Y</v>
      </c>
      <c r="BL253" t="str">
        <f>IFERROR(VLOOKUP(D253,'Invoice Exception Map'!A:C,3,FALSE),"N")</f>
        <v>N</v>
      </c>
      <c r="BM253">
        <f t="shared" si="26"/>
        <v>11</v>
      </c>
      <c r="BN253" t="str">
        <f t="shared" si="27"/>
        <v>SAMUELSSON</v>
      </c>
      <c r="BO253" t="str">
        <f t="shared" si="28"/>
        <v>LOTTA</v>
      </c>
    </row>
    <row r="254" spans="1:67" ht="16" thickBot="1" x14ac:dyDescent="0.25">
      <c r="A254" s="90" t="s">
        <v>2298</v>
      </c>
      <c r="B254" s="90" t="s">
        <v>2299</v>
      </c>
      <c r="C254" s="90" t="s">
        <v>2300</v>
      </c>
      <c r="D254" s="90" t="s">
        <v>3647</v>
      </c>
      <c r="E254" s="90" t="s">
        <v>1953</v>
      </c>
      <c r="F254" s="90" t="s">
        <v>2675</v>
      </c>
      <c r="G254" s="90" t="s">
        <v>2310</v>
      </c>
      <c r="H254" s="90" t="s">
        <v>267</v>
      </c>
      <c r="I254" s="90" t="s">
        <v>1944</v>
      </c>
      <c r="J254" s="90" t="s">
        <v>1620</v>
      </c>
      <c r="K254" s="90" t="s">
        <v>2012</v>
      </c>
      <c r="L254" s="90" t="s">
        <v>2311</v>
      </c>
      <c r="M254" s="87" t="s">
        <v>2007</v>
      </c>
      <c r="N254" s="87" t="s">
        <v>2013</v>
      </c>
      <c r="O254" s="88">
        <v>41715</v>
      </c>
      <c r="P254" s="89">
        <v>12.4</v>
      </c>
      <c r="Q254" s="90" t="s">
        <v>3086</v>
      </c>
      <c r="R254" s="90" t="s">
        <v>3255</v>
      </c>
      <c r="S254" s="90" t="s">
        <v>2315</v>
      </c>
      <c r="T254" s="90" t="s">
        <v>2305</v>
      </c>
      <c r="U254" s="90" t="s">
        <v>1640</v>
      </c>
      <c r="V254" s="88">
        <v>41715</v>
      </c>
      <c r="W254" s="88">
        <v>41715</v>
      </c>
      <c r="X254" s="90" t="s">
        <v>43</v>
      </c>
      <c r="Y254" s="90" t="s">
        <v>257</v>
      </c>
      <c r="Z254" s="90" t="s">
        <v>36</v>
      </c>
      <c r="AA254" s="91"/>
      <c r="AB254" s="91"/>
      <c r="AC254" s="90" t="s">
        <v>2051</v>
      </c>
      <c r="AD254" s="90" t="s">
        <v>267</v>
      </c>
      <c r="AE254" s="90" t="s">
        <v>1636</v>
      </c>
      <c r="AF254" s="90" t="s">
        <v>2004</v>
      </c>
      <c r="AG254" s="90" t="s">
        <v>2793</v>
      </c>
      <c r="AH254" s="90" t="s">
        <v>2306</v>
      </c>
      <c r="AI254" s="90" t="s">
        <v>2306</v>
      </c>
      <c r="AJ254" s="90" t="s">
        <v>2051</v>
      </c>
      <c r="AK254" s="90" t="s">
        <v>36</v>
      </c>
      <c r="AL254" s="90" t="s">
        <v>1635</v>
      </c>
      <c r="AM254" s="90" t="s">
        <v>2307</v>
      </c>
      <c r="AN254" s="90" t="s">
        <v>2054</v>
      </c>
      <c r="AO254" s="87" t="s">
        <v>1949</v>
      </c>
      <c r="AP254" s="87" t="s">
        <v>1950</v>
      </c>
      <c r="AQ254" s="90" t="s">
        <v>2676</v>
      </c>
      <c r="AR254" s="91"/>
      <c r="AS254" s="91"/>
      <c r="AT254" s="91"/>
      <c r="AU254" s="87" t="s">
        <v>1972</v>
      </c>
      <c r="AV254" s="91"/>
      <c r="AW254" s="91"/>
      <c r="AX254" s="91"/>
      <c r="AY254" s="91"/>
      <c r="AZ254" t="str">
        <f t="shared" si="24"/>
        <v>205315</v>
      </c>
      <c r="BA254" t="str">
        <f t="shared" si="25"/>
        <v>0077</v>
      </c>
      <c r="BB254" t="str">
        <f t="shared" si="23"/>
        <v>0000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>IFERROR(VLOOKUP(X254,'Status Map'!A:B,2,FALSE),"Status Code Not Mapped")</f>
        <v>Y</v>
      </c>
      <c r="BL254" t="str">
        <f>IFERROR(VLOOKUP(D254,'Invoice Exception Map'!A:C,3,FALSE),"N")</f>
        <v>N</v>
      </c>
      <c r="BM254">
        <f t="shared" si="26"/>
        <v>10</v>
      </c>
      <c r="BN254" t="str">
        <f t="shared" si="27"/>
        <v>SANNEGÅRD</v>
      </c>
      <c r="BO254" t="str">
        <f t="shared" si="28"/>
        <v>ROGER</v>
      </c>
    </row>
    <row r="255" spans="1:67" ht="16" thickBot="1" x14ac:dyDescent="0.25">
      <c r="A255" s="90" t="s">
        <v>2298</v>
      </c>
      <c r="B255" s="90" t="s">
        <v>2299</v>
      </c>
      <c r="C255" s="90" t="s">
        <v>2300</v>
      </c>
      <c r="D255" s="90" t="s">
        <v>3648</v>
      </c>
      <c r="E255" s="90" t="s">
        <v>1953</v>
      </c>
      <c r="F255" s="90" t="s">
        <v>2677</v>
      </c>
      <c r="G255" s="90" t="s">
        <v>2318</v>
      </c>
      <c r="H255" s="90" t="s">
        <v>267</v>
      </c>
      <c r="I255" s="90" t="s">
        <v>1944</v>
      </c>
      <c r="J255" s="90" t="s">
        <v>1620</v>
      </c>
      <c r="K255" s="90" t="s">
        <v>247</v>
      </c>
      <c r="L255" s="90" t="s">
        <v>2003</v>
      </c>
      <c r="M255" s="87" t="s">
        <v>2003</v>
      </c>
      <c r="N255" s="87" t="s">
        <v>1999</v>
      </c>
      <c r="O255" s="88">
        <v>37767</v>
      </c>
      <c r="P255" s="89">
        <v>23.3</v>
      </c>
      <c r="Q255" s="90" t="s">
        <v>3089</v>
      </c>
      <c r="R255" s="90" t="s">
        <v>3256</v>
      </c>
      <c r="S255" s="90" t="s">
        <v>2319</v>
      </c>
      <c r="T255" s="90" t="s">
        <v>2305</v>
      </c>
      <c r="U255" s="90" t="s">
        <v>1640</v>
      </c>
      <c r="V255" s="88">
        <v>37767</v>
      </c>
      <c r="W255" s="88">
        <v>37767</v>
      </c>
      <c r="X255" s="90" t="s">
        <v>43</v>
      </c>
      <c r="Y255" s="90" t="s">
        <v>257</v>
      </c>
      <c r="Z255" s="90" t="s">
        <v>36</v>
      </c>
      <c r="AA255" s="91"/>
      <c r="AB255" s="91"/>
      <c r="AC255" s="90" t="s">
        <v>2051</v>
      </c>
      <c r="AD255" s="90" t="s">
        <v>267</v>
      </c>
      <c r="AE255" s="90" t="s">
        <v>1636</v>
      </c>
      <c r="AF255" s="90" t="s">
        <v>2004</v>
      </c>
      <c r="AG255" s="90" t="s">
        <v>2793</v>
      </c>
      <c r="AH255" s="90" t="s">
        <v>2320</v>
      </c>
      <c r="AI255" s="90" t="s">
        <v>2320</v>
      </c>
      <c r="AJ255" s="90" t="s">
        <v>2051</v>
      </c>
      <c r="AK255" s="90" t="s">
        <v>36</v>
      </c>
      <c r="AL255" s="90" t="s">
        <v>1635</v>
      </c>
      <c r="AM255" s="90" t="s">
        <v>2307</v>
      </c>
      <c r="AN255" s="90" t="s">
        <v>2054</v>
      </c>
      <c r="AO255" s="87" t="s">
        <v>1949</v>
      </c>
      <c r="AP255" s="87" t="s">
        <v>1950</v>
      </c>
      <c r="AQ255" s="90" t="s">
        <v>2678</v>
      </c>
      <c r="AR255" s="91"/>
      <c r="AS255" s="91"/>
      <c r="AT255" s="91"/>
      <c r="AU255" s="87" t="s">
        <v>1972</v>
      </c>
      <c r="AV255" s="91"/>
      <c r="AW255" s="91"/>
      <c r="AX255" s="91"/>
      <c r="AY255" s="91"/>
      <c r="AZ255" t="str">
        <f t="shared" si="24"/>
        <v>205383</v>
      </c>
      <c r="BA255" t="str">
        <f t="shared" si="25"/>
        <v>0077</v>
      </c>
      <c r="BB255" t="str">
        <f t="shared" si="23"/>
        <v>0000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>IFERROR(VLOOKUP(X255,'Status Map'!A:B,2,FALSE),"Status Code Not Mapped")</f>
        <v>Y</v>
      </c>
      <c r="BL255" t="str">
        <f>IFERROR(VLOOKUP(D255,'Invoice Exception Map'!A:C,3,FALSE),"N")</f>
        <v>N</v>
      </c>
      <c r="BM255">
        <f t="shared" si="26"/>
        <v>8</v>
      </c>
      <c r="BN255" t="str">
        <f t="shared" si="27"/>
        <v>SCHILDT</v>
      </c>
      <c r="BO255" t="str">
        <f t="shared" si="28"/>
        <v>PETER</v>
      </c>
    </row>
    <row r="256" spans="1:67" ht="16" thickBot="1" x14ac:dyDescent="0.25">
      <c r="A256" s="90" t="s">
        <v>2298</v>
      </c>
      <c r="B256" s="90" t="s">
        <v>2299</v>
      </c>
      <c r="C256" s="90" t="s">
        <v>2300</v>
      </c>
      <c r="D256" s="90" t="s">
        <v>3649</v>
      </c>
      <c r="E256" s="90" t="s">
        <v>1953</v>
      </c>
      <c r="F256" s="90" t="s">
        <v>2679</v>
      </c>
      <c r="G256" s="90" t="s">
        <v>2318</v>
      </c>
      <c r="H256" s="90" t="s">
        <v>267</v>
      </c>
      <c r="I256" s="90" t="s">
        <v>1944</v>
      </c>
      <c r="J256" s="90" t="s">
        <v>1620</v>
      </c>
      <c r="K256" s="90" t="s">
        <v>247</v>
      </c>
      <c r="L256" s="90" t="s">
        <v>2003</v>
      </c>
      <c r="M256" s="87" t="s">
        <v>2003</v>
      </c>
      <c r="N256" s="87" t="s">
        <v>1999</v>
      </c>
      <c r="O256" s="88">
        <v>42857</v>
      </c>
      <c r="P256" s="89">
        <v>9.3000000000000007</v>
      </c>
      <c r="Q256" s="90" t="s">
        <v>3089</v>
      </c>
      <c r="R256" s="90" t="s">
        <v>3261</v>
      </c>
      <c r="S256" s="90" t="s">
        <v>2346</v>
      </c>
      <c r="T256" s="90" t="s">
        <v>2305</v>
      </c>
      <c r="U256" s="90" t="s">
        <v>1640</v>
      </c>
      <c r="V256" s="88">
        <v>42857</v>
      </c>
      <c r="W256" s="88">
        <v>42857</v>
      </c>
      <c r="X256" s="90" t="s">
        <v>43</v>
      </c>
      <c r="Y256" s="90" t="s">
        <v>257</v>
      </c>
      <c r="Z256" s="90" t="s">
        <v>36</v>
      </c>
      <c r="AA256" s="91"/>
      <c r="AB256" s="91"/>
      <c r="AC256" s="90" t="s">
        <v>2051</v>
      </c>
      <c r="AD256" s="90" t="s">
        <v>267</v>
      </c>
      <c r="AE256" s="90" t="s">
        <v>1636</v>
      </c>
      <c r="AF256" s="90" t="s">
        <v>2004</v>
      </c>
      <c r="AG256" s="90" t="s">
        <v>2793</v>
      </c>
      <c r="AH256" s="90" t="s">
        <v>2320</v>
      </c>
      <c r="AI256" s="90" t="s">
        <v>2320</v>
      </c>
      <c r="AJ256" s="90" t="s">
        <v>2051</v>
      </c>
      <c r="AK256" s="90" t="s">
        <v>36</v>
      </c>
      <c r="AL256" s="90" t="s">
        <v>1635</v>
      </c>
      <c r="AM256" s="90" t="s">
        <v>2307</v>
      </c>
      <c r="AN256" s="90" t="s">
        <v>2054</v>
      </c>
      <c r="AO256" s="87" t="s">
        <v>1949</v>
      </c>
      <c r="AP256" s="87" t="s">
        <v>1950</v>
      </c>
      <c r="AQ256" s="90" t="s">
        <v>2680</v>
      </c>
      <c r="AR256" s="91"/>
      <c r="AS256" s="91"/>
      <c r="AT256" s="91"/>
      <c r="AU256" s="87" t="s">
        <v>1972</v>
      </c>
      <c r="AV256" s="91"/>
      <c r="AW256" s="91"/>
      <c r="AX256" s="91"/>
      <c r="AY256" s="91"/>
      <c r="AZ256" t="str">
        <f t="shared" si="24"/>
        <v>205116</v>
      </c>
      <c r="BA256" t="str">
        <f t="shared" si="25"/>
        <v>0077</v>
      </c>
      <c r="BB256" t="str">
        <f t="shared" si="23"/>
        <v>0000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>IFERROR(VLOOKUP(X256,'Status Map'!A:B,2,FALSE),"Status Code Not Mapped")</f>
        <v>Y</v>
      </c>
      <c r="BL256" t="str">
        <f>IFERROR(VLOOKUP(D256,'Invoice Exception Map'!A:C,3,FALSE),"N")</f>
        <v>N</v>
      </c>
      <c r="BM256">
        <f t="shared" si="26"/>
        <v>9</v>
      </c>
      <c r="BN256" t="str">
        <f t="shared" si="27"/>
        <v>SELINDER</v>
      </c>
      <c r="BO256" t="str">
        <f t="shared" si="28"/>
        <v>FREDRIK</v>
      </c>
    </row>
    <row r="257" spans="1:67" ht="16" thickBot="1" x14ac:dyDescent="0.25">
      <c r="A257" s="90" t="s">
        <v>2298</v>
      </c>
      <c r="B257" s="90" t="s">
        <v>2299</v>
      </c>
      <c r="C257" s="90" t="s">
        <v>2300</v>
      </c>
      <c r="D257" s="90" t="s">
        <v>3650</v>
      </c>
      <c r="E257" s="90" t="s">
        <v>1953</v>
      </c>
      <c r="F257" s="90" t="s">
        <v>2681</v>
      </c>
      <c r="G257" s="90" t="s">
        <v>2318</v>
      </c>
      <c r="H257" s="90" t="s">
        <v>267</v>
      </c>
      <c r="I257" s="90" t="s">
        <v>1944</v>
      </c>
      <c r="J257" s="90" t="s">
        <v>1620</v>
      </c>
      <c r="K257" s="90" t="s">
        <v>247</v>
      </c>
      <c r="L257" s="90" t="s">
        <v>2003</v>
      </c>
      <c r="M257" s="87" t="s">
        <v>2003</v>
      </c>
      <c r="N257" s="87" t="s">
        <v>1999</v>
      </c>
      <c r="O257" s="88">
        <v>40581</v>
      </c>
      <c r="P257" s="89">
        <v>15.5</v>
      </c>
      <c r="Q257" s="90" t="s">
        <v>3089</v>
      </c>
      <c r="R257" s="90" t="s">
        <v>3256</v>
      </c>
      <c r="S257" s="90" t="s">
        <v>2319</v>
      </c>
      <c r="T257" s="90" t="s">
        <v>2305</v>
      </c>
      <c r="U257" s="90" t="s">
        <v>1640</v>
      </c>
      <c r="V257" s="88">
        <v>40581</v>
      </c>
      <c r="W257" s="88">
        <v>40581</v>
      </c>
      <c r="X257" s="90" t="s">
        <v>43</v>
      </c>
      <c r="Y257" s="90" t="s">
        <v>257</v>
      </c>
      <c r="Z257" s="90" t="s">
        <v>36</v>
      </c>
      <c r="AA257" s="91"/>
      <c r="AB257" s="91"/>
      <c r="AC257" s="90" t="s">
        <v>2051</v>
      </c>
      <c r="AD257" s="90" t="s">
        <v>267</v>
      </c>
      <c r="AE257" s="90" t="s">
        <v>1636</v>
      </c>
      <c r="AF257" s="90" t="s">
        <v>2004</v>
      </c>
      <c r="AG257" s="90" t="s">
        <v>2793</v>
      </c>
      <c r="AH257" s="90" t="s">
        <v>2320</v>
      </c>
      <c r="AI257" s="90" t="s">
        <v>2320</v>
      </c>
      <c r="AJ257" s="90" t="s">
        <v>2051</v>
      </c>
      <c r="AK257" s="90" t="s">
        <v>36</v>
      </c>
      <c r="AL257" s="90" t="s">
        <v>1635</v>
      </c>
      <c r="AM257" s="90" t="s">
        <v>2307</v>
      </c>
      <c r="AN257" s="90" t="s">
        <v>2054</v>
      </c>
      <c r="AO257" s="87" t="s">
        <v>1949</v>
      </c>
      <c r="AP257" s="87" t="s">
        <v>1950</v>
      </c>
      <c r="AQ257" s="90" t="s">
        <v>2682</v>
      </c>
      <c r="AR257" s="91"/>
      <c r="AS257" s="91"/>
      <c r="AT257" s="91"/>
      <c r="AU257" s="87" t="s">
        <v>1972</v>
      </c>
      <c r="AV257" s="91"/>
      <c r="AW257" s="91"/>
      <c r="AX257" s="91"/>
      <c r="AY257" s="91"/>
      <c r="AZ257" t="str">
        <f t="shared" si="24"/>
        <v>205383</v>
      </c>
      <c r="BA257" t="str">
        <f t="shared" si="25"/>
        <v>0077</v>
      </c>
      <c r="BB257" t="str">
        <f t="shared" si="23"/>
        <v>0000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>IFERROR(VLOOKUP(X257,'Status Map'!A:B,2,FALSE),"Status Code Not Mapped")</f>
        <v>Y</v>
      </c>
      <c r="BL257" t="str">
        <f>IFERROR(VLOOKUP(D257,'Invoice Exception Map'!A:C,3,FALSE),"N")</f>
        <v>N</v>
      </c>
      <c r="BM257">
        <f t="shared" si="26"/>
        <v>9</v>
      </c>
      <c r="BN257" t="str">
        <f t="shared" si="27"/>
        <v>SJÖSTEDT</v>
      </c>
      <c r="BO257" t="str">
        <f t="shared" si="28"/>
        <v>MIKAEL</v>
      </c>
    </row>
    <row r="258" spans="1:67" ht="16" thickBot="1" x14ac:dyDescent="0.25">
      <c r="A258" s="90" t="s">
        <v>2298</v>
      </c>
      <c r="B258" s="90" t="s">
        <v>2299</v>
      </c>
      <c r="C258" s="90" t="s">
        <v>2300</v>
      </c>
      <c r="D258" s="90" t="s">
        <v>3651</v>
      </c>
      <c r="E258" s="90" t="s">
        <v>1953</v>
      </c>
      <c r="F258" s="90" t="s">
        <v>2683</v>
      </c>
      <c r="G258" s="90" t="s">
        <v>2464</v>
      </c>
      <c r="H258" s="90" t="s">
        <v>267</v>
      </c>
      <c r="I258" s="90" t="s">
        <v>1944</v>
      </c>
      <c r="J258" s="90" t="s">
        <v>1620</v>
      </c>
      <c r="K258" s="90" t="s">
        <v>2465</v>
      </c>
      <c r="L258" s="90" t="s">
        <v>2466</v>
      </c>
      <c r="M258" s="87" t="s">
        <v>2466</v>
      </c>
      <c r="N258" s="87" t="s">
        <v>1999</v>
      </c>
      <c r="O258" s="88">
        <v>41015</v>
      </c>
      <c r="P258" s="89">
        <v>14.4</v>
      </c>
      <c r="Q258" s="90" t="s">
        <v>3086</v>
      </c>
      <c r="R258" s="90" t="s">
        <v>3264</v>
      </c>
      <c r="S258" s="90" t="s">
        <v>2363</v>
      </c>
      <c r="T258" s="90" t="s">
        <v>2305</v>
      </c>
      <c r="U258" s="90" t="s">
        <v>1640</v>
      </c>
      <c r="V258" s="88">
        <v>41015</v>
      </c>
      <c r="W258" s="88">
        <v>41015</v>
      </c>
      <c r="X258" s="90" t="s">
        <v>43</v>
      </c>
      <c r="Y258" s="90" t="s">
        <v>257</v>
      </c>
      <c r="Z258" s="90" t="s">
        <v>36</v>
      </c>
      <c r="AA258" s="91"/>
      <c r="AB258" s="91"/>
      <c r="AC258" s="90" t="s">
        <v>2051</v>
      </c>
      <c r="AD258" s="90" t="s">
        <v>267</v>
      </c>
      <c r="AE258" s="90" t="s">
        <v>1636</v>
      </c>
      <c r="AF258" s="90" t="s">
        <v>2004</v>
      </c>
      <c r="AG258" s="90" t="s">
        <v>2793</v>
      </c>
      <c r="AH258" s="90" t="s">
        <v>2306</v>
      </c>
      <c r="AI258" s="90" t="s">
        <v>2306</v>
      </c>
      <c r="AJ258" s="90" t="s">
        <v>2051</v>
      </c>
      <c r="AK258" s="90" t="s">
        <v>36</v>
      </c>
      <c r="AL258" s="90" t="s">
        <v>1635</v>
      </c>
      <c r="AM258" s="90" t="s">
        <v>2307</v>
      </c>
      <c r="AN258" s="90" t="s">
        <v>2054</v>
      </c>
      <c r="AO258" s="87" t="s">
        <v>1949</v>
      </c>
      <c r="AP258" s="87" t="s">
        <v>1950</v>
      </c>
      <c r="AQ258" s="90" t="s">
        <v>2684</v>
      </c>
      <c r="AR258" s="91"/>
      <c r="AS258" s="91"/>
      <c r="AT258" s="91"/>
      <c r="AU258" s="87" t="s">
        <v>1972</v>
      </c>
      <c r="AV258" s="91"/>
      <c r="AW258" s="91"/>
      <c r="AX258" s="91"/>
      <c r="AY258" s="91"/>
      <c r="AZ258" t="str">
        <f t="shared" si="24"/>
        <v>213066</v>
      </c>
      <c r="BA258" t="str">
        <f t="shared" si="25"/>
        <v>0077</v>
      </c>
      <c r="BB258" t="str">
        <f t="shared" si="23"/>
        <v>0000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>IFERROR(VLOOKUP(X258,'Status Map'!A:B,2,FALSE),"Status Code Not Mapped")</f>
        <v>Y</v>
      </c>
      <c r="BL258" t="str">
        <f>IFERROR(VLOOKUP(D258,'Invoice Exception Map'!A:C,3,FALSE),"N")</f>
        <v>N</v>
      </c>
      <c r="BM258">
        <f t="shared" si="26"/>
        <v>10</v>
      </c>
      <c r="BN258" t="str">
        <f t="shared" si="27"/>
        <v>SORTODDEN</v>
      </c>
      <c r="BO258" t="str">
        <f t="shared" si="28"/>
        <v>ANDREAS</v>
      </c>
    </row>
    <row r="259" spans="1:67" ht="16" thickBot="1" x14ac:dyDescent="0.25">
      <c r="A259" s="90" t="s">
        <v>2298</v>
      </c>
      <c r="B259" s="90" t="s">
        <v>2299</v>
      </c>
      <c r="C259" s="90" t="s">
        <v>2300</v>
      </c>
      <c r="D259" s="90" t="s">
        <v>3652</v>
      </c>
      <c r="E259" s="90" t="s">
        <v>1953</v>
      </c>
      <c r="F259" s="90" t="s">
        <v>2685</v>
      </c>
      <c r="G259" s="90" t="s">
        <v>2318</v>
      </c>
      <c r="H259" s="90" t="s">
        <v>267</v>
      </c>
      <c r="I259" s="90" t="s">
        <v>1944</v>
      </c>
      <c r="J259" s="90" t="s">
        <v>1620</v>
      </c>
      <c r="K259" s="90" t="s">
        <v>247</v>
      </c>
      <c r="L259" s="90" t="s">
        <v>2003</v>
      </c>
      <c r="M259" s="87" t="s">
        <v>2003</v>
      </c>
      <c r="N259" s="87" t="s">
        <v>1999</v>
      </c>
      <c r="O259" s="88">
        <v>40637</v>
      </c>
      <c r="P259" s="89">
        <v>15.4</v>
      </c>
      <c r="Q259" s="90" t="s">
        <v>3089</v>
      </c>
      <c r="R259" s="90" t="s">
        <v>3261</v>
      </c>
      <c r="S259" s="90" t="s">
        <v>2346</v>
      </c>
      <c r="T259" s="90" t="s">
        <v>2305</v>
      </c>
      <c r="U259" s="90" t="s">
        <v>1640</v>
      </c>
      <c r="V259" s="88">
        <v>40637</v>
      </c>
      <c r="W259" s="88">
        <v>40637</v>
      </c>
      <c r="X259" s="90" t="s">
        <v>43</v>
      </c>
      <c r="Y259" s="90" t="s">
        <v>257</v>
      </c>
      <c r="Z259" s="90" t="s">
        <v>36</v>
      </c>
      <c r="AA259" s="91"/>
      <c r="AB259" s="91"/>
      <c r="AC259" s="90" t="s">
        <v>2051</v>
      </c>
      <c r="AD259" s="90" t="s">
        <v>267</v>
      </c>
      <c r="AE259" s="90" t="s">
        <v>1636</v>
      </c>
      <c r="AF259" s="90" t="s">
        <v>2004</v>
      </c>
      <c r="AG259" s="90" t="s">
        <v>2793</v>
      </c>
      <c r="AH259" s="90" t="s">
        <v>2320</v>
      </c>
      <c r="AI259" s="90" t="s">
        <v>2320</v>
      </c>
      <c r="AJ259" s="90" t="s">
        <v>2051</v>
      </c>
      <c r="AK259" s="90" t="s">
        <v>36</v>
      </c>
      <c r="AL259" s="90" t="s">
        <v>1635</v>
      </c>
      <c r="AM259" s="90" t="s">
        <v>2307</v>
      </c>
      <c r="AN259" s="90" t="s">
        <v>2054</v>
      </c>
      <c r="AO259" s="87" t="s">
        <v>1949</v>
      </c>
      <c r="AP259" s="87" t="s">
        <v>1950</v>
      </c>
      <c r="AQ259" s="90" t="s">
        <v>2686</v>
      </c>
      <c r="AR259" s="91"/>
      <c r="AS259" s="91"/>
      <c r="AT259" s="91"/>
      <c r="AU259" s="87" t="s">
        <v>1972</v>
      </c>
      <c r="AV259" s="91"/>
      <c r="AW259" s="91"/>
      <c r="AX259" s="91"/>
      <c r="AY259" s="91"/>
      <c r="AZ259" t="str">
        <f t="shared" si="24"/>
        <v>205116</v>
      </c>
      <c r="BA259" t="str">
        <f t="shared" si="25"/>
        <v>0077</v>
      </c>
      <c r="BB259" t="str">
        <f t="shared" ref="BB259:BB322" si="29">IF(OR(BA259="0077",BA259="177"),"0000",IF(ISBLANK(AI259),"000",AI259))</f>
        <v>0000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>IFERROR(VLOOKUP(X259,'Status Map'!A:B,2,FALSE),"Status Code Not Mapped")</f>
        <v>Y</v>
      </c>
      <c r="BL259" t="str">
        <f>IFERROR(VLOOKUP(D259,'Invoice Exception Map'!A:C,3,FALSE),"N")</f>
        <v>N</v>
      </c>
      <c r="BM259">
        <f t="shared" si="26"/>
        <v>6</v>
      </c>
      <c r="BN259" t="str">
        <f t="shared" si="27"/>
        <v>SPARV</v>
      </c>
      <c r="BO259" t="str">
        <f t="shared" si="28"/>
        <v>MICHAEL</v>
      </c>
    </row>
    <row r="260" spans="1:67" ht="16" thickBot="1" x14ac:dyDescent="0.25">
      <c r="A260" s="90" t="s">
        <v>2298</v>
      </c>
      <c r="B260" s="90" t="s">
        <v>2299</v>
      </c>
      <c r="C260" s="90" t="s">
        <v>2300</v>
      </c>
      <c r="D260" s="90" t="s">
        <v>3653</v>
      </c>
      <c r="E260" s="90" t="s">
        <v>1953</v>
      </c>
      <c r="F260" s="90" t="s">
        <v>2687</v>
      </c>
      <c r="G260" s="90" t="s">
        <v>2302</v>
      </c>
      <c r="H260" s="90" t="s">
        <v>267</v>
      </c>
      <c r="I260" s="90" t="s">
        <v>1944</v>
      </c>
      <c r="J260" s="90" t="s">
        <v>1620</v>
      </c>
      <c r="K260" s="90" t="s">
        <v>2303</v>
      </c>
      <c r="L260" s="90" t="s">
        <v>2227</v>
      </c>
      <c r="M260" s="87" t="s">
        <v>2072</v>
      </c>
      <c r="N260" s="87" t="s">
        <v>1999</v>
      </c>
      <c r="O260" s="88">
        <v>42854</v>
      </c>
      <c r="P260" s="89">
        <v>9.4</v>
      </c>
      <c r="Q260" s="90" t="s">
        <v>3086</v>
      </c>
      <c r="R260" s="90" t="s">
        <v>3255</v>
      </c>
      <c r="S260" s="90" t="s">
        <v>2315</v>
      </c>
      <c r="T260" s="90" t="s">
        <v>2305</v>
      </c>
      <c r="U260" s="90" t="s">
        <v>1640</v>
      </c>
      <c r="V260" s="88">
        <v>42854</v>
      </c>
      <c r="W260" s="88">
        <v>42854</v>
      </c>
      <c r="X260" s="90" t="s">
        <v>43</v>
      </c>
      <c r="Y260" s="90" t="s">
        <v>257</v>
      </c>
      <c r="Z260" s="90" t="s">
        <v>36</v>
      </c>
      <c r="AA260" s="91"/>
      <c r="AB260" s="91"/>
      <c r="AC260" s="90" t="s">
        <v>2051</v>
      </c>
      <c r="AD260" s="90" t="s">
        <v>267</v>
      </c>
      <c r="AE260" s="90" t="s">
        <v>1636</v>
      </c>
      <c r="AF260" s="90" t="s">
        <v>2004</v>
      </c>
      <c r="AG260" s="90" t="s">
        <v>2793</v>
      </c>
      <c r="AH260" s="90" t="s">
        <v>2306</v>
      </c>
      <c r="AI260" s="90" t="s">
        <v>2306</v>
      </c>
      <c r="AJ260" s="90" t="s">
        <v>2051</v>
      </c>
      <c r="AK260" s="90" t="s">
        <v>36</v>
      </c>
      <c r="AL260" s="90" t="s">
        <v>1635</v>
      </c>
      <c r="AM260" s="90" t="s">
        <v>2307</v>
      </c>
      <c r="AN260" s="90" t="s">
        <v>2054</v>
      </c>
      <c r="AO260" s="87" t="s">
        <v>1949</v>
      </c>
      <c r="AP260" s="87" t="s">
        <v>1950</v>
      </c>
      <c r="AQ260" s="90" t="s">
        <v>2688</v>
      </c>
      <c r="AR260" s="91"/>
      <c r="AS260" s="91"/>
      <c r="AT260" s="91"/>
      <c r="AU260" s="87" t="s">
        <v>1972</v>
      </c>
      <c r="AV260" s="91"/>
      <c r="AW260" s="91"/>
      <c r="AX260" s="91"/>
      <c r="AY260" s="91"/>
      <c r="AZ260" t="str">
        <f t="shared" si="24"/>
        <v>205315</v>
      </c>
      <c r="BA260" t="str">
        <f t="shared" si="25"/>
        <v>0077</v>
      </c>
      <c r="BB260" t="str">
        <f t="shared" si="29"/>
        <v>0000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>IFERROR(VLOOKUP(X260,'Status Map'!A:B,2,FALSE),"Status Code Not Mapped")</f>
        <v>Y</v>
      </c>
      <c r="BL260" t="str">
        <f>IFERROR(VLOOKUP(D260,'Invoice Exception Map'!A:C,3,FALSE),"N")</f>
        <v>N</v>
      </c>
      <c r="BM260">
        <f t="shared" si="26"/>
        <v>6</v>
      </c>
      <c r="BN260" t="str">
        <f t="shared" si="27"/>
        <v>STRÖM</v>
      </c>
      <c r="BO260" t="str">
        <f t="shared" si="28"/>
        <v>IDA</v>
      </c>
    </row>
    <row r="261" spans="1:67" ht="16" thickBot="1" x14ac:dyDescent="0.25">
      <c r="A261" s="90" t="s">
        <v>2298</v>
      </c>
      <c r="B261" s="90" t="s">
        <v>2299</v>
      </c>
      <c r="C261" s="90" t="s">
        <v>2300</v>
      </c>
      <c r="D261" s="90" t="s">
        <v>3654</v>
      </c>
      <c r="E261" s="90" t="s">
        <v>1953</v>
      </c>
      <c r="F261" s="90" t="s">
        <v>2689</v>
      </c>
      <c r="G261" s="90" t="s">
        <v>2612</v>
      </c>
      <c r="H261" s="90" t="s">
        <v>1943</v>
      </c>
      <c r="I261" s="90" t="s">
        <v>1944</v>
      </c>
      <c r="J261" s="90" t="s">
        <v>1620</v>
      </c>
      <c r="K261" s="90" t="s">
        <v>2613</v>
      </c>
      <c r="L261" s="90" t="s">
        <v>2338</v>
      </c>
      <c r="M261" s="87" t="s">
        <v>1984</v>
      </c>
      <c r="N261" s="87" t="s">
        <v>2005</v>
      </c>
      <c r="O261" s="88">
        <v>44676</v>
      </c>
      <c r="P261" s="89">
        <v>4.4000000000000004</v>
      </c>
      <c r="Q261" s="90" t="s">
        <v>3177</v>
      </c>
      <c r="R261" s="90" t="s">
        <v>3260</v>
      </c>
      <c r="S261" s="90" t="s">
        <v>2339</v>
      </c>
      <c r="T261" s="90" t="s">
        <v>2305</v>
      </c>
      <c r="U261" s="90" t="s">
        <v>1640</v>
      </c>
      <c r="V261" s="88">
        <v>44676</v>
      </c>
      <c r="W261" s="88">
        <v>44676</v>
      </c>
      <c r="X261" s="90" t="s">
        <v>43</v>
      </c>
      <c r="Y261" s="90" t="s">
        <v>257</v>
      </c>
      <c r="Z261" s="90" t="s">
        <v>36</v>
      </c>
      <c r="AA261" s="91"/>
      <c r="AB261" s="91"/>
      <c r="AC261" s="90" t="s">
        <v>2051</v>
      </c>
      <c r="AD261" s="90" t="s">
        <v>267</v>
      </c>
      <c r="AE261" s="90" t="s">
        <v>1636</v>
      </c>
      <c r="AF261" s="90" t="s">
        <v>2004</v>
      </c>
      <c r="AG261" s="90" t="s">
        <v>2793</v>
      </c>
      <c r="AH261" s="90" t="s">
        <v>2384</v>
      </c>
      <c r="AI261" s="90" t="s">
        <v>2384</v>
      </c>
      <c r="AJ261" s="90" t="s">
        <v>2051</v>
      </c>
      <c r="AK261" s="91"/>
      <c r="AL261" s="90" t="s">
        <v>1635</v>
      </c>
      <c r="AM261" s="90" t="s">
        <v>2307</v>
      </c>
      <c r="AN261" s="90" t="s">
        <v>2054</v>
      </c>
      <c r="AO261" s="87" t="s">
        <v>1949</v>
      </c>
      <c r="AP261" s="87" t="s">
        <v>1950</v>
      </c>
      <c r="AQ261" s="90" t="s">
        <v>2690</v>
      </c>
      <c r="AR261" s="91"/>
      <c r="AS261" s="91"/>
      <c r="AT261" s="91"/>
      <c r="AU261" s="87" t="s">
        <v>1972</v>
      </c>
      <c r="AV261" s="91"/>
      <c r="AW261" s="91"/>
      <c r="AX261" s="91"/>
      <c r="AY261" s="91"/>
      <c r="AZ261" t="str">
        <f t="shared" si="24"/>
        <v>205380</v>
      </c>
      <c r="BA261" t="str">
        <f t="shared" si="25"/>
        <v>0077</v>
      </c>
      <c r="BB261" t="str">
        <f t="shared" si="29"/>
        <v>0000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>IFERROR(VLOOKUP(X261,'Status Map'!A:B,2,FALSE),"Status Code Not Mapped")</f>
        <v>Y</v>
      </c>
      <c r="BL261" t="str">
        <f>IFERROR(VLOOKUP(D261,'Invoice Exception Map'!A:C,3,FALSE),"N")</f>
        <v>N</v>
      </c>
      <c r="BM261">
        <f t="shared" si="26"/>
        <v>8</v>
      </c>
      <c r="BN261" t="str">
        <f t="shared" si="27"/>
        <v>SVENLER</v>
      </c>
      <c r="BO261" t="str">
        <f t="shared" si="28"/>
        <v>SEBASTIAN</v>
      </c>
    </row>
    <row r="262" spans="1:67" ht="16" thickBot="1" x14ac:dyDescent="0.25">
      <c r="A262" s="90" t="s">
        <v>2298</v>
      </c>
      <c r="B262" s="90" t="s">
        <v>2299</v>
      </c>
      <c r="C262" s="90" t="s">
        <v>2300</v>
      </c>
      <c r="D262" s="90" t="s">
        <v>3655</v>
      </c>
      <c r="E262" s="90" t="s">
        <v>1953</v>
      </c>
      <c r="F262" s="90" t="s">
        <v>2691</v>
      </c>
      <c r="G262" s="90" t="s">
        <v>2612</v>
      </c>
      <c r="H262" s="90" t="s">
        <v>1943</v>
      </c>
      <c r="I262" s="90" t="s">
        <v>1944</v>
      </c>
      <c r="J262" s="90" t="s">
        <v>1620</v>
      </c>
      <c r="K262" s="90" t="s">
        <v>2613</v>
      </c>
      <c r="L262" s="90" t="s">
        <v>2338</v>
      </c>
      <c r="M262" s="87" t="s">
        <v>1984</v>
      </c>
      <c r="N262" s="87" t="s">
        <v>2005</v>
      </c>
      <c r="O262" s="88">
        <v>41785</v>
      </c>
      <c r="P262" s="89">
        <v>12.3</v>
      </c>
      <c r="Q262" s="90" t="s">
        <v>3177</v>
      </c>
      <c r="R262" s="90" t="s">
        <v>3260</v>
      </c>
      <c r="S262" s="90" t="s">
        <v>2339</v>
      </c>
      <c r="T262" s="90" t="s">
        <v>2305</v>
      </c>
      <c r="U262" s="90" t="s">
        <v>1640</v>
      </c>
      <c r="V262" s="88">
        <v>41785</v>
      </c>
      <c r="W262" s="88">
        <v>41785</v>
      </c>
      <c r="X262" s="90" t="s">
        <v>43</v>
      </c>
      <c r="Y262" s="90" t="s">
        <v>257</v>
      </c>
      <c r="Z262" s="90" t="s">
        <v>36</v>
      </c>
      <c r="AA262" s="91"/>
      <c r="AB262" s="91"/>
      <c r="AC262" s="90" t="s">
        <v>2051</v>
      </c>
      <c r="AD262" s="90" t="s">
        <v>267</v>
      </c>
      <c r="AE262" s="90" t="s">
        <v>1636</v>
      </c>
      <c r="AF262" s="90" t="s">
        <v>2004</v>
      </c>
      <c r="AG262" s="90" t="s">
        <v>2793</v>
      </c>
      <c r="AH262" s="90" t="s">
        <v>2399</v>
      </c>
      <c r="AI262" s="90" t="s">
        <v>2399</v>
      </c>
      <c r="AJ262" s="90" t="s">
        <v>2051</v>
      </c>
      <c r="AK262" s="90" t="s">
        <v>36</v>
      </c>
      <c r="AL262" s="90" t="s">
        <v>1635</v>
      </c>
      <c r="AM262" s="90" t="s">
        <v>2307</v>
      </c>
      <c r="AN262" s="90" t="s">
        <v>2054</v>
      </c>
      <c r="AO262" s="87" t="s">
        <v>1949</v>
      </c>
      <c r="AP262" s="87" t="s">
        <v>1950</v>
      </c>
      <c r="AQ262" s="90" t="s">
        <v>2692</v>
      </c>
      <c r="AR262" s="91"/>
      <c r="AS262" s="91"/>
      <c r="AT262" s="91"/>
      <c r="AU262" s="87" t="s">
        <v>1972</v>
      </c>
      <c r="AV262" s="91"/>
      <c r="AW262" s="91"/>
      <c r="AX262" s="91"/>
      <c r="AY262" s="91"/>
      <c r="AZ262" t="str">
        <f t="shared" si="24"/>
        <v>205380</v>
      </c>
      <c r="BA262" t="str">
        <f t="shared" si="25"/>
        <v>0077</v>
      </c>
      <c r="BB262" t="str">
        <f t="shared" si="29"/>
        <v>0000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>IFERROR(VLOOKUP(X262,'Status Map'!A:B,2,FALSE),"Status Code Not Mapped")</f>
        <v>Y</v>
      </c>
      <c r="BL262" t="str">
        <f>IFERROR(VLOOKUP(D262,'Invoice Exception Map'!A:C,3,FALSE),"N")</f>
        <v>N</v>
      </c>
      <c r="BM262">
        <f t="shared" si="26"/>
        <v>9</v>
      </c>
      <c r="BN262" t="str">
        <f t="shared" si="27"/>
        <v>SVENSSON</v>
      </c>
      <c r="BO262" t="str">
        <f t="shared" si="28"/>
        <v>ANDREAS</v>
      </c>
    </row>
    <row r="263" spans="1:67" ht="16" thickBot="1" x14ac:dyDescent="0.25">
      <c r="A263" s="90" t="s">
        <v>2298</v>
      </c>
      <c r="B263" s="90" t="s">
        <v>2299</v>
      </c>
      <c r="C263" s="90" t="s">
        <v>2300</v>
      </c>
      <c r="D263" s="90" t="s">
        <v>3656</v>
      </c>
      <c r="E263" s="90" t="s">
        <v>1953</v>
      </c>
      <c r="F263" s="90" t="s">
        <v>2693</v>
      </c>
      <c r="G263" s="90" t="s">
        <v>2302</v>
      </c>
      <c r="H263" s="90" t="s">
        <v>267</v>
      </c>
      <c r="I263" s="90" t="s">
        <v>1944</v>
      </c>
      <c r="J263" s="90" t="s">
        <v>1620</v>
      </c>
      <c r="K263" s="90" t="s">
        <v>2303</v>
      </c>
      <c r="L263" s="90" t="s">
        <v>2227</v>
      </c>
      <c r="M263" s="87" t="s">
        <v>2072</v>
      </c>
      <c r="N263" s="87" t="s">
        <v>1999</v>
      </c>
      <c r="O263" s="88">
        <v>41765</v>
      </c>
      <c r="P263" s="89">
        <v>12.3</v>
      </c>
      <c r="Q263" s="90" t="s">
        <v>3086</v>
      </c>
      <c r="R263" s="90" t="s">
        <v>3255</v>
      </c>
      <c r="S263" s="90" t="s">
        <v>2315</v>
      </c>
      <c r="T263" s="90" t="s">
        <v>2305</v>
      </c>
      <c r="U263" s="90" t="s">
        <v>1640</v>
      </c>
      <c r="V263" s="88">
        <v>41765</v>
      </c>
      <c r="W263" s="88">
        <v>41765</v>
      </c>
      <c r="X263" s="90" t="s">
        <v>43</v>
      </c>
      <c r="Y263" s="90" t="s">
        <v>257</v>
      </c>
      <c r="Z263" s="90" t="s">
        <v>36</v>
      </c>
      <c r="AA263" s="91"/>
      <c r="AB263" s="91"/>
      <c r="AC263" s="90" t="s">
        <v>2051</v>
      </c>
      <c r="AD263" s="90" t="s">
        <v>267</v>
      </c>
      <c r="AE263" s="90" t="s">
        <v>1636</v>
      </c>
      <c r="AF263" s="90" t="s">
        <v>2004</v>
      </c>
      <c r="AG263" s="90" t="s">
        <v>2793</v>
      </c>
      <c r="AH263" s="90" t="s">
        <v>2306</v>
      </c>
      <c r="AI263" s="90" t="s">
        <v>2306</v>
      </c>
      <c r="AJ263" s="90" t="s">
        <v>2051</v>
      </c>
      <c r="AK263" s="90" t="s">
        <v>36</v>
      </c>
      <c r="AL263" s="90" t="s">
        <v>1635</v>
      </c>
      <c r="AM263" s="90" t="s">
        <v>2307</v>
      </c>
      <c r="AN263" s="90" t="s">
        <v>2054</v>
      </c>
      <c r="AO263" s="87" t="s">
        <v>1949</v>
      </c>
      <c r="AP263" s="87" t="s">
        <v>1950</v>
      </c>
      <c r="AQ263" s="90" t="s">
        <v>2694</v>
      </c>
      <c r="AR263" s="91"/>
      <c r="AS263" s="91"/>
      <c r="AT263" s="91"/>
      <c r="AU263" s="87" t="s">
        <v>1972</v>
      </c>
      <c r="AV263" s="91"/>
      <c r="AW263" s="91"/>
      <c r="AX263" s="91"/>
      <c r="AY263" s="91"/>
      <c r="AZ263" t="str">
        <f t="shared" si="24"/>
        <v>205315</v>
      </c>
      <c r="BA263" t="str">
        <f t="shared" si="25"/>
        <v>0077</v>
      </c>
      <c r="BB263" t="str">
        <f t="shared" si="29"/>
        <v>0000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>IFERROR(VLOOKUP(X263,'Status Map'!A:B,2,FALSE),"Status Code Not Mapped")</f>
        <v>Y</v>
      </c>
      <c r="BL263" t="str">
        <f>IFERROR(VLOOKUP(D263,'Invoice Exception Map'!A:C,3,FALSE),"N")</f>
        <v>N</v>
      </c>
      <c r="BM263">
        <f t="shared" si="26"/>
        <v>9</v>
      </c>
      <c r="BN263" t="str">
        <f t="shared" si="27"/>
        <v>SVENSSON</v>
      </c>
      <c r="BO263" t="str">
        <f t="shared" si="28"/>
        <v>KEVIN</v>
      </c>
    </row>
    <row r="264" spans="1:67" ht="16" thickBot="1" x14ac:dyDescent="0.25">
      <c r="A264" s="90" t="s">
        <v>2298</v>
      </c>
      <c r="B264" s="90" t="s">
        <v>2299</v>
      </c>
      <c r="C264" s="90" t="s">
        <v>2300</v>
      </c>
      <c r="D264" s="90" t="s">
        <v>3657</v>
      </c>
      <c r="E264" s="90" t="s">
        <v>1953</v>
      </c>
      <c r="F264" s="90" t="s">
        <v>2695</v>
      </c>
      <c r="G264" s="90" t="s">
        <v>2310</v>
      </c>
      <c r="H264" s="90" t="s">
        <v>267</v>
      </c>
      <c r="I264" s="90" t="s">
        <v>1944</v>
      </c>
      <c r="J264" s="90" t="s">
        <v>1620</v>
      </c>
      <c r="K264" s="90" t="s">
        <v>2012</v>
      </c>
      <c r="L264" s="90" t="s">
        <v>2311</v>
      </c>
      <c r="M264" s="87" t="s">
        <v>2007</v>
      </c>
      <c r="N264" s="87" t="s">
        <v>2013</v>
      </c>
      <c r="O264" s="88">
        <v>42904</v>
      </c>
      <c r="P264" s="89">
        <v>9.1999999999999993</v>
      </c>
      <c r="Q264" s="90" t="s">
        <v>3086</v>
      </c>
      <c r="R264" s="90" t="s">
        <v>3255</v>
      </c>
      <c r="S264" s="90" t="s">
        <v>2315</v>
      </c>
      <c r="T264" s="90" t="s">
        <v>2305</v>
      </c>
      <c r="U264" s="90" t="s">
        <v>1640</v>
      </c>
      <c r="V264" s="88">
        <v>42904</v>
      </c>
      <c r="W264" s="88">
        <v>42904</v>
      </c>
      <c r="X264" s="90" t="s">
        <v>43</v>
      </c>
      <c r="Y264" s="90" t="s">
        <v>257</v>
      </c>
      <c r="Z264" s="90" t="s">
        <v>36</v>
      </c>
      <c r="AA264" s="91"/>
      <c r="AB264" s="91"/>
      <c r="AC264" s="90" t="s">
        <v>2051</v>
      </c>
      <c r="AD264" s="90" t="s">
        <v>267</v>
      </c>
      <c r="AE264" s="90" t="s">
        <v>1636</v>
      </c>
      <c r="AF264" s="90" t="s">
        <v>2004</v>
      </c>
      <c r="AG264" s="90" t="s">
        <v>2793</v>
      </c>
      <c r="AH264" s="90" t="s">
        <v>2306</v>
      </c>
      <c r="AI264" s="90" t="s">
        <v>2306</v>
      </c>
      <c r="AJ264" s="90" t="s">
        <v>2051</v>
      </c>
      <c r="AK264" s="90" t="s">
        <v>36</v>
      </c>
      <c r="AL264" s="90" t="s">
        <v>1635</v>
      </c>
      <c r="AM264" s="90" t="s">
        <v>2307</v>
      </c>
      <c r="AN264" s="90" t="s">
        <v>2054</v>
      </c>
      <c r="AO264" s="87" t="s">
        <v>1949</v>
      </c>
      <c r="AP264" s="87" t="s">
        <v>1950</v>
      </c>
      <c r="AQ264" s="90" t="s">
        <v>2696</v>
      </c>
      <c r="AR264" s="91"/>
      <c r="AS264" s="91"/>
      <c r="AT264" s="91"/>
      <c r="AU264" s="87" t="s">
        <v>1972</v>
      </c>
      <c r="AV264" s="91"/>
      <c r="AW264" s="91"/>
      <c r="AX264" s="91"/>
      <c r="AY264" s="91"/>
      <c r="AZ264" t="str">
        <f t="shared" si="24"/>
        <v>205315</v>
      </c>
      <c r="BA264" t="str">
        <f t="shared" si="25"/>
        <v>0077</v>
      </c>
      <c r="BB264" t="str">
        <f t="shared" si="29"/>
        <v>0000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>IFERROR(VLOOKUP(X264,'Status Map'!A:B,2,FALSE),"Status Code Not Mapped")</f>
        <v>Y</v>
      </c>
      <c r="BL264" t="str">
        <f>IFERROR(VLOOKUP(D264,'Invoice Exception Map'!A:C,3,FALSE),"N")</f>
        <v>N</v>
      </c>
      <c r="BM264">
        <f t="shared" si="26"/>
        <v>9</v>
      </c>
      <c r="BN264" t="str">
        <f t="shared" si="27"/>
        <v>SVENSSON</v>
      </c>
      <c r="BO264" t="str">
        <f t="shared" si="28"/>
        <v>MIHHAIL</v>
      </c>
    </row>
    <row r="265" spans="1:67" ht="16" thickBot="1" x14ac:dyDescent="0.25">
      <c r="A265" s="90" t="s">
        <v>2298</v>
      </c>
      <c r="B265" s="90" t="s">
        <v>2299</v>
      </c>
      <c r="C265" s="90" t="s">
        <v>2300</v>
      </c>
      <c r="D265" s="90" t="s">
        <v>3658</v>
      </c>
      <c r="E265" s="90" t="s">
        <v>1953</v>
      </c>
      <c r="F265" s="90" t="s">
        <v>2697</v>
      </c>
      <c r="G265" s="90" t="s">
        <v>2310</v>
      </c>
      <c r="H265" s="90" t="s">
        <v>267</v>
      </c>
      <c r="I265" s="90" t="s">
        <v>1944</v>
      </c>
      <c r="J265" s="90" t="s">
        <v>1620</v>
      </c>
      <c r="K265" s="90" t="s">
        <v>2012</v>
      </c>
      <c r="L265" s="90" t="s">
        <v>2311</v>
      </c>
      <c r="M265" s="87" t="s">
        <v>2007</v>
      </c>
      <c r="N265" s="87" t="s">
        <v>2013</v>
      </c>
      <c r="O265" s="88">
        <v>38139</v>
      </c>
      <c r="P265" s="89">
        <v>22.2</v>
      </c>
      <c r="Q265" s="90" t="s">
        <v>3086</v>
      </c>
      <c r="R265" s="90" t="s">
        <v>3255</v>
      </c>
      <c r="S265" s="90" t="s">
        <v>2315</v>
      </c>
      <c r="T265" s="90" t="s">
        <v>2305</v>
      </c>
      <c r="U265" s="90" t="s">
        <v>1640</v>
      </c>
      <c r="V265" s="88">
        <v>38139</v>
      </c>
      <c r="W265" s="88">
        <v>38139</v>
      </c>
      <c r="X265" s="90" t="s">
        <v>43</v>
      </c>
      <c r="Y265" s="90" t="s">
        <v>257</v>
      </c>
      <c r="Z265" s="90" t="s">
        <v>36</v>
      </c>
      <c r="AA265" s="91"/>
      <c r="AB265" s="91"/>
      <c r="AC265" s="90" t="s">
        <v>2051</v>
      </c>
      <c r="AD265" s="90" t="s">
        <v>267</v>
      </c>
      <c r="AE265" s="90" t="s">
        <v>1636</v>
      </c>
      <c r="AF265" s="90" t="s">
        <v>2004</v>
      </c>
      <c r="AG265" s="90" t="s">
        <v>2793</v>
      </c>
      <c r="AH265" s="90" t="s">
        <v>2306</v>
      </c>
      <c r="AI265" s="90" t="s">
        <v>2306</v>
      </c>
      <c r="AJ265" s="90" t="s">
        <v>2051</v>
      </c>
      <c r="AK265" s="90" t="s">
        <v>36</v>
      </c>
      <c r="AL265" s="90" t="s">
        <v>1635</v>
      </c>
      <c r="AM265" s="90" t="s">
        <v>2307</v>
      </c>
      <c r="AN265" s="90" t="s">
        <v>2054</v>
      </c>
      <c r="AO265" s="87" t="s">
        <v>1949</v>
      </c>
      <c r="AP265" s="87" t="s">
        <v>1950</v>
      </c>
      <c r="AQ265" s="90" t="s">
        <v>2698</v>
      </c>
      <c r="AR265" s="91"/>
      <c r="AS265" s="91"/>
      <c r="AT265" s="91"/>
      <c r="AU265" s="87" t="s">
        <v>1972</v>
      </c>
      <c r="AV265" s="91"/>
      <c r="AW265" s="91"/>
      <c r="AX265" s="91"/>
      <c r="AY265" s="91"/>
      <c r="AZ265" t="str">
        <f t="shared" si="24"/>
        <v>205315</v>
      </c>
      <c r="BA265" t="str">
        <f t="shared" si="25"/>
        <v>0077</v>
      </c>
      <c r="BB265" t="str">
        <f t="shared" si="29"/>
        <v>0000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>IFERROR(VLOOKUP(X265,'Status Map'!A:B,2,FALSE),"Status Code Not Mapped")</f>
        <v>Y</v>
      </c>
      <c r="BL265" t="str">
        <f>IFERROR(VLOOKUP(D265,'Invoice Exception Map'!A:C,3,FALSE),"N")</f>
        <v>N</v>
      </c>
      <c r="BM265">
        <f t="shared" si="26"/>
        <v>7</v>
      </c>
      <c r="BN265" t="str">
        <f t="shared" si="27"/>
        <v>SVRAKA</v>
      </c>
      <c r="BO265" t="str">
        <f t="shared" si="28"/>
        <v>NIHAD</v>
      </c>
    </row>
    <row r="266" spans="1:67" ht="16" thickBot="1" x14ac:dyDescent="0.25">
      <c r="A266" s="90" t="s">
        <v>2298</v>
      </c>
      <c r="B266" s="90" t="s">
        <v>2299</v>
      </c>
      <c r="C266" s="90" t="s">
        <v>2300</v>
      </c>
      <c r="D266" s="90" t="s">
        <v>3659</v>
      </c>
      <c r="E266" s="90" t="s">
        <v>1953</v>
      </c>
      <c r="F266" s="90" t="s">
        <v>2699</v>
      </c>
      <c r="G266" s="90" t="s">
        <v>2302</v>
      </c>
      <c r="H266" s="90" t="s">
        <v>267</v>
      </c>
      <c r="I266" s="90" t="s">
        <v>1944</v>
      </c>
      <c r="J266" s="90" t="s">
        <v>1620</v>
      </c>
      <c r="K266" s="90" t="s">
        <v>2303</v>
      </c>
      <c r="L266" s="90" t="s">
        <v>2227</v>
      </c>
      <c r="M266" s="87" t="s">
        <v>2072</v>
      </c>
      <c r="N266" s="87" t="s">
        <v>1999</v>
      </c>
      <c r="O266" s="88">
        <v>40775</v>
      </c>
      <c r="P266" s="89">
        <v>15</v>
      </c>
      <c r="Q266" s="90" t="s">
        <v>3086</v>
      </c>
      <c r="R266" s="90" t="s">
        <v>3255</v>
      </c>
      <c r="S266" s="90" t="s">
        <v>2315</v>
      </c>
      <c r="T266" s="90" t="s">
        <v>2305</v>
      </c>
      <c r="U266" s="90" t="s">
        <v>1640</v>
      </c>
      <c r="V266" s="88">
        <v>40775</v>
      </c>
      <c r="W266" s="88">
        <v>40775</v>
      </c>
      <c r="X266" s="90" t="s">
        <v>43</v>
      </c>
      <c r="Y266" s="90" t="s">
        <v>257</v>
      </c>
      <c r="Z266" s="90" t="s">
        <v>36</v>
      </c>
      <c r="AA266" s="91"/>
      <c r="AB266" s="91"/>
      <c r="AC266" s="90" t="s">
        <v>2051</v>
      </c>
      <c r="AD266" s="90" t="s">
        <v>267</v>
      </c>
      <c r="AE266" s="90" t="s">
        <v>1636</v>
      </c>
      <c r="AF266" s="90" t="s">
        <v>2004</v>
      </c>
      <c r="AG266" s="90" t="s">
        <v>2793</v>
      </c>
      <c r="AH266" s="90" t="s">
        <v>2306</v>
      </c>
      <c r="AI266" s="90" t="s">
        <v>2306</v>
      </c>
      <c r="AJ266" s="90" t="s">
        <v>2051</v>
      </c>
      <c r="AK266" s="90" t="s">
        <v>36</v>
      </c>
      <c r="AL266" s="90" t="s">
        <v>1635</v>
      </c>
      <c r="AM266" s="90" t="s">
        <v>2307</v>
      </c>
      <c r="AN266" s="90" t="s">
        <v>2054</v>
      </c>
      <c r="AO266" s="87" t="s">
        <v>1949</v>
      </c>
      <c r="AP266" s="87" t="s">
        <v>1950</v>
      </c>
      <c r="AQ266" s="90" t="s">
        <v>2700</v>
      </c>
      <c r="AR266" s="91"/>
      <c r="AS266" s="91"/>
      <c r="AT266" s="91"/>
      <c r="AU266" s="87" t="s">
        <v>1972</v>
      </c>
      <c r="AV266" s="91"/>
      <c r="AW266" s="91"/>
      <c r="AX266" s="91"/>
      <c r="AY266" s="91"/>
      <c r="AZ266" t="str">
        <f t="shared" si="24"/>
        <v>205315</v>
      </c>
      <c r="BA266" t="str">
        <f t="shared" si="25"/>
        <v>0077</v>
      </c>
      <c r="BB266" t="str">
        <f t="shared" si="29"/>
        <v>0000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>IFERROR(VLOOKUP(X266,'Status Map'!A:B,2,FALSE),"Status Code Not Mapped")</f>
        <v>Y</v>
      </c>
      <c r="BL266" t="str">
        <f>IFERROR(VLOOKUP(D266,'Invoice Exception Map'!A:C,3,FALSE),"N")</f>
        <v>N</v>
      </c>
      <c r="BM266">
        <f t="shared" si="26"/>
        <v>9</v>
      </c>
      <c r="BN266" t="str">
        <f t="shared" si="27"/>
        <v>TÖRNVALL</v>
      </c>
      <c r="BO266" t="str">
        <f t="shared" si="28"/>
        <v>OSKAR</v>
      </c>
    </row>
    <row r="267" spans="1:67" ht="16" thickBot="1" x14ac:dyDescent="0.25">
      <c r="A267" s="90" t="s">
        <v>2298</v>
      </c>
      <c r="B267" s="90" t="s">
        <v>2299</v>
      </c>
      <c r="C267" s="90" t="s">
        <v>2300</v>
      </c>
      <c r="D267" s="90" t="s">
        <v>3660</v>
      </c>
      <c r="E267" s="90" t="s">
        <v>1953</v>
      </c>
      <c r="F267" s="90" t="s">
        <v>2701</v>
      </c>
      <c r="G267" s="90" t="s">
        <v>2318</v>
      </c>
      <c r="H267" s="90" t="s">
        <v>267</v>
      </c>
      <c r="I267" s="90" t="s">
        <v>1944</v>
      </c>
      <c r="J267" s="90" t="s">
        <v>1620</v>
      </c>
      <c r="K267" s="90" t="s">
        <v>247</v>
      </c>
      <c r="L267" s="90" t="s">
        <v>2003</v>
      </c>
      <c r="M267" s="87" t="s">
        <v>2003</v>
      </c>
      <c r="N267" s="87" t="s">
        <v>1999</v>
      </c>
      <c r="O267" s="88">
        <v>42663</v>
      </c>
      <c r="P267" s="89">
        <v>9.9</v>
      </c>
      <c r="Q267" s="90" t="s">
        <v>3089</v>
      </c>
      <c r="R267" s="90" t="s">
        <v>3261</v>
      </c>
      <c r="S267" s="90" t="s">
        <v>2346</v>
      </c>
      <c r="T267" s="90" t="s">
        <v>2305</v>
      </c>
      <c r="U267" s="90" t="s">
        <v>1640</v>
      </c>
      <c r="V267" s="88">
        <v>42663</v>
      </c>
      <c r="W267" s="88">
        <v>42663</v>
      </c>
      <c r="X267" s="90" t="s">
        <v>43</v>
      </c>
      <c r="Y267" s="90" t="s">
        <v>257</v>
      </c>
      <c r="Z267" s="90" t="s">
        <v>36</v>
      </c>
      <c r="AA267" s="91"/>
      <c r="AB267" s="91"/>
      <c r="AC267" s="90" t="s">
        <v>2051</v>
      </c>
      <c r="AD267" s="90" t="s">
        <v>267</v>
      </c>
      <c r="AE267" s="90" t="s">
        <v>1636</v>
      </c>
      <c r="AF267" s="90" t="s">
        <v>2004</v>
      </c>
      <c r="AG267" s="90" t="s">
        <v>2793</v>
      </c>
      <c r="AH267" s="90" t="s">
        <v>2320</v>
      </c>
      <c r="AI267" s="90" t="s">
        <v>2320</v>
      </c>
      <c r="AJ267" s="90" t="s">
        <v>2051</v>
      </c>
      <c r="AK267" s="90" t="s">
        <v>36</v>
      </c>
      <c r="AL267" s="90" t="s">
        <v>1635</v>
      </c>
      <c r="AM267" s="90" t="s">
        <v>2307</v>
      </c>
      <c r="AN267" s="90" t="s">
        <v>2054</v>
      </c>
      <c r="AO267" s="87" t="s">
        <v>1949</v>
      </c>
      <c r="AP267" s="87" t="s">
        <v>1950</v>
      </c>
      <c r="AQ267" s="90" t="s">
        <v>2702</v>
      </c>
      <c r="AR267" s="91"/>
      <c r="AS267" s="91"/>
      <c r="AT267" s="91"/>
      <c r="AU267" s="87" t="s">
        <v>1972</v>
      </c>
      <c r="AV267" s="91"/>
      <c r="AW267" s="91"/>
      <c r="AX267" s="91"/>
      <c r="AY267" s="91"/>
      <c r="AZ267" t="str">
        <f t="shared" si="24"/>
        <v>205116</v>
      </c>
      <c r="BA267" t="str">
        <f t="shared" si="25"/>
        <v>0077</v>
      </c>
      <c r="BB267" t="str">
        <f t="shared" si="29"/>
        <v>0000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>IFERROR(VLOOKUP(X267,'Status Map'!A:B,2,FALSE),"Status Code Not Mapped")</f>
        <v>Y</v>
      </c>
      <c r="BL267" t="str">
        <f>IFERROR(VLOOKUP(D267,'Invoice Exception Map'!A:C,3,FALSE),"N")</f>
        <v>N</v>
      </c>
      <c r="BM267">
        <f t="shared" si="26"/>
        <v>9</v>
      </c>
      <c r="BN267" t="str">
        <f t="shared" si="27"/>
        <v>WAHLBERG</v>
      </c>
      <c r="BO267" t="str">
        <f t="shared" si="28"/>
        <v>ANDREAS</v>
      </c>
    </row>
    <row r="268" spans="1:67" ht="16" thickBot="1" x14ac:dyDescent="0.25">
      <c r="A268" s="90" t="s">
        <v>2298</v>
      </c>
      <c r="B268" s="90" t="s">
        <v>2299</v>
      </c>
      <c r="C268" s="90" t="s">
        <v>2300</v>
      </c>
      <c r="D268" s="90" t="s">
        <v>3661</v>
      </c>
      <c r="E268" s="90" t="s">
        <v>1953</v>
      </c>
      <c r="F268" s="90" t="s">
        <v>2703</v>
      </c>
      <c r="G268" s="90" t="s">
        <v>2318</v>
      </c>
      <c r="H268" s="90" t="s">
        <v>267</v>
      </c>
      <c r="I268" s="90" t="s">
        <v>1944</v>
      </c>
      <c r="J268" s="90" t="s">
        <v>1620</v>
      </c>
      <c r="K268" s="90" t="s">
        <v>247</v>
      </c>
      <c r="L268" s="90" t="s">
        <v>2003</v>
      </c>
      <c r="M268" s="87" t="s">
        <v>2003</v>
      </c>
      <c r="N268" s="87" t="s">
        <v>1999</v>
      </c>
      <c r="O268" s="88">
        <v>41031</v>
      </c>
      <c r="P268" s="89">
        <v>14.3</v>
      </c>
      <c r="Q268" s="90" t="s">
        <v>3089</v>
      </c>
      <c r="R268" s="90" t="s">
        <v>3256</v>
      </c>
      <c r="S268" s="90" t="s">
        <v>2319</v>
      </c>
      <c r="T268" s="90" t="s">
        <v>2305</v>
      </c>
      <c r="U268" s="90" t="s">
        <v>1640</v>
      </c>
      <c r="V268" s="88">
        <v>41031</v>
      </c>
      <c r="W268" s="88">
        <v>41031</v>
      </c>
      <c r="X268" s="90" t="s">
        <v>43</v>
      </c>
      <c r="Y268" s="90" t="s">
        <v>257</v>
      </c>
      <c r="Z268" s="90" t="s">
        <v>36</v>
      </c>
      <c r="AA268" s="91"/>
      <c r="AB268" s="91"/>
      <c r="AC268" s="90" t="s">
        <v>2051</v>
      </c>
      <c r="AD268" s="90" t="s">
        <v>267</v>
      </c>
      <c r="AE268" s="90" t="s">
        <v>1636</v>
      </c>
      <c r="AF268" s="90" t="s">
        <v>2004</v>
      </c>
      <c r="AG268" s="90" t="s">
        <v>2793</v>
      </c>
      <c r="AH268" s="90" t="s">
        <v>2320</v>
      </c>
      <c r="AI268" s="90" t="s">
        <v>2320</v>
      </c>
      <c r="AJ268" s="90" t="s">
        <v>2051</v>
      </c>
      <c r="AK268" s="90" t="s">
        <v>36</v>
      </c>
      <c r="AL268" s="90" t="s">
        <v>1635</v>
      </c>
      <c r="AM268" s="90" t="s">
        <v>2307</v>
      </c>
      <c r="AN268" s="90" t="s">
        <v>2054</v>
      </c>
      <c r="AO268" s="87" t="s">
        <v>1949</v>
      </c>
      <c r="AP268" s="87" t="s">
        <v>1950</v>
      </c>
      <c r="AQ268" s="90" t="s">
        <v>2704</v>
      </c>
      <c r="AR268" s="91"/>
      <c r="AS268" s="91"/>
      <c r="AT268" s="91"/>
      <c r="AU268" s="87" t="s">
        <v>1972</v>
      </c>
      <c r="AV268" s="91"/>
      <c r="AW268" s="91"/>
      <c r="AX268" s="91"/>
      <c r="AY268" s="91"/>
      <c r="AZ268" t="str">
        <f t="shared" si="24"/>
        <v>205383</v>
      </c>
      <c r="BA268" t="str">
        <f t="shared" si="25"/>
        <v>0077</v>
      </c>
      <c r="BB268" t="str">
        <f t="shared" si="29"/>
        <v>0000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>IFERROR(VLOOKUP(X268,'Status Map'!A:B,2,FALSE),"Status Code Not Mapped")</f>
        <v>Y</v>
      </c>
      <c r="BL268" t="str">
        <f>IFERROR(VLOOKUP(D268,'Invoice Exception Map'!A:C,3,FALSE),"N")</f>
        <v>N</v>
      </c>
      <c r="BM268">
        <f t="shared" si="26"/>
        <v>7</v>
      </c>
      <c r="BN268" t="str">
        <f t="shared" si="27"/>
        <v>WENDEL</v>
      </c>
      <c r="BO268" t="str">
        <f t="shared" si="28"/>
        <v>PER</v>
      </c>
    </row>
    <row r="269" spans="1:67" ht="16" thickBot="1" x14ac:dyDescent="0.25">
      <c r="A269" s="90" t="s">
        <v>2298</v>
      </c>
      <c r="B269" s="90" t="s">
        <v>2299</v>
      </c>
      <c r="C269" s="90" t="s">
        <v>2300</v>
      </c>
      <c r="D269" s="90" t="s">
        <v>3662</v>
      </c>
      <c r="E269" s="90" t="s">
        <v>1953</v>
      </c>
      <c r="F269" s="90" t="s">
        <v>2705</v>
      </c>
      <c r="G269" s="90" t="s">
        <v>2302</v>
      </c>
      <c r="H269" s="90" t="s">
        <v>267</v>
      </c>
      <c r="I269" s="90" t="s">
        <v>1944</v>
      </c>
      <c r="J269" s="90" t="s">
        <v>1620</v>
      </c>
      <c r="K269" s="90" t="s">
        <v>2303</v>
      </c>
      <c r="L269" s="90" t="s">
        <v>2227</v>
      </c>
      <c r="M269" s="87" t="s">
        <v>2072</v>
      </c>
      <c r="N269" s="87" t="s">
        <v>1999</v>
      </c>
      <c r="O269" s="88">
        <v>41828</v>
      </c>
      <c r="P269" s="89">
        <v>12.1</v>
      </c>
      <c r="Q269" s="90" t="s">
        <v>3086</v>
      </c>
      <c r="R269" s="90" t="s">
        <v>3255</v>
      </c>
      <c r="S269" s="90" t="s">
        <v>2315</v>
      </c>
      <c r="T269" s="90" t="s">
        <v>2305</v>
      </c>
      <c r="U269" s="90" t="s">
        <v>1640</v>
      </c>
      <c r="V269" s="88">
        <v>41828</v>
      </c>
      <c r="W269" s="88">
        <v>41828</v>
      </c>
      <c r="X269" s="90" t="s">
        <v>43</v>
      </c>
      <c r="Y269" s="90" t="s">
        <v>257</v>
      </c>
      <c r="Z269" s="90" t="s">
        <v>36</v>
      </c>
      <c r="AA269" s="91"/>
      <c r="AB269" s="91"/>
      <c r="AC269" s="90" t="s">
        <v>2051</v>
      </c>
      <c r="AD269" s="90" t="s">
        <v>267</v>
      </c>
      <c r="AE269" s="90" t="s">
        <v>1636</v>
      </c>
      <c r="AF269" s="90" t="s">
        <v>2004</v>
      </c>
      <c r="AG269" s="90" t="s">
        <v>2793</v>
      </c>
      <c r="AH269" s="90" t="s">
        <v>2306</v>
      </c>
      <c r="AI269" s="90" t="s">
        <v>2306</v>
      </c>
      <c r="AJ269" s="90" t="s">
        <v>2051</v>
      </c>
      <c r="AK269" s="90" t="s">
        <v>36</v>
      </c>
      <c r="AL269" s="90" t="s">
        <v>1635</v>
      </c>
      <c r="AM269" s="90" t="s">
        <v>2307</v>
      </c>
      <c r="AN269" s="90" t="s">
        <v>2054</v>
      </c>
      <c r="AO269" s="87" t="s">
        <v>1949</v>
      </c>
      <c r="AP269" s="87" t="s">
        <v>1950</v>
      </c>
      <c r="AQ269" s="90" t="s">
        <v>2706</v>
      </c>
      <c r="AR269" s="91"/>
      <c r="AS269" s="91"/>
      <c r="AT269" s="91"/>
      <c r="AU269" s="87" t="s">
        <v>1972</v>
      </c>
      <c r="AV269" s="91"/>
      <c r="AW269" s="91"/>
      <c r="AX269" s="91"/>
      <c r="AY269" s="91"/>
      <c r="AZ269" t="str">
        <f t="shared" si="24"/>
        <v>205315</v>
      </c>
      <c r="BA269" t="str">
        <f t="shared" si="25"/>
        <v>0077</v>
      </c>
      <c r="BB269" t="str">
        <f t="shared" si="29"/>
        <v>0000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>IFERROR(VLOOKUP(X269,'Status Map'!A:B,2,FALSE),"Status Code Not Mapped")</f>
        <v>Y</v>
      </c>
      <c r="BL269" t="str">
        <f>IFERROR(VLOOKUP(D269,'Invoice Exception Map'!A:C,3,FALSE),"N")</f>
        <v>N</v>
      </c>
      <c r="BM269">
        <f t="shared" si="26"/>
        <v>7</v>
      </c>
      <c r="BN269" t="str">
        <f t="shared" si="27"/>
        <v>WIBERG</v>
      </c>
      <c r="BO269" t="str">
        <f t="shared" si="28"/>
        <v>SOFIE</v>
      </c>
    </row>
    <row r="270" spans="1:67" ht="16" thickBot="1" x14ac:dyDescent="0.25">
      <c r="A270" s="90" t="s">
        <v>2298</v>
      </c>
      <c r="B270" s="90" t="s">
        <v>2299</v>
      </c>
      <c r="C270" s="90" t="s">
        <v>2300</v>
      </c>
      <c r="D270" s="90" t="s">
        <v>3663</v>
      </c>
      <c r="E270" s="90" t="s">
        <v>1953</v>
      </c>
      <c r="F270" s="90" t="s">
        <v>2707</v>
      </c>
      <c r="G270" s="90" t="s">
        <v>2318</v>
      </c>
      <c r="H270" s="90" t="s">
        <v>267</v>
      </c>
      <c r="I270" s="90" t="s">
        <v>1944</v>
      </c>
      <c r="J270" s="90" t="s">
        <v>1620</v>
      </c>
      <c r="K270" s="90" t="s">
        <v>247</v>
      </c>
      <c r="L270" s="90" t="s">
        <v>2003</v>
      </c>
      <c r="M270" s="87" t="s">
        <v>2003</v>
      </c>
      <c r="N270" s="87" t="s">
        <v>1999</v>
      </c>
      <c r="O270" s="88">
        <v>42528</v>
      </c>
      <c r="P270" s="89">
        <v>10.199999999999999</v>
      </c>
      <c r="Q270" s="90" t="s">
        <v>3089</v>
      </c>
      <c r="R270" s="90" t="s">
        <v>3256</v>
      </c>
      <c r="S270" s="90" t="s">
        <v>2319</v>
      </c>
      <c r="T270" s="90" t="s">
        <v>2305</v>
      </c>
      <c r="U270" s="90" t="s">
        <v>1640</v>
      </c>
      <c r="V270" s="88">
        <v>42528</v>
      </c>
      <c r="W270" s="88">
        <v>42528</v>
      </c>
      <c r="X270" s="90" t="s">
        <v>43</v>
      </c>
      <c r="Y270" s="90" t="s">
        <v>257</v>
      </c>
      <c r="Z270" s="90" t="s">
        <v>36</v>
      </c>
      <c r="AA270" s="91"/>
      <c r="AB270" s="91"/>
      <c r="AC270" s="90" t="s">
        <v>2051</v>
      </c>
      <c r="AD270" s="90" t="s">
        <v>267</v>
      </c>
      <c r="AE270" s="90" t="s">
        <v>1636</v>
      </c>
      <c r="AF270" s="90" t="s">
        <v>2004</v>
      </c>
      <c r="AG270" s="90" t="s">
        <v>3270</v>
      </c>
      <c r="AH270" s="90" t="s">
        <v>2320</v>
      </c>
      <c r="AI270" s="90" t="s">
        <v>2320</v>
      </c>
      <c r="AJ270" s="90" t="s">
        <v>2051</v>
      </c>
      <c r="AK270" s="90" t="s">
        <v>36</v>
      </c>
      <c r="AL270" s="90" t="s">
        <v>1635</v>
      </c>
      <c r="AM270" s="90" t="s">
        <v>2307</v>
      </c>
      <c r="AN270" s="90" t="s">
        <v>2054</v>
      </c>
      <c r="AO270" s="87" t="s">
        <v>1949</v>
      </c>
      <c r="AP270" s="87" t="s">
        <v>1950</v>
      </c>
      <c r="AQ270" s="90" t="s">
        <v>2708</v>
      </c>
      <c r="AR270" s="91"/>
      <c r="AS270" s="91"/>
      <c r="AT270" s="91"/>
      <c r="AU270" s="87" t="s">
        <v>1972</v>
      </c>
      <c r="AV270" s="91"/>
      <c r="AW270" s="91"/>
      <c r="AX270" s="91"/>
      <c r="AY270" s="91"/>
      <c r="AZ270" t="str">
        <f t="shared" si="24"/>
        <v>205383</v>
      </c>
      <c r="BA270" t="str">
        <f t="shared" si="25"/>
        <v>0077</v>
      </c>
      <c r="BB270" t="str">
        <f t="shared" si="29"/>
        <v>0000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>IFERROR(VLOOKUP(X270,'Status Map'!A:B,2,FALSE),"Status Code Not Mapped")</f>
        <v>Y</v>
      </c>
      <c r="BL270" t="str">
        <f>IFERROR(VLOOKUP(D270,'Invoice Exception Map'!A:C,3,FALSE),"N")</f>
        <v>N</v>
      </c>
      <c r="BM270">
        <f t="shared" si="26"/>
        <v>7</v>
      </c>
      <c r="BN270" t="str">
        <f t="shared" si="27"/>
        <v>WIDING</v>
      </c>
      <c r="BO270" t="str">
        <f t="shared" si="28"/>
        <v>KAROLINA</v>
      </c>
    </row>
    <row r="271" spans="1:67" ht="16" thickBot="1" x14ac:dyDescent="0.25">
      <c r="A271" s="90" t="s">
        <v>2298</v>
      </c>
      <c r="B271" s="90" t="s">
        <v>2299</v>
      </c>
      <c r="C271" s="90" t="s">
        <v>2300</v>
      </c>
      <c r="D271" s="90" t="s">
        <v>3664</v>
      </c>
      <c r="E271" s="90" t="s">
        <v>1953</v>
      </c>
      <c r="F271" s="90" t="s">
        <v>2709</v>
      </c>
      <c r="G271" s="90" t="s">
        <v>2302</v>
      </c>
      <c r="H271" s="90" t="s">
        <v>267</v>
      </c>
      <c r="I271" s="90" t="s">
        <v>1944</v>
      </c>
      <c r="J271" s="90" t="s">
        <v>1620</v>
      </c>
      <c r="K271" s="90" t="s">
        <v>2303</v>
      </c>
      <c r="L271" s="90" t="s">
        <v>2227</v>
      </c>
      <c r="M271" s="87" t="s">
        <v>2072</v>
      </c>
      <c r="N271" s="87" t="s">
        <v>1999</v>
      </c>
      <c r="O271" s="88">
        <v>41160</v>
      </c>
      <c r="P271" s="89">
        <v>14</v>
      </c>
      <c r="Q271" s="90" t="s">
        <v>3086</v>
      </c>
      <c r="R271" s="90" t="s">
        <v>3255</v>
      </c>
      <c r="S271" s="90" t="s">
        <v>2315</v>
      </c>
      <c r="T271" s="90" t="s">
        <v>2305</v>
      </c>
      <c r="U271" s="90" t="s">
        <v>1640</v>
      </c>
      <c r="V271" s="88">
        <v>41160</v>
      </c>
      <c r="W271" s="88">
        <v>41160</v>
      </c>
      <c r="X271" s="90" t="s">
        <v>43</v>
      </c>
      <c r="Y271" s="90" t="s">
        <v>257</v>
      </c>
      <c r="Z271" s="90" t="s">
        <v>36</v>
      </c>
      <c r="AA271" s="91"/>
      <c r="AB271" s="91"/>
      <c r="AC271" s="90" t="s">
        <v>2051</v>
      </c>
      <c r="AD271" s="90" t="s">
        <v>267</v>
      </c>
      <c r="AE271" s="90" t="s">
        <v>1636</v>
      </c>
      <c r="AF271" s="90" t="s">
        <v>2004</v>
      </c>
      <c r="AG271" s="90" t="s">
        <v>2793</v>
      </c>
      <c r="AH271" s="90" t="s">
        <v>2306</v>
      </c>
      <c r="AI271" s="90" t="s">
        <v>2306</v>
      </c>
      <c r="AJ271" s="90" t="s">
        <v>2051</v>
      </c>
      <c r="AK271" s="90" t="s">
        <v>36</v>
      </c>
      <c r="AL271" s="90" t="s">
        <v>1635</v>
      </c>
      <c r="AM271" s="90" t="s">
        <v>2307</v>
      </c>
      <c r="AN271" s="90" t="s">
        <v>2054</v>
      </c>
      <c r="AO271" s="87" t="s">
        <v>1949</v>
      </c>
      <c r="AP271" s="87" t="s">
        <v>1950</v>
      </c>
      <c r="AQ271" s="90" t="s">
        <v>2710</v>
      </c>
      <c r="AR271" s="91"/>
      <c r="AS271" s="91"/>
      <c r="AT271" s="91"/>
      <c r="AU271" s="87" t="s">
        <v>1972</v>
      </c>
      <c r="AV271" s="91"/>
      <c r="AW271" s="91"/>
      <c r="AX271" s="91"/>
      <c r="AY271" s="91"/>
      <c r="AZ271" t="str">
        <f t="shared" si="24"/>
        <v>205315</v>
      </c>
      <c r="BA271" t="str">
        <f t="shared" si="25"/>
        <v>0077</v>
      </c>
      <c r="BB271" t="str">
        <f t="shared" si="29"/>
        <v>0000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>IFERROR(VLOOKUP(X271,'Status Map'!A:B,2,FALSE),"Status Code Not Mapped")</f>
        <v>Y</v>
      </c>
      <c r="BL271" t="str">
        <f>IFERROR(VLOOKUP(D271,'Invoice Exception Map'!A:C,3,FALSE),"N")</f>
        <v>N</v>
      </c>
      <c r="BM271">
        <f t="shared" si="26"/>
        <v>10</v>
      </c>
      <c r="BN271" t="str">
        <f t="shared" si="27"/>
        <v>WIGSTRAND</v>
      </c>
      <c r="BO271" t="str">
        <f t="shared" si="28"/>
        <v>THOMAS</v>
      </c>
    </row>
    <row r="272" spans="1:67" ht="16" thickBot="1" x14ac:dyDescent="0.25">
      <c r="A272" s="90" t="s">
        <v>2298</v>
      </c>
      <c r="B272" s="90" t="s">
        <v>2299</v>
      </c>
      <c r="C272" s="90" t="s">
        <v>2300</v>
      </c>
      <c r="D272" s="90" t="s">
        <v>3665</v>
      </c>
      <c r="E272" s="90" t="s">
        <v>1953</v>
      </c>
      <c r="F272" s="90" t="s">
        <v>2711</v>
      </c>
      <c r="G272" s="90" t="s">
        <v>2318</v>
      </c>
      <c r="H272" s="90" t="s">
        <v>267</v>
      </c>
      <c r="I272" s="90" t="s">
        <v>1944</v>
      </c>
      <c r="J272" s="90" t="s">
        <v>1620</v>
      </c>
      <c r="K272" s="90" t="s">
        <v>247</v>
      </c>
      <c r="L272" s="90" t="s">
        <v>2003</v>
      </c>
      <c r="M272" s="87" t="s">
        <v>2003</v>
      </c>
      <c r="N272" s="87" t="s">
        <v>1999</v>
      </c>
      <c r="O272" s="88">
        <v>40630</v>
      </c>
      <c r="P272" s="89">
        <v>15.4</v>
      </c>
      <c r="Q272" s="90" t="s">
        <v>3089</v>
      </c>
      <c r="R272" s="90" t="s">
        <v>3256</v>
      </c>
      <c r="S272" s="90" t="s">
        <v>2319</v>
      </c>
      <c r="T272" s="90" t="s">
        <v>2305</v>
      </c>
      <c r="U272" s="90" t="s">
        <v>1640</v>
      </c>
      <c r="V272" s="88">
        <v>40630</v>
      </c>
      <c r="W272" s="88">
        <v>40630</v>
      </c>
      <c r="X272" s="90" t="s">
        <v>43</v>
      </c>
      <c r="Y272" s="90" t="s">
        <v>257</v>
      </c>
      <c r="Z272" s="90" t="s">
        <v>36</v>
      </c>
      <c r="AA272" s="91"/>
      <c r="AB272" s="91"/>
      <c r="AC272" s="90" t="s">
        <v>2051</v>
      </c>
      <c r="AD272" s="90" t="s">
        <v>267</v>
      </c>
      <c r="AE272" s="90" t="s">
        <v>1636</v>
      </c>
      <c r="AF272" s="90" t="s">
        <v>2004</v>
      </c>
      <c r="AG272" s="90" t="s">
        <v>2793</v>
      </c>
      <c r="AH272" s="90" t="s">
        <v>2320</v>
      </c>
      <c r="AI272" s="90" t="s">
        <v>2320</v>
      </c>
      <c r="AJ272" s="90" t="s">
        <v>2051</v>
      </c>
      <c r="AK272" s="90" t="s">
        <v>36</v>
      </c>
      <c r="AL272" s="90" t="s">
        <v>1635</v>
      </c>
      <c r="AM272" s="90" t="s">
        <v>2307</v>
      </c>
      <c r="AN272" s="90" t="s">
        <v>2054</v>
      </c>
      <c r="AO272" s="87" t="s">
        <v>1949</v>
      </c>
      <c r="AP272" s="87" t="s">
        <v>1950</v>
      </c>
      <c r="AQ272" s="90" t="s">
        <v>2712</v>
      </c>
      <c r="AR272" s="91"/>
      <c r="AS272" s="91"/>
      <c r="AT272" s="91"/>
      <c r="AU272" s="87" t="s">
        <v>1972</v>
      </c>
      <c r="AV272" s="91"/>
      <c r="AW272" s="91"/>
      <c r="AX272" s="91"/>
      <c r="AY272" s="91"/>
      <c r="AZ272" t="str">
        <f t="shared" si="24"/>
        <v>205383</v>
      </c>
      <c r="BA272" t="str">
        <f t="shared" si="25"/>
        <v>0077</v>
      </c>
      <c r="BB272" t="str">
        <f t="shared" si="29"/>
        <v>0000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>IFERROR(VLOOKUP(X272,'Status Map'!A:B,2,FALSE),"Status Code Not Mapped")</f>
        <v>Y</v>
      </c>
      <c r="BL272" t="str">
        <f>IFERROR(VLOOKUP(D272,'Invoice Exception Map'!A:C,3,FALSE),"N")</f>
        <v>N</v>
      </c>
      <c r="BM272">
        <f t="shared" si="26"/>
        <v>8</v>
      </c>
      <c r="BN272" t="str">
        <f t="shared" si="27"/>
        <v>WRIGELL</v>
      </c>
      <c r="BO272" t="str">
        <f t="shared" si="28"/>
        <v>PETER</v>
      </c>
    </row>
    <row r="273" spans="1:67" ht="16" thickBot="1" x14ac:dyDescent="0.25">
      <c r="A273" s="90" t="s">
        <v>2298</v>
      </c>
      <c r="B273" s="90" t="s">
        <v>2299</v>
      </c>
      <c r="C273" s="90" t="s">
        <v>2300</v>
      </c>
      <c r="D273" s="90" t="s">
        <v>3666</v>
      </c>
      <c r="E273" s="90" t="s">
        <v>1953</v>
      </c>
      <c r="F273" s="90" t="s">
        <v>2713</v>
      </c>
      <c r="G273" s="90" t="s">
        <v>2318</v>
      </c>
      <c r="H273" s="90" t="s">
        <v>267</v>
      </c>
      <c r="I273" s="90" t="s">
        <v>1944</v>
      </c>
      <c r="J273" s="90" t="s">
        <v>1620</v>
      </c>
      <c r="K273" s="90" t="s">
        <v>247</v>
      </c>
      <c r="L273" s="90" t="s">
        <v>2003</v>
      </c>
      <c r="M273" s="87" t="s">
        <v>2003</v>
      </c>
      <c r="N273" s="87" t="s">
        <v>1999</v>
      </c>
      <c r="O273" s="88">
        <v>44682</v>
      </c>
      <c r="P273" s="89">
        <v>4.3</v>
      </c>
      <c r="Q273" s="90" t="s">
        <v>3089</v>
      </c>
      <c r="R273" s="90" t="s">
        <v>3261</v>
      </c>
      <c r="S273" s="90" t="s">
        <v>2346</v>
      </c>
      <c r="T273" s="90" t="s">
        <v>2305</v>
      </c>
      <c r="U273" s="90" t="s">
        <v>1640</v>
      </c>
      <c r="V273" s="88">
        <v>44682</v>
      </c>
      <c r="W273" s="88">
        <v>44354</v>
      </c>
      <c r="X273" s="90" t="s">
        <v>43</v>
      </c>
      <c r="Y273" s="90" t="s">
        <v>257</v>
      </c>
      <c r="Z273" s="90" t="s">
        <v>36</v>
      </c>
      <c r="AA273" s="91"/>
      <c r="AB273" s="91"/>
      <c r="AC273" s="90" t="s">
        <v>2051</v>
      </c>
      <c r="AD273" s="90" t="s">
        <v>267</v>
      </c>
      <c r="AE273" s="90" t="s">
        <v>1636</v>
      </c>
      <c r="AF273" s="90" t="s">
        <v>2004</v>
      </c>
      <c r="AG273" s="90" t="s">
        <v>2793</v>
      </c>
      <c r="AH273" s="90" t="s">
        <v>2320</v>
      </c>
      <c r="AI273" s="90" t="s">
        <v>2320</v>
      </c>
      <c r="AJ273" s="90" t="s">
        <v>2051</v>
      </c>
      <c r="AK273" s="90" t="s">
        <v>36</v>
      </c>
      <c r="AL273" s="90" t="s">
        <v>1635</v>
      </c>
      <c r="AM273" s="90" t="s">
        <v>2307</v>
      </c>
      <c r="AN273" s="90" t="s">
        <v>2054</v>
      </c>
      <c r="AO273" s="87" t="s">
        <v>1949</v>
      </c>
      <c r="AP273" s="87" t="s">
        <v>1950</v>
      </c>
      <c r="AQ273" s="90" t="s">
        <v>2714</v>
      </c>
      <c r="AR273" s="91"/>
      <c r="AS273" s="91"/>
      <c r="AT273" s="91"/>
      <c r="AU273" s="87" t="s">
        <v>1972</v>
      </c>
      <c r="AV273" s="91"/>
      <c r="AW273" s="91"/>
      <c r="AX273" s="91"/>
      <c r="AY273" s="91"/>
      <c r="AZ273" t="str">
        <f t="shared" si="24"/>
        <v>205116</v>
      </c>
      <c r="BA273" t="str">
        <f t="shared" si="25"/>
        <v>0077</v>
      </c>
      <c r="BB273" t="str">
        <f t="shared" si="29"/>
        <v>0000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>IFERROR(VLOOKUP(X273,'Status Map'!A:B,2,FALSE),"Status Code Not Mapped")</f>
        <v>Y</v>
      </c>
      <c r="BL273" t="str">
        <f>IFERROR(VLOOKUP(D273,'Invoice Exception Map'!A:C,3,FALSE),"N")</f>
        <v>N</v>
      </c>
      <c r="BM273">
        <f t="shared" si="26"/>
        <v>11</v>
      </c>
      <c r="BN273" t="str">
        <f t="shared" si="27"/>
        <v>YDRESTRAND</v>
      </c>
      <c r="BO273" t="str">
        <f t="shared" si="28"/>
        <v>NILS</v>
      </c>
    </row>
    <row r="274" spans="1:67" ht="16" thickBot="1" x14ac:dyDescent="0.25">
      <c r="A274" s="90" t="s">
        <v>2298</v>
      </c>
      <c r="B274" s="90" t="s">
        <v>2299</v>
      </c>
      <c r="C274" s="90" t="s">
        <v>2300</v>
      </c>
      <c r="D274" s="90" t="s">
        <v>3667</v>
      </c>
      <c r="E274" s="90" t="s">
        <v>1953</v>
      </c>
      <c r="F274" s="90" t="s">
        <v>2715</v>
      </c>
      <c r="G274" s="90" t="s">
        <v>2302</v>
      </c>
      <c r="H274" s="90" t="s">
        <v>267</v>
      </c>
      <c r="I274" s="90" t="s">
        <v>1944</v>
      </c>
      <c r="J274" s="90" t="s">
        <v>1620</v>
      </c>
      <c r="K274" s="90" t="s">
        <v>2303</v>
      </c>
      <c r="L274" s="90" t="s">
        <v>2227</v>
      </c>
      <c r="M274" s="87" t="s">
        <v>2072</v>
      </c>
      <c r="N274" s="87" t="s">
        <v>1999</v>
      </c>
      <c r="O274" s="88">
        <v>41828</v>
      </c>
      <c r="P274" s="89">
        <v>12.1</v>
      </c>
      <c r="Q274" s="90" t="s">
        <v>3086</v>
      </c>
      <c r="R274" s="90" t="s">
        <v>3253</v>
      </c>
      <c r="S274" s="90" t="s">
        <v>2304</v>
      </c>
      <c r="T274" s="90" t="s">
        <v>2305</v>
      </c>
      <c r="U274" s="90" t="s">
        <v>1640</v>
      </c>
      <c r="V274" s="88">
        <v>41828</v>
      </c>
      <c r="W274" s="88">
        <v>41828</v>
      </c>
      <c r="X274" s="90" t="s">
        <v>43</v>
      </c>
      <c r="Y274" s="90" t="s">
        <v>257</v>
      </c>
      <c r="Z274" s="90" t="s">
        <v>36</v>
      </c>
      <c r="AA274" s="91"/>
      <c r="AB274" s="91"/>
      <c r="AC274" s="90" t="s">
        <v>2051</v>
      </c>
      <c r="AD274" s="90" t="s">
        <v>267</v>
      </c>
      <c r="AE274" s="90" t="s">
        <v>1636</v>
      </c>
      <c r="AF274" s="90" t="s">
        <v>2004</v>
      </c>
      <c r="AG274" s="90" t="s">
        <v>2793</v>
      </c>
      <c r="AH274" s="90" t="s">
        <v>2306</v>
      </c>
      <c r="AI274" s="90" t="s">
        <v>2306</v>
      </c>
      <c r="AJ274" s="90" t="s">
        <v>2051</v>
      </c>
      <c r="AK274" s="90" t="s">
        <v>36</v>
      </c>
      <c r="AL274" s="90" t="s">
        <v>1635</v>
      </c>
      <c r="AM274" s="90" t="s">
        <v>2307</v>
      </c>
      <c r="AN274" s="90" t="s">
        <v>2054</v>
      </c>
      <c r="AO274" s="87" t="s">
        <v>1949</v>
      </c>
      <c r="AP274" s="87" t="s">
        <v>1950</v>
      </c>
      <c r="AQ274" s="90" t="s">
        <v>2716</v>
      </c>
      <c r="AR274" s="91"/>
      <c r="AS274" s="91"/>
      <c r="AT274" s="91"/>
      <c r="AU274" s="87" t="s">
        <v>1972</v>
      </c>
      <c r="AV274" s="91"/>
      <c r="AW274" s="91"/>
      <c r="AX274" s="91"/>
      <c r="AY274" s="91"/>
      <c r="AZ274" t="str">
        <f t="shared" si="24"/>
        <v>212110</v>
      </c>
      <c r="BA274" t="str">
        <f t="shared" si="25"/>
        <v>0077</v>
      </c>
      <c r="BB274" t="str">
        <f t="shared" si="29"/>
        <v>0000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>IFERROR(VLOOKUP(X274,'Status Map'!A:B,2,FALSE),"Status Code Not Mapped")</f>
        <v>Y</v>
      </c>
      <c r="BL274" t="str">
        <f>IFERROR(VLOOKUP(D274,'Invoice Exception Map'!A:C,3,FALSE),"N")</f>
        <v>N</v>
      </c>
      <c r="BM274">
        <f t="shared" si="26"/>
        <v>19</v>
      </c>
      <c r="BN274" t="str">
        <f t="shared" si="27"/>
        <v>ZIEBINSKA AL BAKUZ</v>
      </c>
      <c r="BO274" t="str">
        <f t="shared" si="28"/>
        <v>MARIA</v>
      </c>
    </row>
    <row r="275" spans="1:67" ht="16" thickBot="1" x14ac:dyDescent="0.25">
      <c r="A275" s="90" t="s">
        <v>2298</v>
      </c>
      <c r="B275" s="90" t="s">
        <v>2717</v>
      </c>
      <c r="C275" s="90" t="s">
        <v>2718</v>
      </c>
      <c r="D275" s="90" t="s">
        <v>3668</v>
      </c>
      <c r="E275" s="90" t="s">
        <v>1953</v>
      </c>
      <c r="F275" s="90" t="s">
        <v>2719</v>
      </c>
      <c r="G275" s="90" t="s">
        <v>2720</v>
      </c>
      <c r="H275" s="90" t="s">
        <v>1943</v>
      </c>
      <c r="I275" s="90" t="s">
        <v>1944</v>
      </c>
      <c r="J275" s="90" t="s">
        <v>241</v>
      </c>
      <c r="K275" s="90" t="s">
        <v>2721</v>
      </c>
      <c r="L275" s="90" t="s">
        <v>2722</v>
      </c>
      <c r="M275" s="87" t="s">
        <v>1963</v>
      </c>
      <c r="N275" s="87" t="s">
        <v>1994</v>
      </c>
      <c r="O275" s="88">
        <v>42753</v>
      </c>
      <c r="P275" s="89">
        <v>9.6</v>
      </c>
      <c r="Q275" s="90" t="s">
        <v>504</v>
      </c>
      <c r="R275" s="90" t="s">
        <v>3279</v>
      </c>
      <c r="S275" s="90" t="s">
        <v>2723</v>
      </c>
      <c r="T275" s="90" t="s">
        <v>2305</v>
      </c>
      <c r="U275" s="90" t="s">
        <v>1640</v>
      </c>
      <c r="V275" s="88">
        <v>42753</v>
      </c>
      <c r="W275" s="88">
        <v>42753</v>
      </c>
      <c r="X275" s="90" t="s">
        <v>43</v>
      </c>
      <c r="Y275" s="90" t="s">
        <v>257</v>
      </c>
      <c r="Z275" s="90" t="s">
        <v>36</v>
      </c>
      <c r="AA275" s="91"/>
      <c r="AB275" s="91"/>
      <c r="AC275" s="90" t="s">
        <v>2051</v>
      </c>
      <c r="AD275" s="90" t="s">
        <v>267</v>
      </c>
      <c r="AE275" s="90" t="s">
        <v>1636</v>
      </c>
      <c r="AF275" s="90" t="s">
        <v>1947</v>
      </c>
      <c r="AG275" s="90" t="s">
        <v>3280</v>
      </c>
      <c r="AH275" s="90" t="s">
        <v>1989</v>
      </c>
      <c r="AI275" s="90" t="s">
        <v>1989</v>
      </c>
      <c r="AJ275" s="90" t="s">
        <v>2051</v>
      </c>
      <c r="AK275" s="90" t="s">
        <v>36</v>
      </c>
      <c r="AL275" s="90" t="s">
        <v>1635</v>
      </c>
      <c r="AM275" s="90" t="s">
        <v>2307</v>
      </c>
      <c r="AN275" s="90" t="s">
        <v>2054</v>
      </c>
      <c r="AO275" s="87" t="s">
        <v>1949</v>
      </c>
      <c r="AP275" s="87" t="s">
        <v>1950</v>
      </c>
      <c r="AQ275" s="90" t="s">
        <v>2724</v>
      </c>
      <c r="AR275" s="92">
        <v>62000</v>
      </c>
      <c r="AS275" s="92">
        <v>78000</v>
      </c>
      <c r="AT275" s="92">
        <v>97000</v>
      </c>
      <c r="AU275" s="87" t="s">
        <v>1951</v>
      </c>
      <c r="AV275" s="87" t="s">
        <v>1966</v>
      </c>
      <c r="AW275" s="91"/>
      <c r="AX275" s="91"/>
      <c r="AY275" s="91"/>
      <c r="AZ275" t="str">
        <f t="shared" si="24"/>
        <v>211600</v>
      </c>
      <c r="BA275" t="str">
        <f t="shared" si="25"/>
        <v>0077</v>
      </c>
      <c r="BB275" t="str">
        <f t="shared" si="29"/>
        <v>0000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>IFERROR(VLOOKUP(X275,'Status Map'!A:B,2,FALSE),"Status Code Not Mapped")</f>
        <v>Y</v>
      </c>
      <c r="BL275" t="str">
        <f>IFERROR(VLOOKUP(D275,'Invoice Exception Map'!A:C,3,FALSE),"N")</f>
        <v>N</v>
      </c>
      <c r="BM275">
        <f t="shared" si="26"/>
        <v>11</v>
      </c>
      <c r="BN275" t="str">
        <f t="shared" si="27"/>
        <v>ABDULMAJID</v>
      </c>
      <c r="BO275" t="str">
        <f t="shared" si="28"/>
        <v>AHMED SAID</v>
      </c>
    </row>
    <row r="276" spans="1:67" ht="16" thickBot="1" x14ac:dyDescent="0.25">
      <c r="A276" s="90" t="s">
        <v>2298</v>
      </c>
      <c r="B276" s="90" t="s">
        <v>2717</v>
      </c>
      <c r="C276" s="90" t="s">
        <v>2718</v>
      </c>
      <c r="D276" s="90" t="s">
        <v>3669</v>
      </c>
      <c r="E276" s="90" t="s">
        <v>1953</v>
      </c>
      <c r="F276" s="90" t="s">
        <v>2725</v>
      </c>
      <c r="G276" s="90" t="s">
        <v>2726</v>
      </c>
      <c r="H276" s="90" t="s">
        <v>1943</v>
      </c>
      <c r="I276" s="90" t="s">
        <v>1944</v>
      </c>
      <c r="J276" s="90" t="s">
        <v>241</v>
      </c>
      <c r="K276" s="90" t="s">
        <v>2727</v>
      </c>
      <c r="L276" s="90" t="s">
        <v>2728</v>
      </c>
      <c r="M276" s="87" t="s">
        <v>1963</v>
      </c>
      <c r="N276" s="87" t="s">
        <v>2014</v>
      </c>
      <c r="O276" s="88">
        <v>45694</v>
      </c>
      <c r="P276" s="89">
        <v>1.5</v>
      </c>
      <c r="Q276" s="90" t="s">
        <v>118</v>
      </c>
      <c r="R276" s="90" t="s">
        <v>3264</v>
      </c>
      <c r="S276" s="90" t="s">
        <v>2363</v>
      </c>
      <c r="T276" s="90" t="s">
        <v>2305</v>
      </c>
      <c r="U276" s="90" t="s">
        <v>1640</v>
      </c>
      <c r="V276" s="88">
        <v>45694</v>
      </c>
      <c r="W276" s="88">
        <v>45694</v>
      </c>
      <c r="X276" s="90" t="s">
        <v>43</v>
      </c>
      <c r="Y276" s="90" t="s">
        <v>257</v>
      </c>
      <c r="Z276" s="90" t="s">
        <v>36</v>
      </c>
      <c r="AA276" s="91"/>
      <c r="AB276" s="91"/>
      <c r="AC276" s="90" t="s">
        <v>2051</v>
      </c>
      <c r="AD276" s="90" t="s">
        <v>267</v>
      </c>
      <c r="AE276" s="90" t="s">
        <v>1636</v>
      </c>
      <c r="AF276" s="90" t="s">
        <v>1947</v>
      </c>
      <c r="AG276" s="90" t="s">
        <v>3258</v>
      </c>
      <c r="AH276" s="90" t="s">
        <v>1876</v>
      </c>
      <c r="AI276" s="90" t="s">
        <v>1876</v>
      </c>
      <c r="AJ276" s="90" t="s">
        <v>2051</v>
      </c>
      <c r="AK276" s="91"/>
      <c r="AL276" s="90" t="s">
        <v>1635</v>
      </c>
      <c r="AM276" s="90" t="s">
        <v>2307</v>
      </c>
      <c r="AN276" s="90" t="s">
        <v>2054</v>
      </c>
      <c r="AO276" s="87" t="s">
        <v>1949</v>
      </c>
      <c r="AP276" s="87" t="s">
        <v>1950</v>
      </c>
      <c r="AQ276" s="90" t="s">
        <v>2729</v>
      </c>
      <c r="AR276" s="92">
        <v>69000</v>
      </c>
      <c r="AS276" s="92">
        <v>87000</v>
      </c>
      <c r="AT276" s="92">
        <v>108000</v>
      </c>
      <c r="AU276" s="87" t="s">
        <v>1951</v>
      </c>
      <c r="AV276" s="87" t="s">
        <v>1966</v>
      </c>
      <c r="AW276" s="91"/>
      <c r="AX276" s="91"/>
      <c r="AY276" s="91"/>
      <c r="AZ276" t="str">
        <f t="shared" si="24"/>
        <v>213066</v>
      </c>
      <c r="BA276" t="str">
        <f t="shared" si="25"/>
        <v>0077</v>
      </c>
      <c r="BB276" t="str">
        <f t="shared" si="29"/>
        <v>0000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>IFERROR(VLOOKUP(X276,'Status Map'!A:B,2,FALSE),"Status Code Not Mapped")</f>
        <v>Y</v>
      </c>
      <c r="BL276" t="str">
        <f>IFERROR(VLOOKUP(D276,'Invoice Exception Map'!A:C,3,FALSE),"N")</f>
        <v>N</v>
      </c>
      <c r="BM276">
        <f t="shared" si="26"/>
        <v>6</v>
      </c>
      <c r="BN276" t="str">
        <f t="shared" si="27"/>
        <v>Adell</v>
      </c>
      <c r="BO276" t="str">
        <f t="shared" si="28"/>
        <v>Emil</v>
      </c>
    </row>
    <row r="277" spans="1:67" ht="16" thickBot="1" x14ac:dyDescent="0.25">
      <c r="A277" s="90" t="s">
        <v>2298</v>
      </c>
      <c r="B277" s="90" t="s">
        <v>2717</v>
      </c>
      <c r="C277" s="90" t="s">
        <v>2718</v>
      </c>
      <c r="D277" s="90" t="s">
        <v>3670</v>
      </c>
      <c r="E277" s="90" t="s">
        <v>1953</v>
      </c>
      <c r="F277" s="90" t="s">
        <v>2730</v>
      </c>
      <c r="G277" s="90" t="s">
        <v>1995</v>
      </c>
      <c r="H277" s="90" t="s">
        <v>1943</v>
      </c>
      <c r="I277" s="90" t="s">
        <v>1944</v>
      </c>
      <c r="J277" s="90" t="s">
        <v>1955</v>
      </c>
      <c r="K277" s="90" t="s">
        <v>858</v>
      </c>
      <c r="L277" s="90" t="s">
        <v>2731</v>
      </c>
      <c r="M277" s="87" t="s">
        <v>1996</v>
      </c>
      <c r="N277" s="87" t="s">
        <v>66</v>
      </c>
      <c r="O277" s="88">
        <v>40770</v>
      </c>
      <c r="P277" s="89">
        <v>15</v>
      </c>
      <c r="Q277" s="90" t="s">
        <v>129</v>
      </c>
      <c r="R277" s="90" t="s">
        <v>3132</v>
      </c>
      <c r="S277" s="90" t="s">
        <v>2154</v>
      </c>
      <c r="T277" s="90" t="s">
        <v>2305</v>
      </c>
      <c r="U277" s="90" t="s">
        <v>1640</v>
      </c>
      <c r="V277" s="88">
        <v>40770</v>
      </c>
      <c r="W277" s="88">
        <v>40770</v>
      </c>
      <c r="X277" s="90" t="s">
        <v>43</v>
      </c>
      <c r="Y277" s="90" t="s">
        <v>257</v>
      </c>
      <c r="Z277" s="90" t="s">
        <v>36</v>
      </c>
      <c r="AA277" s="91"/>
      <c r="AB277" s="91"/>
      <c r="AC277" s="90" t="s">
        <v>2051</v>
      </c>
      <c r="AD277" s="90" t="s">
        <v>267</v>
      </c>
      <c r="AE277" s="90" t="s">
        <v>1636</v>
      </c>
      <c r="AF277" s="90" t="s">
        <v>1947</v>
      </c>
      <c r="AG277" s="90" t="s">
        <v>3270</v>
      </c>
      <c r="AH277" s="90" t="s">
        <v>2732</v>
      </c>
      <c r="AI277" s="90" t="s">
        <v>2732</v>
      </c>
      <c r="AJ277" s="90" t="s">
        <v>2051</v>
      </c>
      <c r="AK277" s="90" t="s">
        <v>36</v>
      </c>
      <c r="AL277" s="90" t="s">
        <v>1635</v>
      </c>
      <c r="AM277" s="90" t="s">
        <v>2307</v>
      </c>
      <c r="AN277" s="90" t="s">
        <v>2054</v>
      </c>
      <c r="AO277" s="87" t="s">
        <v>1949</v>
      </c>
      <c r="AP277" s="87" t="s">
        <v>1950</v>
      </c>
      <c r="AQ277" s="90" t="s">
        <v>2733</v>
      </c>
      <c r="AR277" s="92">
        <v>125000</v>
      </c>
      <c r="AS277" s="92">
        <v>155000</v>
      </c>
      <c r="AT277" s="92">
        <v>194000</v>
      </c>
      <c r="AU277" s="87" t="s">
        <v>1951</v>
      </c>
      <c r="AV277" s="87" t="s">
        <v>1977</v>
      </c>
      <c r="AW277" s="91"/>
      <c r="AX277" s="91"/>
      <c r="AY277" s="91"/>
      <c r="AZ277" t="str">
        <f t="shared" si="24"/>
        <v>210868</v>
      </c>
      <c r="BA277" t="str">
        <f t="shared" si="25"/>
        <v>0077</v>
      </c>
      <c r="BB277" t="str">
        <f t="shared" si="29"/>
        <v>0000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>IFERROR(VLOOKUP(X277,'Status Map'!A:B,2,FALSE),"Status Code Not Mapped")</f>
        <v>Y</v>
      </c>
      <c r="BL277" t="str">
        <f>IFERROR(VLOOKUP(D277,'Invoice Exception Map'!A:C,3,FALSE),"N")</f>
        <v>N</v>
      </c>
      <c r="BM277">
        <f t="shared" si="26"/>
        <v>5</v>
      </c>
      <c r="BN277" t="str">
        <f t="shared" si="27"/>
        <v>AHLM</v>
      </c>
      <c r="BO277" t="str">
        <f t="shared" si="28"/>
        <v>KARIN</v>
      </c>
    </row>
    <row r="278" spans="1:67" ht="16" thickBot="1" x14ac:dyDescent="0.25">
      <c r="A278" s="90" t="s">
        <v>2298</v>
      </c>
      <c r="B278" s="90" t="s">
        <v>2717</v>
      </c>
      <c r="C278" s="90" t="s">
        <v>2718</v>
      </c>
      <c r="D278" s="90" t="s">
        <v>3671</v>
      </c>
      <c r="E278" s="90" t="s">
        <v>1953</v>
      </c>
      <c r="F278" s="90" t="s">
        <v>2734</v>
      </c>
      <c r="G278" s="90" t="s">
        <v>2735</v>
      </c>
      <c r="H278" s="90" t="s">
        <v>1943</v>
      </c>
      <c r="I278" s="90" t="s">
        <v>1944</v>
      </c>
      <c r="J278" s="90" t="s">
        <v>241</v>
      </c>
      <c r="K278" s="90" t="s">
        <v>2721</v>
      </c>
      <c r="L278" s="90" t="s">
        <v>2722</v>
      </c>
      <c r="M278" s="87" t="s">
        <v>1963</v>
      </c>
      <c r="N278" s="87" t="s">
        <v>1994</v>
      </c>
      <c r="O278" s="88">
        <v>45873</v>
      </c>
      <c r="P278" s="89">
        <v>1</v>
      </c>
      <c r="Q278" s="90" t="s">
        <v>305</v>
      </c>
      <c r="R278" s="90" t="s">
        <v>3279</v>
      </c>
      <c r="S278" s="90" t="s">
        <v>2723</v>
      </c>
      <c r="T278" s="90" t="s">
        <v>2305</v>
      </c>
      <c r="U278" s="90" t="s">
        <v>1640</v>
      </c>
      <c r="V278" s="88">
        <v>45873</v>
      </c>
      <c r="W278" s="88">
        <v>45873</v>
      </c>
      <c r="X278" s="90" t="s">
        <v>43</v>
      </c>
      <c r="Y278" s="90" t="s">
        <v>257</v>
      </c>
      <c r="Z278" s="90" t="s">
        <v>36</v>
      </c>
      <c r="AA278" s="91"/>
      <c r="AB278" s="91"/>
      <c r="AC278" s="90" t="s">
        <v>2051</v>
      </c>
      <c r="AD278" s="90" t="s">
        <v>267</v>
      </c>
      <c r="AE278" s="90" t="s">
        <v>1636</v>
      </c>
      <c r="AF278" s="90" t="s">
        <v>1947</v>
      </c>
      <c r="AG278" s="90" t="s">
        <v>2865</v>
      </c>
      <c r="AH278" s="91"/>
      <c r="AI278" s="91"/>
      <c r="AJ278" s="90" t="s">
        <v>2051</v>
      </c>
      <c r="AK278" s="91"/>
      <c r="AL278" s="90" t="s">
        <v>1635</v>
      </c>
      <c r="AM278" s="90" t="s">
        <v>2307</v>
      </c>
      <c r="AN278" s="90" t="s">
        <v>2054</v>
      </c>
      <c r="AO278" s="87" t="s">
        <v>1949</v>
      </c>
      <c r="AP278" s="87" t="s">
        <v>1950</v>
      </c>
      <c r="AQ278" s="90" t="s">
        <v>2736</v>
      </c>
      <c r="AR278" s="92">
        <v>50000</v>
      </c>
      <c r="AS278" s="92">
        <v>62000</v>
      </c>
      <c r="AT278" s="92">
        <v>77000</v>
      </c>
      <c r="AU278" s="87" t="s">
        <v>1972</v>
      </c>
      <c r="AV278" s="87" t="s">
        <v>1973</v>
      </c>
      <c r="AW278" s="91"/>
      <c r="AX278" s="91"/>
      <c r="AY278" s="91"/>
      <c r="AZ278" t="str">
        <f t="shared" si="24"/>
        <v>211600</v>
      </c>
      <c r="BA278" t="str">
        <f t="shared" si="25"/>
        <v>0077</v>
      </c>
      <c r="BB278" t="str">
        <f t="shared" si="29"/>
        <v>0000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>IFERROR(VLOOKUP(X278,'Status Map'!A:B,2,FALSE),"Status Code Not Mapped")</f>
        <v>Y</v>
      </c>
      <c r="BL278" t="str">
        <f>IFERROR(VLOOKUP(D278,'Invoice Exception Map'!A:C,3,FALSE),"N")</f>
        <v>N</v>
      </c>
      <c r="BM278">
        <f t="shared" si="26"/>
        <v>8</v>
      </c>
      <c r="BN278" t="str">
        <f t="shared" si="27"/>
        <v>Akdogan</v>
      </c>
      <c r="BO278" t="str">
        <f t="shared" si="28"/>
        <v>Sebastian</v>
      </c>
    </row>
    <row r="279" spans="1:67" ht="16" thickBot="1" x14ac:dyDescent="0.25">
      <c r="A279" s="90" t="s">
        <v>2298</v>
      </c>
      <c r="B279" s="90" t="s">
        <v>2717</v>
      </c>
      <c r="C279" s="90" t="s">
        <v>2718</v>
      </c>
      <c r="D279" s="90" t="s">
        <v>3257</v>
      </c>
      <c r="E279" s="90" t="s">
        <v>1953</v>
      </c>
      <c r="F279" s="90" t="s">
        <v>2326</v>
      </c>
      <c r="G279" s="90" t="s">
        <v>2737</v>
      </c>
      <c r="H279" s="90" t="s">
        <v>1943</v>
      </c>
      <c r="I279" s="90" t="s">
        <v>1944</v>
      </c>
      <c r="J279" s="90" t="s">
        <v>1957</v>
      </c>
      <c r="K279" s="90" t="s">
        <v>2738</v>
      </c>
      <c r="L279" s="90" t="s">
        <v>2739</v>
      </c>
      <c r="M279" s="87" t="s">
        <v>1945</v>
      </c>
      <c r="N279" s="87" t="s">
        <v>2010</v>
      </c>
      <c r="O279" s="88">
        <v>36970</v>
      </c>
      <c r="P279" s="89">
        <v>25.4</v>
      </c>
      <c r="Q279" s="90" t="s">
        <v>151</v>
      </c>
      <c r="R279" s="90" t="s">
        <v>3264</v>
      </c>
      <c r="S279" s="90" t="s">
        <v>2363</v>
      </c>
      <c r="T279" s="90" t="s">
        <v>2305</v>
      </c>
      <c r="U279" s="90" t="s">
        <v>1640</v>
      </c>
      <c r="V279" s="88">
        <v>36970</v>
      </c>
      <c r="W279" s="88">
        <v>36970</v>
      </c>
      <c r="X279" s="90" t="s">
        <v>43</v>
      </c>
      <c r="Y279" s="90" t="s">
        <v>257</v>
      </c>
      <c r="Z279" s="90" t="s">
        <v>36</v>
      </c>
      <c r="AA279" s="91"/>
      <c r="AB279" s="91"/>
      <c r="AC279" s="90" t="s">
        <v>2051</v>
      </c>
      <c r="AD279" s="90" t="s">
        <v>267</v>
      </c>
      <c r="AE279" s="90" t="s">
        <v>1636</v>
      </c>
      <c r="AF279" s="90" t="s">
        <v>1947</v>
      </c>
      <c r="AG279" s="90" t="s">
        <v>2793</v>
      </c>
      <c r="AH279" s="90" t="s">
        <v>2392</v>
      </c>
      <c r="AI279" s="90" t="s">
        <v>2392</v>
      </c>
      <c r="AJ279" s="90" t="s">
        <v>2051</v>
      </c>
      <c r="AK279" s="90" t="s">
        <v>36</v>
      </c>
      <c r="AL279" s="90" t="s">
        <v>1635</v>
      </c>
      <c r="AM279" s="90" t="s">
        <v>2307</v>
      </c>
      <c r="AN279" s="90" t="s">
        <v>2054</v>
      </c>
      <c r="AO279" s="87" t="s">
        <v>1949</v>
      </c>
      <c r="AP279" s="87" t="s">
        <v>1950</v>
      </c>
      <c r="AQ279" s="90" t="s">
        <v>2740</v>
      </c>
      <c r="AR279" s="92">
        <v>88000</v>
      </c>
      <c r="AS279" s="92">
        <v>110000</v>
      </c>
      <c r="AT279" s="92">
        <v>137000</v>
      </c>
      <c r="AU279" s="87" t="s">
        <v>1951</v>
      </c>
      <c r="AV279" s="87" t="s">
        <v>1952</v>
      </c>
      <c r="AW279" s="91"/>
      <c r="AX279" s="91"/>
      <c r="AY279" s="91"/>
      <c r="AZ279" t="str">
        <f t="shared" si="24"/>
        <v>213066</v>
      </c>
      <c r="BA279" t="str">
        <f t="shared" si="25"/>
        <v>0077</v>
      </c>
      <c r="BB279" t="str">
        <f t="shared" si="29"/>
        <v>0000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>IFERROR(VLOOKUP(X279,'Status Map'!A:B,2,FALSE),"Status Code Not Mapped")</f>
        <v>Y</v>
      </c>
      <c r="BL279" t="str">
        <f>IFERROR(VLOOKUP(D279,'Invoice Exception Map'!A:C,3,FALSE),"N")</f>
        <v>N</v>
      </c>
      <c r="BM279">
        <f t="shared" si="26"/>
        <v>7</v>
      </c>
      <c r="BN279" t="str">
        <f t="shared" si="27"/>
        <v>ALLVIN</v>
      </c>
      <c r="BO279" t="str">
        <f t="shared" si="28"/>
        <v>FREDRIK</v>
      </c>
    </row>
    <row r="280" spans="1:67" ht="16" thickBot="1" x14ac:dyDescent="0.25">
      <c r="A280" s="90" t="s">
        <v>2298</v>
      </c>
      <c r="B280" s="90" t="s">
        <v>2717</v>
      </c>
      <c r="C280" s="90" t="s">
        <v>2718</v>
      </c>
      <c r="D280" s="90" t="s">
        <v>3672</v>
      </c>
      <c r="E280" s="90" t="s">
        <v>1953</v>
      </c>
      <c r="F280" s="90" t="s">
        <v>2741</v>
      </c>
      <c r="G280" s="90" t="s">
        <v>2735</v>
      </c>
      <c r="H280" s="90" t="s">
        <v>1943</v>
      </c>
      <c r="I280" s="90" t="s">
        <v>1944</v>
      </c>
      <c r="J280" s="90" t="s">
        <v>241</v>
      </c>
      <c r="K280" s="90" t="s">
        <v>2721</v>
      </c>
      <c r="L280" s="90" t="s">
        <v>2722</v>
      </c>
      <c r="M280" s="87" t="s">
        <v>1963</v>
      </c>
      <c r="N280" s="87" t="s">
        <v>1994</v>
      </c>
      <c r="O280" s="88">
        <v>45873</v>
      </c>
      <c r="P280" s="89">
        <v>1</v>
      </c>
      <c r="Q280" s="90" t="s">
        <v>305</v>
      </c>
      <c r="R280" s="90" t="s">
        <v>3279</v>
      </c>
      <c r="S280" s="90" t="s">
        <v>2723</v>
      </c>
      <c r="T280" s="90" t="s">
        <v>2305</v>
      </c>
      <c r="U280" s="90" t="s">
        <v>1640</v>
      </c>
      <c r="V280" s="88">
        <v>45873</v>
      </c>
      <c r="W280" s="88">
        <v>45873</v>
      </c>
      <c r="X280" s="90" t="s">
        <v>43</v>
      </c>
      <c r="Y280" s="90" t="s">
        <v>257</v>
      </c>
      <c r="Z280" s="90" t="s">
        <v>36</v>
      </c>
      <c r="AA280" s="91"/>
      <c r="AB280" s="91"/>
      <c r="AC280" s="90" t="s">
        <v>2051</v>
      </c>
      <c r="AD280" s="90" t="s">
        <v>267</v>
      </c>
      <c r="AE280" s="90" t="s">
        <v>1636</v>
      </c>
      <c r="AF280" s="90" t="s">
        <v>1947</v>
      </c>
      <c r="AG280" s="90" t="s">
        <v>3258</v>
      </c>
      <c r="AH280" s="91"/>
      <c r="AI280" s="91"/>
      <c r="AJ280" s="90" t="s">
        <v>2051</v>
      </c>
      <c r="AK280" s="91"/>
      <c r="AL280" s="90" t="s">
        <v>1635</v>
      </c>
      <c r="AM280" s="90" t="s">
        <v>2307</v>
      </c>
      <c r="AN280" s="90" t="s">
        <v>2054</v>
      </c>
      <c r="AO280" s="87" t="s">
        <v>1949</v>
      </c>
      <c r="AP280" s="87" t="s">
        <v>1950</v>
      </c>
      <c r="AQ280" s="90" t="s">
        <v>2742</v>
      </c>
      <c r="AR280" s="92">
        <v>50000</v>
      </c>
      <c r="AS280" s="92">
        <v>62000</v>
      </c>
      <c r="AT280" s="92">
        <v>77000</v>
      </c>
      <c r="AU280" s="87" t="s">
        <v>1972</v>
      </c>
      <c r="AV280" s="87" t="s">
        <v>1973</v>
      </c>
      <c r="AW280" s="91"/>
      <c r="AX280" s="91"/>
      <c r="AY280" s="91"/>
      <c r="AZ280" t="str">
        <f t="shared" si="24"/>
        <v>211600</v>
      </c>
      <c r="BA280" t="str">
        <f t="shared" si="25"/>
        <v>0077</v>
      </c>
      <c r="BB280" t="str">
        <f t="shared" si="29"/>
        <v>0000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>IFERROR(VLOOKUP(X280,'Status Map'!A:B,2,FALSE),"Status Code Not Mapped")</f>
        <v>Y</v>
      </c>
      <c r="BL280" t="str">
        <f>IFERROR(VLOOKUP(D280,'Invoice Exception Map'!A:C,3,FALSE),"N")</f>
        <v>N</v>
      </c>
      <c r="BM280">
        <f t="shared" si="26"/>
        <v>10</v>
      </c>
      <c r="BN280" t="str">
        <f t="shared" si="27"/>
        <v>Anderberg</v>
      </c>
      <c r="BO280" t="str">
        <f t="shared" si="28"/>
        <v>Felix</v>
      </c>
    </row>
    <row r="281" spans="1:67" ht="16" thickBot="1" x14ac:dyDescent="0.25">
      <c r="A281" s="90" t="s">
        <v>2298</v>
      </c>
      <c r="B281" s="90" t="s">
        <v>2717</v>
      </c>
      <c r="C281" s="90" t="s">
        <v>2718</v>
      </c>
      <c r="D281" s="90" t="s">
        <v>3673</v>
      </c>
      <c r="E281" s="90" t="s">
        <v>1953</v>
      </c>
      <c r="F281" s="90" t="s">
        <v>2337</v>
      </c>
      <c r="G281" s="90" t="s">
        <v>2123</v>
      </c>
      <c r="H281" s="90" t="s">
        <v>1943</v>
      </c>
      <c r="I281" s="90" t="s">
        <v>1944</v>
      </c>
      <c r="J281" s="90" t="s">
        <v>1955</v>
      </c>
      <c r="K281" s="90" t="s">
        <v>482</v>
      </c>
      <c r="L281" s="90" t="s">
        <v>2743</v>
      </c>
      <c r="M281" s="87" t="s">
        <v>1945</v>
      </c>
      <c r="N281" s="87" t="s">
        <v>66</v>
      </c>
      <c r="O281" s="88">
        <v>35863</v>
      </c>
      <c r="P281" s="89">
        <v>28.5</v>
      </c>
      <c r="Q281" s="90" t="s">
        <v>287</v>
      </c>
      <c r="R281" s="90" t="s">
        <v>3132</v>
      </c>
      <c r="S281" s="90" t="s">
        <v>2154</v>
      </c>
      <c r="T281" s="90" t="s">
        <v>2305</v>
      </c>
      <c r="U281" s="90" t="s">
        <v>1640</v>
      </c>
      <c r="V281" s="88">
        <v>35863</v>
      </c>
      <c r="W281" s="88">
        <v>35863</v>
      </c>
      <c r="X281" s="90" t="s">
        <v>43</v>
      </c>
      <c r="Y281" s="90" t="s">
        <v>257</v>
      </c>
      <c r="Z281" s="90" t="s">
        <v>36</v>
      </c>
      <c r="AA281" s="91"/>
      <c r="AB281" s="91"/>
      <c r="AC281" s="90" t="s">
        <v>2051</v>
      </c>
      <c r="AD281" s="90" t="s">
        <v>267</v>
      </c>
      <c r="AE281" s="90" t="s">
        <v>1636</v>
      </c>
      <c r="AF281" s="90" t="s">
        <v>1947</v>
      </c>
      <c r="AG281" s="90" t="s">
        <v>2793</v>
      </c>
      <c r="AH281" s="90" t="s">
        <v>2306</v>
      </c>
      <c r="AI281" s="90" t="s">
        <v>2306</v>
      </c>
      <c r="AJ281" s="90" t="s">
        <v>2051</v>
      </c>
      <c r="AK281" s="90" t="s">
        <v>36</v>
      </c>
      <c r="AL281" s="90" t="s">
        <v>1635</v>
      </c>
      <c r="AM281" s="90" t="s">
        <v>2307</v>
      </c>
      <c r="AN281" s="90" t="s">
        <v>2054</v>
      </c>
      <c r="AO281" s="87" t="s">
        <v>1949</v>
      </c>
      <c r="AP281" s="87" t="s">
        <v>1950</v>
      </c>
      <c r="AQ281" s="90" t="s">
        <v>2744</v>
      </c>
      <c r="AR281" s="92">
        <v>78000</v>
      </c>
      <c r="AS281" s="92">
        <v>97000</v>
      </c>
      <c r="AT281" s="92">
        <v>121000</v>
      </c>
      <c r="AU281" s="87" t="s">
        <v>1951</v>
      </c>
      <c r="AV281" s="87" t="s">
        <v>1952</v>
      </c>
      <c r="AW281" s="91"/>
      <c r="AX281" s="91"/>
      <c r="AY281" s="91"/>
      <c r="AZ281" t="str">
        <f t="shared" si="24"/>
        <v>210868</v>
      </c>
      <c r="BA281" t="str">
        <f t="shared" si="25"/>
        <v>0077</v>
      </c>
      <c r="BB281" t="str">
        <f t="shared" si="29"/>
        <v>0000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>IFERROR(VLOOKUP(X281,'Status Map'!A:B,2,FALSE),"Status Code Not Mapped")</f>
        <v>Y</v>
      </c>
      <c r="BL281" t="str">
        <f>IFERROR(VLOOKUP(D281,'Invoice Exception Map'!A:C,3,FALSE),"N")</f>
        <v>N</v>
      </c>
      <c r="BM281">
        <f t="shared" si="26"/>
        <v>10</v>
      </c>
      <c r="BN281" t="str">
        <f t="shared" si="27"/>
        <v>ANDERSSON</v>
      </c>
      <c r="BO281" t="str">
        <f t="shared" si="28"/>
        <v>FREDRIK</v>
      </c>
    </row>
    <row r="282" spans="1:67" ht="16" thickBot="1" x14ac:dyDescent="0.25">
      <c r="A282" s="90" t="s">
        <v>2298</v>
      </c>
      <c r="B282" s="90" t="s">
        <v>2717</v>
      </c>
      <c r="C282" s="90" t="s">
        <v>2718</v>
      </c>
      <c r="D282" s="90" t="s">
        <v>3674</v>
      </c>
      <c r="E282" s="90" t="s">
        <v>1953</v>
      </c>
      <c r="F282" s="90" t="s">
        <v>2745</v>
      </c>
      <c r="G282" s="90" t="s">
        <v>2746</v>
      </c>
      <c r="H282" s="90" t="s">
        <v>1943</v>
      </c>
      <c r="I282" s="90" t="s">
        <v>1944</v>
      </c>
      <c r="J282" s="90" t="s">
        <v>2022</v>
      </c>
      <c r="K282" s="90" t="s">
        <v>2747</v>
      </c>
      <c r="L282" s="90" t="s">
        <v>2748</v>
      </c>
      <c r="M282" s="87" t="s">
        <v>1965</v>
      </c>
      <c r="N282" s="87" t="s">
        <v>2749</v>
      </c>
      <c r="O282" s="88">
        <v>35065</v>
      </c>
      <c r="P282" s="89">
        <v>30.6</v>
      </c>
      <c r="Q282" s="90" t="s">
        <v>264</v>
      </c>
      <c r="R282" s="90" t="s">
        <v>1412</v>
      </c>
      <c r="S282" s="90" t="s">
        <v>383</v>
      </c>
      <c r="T282" s="90" t="s">
        <v>2305</v>
      </c>
      <c r="U282" s="90" t="s">
        <v>1640</v>
      </c>
      <c r="V282" s="88">
        <v>35065</v>
      </c>
      <c r="W282" s="88">
        <v>35065</v>
      </c>
      <c r="X282" s="90" t="s">
        <v>43</v>
      </c>
      <c r="Y282" s="90" t="s">
        <v>257</v>
      </c>
      <c r="Z282" s="90" t="s">
        <v>36</v>
      </c>
      <c r="AA282" s="91"/>
      <c r="AB282" s="91"/>
      <c r="AC282" s="90" t="s">
        <v>2051</v>
      </c>
      <c r="AD282" s="90" t="s">
        <v>267</v>
      </c>
      <c r="AE282" s="90" t="s">
        <v>1636</v>
      </c>
      <c r="AF282" s="90" t="s">
        <v>1947</v>
      </c>
      <c r="AG282" s="90" t="s">
        <v>2793</v>
      </c>
      <c r="AH282" s="90" t="s">
        <v>2750</v>
      </c>
      <c r="AI282" s="90" t="s">
        <v>2750</v>
      </c>
      <c r="AJ282" s="90" t="s">
        <v>2051</v>
      </c>
      <c r="AK282" s="90" t="s">
        <v>36</v>
      </c>
      <c r="AL282" s="90" t="s">
        <v>1635</v>
      </c>
      <c r="AM282" s="90" t="s">
        <v>2307</v>
      </c>
      <c r="AN282" s="90" t="s">
        <v>2054</v>
      </c>
      <c r="AO282" s="87" t="s">
        <v>1949</v>
      </c>
      <c r="AP282" s="87" t="s">
        <v>1950</v>
      </c>
      <c r="AQ282" s="90" t="s">
        <v>2751</v>
      </c>
      <c r="AR282" s="92">
        <v>56000</v>
      </c>
      <c r="AS282" s="92">
        <v>70000</v>
      </c>
      <c r="AT282" s="92">
        <v>87000</v>
      </c>
      <c r="AU282" s="87" t="s">
        <v>1951</v>
      </c>
      <c r="AV282" s="87" t="s">
        <v>2002</v>
      </c>
      <c r="AW282" s="91"/>
      <c r="AX282" s="91"/>
      <c r="AY282" s="91"/>
      <c r="AZ282" t="str">
        <f t="shared" si="24"/>
        <v>207199</v>
      </c>
      <c r="BA282" t="str">
        <f t="shared" si="25"/>
        <v>0077</v>
      </c>
      <c r="BB282" t="str">
        <f t="shared" si="29"/>
        <v>0000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>IFERROR(VLOOKUP(X282,'Status Map'!A:B,2,FALSE),"Status Code Not Mapped")</f>
        <v>Y</v>
      </c>
      <c r="BL282" t="str">
        <f>IFERROR(VLOOKUP(D282,'Invoice Exception Map'!A:C,3,FALSE),"N")</f>
        <v>N</v>
      </c>
      <c r="BM282">
        <f t="shared" si="26"/>
        <v>10</v>
      </c>
      <c r="BN282" t="str">
        <f t="shared" si="27"/>
        <v>ANDERSSON</v>
      </c>
      <c r="BO282" t="str">
        <f t="shared" si="28"/>
        <v>HÅKAN</v>
      </c>
    </row>
    <row r="283" spans="1:67" ht="16" thickBot="1" x14ac:dyDescent="0.25">
      <c r="A283" s="90" t="s">
        <v>2298</v>
      </c>
      <c r="B283" s="90" t="s">
        <v>2717</v>
      </c>
      <c r="C283" s="90" t="s">
        <v>2718</v>
      </c>
      <c r="D283" s="90" t="s">
        <v>3269</v>
      </c>
      <c r="E283" s="90" t="s">
        <v>1953</v>
      </c>
      <c r="F283" s="90" t="s">
        <v>2398</v>
      </c>
      <c r="G283" s="90" t="s">
        <v>2752</v>
      </c>
      <c r="H283" s="90" t="s">
        <v>1943</v>
      </c>
      <c r="I283" s="90" t="s">
        <v>1944</v>
      </c>
      <c r="J283" s="90" t="s">
        <v>1955</v>
      </c>
      <c r="K283" s="90" t="s">
        <v>2753</v>
      </c>
      <c r="L283" s="90" t="s">
        <v>2754</v>
      </c>
      <c r="M283" s="87" t="s">
        <v>1998</v>
      </c>
      <c r="N283" s="87" t="s">
        <v>1991</v>
      </c>
      <c r="O283" s="88">
        <v>40782</v>
      </c>
      <c r="P283" s="89">
        <v>15</v>
      </c>
      <c r="Q283" s="90" t="s">
        <v>151</v>
      </c>
      <c r="R283" s="90" t="s">
        <v>3103</v>
      </c>
      <c r="S283" s="90" t="s">
        <v>2098</v>
      </c>
      <c r="T283" s="90" t="s">
        <v>2305</v>
      </c>
      <c r="U283" s="90" t="s">
        <v>1640</v>
      </c>
      <c r="V283" s="88">
        <v>40782</v>
      </c>
      <c r="W283" s="88">
        <v>40782</v>
      </c>
      <c r="X283" s="90" t="s">
        <v>43</v>
      </c>
      <c r="Y283" s="90" t="s">
        <v>257</v>
      </c>
      <c r="Z283" s="90" t="s">
        <v>36</v>
      </c>
      <c r="AA283" s="91"/>
      <c r="AB283" s="91"/>
      <c r="AC283" s="90" t="s">
        <v>2051</v>
      </c>
      <c r="AD283" s="90" t="s">
        <v>267</v>
      </c>
      <c r="AE283" s="90" t="s">
        <v>1636</v>
      </c>
      <c r="AF283" s="90" t="s">
        <v>1947</v>
      </c>
      <c r="AG283" s="90" t="s">
        <v>2793</v>
      </c>
      <c r="AH283" s="90" t="s">
        <v>2732</v>
      </c>
      <c r="AI283" s="90" t="s">
        <v>2732</v>
      </c>
      <c r="AJ283" s="90" t="s">
        <v>2051</v>
      </c>
      <c r="AK283" s="90" t="s">
        <v>36</v>
      </c>
      <c r="AL283" s="90" t="s">
        <v>1635</v>
      </c>
      <c r="AM283" s="90" t="s">
        <v>2307</v>
      </c>
      <c r="AN283" s="90" t="s">
        <v>2054</v>
      </c>
      <c r="AO283" s="87" t="s">
        <v>1949</v>
      </c>
      <c r="AP283" s="87" t="s">
        <v>1950</v>
      </c>
      <c r="AQ283" s="90" t="s">
        <v>2755</v>
      </c>
      <c r="AR283" s="92">
        <v>88000</v>
      </c>
      <c r="AS283" s="92">
        <v>110000</v>
      </c>
      <c r="AT283" s="92">
        <v>137000</v>
      </c>
      <c r="AU283" s="87" t="s">
        <v>1951</v>
      </c>
      <c r="AV283" s="87" t="s">
        <v>1952</v>
      </c>
      <c r="AW283" s="91"/>
      <c r="AX283" s="91"/>
      <c r="AY283" s="91"/>
      <c r="AZ283" t="str">
        <f t="shared" si="24"/>
        <v>205389</v>
      </c>
      <c r="BA283" t="str">
        <f t="shared" si="25"/>
        <v>0077</v>
      </c>
      <c r="BB283" t="str">
        <f t="shared" si="29"/>
        <v>0000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>IFERROR(VLOOKUP(X283,'Status Map'!A:B,2,FALSE),"Status Code Not Mapped")</f>
        <v>Y</v>
      </c>
      <c r="BL283" t="str">
        <f>IFERROR(VLOOKUP(D283,'Invoice Exception Map'!A:C,3,FALSE),"N")</f>
        <v>N</v>
      </c>
      <c r="BM283">
        <f t="shared" si="26"/>
        <v>8</v>
      </c>
      <c r="BN283" t="str">
        <f t="shared" si="27"/>
        <v>ARBENÄS</v>
      </c>
      <c r="BO283" t="str">
        <f t="shared" si="28"/>
        <v>RASMUS</v>
      </c>
    </row>
    <row r="284" spans="1:67" ht="16" thickBot="1" x14ac:dyDescent="0.25">
      <c r="A284" s="90" t="s">
        <v>2298</v>
      </c>
      <c r="B284" s="90" t="s">
        <v>2717</v>
      </c>
      <c r="C284" s="90" t="s">
        <v>2718</v>
      </c>
      <c r="D284" s="90" t="s">
        <v>3675</v>
      </c>
      <c r="E284" s="90" t="s">
        <v>1953</v>
      </c>
      <c r="F284" s="90" t="s">
        <v>2756</v>
      </c>
      <c r="G284" s="90" t="s">
        <v>1954</v>
      </c>
      <c r="H284" s="90" t="s">
        <v>1943</v>
      </c>
      <c r="I284" s="90" t="s">
        <v>1944</v>
      </c>
      <c r="J284" s="90" t="s">
        <v>1955</v>
      </c>
      <c r="K284" s="90" t="s">
        <v>145</v>
      </c>
      <c r="L284" s="90" t="s">
        <v>2757</v>
      </c>
      <c r="M284" s="87" t="s">
        <v>1945</v>
      </c>
      <c r="N284" s="87" t="s">
        <v>66</v>
      </c>
      <c r="O284" s="88">
        <v>45176</v>
      </c>
      <c r="P284" s="89">
        <v>3</v>
      </c>
      <c r="Q284" s="90" t="s">
        <v>151</v>
      </c>
      <c r="R284" s="90" t="s">
        <v>3276</v>
      </c>
      <c r="S284" s="90" t="s">
        <v>2578</v>
      </c>
      <c r="T284" s="90" t="s">
        <v>2305</v>
      </c>
      <c r="U284" s="90" t="s">
        <v>1640</v>
      </c>
      <c r="V284" s="88">
        <v>45176</v>
      </c>
      <c r="W284" s="88">
        <v>45176</v>
      </c>
      <c r="X284" s="90" t="s">
        <v>43</v>
      </c>
      <c r="Y284" s="90" t="s">
        <v>257</v>
      </c>
      <c r="Z284" s="90" t="s">
        <v>36</v>
      </c>
      <c r="AA284" s="91"/>
      <c r="AB284" s="91"/>
      <c r="AC284" s="90" t="s">
        <v>2051</v>
      </c>
      <c r="AD284" s="90" t="s">
        <v>267</v>
      </c>
      <c r="AE284" s="90" t="s">
        <v>1636</v>
      </c>
      <c r="AF284" s="90" t="s">
        <v>1947</v>
      </c>
      <c r="AG284" s="90" t="s">
        <v>3281</v>
      </c>
      <c r="AH284" s="90" t="s">
        <v>2758</v>
      </c>
      <c r="AI284" s="90" t="s">
        <v>2758</v>
      </c>
      <c r="AJ284" s="90" t="s">
        <v>2051</v>
      </c>
      <c r="AK284" s="90" t="s">
        <v>2759</v>
      </c>
      <c r="AL284" s="90" t="s">
        <v>1635</v>
      </c>
      <c r="AM284" s="90" t="s">
        <v>2307</v>
      </c>
      <c r="AN284" s="90" t="s">
        <v>2054</v>
      </c>
      <c r="AO284" s="87" t="s">
        <v>1949</v>
      </c>
      <c r="AP284" s="87" t="s">
        <v>1950</v>
      </c>
      <c r="AQ284" s="90" t="s">
        <v>2760</v>
      </c>
      <c r="AR284" s="92">
        <v>88000</v>
      </c>
      <c r="AS284" s="92">
        <v>110000</v>
      </c>
      <c r="AT284" s="92">
        <v>137000</v>
      </c>
      <c r="AU284" s="87" t="s">
        <v>1951</v>
      </c>
      <c r="AV284" s="87" t="s">
        <v>1952</v>
      </c>
      <c r="AW284" s="91"/>
      <c r="AX284" s="91"/>
      <c r="AY284" s="91"/>
      <c r="AZ284" t="str">
        <f t="shared" si="24"/>
        <v>211474</v>
      </c>
      <c r="BA284" t="str">
        <f t="shared" si="25"/>
        <v>0077</v>
      </c>
      <c r="BB284" t="str">
        <f t="shared" si="29"/>
        <v>0000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>IFERROR(VLOOKUP(X284,'Status Map'!A:B,2,FALSE),"Status Code Not Mapped")</f>
        <v>Y</v>
      </c>
      <c r="BL284" t="str">
        <f>IFERROR(VLOOKUP(D284,'Invoice Exception Map'!A:C,3,FALSE),"N")</f>
        <v>N</v>
      </c>
      <c r="BM284">
        <f t="shared" si="26"/>
        <v>7</v>
      </c>
      <c r="BN284" t="str">
        <f t="shared" si="27"/>
        <v>Barros</v>
      </c>
      <c r="BO284" t="str">
        <f t="shared" si="28"/>
        <v>Beatriz</v>
      </c>
    </row>
    <row r="285" spans="1:67" ht="16" thickBot="1" x14ac:dyDescent="0.25">
      <c r="A285" s="90" t="s">
        <v>2298</v>
      </c>
      <c r="B285" s="90" t="s">
        <v>2717</v>
      </c>
      <c r="C285" s="90" t="s">
        <v>2718</v>
      </c>
      <c r="D285" s="90" t="s">
        <v>3676</v>
      </c>
      <c r="E285" s="90" t="s">
        <v>1953</v>
      </c>
      <c r="F285" s="90" t="s">
        <v>2761</v>
      </c>
      <c r="G285" s="90" t="s">
        <v>2720</v>
      </c>
      <c r="H285" s="90" t="s">
        <v>1943</v>
      </c>
      <c r="I285" s="90" t="s">
        <v>1944</v>
      </c>
      <c r="J285" s="90" t="s">
        <v>241</v>
      </c>
      <c r="K285" s="90" t="s">
        <v>2721</v>
      </c>
      <c r="L285" s="90" t="s">
        <v>2722</v>
      </c>
      <c r="M285" s="87" t="s">
        <v>1963</v>
      </c>
      <c r="N285" s="87" t="s">
        <v>1994</v>
      </c>
      <c r="O285" s="88">
        <v>40693</v>
      </c>
      <c r="P285" s="89">
        <v>15.3</v>
      </c>
      <c r="Q285" s="90" t="s">
        <v>504</v>
      </c>
      <c r="R285" s="90" t="s">
        <v>3279</v>
      </c>
      <c r="S285" s="90" t="s">
        <v>2723</v>
      </c>
      <c r="T285" s="90" t="s">
        <v>2305</v>
      </c>
      <c r="U285" s="90" t="s">
        <v>1640</v>
      </c>
      <c r="V285" s="88">
        <v>40693</v>
      </c>
      <c r="W285" s="88">
        <v>40693</v>
      </c>
      <c r="X285" s="90" t="s">
        <v>43</v>
      </c>
      <c r="Y285" s="90" t="s">
        <v>257</v>
      </c>
      <c r="Z285" s="90" t="s">
        <v>36</v>
      </c>
      <c r="AA285" s="91"/>
      <c r="AB285" s="91"/>
      <c r="AC285" s="90" t="s">
        <v>2051</v>
      </c>
      <c r="AD285" s="90" t="s">
        <v>267</v>
      </c>
      <c r="AE285" s="90" t="s">
        <v>1636</v>
      </c>
      <c r="AF285" s="90" t="s">
        <v>1947</v>
      </c>
      <c r="AG285" s="90" t="s">
        <v>2793</v>
      </c>
      <c r="AH285" s="90" t="s">
        <v>1988</v>
      </c>
      <c r="AI285" s="90" t="s">
        <v>1988</v>
      </c>
      <c r="AJ285" s="90" t="s">
        <v>2051</v>
      </c>
      <c r="AK285" s="90" t="s">
        <v>36</v>
      </c>
      <c r="AL285" s="90" t="s">
        <v>1635</v>
      </c>
      <c r="AM285" s="90" t="s">
        <v>2307</v>
      </c>
      <c r="AN285" s="90" t="s">
        <v>2054</v>
      </c>
      <c r="AO285" s="87" t="s">
        <v>1949</v>
      </c>
      <c r="AP285" s="87" t="s">
        <v>1950</v>
      </c>
      <c r="AQ285" s="90" t="s">
        <v>2762</v>
      </c>
      <c r="AR285" s="92">
        <v>62000</v>
      </c>
      <c r="AS285" s="92">
        <v>78000</v>
      </c>
      <c r="AT285" s="92">
        <v>97000</v>
      </c>
      <c r="AU285" s="87" t="s">
        <v>1951</v>
      </c>
      <c r="AV285" s="87" t="s">
        <v>1966</v>
      </c>
      <c r="AW285" s="91"/>
      <c r="AX285" s="91"/>
      <c r="AY285" s="91"/>
      <c r="AZ285" t="str">
        <f t="shared" si="24"/>
        <v>211600</v>
      </c>
      <c r="BA285" t="str">
        <f t="shared" si="25"/>
        <v>0077</v>
      </c>
      <c r="BB285" t="str">
        <f t="shared" si="29"/>
        <v>0000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>IFERROR(VLOOKUP(X285,'Status Map'!A:B,2,FALSE),"Status Code Not Mapped")</f>
        <v>Y</v>
      </c>
      <c r="BL285" t="str">
        <f>IFERROR(VLOOKUP(D285,'Invoice Exception Map'!A:C,3,FALSE),"N")</f>
        <v>N</v>
      </c>
      <c r="BM285">
        <f t="shared" si="26"/>
        <v>10</v>
      </c>
      <c r="BN285" t="str">
        <f t="shared" si="27"/>
        <v>BERGQVIST</v>
      </c>
      <c r="BO285" t="str">
        <f t="shared" si="28"/>
        <v>THOMAS</v>
      </c>
    </row>
    <row r="286" spans="1:67" ht="16" thickBot="1" x14ac:dyDescent="0.25">
      <c r="A286" s="90" t="s">
        <v>2298</v>
      </c>
      <c r="B286" s="90" t="s">
        <v>2717</v>
      </c>
      <c r="C286" s="90" t="s">
        <v>2718</v>
      </c>
      <c r="D286" s="90" t="s">
        <v>3279</v>
      </c>
      <c r="E286" s="90" t="s">
        <v>1953</v>
      </c>
      <c r="F286" s="90" t="s">
        <v>2723</v>
      </c>
      <c r="G286" s="90" t="s">
        <v>2763</v>
      </c>
      <c r="H286" s="90" t="s">
        <v>1943</v>
      </c>
      <c r="I286" s="90" t="s">
        <v>1944</v>
      </c>
      <c r="J286" s="90" t="s">
        <v>241</v>
      </c>
      <c r="K286" s="90" t="s">
        <v>2764</v>
      </c>
      <c r="L286" s="90" t="s">
        <v>2765</v>
      </c>
      <c r="M286" s="87" t="s">
        <v>1945</v>
      </c>
      <c r="N286" s="87" t="s">
        <v>1978</v>
      </c>
      <c r="O286" s="88">
        <v>45642</v>
      </c>
      <c r="P286" s="89">
        <v>1.7</v>
      </c>
      <c r="Q286" s="90" t="s">
        <v>151</v>
      </c>
      <c r="R286" s="90" t="s">
        <v>3276</v>
      </c>
      <c r="S286" s="90" t="s">
        <v>2578</v>
      </c>
      <c r="T286" s="90" t="s">
        <v>2305</v>
      </c>
      <c r="U286" s="90" t="s">
        <v>1640</v>
      </c>
      <c r="V286" s="88">
        <v>45642</v>
      </c>
      <c r="W286" s="88">
        <v>45642</v>
      </c>
      <c r="X286" s="90" t="s">
        <v>43</v>
      </c>
      <c r="Y286" s="90" t="s">
        <v>257</v>
      </c>
      <c r="Z286" s="90" t="s">
        <v>36</v>
      </c>
      <c r="AA286" s="91"/>
      <c r="AB286" s="91"/>
      <c r="AC286" s="90" t="s">
        <v>2051</v>
      </c>
      <c r="AD286" s="90" t="s">
        <v>267</v>
      </c>
      <c r="AE286" s="90" t="s">
        <v>1636</v>
      </c>
      <c r="AF286" s="90" t="s">
        <v>1947</v>
      </c>
      <c r="AG286" s="90" t="s">
        <v>3282</v>
      </c>
      <c r="AH286" s="91"/>
      <c r="AI286" s="91"/>
      <c r="AJ286" s="90" t="s">
        <v>2051</v>
      </c>
      <c r="AK286" s="91"/>
      <c r="AL286" s="90" t="s">
        <v>1635</v>
      </c>
      <c r="AM286" s="90" t="s">
        <v>2307</v>
      </c>
      <c r="AN286" s="90" t="s">
        <v>2147</v>
      </c>
      <c r="AO286" s="87" t="s">
        <v>1949</v>
      </c>
      <c r="AP286" s="87" t="s">
        <v>1950</v>
      </c>
      <c r="AQ286" s="90" t="s">
        <v>2766</v>
      </c>
      <c r="AR286" s="92">
        <v>88000</v>
      </c>
      <c r="AS286" s="92">
        <v>110000</v>
      </c>
      <c r="AT286" s="92">
        <v>137000</v>
      </c>
      <c r="AU286" s="87" t="s">
        <v>1951</v>
      </c>
      <c r="AV286" s="87" t="s">
        <v>1952</v>
      </c>
      <c r="AW286" s="91"/>
      <c r="AX286" s="91"/>
      <c r="AY286" s="91"/>
      <c r="AZ286" t="str">
        <f t="shared" si="24"/>
        <v>211474</v>
      </c>
      <c r="BA286" t="str">
        <f t="shared" si="25"/>
        <v>0077</v>
      </c>
      <c r="BB286" t="str">
        <f t="shared" si="29"/>
        <v>0000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>IFERROR(VLOOKUP(X286,'Status Map'!A:B,2,FALSE),"Status Code Not Mapped")</f>
        <v>Y</v>
      </c>
      <c r="BL286" t="str">
        <f>IFERROR(VLOOKUP(D286,'Invoice Exception Map'!A:C,3,FALSE),"N")</f>
        <v>N</v>
      </c>
      <c r="BM286">
        <f t="shared" si="26"/>
        <v>5</v>
      </c>
      <c r="BN286" t="str">
        <f t="shared" si="27"/>
        <v>Borg</v>
      </c>
      <c r="BO286" t="str">
        <f t="shared" si="28"/>
        <v>Fredrik</v>
      </c>
    </row>
    <row r="287" spans="1:67" ht="16" thickBot="1" x14ac:dyDescent="0.25">
      <c r="A287" s="90" t="s">
        <v>2298</v>
      </c>
      <c r="B287" s="90" t="s">
        <v>2717</v>
      </c>
      <c r="C287" s="90" t="s">
        <v>2718</v>
      </c>
      <c r="D287" s="90" t="s">
        <v>3677</v>
      </c>
      <c r="E287" s="90" t="s">
        <v>1953</v>
      </c>
      <c r="F287" s="90" t="s">
        <v>2767</v>
      </c>
      <c r="G287" s="90" t="s">
        <v>2768</v>
      </c>
      <c r="H287" s="90" t="s">
        <v>1943</v>
      </c>
      <c r="I287" s="90" t="s">
        <v>1944</v>
      </c>
      <c r="J287" s="90" t="s">
        <v>241</v>
      </c>
      <c r="K287" s="90" t="s">
        <v>2769</v>
      </c>
      <c r="L287" s="90" t="s">
        <v>2530</v>
      </c>
      <c r="M287" s="87" t="s">
        <v>1963</v>
      </c>
      <c r="N287" s="87" t="s">
        <v>1967</v>
      </c>
      <c r="O287" s="88">
        <v>42695</v>
      </c>
      <c r="P287" s="89">
        <v>9.8000000000000007</v>
      </c>
      <c r="Q287" s="90" t="s">
        <v>504</v>
      </c>
      <c r="R287" s="90" t="s">
        <v>3264</v>
      </c>
      <c r="S287" s="90" t="s">
        <v>2363</v>
      </c>
      <c r="T287" s="90" t="s">
        <v>2305</v>
      </c>
      <c r="U287" s="90" t="s">
        <v>1640</v>
      </c>
      <c r="V287" s="88">
        <v>42695</v>
      </c>
      <c r="W287" s="88">
        <v>42695</v>
      </c>
      <c r="X287" s="90" t="s">
        <v>43</v>
      </c>
      <c r="Y287" s="90" t="s">
        <v>257</v>
      </c>
      <c r="Z287" s="90" t="s">
        <v>36</v>
      </c>
      <c r="AA287" s="91"/>
      <c r="AB287" s="91"/>
      <c r="AC287" s="90" t="s">
        <v>2051</v>
      </c>
      <c r="AD287" s="90" t="s">
        <v>267</v>
      </c>
      <c r="AE287" s="90" t="s">
        <v>1636</v>
      </c>
      <c r="AF287" s="90" t="s">
        <v>1947</v>
      </c>
      <c r="AG287" s="90" t="s">
        <v>2793</v>
      </c>
      <c r="AH287" s="90" t="s">
        <v>2399</v>
      </c>
      <c r="AI287" s="90" t="s">
        <v>2399</v>
      </c>
      <c r="AJ287" s="90" t="s">
        <v>2051</v>
      </c>
      <c r="AK287" s="90" t="s">
        <v>36</v>
      </c>
      <c r="AL287" s="90" t="s">
        <v>1635</v>
      </c>
      <c r="AM287" s="90" t="s">
        <v>2307</v>
      </c>
      <c r="AN287" s="90" t="s">
        <v>2054</v>
      </c>
      <c r="AO287" s="87" t="s">
        <v>1949</v>
      </c>
      <c r="AP287" s="87" t="s">
        <v>1950</v>
      </c>
      <c r="AQ287" s="90" t="s">
        <v>2770</v>
      </c>
      <c r="AR287" s="92">
        <v>62000</v>
      </c>
      <c r="AS287" s="92">
        <v>78000</v>
      </c>
      <c r="AT287" s="92">
        <v>97000</v>
      </c>
      <c r="AU287" s="87" t="s">
        <v>1951</v>
      </c>
      <c r="AV287" s="87" t="s">
        <v>1966</v>
      </c>
      <c r="AW287" s="91"/>
      <c r="AX287" s="91"/>
      <c r="AY287" s="91"/>
      <c r="AZ287" t="str">
        <f t="shared" si="24"/>
        <v>213066</v>
      </c>
      <c r="BA287" t="str">
        <f t="shared" si="25"/>
        <v>0077</v>
      </c>
      <c r="BB287" t="str">
        <f t="shared" si="29"/>
        <v>0000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>IFERROR(VLOOKUP(X287,'Status Map'!A:B,2,FALSE),"Status Code Not Mapped")</f>
        <v>Y</v>
      </c>
      <c r="BL287" t="str">
        <f>IFERROR(VLOOKUP(D287,'Invoice Exception Map'!A:C,3,FALSE),"N")</f>
        <v>N</v>
      </c>
      <c r="BM287">
        <f t="shared" si="26"/>
        <v>5</v>
      </c>
      <c r="BN287" t="str">
        <f t="shared" si="27"/>
        <v>BORG</v>
      </c>
      <c r="BO287" t="str">
        <f t="shared" si="28"/>
        <v>KENNY</v>
      </c>
    </row>
    <row r="288" spans="1:67" ht="16" thickBot="1" x14ac:dyDescent="0.25">
      <c r="A288" s="90" t="s">
        <v>2298</v>
      </c>
      <c r="B288" s="90" t="s">
        <v>2717</v>
      </c>
      <c r="C288" s="90" t="s">
        <v>2718</v>
      </c>
      <c r="D288" s="90" t="s">
        <v>3678</v>
      </c>
      <c r="E288" s="90" t="s">
        <v>1953</v>
      </c>
      <c r="F288" s="90" t="s">
        <v>2771</v>
      </c>
      <c r="G288" s="90" t="s">
        <v>2735</v>
      </c>
      <c r="H288" s="90" t="s">
        <v>1943</v>
      </c>
      <c r="I288" s="90" t="s">
        <v>1944</v>
      </c>
      <c r="J288" s="90" t="s">
        <v>241</v>
      </c>
      <c r="K288" s="90" t="s">
        <v>2721</v>
      </c>
      <c r="L288" s="90" t="s">
        <v>2772</v>
      </c>
      <c r="M288" s="87" t="s">
        <v>1963</v>
      </c>
      <c r="N288" s="87" t="s">
        <v>1994</v>
      </c>
      <c r="O288" s="88">
        <v>45873</v>
      </c>
      <c r="P288" s="89">
        <v>1</v>
      </c>
      <c r="Q288" s="90" t="s">
        <v>305</v>
      </c>
      <c r="R288" s="90" t="s">
        <v>3283</v>
      </c>
      <c r="S288" s="90" t="s">
        <v>2773</v>
      </c>
      <c r="T288" s="90" t="s">
        <v>2305</v>
      </c>
      <c r="U288" s="90" t="s">
        <v>1640</v>
      </c>
      <c r="V288" s="88">
        <v>45873</v>
      </c>
      <c r="W288" s="88">
        <v>45873</v>
      </c>
      <c r="X288" s="90" t="s">
        <v>43</v>
      </c>
      <c r="Y288" s="90" t="s">
        <v>257</v>
      </c>
      <c r="Z288" s="90" t="s">
        <v>36</v>
      </c>
      <c r="AA288" s="91"/>
      <c r="AB288" s="91"/>
      <c r="AC288" s="90" t="s">
        <v>2051</v>
      </c>
      <c r="AD288" s="90" t="s">
        <v>267</v>
      </c>
      <c r="AE288" s="90" t="s">
        <v>1636</v>
      </c>
      <c r="AF288" s="90" t="s">
        <v>1947</v>
      </c>
      <c r="AG288" s="90" t="s">
        <v>3258</v>
      </c>
      <c r="AH288" s="91"/>
      <c r="AI288" s="91"/>
      <c r="AJ288" s="90" t="s">
        <v>2051</v>
      </c>
      <c r="AK288" s="91"/>
      <c r="AL288" s="90" t="s">
        <v>1635</v>
      </c>
      <c r="AM288" s="90" t="s">
        <v>2307</v>
      </c>
      <c r="AN288" s="90" t="s">
        <v>2054</v>
      </c>
      <c r="AO288" s="87" t="s">
        <v>1949</v>
      </c>
      <c r="AP288" s="87" t="s">
        <v>1950</v>
      </c>
      <c r="AQ288" s="90" t="s">
        <v>2774</v>
      </c>
      <c r="AR288" s="92">
        <v>50000</v>
      </c>
      <c r="AS288" s="92">
        <v>62000</v>
      </c>
      <c r="AT288" s="92">
        <v>77000</v>
      </c>
      <c r="AU288" s="87" t="s">
        <v>1972</v>
      </c>
      <c r="AV288" s="87" t="s">
        <v>1973</v>
      </c>
      <c r="AW288" s="91"/>
      <c r="AX288" s="91"/>
      <c r="AY288" s="91"/>
      <c r="AZ288" t="str">
        <f t="shared" si="24"/>
        <v>205368</v>
      </c>
      <c r="BA288" t="str">
        <f t="shared" si="25"/>
        <v>0077</v>
      </c>
      <c r="BB288" t="str">
        <f t="shared" si="29"/>
        <v>0000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>IFERROR(VLOOKUP(X288,'Status Map'!A:B,2,FALSE),"Status Code Not Mapped")</f>
        <v>Y</v>
      </c>
      <c r="BL288" t="str">
        <f>IFERROR(VLOOKUP(D288,'Invoice Exception Map'!A:C,3,FALSE),"N")</f>
        <v>N</v>
      </c>
      <c r="BM288">
        <f t="shared" si="26"/>
        <v>8</v>
      </c>
      <c r="BN288" t="str">
        <f t="shared" si="27"/>
        <v>Boström</v>
      </c>
      <c r="BO288" t="str">
        <f t="shared" si="28"/>
        <v>Erik</v>
      </c>
    </row>
    <row r="289" spans="1:67" ht="16" thickBot="1" x14ac:dyDescent="0.25">
      <c r="A289" s="90" t="s">
        <v>2298</v>
      </c>
      <c r="B289" s="90" t="s">
        <v>2717</v>
      </c>
      <c r="C289" s="90" t="s">
        <v>2718</v>
      </c>
      <c r="D289" s="90" t="s">
        <v>3283</v>
      </c>
      <c r="E289" s="90" t="s">
        <v>1953</v>
      </c>
      <c r="F289" s="90" t="s">
        <v>2773</v>
      </c>
      <c r="G289" s="90" t="s">
        <v>2763</v>
      </c>
      <c r="H289" s="90" t="s">
        <v>1943</v>
      </c>
      <c r="I289" s="90" t="s">
        <v>1944</v>
      </c>
      <c r="J289" s="90" t="s">
        <v>241</v>
      </c>
      <c r="K289" s="90" t="s">
        <v>2764</v>
      </c>
      <c r="L289" s="90" t="s">
        <v>2775</v>
      </c>
      <c r="M289" s="87" t="s">
        <v>1945</v>
      </c>
      <c r="N289" s="87" t="s">
        <v>1978</v>
      </c>
      <c r="O289" s="88">
        <v>36234</v>
      </c>
      <c r="P289" s="89">
        <v>27.5</v>
      </c>
      <c r="Q289" s="90" t="s">
        <v>151</v>
      </c>
      <c r="R289" s="90" t="s">
        <v>3276</v>
      </c>
      <c r="S289" s="90" t="s">
        <v>2578</v>
      </c>
      <c r="T289" s="90" t="s">
        <v>2305</v>
      </c>
      <c r="U289" s="90" t="s">
        <v>1640</v>
      </c>
      <c r="V289" s="88">
        <v>36234</v>
      </c>
      <c r="W289" s="88">
        <v>36234</v>
      </c>
      <c r="X289" s="90" t="s">
        <v>43</v>
      </c>
      <c r="Y289" s="90" t="s">
        <v>257</v>
      </c>
      <c r="Z289" s="90" t="s">
        <v>36</v>
      </c>
      <c r="AA289" s="91"/>
      <c r="AB289" s="91"/>
      <c r="AC289" s="90" t="s">
        <v>2051</v>
      </c>
      <c r="AD289" s="90" t="s">
        <v>267</v>
      </c>
      <c r="AE289" s="90" t="s">
        <v>1636</v>
      </c>
      <c r="AF289" s="90" t="s">
        <v>1947</v>
      </c>
      <c r="AG289" s="90" t="s">
        <v>2793</v>
      </c>
      <c r="AH289" s="90" t="s">
        <v>1989</v>
      </c>
      <c r="AI289" s="90" t="s">
        <v>1989</v>
      </c>
      <c r="AJ289" s="90" t="s">
        <v>2051</v>
      </c>
      <c r="AK289" s="90" t="s">
        <v>36</v>
      </c>
      <c r="AL289" s="90" t="s">
        <v>1635</v>
      </c>
      <c r="AM289" s="90" t="s">
        <v>2307</v>
      </c>
      <c r="AN289" s="90" t="s">
        <v>2054</v>
      </c>
      <c r="AO289" s="87" t="s">
        <v>1949</v>
      </c>
      <c r="AP289" s="87" t="s">
        <v>1950</v>
      </c>
      <c r="AQ289" s="90" t="s">
        <v>2776</v>
      </c>
      <c r="AR289" s="92">
        <v>88000</v>
      </c>
      <c r="AS289" s="92">
        <v>110000</v>
      </c>
      <c r="AT289" s="92">
        <v>137000</v>
      </c>
      <c r="AU289" s="87" t="s">
        <v>1951</v>
      </c>
      <c r="AV289" s="87" t="s">
        <v>1952</v>
      </c>
      <c r="AW289" s="91"/>
      <c r="AX289" s="91"/>
      <c r="AY289" s="91"/>
      <c r="AZ289" t="str">
        <f t="shared" si="24"/>
        <v>211474</v>
      </c>
      <c r="BA289" t="str">
        <f t="shared" si="25"/>
        <v>0077</v>
      </c>
      <c r="BB289" t="str">
        <f t="shared" si="29"/>
        <v>0000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>IFERROR(VLOOKUP(X289,'Status Map'!A:B,2,FALSE),"Status Code Not Mapped")</f>
        <v>Y</v>
      </c>
      <c r="BL289" t="str">
        <f>IFERROR(VLOOKUP(D289,'Invoice Exception Map'!A:C,3,FALSE),"N")</f>
        <v>N</v>
      </c>
      <c r="BM289">
        <f t="shared" si="26"/>
        <v>9</v>
      </c>
      <c r="BN289" t="str">
        <f t="shared" si="27"/>
        <v>CARLBORG</v>
      </c>
      <c r="BO289" t="str">
        <f t="shared" si="28"/>
        <v>STEFAN</v>
      </c>
    </row>
    <row r="290" spans="1:67" ht="16" thickBot="1" x14ac:dyDescent="0.25">
      <c r="A290" s="90" t="s">
        <v>2298</v>
      </c>
      <c r="B290" s="90" t="s">
        <v>2717</v>
      </c>
      <c r="C290" s="90" t="s">
        <v>2718</v>
      </c>
      <c r="D290" s="90" t="s">
        <v>3679</v>
      </c>
      <c r="E290" s="90" t="s">
        <v>1953</v>
      </c>
      <c r="F290" s="90" t="s">
        <v>2777</v>
      </c>
      <c r="G290" s="90" t="s">
        <v>2720</v>
      </c>
      <c r="H290" s="90" t="s">
        <v>1943</v>
      </c>
      <c r="I290" s="90" t="s">
        <v>1944</v>
      </c>
      <c r="J290" s="90" t="s">
        <v>241</v>
      </c>
      <c r="K290" s="90" t="s">
        <v>2721</v>
      </c>
      <c r="L290" s="90" t="s">
        <v>2772</v>
      </c>
      <c r="M290" s="87" t="s">
        <v>1963</v>
      </c>
      <c r="N290" s="87" t="s">
        <v>1994</v>
      </c>
      <c r="O290" s="88">
        <v>36983</v>
      </c>
      <c r="P290" s="89">
        <v>25.4</v>
      </c>
      <c r="Q290" s="90" t="s">
        <v>504</v>
      </c>
      <c r="R290" s="90" t="s">
        <v>3283</v>
      </c>
      <c r="S290" s="90" t="s">
        <v>2773</v>
      </c>
      <c r="T290" s="90" t="s">
        <v>2305</v>
      </c>
      <c r="U290" s="90" t="s">
        <v>1640</v>
      </c>
      <c r="V290" s="88">
        <v>36983</v>
      </c>
      <c r="W290" s="88">
        <v>36983</v>
      </c>
      <c r="X290" s="90" t="s">
        <v>43</v>
      </c>
      <c r="Y290" s="90" t="s">
        <v>257</v>
      </c>
      <c r="Z290" s="90" t="s">
        <v>36</v>
      </c>
      <c r="AA290" s="91"/>
      <c r="AB290" s="91"/>
      <c r="AC290" s="90" t="s">
        <v>2051</v>
      </c>
      <c r="AD290" s="90" t="s">
        <v>267</v>
      </c>
      <c r="AE290" s="90" t="s">
        <v>1636</v>
      </c>
      <c r="AF290" s="90" t="s">
        <v>1947</v>
      </c>
      <c r="AG290" s="90" t="s">
        <v>3280</v>
      </c>
      <c r="AH290" s="90" t="s">
        <v>1988</v>
      </c>
      <c r="AI290" s="90" t="s">
        <v>1988</v>
      </c>
      <c r="AJ290" s="90" t="s">
        <v>2051</v>
      </c>
      <c r="AK290" s="90" t="s">
        <v>36</v>
      </c>
      <c r="AL290" s="90" t="s">
        <v>1635</v>
      </c>
      <c r="AM290" s="90" t="s">
        <v>2307</v>
      </c>
      <c r="AN290" s="90" t="s">
        <v>2054</v>
      </c>
      <c r="AO290" s="87" t="s">
        <v>1949</v>
      </c>
      <c r="AP290" s="87" t="s">
        <v>1950</v>
      </c>
      <c r="AQ290" s="90" t="s">
        <v>2778</v>
      </c>
      <c r="AR290" s="92">
        <v>62000</v>
      </c>
      <c r="AS290" s="92">
        <v>78000</v>
      </c>
      <c r="AT290" s="92">
        <v>97000</v>
      </c>
      <c r="AU290" s="87" t="s">
        <v>1951</v>
      </c>
      <c r="AV290" s="87" t="s">
        <v>1966</v>
      </c>
      <c r="AW290" s="91"/>
      <c r="AX290" s="91"/>
      <c r="AY290" s="91"/>
      <c r="AZ290" t="str">
        <f t="shared" si="24"/>
        <v>205368</v>
      </c>
      <c r="BA290" t="str">
        <f t="shared" si="25"/>
        <v>0077</v>
      </c>
      <c r="BB290" t="str">
        <f t="shared" si="29"/>
        <v>0000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>IFERROR(VLOOKUP(X290,'Status Map'!A:B,2,FALSE),"Status Code Not Mapped")</f>
        <v>Y</v>
      </c>
      <c r="BL290" t="str">
        <f>IFERROR(VLOOKUP(D290,'Invoice Exception Map'!A:C,3,FALSE),"N")</f>
        <v>N</v>
      </c>
      <c r="BM290">
        <f t="shared" si="26"/>
        <v>9</v>
      </c>
      <c r="BN290" t="str">
        <f t="shared" si="27"/>
        <v>CRONHOLM</v>
      </c>
      <c r="BO290" t="str">
        <f t="shared" si="28"/>
        <v>MARCUS</v>
      </c>
    </row>
    <row r="291" spans="1:67" ht="16" thickBot="1" x14ac:dyDescent="0.25">
      <c r="A291" s="90" t="s">
        <v>2298</v>
      </c>
      <c r="B291" s="90" t="s">
        <v>2717</v>
      </c>
      <c r="C291" s="90" t="s">
        <v>2718</v>
      </c>
      <c r="D291" s="90" t="s">
        <v>3680</v>
      </c>
      <c r="E291" s="90" t="s">
        <v>1953</v>
      </c>
      <c r="F291" s="90" t="s">
        <v>2779</v>
      </c>
      <c r="G291" s="90" t="s">
        <v>2720</v>
      </c>
      <c r="H291" s="90" t="s">
        <v>1943</v>
      </c>
      <c r="I291" s="90" t="s">
        <v>1944</v>
      </c>
      <c r="J291" s="90" t="s">
        <v>241</v>
      </c>
      <c r="K291" s="90" t="s">
        <v>2721</v>
      </c>
      <c r="L291" s="90" t="s">
        <v>2722</v>
      </c>
      <c r="M291" s="87" t="s">
        <v>1963</v>
      </c>
      <c r="N291" s="87" t="s">
        <v>1994</v>
      </c>
      <c r="O291" s="88">
        <v>40407</v>
      </c>
      <c r="P291" s="89">
        <v>16</v>
      </c>
      <c r="Q291" s="90" t="s">
        <v>504</v>
      </c>
      <c r="R291" s="90" t="s">
        <v>3279</v>
      </c>
      <c r="S291" s="90" t="s">
        <v>2723</v>
      </c>
      <c r="T291" s="90" t="s">
        <v>2305</v>
      </c>
      <c r="U291" s="90" t="s">
        <v>1640</v>
      </c>
      <c r="V291" s="88">
        <v>40407</v>
      </c>
      <c r="W291" s="88">
        <v>40407</v>
      </c>
      <c r="X291" s="90" t="s">
        <v>43</v>
      </c>
      <c r="Y291" s="90" t="s">
        <v>257</v>
      </c>
      <c r="Z291" s="90" t="s">
        <v>36</v>
      </c>
      <c r="AA291" s="91"/>
      <c r="AB291" s="91"/>
      <c r="AC291" s="90" t="s">
        <v>2051</v>
      </c>
      <c r="AD291" s="90" t="s">
        <v>267</v>
      </c>
      <c r="AE291" s="90" t="s">
        <v>1636</v>
      </c>
      <c r="AF291" s="90" t="s">
        <v>1947</v>
      </c>
      <c r="AG291" s="90" t="s">
        <v>3259</v>
      </c>
      <c r="AH291" s="90" t="s">
        <v>1989</v>
      </c>
      <c r="AI291" s="90" t="s">
        <v>1989</v>
      </c>
      <c r="AJ291" s="90" t="s">
        <v>2051</v>
      </c>
      <c r="AK291" s="90" t="s">
        <v>36</v>
      </c>
      <c r="AL291" s="90" t="s">
        <v>1635</v>
      </c>
      <c r="AM291" s="90" t="s">
        <v>2307</v>
      </c>
      <c r="AN291" s="90" t="s">
        <v>2054</v>
      </c>
      <c r="AO291" s="87" t="s">
        <v>1949</v>
      </c>
      <c r="AP291" s="87" t="s">
        <v>1950</v>
      </c>
      <c r="AQ291" s="90" t="s">
        <v>2780</v>
      </c>
      <c r="AR291" s="92">
        <v>62000</v>
      </c>
      <c r="AS291" s="92">
        <v>78000</v>
      </c>
      <c r="AT291" s="92">
        <v>97000</v>
      </c>
      <c r="AU291" s="87" t="s">
        <v>1951</v>
      </c>
      <c r="AV291" s="87" t="s">
        <v>1966</v>
      </c>
      <c r="AW291" s="91"/>
      <c r="AX291" s="91"/>
      <c r="AY291" s="91"/>
      <c r="AZ291" t="str">
        <f t="shared" si="24"/>
        <v>211600</v>
      </c>
      <c r="BA291" t="str">
        <f t="shared" si="25"/>
        <v>0077</v>
      </c>
      <c r="BB291" t="str">
        <f t="shared" si="29"/>
        <v>0000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>IFERROR(VLOOKUP(X291,'Status Map'!A:B,2,FALSE),"Status Code Not Mapped")</f>
        <v>Y</v>
      </c>
      <c r="BL291" t="str">
        <f>IFERROR(VLOOKUP(D291,'Invoice Exception Map'!A:C,3,FALSE),"N")</f>
        <v>N</v>
      </c>
      <c r="BM291">
        <f t="shared" si="26"/>
        <v>9</v>
      </c>
      <c r="BN291" t="str">
        <f t="shared" si="27"/>
        <v>DAHLBERG</v>
      </c>
      <c r="BO291" t="str">
        <f t="shared" si="28"/>
        <v>ERIK</v>
      </c>
    </row>
    <row r="292" spans="1:67" ht="16" thickBot="1" x14ac:dyDescent="0.25">
      <c r="A292" s="90" t="s">
        <v>2298</v>
      </c>
      <c r="B292" s="90" t="s">
        <v>2717</v>
      </c>
      <c r="C292" s="90" t="s">
        <v>2718</v>
      </c>
      <c r="D292" s="90" t="s">
        <v>3681</v>
      </c>
      <c r="E292" s="90" t="s">
        <v>1953</v>
      </c>
      <c r="F292" s="90" t="s">
        <v>2781</v>
      </c>
      <c r="G292" s="90" t="s">
        <v>2720</v>
      </c>
      <c r="H292" s="90" t="s">
        <v>1943</v>
      </c>
      <c r="I292" s="90" t="s">
        <v>1944</v>
      </c>
      <c r="J292" s="90" t="s">
        <v>241</v>
      </c>
      <c r="K292" s="90" t="s">
        <v>2721</v>
      </c>
      <c r="L292" s="90" t="s">
        <v>2722</v>
      </c>
      <c r="M292" s="87" t="s">
        <v>1963</v>
      </c>
      <c r="N292" s="87" t="s">
        <v>1994</v>
      </c>
      <c r="O292" s="88">
        <v>46113</v>
      </c>
      <c r="P292" s="89">
        <v>0.4</v>
      </c>
      <c r="Q292" s="90" t="s">
        <v>504</v>
      </c>
      <c r="R292" s="90" t="s">
        <v>3279</v>
      </c>
      <c r="S292" s="90" t="s">
        <v>2723</v>
      </c>
      <c r="T292" s="90" t="s">
        <v>2305</v>
      </c>
      <c r="U292" s="90" t="s">
        <v>2782</v>
      </c>
      <c r="V292" s="88">
        <v>46113</v>
      </c>
      <c r="W292" s="88">
        <v>36573</v>
      </c>
      <c r="X292" s="90" t="s">
        <v>43</v>
      </c>
      <c r="Y292" s="90" t="s">
        <v>257</v>
      </c>
      <c r="Z292" s="90" t="s">
        <v>36</v>
      </c>
      <c r="AA292" s="91"/>
      <c r="AB292" s="91"/>
      <c r="AC292" s="90" t="s">
        <v>2051</v>
      </c>
      <c r="AD292" s="90" t="s">
        <v>267</v>
      </c>
      <c r="AE292" s="90" t="s">
        <v>1636</v>
      </c>
      <c r="AF292" s="90" t="s">
        <v>1947</v>
      </c>
      <c r="AG292" s="90" t="s">
        <v>2793</v>
      </c>
      <c r="AH292" s="91"/>
      <c r="AI292" s="91"/>
      <c r="AJ292" s="90" t="s">
        <v>2051</v>
      </c>
      <c r="AK292" s="90" t="s">
        <v>36</v>
      </c>
      <c r="AL292" s="90" t="s">
        <v>1635</v>
      </c>
      <c r="AM292" s="90" t="s">
        <v>2307</v>
      </c>
      <c r="AN292" s="90" t="s">
        <v>2054</v>
      </c>
      <c r="AO292" s="87" t="s">
        <v>1949</v>
      </c>
      <c r="AP292" s="87" t="s">
        <v>1950</v>
      </c>
      <c r="AQ292" s="90" t="s">
        <v>2783</v>
      </c>
      <c r="AR292" s="92">
        <v>62000</v>
      </c>
      <c r="AS292" s="92">
        <v>78000</v>
      </c>
      <c r="AT292" s="92">
        <v>97000</v>
      </c>
      <c r="AU292" s="87" t="s">
        <v>1951</v>
      </c>
      <c r="AV292" s="87" t="s">
        <v>1966</v>
      </c>
      <c r="AW292" s="91"/>
      <c r="AX292" s="91"/>
      <c r="AY292" s="91"/>
      <c r="AZ292" t="str">
        <f t="shared" si="24"/>
        <v>211600</v>
      </c>
      <c r="BA292" t="str">
        <f t="shared" si="25"/>
        <v>177</v>
      </c>
      <c r="BB292" t="str">
        <f t="shared" si="29"/>
        <v>0000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>IFERROR(VLOOKUP(X292,'Status Map'!A:B,2,FALSE),"Status Code Not Mapped")</f>
        <v>Y</v>
      </c>
      <c r="BL292" t="str">
        <f>IFERROR(VLOOKUP(D292,'Invoice Exception Map'!A:C,3,FALSE),"N")</f>
        <v>N</v>
      </c>
      <c r="BM292">
        <f t="shared" si="26"/>
        <v>4</v>
      </c>
      <c r="BN292" t="str">
        <f t="shared" si="27"/>
        <v>DAY</v>
      </c>
      <c r="BO292" t="str">
        <f t="shared" si="28"/>
        <v>TIM</v>
      </c>
    </row>
    <row r="293" spans="1:67" ht="16" thickBot="1" x14ac:dyDescent="0.25">
      <c r="A293" s="90" t="s">
        <v>2298</v>
      </c>
      <c r="B293" s="90" t="s">
        <v>2717</v>
      </c>
      <c r="C293" s="90" t="s">
        <v>2718</v>
      </c>
      <c r="D293" s="90" t="s">
        <v>3682</v>
      </c>
      <c r="E293" s="90" t="s">
        <v>1953</v>
      </c>
      <c r="F293" s="90" t="s">
        <v>2784</v>
      </c>
      <c r="G293" s="90" t="s">
        <v>2785</v>
      </c>
      <c r="H293" s="90" t="s">
        <v>1943</v>
      </c>
      <c r="I293" s="90" t="s">
        <v>1944</v>
      </c>
      <c r="J293" s="90" t="s">
        <v>241</v>
      </c>
      <c r="K293" s="90" t="s">
        <v>2786</v>
      </c>
      <c r="L293" s="90" t="s">
        <v>2787</v>
      </c>
      <c r="M293" s="87" t="s">
        <v>1963</v>
      </c>
      <c r="N293" s="87" t="s">
        <v>303</v>
      </c>
      <c r="O293" s="88">
        <v>42278</v>
      </c>
      <c r="P293" s="89">
        <v>10.9</v>
      </c>
      <c r="Q293" s="90" t="s">
        <v>118</v>
      </c>
      <c r="R293" s="90" t="s">
        <v>3272</v>
      </c>
      <c r="S293" s="90" t="s">
        <v>2447</v>
      </c>
      <c r="T293" s="90" t="s">
        <v>2305</v>
      </c>
      <c r="U293" s="90" t="s">
        <v>1640</v>
      </c>
      <c r="V293" s="88">
        <v>42278</v>
      </c>
      <c r="W293" s="88">
        <v>42278</v>
      </c>
      <c r="X293" s="90" t="s">
        <v>43</v>
      </c>
      <c r="Y293" s="90" t="s">
        <v>257</v>
      </c>
      <c r="Z293" s="90" t="s">
        <v>36</v>
      </c>
      <c r="AA293" s="91"/>
      <c r="AB293" s="91"/>
      <c r="AC293" s="90" t="s">
        <v>2051</v>
      </c>
      <c r="AD293" s="90" t="s">
        <v>267</v>
      </c>
      <c r="AE293" s="90" t="s">
        <v>1636</v>
      </c>
      <c r="AF293" s="90" t="s">
        <v>1947</v>
      </c>
      <c r="AG293" s="90" t="s">
        <v>3265</v>
      </c>
      <c r="AH293" s="90" t="s">
        <v>2599</v>
      </c>
      <c r="AI293" s="90" t="s">
        <v>2599</v>
      </c>
      <c r="AJ293" s="90" t="s">
        <v>2051</v>
      </c>
      <c r="AK293" s="90" t="s">
        <v>36</v>
      </c>
      <c r="AL293" s="90" t="s">
        <v>1635</v>
      </c>
      <c r="AM293" s="90" t="s">
        <v>2307</v>
      </c>
      <c r="AN293" s="90" t="s">
        <v>2054</v>
      </c>
      <c r="AO293" s="87" t="s">
        <v>1949</v>
      </c>
      <c r="AP293" s="87" t="s">
        <v>1950</v>
      </c>
      <c r="AQ293" s="90" t="s">
        <v>2788</v>
      </c>
      <c r="AR293" s="92">
        <v>69000</v>
      </c>
      <c r="AS293" s="92">
        <v>87000</v>
      </c>
      <c r="AT293" s="92">
        <v>108000</v>
      </c>
      <c r="AU293" s="87" t="s">
        <v>1951</v>
      </c>
      <c r="AV293" s="87" t="s">
        <v>1966</v>
      </c>
      <c r="AW293" s="91"/>
      <c r="AX293" s="91"/>
      <c r="AY293" s="91"/>
      <c r="AZ293" t="str">
        <f t="shared" si="24"/>
        <v>213460</v>
      </c>
      <c r="BA293" t="str">
        <f t="shared" si="25"/>
        <v>0077</v>
      </c>
      <c r="BB293" t="str">
        <f t="shared" si="29"/>
        <v>0000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>IFERROR(VLOOKUP(X293,'Status Map'!A:B,2,FALSE),"Status Code Not Mapped")</f>
        <v>Y</v>
      </c>
      <c r="BL293" t="str">
        <f>IFERROR(VLOOKUP(D293,'Invoice Exception Map'!A:C,3,FALSE),"N")</f>
        <v>N</v>
      </c>
      <c r="BM293">
        <f t="shared" si="26"/>
        <v>8</v>
      </c>
      <c r="BN293" t="str">
        <f t="shared" si="27"/>
        <v>DUFMATS</v>
      </c>
      <c r="BO293" t="str">
        <f t="shared" si="28"/>
        <v>CHRISTER</v>
      </c>
    </row>
    <row r="294" spans="1:67" ht="16" thickBot="1" x14ac:dyDescent="0.25">
      <c r="A294" s="90" t="s">
        <v>2298</v>
      </c>
      <c r="B294" s="90" t="s">
        <v>2717</v>
      </c>
      <c r="C294" s="90" t="s">
        <v>2718</v>
      </c>
      <c r="D294" s="90" t="s">
        <v>3683</v>
      </c>
      <c r="E294" s="90" t="s">
        <v>1953</v>
      </c>
      <c r="F294" s="90" t="s">
        <v>2789</v>
      </c>
      <c r="G294" s="90" t="s">
        <v>2790</v>
      </c>
      <c r="H294" s="90" t="s">
        <v>1943</v>
      </c>
      <c r="I294" s="90" t="s">
        <v>1944</v>
      </c>
      <c r="J294" s="90" t="s">
        <v>1621</v>
      </c>
      <c r="K294" s="90" t="s">
        <v>2791</v>
      </c>
      <c r="L294" s="90" t="s">
        <v>3684</v>
      </c>
      <c r="M294" s="87" t="s">
        <v>2025</v>
      </c>
      <c r="N294" s="87" t="s">
        <v>1946</v>
      </c>
      <c r="O294" s="88">
        <v>45218</v>
      </c>
      <c r="P294" s="89">
        <v>2.9</v>
      </c>
      <c r="Q294" s="90" t="s">
        <v>118</v>
      </c>
      <c r="R294" s="90" t="s">
        <v>3284</v>
      </c>
      <c r="S294" s="90" t="s">
        <v>2792</v>
      </c>
      <c r="T294" s="90" t="s">
        <v>2305</v>
      </c>
      <c r="U294" s="90" t="s">
        <v>1640</v>
      </c>
      <c r="V294" s="88">
        <v>45218</v>
      </c>
      <c r="W294" s="88">
        <v>45218</v>
      </c>
      <c r="X294" s="90" t="s">
        <v>43</v>
      </c>
      <c r="Y294" s="90" t="s">
        <v>257</v>
      </c>
      <c r="Z294" s="90" t="s">
        <v>36</v>
      </c>
      <c r="AA294" s="91"/>
      <c r="AB294" s="91"/>
      <c r="AC294" s="90" t="s">
        <v>2051</v>
      </c>
      <c r="AD294" s="90" t="s">
        <v>267</v>
      </c>
      <c r="AE294" s="90" t="s">
        <v>1636</v>
      </c>
      <c r="AF294" s="90" t="s">
        <v>1947</v>
      </c>
      <c r="AG294" s="91"/>
      <c r="AH294" s="90" t="s">
        <v>1956</v>
      </c>
      <c r="AI294" s="90" t="s">
        <v>1956</v>
      </c>
      <c r="AJ294" s="90" t="s">
        <v>2051</v>
      </c>
      <c r="AK294" s="90" t="s">
        <v>2793</v>
      </c>
      <c r="AL294" s="90" t="s">
        <v>1635</v>
      </c>
      <c r="AM294" s="90" t="s">
        <v>2307</v>
      </c>
      <c r="AN294" s="90" t="s">
        <v>2054</v>
      </c>
      <c r="AO294" s="87" t="s">
        <v>1949</v>
      </c>
      <c r="AP294" s="87" t="s">
        <v>1950</v>
      </c>
      <c r="AQ294" s="90" t="s">
        <v>2794</v>
      </c>
      <c r="AR294" s="92">
        <v>69000</v>
      </c>
      <c r="AS294" s="92">
        <v>87000</v>
      </c>
      <c r="AT294" s="92">
        <v>108000</v>
      </c>
      <c r="AU294" s="87" t="s">
        <v>1951</v>
      </c>
      <c r="AV294" s="87" t="s">
        <v>1966</v>
      </c>
      <c r="AW294" s="91"/>
      <c r="AX294" s="91"/>
      <c r="AY294" s="91"/>
      <c r="AZ294" t="str">
        <f t="shared" si="24"/>
        <v>211910</v>
      </c>
      <c r="BA294" t="str">
        <f t="shared" si="25"/>
        <v>0077</v>
      </c>
      <c r="BB294" t="str">
        <f t="shared" si="29"/>
        <v>0000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>IFERROR(VLOOKUP(X294,'Status Map'!A:B,2,FALSE),"Status Code Not Mapped")</f>
        <v>Y</v>
      </c>
      <c r="BL294" t="str">
        <f>IFERROR(VLOOKUP(D294,'Invoice Exception Map'!A:C,3,FALSE),"N")</f>
        <v>N</v>
      </c>
      <c r="BM294">
        <f t="shared" si="26"/>
        <v>8</v>
      </c>
      <c r="BN294" t="str">
        <f t="shared" si="27"/>
        <v>EKEBLAD</v>
      </c>
      <c r="BO294" t="str">
        <f t="shared" si="28"/>
        <v>ANNELIE</v>
      </c>
    </row>
    <row r="295" spans="1:67" ht="16" thickBot="1" x14ac:dyDescent="0.25">
      <c r="A295" s="90" t="s">
        <v>2298</v>
      </c>
      <c r="B295" s="90" t="s">
        <v>2717</v>
      </c>
      <c r="C295" s="90" t="s">
        <v>2718</v>
      </c>
      <c r="D295" s="90" t="s">
        <v>3685</v>
      </c>
      <c r="E295" s="90" t="s">
        <v>1953</v>
      </c>
      <c r="F295" s="90" t="s">
        <v>2795</v>
      </c>
      <c r="G295" s="90" t="s">
        <v>2720</v>
      </c>
      <c r="H295" s="90" t="s">
        <v>1943</v>
      </c>
      <c r="I295" s="90" t="s">
        <v>1944</v>
      </c>
      <c r="J295" s="90" t="s">
        <v>241</v>
      </c>
      <c r="K295" s="90" t="s">
        <v>2721</v>
      </c>
      <c r="L295" s="90" t="s">
        <v>2772</v>
      </c>
      <c r="M295" s="87" t="s">
        <v>1963</v>
      </c>
      <c r="N295" s="87" t="s">
        <v>1994</v>
      </c>
      <c r="O295" s="88">
        <v>43054</v>
      </c>
      <c r="P295" s="89">
        <v>8.8000000000000007</v>
      </c>
      <c r="Q295" s="90" t="s">
        <v>504</v>
      </c>
      <c r="R295" s="90" t="s">
        <v>3283</v>
      </c>
      <c r="S295" s="90" t="s">
        <v>2773</v>
      </c>
      <c r="T295" s="90" t="s">
        <v>2305</v>
      </c>
      <c r="U295" s="90" t="s">
        <v>1640</v>
      </c>
      <c r="V295" s="88">
        <v>43054</v>
      </c>
      <c r="W295" s="88">
        <v>43054</v>
      </c>
      <c r="X295" s="90" t="s">
        <v>43</v>
      </c>
      <c r="Y295" s="90" t="s">
        <v>257</v>
      </c>
      <c r="Z295" s="90" t="s">
        <v>36</v>
      </c>
      <c r="AA295" s="91"/>
      <c r="AB295" s="91"/>
      <c r="AC295" s="90" t="s">
        <v>2051</v>
      </c>
      <c r="AD295" s="90" t="s">
        <v>267</v>
      </c>
      <c r="AE295" s="90" t="s">
        <v>1636</v>
      </c>
      <c r="AF295" s="90" t="s">
        <v>1947</v>
      </c>
      <c r="AG295" s="90" t="s">
        <v>2793</v>
      </c>
      <c r="AH295" s="90" t="s">
        <v>1989</v>
      </c>
      <c r="AI295" s="90" t="s">
        <v>1989</v>
      </c>
      <c r="AJ295" s="90" t="s">
        <v>2051</v>
      </c>
      <c r="AK295" s="90" t="s">
        <v>36</v>
      </c>
      <c r="AL295" s="90" t="s">
        <v>1635</v>
      </c>
      <c r="AM295" s="90" t="s">
        <v>2307</v>
      </c>
      <c r="AN295" s="90" t="s">
        <v>2054</v>
      </c>
      <c r="AO295" s="87" t="s">
        <v>1949</v>
      </c>
      <c r="AP295" s="87" t="s">
        <v>1950</v>
      </c>
      <c r="AQ295" s="90" t="s">
        <v>2796</v>
      </c>
      <c r="AR295" s="92">
        <v>62000</v>
      </c>
      <c r="AS295" s="92">
        <v>78000</v>
      </c>
      <c r="AT295" s="92">
        <v>97000</v>
      </c>
      <c r="AU295" s="87" t="s">
        <v>1951</v>
      </c>
      <c r="AV295" s="87" t="s">
        <v>1966</v>
      </c>
      <c r="AW295" s="91"/>
      <c r="AX295" s="91"/>
      <c r="AY295" s="91"/>
      <c r="AZ295" t="str">
        <f t="shared" si="24"/>
        <v>205368</v>
      </c>
      <c r="BA295" t="str">
        <f t="shared" si="25"/>
        <v>0077</v>
      </c>
      <c r="BB295" t="str">
        <f t="shared" si="29"/>
        <v>0000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>IFERROR(VLOOKUP(X295,'Status Map'!A:B,2,FALSE),"Status Code Not Mapped")</f>
        <v>Y</v>
      </c>
      <c r="BL295" t="str">
        <f>IFERROR(VLOOKUP(D295,'Invoice Exception Map'!A:C,3,FALSE),"N")</f>
        <v>N</v>
      </c>
      <c r="BM295">
        <f t="shared" si="26"/>
        <v>7</v>
      </c>
      <c r="BN295" t="str">
        <f t="shared" si="27"/>
        <v>ENGSÉN</v>
      </c>
      <c r="BO295" t="str">
        <f t="shared" si="28"/>
        <v>MATTIAS</v>
      </c>
    </row>
    <row r="296" spans="1:67" ht="16" thickBot="1" x14ac:dyDescent="0.25">
      <c r="A296" s="90" t="s">
        <v>2298</v>
      </c>
      <c r="B296" s="90" t="s">
        <v>2717</v>
      </c>
      <c r="C296" s="90" t="s">
        <v>2718</v>
      </c>
      <c r="D296" s="90" t="s">
        <v>3262</v>
      </c>
      <c r="E296" s="90" t="s">
        <v>1953</v>
      </c>
      <c r="F296" s="90" t="s">
        <v>2356</v>
      </c>
      <c r="G296" s="90" t="s">
        <v>2797</v>
      </c>
      <c r="H296" s="90" t="s">
        <v>1943</v>
      </c>
      <c r="I296" s="90" t="s">
        <v>1944</v>
      </c>
      <c r="J296" s="90" t="s">
        <v>1957</v>
      </c>
      <c r="K296" s="90" t="s">
        <v>2798</v>
      </c>
      <c r="L296" s="90" t="s">
        <v>2799</v>
      </c>
      <c r="M296" s="87" t="s">
        <v>1945</v>
      </c>
      <c r="N296" s="87" t="s">
        <v>2240</v>
      </c>
      <c r="O296" s="88">
        <v>36017</v>
      </c>
      <c r="P296" s="89">
        <v>28</v>
      </c>
      <c r="Q296" s="90" t="s">
        <v>69</v>
      </c>
      <c r="R296" s="90" t="s">
        <v>3103</v>
      </c>
      <c r="S296" s="90" t="s">
        <v>2098</v>
      </c>
      <c r="T296" s="90" t="s">
        <v>2305</v>
      </c>
      <c r="U296" s="90" t="s">
        <v>1640</v>
      </c>
      <c r="V296" s="88">
        <v>36017</v>
      </c>
      <c r="W296" s="88">
        <v>36017</v>
      </c>
      <c r="X296" s="90" t="s">
        <v>43</v>
      </c>
      <c r="Y296" s="90" t="s">
        <v>257</v>
      </c>
      <c r="Z296" s="90" t="s">
        <v>36</v>
      </c>
      <c r="AA296" s="91"/>
      <c r="AB296" s="91"/>
      <c r="AC296" s="90" t="s">
        <v>2051</v>
      </c>
      <c r="AD296" s="90" t="s">
        <v>267</v>
      </c>
      <c r="AE296" s="90" t="s">
        <v>1636</v>
      </c>
      <c r="AF296" s="90" t="s">
        <v>1947</v>
      </c>
      <c r="AG296" s="90" t="s">
        <v>2793</v>
      </c>
      <c r="AH296" s="90" t="s">
        <v>2599</v>
      </c>
      <c r="AI296" s="90" t="s">
        <v>2599</v>
      </c>
      <c r="AJ296" s="90" t="s">
        <v>2051</v>
      </c>
      <c r="AK296" s="90" t="s">
        <v>36</v>
      </c>
      <c r="AL296" s="90" t="s">
        <v>1635</v>
      </c>
      <c r="AM296" s="90" t="s">
        <v>2307</v>
      </c>
      <c r="AN296" s="90" t="s">
        <v>2054</v>
      </c>
      <c r="AO296" s="87" t="s">
        <v>1949</v>
      </c>
      <c r="AP296" s="87" t="s">
        <v>1950</v>
      </c>
      <c r="AQ296" s="90" t="s">
        <v>2800</v>
      </c>
      <c r="AR296" s="92">
        <v>98000</v>
      </c>
      <c r="AS296" s="92">
        <v>122000</v>
      </c>
      <c r="AT296" s="92">
        <v>153000</v>
      </c>
      <c r="AU296" s="87" t="s">
        <v>1951</v>
      </c>
      <c r="AV296" s="87" t="s">
        <v>1981</v>
      </c>
      <c r="AW296" s="91"/>
      <c r="AX296" s="91"/>
      <c r="AY296" s="91"/>
      <c r="AZ296" t="str">
        <f t="shared" si="24"/>
        <v>205389</v>
      </c>
      <c r="BA296" t="str">
        <f t="shared" si="25"/>
        <v>0077</v>
      </c>
      <c r="BB296" t="str">
        <f t="shared" si="29"/>
        <v>0000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>IFERROR(VLOOKUP(X296,'Status Map'!A:B,2,FALSE),"Status Code Not Mapped")</f>
        <v>Y</v>
      </c>
      <c r="BL296" t="str">
        <f>IFERROR(VLOOKUP(D296,'Invoice Exception Map'!A:C,3,FALSE),"N")</f>
        <v>N</v>
      </c>
      <c r="BM296">
        <f t="shared" si="26"/>
        <v>8</v>
      </c>
      <c r="BN296" t="str">
        <f t="shared" si="27"/>
        <v>ENSTRÖM</v>
      </c>
      <c r="BO296" t="str">
        <f t="shared" si="28"/>
        <v>TORGNY</v>
      </c>
    </row>
    <row r="297" spans="1:67" ht="16" thickBot="1" x14ac:dyDescent="0.25">
      <c r="A297" s="90" t="s">
        <v>2298</v>
      </c>
      <c r="B297" s="90" t="s">
        <v>2717</v>
      </c>
      <c r="C297" s="90" t="s">
        <v>2718</v>
      </c>
      <c r="D297" s="90" t="s">
        <v>3686</v>
      </c>
      <c r="E297" s="90" t="s">
        <v>1953</v>
      </c>
      <c r="F297" s="90" t="s">
        <v>2801</v>
      </c>
      <c r="G297" s="90" t="s">
        <v>2802</v>
      </c>
      <c r="H297" s="90" t="s">
        <v>1943</v>
      </c>
      <c r="I297" s="90" t="s">
        <v>1944</v>
      </c>
      <c r="J297" s="90" t="s">
        <v>692</v>
      </c>
      <c r="K297" s="90" t="s">
        <v>2803</v>
      </c>
      <c r="L297" s="90" t="s">
        <v>2804</v>
      </c>
      <c r="M297" s="87" t="s">
        <v>1996</v>
      </c>
      <c r="N297" s="87" t="s">
        <v>1980</v>
      </c>
      <c r="O297" s="88">
        <v>44166</v>
      </c>
      <c r="P297" s="89">
        <v>5.7</v>
      </c>
      <c r="Q297" s="90" t="s">
        <v>1211</v>
      </c>
      <c r="R297" s="90" t="s">
        <v>135</v>
      </c>
      <c r="S297" s="90" t="s">
        <v>155</v>
      </c>
      <c r="T297" s="90" t="s">
        <v>2305</v>
      </c>
      <c r="U297" s="90" t="s">
        <v>1640</v>
      </c>
      <c r="V297" s="88">
        <v>44166</v>
      </c>
      <c r="W297" s="88">
        <v>44166</v>
      </c>
      <c r="X297" s="90" t="s">
        <v>2043</v>
      </c>
      <c r="Y297" s="90" t="s">
        <v>381</v>
      </c>
      <c r="Z297" s="90" t="s">
        <v>36</v>
      </c>
      <c r="AA297" s="91"/>
      <c r="AB297" s="91"/>
      <c r="AC297" s="90" t="s">
        <v>2051</v>
      </c>
      <c r="AD297" s="90" t="s">
        <v>267</v>
      </c>
      <c r="AE297" s="90" t="s">
        <v>1636</v>
      </c>
      <c r="AF297" s="90" t="s">
        <v>1947</v>
      </c>
      <c r="AG297" s="90" t="s">
        <v>3285</v>
      </c>
      <c r="AH297" s="90" t="s">
        <v>1641</v>
      </c>
      <c r="AI297" s="90" t="s">
        <v>1641</v>
      </c>
      <c r="AJ297" s="90" t="s">
        <v>2051</v>
      </c>
      <c r="AK297" s="90" t="s">
        <v>36</v>
      </c>
      <c r="AL297" s="90" t="s">
        <v>1635</v>
      </c>
      <c r="AM297" s="90" t="s">
        <v>2307</v>
      </c>
      <c r="AN297" s="90" t="s">
        <v>2054</v>
      </c>
      <c r="AO297" s="87" t="s">
        <v>1949</v>
      </c>
      <c r="AP297" s="87" t="s">
        <v>1950</v>
      </c>
      <c r="AQ297" s="90" t="s">
        <v>2805</v>
      </c>
      <c r="AR297" s="92">
        <v>157000</v>
      </c>
      <c r="AS297" s="92">
        <v>196000</v>
      </c>
      <c r="AT297" s="92">
        <v>245000</v>
      </c>
      <c r="AU297" s="87" t="s">
        <v>2017</v>
      </c>
      <c r="AV297" s="87" t="s">
        <v>1959</v>
      </c>
      <c r="AW297" s="91"/>
      <c r="AX297" s="91"/>
      <c r="AY297" s="91"/>
      <c r="AZ297" t="str">
        <f t="shared" si="24"/>
        <v>207709</v>
      </c>
      <c r="BA297" t="str">
        <f t="shared" si="25"/>
        <v>0077</v>
      </c>
      <c r="BB297" t="str">
        <f t="shared" si="29"/>
        <v>0000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>IFERROR(VLOOKUP(X297,'Status Map'!A:B,2,FALSE),"Status Code Not Mapped")</f>
        <v>N</v>
      </c>
      <c r="BL297" t="str">
        <f>IFERROR(VLOOKUP(D297,'Invoice Exception Map'!A:C,3,FALSE),"N")</f>
        <v>N</v>
      </c>
      <c r="BM297">
        <f t="shared" si="26"/>
        <v>6</v>
      </c>
      <c r="BN297" t="str">
        <f t="shared" si="27"/>
        <v>FIENE</v>
      </c>
      <c r="BO297" t="str">
        <f t="shared" si="28"/>
        <v>ANDREA</v>
      </c>
    </row>
    <row r="298" spans="1:67" ht="16" thickBot="1" x14ac:dyDescent="0.25">
      <c r="A298" s="90" t="s">
        <v>2298</v>
      </c>
      <c r="B298" s="90" t="s">
        <v>2717</v>
      </c>
      <c r="C298" s="90" t="s">
        <v>2718</v>
      </c>
      <c r="D298" s="90" t="s">
        <v>3687</v>
      </c>
      <c r="E298" s="90" t="s">
        <v>1953</v>
      </c>
      <c r="F298" s="90" t="s">
        <v>2806</v>
      </c>
      <c r="G298" s="90" t="s">
        <v>2807</v>
      </c>
      <c r="H298" s="90" t="s">
        <v>1943</v>
      </c>
      <c r="I298" s="90" t="s">
        <v>1944</v>
      </c>
      <c r="J298" s="90" t="s">
        <v>1955</v>
      </c>
      <c r="K298" s="90" t="s">
        <v>2808</v>
      </c>
      <c r="L298" s="90" t="s">
        <v>2809</v>
      </c>
      <c r="M298" s="87" t="s">
        <v>1963</v>
      </c>
      <c r="N298" s="87" t="s">
        <v>1991</v>
      </c>
      <c r="O298" s="88">
        <v>46023</v>
      </c>
      <c r="P298" s="89">
        <v>0.6</v>
      </c>
      <c r="Q298" s="90" t="s">
        <v>287</v>
      </c>
      <c r="R298" s="90" t="s">
        <v>3211</v>
      </c>
      <c r="S298" s="90" t="s">
        <v>2257</v>
      </c>
      <c r="T298" s="90" t="s">
        <v>2305</v>
      </c>
      <c r="U298" s="90" t="s">
        <v>2782</v>
      </c>
      <c r="V298" s="88">
        <v>46023</v>
      </c>
      <c r="W298" s="88">
        <v>42954</v>
      </c>
      <c r="X298" s="90" t="s">
        <v>43</v>
      </c>
      <c r="Y298" s="90" t="s">
        <v>257</v>
      </c>
      <c r="Z298" s="90" t="s">
        <v>36</v>
      </c>
      <c r="AA298" s="91"/>
      <c r="AB298" s="91"/>
      <c r="AC298" s="90" t="s">
        <v>2051</v>
      </c>
      <c r="AD298" s="90" t="s">
        <v>267</v>
      </c>
      <c r="AE298" s="90" t="s">
        <v>1636</v>
      </c>
      <c r="AF298" s="90" t="s">
        <v>1947</v>
      </c>
      <c r="AG298" s="90" t="s">
        <v>2793</v>
      </c>
      <c r="AH298" s="91"/>
      <c r="AI298" s="91"/>
      <c r="AJ298" s="90" t="s">
        <v>2051</v>
      </c>
      <c r="AK298" s="90" t="s">
        <v>36</v>
      </c>
      <c r="AL298" s="90" t="s">
        <v>1635</v>
      </c>
      <c r="AM298" s="90" t="s">
        <v>2307</v>
      </c>
      <c r="AN298" s="90" t="s">
        <v>2054</v>
      </c>
      <c r="AO298" s="87" t="s">
        <v>1949</v>
      </c>
      <c r="AP298" s="87" t="s">
        <v>1950</v>
      </c>
      <c r="AQ298" s="90" t="s">
        <v>2810</v>
      </c>
      <c r="AR298" s="92">
        <v>78000</v>
      </c>
      <c r="AS298" s="92">
        <v>97000</v>
      </c>
      <c r="AT298" s="92">
        <v>121000</v>
      </c>
      <c r="AU298" s="87" t="s">
        <v>1951</v>
      </c>
      <c r="AV298" s="87" t="s">
        <v>1952</v>
      </c>
      <c r="AW298" s="91"/>
      <c r="AX298" s="91"/>
      <c r="AY298" s="91"/>
      <c r="AZ298" t="str">
        <f t="shared" si="24"/>
        <v>205373</v>
      </c>
      <c r="BA298" t="str">
        <f t="shared" si="25"/>
        <v>177</v>
      </c>
      <c r="BB298" t="str">
        <f t="shared" si="29"/>
        <v>0000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>IFERROR(VLOOKUP(X298,'Status Map'!A:B,2,FALSE),"Status Code Not Mapped")</f>
        <v>Y</v>
      </c>
      <c r="BL298" t="str">
        <f>IFERROR(VLOOKUP(D298,'Invoice Exception Map'!A:C,3,FALSE),"N")</f>
        <v>N</v>
      </c>
      <c r="BM298">
        <f t="shared" si="26"/>
        <v>7</v>
      </c>
      <c r="BN298" t="str">
        <f t="shared" si="27"/>
        <v>FREDIN</v>
      </c>
      <c r="BO298" t="str">
        <f t="shared" si="28"/>
        <v>JIM</v>
      </c>
    </row>
    <row r="299" spans="1:67" ht="16" thickBot="1" x14ac:dyDescent="0.25">
      <c r="A299" s="90" t="s">
        <v>2298</v>
      </c>
      <c r="B299" s="90" t="s">
        <v>2717</v>
      </c>
      <c r="C299" s="90" t="s">
        <v>2718</v>
      </c>
      <c r="D299" s="90" t="s">
        <v>3256</v>
      </c>
      <c r="E299" s="90" t="s">
        <v>1953</v>
      </c>
      <c r="F299" s="90" t="s">
        <v>2319</v>
      </c>
      <c r="G299" s="90" t="s">
        <v>2811</v>
      </c>
      <c r="H299" s="90" t="s">
        <v>1943</v>
      </c>
      <c r="I299" s="90" t="s">
        <v>1944</v>
      </c>
      <c r="J299" s="90" t="s">
        <v>1620</v>
      </c>
      <c r="K299" s="90" t="s">
        <v>2812</v>
      </c>
      <c r="L299" s="90" t="s">
        <v>2813</v>
      </c>
      <c r="M299" s="87" t="s">
        <v>2121</v>
      </c>
      <c r="N299" s="87" t="s">
        <v>2020</v>
      </c>
      <c r="O299" s="88">
        <v>34379</v>
      </c>
      <c r="P299" s="89">
        <v>32.5</v>
      </c>
      <c r="Q299" s="90" t="s">
        <v>3084</v>
      </c>
      <c r="R299" s="90" t="s">
        <v>3254</v>
      </c>
      <c r="S299" s="90" t="s">
        <v>2312</v>
      </c>
      <c r="T299" s="90" t="s">
        <v>2305</v>
      </c>
      <c r="U299" s="90" t="s">
        <v>1640</v>
      </c>
      <c r="V299" s="88">
        <v>34379</v>
      </c>
      <c r="W299" s="88">
        <v>34379</v>
      </c>
      <c r="X299" s="90" t="s">
        <v>43</v>
      </c>
      <c r="Y299" s="90" t="s">
        <v>257</v>
      </c>
      <c r="Z299" s="90" t="s">
        <v>36</v>
      </c>
      <c r="AA299" s="91"/>
      <c r="AB299" s="91"/>
      <c r="AC299" s="90" t="s">
        <v>2051</v>
      </c>
      <c r="AD299" s="90" t="s">
        <v>267</v>
      </c>
      <c r="AE299" s="90" t="s">
        <v>1636</v>
      </c>
      <c r="AF299" s="90" t="s">
        <v>1947</v>
      </c>
      <c r="AG299" s="90" t="s">
        <v>2793</v>
      </c>
      <c r="AH299" s="90" t="s">
        <v>2392</v>
      </c>
      <c r="AI299" s="90" t="s">
        <v>2392</v>
      </c>
      <c r="AJ299" s="90" t="s">
        <v>2051</v>
      </c>
      <c r="AK299" s="90" t="s">
        <v>36</v>
      </c>
      <c r="AL299" s="90" t="s">
        <v>1635</v>
      </c>
      <c r="AM299" s="90" t="s">
        <v>2307</v>
      </c>
      <c r="AN299" s="90" t="s">
        <v>2054</v>
      </c>
      <c r="AO299" s="87" t="s">
        <v>1949</v>
      </c>
      <c r="AP299" s="87" t="s">
        <v>1950</v>
      </c>
      <c r="AQ299" s="90" t="s">
        <v>2814</v>
      </c>
      <c r="AR299" s="91"/>
      <c r="AS299" s="91"/>
      <c r="AT299" s="91"/>
      <c r="AU299" s="87" t="s">
        <v>1972</v>
      </c>
      <c r="AV299" s="91"/>
      <c r="AW299" s="91"/>
      <c r="AX299" s="91"/>
      <c r="AY299" s="91"/>
      <c r="AZ299" t="str">
        <f t="shared" si="24"/>
        <v>205377</v>
      </c>
      <c r="BA299" t="str">
        <f t="shared" si="25"/>
        <v>0077</v>
      </c>
      <c r="BB299" t="str">
        <f t="shared" si="29"/>
        <v>0000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>IFERROR(VLOOKUP(X299,'Status Map'!A:B,2,FALSE),"Status Code Not Mapped")</f>
        <v>Y</v>
      </c>
      <c r="BL299" t="str">
        <f>IFERROR(VLOOKUP(D299,'Invoice Exception Map'!A:C,3,FALSE),"N")</f>
        <v>N</v>
      </c>
      <c r="BM299">
        <f t="shared" si="26"/>
        <v>6</v>
      </c>
      <c r="BN299" t="str">
        <f t="shared" si="27"/>
        <v>FRITZ</v>
      </c>
      <c r="BO299" t="str">
        <f t="shared" si="28"/>
        <v>FREDRIK</v>
      </c>
    </row>
    <row r="300" spans="1:67" ht="16" thickBot="1" x14ac:dyDescent="0.25">
      <c r="A300" s="90" t="s">
        <v>2298</v>
      </c>
      <c r="B300" s="90" t="s">
        <v>2717</v>
      </c>
      <c r="C300" s="90" t="s">
        <v>2718</v>
      </c>
      <c r="D300" s="90" t="s">
        <v>3688</v>
      </c>
      <c r="E300" s="90" t="s">
        <v>1953</v>
      </c>
      <c r="F300" s="90" t="s">
        <v>2815</v>
      </c>
      <c r="G300" s="90" t="s">
        <v>2816</v>
      </c>
      <c r="H300" s="90" t="s">
        <v>1943</v>
      </c>
      <c r="I300" s="90" t="s">
        <v>1944</v>
      </c>
      <c r="J300" s="90" t="s">
        <v>427</v>
      </c>
      <c r="K300" s="90" t="s">
        <v>2817</v>
      </c>
      <c r="L300" s="90" t="s">
        <v>2818</v>
      </c>
      <c r="M300" s="87" t="s">
        <v>2028</v>
      </c>
      <c r="N300" s="87" t="s">
        <v>1983</v>
      </c>
      <c r="O300" s="88">
        <v>37316</v>
      </c>
      <c r="P300" s="89">
        <v>24.5</v>
      </c>
      <c r="Q300" s="90" t="s">
        <v>264</v>
      </c>
      <c r="R300" s="90" t="s">
        <v>3286</v>
      </c>
      <c r="S300" s="90" t="s">
        <v>2819</v>
      </c>
      <c r="T300" s="90" t="s">
        <v>2305</v>
      </c>
      <c r="U300" s="90" t="s">
        <v>1640</v>
      </c>
      <c r="V300" s="88">
        <v>37316</v>
      </c>
      <c r="W300" s="88">
        <v>37316</v>
      </c>
      <c r="X300" s="90" t="s">
        <v>43</v>
      </c>
      <c r="Y300" s="90" t="s">
        <v>257</v>
      </c>
      <c r="Z300" s="90" t="s">
        <v>36</v>
      </c>
      <c r="AA300" s="91"/>
      <c r="AB300" s="91"/>
      <c r="AC300" s="90" t="s">
        <v>2051</v>
      </c>
      <c r="AD300" s="90" t="s">
        <v>267</v>
      </c>
      <c r="AE300" s="90" t="s">
        <v>1636</v>
      </c>
      <c r="AF300" s="90" t="s">
        <v>1947</v>
      </c>
      <c r="AG300" s="90" t="s">
        <v>2793</v>
      </c>
      <c r="AH300" s="90" t="s">
        <v>2011</v>
      </c>
      <c r="AI300" s="90" t="s">
        <v>2011</v>
      </c>
      <c r="AJ300" s="90" t="s">
        <v>2051</v>
      </c>
      <c r="AK300" s="90" t="s">
        <v>36</v>
      </c>
      <c r="AL300" s="90" t="s">
        <v>1635</v>
      </c>
      <c r="AM300" s="90" t="s">
        <v>2307</v>
      </c>
      <c r="AN300" s="90" t="s">
        <v>2054</v>
      </c>
      <c r="AO300" s="87" t="s">
        <v>1949</v>
      </c>
      <c r="AP300" s="87" t="s">
        <v>1950</v>
      </c>
      <c r="AQ300" s="90" t="s">
        <v>2820</v>
      </c>
      <c r="AR300" s="92">
        <v>56000</v>
      </c>
      <c r="AS300" s="92">
        <v>70000</v>
      </c>
      <c r="AT300" s="92">
        <v>87000</v>
      </c>
      <c r="AU300" s="87" t="s">
        <v>1951</v>
      </c>
      <c r="AV300" s="87" t="s">
        <v>2002</v>
      </c>
      <c r="AW300" s="91"/>
      <c r="AX300" s="91"/>
      <c r="AY300" s="91"/>
      <c r="AZ300" t="str">
        <f t="shared" si="24"/>
        <v>205408</v>
      </c>
      <c r="BA300" t="str">
        <f t="shared" si="25"/>
        <v>0077</v>
      </c>
      <c r="BB300" t="str">
        <f t="shared" si="29"/>
        <v>0000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>IFERROR(VLOOKUP(X300,'Status Map'!A:B,2,FALSE),"Status Code Not Mapped")</f>
        <v>Y</v>
      </c>
      <c r="BL300" t="str">
        <f>IFERROR(VLOOKUP(D300,'Invoice Exception Map'!A:C,3,FALSE),"N")</f>
        <v>N</v>
      </c>
      <c r="BM300">
        <f t="shared" si="26"/>
        <v>8</v>
      </c>
      <c r="BN300" t="str">
        <f t="shared" si="27"/>
        <v>GODENÄS</v>
      </c>
      <c r="BO300" t="str">
        <f t="shared" si="28"/>
        <v>NIKLAS</v>
      </c>
    </row>
    <row r="301" spans="1:67" ht="16" thickBot="1" x14ac:dyDescent="0.25">
      <c r="A301" s="90" t="s">
        <v>2298</v>
      </c>
      <c r="B301" s="90" t="s">
        <v>2717</v>
      </c>
      <c r="C301" s="90" t="s">
        <v>2718</v>
      </c>
      <c r="D301" s="90" t="s">
        <v>3689</v>
      </c>
      <c r="E301" s="90" t="s">
        <v>1953</v>
      </c>
      <c r="F301" s="90" t="s">
        <v>2821</v>
      </c>
      <c r="G301" s="90" t="s">
        <v>2389</v>
      </c>
      <c r="H301" s="90" t="s">
        <v>267</v>
      </c>
      <c r="I301" s="90" t="s">
        <v>1944</v>
      </c>
      <c r="J301" s="90" t="s">
        <v>1957</v>
      </c>
      <c r="K301" s="90" t="s">
        <v>2390</v>
      </c>
      <c r="L301" s="90" t="s">
        <v>2032</v>
      </c>
      <c r="M301" s="87" t="s">
        <v>2032</v>
      </c>
      <c r="N301" s="87" t="s">
        <v>1999</v>
      </c>
      <c r="O301" s="88">
        <v>31049</v>
      </c>
      <c r="P301" s="89">
        <v>41.6</v>
      </c>
      <c r="Q301" s="90" t="s">
        <v>3267</v>
      </c>
      <c r="R301" s="90" t="s">
        <v>3268</v>
      </c>
      <c r="S301" s="90" t="s">
        <v>2391</v>
      </c>
      <c r="T301" s="90" t="s">
        <v>2305</v>
      </c>
      <c r="U301" s="90" t="s">
        <v>1640</v>
      </c>
      <c r="V301" s="88">
        <v>31049</v>
      </c>
      <c r="W301" s="88">
        <v>31049</v>
      </c>
      <c r="X301" s="90" t="s">
        <v>43</v>
      </c>
      <c r="Y301" s="90" t="s">
        <v>257</v>
      </c>
      <c r="Z301" s="90" t="s">
        <v>36</v>
      </c>
      <c r="AA301" s="91"/>
      <c r="AB301" s="91"/>
      <c r="AC301" s="90" t="s">
        <v>2051</v>
      </c>
      <c r="AD301" s="90" t="s">
        <v>267</v>
      </c>
      <c r="AE301" s="90" t="s">
        <v>1636</v>
      </c>
      <c r="AF301" s="90" t="s">
        <v>1947</v>
      </c>
      <c r="AG301" s="90" t="s">
        <v>3271</v>
      </c>
      <c r="AH301" s="90" t="s">
        <v>2411</v>
      </c>
      <c r="AI301" s="90" t="s">
        <v>2411</v>
      </c>
      <c r="AJ301" s="90" t="s">
        <v>2051</v>
      </c>
      <c r="AK301" s="90" t="s">
        <v>36</v>
      </c>
      <c r="AL301" s="90" t="s">
        <v>1635</v>
      </c>
      <c r="AM301" s="90" t="s">
        <v>2307</v>
      </c>
      <c r="AN301" s="90" t="s">
        <v>2054</v>
      </c>
      <c r="AO301" s="87" t="s">
        <v>1949</v>
      </c>
      <c r="AP301" s="87" t="s">
        <v>1950</v>
      </c>
      <c r="AQ301" s="90" t="s">
        <v>2822</v>
      </c>
      <c r="AR301" s="92">
        <v>40000</v>
      </c>
      <c r="AS301" s="92">
        <v>50000</v>
      </c>
      <c r="AT301" s="92">
        <v>62000</v>
      </c>
      <c r="AU301" s="87" t="s">
        <v>1972</v>
      </c>
      <c r="AV301" s="87" t="s">
        <v>1973</v>
      </c>
      <c r="AW301" s="91"/>
      <c r="AX301" s="91"/>
      <c r="AY301" s="91"/>
      <c r="AZ301" t="str">
        <f t="shared" si="24"/>
        <v>205095</v>
      </c>
      <c r="BA301" t="str">
        <f t="shared" si="25"/>
        <v>0077</v>
      </c>
      <c r="BB301" t="str">
        <f t="shared" si="29"/>
        <v>0000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>IFERROR(VLOOKUP(X301,'Status Map'!A:B,2,FALSE),"Status Code Not Mapped")</f>
        <v>Y</v>
      </c>
      <c r="BL301" t="str">
        <f>IFERROR(VLOOKUP(D301,'Invoice Exception Map'!A:C,3,FALSE),"N")</f>
        <v>N</v>
      </c>
      <c r="BM301">
        <f t="shared" si="26"/>
        <v>10</v>
      </c>
      <c r="BN301" t="str">
        <f t="shared" si="27"/>
        <v>GÖRANSSON</v>
      </c>
      <c r="BO301" t="str">
        <f t="shared" si="28"/>
        <v>JAN</v>
      </c>
    </row>
    <row r="302" spans="1:67" ht="16" thickBot="1" x14ac:dyDescent="0.25">
      <c r="A302" s="90" t="s">
        <v>2298</v>
      </c>
      <c r="B302" s="90" t="s">
        <v>2717</v>
      </c>
      <c r="C302" s="90" t="s">
        <v>2718</v>
      </c>
      <c r="D302" s="90" t="s">
        <v>3268</v>
      </c>
      <c r="E302" s="90" t="s">
        <v>1953</v>
      </c>
      <c r="F302" s="90" t="s">
        <v>2391</v>
      </c>
      <c r="G302" s="90" t="s">
        <v>2823</v>
      </c>
      <c r="H302" s="90" t="s">
        <v>1943</v>
      </c>
      <c r="I302" s="90" t="s">
        <v>1944</v>
      </c>
      <c r="J302" s="90" t="s">
        <v>1957</v>
      </c>
      <c r="K302" s="90" t="s">
        <v>2824</v>
      </c>
      <c r="L302" s="90" t="s">
        <v>2825</v>
      </c>
      <c r="M302" s="87" t="s">
        <v>1945</v>
      </c>
      <c r="N302" s="87" t="s">
        <v>1999</v>
      </c>
      <c r="O302" s="88">
        <v>38084</v>
      </c>
      <c r="P302" s="89">
        <v>22.4</v>
      </c>
      <c r="Q302" s="90" t="s">
        <v>69</v>
      </c>
      <c r="R302" s="90" t="s">
        <v>3269</v>
      </c>
      <c r="S302" s="90" t="s">
        <v>2398</v>
      </c>
      <c r="T302" s="90" t="s">
        <v>2305</v>
      </c>
      <c r="U302" s="90" t="s">
        <v>1640</v>
      </c>
      <c r="V302" s="88">
        <v>38084</v>
      </c>
      <c r="W302" s="88">
        <v>38084</v>
      </c>
      <c r="X302" s="90" t="s">
        <v>43</v>
      </c>
      <c r="Y302" s="90" t="s">
        <v>257</v>
      </c>
      <c r="Z302" s="90" t="s">
        <v>36</v>
      </c>
      <c r="AA302" s="91"/>
      <c r="AB302" s="91"/>
      <c r="AC302" s="90" t="s">
        <v>2051</v>
      </c>
      <c r="AD302" s="90" t="s">
        <v>267</v>
      </c>
      <c r="AE302" s="90" t="s">
        <v>1636</v>
      </c>
      <c r="AF302" s="90" t="s">
        <v>1947</v>
      </c>
      <c r="AG302" s="90" t="s">
        <v>3280</v>
      </c>
      <c r="AH302" s="90" t="s">
        <v>2411</v>
      </c>
      <c r="AI302" s="90" t="s">
        <v>2411</v>
      </c>
      <c r="AJ302" s="90" t="s">
        <v>2051</v>
      </c>
      <c r="AK302" s="90" t="s">
        <v>36</v>
      </c>
      <c r="AL302" s="90" t="s">
        <v>1635</v>
      </c>
      <c r="AM302" s="90" t="s">
        <v>2307</v>
      </c>
      <c r="AN302" s="90" t="s">
        <v>2054</v>
      </c>
      <c r="AO302" s="87" t="s">
        <v>1949</v>
      </c>
      <c r="AP302" s="87" t="s">
        <v>1950</v>
      </c>
      <c r="AQ302" s="90" t="s">
        <v>2826</v>
      </c>
      <c r="AR302" s="92">
        <v>98000</v>
      </c>
      <c r="AS302" s="92">
        <v>122000</v>
      </c>
      <c r="AT302" s="92">
        <v>153000</v>
      </c>
      <c r="AU302" s="87" t="s">
        <v>1951</v>
      </c>
      <c r="AV302" s="87" t="s">
        <v>1981</v>
      </c>
      <c r="AW302" s="91"/>
      <c r="AX302" s="91"/>
      <c r="AY302" s="91"/>
      <c r="AZ302" t="str">
        <f t="shared" si="24"/>
        <v>205058</v>
      </c>
      <c r="BA302" t="str">
        <f t="shared" si="25"/>
        <v>0077</v>
      </c>
      <c r="BB302" t="str">
        <f t="shared" si="29"/>
        <v>0000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>IFERROR(VLOOKUP(X302,'Status Map'!A:B,2,FALSE),"Status Code Not Mapped")</f>
        <v>Y</v>
      </c>
      <c r="BL302" t="str">
        <f>IFERROR(VLOOKUP(D302,'Invoice Exception Map'!A:C,3,FALSE),"N")</f>
        <v>N</v>
      </c>
      <c r="BM302">
        <f t="shared" si="26"/>
        <v>9</v>
      </c>
      <c r="BN302" t="str">
        <f t="shared" si="27"/>
        <v>GUNNSTAM</v>
      </c>
      <c r="BO302" t="str">
        <f t="shared" si="28"/>
        <v>FREDRIK</v>
      </c>
    </row>
    <row r="303" spans="1:67" ht="16" thickBot="1" x14ac:dyDescent="0.25">
      <c r="A303" s="90" t="s">
        <v>2298</v>
      </c>
      <c r="B303" s="90" t="s">
        <v>2717</v>
      </c>
      <c r="C303" s="90" t="s">
        <v>2718</v>
      </c>
      <c r="D303" s="90" t="s">
        <v>3690</v>
      </c>
      <c r="E303" s="90" t="s">
        <v>1953</v>
      </c>
      <c r="F303" s="90" t="s">
        <v>2827</v>
      </c>
      <c r="G303" s="90" t="s">
        <v>2768</v>
      </c>
      <c r="H303" s="90" t="s">
        <v>1943</v>
      </c>
      <c r="I303" s="90" t="s">
        <v>1944</v>
      </c>
      <c r="J303" s="90" t="s">
        <v>241</v>
      </c>
      <c r="K303" s="90" t="s">
        <v>2769</v>
      </c>
      <c r="L303" s="90" t="s">
        <v>2728</v>
      </c>
      <c r="M303" s="87" t="s">
        <v>1963</v>
      </c>
      <c r="N303" s="87" t="s">
        <v>1967</v>
      </c>
      <c r="O303" s="88">
        <v>34208</v>
      </c>
      <c r="P303" s="89">
        <v>33</v>
      </c>
      <c r="Q303" s="90" t="s">
        <v>504</v>
      </c>
      <c r="R303" s="90" t="s">
        <v>3264</v>
      </c>
      <c r="S303" s="90" t="s">
        <v>2363</v>
      </c>
      <c r="T303" s="90" t="s">
        <v>2305</v>
      </c>
      <c r="U303" s="90" t="s">
        <v>1640</v>
      </c>
      <c r="V303" s="88">
        <v>34208</v>
      </c>
      <c r="W303" s="88">
        <v>34208</v>
      </c>
      <c r="X303" s="90" t="s">
        <v>43</v>
      </c>
      <c r="Y303" s="90" t="s">
        <v>257</v>
      </c>
      <c r="Z303" s="90" t="s">
        <v>36</v>
      </c>
      <c r="AA303" s="91"/>
      <c r="AB303" s="91"/>
      <c r="AC303" s="90" t="s">
        <v>2051</v>
      </c>
      <c r="AD303" s="90" t="s">
        <v>267</v>
      </c>
      <c r="AE303" s="90" t="s">
        <v>1636</v>
      </c>
      <c r="AF303" s="90" t="s">
        <v>1947</v>
      </c>
      <c r="AG303" s="90" t="s">
        <v>2793</v>
      </c>
      <c r="AH303" s="90" t="s">
        <v>1876</v>
      </c>
      <c r="AI303" s="90" t="s">
        <v>1876</v>
      </c>
      <c r="AJ303" s="90" t="s">
        <v>2051</v>
      </c>
      <c r="AK303" s="90" t="s">
        <v>36</v>
      </c>
      <c r="AL303" s="90" t="s">
        <v>1635</v>
      </c>
      <c r="AM303" s="90" t="s">
        <v>2307</v>
      </c>
      <c r="AN303" s="90" t="s">
        <v>2054</v>
      </c>
      <c r="AO303" s="87" t="s">
        <v>1949</v>
      </c>
      <c r="AP303" s="87" t="s">
        <v>1950</v>
      </c>
      <c r="AQ303" s="90" t="s">
        <v>2828</v>
      </c>
      <c r="AR303" s="92">
        <v>62000</v>
      </c>
      <c r="AS303" s="92">
        <v>78000</v>
      </c>
      <c r="AT303" s="92">
        <v>97000</v>
      </c>
      <c r="AU303" s="87" t="s">
        <v>1951</v>
      </c>
      <c r="AV303" s="87" t="s">
        <v>1966</v>
      </c>
      <c r="AW303" s="91"/>
      <c r="AX303" s="91"/>
      <c r="AY303" s="91"/>
      <c r="AZ303" t="str">
        <f t="shared" si="24"/>
        <v>213066</v>
      </c>
      <c r="BA303" t="str">
        <f t="shared" si="25"/>
        <v>0077</v>
      </c>
      <c r="BB303" t="str">
        <f t="shared" si="29"/>
        <v>0000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>IFERROR(VLOOKUP(X303,'Status Map'!A:B,2,FALSE),"Status Code Not Mapped")</f>
        <v>Y</v>
      </c>
      <c r="BL303" t="str">
        <f>IFERROR(VLOOKUP(D303,'Invoice Exception Map'!A:C,3,FALSE),"N")</f>
        <v>N</v>
      </c>
      <c r="BM303">
        <f t="shared" si="26"/>
        <v>10</v>
      </c>
      <c r="BN303" t="str">
        <f t="shared" si="27"/>
        <v>GUSTAFSON</v>
      </c>
      <c r="BO303" t="str">
        <f t="shared" si="28"/>
        <v>JOHAN</v>
      </c>
    </row>
    <row r="304" spans="1:67" ht="16" thickBot="1" x14ac:dyDescent="0.25">
      <c r="A304" s="90" t="s">
        <v>2298</v>
      </c>
      <c r="B304" s="90" t="s">
        <v>2717</v>
      </c>
      <c r="C304" s="90" t="s">
        <v>2718</v>
      </c>
      <c r="D304" s="90" t="s">
        <v>3691</v>
      </c>
      <c r="E304" s="90" t="s">
        <v>1953</v>
      </c>
      <c r="F304" s="90" t="s">
        <v>2829</v>
      </c>
      <c r="G304" s="90" t="s">
        <v>2830</v>
      </c>
      <c r="H304" s="90" t="s">
        <v>1943</v>
      </c>
      <c r="I304" s="90" t="s">
        <v>1944</v>
      </c>
      <c r="J304" s="90" t="s">
        <v>692</v>
      </c>
      <c r="K304" s="90" t="s">
        <v>2831</v>
      </c>
      <c r="L304" s="90" t="s">
        <v>2832</v>
      </c>
      <c r="M304" s="87" t="s">
        <v>2041</v>
      </c>
      <c r="N304" s="87" t="s">
        <v>1987</v>
      </c>
      <c r="O304" s="88">
        <v>43539</v>
      </c>
      <c r="P304" s="89">
        <v>7.5</v>
      </c>
      <c r="Q304" s="90" t="s">
        <v>3267</v>
      </c>
      <c r="R304" s="90" t="s">
        <v>3287</v>
      </c>
      <c r="S304" s="90" t="s">
        <v>2833</v>
      </c>
      <c r="T304" s="90" t="s">
        <v>2305</v>
      </c>
      <c r="U304" s="90" t="s">
        <v>1640</v>
      </c>
      <c r="V304" s="88">
        <v>43539</v>
      </c>
      <c r="W304" s="88">
        <v>43539</v>
      </c>
      <c r="X304" s="90" t="s">
        <v>43</v>
      </c>
      <c r="Y304" s="90" t="s">
        <v>257</v>
      </c>
      <c r="Z304" s="90" t="s">
        <v>36</v>
      </c>
      <c r="AA304" s="91"/>
      <c r="AB304" s="91"/>
      <c r="AC304" s="90" t="s">
        <v>2051</v>
      </c>
      <c r="AD304" s="90" t="s">
        <v>267</v>
      </c>
      <c r="AE304" s="90" t="s">
        <v>1636</v>
      </c>
      <c r="AF304" s="90" t="s">
        <v>1947</v>
      </c>
      <c r="AG304" s="90" t="s">
        <v>2793</v>
      </c>
      <c r="AH304" s="90" t="s">
        <v>2113</v>
      </c>
      <c r="AI304" s="90" t="s">
        <v>2113</v>
      </c>
      <c r="AJ304" s="90" t="s">
        <v>2051</v>
      </c>
      <c r="AK304" s="90" t="s">
        <v>36</v>
      </c>
      <c r="AL304" s="90" t="s">
        <v>1635</v>
      </c>
      <c r="AM304" s="90" t="s">
        <v>2307</v>
      </c>
      <c r="AN304" s="90" t="s">
        <v>2054</v>
      </c>
      <c r="AO304" s="87" t="s">
        <v>1949</v>
      </c>
      <c r="AP304" s="87" t="s">
        <v>1950</v>
      </c>
      <c r="AQ304" s="90" t="s">
        <v>2834</v>
      </c>
      <c r="AR304" s="92">
        <v>40000</v>
      </c>
      <c r="AS304" s="92">
        <v>50000</v>
      </c>
      <c r="AT304" s="92">
        <v>62000</v>
      </c>
      <c r="AU304" s="87" t="s">
        <v>1972</v>
      </c>
      <c r="AV304" s="87" t="s">
        <v>1973</v>
      </c>
      <c r="AW304" s="91"/>
      <c r="AX304" s="91"/>
      <c r="AY304" s="91"/>
      <c r="AZ304" t="str">
        <f t="shared" si="24"/>
        <v>205065</v>
      </c>
      <c r="BA304" t="str">
        <f t="shared" si="25"/>
        <v>0077</v>
      </c>
      <c r="BB304" t="str">
        <f t="shared" si="29"/>
        <v>0000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>IFERROR(VLOOKUP(X304,'Status Map'!A:B,2,FALSE),"Status Code Not Mapped")</f>
        <v>Y</v>
      </c>
      <c r="BL304" t="str">
        <f>IFERROR(VLOOKUP(D304,'Invoice Exception Map'!A:C,3,FALSE),"N")</f>
        <v>N</v>
      </c>
      <c r="BM304">
        <f t="shared" si="26"/>
        <v>11</v>
      </c>
      <c r="BN304" t="str">
        <f t="shared" si="27"/>
        <v>GUSTAFSSON</v>
      </c>
      <c r="BO304" t="str">
        <f t="shared" si="28"/>
        <v>CARINA</v>
      </c>
    </row>
    <row r="305" spans="1:67" ht="16" thickBot="1" x14ac:dyDescent="0.25">
      <c r="A305" s="90" t="s">
        <v>2298</v>
      </c>
      <c r="B305" s="90" t="s">
        <v>2717</v>
      </c>
      <c r="C305" s="90" t="s">
        <v>2718</v>
      </c>
      <c r="D305" s="90" t="s">
        <v>3692</v>
      </c>
      <c r="E305" s="90" t="s">
        <v>1953</v>
      </c>
      <c r="F305" s="90" t="s">
        <v>2835</v>
      </c>
      <c r="G305" s="90" t="s">
        <v>2084</v>
      </c>
      <c r="H305" s="90" t="s">
        <v>1943</v>
      </c>
      <c r="I305" s="90" t="s">
        <v>1944</v>
      </c>
      <c r="J305" s="90" t="s">
        <v>831</v>
      </c>
      <c r="K305" s="90" t="s">
        <v>2085</v>
      </c>
      <c r="L305" s="90" t="s">
        <v>2836</v>
      </c>
      <c r="M305" s="87" t="s">
        <v>1975</v>
      </c>
      <c r="N305" s="87" t="s">
        <v>831</v>
      </c>
      <c r="O305" s="88">
        <v>36164</v>
      </c>
      <c r="P305" s="89">
        <v>27.6</v>
      </c>
      <c r="Q305" s="90" t="s">
        <v>213</v>
      </c>
      <c r="R305" s="90" t="s">
        <v>3269</v>
      </c>
      <c r="S305" s="90" t="s">
        <v>2398</v>
      </c>
      <c r="T305" s="90" t="s">
        <v>2305</v>
      </c>
      <c r="U305" s="90" t="s">
        <v>1640</v>
      </c>
      <c r="V305" s="88">
        <v>36164</v>
      </c>
      <c r="W305" s="88">
        <v>36164</v>
      </c>
      <c r="X305" s="90" t="s">
        <v>43</v>
      </c>
      <c r="Y305" s="90" t="s">
        <v>257</v>
      </c>
      <c r="Z305" s="90" t="s">
        <v>36</v>
      </c>
      <c r="AA305" s="91"/>
      <c r="AB305" s="91"/>
      <c r="AC305" s="90" t="s">
        <v>2051</v>
      </c>
      <c r="AD305" s="90" t="s">
        <v>267</v>
      </c>
      <c r="AE305" s="90" t="s">
        <v>1636</v>
      </c>
      <c r="AF305" s="90" t="s">
        <v>1947</v>
      </c>
      <c r="AG305" s="90" t="s">
        <v>2793</v>
      </c>
      <c r="AH305" s="90" t="s">
        <v>2837</v>
      </c>
      <c r="AI305" s="90" t="s">
        <v>2837</v>
      </c>
      <c r="AJ305" s="90" t="s">
        <v>2051</v>
      </c>
      <c r="AK305" s="90" t="s">
        <v>36</v>
      </c>
      <c r="AL305" s="90" t="s">
        <v>1635</v>
      </c>
      <c r="AM305" s="90" t="s">
        <v>2307</v>
      </c>
      <c r="AN305" s="90" t="s">
        <v>2054</v>
      </c>
      <c r="AO305" s="87" t="s">
        <v>1949</v>
      </c>
      <c r="AP305" s="87" t="s">
        <v>1950</v>
      </c>
      <c r="AQ305" s="90" t="s">
        <v>2838</v>
      </c>
      <c r="AR305" s="92">
        <v>38000</v>
      </c>
      <c r="AS305" s="92">
        <v>47000</v>
      </c>
      <c r="AT305" s="92">
        <v>59000</v>
      </c>
      <c r="AU305" s="87" t="s">
        <v>1972</v>
      </c>
      <c r="AV305" s="87" t="s">
        <v>1973</v>
      </c>
      <c r="AW305" s="91"/>
      <c r="AX305" s="91"/>
      <c r="AY305" s="91"/>
      <c r="AZ305" t="str">
        <f t="shared" si="24"/>
        <v>205058</v>
      </c>
      <c r="BA305" t="str">
        <f t="shared" si="25"/>
        <v>0077</v>
      </c>
      <c r="BB305" t="str">
        <f t="shared" si="29"/>
        <v>0000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>IFERROR(VLOOKUP(X305,'Status Map'!A:B,2,FALSE),"Status Code Not Mapped")</f>
        <v>Y</v>
      </c>
      <c r="BL305" t="str">
        <f>IFERROR(VLOOKUP(D305,'Invoice Exception Map'!A:C,3,FALSE),"N")</f>
        <v>N</v>
      </c>
      <c r="BM305">
        <f t="shared" si="26"/>
        <v>10</v>
      </c>
      <c r="BN305" t="str">
        <f t="shared" si="27"/>
        <v>HELLQVIST</v>
      </c>
      <c r="BO305" t="str">
        <f t="shared" si="28"/>
        <v>PATRIC</v>
      </c>
    </row>
    <row r="306" spans="1:67" ht="16" thickBot="1" x14ac:dyDescent="0.25">
      <c r="A306" s="90" t="s">
        <v>2298</v>
      </c>
      <c r="B306" s="90" t="s">
        <v>2717</v>
      </c>
      <c r="C306" s="90" t="s">
        <v>2718</v>
      </c>
      <c r="D306" s="90" t="s">
        <v>3693</v>
      </c>
      <c r="E306" s="90" t="s">
        <v>1953</v>
      </c>
      <c r="F306" s="90" t="s">
        <v>2839</v>
      </c>
      <c r="G306" s="90" t="s">
        <v>2084</v>
      </c>
      <c r="H306" s="90" t="s">
        <v>1943</v>
      </c>
      <c r="I306" s="90" t="s">
        <v>1944</v>
      </c>
      <c r="J306" s="90" t="s">
        <v>831</v>
      </c>
      <c r="K306" s="90" t="s">
        <v>2085</v>
      </c>
      <c r="L306" s="90" t="s">
        <v>2836</v>
      </c>
      <c r="M306" s="87" t="s">
        <v>1975</v>
      </c>
      <c r="N306" s="87" t="s">
        <v>831</v>
      </c>
      <c r="O306" s="88">
        <v>40539</v>
      </c>
      <c r="P306" s="89">
        <v>15.7</v>
      </c>
      <c r="Q306" s="90" t="s">
        <v>213</v>
      </c>
      <c r="R306" s="90" t="s">
        <v>3269</v>
      </c>
      <c r="S306" s="90" t="s">
        <v>2398</v>
      </c>
      <c r="T306" s="90" t="s">
        <v>2305</v>
      </c>
      <c r="U306" s="90" t="s">
        <v>1640</v>
      </c>
      <c r="V306" s="88">
        <v>40539</v>
      </c>
      <c r="W306" s="88">
        <v>40539</v>
      </c>
      <c r="X306" s="90" t="s">
        <v>43</v>
      </c>
      <c r="Y306" s="90" t="s">
        <v>257</v>
      </c>
      <c r="Z306" s="90" t="s">
        <v>36</v>
      </c>
      <c r="AA306" s="91"/>
      <c r="AB306" s="91"/>
      <c r="AC306" s="90" t="s">
        <v>2051</v>
      </c>
      <c r="AD306" s="90" t="s">
        <v>267</v>
      </c>
      <c r="AE306" s="90" t="s">
        <v>1636</v>
      </c>
      <c r="AF306" s="90" t="s">
        <v>1947</v>
      </c>
      <c r="AG306" s="90" t="s">
        <v>2793</v>
      </c>
      <c r="AH306" s="90" t="s">
        <v>2837</v>
      </c>
      <c r="AI306" s="90" t="s">
        <v>2837</v>
      </c>
      <c r="AJ306" s="90" t="s">
        <v>2051</v>
      </c>
      <c r="AK306" s="90" t="s">
        <v>36</v>
      </c>
      <c r="AL306" s="90" t="s">
        <v>1635</v>
      </c>
      <c r="AM306" s="90" t="s">
        <v>2307</v>
      </c>
      <c r="AN306" s="90" t="s">
        <v>2054</v>
      </c>
      <c r="AO306" s="87" t="s">
        <v>1949</v>
      </c>
      <c r="AP306" s="87" t="s">
        <v>1950</v>
      </c>
      <c r="AQ306" s="90" t="s">
        <v>2840</v>
      </c>
      <c r="AR306" s="92">
        <v>38000</v>
      </c>
      <c r="AS306" s="92">
        <v>47000</v>
      </c>
      <c r="AT306" s="92">
        <v>59000</v>
      </c>
      <c r="AU306" s="87" t="s">
        <v>1972</v>
      </c>
      <c r="AV306" s="87" t="s">
        <v>1973</v>
      </c>
      <c r="AW306" s="91"/>
      <c r="AX306" s="91"/>
      <c r="AY306" s="91"/>
      <c r="AZ306" t="str">
        <f t="shared" si="24"/>
        <v>205058</v>
      </c>
      <c r="BA306" t="str">
        <f t="shared" si="25"/>
        <v>0077</v>
      </c>
      <c r="BB306" t="str">
        <f t="shared" si="29"/>
        <v>0000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>IFERROR(VLOOKUP(X306,'Status Map'!A:B,2,FALSE),"Status Code Not Mapped")</f>
        <v>Y</v>
      </c>
      <c r="BL306" t="str">
        <f>IFERROR(VLOOKUP(D306,'Invoice Exception Map'!A:C,3,FALSE),"N")</f>
        <v>N</v>
      </c>
      <c r="BM306">
        <f t="shared" si="26"/>
        <v>16</v>
      </c>
      <c r="BN306" t="str">
        <f t="shared" si="27"/>
        <v>HELMERSSON-ÅKHE</v>
      </c>
      <c r="BO306" t="str">
        <f t="shared" si="28"/>
        <v>ERIKA</v>
      </c>
    </row>
    <row r="307" spans="1:67" ht="16" thickBot="1" x14ac:dyDescent="0.25">
      <c r="A307" s="90" t="s">
        <v>2298</v>
      </c>
      <c r="B307" s="90" t="s">
        <v>2717</v>
      </c>
      <c r="C307" s="90" t="s">
        <v>2718</v>
      </c>
      <c r="D307" s="90" t="s">
        <v>3694</v>
      </c>
      <c r="E307" s="90" t="s">
        <v>1953</v>
      </c>
      <c r="F307" s="90" t="s">
        <v>2841</v>
      </c>
      <c r="G307" s="90" t="s">
        <v>2123</v>
      </c>
      <c r="H307" s="90" t="s">
        <v>1943</v>
      </c>
      <c r="I307" s="90" t="s">
        <v>1944</v>
      </c>
      <c r="J307" s="90" t="s">
        <v>1955</v>
      </c>
      <c r="K307" s="90" t="s">
        <v>482</v>
      </c>
      <c r="L307" s="90" t="s">
        <v>1976</v>
      </c>
      <c r="M307" s="87" t="s">
        <v>1945</v>
      </c>
      <c r="N307" s="87" t="s">
        <v>66</v>
      </c>
      <c r="O307" s="88">
        <v>46082</v>
      </c>
      <c r="P307" s="89">
        <v>0.5</v>
      </c>
      <c r="Q307" s="90" t="s">
        <v>287</v>
      </c>
      <c r="R307" s="90" t="s">
        <v>3211</v>
      </c>
      <c r="S307" s="90" t="s">
        <v>2257</v>
      </c>
      <c r="T307" s="90" t="s">
        <v>2305</v>
      </c>
      <c r="U307" s="90" t="s">
        <v>1640</v>
      </c>
      <c r="V307" s="88">
        <v>46082</v>
      </c>
      <c r="W307" s="88">
        <v>46082</v>
      </c>
      <c r="X307" s="90" t="s">
        <v>43</v>
      </c>
      <c r="Y307" s="90" t="s">
        <v>257</v>
      </c>
      <c r="Z307" s="90" t="s">
        <v>36</v>
      </c>
      <c r="AA307" s="91"/>
      <c r="AB307" s="91"/>
      <c r="AC307" s="90" t="s">
        <v>2051</v>
      </c>
      <c r="AD307" s="90" t="s">
        <v>267</v>
      </c>
      <c r="AE307" s="90" t="s">
        <v>1636</v>
      </c>
      <c r="AF307" s="90" t="s">
        <v>1947</v>
      </c>
      <c r="AG307" s="90" t="s">
        <v>3258</v>
      </c>
      <c r="AH307" s="90" t="s">
        <v>2842</v>
      </c>
      <c r="AI307" s="90" t="s">
        <v>2842</v>
      </c>
      <c r="AJ307" s="90" t="s">
        <v>2051</v>
      </c>
      <c r="AK307" s="91"/>
      <c r="AL307" s="90" t="s">
        <v>1635</v>
      </c>
      <c r="AM307" s="90" t="s">
        <v>2307</v>
      </c>
      <c r="AN307" s="90" t="s">
        <v>2054</v>
      </c>
      <c r="AO307" s="87" t="s">
        <v>1949</v>
      </c>
      <c r="AP307" s="87" t="s">
        <v>1950</v>
      </c>
      <c r="AQ307" s="90" t="s">
        <v>2843</v>
      </c>
      <c r="AR307" s="92">
        <v>78000</v>
      </c>
      <c r="AS307" s="92">
        <v>97000</v>
      </c>
      <c r="AT307" s="92">
        <v>121000</v>
      </c>
      <c r="AU307" s="87" t="s">
        <v>1951</v>
      </c>
      <c r="AV307" s="87" t="s">
        <v>1952</v>
      </c>
      <c r="AW307" s="91"/>
      <c r="AX307" s="91"/>
      <c r="AY307" s="91"/>
      <c r="AZ307" t="str">
        <f t="shared" si="24"/>
        <v>205373</v>
      </c>
      <c r="BA307" t="str">
        <f t="shared" si="25"/>
        <v>0077</v>
      </c>
      <c r="BB307" t="str">
        <f t="shared" si="29"/>
        <v>0000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>IFERROR(VLOOKUP(X307,'Status Map'!A:B,2,FALSE),"Status Code Not Mapped")</f>
        <v>Y</v>
      </c>
      <c r="BL307" t="str">
        <f>IFERROR(VLOOKUP(D307,'Invoice Exception Map'!A:C,3,FALSE),"N")</f>
        <v>N</v>
      </c>
      <c r="BM307">
        <f t="shared" si="26"/>
        <v>8</v>
      </c>
      <c r="BN307" t="str">
        <f t="shared" si="27"/>
        <v>Jidskog</v>
      </c>
      <c r="BO307" t="str">
        <f t="shared" si="28"/>
        <v>Emil</v>
      </c>
    </row>
    <row r="308" spans="1:67" ht="16" thickBot="1" x14ac:dyDescent="0.25">
      <c r="A308" s="90" t="s">
        <v>2298</v>
      </c>
      <c r="B308" s="90" t="s">
        <v>2717</v>
      </c>
      <c r="C308" s="90" t="s">
        <v>2718</v>
      </c>
      <c r="D308" s="90" t="s">
        <v>3695</v>
      </c>
      <c r="E308" s="90" t="s">
        <v>1953</v>
      </c>
      <c r="F308" s="90" t="s">
        <v>2844</v>
      </c>
      <c r="G308" s="90" t="s">
        <v>2845</v>
      </c>
      <c r="H308" s="90" t="s">
        <v>1943</v>
      </c>
      <c r="I308" s="90" t="s">
        <v>1944</v>
      </c>
      <c r="J308" s="90" t="s">
        <v>241</v>
      </c>
      <c r="K308" s="90" t="s">
        <v>2846</v>
      </c>
      <c r="L308" s="90" t="s">
        <v>2772</v>
      </c>
      <c r="M308" s="87" t="s">
        <v>1963</v>
      </c>
      <c r="N308" s="87" t="s">
        <v>1017</v>
      </c>
      <c r="O308" s="88">
        <v>36557</v>
      </c>
      <c r="P308" s="89">
        <v>26.5</v>
      </c>
      <c r="Q308" s="90" t="s">
        <v>287</v>
      </c>
      <c r="R308" s="90" t="s">
        <v>3283</v>
      </c>
      <c r="S308" s="90" t="s">
        <v>2773</v>
      </c>
      <c r="T308" s="90" t="s">
        <v>2305</v>
      </c>
      <c r="U308" s="90" t="s">
        <v>1640</v>
      </c>
      <c r="V308" s="88">
        <v>36557</v>
      </c>
      <c r="W308" s="88">
        <v>36557</v>
      </c>
      <c r="X308" s="90" t="s">
        <v>43</v>
      </c>
      <c r="Y308" s="90" t="s">
        <v>257</v>
      </c>
      <c r="Z308" s="90" t="s">
        <v>36</v>
      </c>
      <c r="AA308" s="91"/>
      <c r="AB308" s="91"/>
      <c r="AC308" s="90" t="s">
        <v>2051</v>
      </c>
      <c r="AD308" s="90" t="s">
        <v>267</v>
      </c>
      <c r="AE308" s="90" t="s">
        <v>1636</v>
      </c>
      <c r="AF308" s="90" t="s">
        <v>1947</v>
      </c>
      <c r="AG308" s="90" t="s">
        <v>3288</v>
      </c>
      <c r="AH308" s="90" t="s">
        <v>1988</v>
      </c>
      <c r="AI308" s="90" t="s">
        <v>1988</v>
      </c>
      <c r="AJ308" s="90" t="s">
        <v>2051</v>
      </c>
      <c r="AK308" s="90" t="s">
        <v>36</v>
      </c>
      <c r="AL308" s="90" t="s">
        <v>1635</v>
      </c>
      <c r="AM308" s="90" t="s">
        <v>2307</v>
      </c>
      <c r="AN308" s="90" t="s">
        <v>2054</v>
      </c>
      <c r="AO308" s="87" t="s">
        <v>1949</v>
      </c>
      <c r="AP308" s="87" t="s">
        <v>1950</v>
      </c>
      <c r="AQ308" s="90" t="s">
        <v>2847</v>
      </c>
      <c r="AR308" s="92">
        <v>78000</v>
      </c>
      <c r="AS308" s="92">
        <v>97000</v>
      </c>
      <c r="AT308" s="92">
        <v>121000</v>
      </c>
      <c r="AU308" s="87" t="s">
        <v>1951</v>
      </c>
      <c r="AV308" s="87" t="s">
        <v>1952</v>
      </c>
      <c r="AW308" s="91"/>
      <c r="AX308" s="91"/>
      <c r="AY308" s="91"/>
      <c r="AZ308" t="str">
        <f t="shared" si="24"/>
        <v>205368</v>
      </c>
      <c r="BA308" t="str">
        <f t="shared" si="25"/>
        <v>0077</v>
      </c>
      <c r="BB308" t="str">
        <f t="shared" si="29"/>
        <v>0000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>IFERROR(VLOOKUP(X308,'Status Map'!A:B,2,FALSE),"Status Code Not Mapped")</f>
        <v>Y</v>
      </c>
      <c r="BL308" t="str">
        <f>IFERROR(VLOOKUP(D308,'Invoice Exception Map'!A:C,3,FALSE),"N")</f>
        <v>N</v>
      </c>
      <c r="BM308">
        <f t="shared" si="26"/>
        <v>10</v>
      </c>
      <c r="BN308" t="str">
        <f t="shared" si="27"/>
        <v>JOHANSSON</v>
      </c>
      <c r="BO308" t="str">
        <f t="shared" si="28"/>
        <v>MÅRTEN</v>
      </c>
    </row>
    <row r="309" spans="1:67" ht="16" thickBot="1" x14ac:dyDescent="0.25">
      <c r="A309" s="90" t="s">
        <v>2298</v>
      </c>
      <c r="B309" s="90" t="s">
        <v>2717</v>
      </c>
      <c r="C309" s="90" t="s">
        <v>2718</v>
      </c>
      <c r="D309" s="90" t="s">
        <v>3696</v>
      </c>
      <c r="E309" s="90" t="s">
        <v>1953</v>
      </c>
      <c r="F309" s="90" t="s">
        <v>2848</v>
      </c>
      <c r="G309" s="90" t="s">
        <v>2849</v>
      </c>
      <c r="H309" s="90" t="s">
        <v>1943</v>
      </c>
      <c r="I309" s="90" t="s">
        <v>1944</v>
      </c>
      <c r="J309" s="90" t="s">
        <v>549</v>
      </c>
      <c r="K309" s="90" t="s">
        <v>2850</v>
      </c>
      <c r="L309" s="90" t="s">
        <v>2040</v>
      </c>
      <c r="M309" s="87" t="s">
        <v>1945</v>
      </c>
      <c r="N309" s="87" t="s">
        <v>549</v>
      </c>
      <c r="O309" s="88">
        <v>41153</v>
      </c>
      <c r="P309" s="89">
        <v>14</v>
      </c>
      <c r="Q309" s="90" t="s">
        <v>287</v>
      </c>
      <c r="R309" s="90" t="s">
        <v>3264</v>
      </c>
      <c r="S309" s="90" t="s">
        <v>2363</v>
      </c>
      <c r="T309" s="90" t="s">
        <v>2305</v>
      </c>
      <c r="U309" s="90" t="s">
        <v>1640</v>
      </c>
      <c r="V309" s="88">
        <v>41153</v>
      </c>
      <c r="W309" s="88">
        <v>41153</v>
      </c>
      <c r="X309" s="90" t="s">
        <v>43</v>
      </c>
      <c r="Y309" s="90" t="s">
        <v>257</v>
      </c>
      <c r="Z309" s="90" t="s">
        <v>36</v>
      </c>
      <c r="AA309" s="91"/>
      <c r="AB309" s="91"/>
      <c r="AC309" s="90" t="s">
        <v>2051</v>
      </c>
      <c r="AD309" s="90" t="s">
        <v>267</v>
      </c>
      <c r="AE309" s="90" t="s">
        <v>1636</v>
      </c>
      <c r="AF309" s="90" t="s">
        <v>1947</v>
      </c>
      <c r="AG309" s="90" t="s">
        <v>3271</v>
      </c>
      <c r="AH309" s="90" t="s">
        <v>1876</v>
      </c>
      <c r="AI309" s="90" t="s">
        <v>1876</v>
      </c>
      <c r="AJ309" s="90" t="s">
        <v>2051</v>
      </c>
      <c r="AK309" s="90" t="s">
        <v>36</v>
      </c>
      <c r="AL309" s="90" t="s">
        <v>1635</v>
      </c>
      <c r="AM309" s="90" t="s">
        <v>2307</v>
      </c>
      <c r="AN309" s="90" t="s">
        <v>2054</v>
      </c>
      <c r="AO309" s="87" t="s">
        <v>1949</v>
      </c>
      <c r="AP309" s="87" t="s">
        <v>1950</v>
      </c>
      <c r="AQ309" s="90" t="s">
        <v>2851</v>
      </c>
      <c r="AR309" s="92">
        <v>78000</v>
      </c>
      <c r="AS309" s="92">
        <v>97000</v>
      </c>
      <c r="AT309" s="92">
        <v>121000</v>
      </c>
      <c r="AU309" s="87" t="s">
        <v>1951</v>
      </c>
      <c r="AV309" s="87" t="s">
        <v>1952</v>
      </c>
      <c r="AW309" s="91"/>
      <c r="AX309" s="91"/>
      <c r="AY309" s="91"/>
      <c r="AZ309" t="str">
        <f t="shared" si="24"/>
        <v>213066</v>
      </c>
      <c r="BA309" t="str">
        <f t="shared" si="25"/>
        <v>0077</v>
      </c>
      <c r="BB309" t="str">
        <f t="shared" si="29"/>
        <v>0000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>IFERROR(VLOOKUP(X309,'Status Map'!A:B,2,FALSE),"Status Code Not Mapped")</f>
        <v>Y</v>
      </c>
      <c r="BL309" t="str">
        <f>IFERROR(VLOOKUP(D309,'Invoice Exception Map'!A:C,3,FALSE),"N")</f>
        <v>N</v>
      </c>
      <c r="BM309">
        <f t="shared" si="26"/>
        <v>9</v>
      </c>
      <c r="BN309" t="str">
        <f t="shared" si="27"/>
        <v>JOHNSSON</v>
      </c>
      <c r="BO309" t="str">
        <f t="shared" si="28"/>
        <v>LUDWIG</v>
      </c>
    </row>
    <row r="310" spans="1:67" ht="16" thickBot="1" x14ac:dyDescent="0.25">
      <c r="A310" s="90" t="s">
        <v>2298</v>
      </c>
      <c r="B310" s="90" t="s">
        <v>2717</v>
      </c>
      <c r="C310" s="90" t="s">
        <v>2718</v>
      </c>
      <c r="D310" s="90" t="s">
        <v>3697</v>
      </c>
      <c r="E310" s="90" t="s">
        <v>1953</v>
      </c>
      <c r="F310" s="90" t="s">
        <v>2852</v>
      </c>
      <c r="G310" s="90" t="s">
        <v>2849</v>
      </c>
      <c r="H310" s="90" t="s">
        <v>1943</v>
      </c>
      <c r="I310" s="90" t="s">
        <v>1944</v>
      </c>
      <c r="J310" s="90" t="s">
        <v>549</v>
      </c>
      <c r="K310" s="90" t="s">
        <v>2850</v>
      </c>
      <c r="L310" s="90" t="s">
        <v>2853</v>
      </c>
      <c r="M310" s="87" t="s">
        <v>1945</v>
      </c>
      <c r="N310" s="87" t="s">
        <v>549</v>
      </c>
      <c r="O310" s="88">
        <v>42814</v>
      </c>
      <c r="P310" s="89">
        <v>9.4</v>
      </c>
      <c r="Q310" s="90" t="s">
        <v>287</v>
      </c>
      <c r="R310" s="90" t="s">
        <v>3264</v>
      </c>
      <c r="S310" s="90" t="s">
        <v>2363</v>
      </c>
      <c r="T310" s="90" t="s">
        <v>2305</v>
      </c>
      <c r="U310" s="90" t="s">
        <v>1640</v>
      </c>
      <c r="V310" s="88">
        <v>42814</v>
      </c>
      <c r="W310" s="88">
        <v>42814</v>
      </c>
      <c r="X310" s="90" t="s">
        <v>43</v>
      </c>
      <c r="Y310" s="90" t="s">
        <v>257</v>
      </c>
      <c r="Z310" s="90" t="s">
        <v>36</v>
      </c>
      <c r="AA310" s="91"/>
      <c r="AB310" s="91"/>
      <c r="AC310" s="90" t="s">
        <v>2051</v>
      </c>
      <c r="AD310" s="90" t="s">
        <v>267</v>
      </c>
      <c r="AE310" s="90" t="s">
        <v>1636</v>
      </c>
      <c r="AF310" s="90" t="s">
        <v>1947</v>
      </c>
      <c r="AG310" s="90" t="s">
        <v>2793</v>
      </c>
      <c r="AH310" s="90" t="s">
        <v>1989</v>
      </c>
      <c r="AI310" s="90" t="s">
        <v>1989</v>
      </c>
      <c r="AJ310" s="90" t="s">
        <v>2051</v>
      </c>
      <c r="AK310" s="90" t="s">
        <v>36</v>
      </c>
      <c r="AL310" s="90" t="s">
        <v>1635</v>
      </c>
      <c r="AM310" s="90" t="s">
        <v>2307</v>
      </c>
      <c r="AN310" s="90" t="s">
        <v>2054</v>
      </c>
      <c r="AO310" s="87" t="s">
        <v>1949</v>
      </c>
      <c r="AP310" s="87" t="s">
        <v>1950</v>
      </c>
      <c r="AQ310" s="90" t="s">
        <v>2854</v>
      </c>
      <c r="AR310" s="92">
        <v>78000</v>
      </c>
      <c r="AS310" s="92">
        <v>97000</v>
      </c>
      <c r="AT310" s="92">
        <v>121000</v>
      </c>
      <c r="AU310" s="87" t="s">
        <v>1951</v>
      </c>
      <c r="AV310" s="87" t="s">
        <v>1952</v>
      </c>
      <c r="AW310" s="91"/>
      <c r="AX310" s="91"/>
      <c r="AY310" s="91"/>
      <c r="AZ310" t="str">
        <f t="shared" si="24"/>
        <v>213066</v>
      </c>
      <c r="BA310" t="str">
        <f t="shared" si="25"/>
        <v>0077</v>
      </c>
      <c r="BB310" t="str">
        <f t="shared" si="29"/>
        <v>0000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>IFERROR(VLOOKUP(X310,'Status Map'!A:B,2,FALSE),"Status Code Not Mapped")</f>
        <v>Y</v>
      </c>
      <c r="BL310" t="str">
        <f>IFERROR(VLOOKUP(D310,'Invoice Exception Map'!A:C,3,FALSE),"N")</f>
        <v>N</v>
      </c>
      <c r="BM310">
        <f t="shared" si="26"/>
        <v>10</v>
      </c>
      <c r="BN310" t="str">
        <f t="shared" si="27"/>
        <v>KÄLLKVIST</v>
      </c>
      <c r="BO310" t="str">
        <f t="shared" si="28"/>
        <v>ANDERS</v>
      </c>
    </row>
    <row r="311" spans="1:67" ht="16" thickBot="1" x14ac:dyDescent="0.25">
      <c r="A311" s="90" t="s">
        <v>2298</v>
      </c>
      <c r="B311" s="90" t="s">
        <v>2717</v>
      </c>
      <c r="C311" s="90" t="s">
        <v>2718</v>
      </c>
      <c r="D311" s="90" t="s">
        <v>3698</v>
      </c>
      <c r="E311" s="90" t="s">
        <v>1953</v>
      </c>
      <c r="F311" s="90" t="s">
        <v>2855</v>
      </c>
      <c r="G311" s="90" t="s">
        <v>2856</v>
      </c>
      <c r="H311" s="90" t="s">
        <v>1943</v>
      </c>
      <c r="I311" s="90" t="s">
        <v>1944</v>
      </c>
      <c r="J311" s="90" t="s">
        <v>692</v>
      </c>
      <c r="K311" s="90" t="s">
        <v>2857</v>
      </c>
      <c r="L311" s="90" t="s">
        <v>2857</v>
      </c>
      <c r="M311" s="87" t="s">
        <v>2857</v>
      </c>
      <c r="N311" s="87" t="s">
        <v>161</v>
      </c>
      <c r="O311" s="88">
        <v>43318</v>
      </c>
      <c r="P311" s="89">
        <v>8</v>
      </c>
      <c r="Q311" s="90" t="s">
        <v>53</v>
      </c>
      <c r="R311" s="90" t="s">
        <v>3269</v>
      </c>
      <c r="S311" s="90" t="s">
        <v>2398</v>
      </c>
      <c r="T311" s="90" t="s">
        <v>2305</v>
      </c>
      <c r="U311" s="90" t="s">
        <v>1640</v>
      </c>
      <c r="V311" s="88">
        <v>43318</v>
      </c>
      <c r="W311" s="88">
        <v>43318</v>
      </c>
      <c r="X311" s="90" t="s">
        <v>43</v>
      </c>
      <c r="Y311" s="90" t="s">
        <v>257</v>
      </c>
      <c r="Z311" s="90" t="s">
        <v>36</v>
      </c>
      <c r="AA311" s="91"/>
      <c r="AB311" s="91"/>
      <c r="AC311" s="90" t="s">
        <v>2051</v>
      </c>
      <c r="AD311" s="90" t="s">
        <v>267</v>
      </c>
      <c r="AE311" s="90" t="s">
        <v>1636</v>
      </c>
      <c r="AF311" s="90" t="s">
        <v>1947</v>
      </c>
      <c r="AG311" s="90" t="s">
        <v>2793</v>
      </c>
      <c r="AH311" s="90" t="s">
        <v>2837</v>
      </c>
      <c r="AI311" s="90" t="s">
        <v>2837</v>
      </c>
      <c r="AJ311" s="90" t="s">
        <v>2051</v>
      </c>
      <c r="AK311" s="90" t="s">
        <v>36</v>
      </c>
      <c r="AL311" s="90" t="s">
        <v>1635</v>
      </c>
      <c r="AM311" s="90" t="s">
        <v>2307</v>
      </c>
      <c r="AN311" s="90" t="s">
        <v>2054</v>
      </c>
      <c r="AO311" s="87" t="s">
        <v>1949</v>
      </c>
      <c r="AP311" s="87" t="s">
        <v>1950</v>
      </c>
      <c r="AQ311" s="90" t="s">
        <v>2858</v>
      </c>
      <c r="AR311" s="92">
        <v>35000</v>
      </c>
      <c r="AS311" s="92">
        <v>42000</v>
      </c>
      <c r="AT311" s="92">
        <v>53000</v>
      </c>
      <c r="AU311" s="87" t="s">
        <v>1972</v>
      </c>
      <c r="AV311" s="87" t="s">
        <v>1973</v>
      </c>
      <c r="AW311" s="91"/>
      <c r="AX311" s="91"/>
      <c r="AY311" s="91"/>
      <c r="AZ311" t="str">
        <f t="shared" si="24"/>
        <v>205058</v>
      </c>
      <c r="BA311" t="str">
        <f t="shared" si="25"/>
        <v>0077</v>
      </c>
      <c r="BB311" t="str">
        <f t="shared" si="29"/>
        <v>0000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>IFERROR(VLOOKUP(X311,'Status Map'!A:B,2,FALSE),"Status Code Not Mapped")</f>
        <v>Y</v>
      </c>
      <c r="BL311" t="str">
        <f>IFERROR(VLOOKUP(D311,'Invoice Exception Map'!A:C,3,FALSE),"N")</f>
        <v>N</v>
      </c>
      <c r="BM311">
        <f t="shared" si="26"/>
        <v>9</v>
      </c>
      <c r="BN311" t="str">
        <f t="shared" si="27"/>
        <v>KARLSSON</v>
      </c>
      <c r="BO311" t="str">
        <f t="shared" si="28"/>
        <v>LISA</v>
      </c>
    </row>
    <row r="312" spans="1:67" s="106" customFormat="1" ht="16" thickBot="1" x14ac:dyDescent="0.25">
      <c r="A312" s="100" t="s">
        <v>2298</v>
      </c>
      <c r="B312" s="100" t="s">
        <v>2717</v>
      </c>
      <c r="C312" s="100" t="s">
        <v>2718</v>
      </c>
      <c r="D312" s="100" t="s">
        <v>3699</v>
      </c>
      <c r="E312" s="100" t="s">
        <v>1953</v>
      </c>
      <c r="F312" s="100" t="s">
        <v>2859</v>
      </c>
      <c r="G312" s="100" t="s">
        <v>2084</v>
      </c>
      <c r="H312" s="100" t="s">
        <v>1943</v>
      </c>
      <c r="I312" s="100" t="s">
        <v>1944</v>
      </c>
      <c r="J312" s="100" t="s">
        <v>831</v>
      </c>
      <c r="K312" s="100" t="s">
        <v>2085</v>
      </c>
      <c r="L312" s="100" t="s">
        <v>1969</v>
      </c>
      <c r="M312" s="101" t="s">
        <v>1975</v>
      </c>
      <c r="N312" s="101" t="s">
        <v>831</v>
      </c>
      <c r="O312" s="102">
        <v>40217</v>
      </c>
      <c r="P312" s="103">
        <v>16.5</v>
      </c>
      <c r="Q312" s="100" t="s">
        <v>213</v>
      </c>
      <c r="R312" s="100" t="s">
        <v>3269</v>
      </c>
      <c r="S312" s="100" t="s">
        <v>2398</v>
      </c>
      <c r="T312" s="100" t="s">
        <v>2305</v>
      </c>
      <c r="U312" s="100" t="s">
        <v>1640</v>
      </c>
      <c r="V312" s="102">
        <v>40217</v>
      </c>
      <c r="W312" s="102">
        <v>40217</v>
      </c>
      <c r="X312" s="100" t="s">
        <v>43</v>
      </c>
      <c r="Y312" s="100" t="s">
        <v>257</v>
      </c>
      <c r="Z312" s="100" t="s">
        <v>36</v>
      </c>
      <c r="AA312" s="104"/>
      <c r="AB312" s="104"/>
      <c r="AC312" s="100" t="s">
        <v>2051</v>
      </c>
      <c r="AD312" s="100" t="s">
        <v>267</v>
      </c>
      <c r="AE312" s="100" t="s">
        <v>1636</v>
      </c>
      <c r="AF312" s="100" t="s">
        <v>1947</v>
      </c>
      <c r="AG312" s="100" t="s">
        <v>2793</v>
      </c>
      <c r="AH312" s="100" t="s">
        <v>2837</v>
      </c>
      <c r="AI312" s="100" t="s">
        <v>2837</v>
      </c>
      <c r="AJ312" s="100" t="s">
        <v>2051</v>
      </c>
      <c r="AK312" s="100" t="s">
        <v>36</v>
      </c>
      <c r="AL312" s="100" t="s">
        <v>1635</v>
      </c>
      <c r="AM312" s="100" t="s">
        <v>2307</v>
      </c>
      <c r="AN312" s="100" t="s">
        <v>2054</v>
      </c>
      <c r="AO312" s="101" t="s">
        <v>1949</v>
      </c>
      <c r="AP312" s="101" t="s">
        <v>1950</v>
      </c>
      <c r="AQ312" s="114" t="s">
        <v>4142</v>
      </c>
      <c r="AR312" s="105">
        <v>38000</v>
      </c>
      <c r="AS312" s="105">
        <v>47000</v>
      </c>
      <c r="AT312" s="105">
        <v>59000</v>
      </c>
      <c r="AU312" s="101" t="s">
        <v>1972</v>
      </c>
      <c r="AV312" s="101" t="s">
        <v>1973</v>
      </c>
      <c r="AW312" s="104"/>
      <c r="AX312" s="104"/>
      <c r="AY312" s="104"/>
      <c r="AZ312" s="106" t="str">
        <f t="shared" si="24"/>
        <v>205058</v>
      </c>
      <c r="BA312" s="106" t="str">
        <f t="shared" si="25"/>
        <v>0077</v>
      </c>
      <c r="BB312" s="106" t="str">
        <f t="shared" si="29"/>
        <v>0000</v>
      </c>
      <c r="BC312" s="106" t="str">
        <f>IFERROR(VLOOKUP(TRIM(Q312),'Salary Map'!A:E,3,FALSE),"Salary Code Not Mapped")</f>
        <v>Default</v>
      </c>
      <c r="BD312" s="106" t="str">
        <f>IFERROR(VLOOKUP(TRIM(Q312),'Salary Map'!A:E,4,FALSE),"Salary Code Not Mapped")</f>
        <v>General</v>
      </c>
      <c r="BE312" s="106">
        <f>IF(BL312="N",0,IFERROR(VLOOKUP(TRIM(Q312),'Salary Map'!A:E,5,FALSE),"Salary Not Mapped"))</f>
        <v>0</v>
      </c>
      <c r="BF312" s="106" t="str">
        <f>IFERROR(VLOOKUP(AM312,'Country Map'!A:E,2,FALSE),"Country Not Mapped")</f>
        <v>SE</v>
      </c>
      <c r="BH312" s="106" t="str">
        <f>IFERROR(VLOOKUP(AM312,'Country Map'!A:E,4,FALSE),"Country Not Mapped")</f>
        <v>SEK</v>
      </c>
      <c r="BJ312" s="106" t="str">
        <f>IFERROR(VLOOKUP(X312,'Status Map'!A:B,2,FALSE),"Status Code Not Mapped")</f>
        <v>Y</v>
      </c>
      <c r="BL312" s="106" t="str">
        <f>IFERROR(VLOOKUP(D312,'Invoice Exception Map'!A:C,3,FALSE),"N")</f>
        <v>N</v>
      </c>
      <c r="BM312" s="106">
        <f t="shared" si="26"/>
        <v>8</v>
      </c>
      <c r="BN312" s="106" t="str">
        <f t="shared" si="27"/>
        <v>LÄGERUD</v>
      </c>
      <c r="BO312" s="106" t="str">
        <f t="shared" si="28"/>
        <v>JONAS</v>
      </c>
    </row>
    <row r="313" spans="1:67" ht="16" thickBot="1" x14ac:dyDescent="0.25">
      <c r="A313" s="90" t="s">
        <v>2298</v>
      </c>
      <c r="B313" s="90" t="s">
        <v>2717</v>
      </c>
      <c r="C313" s="90" t="s">
        <v>2718</v>
      </c>
      <c r="D313" s="90" t="s">
        <v>3700</v>
      </c>
      <c r="E313" s="90" t="s">
        <v>1953</v>
      </c>
      <c r="F313" s="90" t="s">
        <v>2860</v>
      </c>
      <c r="G313" s="90" t="s">
        <v>2849</v>
      </c>
      <c r="H313" s="90" t="s">
        <v>1943</v>
      </c>
      <c r="I313" s="90" t="s">
        <v>1944</v>
      </c>
      <c r="J313" s="90" t="s">
        <v>549</v>
      </c>
      <c r="K313" s="90" t="s">
        <v>2850</v>
      </c>
      <c r="L313" s="90" t="s">
        <v>2042</v>
      </c>
      <c r="M313" s="87" t="s">
        <v>1945</v>
      </c>
      <c r="N313" s="87" t="s">
        <v>549</v>
      </c>
      <c r="O313" s="88">
        <v>35275</v>
      </c>
      <c r="P313" s="89">
        <v>30.1</v>
      </c>
      <c r="Q313" s="90" t="s">
        <v>287</v>
      </c>
      <c r="R313" s="90" t="s">
        <v>3276</v>
      </c>
      <c r="S313" s="90" t="s">
        <v>2578</v>
      </c>
      <c r="T313" s="90" t="s">
        <v>2305</v>
      </c>
      <c r="U313" s="90" t="s">
        <v>1640</v>
      </c>
      <c r="V313" s="88">
        <v>35275</v>
      </c>
      <c r="W313" s="88">
        <v>35275</v>
      </c>
      <c r="X313" s="90" t="s">
        <v>43</v>
      </c>
      <c r="Y313" s="90" t="s">
        <v>257</v>
      </c>
      <c r="Z313" s="90" t="s">
        <v>36</v>
      </c>
      <c r="AA313" s="91"/>
      <c r="AB313" s="91"/>
      <c r="AC313" s="90" t="s">
        <v>2051</v>
      </c>
      <c r="AD313" s="90" t="s">
        <v>267</v>
      </c>
      <c r="AE313" s="90" t="s">
        <v>1636</v>
      </c>
      <c r="AF313" s="90" t="s">
        <v>1947</v>
      </c>
      <c r="AG313" s="90" t="s">
        <v>2793</v>
      </c>
      <c r="AH313" s="90" t="s">
        <v>1988</v>
      </c>
      <c r="AI313" s="90" t="s">
        <v>1988</v>
      </c>
      <c r="AJ313" s="90" t="s">
        <v>2051</v>
      </c>
      <c r="AK313" s="90" t="s">
        <v>36</v>
      </c>
      <c r="AL313" s="90" t="s">
        <v>1635</v>
      </c>
      <c r="AM313" s="90" t="s">
        <v>2307</v>
      </c>
      <c r="AN313" s="90" t="s">
        <v>2054</v>
      </c>
      <c r="AO313" s="87" t="s">
        <v>1949</v>
      </c>
      <c r="AP313" s="87" t="s">
        <v>1950</v>
      </c>
      <c r="AQ313" s="90" t="s">
        <v>2861</v>
      </c>
      <c r="AR313" s="92">
        <v>78000</v>
      </c>
      <c r="AS313" s="92">
        <v>97000</v>
      </c>
      <c r="AT313" s="92">
        <v>121000</v>
      </c>
      <c r="AU313" s="87" t="s">
        <v>1951</v>
      </c>
      <c r="AV313" s="87" t="s">
        <v>1952</v>
      </c>
      <c r="AW313" s="91"/>
      <c r="AX313" s="91"/>
      <c r="AY313" s="91"/>
      <c r="AZ313" t="str">
        <f t="shared" si="24"/>
        <v>211474</v>
      </c>
      <c r="BA313" t="str">
        <f t="shared" si="25"/>
        <v>0077</v>
      </c>
      <c r="BB313" t="str">
        <f t="shared" si="29"/>
        <v>0000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>IFERROR(VLOOKUP(X313,'Status Map'!A:B,2,FALSE),"Status Code Not Mapped")</f>
        <v>Y</v>
      </c>
      <c r="BL313" t="str">
        <f>IFERROR(VLOOKUP(D313,'Invoice Exception Map'!A:C,3,FALSE),"N")</f>
        <v>N</v>
      </c>
      <c r="BM313">
        <f t="shared" si="26"/>
        <v>12</v>
      </c>
      <c r="BN313" t="str">
        <f t="shared" si="27"/>
        <v>LENNARTSSON</v>
      </c>
      <c r="BO313" t="str">
        <f t="shared" si="28"/>
        <v>MARKUS</v>
      </c>
    </row>
    <row r="314" spans="1:67" ht="16" thickBot="1" x14ac:dyDescent="0.25">
      <c r="A314" s="90" t="s">
        <v>2298</v>
      </c>
      <c r="B314" s="90" t="s">
        <v>2717</v>
      </c>
      <c r="C314" s="90" t="s">
        <v>2718</v>
      </c>
      <c r="D314" s="90" t="s">
        <v>3701</v>
      </c>
      <c r="E314" s="90" t="s">
        <v>1953</v>
      </c>
      <c r="F314" s="90" t="s">
        <v>2862</v>
      </c>
      <c r="G314" s="90" t="s">
        <v>2023</v>
      </c>
      <c r="H314" s="90" t="s">
        <v>1943</v>
      </c>
      <c r="I314" s="90" t="s">
        <v>1944</v>
      </c>
      <c r="J314" s="90" t="s">
        <v>1955</v>
      </c>
      <c r="K314" s="90" t="s">
        <v>593</v>
      </c>
      <c r="L314" s="90" t="s">
        <v>2863</v>
      </c>
      <c r="M314" s="87" t="s">
        <v>2024</v>
      </c>
      <c r="N314" s="87" t="s">
        <v>78</v>
      </c>
      <c r="O314" s="88">
        <v>45371</v>
      </c>
      <c r="P314" s="89">
        <v>2.4</v>
      </c>
      <c r="Q314" s="90" t="s">
        <v>504</v>
      </c>
      <c r="R314" s="90" t="s">
        <v>584</v>
      </c>
      <c r="S314" s="90" t="s">
        <v>73</v>
      </c>
      <c r="T314" s="90" t="s">
        <v>2305</v>
      </c>
      <c r="U314" s="90" t="s">
        <v>1640</v>
      </c>
      <c r="V314" s="88">
        <v>45371</v>
      </c>
      <c r="W314" s="88">
        <v>45371</v>
      </c>
      <c r="X314" s="90" t="s">
        <v>43</v>
      </c>
      <c r="Y314" s="90" t="s">
        <v>257</v>
      </c>
      <c r="Z314" s="90" t="s">
        <v>36</v>
      </c>
      <c r="AA314" s="91"/>
      <c r="AB314" s="91"/>
      <c r="AC314" s="90" t="s">
        <v>2051</v>
      </c>
      <c r="AD314" s="90" t="s">
        <v>267</v>
      </c>
      <c r="AE314" s="90" t="s">
        <v>1636</v>
      </c>
      <c r="AF314" s="90" t="s">
        <v>1947</v>
      </c>
      <c r="AG314" s="90" t="s">
        <v>3289</v>
      </c>
      <c r="AH314" s="90" t="s">
        <v>2864</v>
      </c>
      <c r="AI314" s="90" t="s">
        <v>2864</v>
      </c>
      <c r="AJ314" s="90" t="s">
        <v>2051</v>
      </c>
      <c r="AK314" s="90" t="s">
        <v>2865</v>
      </c>
      <c r="AL314" s="90" t="s">
        <v>1635</v>
      </c>
      <c r="AM314" s="90" t="s">
        <v>2307</v>
      </c>
      <c r="AN314" s="90" t="s">
        <v>2866</v>
      </c>
      <c r="AO314" s="87" t="s">
        <v>1949</v>
      </c>
      <c r="AP314" s="87" t="s">
        <v>1950</v>
      </c>
      <c r="AQ314" s="90" t="s">
        <v>2867</v>
      </c>
      <c r="AR314" s="92">
        <v>62000</v>
      </c>
      <c r="AS314" s="92">
        <v>78000</v>
      </c>
      <c r="AT314" s="92">
        <v>97000</v>
      </c>
      <c r="AU314" s="87" t="s">
        <v>1951</v>
      </c>
      <c r="AV314" s="87" t="s">
        <v>1966</v>
      </c>
      <c r="AW314" s="91"/>
      <c r="AX314" s="91"/>
      <c r="AY314" s="91"/>
      <c r="AZ314" t="str">
        <f t="shared" si="24"/>
        <v>211766</v>
      </c>
      <c r="BA314" t="str">
        <f t="shared" si="25"/>
        <v>0077</v>
      </c>
      <c r="BB314" t="str">
        <f t="shared" si="29"/>
        <v>0000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>IFERROR(VLOOKUP(X314,'Status Map'!A:B,2,FALSE),"Status Code Not Mapped")</f>
        <v>Y</v>
      </c>
      <c r="BL314" t="str">
        <f>IFERROR(VLOOKUP(D314,'Invoice Exception Map'!A:C,3,FALSE),"N")</f>
        <v>N</v>
      </c>
      <c r="BM314">
        <f t="shared" si="26"/>
        <v>12</v>
      </c>
      <c r="BN314" t="str">
        <f t="shared" si="27"/>
        <v>Lewandowska</v>
      </c>
      <c r="BO314" t="str">
        <f t="shared" si="28"/>
        <v>Daria</v>
      </c>
    </row>
    <row r="315" spans="1:67" ht="16" thickBot="1" x14ac:dyDescent="0.25">
      <c r="A315" s="90" t="s">
        <v>2298</v>
      </c>
      <c r="B315" s="90" t="s">
        <v>2717</v>
      </c>
      <c r="C315" s="90" t="s">
        <v>2718</v>
      </c>
      <c r="D315" s="90" t="s">
        <v>3702</v>
      </c>
      <c r="E315" s="90" t="s">
        <v>1953</v>
      </c>
      <c r="F315" s="90" t="s">
        <v>2868</v>
      </c>
      <c r="G315" s="90" t="s">
        <v>2763</v>
      </c>
      <c r="H315" s="90" t="s">
        <v>1943</v>
      </c>
      <c r="I315" s="90" t="s">
        <v>1944</v>
      </c>
      <c r="J315" s="90" t="s">
        <v>241</v>
      </c>
      <c r="K315" s="90" t="s">
        <v>2764</v>
      </c>
      <c r="L315" s="90" t="s">
        <v>2869</v>
      </c>
      <c r="M315" s="87" t="s">
        <v>1945</v>
      </c>
      <c r="N315" s="87" t="s">
        <v>1978</v>
      </c>
      <c r="O315" s="88">
        <v>36927</v>
      </c>
      <c r="P315" s="89">
        <v>25.5</v>
      </c>
      <c r="Q315" s="90" t="s">
        <v>151</v>
      </c>
      <c r="R315" s="90" t="s">
        <v>3264</v>
      </c>
      <c r="S315" s="90" t="s">
        <v>2363</v>
      </c>
      <c r="T315" s="90" t="s">
        <v>2305</v>
      </c>
      <c r="U315" s="90" t="s">
        <v>1640</v>
      </c>
      <c r="V315" s="88">
        <v>36927</v>
      </c>
      <c r="W315" s="88">
        <v>36927</v>
      </c>
      <c r="X315" s="90" t="s">
        <v>43</v>
      </c>
      <c r="Y315" s="90" t="s">
        <v>257</v>
      </c>
      <c r="Z315" s="90" t="s">
        <v>36</v>
      </c>
      <c r="AA315" s="91"/>
      <c r="AB315" s="91"/>
      <c r="AC315" s="90" t="s">
        <v>2051</v>
      </c>
      <c r="AD315" s="90" t="s">
        <v>267</v>
      </c>
      <c r="AE315" s="90" t="s">
        <v>1636</v>
      </c>
      <c r="AF315" s="90" t="s">
        <v>1947</v>
      </c>
      <c r="AG315" s="90" t="s">
        <v>3271</v>
      </c>
      <c r="AH315" s="90" t="s">
        <v>1876</v>
      </c>
      <c r="AI315" s="90" t="s">
        <v>1876</v>
      </c>
      <c r="AJ315" s="90" t="s">
        <v>2051</v>
      </c>
      <c r="AK315" s="90" t="s">
        <v>36</v>
      </c>
      <c r="AL315" s="90" t="s">
        <v>1635</v>
      </c>
      <c r="AM315" s="90" t="s">
        <v>2307</v>
      </c>
      <c r="AN315" s="90" t="s">
        <v>2054</v>
      </c>
      <c r="AO315" s="87" t="s">
        <v>1949</v>
      </c>
      <c r="AP315" s="87" t="s">
        <v>1950</v>
      </c>
      <c r="AQ315" s="90" t="s">
        <v>2870</v>
      </c>
      <c r="AR315" s="92">
        <v>88000</v>
      </c>
      <c r="AS315" s="92">
        <v>110000</v>
      </c>
      <c r="AT315" s="92">
        <v>137000</v>
      </c>
      <c r="AU315" s="87" t="s">
        <v>1951</v>
      </c>
      <c r="AV315" s="87" t="s">
        <v>1952</v>
      </c>
      <c r="AW315" s="91"/>
      <c r="AX315" s="91"/>
      <c r="AY315" s="91"/>
      <c r="AZ315" t="str">
        <f t="shared" si="24"/>
        <v>213066</v>
      </c>
      <c r="BA315" t="str">
        <f t="shared" si="25"/>
        <v>0077</v>
      </c>
      <c r="BB315" t="str">
        <f t="shared" si="29"/>
        <v>0000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>IFERROR(VLOOKUP(X315,'Status Map'!A:B,2,FALSE),"Status Code Not Mapped")</f>
        <v>Y</v>
      </c>
      <c r="BL315" t="str">
        <f>IFERROR(VLOOKUP(D315,'Invoice Exception Map'!A:C,3,FALSE),"N")</f>
        <v>N</v>
      </c>
      <c r="BM315">
        <f t="shared" si="26"/>
        <v>6</v>
      </c>
      <c r="BN315" t="str">
        <f t="shared" si="27"/>
        <v>LÖÖKE</v>
      </c>
      <c r="BO315" t="str">
        <f t="shared" si="28"/>
        <v>PETER</v>
      </c>
    </row>
    <row r="316" spans="1:67" ht="16" thickBot="1" x14ac:dyDescent="0.25">
      <c r="A316" s="90" t="s">
        <v>2298</v>
      </c>
      <c r="B316" s="90" t="s">
        <v>2717</v>
      </c>
      <c r="C316" s="90" t="s">
        <v>2718</v>
      </c>
      <c r="D316" s="90" t="s">
        <v>3260</v>
      </c>
      <c r="E316" s="90" t="s">
        <v>1953</v>
      </c>
      <c r="F316" s="90" t="s">
        <v>2339</v>
      </c>
      <c r="G316" s="90" t="s">
        <v>2037</v>
      </c>
      <c r="H316" s="90" t="s">
        <v>1943</v>
      </c>
      <c r="I316" s="90" t="s">
        <v>1944</v>
      </c>
      <c r="J316" s="90" t="s">
        <v>427</v>
      </c>
      <c r="K316" s="90" t="s">
        <v>541</v>
      </c>
      <c r="L316" s="90" t="s">
        <v>2871</v>
      </c>
      <c r="M316" s="87" t="s">
        <v>1984</v>
      </c>
      <c r="N316" s="87" t="s">
        <v>2021</v>
      </c>
      <c r="O316" s="88">
        <v>36969</v>
      </c>
      <c r="P316" s="89">
        <v>25.4</v>
      </c>
      <c r="Q316" s="90" t="s">
        <v>213</v>
      </c>
      <c r="R316" s="90" t="s">
        <v>3269</v>
      </c>
      <c r="S316" s="90" t="s">
        <v>2398</v>
      </c>
      <c r="T316" s="90" t="s">
        <v>2305</v>
      </c>
      <c r="U316" s="90" t="s">
        <v>1640</v>
      </c>
      <c r="V316" s="88">
        <v>36969</v>
      </c>
      <c r="W316" s="88">
        <v>36969</v>
      </c>
      <c r="X316" s="90" t="s">
        <v>43</v>
      </c>
      <c r="Y316" s="90" t="s">
        <v>257</v>
      </c>
      <c r="Z316" s="90" t="s">
        <v>36</v>
      </c>
      <c r="AA316" s="91"/>
      <c r="AB316" s="91"/>
      <c r="AC316" s="90" t="s">
        <v>2051</v>
      </c>
      <c r="AD316" s="90" t="s">
        <v>267</v>
      </c>
      <c r="AE316" s="90" t="s">
        <v>1636</v>
      </c>
      <c r="AF316" s="90" t="s">
        <v>1947</v>
      </c>
      <c r="AG316" s="90" t="s">
        <v>3265</v>
      </c>
      <c r="AH316" s="90" t="s">
        <v>2006</v>
      </c>
      <c r="AI316" s="90" t="s">
        <v>2006</v>
      </c>
      <c r="AJ316" s="90" t="s">
        <v>2051</v>
      </c>
      <c r="AK316" s="90" t="s">
        <v>36</v>
      </c>
      <c r="AL316" s="90" t="s">
        <v>1635</v>
      </c>
      <c r="AM316" s="90" t="s">
        <v>2307</v>
      </c>
      <c r="AN316" s="90" t="s">
        <v>2054</v>
      </c>
      <c r="AO316" s="87" t="s">
        <v>1949</v>
      </c>
      <c r="AP316" s="87" t="s">
        <v>1950</v>
      </c>
      <c r="AQ316" s="90" t="s">
        <v>2872</v>
      </c>
      <c r="AR316" s="92">
        <v>38000</v>
      </c>
      <c r="AS316" s="92">
        <v>47000</v>
      </c>
      <c r="AT316" s="92">
        <v>59000</v>
      </c>
      <c r="AU316" s="87" t="s">
        <v>1972</v>
      </c>
      <c r="AV316" s="87" t="s">
        <v>1973</v>
      </c>
      <c r="AW316" s="91"/>
      <c r="AX316" s="91"/>
      <c r="AY316" s="91"/>
      <c r="AZ316" t="str">
        <f t="shared" ref="AZ316:AZ355" si="30">R316</f>
        <v>205058</v>
      </c>
      <c r="BA316" t="str">
        <f t="shared" ref="BA316:BA355" si="31">U316</f>
        <v>0077</v>
      </c>
      <c r="BB316" t="str">
        <f t="shared" si="29"/>
        <v>0000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>IFERROR(VLOOKUP(X316,'Status Map'!A:B,2,FALSE),"Status Code Not Mapped")</f>
        <v>Y</v>
      </c>
      <c r="BL316" t="str">
        <f>IFERROR(VLOOKUP(D316,'Invoice Exception Map'!A:C,3,FALSE),"N")</f>
        <v>N</v>
      </c>
      <c r="BM316">
        <f t="shared" ref="BM316:BM355" si="32">FIND(",",F316,1)</f>
        <v>6</v>
      </c>
      <c r="BN316" t="str">
        <f t="shared" ref="BN316:BN355" si="33">LEFT(F316,BM316-1)</f>
        <v>LÖÖKE</v>
      </c>
      <c r="BO316" t="str">
        <f t="shared" ref="BO316:BO355" si="34">MID(F316,BM316+2,45)</f>
        <v>THOMAS</v>
      </c>
    </row>
    <row r="317" spans="1:67" ht="16" thickBot="1" x14ac:dyDescent="0.25">
      <c r="A317" s="90" t="s">
        <v>2298</v>
      </c>
      <c r="B317" s="90" t="s">
        <v>2717</v>
      </c>
      <c r="C317" s="90" t="s">
        <v>2718</v>
      </c>
      <c r="D317" s="90" t="s">
        <v>3287</v>
      </c>
      <c r="E317" s="90" t="s">
        <v>1953</v>
      </c>
      <c r="F317" s="90" t="s">
        <v>2833</v>
      </c>
      <c r="G317" s="90" t="s">
        <v>2873</v>
      </c>
      <c r="H317" s="90" t="s">
        <v>1943</v>
      </c>
      <c r="I317" s="90" t="s">
        <v>1944</v>
      </c>
      <c r="J317" s="90" t="s">
        <v>692</v>
      </c>
      <c r="K317" s="90" t="s">
        <v>2874</v>
      </c>
      <c r="L317" s="90" t="s">
        <v>2875</v>
      </c>
      <c r="M317" s="87" t="s">
        <v>1945</v>
      </c>
      <c r="N317" s="87" t="s">
        <v>1987</v>
      </c>
      <c r="O317" s="88">
        <v>43977</v>
      </c>
      <c r="P317" s="89">
        <v>6.3</v>
      </c>
      <c r="Q317" s="90" t="s">
        <v>118</v>
      </c>
      <c r="R317" s="90" t="s">
        <v>3171</v>
      </c>
      <c r="S317" s="90" t="s">
        <v>2216</v>
      </c>
      <c r="T317" s="90" t="s">
        <v>2305</v>
      </c>
      <c r="U317" s="90" t="s">
        <v>1640</v>
      </c>
      <c r="V317" s="88">
        <v>43977</v>
      </c>
      <c r="W317" s="88">
        <v>43977</v>
      </c>
      <c r="X317" s="90" t="s">
        <v>43</v>
      </c>
      <c r="Y317" s="90" t="s">
        <v>257</v>
      </c>
      <c r="Z317" s="90" t="s">
        <v>36</v>
      </c>
      <c r="AA317" s="91"/>
      <c r="AB317" s="91"/>
      <c r="AC317" s="90" t="s">
        <v>2051</v>
      </c>
      <c r="AD317" s="90" t="s">
        <v>267</v>
      </c>
      <c r="AE317" s="90" t="s">
        <v>1636</v>
      </c>
      <c r="AF317" s="90" t="s">
        <v>1947</v>
      </c>
      <c r="AG317" s="90" t="s">
        <v>2793</v>
      </c>
      <c r="AH317" s="90" t="s">
        <v>2113</v>
      </c>
      <c r="AI317" s="90" t="s">
        <v>2113</v>
      </c>
      <c r="AJ317" s="90" t="s">
        <v>2051</v>
      </c>
      <c r="AK317" s="90" t="s">
        <v>36</v>
      </c>
      <c r="AL317" s="90" t="s">
        <v>1635</v>
      </c>
      <c r="AM317" s="90" t="s">
        <v>2307</v>
      </c>
      <c r="AN317" s="90" t="s">
        <v>2054</v>
      </c>
      <c r="AO317" s="87" t="s">
        <v>1949</v>
      </c>
      <c r="AP317" s="87" t="s">
        <v>1950</v>
      </c>
      <c r="AQ317" s="90" t="s">
        <v>2876</v>
      </c>
      <c r="AR317" s="92">
        <v>69000</v>
      </c>
      <c r="AS317" s="92">
        <v>87000</v>
      </c>
      <c r="AT317" s="92">
        <v>108000</v>
      </c>
      <c r="AU317" s="87" t="s">
        <v>1951</v>
      </c>
      <c r="AV317" s="87" t="s">
        <v>1966</v>
      </c>
      <c r="AW317" s="91"/>
      <c r="AX317" s="91"/>
      <c r="AY317" s="91"/>
      <c r="AZ317" t="str">
        <f t="shared" si="30"/>
        <v>213453</v>
      </c>
      <c r="BA317" t="str">
        <f t="shared" si="31"/>
        <v>0077</v>
      </c>
      <c r="BB317" t="str">
        <f t="shared" si="29"/>
        <v>0000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>IFERROR(VLOOKUP(X317,'Status Map'!A:B,2,FALSE),"Status Code Not Mapped")</f>
        <v>Y</v>
      </c>
      <c r="BL317" t="str">
        <f>IFERROR(VLOOKUP(D317,'Invoice Exception Map'!A:C,3,FALSE),"N")</f>
        <v>N</v>
      </c>
      <c r="BM317">
        <f t="shared" si="32"/>
        <v>10</v>
      </c>
      <c r="BN317" t="str">
        <f t="shared" si="33"/>
        <v>MAGNUSSON</v>
      </c>
      <c r="BO317" t="str">
        <f t="shared" si="34"/>
        <v>PETRA</v>
      </c>
    </row>
    <row r="318" spans="1:67" ht="16" thickBot="1" x14ac:dyDescent="0.25">
      <c r="A318" s="90" t="s">
        <v>2298</v>
      </c>
      <c r="B318" s="90" t="s">
        <v>2717</v>
      </c>
      <c r="C318" s="90" t="s">
        <v>2718</v>
      </c>
      <c r="D318" s="90" t="s">
        <v>3703</v>
      </c>
      <c r="E318" s="90" t="s">
        <v>1953</v>
      </c>
      <c r="F318" s="90" t="s">
        <v>2877</v>
      </c>
      <c r="G318" s="90" t="s">
        <v>2726</v>
      </c>
      <c r="H318" s="90" t="s">
        <v>1943</v>
      </c>
      <c r="I318" s="90" t="s">
        <v>1944</v>
      </c>
      <c r="J318" s="90" t="s">
        <v>241</v>
      </c>
      <c r="K318" s="90" t="s">
        <v>2727</v>
      </c>
      <c r="L318" s="90" t="s">
        <v>2728</v>
      </c>
      <c r="M318" s="87" t="s">
        <v>1963</v>
      </c>
      <c r="N318" s="87" t="s">
        <v>2014</v>
      </c>
      <c r="O318" s="88">
        <v>44634</v>
      </c>
      <c r="P318" s="89">
        <v>4.5</v>
      </c>
      <c r="Q318" s="90" t="s">
        <v>118</v>
      </c>
      <c r="R318" s="90" t="s">
        <v>3264</v>
      </c>
      <c r="S318" s="90" t="s">
        <v>2363</v>
      </c>
      <c r="T318" s="90" t="s">
        <v>2305</v>
      </c>
      <c r="U318" s="90" t="s">
        <v>1640</v>
      </c>
      <c r="V318" s="88">
        <v>44634</v>
      </c>
      <c r="W318" s="88">
        <v>44634</v>
      </c>
      <c r="X318" s="90" t="s">
        <v>43</v>
      </c>
      <c r="Y318" s="90" t="s">
        <v>257</v>
      </c>
      <c r="Z318" s="90" t="s">
        <v>36</v>
      </c>
      <c r="AA318" s="91"/>
      <c r="AB318" s="91"/>
      <c r="AC318" s="90" t="s">
        <v>2051</v>
      </c>
      <c r="AD318" s="90" t="s">
        <v>267</v>
      </c>
      <c r="AE318" s="90" t="s">
        <v>1636</v>
      </c>
      <c r="AF318" s="90" t="s">
        <v>1947</v>
      </c>
      <c r="AG318" s="90" t="s">
        <v>3266</v>
      </c>
      <c r="AH318" s="90" t="s">
        <v>1876</v>
      </c>
      <c r="AI318" s="90" t="s">
        <v>1876</v>
      </c>
      <c r="AJ318" s="90" t="s">
        <v>2051</v>
      </c>
      <c r="AK318" s="91"/>
      <c r="AL318" s="90" t="s">
        <v>1635</v>
      </c>
      <c r="AM318" s="90" t="s">
        <v>2307</v>
      </c>
      <c r="AN318" s="90" t="s">
        <v>2054</v>
      </c>
      <c r="AO318" s="87" t="s">
        <v>1949</v>
      </c>
      <c r="AP318" s="87" t="s">
        <v>1950</v>
      </c>
      <c r="AQ318" s="90" t="s">
        <v>2878</v>
      </c>
      <c r="AR318" s="92">
        <v>69000</v>
      </c>
      <c r="AS318" s="92">
        <v>87000</v>
      </c>
      <c r="AT318" s="92">
        <v>108000</v>
      </c>
      <c r="AU318" s="87" t="s">
        <v>1951</v>
      </c>
      <c r="AV318" s="87" t="s">
        <v>1966</v>
      </c>
      <c r="AW318" s="91"/>
      <c r="AX318" s="91"/>
      <c r="AY318" s="91"/>
      <c r="AZ318" t="str">
        <f t="shared" si="30"/>
        <v>213066</v>
      </c>
      <c r="BA318" t="str">
        <f t="shared" si="31"/>
        <v>0077</v>
      </c>
      <c r="BB318" t="str">
        <f t="shared" si="29"/>
        <v>0000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>IFERROR(VLOOKUP(X318,'Status Map'!A:B,2,FALSE),"Status Code Not Mapped")</f>
        <v>Y</v>
      </c>
      <c r="BL318" t="str">
        <f>IFERROR(VLOOKUP(D318,'Invoice Exception Map'!A:C,3,FALSE),"N")</f>
        <v>N</v>
      </c>
      <c r="BM318">
        <f t="shared" si="32"/>
        <v>9</v>
      </c>
      <c r="BN318" t="str">
        <f t="shared" si="33"/>
        <v>MÅLQUIST</v>
      </c>
      <c r="BO318" t="str">
        <f t="shared" si="34"/>
        <v>CHRISTER</v>
      </c>
    </row>
    <row r="319" spans="1:67" ht="16" thickBot="1" x14ac:dyDescent="0.25">
      <c r="A319" s="90" t="s">
        <v>2298</v>
      </c>
      <c r="B319" s="90" t="s">
        <v>2717</v>
      </c>
      <c r="C319" s="90" t="s">
        <v>2718</v>
      </c>
      <c r="D319" s="90" t="s">
        <v>3704</v>
      </c>
      <c r="E319" s="90" t="s">
        <v>1953</v>
      </c>
      <c r="F319" s="90" t="s">
        <v>2879</v>
      </c>
      <c r="G319" s="90" t="s">
        <v>2735</v>
      </c>
      <c r="H319" s="90" t="s">
        <v>1943</v>
      </c>
      <c r="I319" s="90" t="s">
        <v>1944</v>
      </c>
      <c r="J319" s="90" t="s">
        <v>241</v>
      </c>
      <c r="K319" s="90" t="s">
        <v>2721</v>
      </c>
      <c r="L319" s="90" t="s">
        <v>2722</v>
      </c>
      <c r="M319" s="87" t="s">
        <v>1963</v>
      </c>
      <c r="N319" s="87" t="s">
        <v>1994</v>
      </c>
      <c r="O319" s="88">
        <v>45670</v>
      </c>
      <c r="P319" s="89">
        <v>1.6</v>
      </c>
      <c r="Q319" s="90" t="s">
        <v>305</v>
      </c>
      <c r="R319" s="90" t="s">
        <v>3279</v>
      </c>
      <c r="S319" s="90" t="s">
        <v>2723</v>
      </c>
      <c r="T319" s="90" t="s">
        <v>2305</v>
      </c>
      <c r="U319" s="90" t="s">
        <v>1640</v>
      </c>
      <c r="V319" s="88">
        <v>45670</v>
      </c>
      <c r="W319" s="88">
        <v>45670</v>
      </c>
      <c r="X319" s="90" t="s">
        <v>43</v>
      </c>
      <c r="Y319" s="90" t="s">
        <v>257</v>
      </c>
      <c r="Z319" s="90" t="s">
        <v>36</v>
      </c>
      <c r="AA319" s="91"/>
      <c r="AB319" s="91"/>
      <c r="AC319" s="90" t="s">
        <v>2051</v>
      </c>
      <c r="AD319" s="90" t="s">
        <v>267</v>
      </c>
      <c r="AE319" s="90" t="s">
        <v>1636</v>
      </c>
      <c r="AF319" s="90" t="s">
        <v>1947</v>
      </c>
      <c r="AG319" s="90" t="s">
        <v>3258</v>
      </c>
      <c r="AH319" s="91"/>
      <c r="AI319" s="91"/>
      <c r="AJ319" s="90" t="s">
        <v>2051</v>
      </c>
      <c r="AK319" s="91"/>
      <c r="AL319" s="90" t="s">
        <v>1635</v>
      </c>
      <c r="AM319" s="90" t="s">
        <v>2307</v>
      </c>
      <c r="AN319" s="90" t="s">
        <v>2054</v>
      </c>
      <c r="AO319" s="87" t="s">
        <v>1949</v>
      </c>
      <c r="AP319" s="87" t="s">
        <v>1950</v>
      </c>
      <c r="AQ319" s="90" t="s">
        <v>2880</v>
      </c>
      <c r="AR319" s="92">
        <v>50000</v>
      </c>
      <c r="AS319" s="92">
        <v>62000</v>
      </c>
      <c r="AT319" s="92">
        <v>77000</v>
      </c>
      <c r="AU319" s="87" t="s">
        <v>1972</v>
      </c>
      <c r="AV319" s="87" t="s">
        <v>1973</v>
      </c>
      <c r="AW319" s="91"/>
      <c r="AX319" s="91"/>
      <c r="AY319" s="91"/>
      <c r="AZ319" t="str">
        <f t="shared" si="30"/>
        <v>211600</v>
      </c>
      <c r="BA319" t="str">
        <f t="shared" si="31"/>
        <v>0077</v>
      </c>
      <c r="BB319" t="str">
        <f t="shared" si="29"/>
        <v>0000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>IFERROR(VLOOKUP(X319,'Status Map'!A:B,2,FALSE),"Status Code Not Mapped")</f>
        <v>Y</v>
      </c>
      <c r="BL319" t="str">
        <f>IFERROR(VLOOKUP(D319,'Invoice Exception Map'!A:C,3,FALSE),"N")</f>
        <v>N</v>
      </c>
      <c r="BM319">
        <f t="shared" si="32"/>
        <v>7</v>
      </c>
      <c r="BN319" t="str">
        <f t="shared" si="33"/>
        <v>Milton</v>
      </c>
      <c r="BO319" t="str">
        <f t="shared" si="34"/>
        <v>Ludvig</v>
      </c>
    </row>
    <row r="320" spans="1:67" ht="16" thickBot="1" x14ac:dyDescent="0.25">
      <c r="A320" s="90" t="s">
        <v>2298</v>
      </c>
      <c r="B320" s="90" t="s">
        <v>2717</v>
      </c>
      <c r="C320" s="90" t="s">
        <v>2718</v>
      </c>
      <c r="D320" s="90" t="s">
        <v>3705</v>
      </c>
      <c r="E320" s="90" t="s">
        <v>1953</v>
      </c>
      <c r="F320" s="90" t="s">
        <v>2881</v>
      </c>
      <c r="G320" s="90" t="s">
        <v>2015</v>
      </c>
      <c r="H320" s="90" t="s">
        <v>1943</v>
      </c>
      <c r="I320" s="90" t="s">
        <v>1944</v>
      </c>
      <c r="J320" s="90" t="s">
        <v>1955</v>
      </c>
      <c r="K320" s="90" t="s">
        <v>76</v>
      </c>
      <c r="L320" s="90" t="s">
        <v>2882</v>
      </c>
      <c r="M320" s="87" t="s">
        <v>1945</v>
      </c>
      <c r="N320" s="87" t="s">
        <v>78</v>
      </c>
      <c r="O320" s="88">
        <v>44228</v>
      </c>
      <c r="P320" s="89">
        <v>5.5</v>
      </c>
      <c r="Q320" s="90" t="s">
        <v>69</v>
      </c>
      <c r="R320" s="90" t="s">
        <v>584</v>
      </c>
      <c r="S320" s="90" t="s">
        <v>73</v>
      </c>
      <c r="T320" s="90" t="s">
        <v>2305</v>
      </c>
      <c r="U320" s="90" t="s">
        <v>1640</v>
      </c>
      <c r="V320" s="88">
        <v>44228</v>
      </c>
      <c r="W320" s="88">
        <v>44228</v>
      </c>
      <c r="X320" s="90" t="s">
        <v>43</v>
      </c>
      <c r="Y320" s="90" t="s">
        <v>257</v>
      </c>
      <c r="Z320" s="90" t="s">
        <v>36</v>
      </c>
      <c r="AA320" s="91"/>
      <c r="AB320" s="91"/>
      <c r="AC320" s="90" t="s">
        <v>2051</v>
      </c>
      <c r="AD320" s="90" t="s">
        <v>267</v>
      </c>
      <c r="AE320" s="90" t="s">
        <v>1636</v>
      </c>
      <c r="AF320" s="90" t="s">
        <v>1947</v>
      </c>
      <c r="AG320" s="90" t="s">
        <v>3290</v>
      </c>
      <c r="AH320" s="90" t="s">
        <v>2864</v>
      </c>
      <c r="AI320" s="90" t="s">
        <v>2864</v>
      </c>
      <c r="AJ320" s="90" t="s">
        <v>2051</v>
      </c>
      <c r="AK320" s="91"/>
      <c r="AL320" s="90" t="s">
        <v>1635</v>
      </c>
      <c r="AM320" s="90" t="s">
        <v>2307</v>
      </c>
      <c r="AN320" s="90" t="s">
        <v>2054</v>
      </c>
      <c r="AO320" s="87" t="s">
        <v>1949</v>
      </c>
      <c r="AP320" s="87" t="s">
        <v>1950</v>
      </c>
      <c r="AQ320" s="90" t="s">
        <v>2883</v>
      </c>
      <c r="AR320" s="92">
        <v>98000</v>
      </c>
      <c r="AS320" s="92">
        <v>122000</v>
      </c>
      <c r="AT320" s="92">
        <v>153000</v>
      </c>
      <c r="AU320" s="87" t="s">
        <v>1951</v>
      </c>
      <c r="AV320" s="87" t="s">
        <v>1981</v>
      </c>
      <c r="AW320" s="91"/>
      <c r="AX320" s="91"/>
      <c r="AY320" s="91"/>
      <c r="AZ320" t="str">
        <f t="shared" si="30"/>
        <v>211766</v>
      </c>
      <c r="BA320" t="str">
        <f t="shared" si="31"/>
        <v>0077</v>
      </c>
      <c r="BB320" t="str">
        <f t="shared" si="29"/>
        <v>0000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>IFERROR(VLOOKUP(X320,'Status Map'!A:B,2,FALSE),"Status Code Not Mapped")</f>
        <v>Y</v>
      </c>
      <c r="BL320" t="str">
        <f>IFERROR(VLOOKUP(D320,'Invoice Exception Map'!A:C,3,FALSE),"N")</f>
        <v>N</v>
      </c>
      <c r="BM320">
        <f t="shared" si="32"/>
        <v>7</v>
      </c>
      <c r="BN320" t="str">
        <f t="shared" si="33"/>
        <v>Moline</v>
      </c>
      <c r="BO320" t="str">
        <f t="shared" si="34"/>
        <v>Nate</v>
      </c>
    </row>
    <row r="321" spans="1:67" ht="16" thickBot="1" x14ac:dyDescent="0.25">
      <c r="A321" s="90" t="s">
        <v>2298</v>
      </c>
      <c r="B321" s="90" t="s">
        <v>2717</v>
      </c>
      <c r="C321" s="90" t="s">
        <v>2718</v>
      </c>
      <c r="D321" s="90" t="s">
        <v>3706</v>
      </c>
      <c r="E321" s="90" t="s">
        <v>1953</v>
      </c>
      <c r="F321" s="90" t="s">
        <v>2884</v>
      </c>
      <c r="G321" s="90" t="s">
        <v>2885</v>
      </c>
      <c r="H321" s="90" t="s">
        <v>1943</v>
      </c>
      <c r="I321" s="90" t="s">
        <v>1944</v>
      </c>
      <c r="J321" s="90" t="s">
        <v>427</v>
      </c>
      <c r="K321" s="90" t="s">
        <v>2886</v>
      </c>
      <c r="L321" s="90" t="s">
        <v>2871</v>
      </c>
      <c r="M321" s="87" t="s">
        <v>1984</v>
      </c>
      <c r="N321" s="87" t="s">
        <v>2021</v>
      </c>
      <c r="O321" s="88">
        <v>44539</v>
      </c>
      <c r="P321" s="89">
        <v>4.7</v>
      </c>
      <c r="Q321" s="90" t="s">
        <v>3291</v>
      </c>
      <c r="R321" s="90" t="s">
        <v>3269</v>
      </c>
      <c r="S321" s="90" t="s">
        <v>2398</v>
      </c>
      <c r="T321" s="90" t="s">
        <v>2305</v>
      </c>
      <c r="U321" s="90" t="s">
        <v>1640</v>
      </c>
      <c r="V321" s="88">
        <v>44539</v>
      </c>
      <c r="W321" s="88">
        <v>44539</v>
      </c>
      <c r="X321" s="90" t="s">
        <v>43</v>
      </c>
      <c r="Y321" s="90" t="s">
        <v>257</v>
      </c>
      <c r="Z321" s="90" t="s">
        <v>36</v>
      </c>
      <c r="AA321" s="91"/>
      <c r="AB321" s="91"/>
      <c r="AC321" s="90" t="s">
        <v>2051</v>
      </c>
      <c r="AD321" s="90" t="s">
        <v>267</v>
      </c>
      <c r="AE321" s="90" t="s">
        <v>1636</v>
      </c>
      <c r="AF321" s="90" t="s">
        <v>1947</v>
      </c>
      <c r="AG321" s="90" t="s">
        <v>3292</v>
      </c>
      <c r="AH321" s="90" t="s">
        <v>2006</v>
      </c>
      <c r="AI321" s="90" t="s">
        <v>2006</v>
      </c>
      <c r="AJ321" s="90" t="s">
        <v>2051</v>
      </c>
      <c r="AK321" s="90" t="s">
        <v>36</v>
      </c>
      <c r="AL321" s="90" t="s">
        <v>1635</v>
      </c>
      <c r="AM321" s="90" t="s">
        <v>2307</v>
      </c>
      <c r="AN321" s="90" t="s">
        <v>2054</v>
      </c>
      <c r="AO321" s="87" t="s">
        <v>1949</v>
      </c>
      <c r="AP321" s="87" t="s">
        <v>1950</v>
      </c>
      <c r="AQ321" s="90" t="s">
        <v>2887</v>
      </c>
      <c r="AR321" s="92">
        <v>45000</v>
      </c>
      <c r="AS321" s="92">
        <v>55000</v>
      </c>
      <c r="AT321" s="92">
        <v>69000</v>
      </c>
      <c r="AU321" s="87" t="s">
        <v>1972</v>
      </c>
      <c r="AV321" s="87" t="s">
        <v>1973</v>
      </c>
      <c r="AW321" s="91"/>
      <c r="AX321" s="91"/>
      <c r="AY321" s="91"/>
      <c r="AZ321" t="str">
        <f t="shared" si="30"/>
        <v>205058</v>
      </c>
      <c r="BA321" t="str">
        <f t="shared" si="31"/>
        <v>0077</v>
      </c>
      <c r="BB321" t="str">
        <f t="shared" si="29"/>
        <v>0000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>IFERROR(VLOOKUP(X321,'Status Map'!A:B,2,FALSE),"Status Code Not Mapped")</f>
        <v>Y</v>
      </c>
      <c r="BL321" t="str">
        <f>IFERROR(VLOOKUP(D321,'Invoice Exception Map'!A:C,3,FALSE),"N")</f>
        <v>N</v>
      </c>
      <c r="BM321">
        <f t="shared" si="32"/>
        <v>10</v>
      </c>
      <c r="BN321" t="str">
        <f t="shared" si="33"/>
        <v>NILSAGÅRD</v>
      </c>
      <c r="BO321" t="str">
        <f t="shared" si="34"/>
        <v>PETER</v>
      </c>
    </row>
    <row r="322" spans="1:67" ht="16" thickBot="1" x14ac:dyDescent="0.25">
      <c r="A322" s="90" t="s">
        <v>2298</v>
      </c>
      <c r="B322" s="90" t="s">
        <v>2717</v>
      </c>
      <c r="C322" s="90" t="s">
        <v>2718</v>
      </c>
      <c r="D322" s="90" t="s">
        <v>3707</v>
      </c>
      <c r="E322" s="90" t="s">
        <v>1953</v>
      </c>
      <c r="F322" s="90" t="s">
        <v>2888</v>
      </c>
      <c r="G322" s="90" t="s">
        <v>2720</v>
      </c>
      <c r="H322" s="90" t="s">
        <v>1943</v>
      </c>
      <c r="I322" s="90" t="s">
        <v>1944</v>
      </c>
      <c r="J322" s="90" t="s">
        <v>241</v>
      </c>
      <c r="K322" s="90" t="s">
        <v>2721</v>
      </c>
      <c r="L322" s="90" t="s">
        <v>2772</v>
      </c>
      <c r="M322" s="87" t="s">
        <v>1963</v>
      </c>
      <c r="N322" s="87" t="s">
        <v>1994</v>
      </c>
      <c r="O322" s="88">
        <v>34911</v>
      </c>
      <c r="P322" s="89">
        <v>31.1</v>
      </c>
      <c r="Q322" s="90" t="s">
        <v>504</v>
      </c>
      <c r="R322" s="90" t="s">
        <v>3283</v>
      </c>
      <c r="S322" s="90" t="s">
        <v>2773</v>
      </c>
      <c r="T322" s="90" t="s">
        <v>2305</v>
      </c>
      <c r="U322" s="90" t="s">
        <v>1640</v>
      </c>
      <c r="V322" s="88">
        <v>34911</v>
      </c>
      <c r="W322" s="88">
        <v>34911</v>
      </c>
      <c r="X322" s="90" t="s">
        <v>43</v>
      </c>
      <c r="Y322" s="90" t="s">
        <v>257</v>
      </c>
      <c r="Z322" s="90" t="s">
        <v>36</v>
      </c>
      <c r="AA322" s="91"/>
      <c r="AB322" s="91"/>
      <c r="AC322" s="90" t="s">
        <v>2051</v>
      </c>
      <c r="AD322" s="90" t="s">
        <v>267</v>
      </c>
      <c r="AE322" s="90" t="s">
        <v>1636</v>
      </c>
      <c r="AF322" s="90" t="s">
        <v>1947</v>
      </c>
      <c r="AG322" s="90" t="s">
        <v>2793</v>
      </c>
      <c r="AH322" s="90" t="s">
        <v>1989</v>
      </c>
      <c r="AI322" s="90" t="s">
        <v>1989</v>
      </c>
      <c r="AJ322" s="90" t="s">
        <v>2051</v>
      </c>
      <c r="AK322" s="90" t="s">
        <v>36</v>
      </c>
      <c r="AL322" s="90" t="s">
        <v>1635</v>
      </c>
      <c r="AM322" s="90" t="s">
        <v>2307</v>
      </c>
      <c r="AN322" s="90" t="s">
        <v>2054</v>
      </c>
      <c r="AO322" s="87" t="s">
        <v>1949</v>
      </c>
      <c r="AP322" s="87" t="s">
        <v>1950</v>
      </c>
      <c r="AQ322" s="90" t="s">
        <v>2889</v>
      </c>
      <c r="AR322" s="92">
        <v>62000</v>
      </c>
      <c r="AS322" s="92">
        <v>78000</v>
      </c>
      <c r="AT322" s="92">
        <v>97000</v>
      </c>
      <c r="AU322" s="87" t="s">
        <v>1951</v>
      </c>
      <c r="AV322" s="87" t="s">
        <v>1966</v>
      </c>
      <c r="AW322" s="91"/>
      <c r="AX322" s="91"/>
      <c r="AY322" s="91"/>
      <c r="AZ322" t="str">
        <f t="shared" si="30"/>
        <v>205368</v>
      </c>
      <c r="BA322" t="str">
        <f t="shared" si="31"/>
        <v>0077</v>
      </c>
      <c r="BB322" t="str">
        <f t="shared" si="29"/>
        <v>0000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>IFERROR(VLOOKUP(X322,'Status Map'!A:B,2,FALSE),"Status Code Not Mapped")</f>
        <v>Y</v>
      </c>
      <c r="BL322" t="str">
        <f>IFERROR(VLOOKUP(D322,'Invoice Exception Map'!A:C,3,FALSE),"N")</f>
        <v>N</v>
      </c>
      <c r="BM322">
        <f t="shared" si="32"/>
        <v>9</v>
      </c>
      <c r="BN322" t="str">
        <f t="shared" si="33"/>
        <v>NORDVALL</v>
      </c>
      <c r="BO322" t="str">
        <f t="shared" si="34"/>
        <v>PER</v>
      </c>
    </row>
    <row r="323" spans="1:67" ht="16" thickBot="1" x14ac:dyDescent="0.25">
      <c r="A323" s="90" t="s">
        <v>2298</v>
      </c>
      <c r="B323" s="90" t="s">
        <v>2717</v>
      </c>
      <c r="C323" s="90" t="s">
        <v>2718</v>
      </c>
      <c r="D323" s="90" t="s">
        <v>3708</v>
      </c>
      <c r="E323" s="90" t="s">
        <v>1953</v>
      </c>
      <c r="F323" s="90" t="s">
        <v>2890</v>
      </c>
      <c r="G323" s="90" t="s">
        <v>2891</v>
      </c>
      <c r="H323" s="90" t="s">
        <v>1943</v>
      </c>
      <c r="I323" s="90" t="s">
        <v>1944</v>
      </c>
      <c r="J323" s="90" t="s">
        <v>1957</v>
      </c>
      <c r="K323" s="90" t="s">
        <v>2892</v>
      </c>
      <c r="L323" s="90" t="s">
        <v>2893</v>
      </c>
      <c r="M323" s="87" t="s">
        <v>1984</v>
      </c>
      <c r="N323" s="87" t="s">
        <v>2240</v>
      </c>
      <c r="O323" s="88">
        <v>43395</v>
      </c>
      <c r="P323" s="89">
        <v>7.9</v>
      </c>
      <c r="Q323" s="90" t="s">
        <v>118</v>
      </c>
      <c r="R323" s="90" t="s">
        <v>3262</v>
      </c>
      <c r="S323" s="90" t="s">
        <v>2356</v>
      </c>
      <c r="T323" s="90" t="s">
        <v>2305</v>
      </c>
      <c r="U323" s="90" t="s">
        <v>1640</v>
      </c>
      <c r="V323" s="88">
        <v>43395</v>
      </c>
      <c r="W323" s="88">
        <v>43395</v>
      </c>
      <c r="X323" s="90" t="s">
        <v>43</v>
      </c>
      <c r="Y323" s="90" t="s">
        <v>257</v>
      </c>
      <c r="Z323" s="90" t="s">
        <v>36</v>
      </c>
      <c r="AA323" s="91"/>
      <c r="AB323" s="91"/>
      <c r="AC323" s="90" t="s">
        <v>2051</v>
      </c>
      <c r="AD323" s="90" t="s">
        <v>267</v>
      </c>
      <c r="AE323" s="90" t="s">
        <v>1636</v>
      </c>
      <c r="AF323" s="90" t="s">
        <v>1947</v>
      </c>
      <c r="AG323" s="90" t="s">
        <v>3265</v>
      </c>
      <c r="AH323" s="90" t="s">
        <v>2599</v>
      </c>
      <c r="AI323" s="90" t="s">
        <v>2599</v>
      </c>
      <c r="AJ323" s="90" t="s">
        <v>2051</v>
      </c>
      <c r="AK323" s="90" t="s">
        <v>36</v>
      </c>
      <c r="AL323" s="90" t="s">
        <v>1635</v>
      </c>
      <c r="AM323" s="90" t="s">
        <v>2307</v>
      </c>
      <c r="AN323" s="90" t="s">
        <v>2054</v>
      </c>
      <c r="AO323" s="87" t="s">
        <v>1949</v>
      </c>
      <c r="AP323" s="87" t="s">
        <v>1950</v>
      </c>
      <c r="AQ323" s="90" t="s">
        <v>2894</v>
      </c>
      <c r="AR323" s="92">
        <v>69000</v>
      </c>
      <c r="AS323" s="92">
        <v>87000</v>
      </c>
      <c r="AT323" s="92">
        <v>108000</v>
      </c>
      <c r="AU323" s="87" t="s">
        <v>1951</v>
      </c>
      <c r="AV323" s="87" t="s">
        <v>1966</v>
      </c>
      <c r="AW323" s="91"/>
      <c r="AX323" s="91"/>
      <c r="AY323" s="91"/>
      <c r="AZ323" t="str">
        <f t="shared" si="30"/>
        <v>205375</v>
      </c>
      <c r="BA323" t="str">
        <f t="shared" si="31"/>
        <v>0077</v>
      </c>
      <c r="BB323" t="str">
        <f t="shared" ref="BB323:BB363" si="35">IF(OR(BA323="0077",BA323="177"),"0000",IF(ISBLANK(AI323),"000",AI323))</f>
        <v>0000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>IFERROR(VLOOKUP(X323,'Status Map'!A:B,2,FALSE),"Status Code Not Mapped")</f>
        <v>Y</v>
      </c>
      <c r="BL323" t="str">
        <f>IFERROR(VLOOKUP(D323,'Invoice Exception Map'!A:C,3,FALSE),"N")</f>
        <v>N</v>
      </c>
      <c r="BM323">
        <f t="shared" si="32"/>
        <v>6</v>
      </c>
      <c r="BN323" t="str">
        <f t="shared" si="33"/>
        <v>ÖBERG</v>
      </c>
      <c r="BO323" t="str">
        <f t="shared" si="34"/>
        <v>MAGNUS</v>
      </c>
    </row>
    <row r="324" spans="1:67" ht="16" thickBot="1" x14ac:dyDescent="0.25">
      <c r="A324" s="90" t="s">
        <v>2298</v>
      </c>
      <c r="B324" s="90" t="s">
        <v>2717</v>
      </c>
      <c r="C324" s="90" t="s">
        <v>2718</v>
      </c>
      <c r="D324" s="90" t="s">
        <v>3709</v>
      </c>
      <c r="E324" s="90" t="s">
        <v>1953</v>
      </c>
      <c r="F324" s="90" t="s">
        <v>2895</v>
      </c>
      <c r="G324" s="90" t="s">
        <v>2123</v>
      </c>
      <c r="H324" s="90" t="s">
        <v>1943</v>
      </c>
      <c r="I324" s="90" t="s">
        <v>1944</v>
      </c>
      <c r="J324" s="90" t="s">
        <v>1955</v>
      </c>
      <c r="K324" s="90" t="s">
        <v>482</v>
      </c>
      <c r="L324" s="90" t="s">
        <v>1976</v>
      </c>
      <c r="M324" s="87" t="s">
        <v>1945</v>
      </c>
      <c r="N324" s="87" t="s">
        <v>66</v>
      </c>
      <c r="O324" s="88">
        <v>41946</v>
      </c>
      <c r="P324" s="89">
        <v>11.8</v>
      </c>
      <c r="Q324" s="90" t="s">
        <v>287</v>
      </c>
      <c r="R324" s="90" t="s">
        <v>3211</v>
      </c>
      <c r="S324" s="90" t="s">
        <v>2257</v>
      </c>
      <c r="T324" s="90" t="s">
        <v>2305</v>
      </c>
      <c r="U324" s="90" t="s">
        <v>1640</v>
      </c>
      <c r="V324" s="88">
        <v>41946</v>
      </c>
      <c r="W324" s="88">
        <v>41946</v>
      </c>
      <c r="X324" s="90" t="s">
        <v>43</v>
      </c>
      <c r="Y324" s="90" t="s">
        <v>257</v>
      </c>
      <c r="Z324" s="90" t="s">
        <v>36</v>
      </c>
      <c r="AA324" s="91"/>
      <c r="AB324" s="91"/>
      <c r="AC324" s="90" t="s">
        <v>2051</v>
      </c>
      <c r="AD324" s="90" t="s">
        <v>267</v>
      </c>
      <c r="AE324" s="90" t="s">
        <v>1636</v>
      </c>
      <c r="AF324" s="90" t="s">
        <v>1947</v>
      </c>
      <c r="AG324" s="90" t="s">
        <v>3263</v>
      </c>
      <c r="AH324" s="90" t="s">
        <v>2842</v>
      </c>
      <c r="AI324" s="90" t="s">
        <v>2842</v>
      </c>
      <c r="AJ324" s="90" t="s">
        <v>2051</v>
      </c>
      <c r="AK324" s="90" t="s">
        <v>36</v>
      </c>
      <c r="AL324" s="90" t="s">
        <v>1635</v>
      </c>
      <c r="AM324" s="90" t="s">
        <v>2307</v>
      </c>
      <c r="AN324" s="90" t="s">
        <v>2054</v>
      </c>
      <c r="AO324" s="87" t="s">
        <v>1949</v>
      </c>
      <c r="AP324" s="87" t="s">
        <v>1950</v>
      </c>
      <c r="AQ324" s="90" t="s">
        <v>2896</v>
      </c>
      <c r="AR324" s="92">
        <v>78000</v>
      </c>
      <c r="AS324" s="92">
        <v>97000</v>
      </c>
      <c r="AT324" s="92">
        <v>121000</v>
      </c>
      <c r="AU324" s="87" t="s">
        <v>1951</v>
      </c>
      <c r="AV324" s="87" t="s">
        <v>1952</v>
      </c>
      <c r="AW324" s="91"/>
      <c r="AX324" s="91"/>
      <c r="AY324" s="91"/>
      <c r="AZ324" t="str">
        <f t="shared" si="30"/>
        <v>205373</v>
      </c>
      <c r="BA324" t="str">
        <f t="shared" si="31"/>
        <v>0077</v>
      </c>
      <c r="BB324" t="str">
        <f t="shared" si="35"/>
        <v>0000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>IFERROR(VLOOKUP(X324,'Status Map'!A:B,2,FALSE),"Status Code Not Mapped")</f>
        <v>Y</v>
      </c>
      <c r="BL324" t="str">
        <f>IFERROR(VLOOKUP(D324,'Invoice Exception Map'!A:C,3,FALSE),"N")</f>
        <v>N</v>
      </c>
      <c r="BM324">
        <f t="shared" si="32"/>
        <v>9</v>
      </c>
      <c r="BN324" t="str">
        <f t="shared" si="33"/>
        <v>OTTOSSON</v>
      </c>
      <c r="BO324" t="str">
        <f t="shared" si="34"/>
        <v>ALEXANDER</v>
      </c>
    </row>
    <row r="325" spans="1:67" ht="16" thickBot="1" x14ac:dyDescent="0.25">
      <c r="A325" s="90" t="s">
        <v>2298</v>
      </c>
      <c r="B325" s="90" t="s">
        <v>2717</v>
      </c>
      <c r="C325" s="90" t="s">
        <v>2718</v>
      </c>
      <c r="D325" s="90" t="s">
        <v>3710</v>
      </c>
      <c r="E325" s="90" t="s">
        <v>1953</v>
      </c>
      <c r="F325" s="90" t="s">
        <v>2897</v>
      </c>
      <c r="G325" s="90" t="s">
        <v>2746</v>
      </c>
      <c r="H325" s="90" t="s">
        <v>1943</v>
      </c>
      <c r="I325" s="90" t="s">
        <v>1944</v>
      </c>
      <c r="J325" s="90" t="s">
        <v>2022</v>
      </c>
      <c r="K325" s="90" t="s">
        <v>2747</v>
      </c>
      <c r="L325" s="90" t="s">
        <v>2898</v>
      </c>
      <c r="M325" s="87" t="s">
        <v>1965</v>
      </c>
      <c r="N325" s="87" t="s">
        <v>2749</v>
      </c>
      <c r="O325" s="88">
        <v>41316</v>
      </c>
      <c r="P325" s="89">
        <v>13.5</v>
      </c>
      <c r="Q325" s="90" t="s">
        <v>264</v>
      </c>
      <c r="R325" s="90" t="s">
        <v>1412</v>
      </c>
      <c r="S325" s="90" t="s">
        <v>383</v>
      </c>
      <c r="T325" s="90" t="s">
        <v>2305</v>
      </c>
      <c r="U325" s="90" t="s">
        <v>1640</v>
      </c>
      <c r="V325" s="88">
        <v>41316</v>
      </c>
      <c r="W325" s="88">
        <v>41316</v>
      </c>
      <c r="X325" s="90" t="s">
        <v>43</v>
      </c>
      <c r="Y325" s="90" t="s">
        <v>257</v>
      </c>
      <c r="Z325" s="90" t="s">
        <v>36</v>
      </c>
      <c r="AA325" s="91"/>
      <c r="AB325" s="91"/>
      <c r="AC325" s="90" t="s">
        <v>2051</v>
      </c>
      <c r="AD325" s="90" t="s">
        <v>267</v>
      </c>
      <c r="AE325" s="90" t="s">
        <v>1636</v>
      </c>
      <c r="AF325" s="90" t="s">
        <v>1947</v>
      </c>
      <c r="AG325" s="90" t="s">
        <v>2793</v>
      </c>
      <c r="AH325" s="90" t="s">
        <v>2750</v>
      </c>
      <c r="AI325" s="90" t="s">
        <v>2750</v>
      </c>
      <c r="AJ325" s="90" t="s">
        <v>2051</v>
      </c>
      <c r="AK325" s="90" t="s">
        <v>36</v>
      </c>
      <c r="AL325" s="90" t="s">
        <v>1635</v>
      </c>
      <c r="AM325" s="90" t="s">
        <v>2307</v>
      </c>
      <c r="AN325" s="90" t="s">
        <v>2054</v>
      </c>
      <c r="AO325" s="87" t="s">
        <v>1949</v>
      </c>
      <c r="AP325" s="87" t="s">
        <v>1950</v>
      </c>
      <c r="AQ325" s="90" t="s">
        <v>2899</v>
      </c>
      <c r="AR325" s="92">
        <v>56000</v>
      </c>
      <c r="AS325" s="92">
        <v>70000</v>
      </c>
      <c r="AT325" s="92">
        <v>87000</v>
      </c>
      <c r="AU325" s="87" t="s">
        <v>1951</v>
      </c>
      <c r="AV325" s="87" t="s">
        <v>2002</v>
      </c>
      <c r="AW325" s="91"/>
      <c r="AX325" s="91"/>
      <c r="AY325" s="91"/>
      <c r="AZ325" t="str">
        <f t="shared" si="30"/>
        <v>207199</v>
      </c>
      <c r="BA325" t="str">
        <f t="shared" si="31"/>
        <v>0077</v>
      </c>
      <c r="BB325" t="str">
        <f t="shared" si="35"/>
        <v>0000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>IFERROR(VLOOKUP(X325,'Status Map'!A:B,2,FALSE),"Status Code Not Mapped")</f>
        <v>Y</v>
      </c>
      <c r="BL325" t="str">
        <f>IFERROR(VLOOKUP(D325,'Invoice Exception Map'!A:C,3,FALSE),"N")</f>
        <v>N</v>
      </c>
      <c r="BM325">
        <f t="shared" si="32"/>
        <v>9</v>
      </c>
      <c r="BN325" t="str">
        <f t="shared" si="33"/>
        <v>OTTOSSON</v>
      </c>
      <c r="BO325" t="str">
        <f t="shared" si="34"/>
        <v>CHRISTOFFER</v>
      </c>
    </row>
    <row r="326" spans="1:67" ht="16" thickBot="1" x14ac:dyDescent="0.25">
      <c r="A326" s="90" t="s">
        <v>2298</v>
      </c>
      <c r="B326" s="90" t="s">
        <v>2717</v>
      </c>
      <c r="C326" s="90" t="s">
        <v>2718</v>
      </c>
      <c r="D326" s="90" t="s">
        <v>3711</v>
      </c>
      <c r="E326" s="90" t="s">
        <v>1953</v>
      </c>
      <c r="F326" s="90" t="s">
        <v>2900</v>
      </c>
      <c r="G326" s="90" t="s">
        <v>1968</v>
      </c>
      <c r="H326" s="90" t="s">
        <v>1943</v>
      </c>
      <c r="I326" s="90" t="s">
        <v>1944</v>
      </c>
      <c r="J326" s="90" t="s">
        <v>1957</v>
      </c>
      <c r="K326" s="90" t="s">
        <v>301</v>
      </c>
      <c r="L326" s="90" t="s">
        <v>2901</v>
      </c>
      <c r="M326" s="87" t="s">
        <v>1970</v>
      </c>
      <c r="N326" s="87" t="s">
        <v>303</v>
      </c>
      <c r="O326" s="88">
        <v>34946</v>
      </c>
      <c r="P326" s="89">
        <v>31</v>
      </c>
      <c r="Q326" s="90" t="s">
        <v>305</v>
      </c>
      <c r="R326" s="90" t="s">
        <v>3276</v>
      </c>
      <c r="S326" s="90" t="s">
        <v>2578</v>
      </c>
      <c r="T326" s="90" t="s">
        <v>2305</v>
      </c>
      <c r="U326" s="90" t="s">
        <v>1640</v>
      </c>
      <c r="V326" s="88">
        <v>34946</v>
      </c>
      <c r="W326" s="88">
        <v>34946</v>
      </c>
      <c r="X326" s="90" t="s">
        <v>43</v>
      </c>
      <c r="Y326" s="90" t="s">
        <v>257</v>
      </c>
      <c r="Z326" s="90" t="s">
        <v>36</v>
      </c>
      <c r="AA326" s="91"/>
      <c r="AB326" s="91"/>
      <c r="AC326" s="90" t="s">
        <v>2051</v>
      </c>
      <c r="AD326" s="90" t="s">
        <v>267</v>
      </c>
      <c r="AE326" s="90" t="s">
        <v>1636</v>
      </c>
      <c r="AF326" s="90" t="s">
        <v>1947</v>
      </c>
      <c r="AG326" s="90" t="s">
        <v>3263</v>
      </c>
      <c r="AH326" s="90" t="s">
        <v>2599</v>
      </c>
      <c r="AI326" s="90" t="s">
        <v>2599</v>
      </c>
      <c r="AJ326" s="90" t="s">
        <v>2051</v>
      </c>
      <c r="AK326" s="90" t="s">
        <v>36</v>
      </c>
      <c r="AL326" s="90" t="s">
        <v>1635</v>
      </c>
      <c r="AM326" s="90" t="s">
        <v>2307</v>
      </c>
      <c r="AN326" s="90" t="s">
        <v>2054</v>
      </c>
      <c r="AO326" s="87" t="s">
        <v>1949</v>
      </c>
      <c r="AP326" s="87" t="s">
        <v>1950</v>
      </c>
      <c r="AQ326" s="90" t="s">
        <v>2902</v>
      </c>
      <c r="AR326" s="92">
        <v>50000</v>
      </c>
      <c r="AS326" s="92">
        <v>62000</v>
      </c>
      <c r="AT326" s="92">
        <v>77000</v>
      </c>
      <c r="AU326" s="87" t="s">
        <v>1972</v>
      </c>
      <c r="AV326" s="87" t="s">
        <v>1973</v>
      </c>
      <c r="AW326" s="91"/>
      <c r="AX326" s="91"/>
      <c r="AY326" s="91"/>
      <c r="AZ326" t="str">
        <f t="shared" si="30"/>
        <v>211474</v>
      </c>
      <c r="BA326" t="str">
        <f t="shared" si="31"/>
        <v>0077</v>
      </c>
      <c r="BB326" t="str">
        <f t="shared" si="35"/>
        <v>0000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>IFERROR(VLOOKUP(X326,'Status Map'!A:B,2,FALSE),"Status Code Not Mapped")</f>
        <v>Y</v>
      </c>
      <c r="BL326" t="str">
        <f>IFERROR(VLOOKUP(D326,'Invoice Exception Map'!A:C,3,FALSE),"N")</f>
        <v>N</v>
      </c>
      <c r="BM326">
        <f t="shared" si="32"/>
        <v>9</v>
      </c>
      <c r="BN326" t="str">
        <f t="shared" si="33"/>
        <v>OTTOSSON</v>
      </c>
      <c r="BO326" t="str">
        <f t="shared" si="34"/>
        <v>ULF</v>
      </c>
    </row>
    <row r="327" spans="1:67" ht="16" thickBot="1" x14ac:dyDescent="0.25">
      <c r="A327" s="90" t="s">
        <v>2298</v>
      </c>
      <c r="B327" s="90" t="s">
        <v>2717</v>
      </c>
      <c r="C327" s="90" t="s">
        <v>2718</v>
      </c>
      <c r="D327" s="90" t="s">
        <v>3712</v>
      </c>
      <c r="E327" s="90" t="s">
        <v>1953</v>
      </c>
      <c r="F327" s="90" t="s">
        <v>2903</v>
      </c>
      <c r="G327" s="90" t="s">
        <v>2904</v>
      </c>
      <c r="H327" s="90" t="s">
        <v>1943</v>
      </c>
      <c r="I327" s="90" t="s">
        <v>1944</v>
      </c>
      <c r="J327" s="90" t="s">
        <v>2022</v>
      </c>
      <c r="K327" s="90" t="s">
        <v>2905</v>
      </c>
      <c r="L327" s="90" t="s">
        <v>3713</v>
      </c>
      <c r="M327" s="87" t="s">
        <v>1945</v>
      </c>
      <c r="N327" s="87" t="s">
        <v>1978</v>
      </c>
      <c r="O327" s="88">
        <v>42644</v>
      </c>
      <c r="P327" s="89">
        <v>9.9</v>
      </c>
      <c r="Q327" s="90" t="s">
        <v>69</v>
      </c>
      <c r="R327" s="90" t="s">
        <v>1412</v>
      </c>
      <c r="S327" s="90" t="s">
        <v>383</v>
      </c>
      <c r="T327" s="90" t="s">
        <v>2305</v>
      </c>
      <c r="U327" s="90" t="s">
        <v>1640</v>
      </c>
      <c r="V327" s="88">
        <v>42644</v>
      </c>
      <c r="W327" s="88">
        <v>42644</v>
      </c>
      <c r="X327" s="90" t="s">
        <v>2043</v>
      </c>
      <c r="Y327" s="90" t="s">
        <v>381</v>
      </c>
      <c r="Z327" s="90" t="s">
        <v>36</v>
      </c>
      <c r="AA327" s="91"/>
      <c r="AB327" s="91"/>
      <c r="AC327" s="90" t="s">
        <v>2051</v>
      </c>
      <c r="AD327" s="90" t="s">
        <v>267</v>
      </c>
      <c r="AE327" s="90" t="s">
        <v>1636</v>
      </c>
      <c r="AF327" s="90" t="s">
        <v>1947</v>
      </c>
      <c r="AG327" s="90" t="s">
        <v>2793</v>
      </c>
      <c r="AH327" s="90" t="s">
        <v>2750</v>
      </c>
      <c r="AI327" s="90" t="s">
        <v>2750</v>
      </c>
      <c r="AJ327" s="90" t="s">
        <v>2051</v>
      </c>
      <c r="AK327" s="90" t="s">
        <v>36</v>
      </c>
      <c r="AL327" s="90" t="s">
        <v>1635</v>
      </c>
      <c r="AM327" s="90" t="s">
        <v>2307</v>
      </c>
      <c r="AN327" s="90" t="s">
        <v>2054</v>
      </c>
      <c r="AO327" s="87" t="s">
        <v>1949</v>
      </c>
      <c r="AP327" s="87" t="s">
        <v>1950</v>
      </c>
      <c r="AQ327" s="90" t="s">
        <v>2906</v>
      </c>
      <c r="AR327" s="92">
        <v>98000</v>
      </c>
      <c r="AS327" s="92">
        <v>122000</v>
      </c>
      <c r="AT327" s="92">
        <v>153000</v>
      </c>
      <c r="AU327" s="87" t="s">
        <v>1951</v>
      </c>
      <c r="AV327" s="87" t="s">
        <v>1981</v>
      </c>
      <c r="AW327" s="91"/>
      <c r="AX327" s="91"/>
      <c r="AY327" s="91"/>
      <c r="AZ327" t="str">
        <f t="shared" si="30"/>
        <v>207199</v>
      </c>
      <c r="BA327" t="str">
        <f t="shared" si="31"/>
        <v>0077</v>
      </c>
      <c r="BB327" t="str">
        <f t="shared" si="35"/>
        <v>0000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>IFERROR(VLOOKUP(X327,'Status Map'!A:B,2,FALSE),"Status Code Not Mapped")</f>
        <v>N</v>
      </c>
      <c r="BL327" t="str">
        <f>IFERROR(VLOOKUP(D327,'Invoice Exception Map'!A:C,3,FALSE),"N")</f>
        <v>N</v>
      </c>
      <c r="BM327">
        <f t="shared" si="32"/>
        <v>8</v>
      </c>
      <c r="BN327" t="str">
        <f t="shared" si="33"/>
        <v>PASALIC</v>
      </c>
      <c r="BO327" t="str">
        <f t="shared" si="34"/>
        <v>BEMIR</v>
      </c>
    </row>
    <row r="328" spans="1:67" ht="16" thickBot="1" x14ac:dyDescent="0.25">
      <c r="A328" s="90" t="s">
        <v>2298</v>
      </c>
      <c r="B328" s="90" t="s">
        <v>2717</v>
      </c>
      <c r="C328" s="90" t="s">
        <v>2718</v>
      </c>
      <c r="D328" s="90" t="s">
        <v>3714</v>
      </c>
      <c r="E328" s="90" t="s">
        <v>1953</v>
      </c>
      <c r="F328" s="90" t="s">
        <v>2907</v>
      </c>
      <c r="G328" s="90" t="s">
        <v>2908</v>
      </c>
      <c r="H328" s="90" t="s">
        <v>1943</v>
      </c>
      <c r="I328" s="90" t="s">
        <v>1944</v>
      </c>
      <c r="J328" s="90" t="s">
        <v>427</v>
      </c>
      <c r="K328" s="90" t="s">
        <v>2817</v>
      </c>
      <c r="L328" s="90" t="s">
        <v>2909</v>
      </c>
      <c r="M328" s="87" t="s">
        <v>2028</v>
      </c>
      <c r="N328" s="87" t="s">
        <v>1983</v>
      </c>
      <c r="O328" s="88">
        <v>41302</v>
      </c>
      <c r="P328" s="89">
        <v>13.6</v>
      </c>
      <c r="Q328" s="90" t="s">
        <v>305</v>
      </c>
      <c r="R328" s="90" t="s">
        <v>3286</v>
      </c>
      <c r="S328" s="90" t="s">
        <v>2819</v>
      </c>
      <c r="T328" s="90" t="s">
        <v>2305</v>
      </c>
      <c r="U328" s="90" t="s">
        <v>1640</v>
      </c>
      <c r="V328" s="88">
        <v>41302</v>
      </c>
      <c r="W328" s="88">
        <v>41302</v>
      </c>
      <c r="X328" s="90" t="s">
        <v>43</v>
      </c>
      <c r="Y328" s="90" t="s">
        <v>257</v>
      </c>
      <c r="Z328" s="90" t="s">
        <v>36</v>
      </c>
      <c r="AA328" s="91"/>
      <c r="AB328" s="91"/>
      <c r="AC328" s="90" t="s">
        <v>2051</v>
      </c>
      <c r="AD328" s="90" t="s">
        <v>267</v>
      </c>
      <c r="AE328" s="90" t="s">
        <v>1636</v>
      </c>
      <c r="AF328" s="90" t="s">
        <v>1947</v>
      </c>
      <c r="AG328" s="90" t="s">
        <v>2793</v>
      </c>
      <c r="AH328" s="90" t="s">
        <v>2411</v>
      </c>
      <c r="AI328" s="90" t="s">
        <v>2411</v>
      </c>
      <c r="AJ328" s="90" t="s">
        <v>2051</v>
      </c>
      <c r="AK328" s="90" t="s">
        <v>36</v>
      </c>
      <c r="AL328" s="90" t="s">
        <v>1635</v>
      </c>
      <c r="AM328" s="90" t="s">
        <v>2307</v>
      </c>
      <c r="AN328" s="90" t="s">
        <v>2054</v>
      </c>
      <c r="AO328" s="87" t="s">
        <v>1949</v>
      </c>
      <c r="AP328" s="87" t="s">
        <v>1950</v>
      </c>
      <c r="AQ328" s="90" t="s">
        <v>2910</v>
      </c>
      <c r="AR328" s="92">
        <v>50000</v>
      </c>
      <c r="AS328" s="92">
        <v>62000</v>
      </c>
      <c r="AT328" s="92">
        <v>77000</v>
      </c>
      <c r="AU328" s="87" t="s">
        <v>1972</v>
      </c>
      <c r="AV328" s="87" t="s">
        <v>1973</v>
      </c>
      <c r="AW328" s="91"/>
      <c r="AX328" s="91"/>
      <c r="AY328" s="91"/>
      <c r="AZ328" t="str">
        <f t="shared" si="30"/>
        <v>205408</v>
      </c>
      <c r="BA328" t="str">
        <f t="shared" si="31"/>
        <v>0077</v>
      </c>
      <c r="BB328" t="str">
        <f t="shared" si="35"/>
        <v>0000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>IFERROR(VLOOKUP(X328,'Status Map'!A:B,2,FALSE),"Status Code Not Mapped")</f>
        <v>Y</v>
      </c>
      <c r="BL328" t="str">
        <f>IFERROR(VLOOKUP(D328,'Invoice Exception Map'!A:C,3,FALSE),"N")</f>
        <v>N</v>
      </c>
      <c r="BM328">
        <f t="shared" si="32"/>
        <v>8</v>
      </c>
      <c r="BN328" t="str">
        <f t="shared" si="33"/>
        <v>PERSSON</v>
      </c>
      <c r="BO328" t="str">
        <f t="shared" si="34"/>
        <v>HANNA</v>
      </c>
    </row>
    <row r="329" spans="1:67" ht="16" thickBot="1" x14ac:dyDescent="0.25">
      <c r="A329" s="90" t="s">
        <v>2298</v>
      </c>
      <c r="B329" s="90" t="s">
        <v>2717</v>
      </c>
      <c r="C329" s="90" t="s">
        <v>2718</v>
      </c>
      <c r="D329" s="90" t="s">
        <v>3211</v>
      </c>
      <c r="E329" s="90" t="s">
        <v>1953</v>
      </c>
      <c r="F329" s="90" t="s">
        <v>2257</v>
      </c>
      <c r="G329" s="90" t="s">
        <v>2148</v>
      </c>
      <c r="H329" s="90" t="s">
        <v>1943</v>
      </c>
      <c r="I329" s="90" t="s">
        <v>1944</v>
      </c>
      <c r="J329" s="90" t="s">
        <v>1955</v>
      </c>
      <c r="K329" s="90" t="s">
        <v>2149</v>
      </c>
      <c r="L329" s="90" t="s">
        <v>2911</v>
      </c>
      <c r="M329" s="87" t="s">
        <v>1996</v>
      </c>
      <c r="N329" s="87" t="s">
        <v>66</v>
      </c>
      <c r="O329" s="88">
        <v>42975</v>
      </c>
      <c r="P329" s="89">
        <v>9</v>
      </c>
      <c r="Q329" s="90" t="s">
        <v>163</v>
      </c>
      <c r="R329" s="90" t="s">
        <v>135</v>
      </c>
      <c r="S329" s="90" t="s">
        <v>155</v>
      </c>
      <c r="T329" s="90" t="s">
        <v>2305</v>
      </c>
      <c r="U329" s="90" t="s">
        <v>1640</v>
      </c>
      <c r="V329" s="88">
        <v>42975</v>
      </c>
      <c r="W329" s="88">
        <v>42975</v>
      </c>
      <c r="X329" s="90" t="s">
        <v>43</v>
      </c>
      <c r="Y329" s="90" t="s">
        <v>257</v>
      </c>
      <c r="Z329" s="90" t="s">
        <v>36</v>
      </c>
      <c r="AA329" s="91"/>
      <c r="AB329" s="91"/>
      <c r="AC329" s="90" t="s">
        <v>2051</v>
      </c>
      <c r="AD329" s="90" t="s">
        <v>267</v>
      </c>
      <c r="AE329" s="90" t="s">
        <v>1636</v>
      </c>
      <c r="AF329" s="90" t="s">
        <v>1947</v>
      </c>
      <c r="AG329" s="90" t="s">
        <v>2793</v>
      </c>
      <c r="AH329" s="90" t="s">
        <v>2758</v>
      </c>
      <c r="AI329" s="90" t="s">
        <v>2758</v>
      </c>
      <c r="AJ329" s="90" t="s">
        <v>2051</v>
      </c>
      <c r="AK329" s="90" t="s">
        <v>36</v>
      </c>
      <c r="AL329" s="90" t="s">
        <v>1635</v>
      </c>
      <c r="AM329" s="90" t="s">
        <v>2307</v>
      </c>
      <c r="AN329" s="90" t="s">
        <v>2054</v>
      </c>
      <c r="AO329" s="87" t="s">
        <v>1949</v>
      </c>
      <c r="AP329" s="87" t="s">
        <v>1950</v>
      </c>
      <c r="AQ329" s="90" t="s">
        <v>2912</v>
      </c>
      <c r="AR329" s="92">
        <v>140000</v>
      </c>
      <c r="AS329" s="92">
        <v>175000</v>
      </c>
      <c r="AT329" s="92">
        <v>218000</v>
      </c>
      <c r="AU329" s="87" t="s">
        <v>1951</v>
      </c>
      <c r="AV329" s="87" t="s">
        <v>1959</v>
      </c>
      <c r="AW329" s="91"/>
      <c r="AX329" s="91"/>
      <c r="AY329" s="91"/>
      <c r="AZ329" t="str">
        <f t="shared" si="30"/>
        <v>207709</v>
      </c>
      <c r="BA329" t="str">
        <f t="shared" si="31"/>
        <v>0077</v>
      </c>
      <c r="BB329" t="str">
        <f t="shared" si="35"/>
        <v>0000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>IFERROR(VLOOKUP(X329,'Status Map'!A:B,2,FALSE),"Status Code Not Mapped")</f>
        <v>Y</v>
      </c>
      <c r="BL329" t="str">
        <f>IFERROR(VLOOKUP(D329,'Invoice Exception Map'!A:C,3,FALSE),"N")</f>
        <v>N</v>
      </c>
      <c r="BM329">
        <f t="shared" si="32"/>
        <v>8</v>
      </c>
      <c r="BN329" t="str">
        <f t="shared" si="33"/>
        <v>PERSSON</v>
      </c>
      <c r="BO329" t="str">
        <f t="shared" si="34"/>
        <v>JIMMIE</v>
      </c>
    </row>
    <row r="330" spans="1:67" ht="16" thickBot="1" x14ac:dyDescent="0.25">
      <c r="A330" s="90" t="s">
        <v>2298</v>
      </c>
      <c r="B330" s="90" t="s">
        <v>2717</v>
      </c>
      <c r="C330" s="90" t="s">
        <v>2718</v>
      </c>
      <c r="D330" s="90" t="s">
        <v>3715</v>
      </c>
      <c r="E330" s="90" t="s">
        <v>1953</v>
      </c>
      <c r="F330" s="90" t="s">
        <v>2913</v>
      </c>
      <c r="G330" s="90" t="s">
        <v>2816</v>
      </c>
      <c r="H330" s="90" t="s">
        <v>1943</v>
      </c>
      <c r="I330" s="90" t="s">
        <v>1944</v>
      </c>
      <c r="J330" s="90" t="s">
        <v>427</v>
      </c>
      <c r="K330" s="90" t="s">
        <v>2817</v>
      </c>
      <c r="L330" s="90" t="s">
        <v>2818</v>
      </c>
      <c r="M330" s="87" t="s">
        <v>2028</v>
      </c>
      <c r="N330" s="87" t="s">
        <v>1983</v>
      </c>
      <c r="O330" s="88">
        <v>39083</v>
      </c>
      <c r="P330" s="89">
        <v>19.600000000000001</v>
      </c>
      <c r="Q330" s="90" t="s">
        <v>264</v>
      </c>
      <c r="R330" s="90" t="s">
        <v>3286</v>
      </c>
      <c r="S330" s="90" t="s">
        <v>2819</v>
      </c>
      <c r="T330" s="90" t="s">
        <v>2305</v>
      </c>
      <c r="U330" s="90" t="s">
        <v>1640</v>
      </c>
      <c r="V330" s="88">
        <v>39083</v>
      </c>
      <c r="W330" s="88">
        <v>39083</v>
      </c>
      <c r="X330" s="90" t="s">
        <v>43</v>
      </c>
      <c r="Y330" s="90" t="s">
        <v>257</v>
      </c>
      <c r="Z330" s="90" t="s">
        <v>36</v>
      </c>
      <c r="AA330" s="91"/>
      <c r="AB330" s="91"/>
      <c r="AC330" s="90" t="s">
        <v>2051</v>
      </c>
      <c r="AD330" s="90" t="s">
        <v>267</v>
      </c>
      <c r="AE330" s="90" t="s">
        <v>1636</v>
      </c>
      <c r="AF330" s="90" t="s">
        <v>1947</v>
      </c>
      <c r="AG330" s="90" t="s">
        <v>2793</v>
      </c>
      <c r="AH330" s="90" t="s">
        <v>2011</v>
      </c>
      <c r="AI330" s="90" t="s">
        <v>2011</v>
      </c>
      <c r="AJ330" s="90" t="s">
        <v>2051</v>
      </c>
      <c r="AK330" s="90" t="s">
        <v>36</v>
      </c>
      <c r="AL330" s="90" t="s">
        <v>1635</v>
      </c>
      <c r="AM330" s="90" t="s">
        <v>2307</v>
      </c>
      <c r="AN330" s="90" t="s">
        <v>2054</v>
      </c>
      <c r="AO330" s="87" t="s">
        <v>1949</v>
      </c>
      <c r="AP330" s="87" t="s">
        <v>1950</v>
      </c>
      <c r="AQ330" s="90" t="s">
        <v>2914</v>
      </c>
      <c r="AR330" s="92">
        <v>56000</v>
      </c>
      <c r="AS330" s="92">
        <v>70000</v>
      </c>
      <c r="AT330" s="92">
        <v>87000</v>
      </c>
      <c r="AU330" s="87" t="s">
        <v>1951</v>
      </c>
      <c r="AV330" s="87" t="s">
        <v>2002</v>
      </c>
      <c r="AW330" s="91"/>
      <c r="AX330" s="91"/>
      <c r="AY330" s="91"/>
      <c r="AZ330" t="str">
        <f t="shared" si="30"/>
        <v>205408</v>
      </c>
      <c r="BA330" t="str">
        <f t="shared" si="31"/>
        <v>0077</v>
      </c>
      <c r="BB330" t="str">
        <f t="shared" si="35"/>
        <v>0000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>IFERROR(VLOOKUP(X330,'Status Map'!A:B,2,FALSE),"Status Code Not Mapped")</f>
        <v>Y</v>
      </c>
      <c r="BL330" t="str">
        <f>IFERROR(VLOOKUP(D330,'Invoice Exception Map'!A:C,3,FALSE),"N")</f>
        <v>N</v>
      </c>
      <c r="BM330">
        <f t="shared" si="32"/>
        <v>5</v>
      </c>
      <c r="BN330" t="str">
        <f t="shared" si="33"/>
        <v>RING</v>
      </c>
      <c r="BO330" t="str">
        <f t="shared" si="34"/>
        <v>CHRISTER</v>
      </c>
    </row>
    <row r="331" spans="1:67" ht="16" thickBot="1" x14ac:dyDescent="0.25">
      <c r="A331" s="90" t="s">
        <v>2298</v>
      </c>
      <c r="B331" s="90" t="s">
        <v>2717</v>
      </c>
      <c r="C331" s="90" t="s">
        <v>2718</v>
      </c>
      <c r="D331" s="90" t="s">
        <v>3716</v>
      </c>
      <c r="E331" s="90" t="s">
        <v>1953</v>
      </c>
      <c r="F331" s="90" t="s">
        <v>2915</v>
      </c>
      <c r="G331" s="90" t="s">
        <v>2735</v>
      </c>
      <c r="H331" s="90" t="s">
        <v>1943</v>
      </c>
      <c r="I331" s="90" t="s">
        <v>1944</v>
      </c>
      <c r="J331" s="90" t="s">
        <v>241</v>
      </c>
      <c r="K331" s="90" t="s">
        <v>2721</v>
      </c>
      <c r="L331" s="90" t="s">
        <v>2916</v>
      </c>
      <c r="M331" s="87" t="s">
        <v>1963</v>
      </c>
      <c r="N331" s="87" t="s">
        <v>1994</v>
      </c>
      <c r="O331" s="88">
        <v>41806</v>
      </c>
      <c r="P331" s="89">
        <v>12.2</v>
      </c>
      <c r="Q331" s="90" t="s">
        <v>305</v>
      </c>
      <c r="R331" s="90" t="s">
        <v>3279</v>
      </c>
      <c r="S331" s="90" t="s">
        <v>2723</v>
      </c>
      <c r="T331" s="90" t="s">
        <v>2305</v>
      </c>
      <c r="U331" s="90" t="s">
        <v>1640</v>
      </c>
      <c r="V331" s="88">
        <v>41806</v>
      </c>
      <c r="W331" s="88">
        <v>41806</v>
      </c>
      <c r="X331" s="90" t="s">
        <v>43</v>
      </c>
      <c r="Y331" s="90" t="s">
        <v>257</v>
      </c>
      <c r="Z331" s="90" t="s">
        <v>36</v>
      </c>
      <c r="AA331" s="91"/>
      <c r="AB331" s="91"/>
      <c r="AC331" s="90" t="s">
        <v>2051</v>
      </c>
      <c r="AD331" s="90" t="s">
        <v>267</v>
      </c>
      <c r="AE331" s="90" t="s">
        <v>1636</v>
      </c>
      <c r="AF331" s="90" t="s">
        <v>1947</v>
      </c>
      <c r="AG331" s="90" t="s">
        <v>2793</v>
      </c>
      <c r="AH331" s="90" t="s">
        <v>2327</v>
      </c>
      <c r="AI331" s="90" t="s">
        <v>2327</v>
      </c>
      <c r="AJ331" s="90" t="s">
        <v>2051</v>
      </c>
      <c r="AK331" s="90" t="s">
        <v>36</v>
      </c>
      <c r="AL331" s="90" t="s">
        <v>1635</v>
      </c>
      <c r="AM331" s="90" t="s">
        <v>2307</v>
      </c>
      <c r="AN331" s="90" t="s">
        <v>2054</v>
      </c>
      <c r="AO331" s="87" t="s">
        <v>1949</v>
      </c>
      <c r="AP331" s="87" t="s">
        <v>1950</v>
      </c>
      <c r="AQ331" s="90" t="s">
        <v>2917</v>
      </c>
      <c r="AR331" s="92">
        <v>50000</v>
      </c>
      <c r="AS331" s="92">
        <v>62000</v>
      </c>
      <c r="AT331" s="92">
        <v>77000</v>
      </c>
      <c r="AU331" s="87" t="s">
        <v>1972</v>
      </c>
      <c r="AV331" s="87" t="s">
        <v>1973</v>
      </c>
      <c r="AW331" s="91"/>
      <c r="AX331" s="91"/>
      <c r="AY331" s="91"/>
      <c r="AZ331" t="str">
        <f t="shared" si="30"/>
        <v>211600</v>
      </c>
      <c r="BA331" t="str">
        <f t="shared" si="31"/>
        <v>0077</v>
      </c>
      <c r="BB331" t="str">
        <f t="shared" si="35"/>
        <v>0000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>IFERROR(VLOOKUP(X331,'Status Map'!A:B,2,FALSE),"Status Code Not Mapped")</f>
        <v>Y</v>
      </c>
      <c r="BL331" t="str">
        <f>IFERROR(VLOOKUP(D331,'Invoice Exception Map'!A:C,3,FALSE),"N")</f>
        <v>N</v>
      </c>
      <c r="BM331">
        <f t="shared" si="32"/>
        <v>6</v>
      </c>
      <c r="BN331" t="str">
        <f t="shared" si="33"/>
        <v>ROSÉN</v>
      </c>
      <c r="BO331" t="str">
        <f t="shared" si="34"/>
        <v>ALEXANDER</v>
      </c>
    </row>
    <row r="332" spans="1:67" ht="16" thickBot="1" x14ac:dyDescent="0.25">
      <c r="A332" s="90" t="s">
        <v>2298</v>
      </c>
      <c r="B332" s="90" t="s">
        <v>2717</v>
      </c>
      <c r="C332" s="90" t="s">
        <v>2718</v>
      </c>
      <c r="D332" s="90" t="s">
        <v>3717</v>
      </c>
      <c r="E332" s="90" t="s">
        <v>1953</v>
      </c>
      <c r="F332" s="90" t="s">
        <v>2918</v>
      </c>
      <c r="G332" s="90" t="s">
        <v>2919</v>
      </c>
      <c r="H332" s="90" t="s">
        <v>1943</v>
      </c>
      <c r="I332" s="90" t="s">
        <v>1944</v>
      </c>
      <c r="J332" s="90" t="s">
        <v>692</v>
      </c>
      <c r="K332" s="90" t="s">
        <v>2920</v>
      </c>
      <c r="L332" s="90" t="s">
        <v>3718</v>
      </c>
      <c r="M332" s="87" t="s">
        <v>2024</v>
      </c>
      <c r="N332" s="87" t="s">
        <v>3293</v>
      </c>
      <c r="O332" s="88">
        <v>30592</v>
      </c>
      <c r="P332" s="89">
        <v>42.9</v>
      </c>
      <c r="Q332" s="90" t="s">
        <v>264</v>
      </c>
      <c r="R332" s="90" t="s">
        <v>3284</v>
      </c>
      <c r="S332" s="90" t="s">
        <v>2792</v>
      </c>
      <c r="T332" s="90" t="s">
        <v>2305</v>
      </c>
      <c r="U332" s="90" t="s">
        <v>1640</v>
      </c>
      <c r="V332" s="88">
        <v>30592</v>
      </c>
      <c r="W332" s="88">
        <v>30592</v>
      </c>
      <c r="X332" s="90" t="s">
        <v>43</v>
      </c>
      <c r="Y332" s="90" t="s">
        <v>257</v>
      </c>
      <c r="Z332" s="90" t="s">
        <v>36</v>
      </c>
      <c r="AA332" s="91"/>
      <c r="AB332" s="91"/>
      <c r="AC332" s="90" t="s">
        <v>2051</v>
      </c>
      <c r="AD332" s="90" t="s">
        <v>267</v>
      </c>
      <c r="AE332" s="90" t="s">
        <v>1636</v>
      </c>
      <c r="AF332" s="90" t="s">
        <v>1947</v>
      </c>
      <c r="AG332" s="90" t="s">
        <v>2793</v>
      </c>
      <c r="AH332" s="90" t="s">
        <v>1956</v>
      </c>
      <c r="AI332" s="90" t="s">
        <v>1956</v>
      </c>
      <c r="AJ332" s="90" t="s">
        <v>2051</v>
      </c>
      <c r="AK332" s="90" t="s">
        <v>36</v>
      </c>
      <c r="AL332" s="90" t="s">
        <v>1635</v>
      </c>
      <c r="AM332" s="90" t="s">
        <v>2307</v>
      </c>
      <c r="AN332" s="90" t="s">
        <v>2054</v>
      </c>
      <c r="AO332" s="87" t="s">
        <v>1949</v>
      </c>
      <c r="AP332" s="87" t="s">
        <v>1950</v>
      </c>
      <c r="AQ332" s="90" t="s">
        <v>2921</v>
      </c>
      <c r="AR332" s="92">
        <v>56000</v>
      </c>
      <c r="AS332" s="92">
        <v>70000</v>
      </c>
      <c r="AT332" s="92">
        <v>87000</v>
      </c>
      <c r="AU332" s="87" t="s">
        <v>1951</v>
      </c>
      <c r="AV332" s="87" t="s">
        <v>2002</v>
      </c>
      <c r="AW332" s="91"/>
      <c r="AX332" s="91"/>
      <c r="AY332" s="91"/>
      <c r="AZ332" t="str">
        <f t="shared" si="30"/>
        <v>211910</v>
      </c>
      <c r="BA332" t="str">
        <f t="shared" si="31"/>
        <v>0077</v>
      </c>
      <c r="BB332" t="str">
        <f t="shared" si="35"/>
        <v>0000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>IFERROR(VLOOKUP(X332,'Status Map'!A:B,2,FALSE),"Status Code Not Mapped")</f>
        <v>Y</v>
      </c>
      <c r="BL332" t="str">
        <f>IFERROR(VLOOKUP(D332,'Invoice Exception Map'!A:C,3,FALSE),"N")</f>
        <v>N</v>
      </c>
      <c r="BM332">
        <f t="shared" si="32"/>
        <v>6</v>
      </c>
      <c r="BN332" t="str">
        <f t="shared" si="33"/>
        <v>ROSÉN</v>
      </c>
      <c r="BO332" t="str">
        <f t="shared" si="34"/>
        <v>BILL</v>
      </c>
    </row>
    <row r="333" spans="1:67" ht="16" thickBot="1" x14ac:dyDescent="0.25">
      <c r="A333" s="90" t="s">
        <v>2298</v>
      </c>
      <c r="B333" s="90" t="s">
        <v>2717</v>
      </c>
      <c r="C333" s="90" t="s">
        <v>2718</v>
      </c>
      <c r="D333" s="90" t="s">
        <v>3719</v>
      </c>
      <c r="E333" s="90" t="s">
        <v>1953</v>
      </c>
      <c r="F333" s="90" t="s">
        <v>2922</v>
      </c>
      <c r="G333" s="90" t="s">
        <v>2045</v>
      </c>
      <c r="H333" s="90" t="s">
        <v>1943</v>
      </c>
      <c r="I333" s="90" t="s">
        <v>1944</v>
      </c>
      <c r="J333" s="90" t="s">
        <v>1955</v>
      </c>
      <c r="K333" s="90" t="s">
        <v>1022</v>
      </c>
      <c r="L333" s="90" t="s">
        <v>2923</v>
      </c>
      <c r="M333" s="87" t="s">
        <v>2041</v>
      </c>
      <c r="N333" s="87" t="s">
        <v>66</v>
      </c>
      <c r="O333" s="88">
        <v>29222</v>
      </c>
      <c r="P333" s="89">
        <v>46.6</v>
      </c>
      <c r="Q333" s="90" t="s">
        <v>305</v>
      </c>
      <c r="R333" s="90" t="s">
        <v>973</v>
      </c>
      <c r="S333" s="90" t="s">
        <v>251</v>
      </c>
      <c r="T333" s="90" t="s">
        <v>2305</v>
      </c>
      <c r="U333" s="90" t="s">
        <v>1640</v>
      </c>
      <c r="V333" s="88">
        <v>29222</v>
      </c>
      <c r="W333" s="88">
        <v>29222</v>
      </c>
      <c r="X333" s="90" t="s">
        <v>43</v>
      </c>
      <c r="Y333" s="90" t="s">
        <v>257</v>
      </c>
      <c r="Z333" s="90" t="s">
        <v>36</v>
      </c>
      <c r="AA333" s="91"/>
      <c r="AB333" s="91"/>
      <c r="AC333" s="90" t="s">
        <v>2051</v>
      </c>
      <c r="AD333" s="90" t="s">
        <v>267</v>
      </c>
      <c r="AE333" s="90" t="s">
        <v>1636</v>
      </c>
      <c r="AF333" s="90" t="s">
        <v>1947</v>
      </c>
      <c r="AG333" s="90" t="s">
        <v>2793</v>
      </c>
      <c r="AH333" s="90" t="s">
        <v>2837</v>
      </c>
      <c r="AI333" s="90" t="s">
        <v>2837</v>
      </c>
      <c r="AJ333" s="90" t="s">
        <v>2051</v>
      </c>
      <c r="AK333" s="90" t="s">
        <v>36</v>
      </c>
      <c r="AL333" s="90" t="s">
        <v>1635</v>
      </c>
      <c r="AM333" s="90" t="s">
        <v>2307</v>
      </c>
      <c r="AN333" s="90" t="s">
        <v>2054</v>
      </c>
      <c r="AO333" s="87" t="s">
        <v>1949</v>
      </c>
      <c r="AP333" s="87" t="s">
        <v>1950</v>
      </c>
      <c r="AQ333" s="90" t="s">
        <v>2924</v>
      </c>
      <c r="AR333" s="92">
        <v>50000</v>
      </c>
      <c r="AS333" s="92">
        <v>62000</v>
      </c>
      <c r="AT333" s="92">
        <v>77000</v>
      </c>
      <c r="AU333" s="87" t="s">
        <v>1972</v>
      </c>
      <c r="AV333" s="87" t="s">
        <v>1973</v>
      </c>
      <c r="AW333" s="91"/>
      <c r="AX333" s="91"/>
      <c r="AY333" s="91"/>
      <c r="AZ333" t="str">
        <f t="shared" si="30"/>
        <v>211601</v>
      </c>
      <c r="BA333" t="str">
        <f t="shared" si="31"/>
        <v>0077</v>
      </c>
      <c r="BB333" t="str">
        <f t="shared" si="35"/>
        <v>0000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>IFERROR(VLOOKUP(X333,'Status Map'!A:B,2,FALSE),"Status Code Not Mapped")</f>
        <v>Y</v>
      </c>
      <c r="BL333" t="str">
        <f>IFERROR(VLOOKUP(D333,'Invoice Exception Map'!A:C,3,FALSE),"N")</f>
        <v>N</v>
      </c>
      <c r="BM333">
        <f t="shared" si="32"/>
        <v>6</v>
      </c>
      <c r="BN333" t="str">
        <f t="shared" si="33"/>
        <v>ROSÉN</v>
      </c>
      <c r="BO333" t="str">
        <f t="shared" si="34"/>
        <v>ELISABETH</v>
      </c>
    </row>
    <row r="334" spans="1:67" ht="16" thickBot="1" x14ac:dyDescent="0.25">
      <c r="A334" s="90" t="s">
        <v>2298</v>
      </c>
      <c r="B334" s="90" t="s">
        <v>2717</v>
      </c>
      <c r="C334" s="90" t="s">
        <v>2718</v>
      </c>
      <c r="D334" s="90" t="s">
        <v>3276</v>
      </c>
      <c r="E334" s="90" t="s">
        <v>1953</v>
      </c>
      <c r="F334" s="90" t="s">
        <v>2578</v>
      </c>
      <c r="G334" s="90" t="s">
        <v>2925</v>
      </c>
      <c r="H334" s="90" t="s">
        <v>1943</v>
      </c>
      <c r="I334" s="90" t="s">
        <v>1944</v>
      </c>
      <c r="J334" s="90" t="s">
        <v>2926</v>
      </c>
      <c r="K334" s="90" t="s">
        <v>2927</v>
      </c>
      <c r="L334" s="90" t="s">
        <v>2928</v>
      </c>
      <c r="M334" s="87" t="s">
        <v>1996</v>
      </c>
      <c r="N334" s="87" t="s">
        <v>2929</v>
      </c>
      <c r="O334" s="88">
        <v>45567</v>
      </c>
      <c r="P334" s="89">
        <v>1.9</v>
      </c>
      <c r="Q334" s="90" t="s">
        <v>163</v>
      </c>
      <c r="R334" s="90" t="s">
        <v>3103</v>
      </c>
      <c r="S334" s="90" t="s">
        <v>2098</v>
      </c>
      <c r="T334" s="90" t="s">
        <v>2305</v>
      </c>
      <c r="U334" s="90" t="s">
        <v>1640</v>
      </c>
      <c r="V334" s="88">
        <v>45567</v>
      </c>
      <c r="W334" s="88">
        <v>45567</v>
      </c>
      <c r="X334" s="90" t="s">
        <v>43</v>
      </c>
      <c r="Y334" s="90" t="s">
        <v>257</v>
      </c>
      <c r="Z334" s="90" t="s">
        <v>36</v>
      </c>
      <c r="AA334" s="91"/>
      <c r="AB334" s="91"/>
      <c r="AC334" s="90" t="s">
        <v>2051</v>
      </c>
      <c r="AD334" s="90" t="s">
        <v>267</v>
      </c>
      <c r="AE334" s="90" t="s">
        <v>1636</v>
      </c>
      <c r="AF334" s="90" t="s">
        <v>1947</v>
      </c>
      <c r="AG334" s="90" t="s">
        <v>2865</v>
      </c>
      <c r="AH334" s="91"/>
      <c r="AI334" s="91"/>
      <c r="AJ334" s="90" t="s">
        <v>2051</v>
      </c>
      <c r="AK334" s="91"/>
      <c r="AL334" s="90" t="s">
        <v>1635</v>
      </c>
      <c r="AM334" s="90" t="s">
        <v>2307</v>
      </c>
      <c r="AN334" s="90" t="s">
        <v>2147</v>
      </c>
      <c r="AO334" s="87" t="s">
        <v>1949</v>
      </c>
      <c r="AP334" s="87" t="s">
        <v>1950</v>
      </c>
      <c r="AQ334" s="90" t="s">
        <v>2930</v>
      </c>
      <c r="AR334" s="92">
        <v>140000</v>
      </c>
      <c r="AS334" s="92">
        <v>175000</v>
      </c>
      <c r="AT334" s="92">
        <v>218000</v>
      </c>
      <c r="AU334" s="87" t="s">
        <v>1951</v>
      </c>
      <c r="AV334" s="87" t="s">
        <v>1959</v>
      </c>
      <c r="AW334" s="91"/>
      <c r="AX334" s="91"/>
      <c r="AY334" s="91"/>
      <c r="AZ334" t="str">
        <f t="shared" si="30"/>
        <v>205389</v>
      </c>
      <c r="BA334" t="str">
        <f t="shared" si="31"/>
        <v>0077</v>
      </c>
      <c r="BB334" t="str">
        <f t="shared" si="35"/>
        <v>0000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>IFERROR(VLOOKUP(X334,'Status Map'!A:B,2,FALSE),"Status Code Not Mapped")</f>
        <v>Y</v>
      </c>
      <c r="BL334" t="str">
        <f>IFERROR(VLOOKUP(D334,'Invoice Exception Map'!A:C,3,FALSE),"N")</f>
        <v>N</v>
      </c>
      <c r="BM334">
        <f t="shared" si="32"/>
        <v>9</v>
      </c>
      <c r="BN334" t="str">
        <f t="shared" si="33"/>
        <v>Rudelius</v>
      </c>
      <c r="BO334" t="str">
        <f t="shared" si="34"/>
        <v>Henrik</v>
      </c>
    </row>
    <row r="335" spans="1:67" ht="16" thickBot="1" x14ac:dyDescent="0.25">
      <c r="A335" s="90" t="s">
        <v>2298</v>
      </c>
      <c r="B335" s="90" t="s">
        <v>2717</v>
      </c>
      <c r="C335" s="90" t="s">
        <v>2718</v>
      </c>
      <c r="D335" s="90" t="s">
        <v>3720</v>
      </c>
      <c r="E335" s="90" t="s">
        <v>1953</v>
      </c>
      <c r="F335" s="90" t="s">
        <v>2931</v>
      </c>
      <c r="G335" s="90" t="s">
        <v>2389</v>
      </c>
      <c r="H335" s="90" t="s">
        <v>267</v>
      </c>
      <c r="I335" s="90" t="s">
        <v>1944</v>
      </c>
      <c r="J335" s="90" t="s">
        <v>1957</v>
      </c>
      <c r="K335" s="90" t="s">
        <v>2390</v>
      </c>
      <c r="L335" s="90" t="s">
        <v>2032</v>
      </c>
      <c r="M335" s="87" t="s">
        <v>2032</v>
      </c>
      <c r="N335" s="87" t="s">
        <v>1999</v>
      </c>
      <c r="O335" s="88">
        <v>35129</v>
      </c>
      <c r="P335" s="89">
        <v>30.5</v>
      </c>
      <c r="Q335" s="90" t="s">
        <v>3267</v>
      </c>
      <c r="R335" s="90" t="s">
        <v>3268</v>
      </c>
      <c r="S335" s="90" t="s">
        <v>2391</v>
      </c>
      <c r="T335" s="90" t="s">
        <v>2305</v>
      </c>
      <c r="U335" s="90" t="s">
        <v>1640</v>
      </c>
      <c r="V335" s="88">
        <v>35129</v>
      </c>
      <c r="W335" s="88">
        <v>35129</v>
      </c>
      <c r="X335" s="90" t="s">
        <v>43</v>
      </c>
      <c r="Y335" s="90" t="s">
        <v>257</v>
      </c>
      <c r="Z335" s="90" t="s">
        <v>36</v>
      </c>
      <c r="AA335" s="91"/>
      <c r="AB335" s="91"/>
      <c r="AC335" s="90" t="s">
        <v>2051</v>
      </c>
      <c r="AD335" s="90" t="s">
        <v>267</v>
      </c>
      <c r="AE335" s="90" t="s">
        <v>1636</v>
      </c>
      <c r="AF335" s="90" t="s">
        <v>1947</v>
      </c>
      <c r="AG335" s="90" t="s">
        <v>2793</v>
      </c>
      <c r="AH335" s="90" t="s">
        <v>2411</v>
      </c>
      <c r="AI335" s="90" t="s">
        <v>2411</v>
      </c>
      <c r="AJ335" s="90" t="s">
        <v>2051</v>
      </c>
      <c r="AK335" s="90" t="s">
        <v>36</v>
      </c>
      <c r="AL335" s="90" t="s">
        <v>1635</v>
      </c>
      <c r="AM335" s="90" t="s">
        <v>2307</v>
      </c>
      <c r="AN335" s="90" t="s">
        <v>2054</v>
      </c>
      <c r="AO335" s="87" t="s">
        <v>1949</v>
      </c>
      <c r="AP335" s="87" t="s">
        <v>1950</v>
      </c>
      <c r="AQ335" s="90" t="s">
        <v>2932</v>
      </c>
      <c r="AR335" s="92">
        <v>40000</v>
      </c>
      <c r="AS335" s="92">
        <v>50000</v>
      </c>
      <c r="AT335" s="92">
        <v>62000</v>
      </c>
      <c r="AU335" s="87" t="s">
        <v>1972</v>
      </c>
      <c r="AV335" s="87" t="s">
        <v>1973</v>
      </c>
      <c r="AW335" s="91"/>
      <c r="AX335" s="91"/>
      <c r="AY335" s="91"/>
      <c r="AZ335" t="str">
        <f t="shared" si="30"/>
        <v>205095</v>
      </c>
      <c r="BA335" t="str">
        <f t="shared" si="31"/>
        <v>0077</v>
      </c>
      <c r="BB335" t="str">
        <f t="shared" si="35"/>
        <v>0000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>IFERROR(VLOOKUP(X335,'Status Map'!A:B,2,FALSE),"Status Code Not Mapped")</f>
        <v>Y</v>
      </c>
      <c r="BL335" t="str">
        <f>IFERROR(VLOOKUP(D335,'Invoice Exception Map'!A:C,3,FALSE),"N")</f>
        <v>N</v>
      </c>
      <c r="BM335">
        <f t="shared" si="32"/>
        <v>12</v>
      </c>
      <c r="BN335" t="str">
        <f t="shared" si="33"/>
        <v>SANFRIDSSON</v>
      </c>
      <c r="BO335" t="str">
        <f t="shared" si="34"/>
        <v>HENRIK</v>
      </c>
    </row>
    <row r="336" spans="1:67" ht="16" thickBot="1" x14ac:dyDescent="0.25">
      <c r="A336" s="90" t="s">
        <v>2298</v>
      </c>
      <c r="B336" s="90" t="s">
        <v>2717</v>
      </c>
      <c r="C336" s="90" t="s">
        <v>2718</v>
      </c>
      <c r="D336" s="90" t="s">
        <v>3284</v>
      </c>
      <c r="E336" s="90" t="s">
        <v>1953</v>
      </c>
      <c r="F336" s="90" t="s">
        <v>2792</v>
      </c>
      <c r="G336" s="90" t="s">
        <v>1992</v>
      </c>
      <c r="H336" s="90" t="s">
        <v>1943</v>
      </c>
      <c r="I336" s="90" t="s">
        <v>1944</v>
      </c>
      <c r="J336" s="90" t="s">
        <v>1621</v>
      </c>
      <c r="K336" s="90" t="s">
        <v>758</v>
      </c>
      <c r="L336" s="90" t="s">
        <v>2933</v>
      </c>
      <c r="M336" s="87" t="s">
        <v>1945</v>
      </c>
      <c r="N336" s="87" t="s">
        <v>1946</v>
      </c>
      <c r="O336" s="88">
        <v>45754</v>
      </c>
      <c r="P336" s="89">
        <v>1.4</v>
      </c>
      <c r="Q336" s="90" t="s">
        <v>316</v>
      </c>
      <c r="R336" s="90" t="s">
        <v>3085</v>
      </c>
      <c r="S336" s="90" t="s">
        <v>755</v>
      </c>
      <c r="T336" s="90" t="s">
        <v>2305</v>
      </c>
      <c r="U336" s="90" t="s">
        <v>1640</v>
      </c>
      <c r="V336" s="88">
        <v>45754</v>
      </c>
      <c r="W336" s="88">
        <v>45754</v>
      </c>
      <c r="X336" s="90" t="s">
        <v>43</v>
      </c>
      <c r="Y336" s="90" t="s">
        <v>257</v>
      </c>
      <c r="Z336" s="90" t="s">
        <v>36</v>
      </c>
      <c r="AA336" s="91"/>
      <c r="AB336" s="91"/>
      <c r="AC336" s="90" t="s">
        <v>2051</v>
      </c>
      <c r="AD336" s="90" t="s">
        <v>267</v>
      </c>
      <c r="AE336" s="90" t="s">
        <v>1636</v>
      </c>
      <c r="AF336" s="90" t="s">
        <v>1947</v>
      </c>
      <c r="AG336" s="90" t="s">
        <v>3258</v>
      </c>
      <c r="AH336" s="91"/>
      <c r="AI336" s="91"/>
      <c r="AJ336" s="90" t="s">
        <v>2051</v>
      </c>
      <c r="AK336" s="90" t="s">
        <v>2934</v>
      </c>
      <c r="AL336" s="90" t="s">
        <v>1635</v>
      </c>
      <c r="AM336" s="90" t="s">
        <v>2307</v>
      </c>
      <c r="AN336" s="90" t="s">
        <v>2054</v>
      </c>
      <c r="AO336" s="87" t="s">
        <v>1949</v>
      </c>
      <c r="AP336" s="87" t="s">
        <v>1950</v>
      </c>
      <c r="AQ336" s="90" t="s">
        <v>2935</v>
      </c>
      <c r="AR336" s="92">
        <v>110000</v>
      </c>
      <c r="AS336" s="92">
        <v>138000</v>
      </c>
      <c r="AT336" s="92">
        <v>172000</v>
      </c>
      <c r="AU336" s="87" t="s">
        <v>1951</v>
      </c>
      <c r="AV336" s="87" t="s">
        <v>1977</v>
      </c>
      <c r="AW336" s="91"/>
      <c r="AX336" s="91"/>
      <c r="AY336" s="91"/>
      <c r="AZ336" t="str">
        <f t="shared" si="30"/>
        <v>203011</v>
      </c>
      <c r="BA336" t="str">
        <f t="shared" si="31"/>
        <v>0077</v>
      </c>
      <c r="BB336" t="str">
        <f t="shared" si="35"/>
        <v>0000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>IFERROR(VLOOKUP(X336,'Status Map'!A:B,2,FALSE),"Status Code Not Mapped")</f>
        <v>Y</v>
      </c>
      <c r="BL336" t="str">
        <f>IFERROR(VLOOKUP(D336,'Invoice Exception Map'!A:C,3,FALSE),"N")</f>
        <v>N</v>
      </c>
      <c r="BM336">
        <f t="shared" si="32"/>
        <v>9</v>
      </c>
      <c r="BN336" t="str">
        <f t="shared" si="33"/>
        <v>Särbring</v>
      </c>
      <c r="BO336" t="str">
        <f t="shared" si="34"/>
        <v>Linda</v>
      </c>
    </row>
    <row r="337" spans="1:67" ht="16" thickBot="1" x14ac:dyDescent="0.25">
      <c r="A337" s="90" t="s">
        <v>2298</v>
      </c>
      <c r="B337" s="90" t="s">
        <v>2717</v>
      </c>
      <c r="C337" s="90" t="s">
        <v>2718</v>
      </c>
      <c r="D337" s="90" t="s">
        <v>3721</v>
      </c>
      <c r="E337" s="90" t="s">
        <v>1953</v>
      </c>
      <c r="F337" s="90" t="s">
        <v>2936</v>
      </c>
      <c r="G337" s="90" t="s">
        <v>2937</v>
      </c>
      <c r="H337" s="90" t="s">
        <v>1943</v>
      </c>
      <c r="I337" s="90" t="s">
        <v>1944</v>
      </c>
      <c r="J337" s="90" t="s">
        <v>1955</v>
      </c>
      <c r="K337" s="90" t="s">
        <v>2938</v>
      </c>
      <c r="L337" s="90" t="s">
        <v>2939</v>
      </c>
      <c r="M337" s="87" t="s">
        <v>2041</v>
      </c>
      <c r="N337" s="87" t="s">
        <v>66</v>
      </c>
      <c r="O337" s="88">
        <v>42401</v>
      </c>
      <c r="P337" s="89">
        <v>10.5</v>
      </c>
      <c r="Q337" s="90" t="s">
        <v>3291</v>
      </c>
      <c r="R337" s="90" t="s">
        <v>3211</v>
      </c>
      <c r="S337" s="90" t="s">
        <v>2257</v>
      </c>
      <c r="T337" s="90" t="s">
        <v>2305</v>
      </c>
      <c r="U337" s="90" t="s">
        <v>1640</v>
      </c>
      <c r="V337" s="88">
        <v>42401</v>
      </c>
      <c r="W337" s="88">
        <v>42401</v>
      </c>
      <c r="X337" s="90" t="s">
        <v>43</v>
      </c>
      <c r="Y337" s="90" t="s">
        <v>257</v>
      </c>
      <c r="Z337" s="90" t="s">
        <v>36</v>
      </c>
      <c r="AA337" s="91"/>
      <c r="AB337" s="91"/>
      <c r="AC337" s="90" t="s">
        <v>2051</v>
      </c>
      <c r="AD337" s="90" t="s">
        <v>267</v>
      </c>
      <c r="AE337" s="90" t="s">
        <v>1636</v>
      </c>
      <c r="AF337" s="90" t="s">
        <v>1947</v>
      </c>
      <c r="AG337" s="90" t="s">
        <v>3263</v>
      </c>
      <c r="AH337" s="90" t="s">
        <v>2842</v>
      </c>
      <c r="AI337" s="90" t="s">
        <v>2842</v>
      </c>
      <c r="AJ337" s="90" t="s">
        <v>2051</v>
      </c>
      <c r="AK337" s="90" t="s">
        <v>36</v>
      </c>
      <c r="AL337" s="90" t="s">
        <v>1635</v>
      </c>
      <c r="AM337" s="90" t="s">
        <v>2307</v>
      </c>
      <c r="AN337" s="90" t="s">
        <v>2054</v>
      </c>
      <c r="AO337" s="87" t="s">
        <v>1949</v>
      </c>
      <c r="AP337" s="87" t="s">
        <v>1950</v>
      </c>
      <c r="AQ337" s="90" t="s">
        <v>2940</v>
      </c>
      <c r="AR337" s="92">
        <v>45000</v>
      </c>
      <c r="AS337" s="92">
        <v>55000</v>
      </c>
      <c r="AT337" s="92">
        <v>69000</v>
      </c>
      <c r="AU337" s="87" t="s">
        <v>1972</v>
      </c>
      <c r="AV337" s="87" t="s">
        <v>1973</v>
      </c>
      <c r="AW337" s="91"/>
      <c r="AX337" s="91"/>
      <c r="AY337" s="91"/>
      <c r="AZ337" t="str">
        <f t="shared" si="30"/>
        <v>205373</v>
      </c>
      <c r="BA337" t="str">
        <f t="shared" si="31"/>
        <v>0077</v>
      </c>
      <c r="BB337" t="str">
        <f t="shared" si="35"/>
        <v>0000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>IFERROR(VLOOKUP(X337,'Status Map'!A:B,2,FALSE),"Status Code Not Mapped")</f>
        <v>Y</v>
      </c>
      <c r="BL337" t="str">
        <f>IFERROR(VLOOKUP(D337,'Invoice Exception Map'!A:C,3,FALSE),"N")</f>
        <v>N</v>
      </c>
      <c r="BM337">
        <f t="shared" si="32"/>
        <v>9</v>
      </c>
      <c r="BN337" t="str">
        <f t="shared" si="33"/>
        <v>SCHMIEDT</v>
      </c>
      <c r="BO337" t="str">
        <f t="shared" si="34"/>
        <v>NICLAS</v>
      </c>
    </row>
    <row r="338" spans="1:67" s="106" customFormat="1" ht="16" thickBot="1" x14ac:dyDescent="0.25">
      <c r="A338" s="100" t="s">
        <v>2298</v>
      </c>
      <c r="B338" s="100" t="s">
        <v>2717</v>
      </c>
      <c r="C338" s="100" t="s">
        <v>2718</v>
      </c>
      <c r="D338" s="100" t="s">
        <v>3115</v>
      </c>
      <c r="E338" s="100" t="s">
        <v>1953</v>
      </c>
      <c r="F338" s="100" t="s">
        <v>2138</v>
      </c>
      <c r="G338" s="100" t="s">
        <v>2941</v>
      </c>
      <c r="H338" s="100" t="s">
        <v>1943</v>
      </c>
      <c r="I338" s="100" t="s">
        <v>1944</v>
      </c>
      <c r="J338" s="100" t="s">
        <v>692</v>
      </c>
      <c r="K338" s="100" t="s">
        <v>2942</v>
      </c>
      <c r="L338" s="100" t="s">
        <v>2943</v>
      </c>
      <c r="M338" s="101" t="s">
        <v>1996</v>
      </c>
      <c r="N338" s="101" t="s">
        <v>1980</v>
      </c>
      <c r="O338" s="102">
        <v>46143</v>
      </c>
      <c r="P338" s="103">
        <v>0.3</v>
      </c>
      <c r="Q338" s="100" t="s">
        <v>1210</v>
      </c>
      <c r="R338" s="100" t="s">
        <v>135</v>
      </c>
      <c r="S338" s="100" t="s">
        <v>155</v>
      </c>
      <c r="T338" s="100" t="s">
        <v>2305</v>
      </c>
      <c r="U338" s="100" t="s">
        <v>1640</v>
      </c>
      <c r="V338" s="102">
        <v>46143</v>
      </c>
      <c r="W338" s="102">
        <v>46143</v>
      </c>
      <c r="X338" s="100" t="s">
        <v>43</v>
      </c>
      <c r="Y338" s="100" t="s">
        <v>257</v>
      </c>
      <c r="Z338" s="100" t="s">
        <v>36</v>
      </c>
      <c r="AA338" s="104"/>
      <c r="AB338" s="104"/>
      <c r="AC338" s="100" t="s">
        <v>2051</v>
      </c>
      <c r="AD338" s="100" t="s">
        <v>267</v>
      </c>
      <c r="AE338" s="100" t="s">
        <v>1636</v>
      </c>
      <c r="AF338" s="100" t="s">
        <v>1947</v>
      </c>
      <c r="AG338" s="100" t="s">
        <v>3294</v>
      </c>
      <c r="AH338" s="100" t="s">
        <v>692</v>
      </c>
      <c r="AI338" s="129" t="s">
        <v>2113</v>
      </c>
      <c r="AJ338" s="100" t="s">
        <v>2051</v>
      </c>
      <c r="AK338" s="104"/>
      <c r="AL338" s="100" t="s">
        <v>1635</v>
      </c>
      <c r="AM338" s="100" t="s">
        <v>2307</v>
      </c>
      <c r="AN338" s="100" t="s">
        <v>2054</v>
      </c>
      <c r="AO338" s="101" t="s">
        <v>1949</v>
      </c>
      <c r="AP338" s="101" t="s">
        <v>1950</v>
      </c>
      <c r="AQ338" s="100" t="s">
        <v>1642</v>
      </c>
      <c r="AR338" s="105">
        <v>177000</v>
      </c>
      <c r="AS338" s="105">
        <v>221000</v>
      </c>
      <c r="AT338" s="105">
        <v>276000</v>
      </c>
      <c r="AU338" s="101" t="s">
        <v>2017</v>
      </c>
      <c r="AV338" s="101" t="s">
        <v>2152</v>
      </c>
      <c r="AW338" s="104"/>
      <c r="AX338" s="104"/>
      <c r="AY338" s="104"/>
      <c r="AZ338" s="106" t="str">
        <f t="shared" si="30"/>
        <v>207709</v>
      </c>
      <c r="BA338" s="106" t="str">
        <f t="shared" si="31"/>
        <v>0077</v>
      </c>
      <c r="BB338" s="106" t="str">
        <f t="shared" si="35"/>
        <v>0000</v>
      </c>
      <c r="BC338" s="106" t="str">
        <f>IFERROR(VLOOKUP(TRIM(Q338),'Salary Map'!A:E,3,FALSE),"Salary Code Not Mapped")</f>
        <v>Grade 20</v>
      </c>
      <c r="BD338" s="106" t="str">
        <f>IFERROR(VLOOKUP(TRIM(Q338),'Salary Map'!A:E,4,FALSE),"Salary Code Not Mapped")</f>
        <v>Senior Leadership</v>
      </c>
      <c r="BE338" s="106">
        <f>IF(BL338="N",0,IFERROR(VLOOKUP(TRIM(Q338),'Salary Map'!A:E,5,FALSE),"Salary Not Mapped"))</f>
        <v>1000000</v>
      </c>
      <c r="BF338" s="106" t="str">
        <f>IFERROR(VLOOKUP(AM338,'Country Map'!A:E,2,FALSE),"Country Not Mapped")</f>
        <v>SE</v>
      </c>
      <c r="BH338" s="106" t="str">
        <f>IFERROR(VLOOKUP(AM338,'Country Map'!A:E,4,FALSE),"Country Not Mapped")</f>
        <v>SEK</v>
      </c>
      <c r="BJ338" s="106" t="str">
        <f>IFERROR(VLOOKUP(X338,'Status Map'!A:B,2,FALSE),"Status Code Not Mapped")</f>
        <v>Y</v>
      </c>
      <c r="BL338" s="106" t="str">
        <f>IFERROR(VLOOKUP(D338,'Invoice Exception Map'!A:C,3,FALSE),"N")</f>
        <v>Y</v>
      </c>
      <c r="BM338" s="106">
        <f t="shared" si="32"/>
        <v>8</v>
      </c>
      <c r="BN338" s="106" t="str">
        <f t="shared" si="33"/>
        <v>Schortz</v>
      </c>
      <c r="BO338" s="106" t="str">
        <f t="shared" si="34"/>
        <v>Robert</v>
      </c>
    </row>
    <row r="339" spans="1:67" ht="16" thickBot="1" x14ac:dyDescent="0.25">
      <c r="A339" s="90" t="s">
        <v>2298</v>
      </c>
      <c r="B339" s="90" t="s">
        <v>2717</v>
      </c>
      <c r="C339" s="90" t="s">
        <v>2718</v>
      </c>
      <c r="D339" s="90" t="s">
        <v>3255</v>
      </c>
      <c r="E339" s="90" t="s">
        <v>1953</v>
      </c>
      <c r="F339" s="90" t="s">
        <v>2315</v>
      </c>
      <c r="G339" s="90" t="s">
        <v>2811</v>
      </c>
      <c r="H339" s="90" t="s">
        <v>1943</v>
      </c>
      <c r="I339" s="90" t="s">
        <v>1944</v>
      </c>
      <c r="J339" s="90" t="s">
        <v>1620</v>
      </c>
      <c r="K339" s="90" t="s">
        <v>2812</v>
      </c>
      <c r="L339" s="90" t="s">
        <v>2945</v>
      </c>
      <c r="M339" s="87" t="s">
        <v>2121</v>
      </c>
      <c r="N339" s="87" t="s">
        <v>2020</v>
      </c>
      <c r="O339" s="88">
        <v>38642</v>
      </c>
      <c r="P339" s="89">
        <v>20.9</v>
      </c>
      <c r="Q339" s="90" t="s">
        <v>3084</v>
      </c>
      <c r="R339" s="90" t="s">
        <v>3254</v>
      </c>
      <c r="S339" s="90" t="s">
        <v>2312</v>
      </c>
      <c r="T339" s="90" t="s">
        <v>2305</v>
      </c>
      <c r="U339" s="90" t="s">
        <v>1640</v>
      </c>
      <c r="V339" s="88">
        <v>38642</v>
      </c>
      <c r="W339" s="88">
        <v>38642</v>
      </c>
      <c r="X339" s="90" t="s">
        <v>43</v>
      </c>
      <c r="Y339" s="90" t="s">
        <v>257</v>
      </c>
      <c r="Z339" s="90" t="s">
        <v>36</v>
      </c>
      <c r="AA339" s="91"/>
      <c r="AB339" s="91"/>
      <c r="AC339" s="90" t="s">
        <v>2051</v>
      </c>
      <c r="AD339" s="90" t="s">
        <v>267</v>
      </c>
      <c r="AE339" s="90" t="s">
        <v>1636</v>
      </c>
      <c r="AF339" s="90" t="s">
        <v>1947</v>
      </c>
      <c r="AG339" s="90" t="s">
        <v>2793</v>
      </c>
      <c r="AH339" s="90" t="s">
        <v>2392</v>
      </c>
      <c r="AI339" s="90" t="s">
        <v>2392</v>
      </c>
      <c r="AJ339" s="90" t="s">
        <v>2051</v>
      </c>
      <c r="AK339" s="90" t="s">
        <v>36</v>
      </c>
      <c r="AL339" s="90" t="s">
        <v>1635</v>
      </c>
      <c r="AM339" s="90" t="s">
        <v>2307</v>
      </c>
      <c r="AN339" s="90" t="s">
        <v>2054</v>
      </c>
      <c r="AO339" s="87" t="s">
        <v>1949</v>
      </c>
      <c r="AP339" s="87" t="s">
        <v>1950</v>
      </c>
      <c r="AQ339" s="90" t="s">
        <v>2946</v>
      </c>
      <c r="AR339" s="91"/>
      <c r="AS339" s="91"/>
      <c r="AT339" s="91"/>
      <c r="AU339" s="87" t="s">
        <v>1972</v>
      </c>
      <c r="AV339" s="91"/>
      <c r="AW339" s="91"/>
      <c r="AX339" s="91"/>
      <c r="AY339" s="91"/>
      <c r="AZ339" t="str">
        <f t="shared" si="30"/>
        <v>205377</v>
      </c>
      <c r="BA339" t="str">
        <f t="shared" si="31"/>
        <v>0077</v>
      </c>
      <c r="BB339" t="str">
        <f t="shared" si="35"/>
        <v>0000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>IFERROR(VLOOKUP(X339,'Status Map'!A:B,2,FALSE),"Status Code Not Mapped")</f>
        <v>Y</v>
      </c>
      <c r="BL339" t="str">
        <f>IFERROR(VLOOKUP(D339,'Invoice Exception Map'!A:C,3,FALSE),"N")</f>
        <v>N</v>
      </c>
      <c r="BM339">
        <f t="shared" si="32"/>
        <v>11</v>
      </c>
      <c r="BN339" t="str">
        <f t="shared" si="33"/>
        <v>SIGURDSSON</v>
      </c>
      <c r="BO339" t="str">
        <f t="shared" si="34"/>
        <v>JONAS</v>
      </c>
    </row>
    <row r="340" spans="1:67" ht="16" thickBot="1" x14ac:dyDescent="0.25">
      <c r="A340" s="90" t="s">
        <v>2298</v>
      </c>
      <c r="B340" s="90" t="s">
        <v>2717</v>
      </c>
      <c r="C340" s="90" t="s">
        <v>2718</v>
      </c>
      <c r="D340" s="90" t="s">
        <v>3722</v>
      </c>
      <c r="E340" s="90" t="s">
        <v>1953</v>
      </c>
      <c r="F340" s="90" t="s">
        <v>2947</v>
      </c>
      <c r="G340" s="90" t="s">
        <v>2948</v>
      </c>
      <c r="H340" s="90" t="s">
        <v>1943</v>
      </c>
      <c r="I340" s="90" t="s">
        <v>1944</v>
      </c>
      <c r="J340" s="90" t="s">
        <v>1957</v>
      </c>
      <c r="K340" s="90" t="s">
        <v>2949</v>
      </c>
      <c r="L340" s="90" t="s">
        <v>2950</v>
      </c>
      <c r="M340" s="87" t="s">
        <v>1945</v>
      </c>
      <c r="N340" s="87" t="s">
        <v>303</v>
      </c>
      <c r="O340" s="88">
        <v>39753</v>
      </c>
      <c r="P340" s="89">
        <v>17.8</v>
      </c>
      <c r="Q340" s="90" t="s">
        <v>151</v>
      </c>
      <c r="R340" s="90" t="s">
        <v>3272</v>
      </c>
      <c r="S340" s="90" t="s">
        <v>2447</v>
      </c>
      <c r="T340" s="90" t="s">
        <v>2305</v>
      </c>
      <c r="U340" s="90" t="s">
        <v>1640</v>
      </c>
      <c r="V340" s="88">
        <v>39753</v>
      </c>
      <c r="W340" s="88">
        <v>39753</v>
      </c>
      <c r="X340" s="90" t="s">
        <v>43</v>
      </c>
      <c r="Y340" s="90" t="s">
        <v>257</v>
      </c>
      <c r="Z340" s="90" t="s">
        <v>36</v>
      </c>
      <c r="AA340" s="91"/>
      <c r="AB340" s="91"/>
      <c r="AC340" s="90" t="s">
        <v>2051</v>
      </c>
      <c r="AD340" s="90" t="s">
        <v>267</v>
      </c>
      <c r="AE340" s="90" t="s">
        <v>1636</v>
      </c>
      <c r="AF340" s="90" t="s">
        <v>1947</v>
      </c>
      <c r="AG340" s="90" t="s">
        <v>2793</v>
      </c>
      <c r="AH340" s="90" t="s">
        <v>2599</v>
      </c>
      <c r="AI340" s="90" t="s">
        <v>2599</v>
      </c>
      <c r="AJ340" s="90" t="s">
        <v>2051</v>
      </c>
      <c r="AK340" s="90" t="s">
        <v>36</v>
      </c>
      <c r="AL340" s="90" t="s">
        <v>1635</v>
      </c>
      <c r="AM340" s="90" t="s">
        <v>2307</v>
      </c>
      <c r="AN340" s="90" t="s">
        <v>2054</v>
      </c>
      <c r="AO340" s="87" t="s">
        <v>1949</v>
      </c>
      <c r="AP340" s="87" t="s">
        <v>1950</v>
      </c>
      <c r="AQ340" s="90" t="s">
        <v>2951</v>
      </c>
      <c r="AR340" s="92">
        <v>88000</v>
      </c>
      <c r="AS340" s="92">
        <v>110000</v>
      </c>
      <c r="AT340" s="92">
        <v>137000</v>
      </c>
      <c r="AU340" s="87" t="s">
        <v>1951</v>
      </c>
      <c r="AV340" s="87" t="s">
        <v>1952</v>
      </c>
      <c r="AW340" s="91"/>
      <c r="AX340" s="91"/>
      <c r="AY340" s="91"/>
      <c r="AZ340" t="str">
        <f t="shared" si="30"/>
        <v>213460</v>
      </c>
      <c r="BA340" t="str">
        <f t="shared" si="31"/>
        <v>0077</v>
      </c>
      <c r="BB340" t="str">
        <f t="shared" si="35"/>
        <v>0000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>IFERROR(VLOOKUP(X340,'Status Map'!A:B,2,FALSE),"Status Code Not Mapped")</f>
        <v>Y</v>
      </c>
      <c r="BL340" t="str">
        <f>IFERROR(VLOOKUP(D340,'Invoice Exception Map'!A:C,3,FALSE),"N")</f>
        <v>N</v>
      </c>
      <c r="BM340">
        <f t="shared" si="32"/>
        <v>10</v>
      </c>
      <c r="BN340" t="str">
        <f t="shared" si="33"/>
        <v>SILJEHOLM</v>
      </c>
      <c r="BO340" t="str">
        <f t="shared" si="34"/>
        <v>SYLVIA</v>
      </c>
    </row>
    <row r="341" spans="1:67" ht="16" thickBot="1" x14ac:dyDescent="0.25">
      <c r="A341" s="90" t="s">
        <v>2298</v>
      </c>
      <c r="B341" s="90" t="s">
        <v>2717</v>
      </c>
      <c r="C341" s="90" t="s">
        <v>2718</v>
      </c>
      <c r="D341" s="90" t="s">
        <v>3272</v>
      </c>
      <c r="E341" s="90" t="s">
        <v>1953</v>
      </c>
      <c r="F341" s="90" t="s">
        <v>2447</v>
      </c>
      <c r="G341" s="90" t="s">
        <v>1982</v>
      </c>
      <c r="H341" s="90" t="s">
        <v>1943</v>
      </c>
      <c r="I341" s="90" t="s">
        <v>1944</v>
      </c>
      <c r="J341" s="90" t="s">
        <v>1957</v>
      </c>
      <c r="K341" s="90" t="s">
        <v>96</v>
      </c>
      <c r="L341" s="90" t="s">
        <v>2952</v>
      </c>
      <c r="M341" s="87" t="s">
        <v>1945</v>
      </c>
      <c r="N341" s="87" t="s">
        <v>303</v>
      </c>
      <c r="O341" s="88">
        <v>46258</v>
      </c>
      <c r="P341" s="89">
        <v>0</v>
      </c>
      <c r="Q341" s="90" t="s">
        <v>69</v>
      </c>
      <c r="R341" s="90" t="s">
        <v>3103</v>
      </c>
      <c r="S341" s="90" t="s">
        <v>2098</v>
      </c>
      <c r="T341" s="90" t="s">
        <v>2305</v>
      </c>
      <c r="U341" s="90" t="s">
        <v>1640</v>
      </c>
      <c r="V341" s="88">
        <v>46258</v>
      </c>
      <c r="W341" s="88">
        <v>46258</v>
      </c>
      <c r="X341" s="90" t="s">
        <v>43</v>
      </c>
      <c r="Y341" s="90" t="s">
        <v>257</v>
      </c>
      <c r="Z341" s="90" t="s">
        <v>36</v>
      </c>
      <c r="AA341" s="91"/>
      <c r="AB341" s="91"/>
      <c r="AC341" s="90" t="s">
        <v>2051</v>
      </c>
      <c r="AD341" s="90" t="s">
        <v>267</v>
      </c>
      <c r="AE341" s="90" t="s">
        <v>1636</v>
      </c>
      <c r="AF341" s="90" t="s">
        <v>1947</v>
      </c>
      <c r="AG341" s="90" t="s">
        <v>2865</v>
      </c>
      <c r="AH341" s="91"/>
      <c r="AI341" s="91"/>
      <c r="AJ341" s="90" t="s">
        <v>2051</v>
      </c>
      <c r="AK341" s="91"/>
      <c r="AL341" s="90" t="s">
        <v>1635</v>
      </c>
      <c r="AM341" s="90" t="s">
        <v>2307</v>
      </c>
      <c r="AN341" s="90" t="s">
        <v>2054</v>
      </c>
      <c r="AO341" s="87" t="s">
        <v>1949</v>
      </c>
      <c r="AP341" s="87" t="s">
        <v>1950</v>
      </c>
      <c r="AQ341" s="90" t="s">
        <v>2953</v>
      </c>
      <c r="AR341" s="92">
        <v>98000</v>
      </c>
      <c r="AS341" s="92">
        <v>122000</v>
      </c>
      <c r="AT341" s="92">
        <v>153000</v>
      </c>
      <c r="AU341" s="87" t="s">
        <v>1951</v>
      </c>
      <c r="AV341" s="87" t="s">
        <v>1981</v>
      </c>
      <c r="AW341" s="91"/>
      <c r="AX341" s="91"/>
      <c r="AY341" s="91"/>
      <c r="AZ341" t="str">
        <f t="shared" si="30"/>
        <v>205389</v>
      </c>
      <c r="BA341" t="str">
        <f t="shared" si="31"/>
        <v>0077</v>
      </c>
      <c r="BB341" t="str">
        <f t="shared" si="35"/>
        <v>0000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>IFERROR(VLOOKUP(X341,'Status Map'!A:B,2,FALSE),"Status Code Not Mapped")</f>
        <v>Y</v>
      </c>
      <c r="BL341" t="str">
        <f>IFERROR(VLOOKUP(D341,'Invoice Exception Map'!A:C,3,FALSE),"N")</f>
        <v>N</v>
      </c>
      <c r="BM341">
        <f t="shared" si="32"/>
        <v>8</v>
      </c>
      <c r="BN341" t="str">
        <f t="shared" si="33"/>
        <v>Sjölund</v>
      </c>
      <c r="BO341" t="str">
        <f t="shared" si="34"/>
        <v>Jonas</v>
      </c>
    </row>
    <row r="342" spans="1:67" ht="16" thickBot="1" x14ac:dyDescent="0.25">
      <c r="A342" s="90" t="s">
        <v>2298</v>
      </c>
      <c r="B342" s="90" t="s">
        <v>2717</v>
      </c>
      <c r="C342" s="90" t="s">
        <v>2718</v>
      </c>
      <c r="D342" s="90" t="s">
        <v>3254</v>
      </c>
      <c r="E342" s="90" t="s">
        <v>1953</v>
      </c>
      <c r="F342" s="90" t="s">
        <v>2312</v>
      </c>
      <c r="G342" s="90" t="s">
        <v>2954</v>
      </c>
      <c r="H342" s="90" t="s">
        <v>1943</v>
      </c>
      <c r="I342" s="90" t="s">
        <v>1944</v>
      </c>
      <c r="J342" s="90" t="s">
        <v>1957</v>
      </c>
      <c r="K342" s="90" t="s">
        <v>2955</v>
      </c>
      <c r="L342" s="90" t="s">
        <v>1997</v>
      </c>
      <c r="M342" s="87" t="s">
        <v>1998</v>
      </c>
      <c r="N342" s="87" t="s">
        <v>1999</v>
      </c>
      <c r="O342" s="88">
        <v>36752</v>
      </c>
      <c r="P342" s="89">
        <v>26</v>
      </c>
      <c r="Q342" s="90" t="s">
        <v>151</v>
      </c>
      <c r="R342" s="90" t="s">
        <v>3276</v>
      </c>
      <c r="S342" s="90" t="s">
        <v>2578</v>
      </c>
      <c r="T342" s="90" t="s">
        <v>2305</v>
      </c>
      <c r="U342" s="90" t="s">
        <v>1640</v>
      </c>
      <c r="V342" s="88">
        <v>36752</v>
      </c>
      <c r="W342" s="88">
        <v>36752</v>
      </c>
      <c r="X342" s="90" t="s">
        <v>43</v>
      </c>
      <c r="Y342" s="90" t="s">
        <v>257</v>
      </c>
      <c r="Z342" s="90" t="s">
        <v>36</v>
      </c>
      <c r="AA342" s="91"/>
      <c r="AB342" s="91"/>
      <c r="AC342" s="90" t="s">
        <v>2051</v>
      </c>
      <c r="AD342" s="90" t="s">
        <v>267</v>
      </c>
      <c r="AE342" s="90" t="s">
        <v>1636</v>
      </c>
      <c r="AF342" s="90" t="s">
        <v>1947</v>
      </c>
      <c r="AG342" s="90" t="s">
        <v>2793</v>
      </c>
      <c r="AH342" s="90" t="s">
        <v>2392</v>
      </c>
      <c r="AI342" s="90" t="s">
        <v>2392</v>
      </c>
      <c r="AJ342" s="90" t="s">
        <v>2051</v>
      </c>
      <c r="AK342" s="90" t="s">
        <v>36</v>
      </c>
      <c r="AL342" s="90" t="s">
        <v>1635</v>
      </c>
      <c r="AM342" s="90" t="s">
        <v>2307</v>
      </c>
      <c r="AN342" s="90" t="s">
        <v>2054</v>
      </c>
      <c r="AO342" s="87" t="s">
        <v>1949</v>
      </c>
      <c r="AP342" s="87" t="s">
        <v>1950</v>
      </c>
      <c r="AQ342" s="90" t="s">
        <v>2956</v>
      </c>
      <c r="AR342" s="92">
        <v>88000</v>
      </c>
      <c r="AS342" s="92">
        <v>110000</v>
      </c>
      <c r="AT342" s="92">
        <v>137000</v>
      </c>
      <c r="AU342" s="87" t="s">
        <v>1951</v>
      </c>
      <c r="AV342" s="87" t="s">
        <v>1952</v>
      </c>
      <c r="AW342" s="91"/>
      <c r="AX342" s="91"/>
      <c r="AY342" s="91"/>
      <c r="AZ342" t="str">
        <f t="shared" si="30"/>
        <v>211474</v>
      </c>
      <c r="BA342" t="str">
        <f t="shared" si="31"/>
        <v>0077</v>
      </c>
      <c r="BB342" t="str">
        <f t="shared" si="35"/>
        <v>0000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>IFERROR(VLOOKUP(X342,'Status Map'!A:B,2,FALSE),"Status Code Not Mapped")</f>
        <v>Y</v>
      </c>
      <c r="BL342" t="str">
        <f>IFERROR(VLOOKUP(D342,'Invoice Exception Map'!A:C,3,FALSE),"N")</f>
        <v>N</v>
      </c>
      <c r="BM342">
        <f t="shared" si="32"/>
        <v>9</v>
      </c>
      <c r="BN342" t="str">
        <f t="shared" si="33"/>
        <v>SKRIJELJ</v>
      </c>
      <c r="BO342" t="str">
        <f t="shared" si="34"/>
        <v>IFET</v>
      </c>
    </row>
    <row r="343" spans="1:67" ht="16" thickBot="1" x14ac:dyDescent="0.25">
      <c r="A343" s="90" t="s">
        <v>2298</v>
      </c>
      <c r="B343" s="90" t="s">
        <v>2717</v>
      </c>
      <c r="C343" s="90" t="s">
        <v>2718</v>
      </c>
      <c r="D343" s="90" t="s">
        <v>3171</v>
      </c>
      <c r="E343" s="90" t="s">
        <v>1953</v>
      </c>
      <c r="F343" s="90" t="s">
        <v>2216</v>
      </c>
      <c r="G343" s="90" t="s">
        <v>2957</v>
      </c>
      <c r="H343" s="90" t="s">
        <v>1943</v>
      </c>
      <c r="I343" s="90" t="s">
        <v>1944</v>
      </c>
      <c r="J343" s="90" t="s">
        <v>692</v>
      </c>
      <c r="K343" s="90" t="s">
        <v>2958</v>
      </c>
      <c r="L343" s="90" t="s">
        <v>2959</v>
      </c>
      <c r="M343" s="87" t="s">
        <v>1945</v>
      </c>
      <c r="N343" s="87" t="s">
        <v>692</v>
      </c>
      <c r="O343" s="88">
        <v>46244</v>
      </c>
      <c r="P343" s="89">
        <v>0</v>
      </c>
      <c r="Q343" s="90" t="s">
        <v>316</v>
      </c>
      <c r="R343" s="90" t="s">
        <v>3115</v>
      </c>
      <c r="S343" s="90" t="s">
        <v>2138</v>
      </c>
      <c r="T343" s="90" t="s">
        <v>2305</v>
      </c>
      <c r="U343" s="90" t="s">
        <v>1640</v>
      </c>
      <c r="V343" s="88">
        <v>46244</v>
      </c>
      <c r="W343" s="88">
        <v>46244</v>
      </c>
      <c r="X343" s="90" t="s">
        <v>43</v>
      </c>
      <c r="Y343" s="90" t="s">
        <v>257</v>
      </c>
      <c r="Z343" s="90" t="s">
        <v>36</v>
      </c>
      <c r="AA343" s="91"/>
      <c r="AB343" s="91"/>
      <c r="AC343" s="90" t="s">
        <v>2051</v>
      </c>
      <c r="AD343" s="90" t="s">
        <v>267</v>
      </c>
      <c r="AE343" s="90" t="s">
        <v>1636</v>
      </c>
      <c r="AF343" s="90" t="s">
        <v>1947</v>
      </c>
      <c r="AG343" s="90" t="s">
        <v>3295</v>
      </c>
      <c r="AH343" s="91"/>
      <c r="AI343" s="91"/>
      <c r="AJ343" s="90" t="s">
        <v>2051</v>
      </c>
      <c r="AK343" s="91"/>
      <c r="AL343" s="90" t="s">
        <v>1635</v>
      </c>
      <c r="AM343" s="90" t="s">
        <v>2307</v>
      </c>
      <c r="AN343" s="90" t="s">
        <v>1948</v>
      </c>
      <c r="AO343" s="87" t="s">
        <v>1949</v>
      </c>
      <c r="AP343" s="87" t="s">
        <v>1950</v>
      </c>
      <c r="AQ343" s="90" t="s">
        <v>2960</v>
      </c>
      <c r="AR343" s="92">
        <v>110000</v>
      </c>
      <c r="AS343" s="92">
        <v>138000</v>
      </c>
      <c r="AT343" s="92">
        <v>172000</v>
      </c>
      <c r="AU343" s="87" t="s">
        <v>1951</v>
      </c>
      <c r="AV343" s="87" t="s">
        <v>1977</v>
      </c>
      <c r="AW343" s="91"/>
      <c r="AX343" s="91"/>
      <c r="AY343" s="91"/>
      <c r="AZ343" t="str">
        <f t="shared" si="30"/>
        <v>213174</v>
      </c>
      <c r="BA343" t="str">
        <f t="shared" si="31"/>
        <v>0077</v>
      </c>
      <c r="BB343" t="str">
        <f t="shared" si="35"/>
        <v>0000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>IFERROR(VLOOKUP(X343,'Status Map'!A:B,2,FALSE),"Status Code Not Mapped")</f>
        <v>Y</v>
      </c>
      <c r="BL343" t="str">
        <f>IFERROR(VLOOKUP(D343,'Invoice Exception Map'!A:C,3,FALSE),"N")</f>
        <v>N</v>
      </c>
      <c r="BM343">
        <f t="shared" si="32"/>
        <v>6</v>
      </c>
      <c r="BN343" t="str">
        <f t="shared" si="33"/>
        <v>Stedt</v>
      </c>
      <c r="BO343" t="str">
        <f t="shared" si="34"/>
        <v>Simon</v>
      </c>
    </row>
    <row r="344" spans="1:67" ht="16" thickBot="1" x14ac:dyDescent="0.25">
      <c r="A344" s="90" t="s">
        <v>2298</v>
      </c>
      <c r="B344" s="90" t="s">
        <v>2717</v>
      </c>
      <c r="C344" s="90" t="s">
        <v>2718</v>
      </c>
      <c r="D344" s="90" t="s">
        <v>3723</v>
      </c>
      <c r="E344" s="90" t="s">
        <v>1953</v>
      </c>
      <c r="F344" s="90" t="s">
        <v>2961</v>
      </c>
      <c r="G344" s="90" t="s">
        <v>2811</v>
      </c>
      <c r="H344" s="90" t="s">
        <v>1943</v>
      </c>
      <c r="I344" s="90" t="s">
        <v>1944</v>
      </c>
      <c r="J344" s="90" t="s">
        <v>1620</v>
      </c>
      <c r="K344" s="90" t="s">
        <v>2812</v>
      </c>
      <c r="L344" s="90" t="s">
        <v>2813</v>
      </c>
      <c r="M344" s="87" t="s">
        <v>2121</v>
      </c>
      <c r="N344" s="87" t="s">
        <v>2020</v>
      </c>
      <c r="O344" s="88">
        <v>35975</v>
      </c>
      <c r="P344" s="89">
        <v>28.2</v>
      </c>
      <c r="Q344" s="90" t="s">
        <v>3084</v>
      </c>
      <c r="R344" s="90" t="s">
        <v>3257</v>
      </c>
      <c r="S344" s="90" t="s">
        <v>2326</v>
      </c>
      <c r="T344" s="90" t="s">
        <v>2305</v>
      </c>
      <c r="U344" s="90" t="s">
        <v>1640</v>
      </c>
      <c r="V344" s="88">
        <v>35975</v>
      </c>
      <c r="W344" s="88">
        <v>35975</v>
      </c>
      <c r="X344" s="90" t="s">
        <v>43</v>
      </c>
      <c r="Y344" s="90" t="s">
        <v>257</v>
      </c>
      <c r="Z344" s="90" t="s">
        <v>36</v>
      </c>
      <c r="AA344" s="91"/>
      <c r="AB344" s="91"/>
      <c r="AC344" s="90" t="s">
        <v>2051</v>
      </c>
      <c r="AD344" s="90" t="s">
        <v>267</v>
      </c>
      <c r="AE344" s="90" t="s">
        <v>1636</v>
      </c>
      <c r="AF344" s="90" t="s">
        <v>1947</v>
      </c>
      <c r="AG344" s="90" t="s">
        <v>2793</v>
      </c>
      <c r="AH344" s="90" t="s">
        <v>2392</v>
      </c>
      <c r="AI344" s="90" t="s">
        <v>2392</v>
      </c>
      <c r="AJ344" s="90" t="s">
        <v>2051</v>
      </c>
      <c r="AK344" s="90" t="s">
        <v>36</v>
      </c>
      <c r="AL344" s="90" t="s">
        <v>1635</v>
      </c>
      <c r="AM344" s="90" t="s">
        <v>2307</v>
      </c>
      <c r="AN344" s="90" t="s">
        <v>2054</v>
      </c>
      <c r="AO344" s="87" t="s">
        <v>1949</v>
      </c>
      <c r="AP344" s="87" t="s">
        <v>1950</v>
      </c>
      <c r="AQ344" s="90" t="s">
        <v>2962</v>
      </c>
      <c r="AR344" s="91"/>
      <c r="AS344" s="91"/>
      <c r="AT344" s="91"/>
      <c r="AU344" s="87" t="s">
        <v>1972</v>
      </c>
      <c r="AV344" s="91"/>
      <c r="AW344" s="91"/>
      <c r="AX344" s="91"/>
      <c r="AY344" s="91"/>
      <c r="AZ344" t="str">
        <f t="shared" si="30"/>
        <v>205384</v>
      </c>
      <c r="BA344" t="str">
        <f t="shared" si="31"/>
        <v>0077</v>
      </c>
      <c r="BB344" t="str">
        <f t="shared" si="35"/>
        <v>0000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>IFERROR(VLOOKUP(X344,'Status Map'!A:B,2,FALSE),"Status Code Not Mapped")</f>
        <v>Y</v>
      </c>
      <c r="BL344" t="str">
        <f>IFERROR(VLOOKUP(D344,'Invoice Exception Map'!A:C,3,FALSE),"N")</f>
        <v>N</v>
      </c>
      <c r="BM344">
        <f t="shared" si="32"/>
        <v>9</v>
      </c>
      <c r="BN344" t="str">
        <f t="shared" si="33"/>
        <v>STENBERG</v>
      </c>
      <c r="BO344" t="str">
        <f t="shared" si="34"/>
        <v>SEBASTIAN</v>
      </c>
    </row>
    <row r="345" spans="1:67" ht="16" thickBot="1" x14ac:dyDescent="0.25">
      <c r="A345" s="90" t="s">
        <v>2298</v>
      </c>
      <c r="B345" s="90" t="s">
        <v>2717</v>
      </c>
      <c r="C345" s="90" t="s">
        <v>2718</v>
      </c>
      <c r="D345" s="90" t="s">
        <v>3724</v>
      </c>
      <c r="E345" s="90" t="s">
        <v>1953</v>
      </c>
      <c r="F345" s="90" t="s">
        <v>2963</v>
      </c>
      <c r="G345" s="90" t="s">
        <v>2720</v>
      </c>
      <c r="H345" s="90" t="s">
        <v>1943</v>
      </c>
      <c r="I345" s="90" t="s">
        <v>1944</v>
      </c>
      <c r="J345" s="90" t="s">
        <v>241</v>
      </c>
      <c r="K345" s="90" t="s">
        <v>2721</v>
      </c>
      <c r="L345" s="90" t="s">
        <v>2964</v>
      </c>
      <c r="M345" s="87" t="s">
        <v>1963</v>
      </c>
      <c r="N345" s="87" t="s">
        <v>1994</v>
      </c>
      <c r="O345" s="88">
        <v>45670</v>
      </c>
      <c r="P345" s="89">
        <v>1.6</v>
      </c>
      <c r="Q345" s="90" t="s">
        <v>504</v>
      </c>
      <c r="R345" s="90" t="s">
        <v>3283</v>
      </c>
      <c r="S345" s="90" t="s">
        <v>2773</v>
      </c>
      <c r="T345" s="90" t="s">
        <v>2305</v>
      </c>
      <c r="U345" s="90" t="s">
        <v>1640</v>
      </c>
      <c r="V345" s="88">
        <v>45670</v>
      </c>
      <c r="W345" s="88">
        <v>45670</v>
      </c>
      <c r="X345" s="90" t="s">
        <v>43</v>
      </c>
      <c r="Y345" s="90" t="s">
        <v>257</v>
      </c>
      <c r="Z345" s="90" t="s">
        <v>36</v>
      </c>
      <c r="AA345" s="91"/>
      <c r="AB345" s="91"/>
      <c r="AC345" s="90" t="s">
        <v>2051</v>
      </c>
      <c r="AD345" s="90" t="s">
        <v>267</v>
      </c>
      <c r="AE345" s="90" t="s">
        <v>1636</v>
      </c>
      <c r="AF345" s="90" t="s">
        <v>1947</v>
      </c>
      <c r="AG345" s="90" t="s">
        <v>3296</v>
      </c>
      <c r="AH345" s="91"/>
      <c r="AI345" s="91"/>
      <c r="AJ345" s="90" t="s">
        <v>2051</v>
      </c>
      <c r="AK345" s="91"/>
      <c r="AL345" s="90" t="s">
        <v>1635</v>
      </c>
      <c r="AM345" s="90" t="s">
        <v>2307</v>
      </c>
      <c r="AN345" s="90" t="s">
        <v>2054</v>
      </c>
      <c r="AO345" s="87" t="s">
        <v>1949</v>
      </c>
      <c r="AP345" s="87" t="s">
        <v>1950</v>
      </c>
      <c r="AQ345" s="90" t="s">
        <v>2965</v>
      </c>
      <c r="AR345" s="92">
        <v>62000</v>
      </c>
      <c r="AS345" s="92">
        <v>78000</v>
      </c>
      <c r="AT345" s="92">
        <v>97000</v>
      </c>
      <c r="AU345" s="87" t="s">
        <v>1951</v>
      </c>
      <c r="AV345" s="87" t="s">
        <v>1966</v>
      </c>
      <c r="AW345" s="91"/>
      <c r="AX345" s="91"/>
      <c r="AY345" s="91"/>
      <c r="AZ345" t="str">
        <f t="shared" si="30"/>
        <v>205368</v>
      </c>
      <c r="BA345" t="str">
        <f t="shared" si="31"/>
        <v>0077</v>
      </c>
      <c r="BB345" t="str">
        <f t="shared" si="35"/>
        <v>0000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>IFERROR(VLOOKUP(X345,'Status Map'!A:B,2,FALSE),"Status Code Not Mapped")</f>
        <v>Y</v>
      </c>
      <c r="BL345" t="str">
        <f>IFERROR(VLOOKUP(D345,'Invoice Exception Map'!A:C,3,FALSE),"N")</f>
        <v>N</v>
      </c>
      <c r="BM345">
        <f t="shared" si="32"/>
        <v>11</v>
      </c>
      <c r="BN345" t="str">
        <f t="shared" si="33"/>
        <v>Stephenson</v>
      </c>
      <c r="BO345" t="str">
        <f t="shared" si="34"/>
        <v>Graeme</v>
      </c>
    </row>
    <row r="346" spans="1:67" ht="16" thickBot="1" x14ac:dyDescent="0.25">
      <c r="A346" s="90" t="s">
        <v>2298</v>
      </c>
      <c r="B346" s="90" t="s">
        <v>2717</v>
      </c>
      <c r="C346" s="90" t="s">
        <v>2718</v>
      </c>
      <c r="D346" s="90" t="s">
        <v>3725</v>
      </c>
      <c r="E346" s="90" t="s">
        <v>1953</v>
      </c>
      <c r="F346" s="90" t="s">
        <v>2966</v>
      </c>
      <c r="G346" s="90" t="s">
        <v>2849</v>
      </c>
      <c r="H346" s="90" t="s">
        <v>1943</v>
      </c>
      <c r="I346" s="90" t="s">
        <v>1944</v>
      </c>
      <c r="J346" s="90" t="s">
        <v>549</v>
      </c>
      <c r="K346" s="90" t="s">
        <v>2850</v>
      </c>
      <c r="L346" s="90" t="s">
        <v>2853</v>
      </c>
      <c r="M346" s="87" t="s">
        <v>1945</v>
      </c>
      <c r="N346" s="87" t="s">
        <v>549</v>
      </c>
      <c r="O346" s="88">
        <v>38418</v>
      </c>
      <c r="P346" s="89">
        <v>21.5</v>
      </c>
      <c r="Q346" s="90" t="s">
        <v>287</v>
      </c>
      <c r="R346" s="90" t="s">
        <v>3103</v>
      </c>
      <c r="S346" s="90" t="s">
        <v>2098</v>
      </c>
      <c r="T346" s="90" t="s">
        <v>2305</v>
      </c>
      <c r="U346" s="90" t="s">
        <v>1640</v>
      </c>
      <c r="V346" s="88">
        <v>38418</v>
      </c>
      <c r="W346" s="88">
        <v>38418</v>
      </c>
      <c r="X346" s="90" t="s">
        <v>43</v>
      </c>
      <c r="Y346" s="90" t="s">
        <v>257</v>
      </c>
      <c r="Z346" s="90" t="s">
        <v>36</v>
      </c>
      <c r="AA346" s="91"/>
      <c r="AB346" s="91"/>
      <c r="AC346" s="90" t="s">
        <v>2051</v>
      </c>
      <c r="AD346" s="90" t="s">
        <v>267</v>
      </c>
      <c r="AE346" s="90" t="s">
        <v>1636</v>
      </c>
      <c r="AF346" s="90" t="s">
        <v>1947</v>
      </c>
      <c r="AG346" s="90" t="s">
        <v>2793</v>
      </c>
      <c r="AH346" s="90" t="s">
        <v>1876</v>
      </c>
      <c r="AI346" s="90" t="s">
        <v>1876</v>
      </c>
      <c r="AJ346" s="90" t="s">
        <v>2051</v>
      </c>
      <c r="AK346" s="90" t="s">
        <v>36</v>
      </c>
      <c r="AL346" s="90" t="s">
        <v>1635</v>
      </c>
      <c r="AM346" s="90" t="s">
        <v>2307</v>
      </c>
      <c r="AN346" s="90" t="s">
        <v>2054</v>
      </c>
      <c r="AO346" s="87" t="s">
        <v>1949</v>
      </c>
      <c r="AP346" s="87" t="s">
        <v>1950</v>
      </c>
      <c r="AQ346" s="90" t="s">
        <v>2967</v>
      </c>
      <c r="AR346" s="92">
        <v>78000</v>
      </c>
      <c r="AS346" s="92">
        <v>97000</v>
      </c>
      <c r="AT346" s="92">
        <v>121000</v>
      </c>
      <c r="AU346" s="87" t="s">
        <v>1951</v>
      </c>
      <c r="AV346" s="87" t="s">
        <v>1952</v>
      </c>
      <c r="AW346" s="91"/>
      <c r="AX346" s="91"/>
      <c r="AY346" s="91"/>
      <c r="AZ346" t="str">
        <f t="shared" si="30"/>
        <v>205389</v>
      </c>
      <c r="BA346" t="str">
        <f t="shared" si="31"/>
        <v>0077</v>
      </c>
      <c r="BB346" t="str">
        <f t="shared" si="35"/>
        <v>0000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>IFERROR(VLOOKUP(X346,'Status Map'!A:B,2,FALSE),"Status Code Not Mapped")</f>
        <v>Y</v>
      </c>
      <c r="BL346" t="str">
        <f>IFERROR(VLOOKUP(D346,'Invoice Exception Map'!A:C,3,FALSE),"N")</f>
        <v>N</v>
      </c>
      <c r="BM346">
        <f t="shared" si="32"/>
        <v>7</v>
      </c>
      <c r="BN346" t="str">
        <f t="shared" si="33"/>
        <v>STOLTZ</v>
      </c>
      <c r="BO346" t="str">
        <f t="shared" si="34"/>
        <v>PATRIK</v>
      </c>
    </row>
    <row r="347" spans="1:67" ht="16" thickBot="1" x14ac:dyDescent="0.25">
      <c r="A347" s="90" t="s">
        <v>2298</v>
      </c>
      <c r="B347" s="90" t="s">
        <v>2717</v>
      </c>
      <c r="C347" s="90" t="s">
        <v>2718</v>
      </c>
      <c r="D347" s="90" t="s">
        <v>3726</v>
      </c>
      <c r="E347" s="90" t="s">
        <v>1953</v>
      </c>
      <c r="F347" s="90" t="s">
        <v>2968</v>
      </c>
      <c r="G347" s="90" t="s">
        <v>2768</v>
      </c>
      <c r="H347" s="90" t="s">
        <v>1943</v>
      </c>
      <c r="I347" s="90" t="s">
        <v>1944</v>
      </c>
      <c r="J347" s="90" t="s">
        <v>241</v>
      </c>
      <c r="K347" s="90" t="s">
        <v>2769</v>
      </c>
      <c r="L347" s="90" t="s">
        <v>2728</v>
      </c>
      <c r="M347" s="87" t="s">
        <v>1963</v>
      </c>
      <c r="N347" s="87" t="s">
        <v>1967</v>
      </c>
      <c r="O347" s="88">
        <v>41736</v>
      </c>
      <c r="P347" s="89">
        <v>12.4</v>
      </c>
      <c r="Q347" s="90" t="s">
        <v>504</v>
      </c>
      <c r="R347" s="90" t="s">
        <v>3264</v>
      </c>
      <c r="S347" s="90" t="s">
        <v>2363</v>
      </c>
      <c r="T347" s="90" t="s">
        <v>2305</v>
      </c>
      <c r="U347" s="90" t="s">
        <v>1640</v>
      </c>
      <c r="V347" s="88">
        <v>41736</v>
      </c>
      <c r="W347" s="88">
        <v>41736</v>
      </c>
      <c r="X347" s="90" t="s">
        <v>43</v>
      </c>
      <c r="Y347" s="90" t="s">
        <v>257</v>
      </c>
      <c r="Z347" s="90" t="s">
        <v>36</v>
      </c>
      <c r="AA347" s="91"/>
      <c r="AB347" s="91"/>
      <c r="AC347" s="90" t="s">
        <v>2051</v>
      </c>
      <c r="AD347" s="90" t="s">
        <v>267</v>
      </c>
      <c r="AE347" s="90" t="s">
        <v>1636</v>
      </c>
      <c r="AF347" s="90" t="s">
        <v>2004</v>
      </c>
      <c r="AG347" s="90" t="s">
        <v>2793</v>
      </c>
      <c r="AH347" s="90" t="s">
        <v>1876</v>
      </c>
      <c r="AI347" s="90" t="s">
        <v>1876</v>
      </c>
      <c r="AJ347" s="90" t="s">
        <v>2051</v>
      </c>
      <c r="AK347" s="90" t="s">
        <v>36</v>
      </c>
      <c r="AL347" s="90" t="s">
        <v>1635</v>
      </c>
      <c r="AM347" s="90" t="s">
        <v>2307</v>
      </c>
      <c r="AN347" s="90" t="s">
        <v>2054</v>
      </c>
      <c r="AO347" s="87" t="s">
        <v>1949</v>
      </c>
      <c r="AP347" s="87" t="s">
        <v>1950</v>
      </c>
      <c r="AQ347" s="90" t="s">
        <v>2969</v>
      </c>
      <c r="AR347" s="92">
        <v>62000</v>
      </c>
      <c r="AS347" s="92">
        <v>78000</v>
      </c>
      <c r="AT347" s="92">
        <v>97000</v>
      </c>
      <c r="AU347" s="87" t="s">
        <v>1951</v>
      </c>
      <c r="AV347" s="87" t="s">
        <v>1966</v>
      </c>
      <c r="AW347" s="91"/>
      <c r="AX347" s="91"/>
      <c r="AY347" s="91"/>
      <c r="AZ347" t="str">
        <f t="shared" si="30"/>
        <v>213066</v>
      </c>
      <c r="BA347" t="str">
        <f t="shared" si="31"/>
        <v>0077</v>
      </c>
      <c r="BB347" t="str">
        <f t="shared" si="35"/>
        <v>0000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>IFERROR(VLOOKUP(X347,'Status Map'!A:B,2,FALSE),"Status Code Not Mapped")</f>
        <v>Y</v>
      </c>
      <c r="BL347" t="str">
        <f>IFERROR(VLOOKUP(D347,'Invoice Exception Map'!A:C,3,FALSE),"N")</f>
        <v>N</v>
      </c>
      <c r="BM347">
        <f t="shared" si="32"/>
        <v>10</v>
      </c>
      <c r="BN347" t="str">
        <f t="shared" si="33"/>
        <v>STRÖMVALL</v>
      </c>
      <c r="BO347" t="str">
        <f t="shared" si="34"/>
        <v>DAVID</v>
      </c>
    </row>
    <row r="348" spans="1:67" ht="16" thickBot="1" x14ac:dyDescent="0.25">
      <c r="A348" s="90" t="s">
        <v>2298</v>
      </c>
      <c r="B348" s="90" t="s">
        <v>2717</v>
      </c>
      <c r="C348" s="90" t="s">
        <v>2718</v>
      </c>
      <c r="D348" s="90" t="s">
        <v>3286</v>
      </c>
      <c r="E348" s="90" t="s">
        <v>1953</v>
      </c>
      <c r="F348" s="90" t="s">
        <v>2819</v>
      </c>
      <c r="G348" s="90" t="s">
        <v>2026</v>
      </c>
      <c r="H348" s="90" t="s">
        <v>1943</v>
      </c>
      <c r="I348" s="90" t="s">
        <v>1944</v>
      </c>
      <c r="J348" s="90" t="s">
        <v>427</v>
      </c>
      <c r="K348" s="90" t="s">
        <v>764</v>
      </c>
      <c r="L348" s="90" t="s">
        <v>2970</v>
      </c>
      <c r="M348" s="87" t="s">
        <v>1945</v>
      </c>
      <c r="N348" s="87" t="s">
        <v>1983</v>
      </c>
      <c r="O348" s="88">
        <v>34794</v>
      </c>
      <c r="P348" s="89">
        <v>31.4</v>
      </c>
      <c r="Q348" s="90" t="s">
        <v>151</v>
      </c>
      <c r="R348" s="90" t="s">
        <v>3276</v>
      </c>
      <c r="S348" s="90" t="s">
        <v>2578</v>
      </c>
      <c r="T348" s="90" t="s">
        <v>2305</v>
      </c>
      <c r="U348" s="90" t="s">
        <v>1640</v>
      </c>
      <c r="V348" s="88">
        <v>34794</v>
      </c>
      <c r="W348" s="88">
        <v>34794</v>
      </c>
      <c r="X348" s="90" t="s">
        <v>43</v>
      </c>
      <c r="Y348" s="90" t="s">
        <v>257</v>
      </c>
      <c r="Z348" s="90" t="s">
        <v>36</v>
      </c>
      <c r="AA348" s="91"/>
      <c r="AB348" s="91"/>
      <c r="AC348" s="90" t="s">
        <v>2051</v>
      </c>
      <c r="AD348" s="90" t="s">
        <v>267</v>
      </c>
      <c r="AE348" s="90" t="s">
        <v>1636</v>
      </c>
      <c r="AF348" s="90" t="s">
        <v>1947</v>
      </c>
      <c r="AG348" s="90" t="s">
        <v>3266</v>
      </c>
      <c r="AH348" s="90" t="s">
        <v>2011</v>
      </c>
      <c r="AI348" s="90" t="s">
        <v>2011</v>
      </c>
      <c r="AJ348" s="90" t="s">
        <v>2051</v>
      </c>
      <c r="AK348" s="90" t="s">
        <v>36</v>
      </c>
      <c r="AL348" s="90" t="s">
        <v>1635</v>
      </c>
      <c r="AM348" s="90" t="s">
        <v>2307</v>
      </c>
      <c r="AN348" s="90" t="s">
        <v>2054</v>
      </c>
      <c r="AO348" s="87" t="s">
        <v>1949</v>
      </c>
      <c r="AP348" s="87" t="s">
        <v>1950</v>
      </c>
      <c r="AQ348" s="90" t="s">
        <v>2971</v>
      </c>
      <c r="AR348" s="92">
        <v>88000</v>
      </c>
      <c r="AS348" s="92">
        <v>110000</v>
      </c>
      <c r="AT348" s="92">
        <v>137000</v>
      </c>
      <c r="AU348" s="87" t="s">
        <v>1951</v>
      </c>
      <c r="AV348" s="87" t="s">
        <v>1952</v>
      </c>
      <c r="AW348" s="91"/>
      <c r="AX348" s="91"/>
      <c r="AY348" s="91"/>
      <c r="AZ348" t="str">
        <f t="shared" si="30"/>
        <v>211474</v>
      </c>
      <c r="BA348" t="str">
        <f t="shared" si="31"/>
        <v>0077</v>
      </c>
      <c r="BB348" t="str">
        <f t="shared" si="35"/>
        <v>0000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>IFERROR(VLOOKUP(X348,'Status Map'!A:B,2,FALSE),"Status Code Not Mapped")</f>
        <v>Y</v>
      </c>
      <c r="BL348" t="str">
        <f>IFERROR(VLOOKUP(D348,'Invoice Exception Map'!A:C,3,FALSE),"N")</f>
        <v>N</v>
      </c>
      <c r="BM348">
        <f t="shared" si="32"/>
        <v>9</v>
      </c>
      <c r="BN348" t="str">
        <f t="shared" si="33"/>
        <v>SVENSSON</v>
      </c>
      <c r="BO348" t="str">
        <f t="shared" si="34"/>
        <v>CHRISTIAN</v>
      </c>
    </row>
    <row r="349" spans="1:67" ht="16" thickBot="1" x14ac:dyDescent="0.25">
      <c r="A349" s="90" t="s">
        <v>2298</v>
      </c>
      <c r="B349" s="90" t="s">
        <v>2717</v>
      </c>
      <c r="C349" s="90" t="s">
        <v>2718</v>
      </c>
      <c r="D349" s="90" t="s">
        <v>3727</v>
      </c>
      <c r="E349" s="90" t="s">
        <v>1953</v>
      </c>
      <c r="F349" s="90" t="s">
        <v>2972</v>
      </c>
      <c r="G349" s="90" t="s">
        <v>2768</v>
      </c>
      <c r="H349" s="90" t="s">
        <v>1943</v>
      </c>
      <c r="I349" s="90" t="s">
        <v>1944</v>
      </c>
      <c r="J349" s="90" t="s">
        <v>241</v>
      </c>
      <c r="K349" s="90" t="s">
        <v>2769</v>
      </c>
      <c r="L349" s="90" t="s">
        <v>3728</v>
      </c>
      <c r="M349" s="87" t="s">
        <v>1963</v>
      </c>
      <c r="N349" s="87" t="s">
        <v>1967</v>
      </c>
      <c r="O349" s="88">
        <v>45817</v>
      </c>
      <c r="P349" s="89">
        <v>1.2</v>
      </c>
      <c r="Q349" s="90" t="s">
        <v>504</v>
      </c>
      <c r="R349" s="90" t="s">
        <v>3264</v>
      </c>
      <c r="S349" s="90" t="s">
        <v>2363</v>
      </c>
      <c r="T349" s="90" t="s">
        <v>2305</v>
      </c>
      <c r="U349" s="90" t="s">
        <v>1640</v>
      </c>
      <c r="V349" s="88">
        <v>45817</v>
      </c>
      <c r="W349" s="88">
        <v>45817</v>
      </c>
      <c r="X349" s="90" t="s">
        <v>43</v>
      </c>
      <c r="Y349" s="90" t="s">
        <v>257</v>
      </c>
      <c r="Z349" s="90" t="s">
        <v>36</v>
      </c>
      <c r="AA349" s="91"/>
      <c r="AB349" s="91"/>
      <c r="AC349" s="90" t="s">
        <v>2051</v>
      </c>
      <c r="AD349" s="90" t="s">
        <v>267</v>
      </c>
      <c r="AE349" s="90" t="s">
        <v>1636</v>
      </c>
      <c r="AF349" s="90" t="s">
        <v>1947</v>
      </c>
      <c r="AG349" s="90" t="s">
        <v>3258</v>
      </c>
      <c r="AH349" s="91"/>
      <c r="AI349" s="91"/>
      <c r="AJ349" s="90" t="s">
        <v>2051</v>
      </c>
      <c r="AK349" s="90" t="s">
        <v>2934</v>
      </c>
      <c r="AL349" s="90" t="s">
        <v>1635</v>
      </c>
      <c r="AM349" s="90" t="s">
        <v>2307</v>
      </c>
      <c r="AN349" s="90" t="s">
        <v>2054</v>
      </c>
      <c r="AO349" s="87" t="s">
        <v>1949</v>
      </c>
      <c r="AP349" s="87" t="s">
        <v>1950</v>
      </c>
      <c r="AQ349" s="90" t="s">
        <v>2973</v>
      </c>
      <c r="AR349" s="92">
        <v>62000</v>
      </c>
      <c r="AS349" s="92">
        <v>78000</v>
      </c>
      <c r="AT349" s="92">
        <v>97000</v>
      </c>
      <c r="AU349" s="87" t="s">
        <v>1951</v>
      </c>
      <c r="AV349" s="87" t="s">
        <v>1966</v>
      </c>
      <c r="AW349" s="91"/>
      <c r="AX349" s="91"/>
      <c r="AY349" s="91"/>
      <c r="AZ349" t="str">
        <f t="shared" si="30"/>
        <v>213066</v>
      </c>
      <c r="BA349" t="str">
        <f t="shared" si="31"/>
        <v>0077</v>
      </c>
      <c r="BB349" t="str">
        <f t="shared" si="35"/>
        <v>0000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>IFERROR(VLOOKUP(X349,'Status Map'!A:B,2,FALSE),"Status Code Not Mapped")</f>
        <v>Y</v>
      </c>
      <c r="BL349" t="str">
        <f>IFERROR(VLOOKUP(D349,'Invoice Exception Map'!A:C,3,FALSE),"N")</f>
        <v>N</v>
      </c>
      <c r="BM349">
        <f t="shared" si="32"/>
        <v>9</v>
      </c>
      <c r="BN349" t="str">
        <f t="shared" si="33"/>
        <v>Svensson</v>
      </c>
      <c r="BO349" t="str">
        <f t="shared" si="34"/>
        <v>Zack</v>
      </c>
    </row>
    <row r="350" spans="1:67" ht="16" thickBot="1" x14ac:dyDescent="0.25">
      <c r="A350" s="90" t="s">
        <v>2298</v>
      </c>
      <c r="B350" s="90" t="s">
        <v>2717</v>
      </c>
      <c r="C350" s="90" t="s">
        <v>2718</v>
      </c>
      <c r="D350" s="90" t="s">
        <v>3729</v>
      </c>
      <c r="E350" s="90" t="s">
        <v>1953</v>
      </c>
      <c r="F350" s="90" t="s">
        <v>2974</v>
      </c>
      <c r="G350" s="90" t="s">
        <v>2908</v>
      </c>
      <c r="H350" s="90" t="s">
        <v>1943</v>
      </c>
      <c r="I350" s="90" t="s">
        <v>1944</v>
      </c>
      <c r="J350" s="90" t="s">
        <v>427</v>
      </c>
      <c r="K350" s="90" t="s">
        <v>2817</v>
      </c>
      <c r="L350" s="90" t="s">
        <v>2909</v>
      </c>
      <c r="M350" s="87" t="s">
        <v>2028</v>
      </c>
      <c r="N350" s="87" t="s">
        <v>1983</v>
      </c>
      <c r="O350" s="88">
        <v>36402</v>
      </c>
      <c r="P350" s="89">
        <v>27</v>
      </c>
      <c r="Q350" s="90" t="s">
        <v>305</v>
      </c>
      <c r="R350" s="90" t="s">
        <v>3286</v>
      </c>
      <c r="S350" s="90" t="s">
        <v>2819</v>
      </c>
      <c r="T350" s="90" t="s">
        <v>2305</v>
      </c>
      <c r="U350" s="90" t="s">
        <v>1640</v>
      </c>
      <c r="V350" s="88">
        <v>36402</v>
      </c>
      <c r="W350" s="88">
        <v>36402</v>
      </c>
      <c r="X350" s="90" t="s">
        <v>43</v>
      </c>
      <c r="Y350" s="90" t="s">
        <v>257</v>
      </c>
      <c r="Z350" s="90" t="s">
        <v>36</v>
      </c>
      <c r="AA350" s="91"/>
      <c r="AB350" s="91"/>
      <c r="AC350" s="90" t="s">
        <v>2051</v>
      </c>
      <c r="AD350" s="90" t="s">
        <v>267</v>
      </c>
      <c r="AE350" s="90" t="s">
        <v>1636</v>
      </c>
      <c r="AF350" s="90" t="s">
        <v>1947</v>
      </c>
      <c r="AG350" s="90" t="s">
        <v>2793</v>
      </c>
      <c r="AH350" s="90" t="s">
        <v>2411</v>
      </c>
      <c r="AI350" s="90" t="s">
        <v>2411</v>
      </c>
      <c r="AJ350" s="90" t="s">
        <v>2051</v>
      </c>
      <c r="AK350" s="90" t="s">
        <v>36</v>
      </c>
      <c r="AL350" s="90" t="s">
        <v>1635</v>
      </c>
      <c r="AM350" s="90" t="s">
        <v>2307</v>
      </c>
      <c r="AN350" s="90" t="s">
        <v>2054</v>
      </c>
      <c r="AO350" s="87" t="s">
        <v>1949</v>
      </c>
      <c r="AP350" s="87" t="s">
        <v>1950</v>
      </c>
      <c r="AQ350" s="90" t="s">
        <v>2975</v>
      </c>
      <c r="AR350" s="92">
        <v>50000</v>
      </c>
      <c r="AS350" s="92">
        <v>62000</v>
      </c>
      <c r="AT350" s="92">
        <v>77000</v>
      </c>
      <c r="AU350" s="87" t="s">
        <v>1972</v>
      </c>
      <c r="AV350" s="87" t="s">
        <v>1973</v>
      </c>
      <c r="AW350" s="91"/>
      <c r="AX350" s="91"/>
      <c r="AY350" s="91"/>
      <c r="AZ350" t="str">
        <f t="shared" si="30"/>
        <v>205408</v>
      </c>
      <c r="BA350" t="str">
        <f t="shared" si="31"/>
        <v>0077</v>
      </c>
      <c r="BB350" t="str">
        <f t="shared" si="35"/>
        <v>0000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>IFERROR(VLOOKUP(X350,'Status Map'!A:B,2,FALSE),"Status Code Not Mapped")</f>
        <v>Y</v>
      </c>
      <c r="BL350" t="str">
        <f>IFERROR(VLOOKUP(D350,'Invoice Exception Map'!A:C,3,FALSE),"N")</f>
        <v>N</v>
      </c>
      <c r="BM350">
        <f t="shared" si="32"/>
        <v>9</v>
      </c>
      <c r="BN350" t="str">
        <f t="shared" si="33"/>
        <v>TINGVALL</v>
      </c>
      <c r="BO350" t="str">
        <f t="shared" si="34"/>
        <v>ANN-SOFIE</v>
      </c>
    </row>
    <row r="351" spans="1:67" ht="16" thickBot="1" x14ac:dyDescent="0.25">
      <c r="A351" s="90" t="s">
        <v>2298</v>
      </c>
      <c r="B351" s="90" t="s">
        <v>2717</v>
      </c>
      <c r="C351" s="90" t="s">
        <v>2718</v>
      </c>
      <c r="D351" s="90" t="s">
        <v>3730</v>
      </c>
      <c r="E351" s="90" t="s">
        <v>1953</v>
      </c>
      <c r="F351" s="90" t="s">
        <v>2976</v>
      </c>
      <c r="G351" s="90" t="s">
        <v>2977</v>
      </c>
      <c r="H351" s="90" t="s">
        <v>1943</v>
      </c>
      <c r="I351" s="90" t="s">
        <v>1944</v>
      </c>
      <c r="J351" s="90" t="s">
        <v>1957</v>
      </c>
      <c r="K351" s="90" t="s">
        <v>2153</v>
      </c>
      <c r="L351" s="90" t="s">
        <v>2978</v>
      </c>
      <c r="M351" s="87" t="s">
        <v>2151</v>
      </c>
      <c r="N351" s="87" t="s">
        <v>1958</v>
      </c>
      <c r="O351" s="88">
        <v>31663</v>
      </c>
      <c r="P351" s="89">
        <v>40</v>
      </c>
      <c r="Q351" s="90" t="s">
        <v>138</v>
      </c>
      <c r="R351" s="90" t="s">
        <v>135</v>
      </c>
      <c r="S351" s="90" t="s">
        <v>155</v>
      </c>
      <c r="T351" s="90" t="s">
        <v>2305</v>
      </c>
      <c r="U351" s="90" t="s">
        <v>1640</v>
      </c>
      <c r="V351" s="88">
        <v>31663</v>
      </c>
      <c r="W351" s="88">
        <v>31663</v>
      </c>
      <c r="X351" s="90" t="s">
        <v>43</v>
      </c>
      <c r="Y351" s="90" t="s">
        <v>257</v>
      </c>
      <c r="Z351" s="90" t="s">
        <v>36</v>
      </c>
      <c r="AA351" s="91"/>
      <c r="AB351" s="91"/>
      <c r="AC351" s="90" t="s">
        <v>2051</v>
      </c>
      <c r="AD351" s="90" t="s">
        <v>267</v>
      </c>
      <c r="AE351" s="90" t="s">
        <v>1636</v>
      </c>
      <c r="AF351" s="90" t="s">
        <v>1947</v>
      </c>
      <c r="AG351" s="90" t="s">
        <v>3297</v>
      </c>
      <c r="AH351" s="90" t="s">
        <v>2979</v>
      </c>
      <c r="AI351" s="90" t="s">
        <v>2979</v>
      </c>
      <c r="AJ351" s="90" t="s">
        <v>2051</v>
      </c>
      <c r="AK351" s="90" t="s">
        <v>36</v>
      </c>
      <c r="AL351" s="90" t="s">
        <v>1635</v>
      </c>
      <c r="AM351" s="90" t="s">
        <v>2307</v>
      </c>
      <c r="AN351" s="90" t="s">
        <v>2054</v>
      </c>
      <c r="AO351" s="87" t="s">
        <v>1949</v>
      </c>
      <c r="AP351" s="87" t="s">
        <v>1950</v>
      </c>
      <c r="AQ351" s="90" t="s">
        <v>2980</v>
      </c>
      <c r="AR351" s="92">
        <v>201000</v>
      </c>
      <c r="AS351" s="92">
        <v>251000</v>
      </c>
      <c r="AT351" s="92">
        <v>313000</v>
      </c>
      <c r="AU351" s="87" t="s">
        <v>2017</v>
      </c>
      <c r="AV351" s="87" t="s">
        <v>2018</v>
      </c>
      <c r="AW351" s="91"/>
      <c r="AX351" s="91"/>
      <c r="AY351" s="91"/>
      <c r="AZ351" t="str">
        <f t="shared" si="30"/>
        <v>207709</v>
      </c>
      <c r="BA351" t="str">
        <f t="shared" si="31"/>
        <v>0077</v>
      </c>
      <c r="BB351" t="str">
        <f t="shared" si="35"/>
        <v>0000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>IFERROR(VLOOKUP(X351,'Status Map'!A:B,2,FALSE),"Status Code Not Mapped")</f>
        <v>Y</v>
      </c>
      <c r="BL351" t="str">
        <f>IFERROR(VLOOKUP(D351,'Invoice Exception Map'!A:C,3,FALSE),"N")</f>
        <v>N</v>
      </c>
      <c r="BM351">
        <f t="shared" si="32"/>
        <v>9</v>
      </c>
      <c r="BN351" t="str">
        <f t="shared" si="33"/>
        <v>TINGVALL</v>
      </c>
      <c r="BO351" t="str">
        <f t="shared" si="34"/>
        <v>JAN</v>
      </c>
    </row>
    <row r="352" spans="1:67" ht="16" thickBot="1" x14ac:dyDescent="0.25">
      <c r="A352" s="90" t="s">
        <v>2298</v>
      </c>
      <c r="B352" s="90" t="s">
        <v>2717</v>
      </c>
      <c r="C352" s="90" t="s">
        <v>2718</v>
      </c>
      <c r="D352" s="90" t="s">
        <v>3731</v>
      </c>
      <c r="E352" s="90" t="s">
        <v>1953</v>
      </c>
      <c r="F352" s="90" t="s">
        <v>2981</v>
      </c>
      <c r="G352" s="90" t="s">
        <v>2982</v>
      </c>
      <c r="H352" s="90" t="s">
        <v>1943</v>
      </c>
      <c r="I352" s="90" t="s">
        <v>1944</v>
      </c>
      <c r="J352" s="90" t="s">
        <v>692</v>
      </c>
      <c r="K352" s="90" t="s">
        <v>2033</v>
      </c>
      <c r="L352" s="90" t="s">
        <v>1986</v>
      </c>
      <c r="M352" s="87" t="s">
        <v>1986</v>
      </c>
      <c r="N352" s="87" t="s">
        <v>1987</v>
      </c>
      <c r="O352" s="88">
        <v>44634</v>
      </c>
      <c r="P352" s="89">
        <v>4.5</v>
      </c>
      <c r="Q352" s="90" t="s">
        <v>264</v>
      </c>
      <c r="R352" s="90" t="s">
        <v>3287</v>
      </c>
      <c r="S352" s="90" t="s">
        <v>2833</v>
      </c>
      <c r="T352" s="90" t="s">
        <v>2305</v>
      </c>
      <c r="U352" s="90" t="s">
        <v>1640</v>
      </c>
      <c r="V352" s="88">
        <v>44634</v>
      </c>
      <c r="W352" s="88">
        <v>43872</v>
      </c>
      <c r="X352" s="90" t="s">
        <v>43</v>
      </c>
      <c r="Y352" s="90" t="s">
        <v>257</v>
      </c>
      <c r="Z352" s="90" t="s">
        <v>36</v>
      </c>
      <c r="AA352" s="91"/>
      <c r="AB352" s="91"/>
      <c r="AC352" s="90" t="s">
        <v>2051</v>
      </c>
      <c r="AD352" s="90" t="s">
        <v>267</v>
      </c>
      <c r="AE352" s="90" t="s">
        <v>1636</v>
      </c>
      <c r="AF352" s="90" t="s">
        <v>1947</v>
      </c>
      <c r="AG352" s="90" t="s">
        <v>2793</v>
      </c>
      <c r="AH352" s="90" t="s">
        <v>2113</v>
      </c>
      <c r="AI352" s="90" t="s">
        <v>2113</v>
      </c>
      <c r="AJ352" s="90" t="s">
        <v>2051</v>
      </c>
      <c r="AK352" s="90" t="s">
        <v>36</v>
      </c>
      <c r="AL352" s="90" t="s">
        <v>1635</v>
      </c>
      <c r="AM352" s="90" t="s">
        <v>2307</v>
      </c>
      <c r="AN352" s="90" t="s">
        <v>2054</v>
      </c>
      <c r="AO352" s="87" t="s">
        <v>1949</v>
      </c>
      <c r="AP352" s="87" t="s">
        <v>1950</v>
      </c>
      <c r="AQ352" s="90" t="s">
        <v>2983</v>
      </c>
      <c r="AR352" s="92">
        <v>56000</v>
      </c>
      <c r="AS352" s="92">
        <v>70000</v>
      </c>
      <c r="AT352" s="92">
        <v>87000</v>
      </c>
      <c r="AU352" s="87" t="s">
        <v>1951</v>
      </c>
      <c r="AV352" s="87" t="s">
        <v>2002</v>
      </c>
      <c r="AW352" s="91"/>
      <c r="AX352" s="91"/>
      <c r="AY352" s="91"/>
      <c r="AZ352" t="str">
        <f t="shared" si="30"/>
        <v>205065</v>
      </c>
      <c r="BA352" t="str">
        <f t="shared" si="31"/>
        <v>0077</v>
      </c>
      <c r="BB352" t="str">
        <f t="shared" si="35"/>
        <v>0000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>IFERROR(VLOOKUP(X352,'Status Map'!A:B,2,FALSE),"Status Code Not Mapped")</f>
        <v>Y</v>
      </c>
      <c r="BL352" t="str">
        <f>IFERROR(VLOOKUP(D352,'Invoice Exception Map'!A:C,3,FALSE),"N")</f>
        <v>N</v>
      </c>
      <c r="BM352">
        <f t="shared" si="32"/>
        <v>9</v>
      </c>
      <c r="BN352" t="str">
        <f t="shared" si="33"/>
        <v>TINGVALL</v>
      </c>
      <c r="BO352" t="str">
        <f t="shared" si="34"/>
        <v>STINA</v>
      </c>
    </row>
    <row r="353" spans="1:67" ht="16" thickBot="1" x14ac:dyDescent="0.25">
      <c r="A353" s="90" t="s">
        <v>2298</v>
      </c>
      <c r="B353" s="90" t="s">
        <v>2717</v>
      </c>
      <c r="C353" s="90" t="s">
        <v>2718</v>
      </c>
      <c r="D353" s="90" t="s">
        <v>3732</v>
      </c>
      <c r="E353" s="90" t="s">
        <v>1953</v>
      </c>
      <c r="F353" s="90" t="s">
        <v>2984</v>
      </c>
      <c r="G353" s="90" t="s">
        <v>2768</v>
      </c>
      <c r="H353" s="90" t="s">
        <v>1943</v>
      </c>
      <c r="I353" s="90" t="s">
        <v>1944</v>
      </c>
      <c r="J353" s="90" t="s">
        <v>241</v>
      </c>
      <c r="K353" s="90" t="s">
        <v>2769</v>
      </c>
      <c r="L353" s="90" t="s">
        <v>2728</v>
      </c>
      <c r="M353" s="87" t="s">
        <v>1963</v>
      </c>
      <c r="N353" s="87" t="s">
        <v>1967</v>
      </c>
      <c r="O353" s="88">
        <v>40196</v>
      </c>
      <c r="P353" s="89">
        <v>16.600000000000001</v>
      </c>
      <c r="Q353" s="90" t="s">
        <v>504</v>
      </c>
      <c r="R353" s="90" t="s">
        <v>3264</v>
      </c>
      <c r="S353" s="90" t="s">
        <v>2363</v>
      </c>
      <c r="T353" s="90" t="s">
        <v>2305</v>
      </c>
      <c r="U353" s="90" t="s">
        <v>1640</v>
      </c>
      <c r="V353" s="88">
        <v>40196</v>
      </c>
      <c r="W353" s="88">
        <v>40196</v>
      </c>
      <c r="X353" s="90" t="s">
        <v>43</v>
      </c>
      <c r="Y353" s="90" t="s">
        <v>257</v>
      </c>
      <c r="Z353" s="90" t="s">
        <v>36</v>
      </c>
      <c r="AA353" s="91"/>
      <c r="AB353" s="91"/>
      <c r="AC353" s="90" t="s">
        <v>2051</v>
      </c>
      <c r="AD353" s="90" t="s">
        <v>267</v>
      </c>
      <c r="AE353" s="90" t="s">
        <v>1636</v>
      </c>
      <c r="AF353" s="90" t="s">
        <v>2004</v>
      </c>
      <c r="AG353" s="90" t="s">
        <v>2793</v>
      </c>
      <c r="AH353" s="90" t="s">
        <v>1876</v>
      </c>
      <c r="AI353" s="90" t="s">
        <v>1876</v>
      </c>
      <c r="AJ353" s="90" t="s">
        <v>2051</v>
      </c>
      <c r="AK353" s="90" t="s">
        <v>36</v>
      </c>
      <c r="AL353" s="90" t="s">
        <v>1635</v>
      </c>
      <c r="AM353" s="90" t="s">
        <v>2307</v>
      </c>
      <c r="AN353" s="90" t="s">
        <v>2054</v>
      </c>
      <c r="AO353" s="87" t="s">
        <v>1949</v>
      </c>
      <c r="AP353" s="87" t="s">
        <v>1950</v>
      </c>
      <c r="AQ353" s="90" t="s">
        <v>2985</v>
      </c>
      <c r="AR353" s="92">
        <v>62000</v>
      </c>
      <c r="AS353" s="92">
        <v>78000</v>
      </c>
      <c r="AT353" s="92">
        <v>97000</v>
      </c>
      <c r="AU353" s="87" t="s">
        <v>1951</v>
      </c>
      <c r="AV353" s="87" t="s">
        <v>1966</v>
      </c>
      <c r="AW353" s="91"/>
      <c r="AX353" s="91"/>
      <c r="AY353" s="91"/>
      <c r="AZ353" t="str">
        <f t="shared" si="30"/>
        <v>213066</v>
      </c>
      <c r="BA353" t="str">
        <f t="shared" si="31"/>
        <v>0077</v>
      </c>
      <c r="BB353" t="str">
        <f t="shared" si="35"/>
        <v>0000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>IFERROR(VLOOKUP(X353,'Status Map'!A:B,2,FALSE),"Status Code Not Mapped")</f>
        <v>Y</v>
      </c>
      <c r="BL353" t="str">
        <f>IFERROR(VLOOKUP(D353,'Invoice Exception Map'!A:C,3,FALSE),"N")</f>
        <v>N</v>
      </c>
      <c r="BM353">
        <f t="shared" si="32"/>
        <v>9</v>
      </c>
      <c r="BN353" t="str">
        <f t="shared" si="33"/>
        <v>TÖRNVALL</v>
      </c>
      <c r="BO353" t="str">
        <f t="shared" si="34"/>
        <v>JOHAN</v>
      </c>
    </row>
    <row r="354" spans="1:67" ht="16" thickBot="1" x14ac:dyDescent="0.25">
      <c r="A354" s="90" t="s">
        <v>2298</v>
      </c>
      <c r="B354" s="90" t="s">
        <v>2717</v>
      </c>
      <c r="C354" s="90" t="s">
        <v>2718</v>
      </c>
      <c r="D354" s="90" t="s">
        <v>3733</v>
      </c>
      <c r="E354" s="90" t="s">
        <v>1953</v>
      </c>
      <c r="F354" s="90" t="s">
        <v>2986</v>
      </c>
      <c r="G354" s="90" t="s">
        <v>2816</v>
      </c>
      <c r="H354" s="90" t="s">
        <v>1943</v>
      </c>
      <c r="I354" s="90" t="s">
        <v>1944</v>
      </c>
      <c r="J354" s="90" t="s">
        <v>427</v>
      </c>
      <c r="K354" s="90" t="s">
        <v>2817</v>
      </c>
      <c r="L354" s="90" t="s">
        <v>2818</v>
      </c>
      <c r="M354" s="87" t="s">
        <v>2028</v>
      </c>
      <c r="N354" s="87" t="s">
        <v>1983</v>
      </c>
      <c r="O354" s="88">
        <v>35395</v>
      </c>
      <c r="P354" s="89">
        <v>29.8</v>
      </c>
      <c r="Q354" s="90" t="s">
        <v>264</v>
      </c>
      <c r="R354" s="90" t="s">
        <v>3286</v>
      </c>
      <c r="S354" s="90" t="s">
        <v>2819</v>
      </c>
      <c r="T354" s="90" t="s">
        <v>2305</v>
      </c>
      <c r="U354" s="90" t="s">
        <v>1640</v>
      </c>
      <c r="V354" s="88">
        <v>35395</v>
      </c>
      <c r="W354" s="88">
        <v>35395</v>
      </c>
      <c r="X354" s="90" t="s">
        <v>43</v>
      </c>
      <c r="Y354" s="90" t="s">
        <v>257</v>
      </c>
      <c r="Z354" s="90" t="s">
        <v>36</v>
      </c>
      <c r="AA354" s="91"/>
      <c r="AB354" s="91"/>
      <c r="AC354" s="90" t="s">
        <v>2051</v>
      </c>
      <c r="AD354" s="90" t="s">
        <v>267</v>
      </c>
      <c r="AE354" s="90" t="s">
        <v>1636</v>
      </c>
      <c r="AF354" s="90" t="s">
        <v>1947</v>
      </c>
      <c r="AG354" s="90" t="s">
        <v>2793</v>
      </c>
      <c r="AH354" s="90" t="s">
        <v>2011</v>
      </c>
      <c r="AI354" s="90" t="s">
        <v>2011</v>
      </c>
      <c r="AJ354" s="90" t="s">
        <v>2051</v>
      </c>
      <c r="AK354" s="90" t="s">
        <v>36</v>
      </c>
      <c r="AL354" s="90" t="s">
        <v>1635</v>
      </c>
      <c r="AM354" s="90" t="s">
        <v>2307</v>
      </c>
      <c r="AN354" s="90" t="s">
        <v>2054</v>
      </c>
      <c r="AO354" s="87" t="s">
        <v>1949</v>
      </c>
      <c r="AP354" s="87" t="s">
        <v>1950</v>
      </c>
      <c r="AQ354" s="90" t="s">
        <v>2987</v>
      </c>
      <c r="AR354" s="92">
        <v>56000</v>
      </c>
      <c r="AS354" s="92">
        <v>70000</v>
      </c>
      <c r="AT354" s="92">
        <v>87000</v>
      </c>
      <c r="AU354" s="87" t="s">
        <v>1951</v>
      </c>
      <c r="AV354" s="87" t="s">
        <v>2002</v>
      </c>
      <c r="AW354" s="91"/>
      <c r="AX354" s="91"/>
      <c r="AY354" s="91"/>
      <c r="AZ354" t="str">
        <f t="shared" si="30"/>
        <v>205408</v>
      </c>
      <c r="BA354" t="str">
        <f t="shared" si="31"/>
        <v>0077</v>
      </c>
      <c r="BB354" t="str">
        <f t="shared" si="35"/>
        <v>0000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>IFERROR(VLOOKUP(X354,'Status Map'!A:B,2,FALSE),"Status Code Not Mapped")</f>
        <v>Y</v>
      </c>
      <c r="BL354" t="str">
        <f>IFERROR(VLOOKUP(D354,'Invoice Exception Map'!A:C,3,FALSE),"N")</f>
        <v>N</v>
      </c>
      <c r="BM354">
        <f t="shared" si="32"/>
        <v>9</v>
      </c>
      <c r="BN354" t="str">
        <f t="shared" si="33"/>
        <v>VENNBERG</v>
      </c>
      <c r="BO354" t="str">
        <f t="shared" si="34"/>
        <v>PETTER</v>
      </c>
    </row>
    <row r="355" spans="1:67" ht="16" thickBot="1" x14ac:dyDescent="0.25">
      <c r="A355" s="90" t="s">
        <v>2298</v>
      </c>
      <c r="B355" s="90" t="s">
        <v>2717</v>
      </c>
      <c r="C355" s="90" t="s">
        <v>2718</v>
      </c>
      <c r="D355" s="90" t="s">
        <v>3734</v>
      </c>
      <c r="E355" s="90" t="s">
        <v>1953</v>
      </c>
      <c r="F355" s="90" t="s">
        <v>2988</v>
      </c>
      <c r="G355" s="90" t="s">
        <v>2768</v>
      </c>
      <c r="H355" s="90" t="s">
        <v>1943</v>
      </c>
      <c r="I355" s="90" t="s">
        <v>1944</v>
      </c>
      <c r="J355" s="90" t="s">
        <v>241</v>
      </c>
      <c r="K355" s="90" t="s">
        <v>2769</v>
      </c>
      <c r="L355" s="90" t="s">
        <v>2728</v>
      </c>
      <c r="M355" s="87" t="s">
        <v>1963</v>
      </c>
      <c r="N355" s="87" t="s">
        <v>1967</v>
      </c>
      <c r="O355" s="88">
        <v>32566</v>
      </c>
      <c r="P355" s="89">
        <v>37.5</v>
      </c>
      <c r="Q355" s="90" t="s">
        <v>504</v>
      </c>
      <c r="R355" s="90" t="s">
        <v>3264</v>
      </c>
      <c r="S355" s="90" t="s">
        <v>2363</v>
      </c>
      <c r="T355" s="90" t="s">
        <v>2305</v>
      </c>
      <c r="U355" s="90" t="s">
        <v>1640</v>
      </c>
      <c r="V355" s="88">
        <v>32566</v>
      </c>
      <c r="W355" s="88">
        <v>32566</v>
      </c>
      <c r="X355" s="90" t="s">
        <v>43</v>
      </c>
      <c r="Y355" s="90" t="s">
        <v>257</v>
      </c>
      <c r="Z355" s="90" t="s">
        <v>36</v>
      </c>
      <c r="AA355" s="91"/>
      <c r="AB355" s="91"/>
      <c r="AC355" s="90" t="s">
        <v>2051</v>
      </c>
      <c r="AD355" s="90" t="s">
        <v>267</v>
      </c>
      <c r="AE355" s="90" t="s">
        <v>1636</v>
      </c>
      <c r="AF355" s="90" t="s">
        <v>1947</v>
      </c>
      <c r="AG355" s="90" t="s">
        <v>2793</v>
      </c>
      <c r="AH355" s="90" t="s">
        <v>1876</v>
      </c>
      <c r="AI355" s="90" t="s">
        <v>1876</v>
      </c>
      <c r="AJ355" s="90" t="s">
        <v>2051</v>
      </c>
      <c r="AK355" s="90" t="s">
        <v>36</v>
      </c>
      <c r="AL355" s="90" t="s">
        <v>1635</v>
      </c>
      <c r="AM355" s="90" t="s">
        <v>2307</v>
      </c>
      <c r="AN355" s="90" t="s">
        <v>2054</v>
      </c>
      <c r="AO355" s="87" t="s">
        <v>1949</v>
      </c>
      <c r="AP355" s="87" t="s">
        <v>1950</v>
      </c>
      <c r="AQ355" s="90" t="s">
        <v>2989</v>
      </c>
      <c r="AR355" s="92">
        <v>62000</v>
      </c>
      <c r="AS355" s="92">
        <v>78000</v>
      </c>
      <c r="AT355" s="92">
        <v>97000</v>
      </c>
      <c r="AU355" s="87" t="s">
        <v>1951</v>
      </c>
      <c r="AV355" s="87" t="s">
        <v>1966</v>
      </c>
      <c r="AW355" s="91"/>
      <c r="AX355" s="91"/>
      <c r="AY355" s="91"/>
      <c r="AZ355" t="str">
        <f t="shared" si="30"/>
        <v>213066</v>
      </c>
      <c r="BA355" t="str">
        <f t="shared" si="31"/>
        <v>0077</v>
      </c>
      <c r="BB355" t="str">
        <f t="shared" si="35"/>
        <v>0000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>IFERROR(VLOOKUP(X355,'Status Map'!A:B,2,FALSE),"Status Code Not Mapped")</f>
        <v>Y</v>
      </c>
      <c r="BL355" t="str">
        <f>IFERROR(VLOOKUP(D355,'Invoice Exception Map'!A:C,3,FALSE),"N")</f>
        <v>N</v>
      </c>
      <c r="BM355">
        <f t="shared" si="32"/>
        <v>7</v>
      </c>
      <c r="BN355" t="str">
        <f t="shared" si="33"/>
        <v>WAHRBY</v>
      </c>
      <c r="BO355" t="str">
        <f t="shared" si="34"/>
        <v>PATRIK</v>
      </c>
    </row>
    <row r="356" spans="1:67" ht="16" thickBot="1" x14ac:dyDescent="0.25">
      <c r="A356" s="90" t="s">
        <v>2298</v>
      </c>
      <c r="B356" s="90" t="s">
        <v>2717</v>
      </c>
      <c r="C356" s="90" t="s">
        <v>2718</v>
      </c>
      <c r="D356" s="90" t="s">
        <v>3103</v>
      </c>
      <c r="E356" s="90" t="s">
        <v>1953</v>
      </c>
      <c r="F356" s="90" t="s">
        <v>2098</v>
      </c>
      <c r="G356" s="90" t="s">
        <v>2990</v>
      </c>
      <c r="H356" s="90" t="s">
        <v>1943</v>
      </c>
      <c r="I356" s="90" t="s">
        <v>1944</v>
      </c>
      <c r="J356" s="90" t="s">
        <v>1957</v>
      </c>
      <c r="K356" s="90" t="s">
        <v>583</v>
      </c>
      <c r="L356" s="90" t="s">
        <v>3735</v>
      </c>
      <c r="M356" s="87" t="s">
        <v>1945</v>
      </c>
      <c r="N356" s="87" t="s">
        <v>2016</v>
      </c>
      <c r="O356" s="88">
        <v>46084</v>
      </c>
      <c r="P356" s="89">
        <v>0.5</v>
      </c>
      <c r="Q356" s="90" t="s">
        <v>1211</v>
      </c>
      <c r="R356" s="90" t="s">
        <v>135</v>
      </c>
      <c r="S356" s="90" t="s">
        <v>155</v>
      </c>
      <c r="T356" s="90" t="s">
        <v>2305</v>
      </c>
      <c r="U356" s="90" t="s">
        <v>1640</v>
      </c>
      <c r="V356" s="88">
        <v>46084</v>
      </c>
      <c r="W356" s="88">
        <v>40575</v>
      </c>
      <c r="X356" s="90" t="s">
        <v>43</v>
      </c>
      <c r="Y356" s="90" t="s">
        <v>257</v>
      </c>
      <c r="Z356" s="90" t="s">
        <v>36</v>
      </c>
      <c r="AA356" s="91"/>
      <c r="AB356" s="91"/>
      <c r="AC356" s="90" t="s">
        <v>2051</v>
      </c>
      <c r="AD356" s="90" t="s">
        <v>267</v>
      </c>
      <c r="AE356" s="90" t="s">
        <v>1636</v>
      </c>
      <c r="AF356" s="90" t="s">
        <v>1947</v>
      </c>
      <c r="AG356" s="90" t="s">
        <v>3280</v>
      </c>
      <c r="AH356" s="90" t="s">
        <v>1641</v>
      </c>
      <c r="AI356" s="90" t="s">
        <v>1641</v>
      </c>
      <c r="AJ356" s="90" t="s">
        <v>2051</v>
      </c>
      <c r="AK356" s="90" t="s">
        <v>36</v>
      </c>
      <c r="AL356" s="90" t="s">
        <v>1635</v>
      </c>
      <c r="AM356" s="90" t="s">
        <v>2307</v>
      </c>
      <c r="AN356" s="90" t="s">
        <v>2054</v>
      </c>
      <c r="AO356" s="87" t="s">
        <v>1949</v>
      </c>
      <c r="AP356" s="87" t="s">
        <v>1950</v>
      </c>
      <c r="AQ356" s="90" t="s">
        <v>1628</v>
      </c>
      <c r="AR356" s="92">
        <v>157000</v>
      </c>
      <c r="AS356" s="92">
        <v>196000</v>
      </c>
      <c r="AT356" s="92">
        <v>245000</v>
      </c>
      <c r="AU356" s="87" t="s">
        <v>2017</v>
      </c>
      <c r="AV356" s="87" t="s">
        <v>1959</v>
      </c>
      <c r="AW356" s="91"/>
      <c r="AX356" s="91"/>
      <c r="AY356" s="91"/>
      <c r="AZ356" t="str">
        <f>R356</f>
        <v>207709</v>
      </c>
      <c r="BA356" t="str">
        <f>U356</f>
        <v>0077</v>
      </c>
      <c r="BB356" t="str">
        <f t="shared" si="35"/>
        <v>0000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IFERROR(VLOOKUP(X356,'Status Map'!A:B,2,FALSE),"Status Code Not Mapped")</f>
        <v>Y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thickBot="1" x14ac:dyDescent="0.25">
      <c r="A357" s="90" t="s">
        <v>2298</v>
      </c>
      <c r="B357" s="90" t="s">
        <v>2717</v>
      </c>
      <c r="C357" s="90" t="s">
        <v>2718</v>
      </c>
      <c r="D357" s="90" t="s">
        <v>3253</v>
      </c>
      <c r="E357" s="90" t="s">
        <v>1953</v>
      </c>
      <c r="F357" s="90" t="s">
        <v>2304</v>
      </c>
      <c r="G357" s="90" t="s">
        <v>2811</v>
      </c>
      <c r="H357" s="90" t="s">
        <v>1943</v>
      </c>
      <c r="I357" s="90" t="s">
        <v>1944</v>
      </c>
      <c r="J357" s="90" t="s">
        <v>1620</v>
      </c>
      <c r="K357" s="90" t="s">
        <v>2812</v>
      </c>
      <c r="L357" s="90" t="s">
        <v>2945</v>
      </c>
      <c r="M357" s="87" t="s">
        <v>2121</v>
      </c>
      <c r="N357" s="87" t="s">
        <v>2020</v>
      </c>
      <c r="O357" s="88">
        <v>45901</v>
      </c>
      <c r="P357" s="89">
        <v>1</v>
      </c>
      <c r="Q357" s="90" t="s">
        <v>3084</v>
      </c>
      <c r="R357" s="90" t="s">
        <v>3254</v>
      </c>
      <c r="S357" s="90" t="s">
        <v>2312</v>
      </c>
      <c r="T357" s="90" t="s">
        <v>2305</v>
      </c>
      <c r="U357" s="90" t="s">
        <v>1640</v>
      </c>
      <c r="V357" s="88">
        <v>45901</v>
      </c>
      <c r="W357" s="88">
        <v>45901</v>
      </c>
      <c r="X357" s="90" t="s">
        <v>43</v>
      </c>
      <c r="Y357" s="90" t="s">
        <v>257</v>
      </c>
      <c r="Z357" s="90" t="s">
        <v>36</v>
      </c>
      <c r="AA357" s="91"/>
      <c r="AB357" s="91"/>
      <c r="AC357" s="90" t="s">
        <v>2051</v>
      </c>
      <c r="AD357" s="90" t="s">
        <v>267</v>
      </c>
      <c r="AE357" s="90" t="s">
        <v>1636</v>
      </c>
      <c r="AF357" s="90" t="s">
        <v>1947</v>
      </c>
      <c r="AG357" s="90" t="s">
        <v>3258</v>
      </c>
      <c r="AH357" s="91"/>
      <c r="AI357" s="91"/>
      <c r="AJ357" s="90" t="s">
        <v>2051</v>
      </c>
      <c r="AK357" s="91"/>
      <c r="AL357" s="90" t="s">
        <v>1635</v>
      </c>
      <c r="AM357" s="90" t="s">
        <v>2307</v>
      </c>
      <c r="AN357" s="90" t="s">
        <v>2054</v>
      </c>
      <c r="AO357" s="87" t="s">
        <v>1949</v>
      </c>
      <c r="AP357" s="87" t="s">
        <v>1950</v>
      </c>
      <c r="AQ357" s="90" t="s">
        <v>2991</v>
      </c>
      <c r="AR357" s="91"/>
      <c r="AS357" s="91"/>
      <c r="AT357" s="91"/>
      <c r="AU357" s="87" t="s">
        <v>1972</v>
      </c>
      <c r="AV357" s="91"/>
      <c r="AW357" s="91"/>
      <c r="AX357" s="91"/>
      <c r="AY357" s="91"/>
      <c r="AZ357" t="str">
        <f t="shared" ref="AZ357:AZ363" si="36">R357</f>
        <v>205377</v>
      </c>
      <c r="BA357" t="str">
        <f t="shared" ref="BA357:BA363" si="37">U357</f>
        <v>0077</v>
      </c>
      <c r="BB357" t="str">
        <f t="shared" si="35"/>
        <v>0000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>IFERROR(VLOOKUP(X357,'Status Map'!A:B,2,FALSE),"Status Code Not Mapped")</f>
        <v>Y</v>
      </c>
      <c r="BL357" t="str">
        <f>IFERROR(VLOOKUP(D357,'Invoice Exception Map'!A:C,3,FALSE),"N")</f>
        <v>N</v>
      </c>
      <c r="BM357">
        <f t="shared" ref="BM357:BM363" si="38">FIND(",",F357,1)</f>
        <v>8</v>
      </c>
      <c r="BN357" t="str">
        <f t="shared" ref="BN357:BN363" si="39">LEFT(F357,BM357-1)</f>
        <v>Weerman</v>
      </c>
      <c r="BO357" t="str">
        <f t="shared" ref="BO357:BO363" si="40">MID(F357,BM357+2,45)</f>
        <v>Martin</v>
      </c>
    </row>
    <row r="358" spans="1:67" ht="16" thickBot="1" x14ac:dyDescent="0.25">
      <c r="A358" s="90" t="s">
        <v>2298</v>
      </c>
      <c r="B358" s="90" t="s">
        <v>2717</v>
      </c>
      <c r="C358" s="90" t="s">
        <v>2718</v>
      </c>
      <c r="D358" s="90" t="s">
        <v>3736</v>
      </c>
      <c r="E358" s="90" t="s">
        <v>1953</v>
      </c>
      <c r="F358" s="90" t="s">
        <v>2992</v>
      </c>
      <c r="G358" s="90" t="s">
        <v>2720</v>
      </c>
      <c r="H358" s="90" t="s">
        <v>1943</v>
      </c>
      <c r="I358" s="90" t="s">
        <v>1944</v>
      </c>
      <c r="J358" s="90" t="s">
        <v>241</v>
      </c>
      <c r="K358" s="90" t="s">
        <v>2721</v>
      </c>
      <c r="L358" s="90" t="s">
        <v>2722</v>
      </c>
      <c r="M358" s="87" t="s">
        <v>1963</v>
      </c>
      <c r="N358" s="87" t="s">
        <v>1994</v>
      </c>
      <c r="O358" s="88">
        <v>45306</v>
      </c>
      <c r="P358" s="89">
        <v>2.6</v>
      </c>
      <c r="Q358" s="90" t="s">
        <v>504</v>
      </c>
      <c r="R358" s="90" t="s">
        <v>3279</v>
      </c>
      <c r="S358" s="90" t="s">
        <v>2723</v>
      </c>
      <c r="T358" s="90" t="s">
        <v>2305</v>
      </c>
      <c r="U358" s="90" t="s">
        <v>1640</v>
      </c>
      <c r="V358" s="88">
        <v>45306</v>
      </c>
      <c r="W358" s="88">
        <v>45306</v>
      </c>
      <c r="X358" s="90" t="s">
        <v>43</v>
      </c>
      <c r="Y358" s="90" t="s">
        <v>257</v>
      </c>
      <c r="Z358" s="90" t="s">
        <v>36</v>
      </c>
      <c r="AA358" s="91"/>
      <c r="AB358" s="91"/>
      <c r="AC358" s="90" t="s">
        <v>2051</v>
      </c>
      <c r="AD358" s="90" t="s">
        <v>267</v>
      </c>
      <c r="AE358" s="90" t="s">
        <v>1636</v>
      </c>
      <c r="AF358" s="90" t="s">
        <v>1947</v>
      </c>
      <c r="AG358" s="90" t="s">
        <v>3298</v>
      </c>
      <c r="AH358" s="90" t="s">
        <v>1989</v>
      </c>
      <c r="AI358" s="90" t="s">
        <v>1989</v>
      </c>
      <c r="AJ358" s="90" t="s">
        <v>2051</v>
      </c>
      <c r="AK358" s="91"/>
      <c r="AL358" s="90" t="s">
        <v>1635</v>
      </c>
      <c r="AM358" s="90" t="s">
        <v>2307</v>
      </c>
      <c r="AN358" s="90" t="s">
        <v>2054</v>
      </c>
      <c r="AO358" s="87" t="s">
        <v>1949</v>
      </c>
      <c r="AP358" s="87" t="s">
        <v>1950</v>
      </c>
      <c r="AQ358" s="90" t="s">
        <v>2993</v>
      </c>
      <c r="AR358" s="92">
        <v>62000</v>
      </c>
      <c r="AS358" s="92">
        <v>78000</v>
      </c>
      <c r="AT358" s="92">
        <v>97000</v>
      </c>
      <c r="AU358" s="87" t="s">
        <v>1951</v>
      </c>
      <c r="AV358" s="87" t="s">
        <v>1966</v>
      </c>
      <c r="AW358" s="91"/>
      <c r="AX358" s="91"/>
      <c r="AY358" s="91"/>
      <c r="AZ358" t="str">
        <f t="shared" si="36"/>
        <v>211600</v>
      </c>
      <c r="BA358" t="str">
        <f t="shared" si="37"/>
        <v>0077</v>
      </c>
      <c r="BB358" t="str">
        <f t="shared" si="35"/>
        <v>0000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>IFERROR(VLOOKUP(X358,'Status Map'!A:B,2,FALSE),"Status Code Not Mapped")</f>
        <v>Y</v>
      </c>
      <c r="BL358" t="str">
        <f>IFERROR(VLOOKUP(D358,'Invoice Exception Map'!A:C,3,FALSE),"N")</f>
        <v>N</v>
      </c>
      <c r="BM358">
        <f t="shared" si="38"/>
        <v>11</v>
      </c>
      <c r="BN358" t="str">
        <f t="shared" si="39"/>
        <v>WIESLANDER</v>
      </c>
      <c r="BO358" t="str">
        <f t="shared" si="40"/>
        <v>ELIN</v>
      </c>
    </row>
    <row r="359" spans="1:67" ht="16" thickBot="1" x14ac:dyDescent="0.25">
      <c r="A359" s="90" t="s">
        <v>2298</v>
      </c>
      <c r="B359" s="90" t="s">
        <v>2717</v>
      </c>
      <c r="C359" s="90" t="s">
        <v>2718</v>
      </c>
      <c r="D359" s="90" t="s">
        <v>3261</v>
      </c>
      <c r="E359" s="90" t="s">
        <v>1953</v>
      </c>
      <c r="F359" s="90" t="s">
        <v>2346</v>
      </c>
      <c r="G359" s="90" t="s">
        <v>2811</v>
      </c>
      <c r="H359" s="90" t="s">
        <v>1943</v>
      </c>
      <c r="I359" s="90" t="s">
        <v>1944</v>
      </c>
      <c r="J359" s="90" t="s">
        <v>1620</v>
      </c>
      <c r="K359" s="90" t="s">
        <v>2812</v>
      </c>
      <c r="L359" s="90" t="s">
        <v>2813</v>
      </c>
      <c r="M359" s="87" t="s">
        <v>2121</v>
      </c>
      <c r="N359" s="87" t="s">
        <v>2020</v>
      </c>
      <c r="O359" s="88">
        <v>40121</v>
      </c>
      <c r="P359" s="89">
        <v>16.8</v>
      </c>
      <c r="Q359" s="90" t="s">
        <v>3084</v>
      </c>
      <c r="R359" s="90" t="s">
        <v>3254</v>
      </c>
      <c r="S359" s="90" t="s">
        <v>2312</v>
      </c>
      <c r="T359" s="90" t="s">
        <v>2305</v>
      </c>
      <c r="U359" s="90" t="s">
        <v>1640</v>
      </c>
      <c r="V359" s="88">
        <v>40121</v>
      </c>
      <c r="W359" s="88">
        <v>40121</v>
      </c>
      <c r="X359" s="90" t="s">
        <v>43</v>
      </c>
      <c r="Y359" s="90" t="s">
        <v>257</v>
      </c>
      <c r="Z359" s="90" t="s">
        <v>36</v>
      </c>
      <c r="AA359" s="91"/>
      <c r="AB359" s="91"/>
      <c r="AC359" s="90" t="s">
        <v>2051</v>
      </c>
      <c r="AD359" s="90" t="s">
        <v>267</v>
      </c>
      <c r="AE359" s="90" t="s">
        <v>1636</v>
      </c>
      <c r="AF359" s="90" t="s">
        <v>1947</v>
      </c>
      <c r="AG359" s="90" t="s">
        <v>2793</v>
      </c>
      <c r="AH359" s="90" t="s">
        <v>2392</v>
      </c>
      <c r="AI359" s="90" t="s">
        <v>2392</v>
      </c>
      <c r="AJ359" s="90" t="s">
        <v>2051</v>
      </c>
      <c r="AK359" s="90" t="s">
        <v>36</v>
      </c>
      <c r="AL359" s="90" t="s">
        <v>1635</v>
      </c>
      <c r="AM359" s="90" t="s">
        <v>2307</v>
      </c>
      <c r="AN359" s="90" t="s">
        <v>2054</v>
      </c>
      <c r="AO359" s="87" t="s">
        <v>1949</v>
      </c>
      <c r="AP359" s="87" t="s">
        <v>1950</v>
      </c>
      <c r="AQ359" s="90" t="s">
        <v>2994</v>
      </c>
      <c r="AR359" s="91"/>
      <c r="AS359" s="91"/>
      <c r="AT359" s="91"/>
      <c r="AU359" s="87" t="s">
        <v>1972</v>
      </c>
      <c r="AV359" s="91"/>
      <c r="AW359" s="91"/>
      <c r="AX359" s="91"/>
      <c r="AY359" s="91"/>
      <c r="AZ359" t="str">
        <f t="shared" si="36"/>
        <v>205377</v>
      </c>
      <c r="BA359" t="str">
        <f t="shared" si="37"/>
        <v>0077</v>
      </c>
      <c r="BB359" t="str">
        <f t="shared" si="35"/>
        <v>0000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>IFERROR(VLOOKUP(X359,'Status Map'!A:B,2,FALSE),"Status Code Not Mapped")</f>
        <v>Y</v>
      </c>
      <c r="BL359" t="str">
        <f>IFERROR(VLOOKUP(D359,'Invoice Exception Map'!A:C,3,FALSE),"N")</f>
        <v>N</v>
      </c>
      <c r="BM359">
        <f t="shared" si="38"/>
        <v>11</v>
      </c>
      <c r="BN359" t="str">
        <f t="shared" si="39"/>
        <v>WIKTORSSON</v>
      </c>
      <c r="BO359" t="str">
        <f t="shared" si="40"/>
        <v>KJELL</v>
      </c>
    </row>
    <row r="360" spans="1:67" ht="16" thickBot="1" x14ac:dyDescent="0.25">
      <c r="A360" s="90" t="s">
        <v>2298</v>
      </c>
      <c r="B360" s="90" t="s">
        <v>2717</v>
      </c>
      <c r="C360" s="90" t="s">
        <v>2718</v>
      </c>
      <c r="D360" s="90" t="s">
        <v>3737</v>
      </c>
      <c r="E360" s="90" t="s">
        <v>1953</v>
      </c>
      <c r="F360" s="90" t="s">
        <v>2995</v>
      </c>
      <c r="G360" s="90" t="s">
        <v>2720</v>
      </c>
      <c r="H360" s="90" t="s">
        <v>1943</v>
      </c>
      <c r="I360" s="90" t="s">
        <v>1944</v>
      </c>
      <c r="J360" s="90" t="s">
        <v>241</v>
      </c>
      <c r="K360" s="90" t="s">
        <v>2721</v>
      </c>
      <c r="L360" s="90" t="s">
        <v>2722</v>
      </c>
      <c r="M360" s="87" t="s">
        <v>1963</v>
      </c>
      <c r="N360" s="87" t="s">
        <v>1994</v>
      </c>
      <c r="O360" s="88">
        <v>44683</v>
      </c>
      <c r="P360" s="89">
        <v>4.3</v>
      </c>
      <c r="Q360" s="90" t="s">
        <v>504</v>
      </c>
      <c r="R360" s="90" t="s">
        <v>3279</v>
      </c>
      <c r="S360" s="90" t="s">
        <v>2723</v>
      </c>
      <c r="T360" s="90" t="s">
        <v>2305</v>
      </c>
      <c r="U360" s="90" t="s">
        <v>1640</v>
      </c>
      <c r="V360" s="88">
        <v>44683</v>
      </c>
      <c r="W360" s="88">
        <v>44683</v>
      </c>
      <c r="X360" s="90" t="s">
        <v>43</v>
      </c>
      <c r="Y360" s="90" t="s">
        <v>257</v>
      </c>
      <c r="Z360" s="90" t="s">
        <v>36</v>
      </c>
      <c r="AA360" s="91"/>
      <c r="AB360" s="91"/>
      <c r="AC360" s="90" t="s">
        <v>2051</v>
      </c>
      <c r="AD360" s="90" t="s">
        <v>267</v>
      </c>
      <c r="AE360" s="90" t="s">
        <v>1636</v>
      </c>
      <c r="AF360" s="90" t="s">
        <v>1947</v>
      </c>
      <c r="AG360" s="90" t="s">
        <v>3280</v>
      </c>
      <c r="AH360" s="90" t="s">
        <v>1989</v>
      </c>
      <c r="AI360" s="90" t="s">
        <v>1989</v>
      </c>
      <c r="AJ360" s="90" t="s">
        <v>2051</v>
      </c>
      <c r="AK360" s="91"/>
      <c r="AL360" s="90" t="s">
        <v>1635</v>
      </c>
      <c r="AM360" s="90" t="s">
        <v>2307</v>
      </c>
      <c r="AN360" s="90" t="s">
        <v>2054</v>
      </c>
      <c r="AO360" s="87" t="s">
        <v>1949</v>
      </c>
      <c r="AP360" s="87" t="s">
        <v>1950</v>
      </c>
      <c r="AQ360" s="90" t="s">
        <v>2996</v>
      </c>
      <c r="AR360" s="92">
        <v>62000</v>
      </c>
      <c r="AS360" s="92">
        <v>78000</v>
      </c>
      <c r="AT360" s="92">
        <v>97000</v>
      </c>
      <c r="AU360" s="87" t="s">
        <v>1951</v>
      </c>
      <c r="AV360" s="87" t="s">
        <v>1966</v>
      </c>
      <c r="AW360" s="91"/>
      <c r="AX360" s="91"/>
      <c r="AY360" s="91"/>
      <c r="AZ360" t="str">
        <f t="shared" si="36"/>
        <v>211600</v>
      </c>
      <c r="BA360" t="str">
        <f t="shared" si="37"/>
        <v>0077</v>
      </c>
      <c r="BB360" t="str">
        <f t="shared" si="35"/>
        <v>0000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>IFERROR(VLOOKUP(X360,'Status Map'!A:B,2,FALSE),"Status Code Not Mapped")</f>
        <v>Y</v>
      </c>
      <c r="BL360" t="str">
        <f>IFERROR(VLOOKUP(D360,'Invoice Exception Map'!A:C,3,FALSE),"N")</f>
        <v>N</v>
      </c>
      <c r="BM360">
        <f t="shared" si="38"/>
        <v>9</v>
      </c>
      <c r="BN360" t="str">
        <f t="shared" si="39"/>
        <v>WINDBORG</v>
      </c>
      <c r="BO360" t="str">
        <f t="shared" si="40"/>
        <v>PÄR</v>
      </c>
    </row>
    <row r="361" spans="1:67" ht="16" thickBot="1" x14ac:dyDescent="0.25">
      <c r="A361" s="90" t="s">
        <v>2997</v>
      </c>
      <c r="B361" s="90" t="s">
        <v>2998</v>
      </c>
      <c r="C361" s="90" t="s">
        <v>2999</v>
      </c>
      <c r="D361" s="90" t="s">
        <v>3738</v>
      </c>
      <c r="E361" s="90" t="s">
        <v>1953</v>
      </c>
      <c r="F361" s="90" t="s">
        <v>3000</v>
      </c>
      <c r="G361" s="90" t="s">
        <v>2060</v>
      </c>
      <c r="H361" s="90" t="s">
        <v>1943</v>
      </c>
      <c r="I361" s="90" t="s">
        <v>1944</v>
      </c>
      <c r="J361" s="90" t="s">
        <v>1955</v>
      </c>
      <c r="K361" s="90" t="s">
        <v>2061</v>
      </c>
      <c r="L361" s="90" t="s">
        <v>3001</v>
      </c>
      <c r="M361" s="87" t="s">
        <v>2024</v>
      </c>
      <c r="N361" s="87" t="s">
        <v>1991</v>
      </c>
      <c r="O361" s="88">
        <v>41750</v>
      </c>
      <c r="P361" s="89">
        <v>12.4</v>
      </c>
      <c r="Q361" s="90" t="s">
        <v>264</v>
      </c>
      <c r="R361" s="90" t="s">
        <v>859</v>
      </c>
      <c r="S361" s="90" t="s">
        <v>59</v>
      </c>
      <c r="T361" s="90" t="s">
        <v>3002</v>
      </c>
      <c r="U361" s="90" t="s">
        <v>1594</v>
      </c>
      <c r="V361" s="88">
        <v>41750</v>
      </c>
      <c r="W361" s="88">
        <v>41750</v>
      </c>
      <c r="X361" s="90" t="s">
        <v>43</v>
      </c>
      <c r="Y361" s="90" t="s">
        <v>257</v>
      </c>
      <c r="Z361" s="90" t="s">
        <v>36</v>
      </c>
      <c r="AA361" s="91"/>
      <c r="AB361" s="91"/>
      <c r="AC361" s="90" t="s">
        <v>2051</v>
      </c>
      <c r="AD361" s="90" t="s">
        <v>267</v>
      </c>
      <c r="AE361" s="90" t="s">
        <v>1614</v>
      </c>
      <c r="AF361" s="90" t="s">
        <v>1947</v>
      </c>
      <c r="AG361" s="90" t="s">
        <v>1613</v>
      </c>
      <c r="AH361" s="90" t="s">
        <v>2052</v>
      </c>
      <c r="AI361" s="90" t="s">
        <v>2052</v>
      </c>
      <c r="AJ361" s="90" t="s">
        <v>2051</v>
      </c>
      <c r="AK361" s="90" t="s">
        <v>36</v>
      </c>
      <c r="AL361" s="90" t="s">
        <v>1613</v>
      </c>
      <c r="AM361" s="90" t="s">
        <v>3003</v>
      </c>
      <c r="AN361" s="90" t="s">
        <v>2054</v>
      </c>
      <c r="AO361" s="87" t="s">
        <v>1949</v>
      </c>
      <c r="AP361" s="87" t="s">
        <v>1950</v>
      </c>
      <c r="AQ361" s="90" t="s">
        <v>1566</v>
      </c>
      <c r="AR361" s="92">
        <v>56000</v>
      </c>
      <c r="AS361" s="92">
        <v>70000</v>
      </c>
      <c r="AT361" s="92">
        <v>87000</v>
      </c>
      <c r="AU361" s="87" t="s">
        <v>1951</v>
      </c>
      <c r="AV361" s="87" t="s">
        <v>2002</v>
      </c>
      <c r="AW361" s="91"/>
      <c r="AX361" s="91"/>
      <c r="AY361" s="91"/>
      <c r="AZ361" t="str">
        <f t="shared" si="36"/>
        <v>207588</v>
      </c>
      <c r="BA361" t="str">
        <f t="shared" si="37"/>
        <v>0057</v>
      </c>
      <c r="BB361" t="str">
        <f t="shared" si="35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>IFERROR(VLOOKUP(X361,'Status Map'!A:B,2,FALSE),"Status Code Not Mapped")</f>
        <v>Y</v>
      </c>
      <c r="BL361" t="str">
        <f>IFERROR(VLOOKUP(D361,'Invoice Exception Map'!A:C,3,FALSE),"N")</f>
        <v>N</v>
      </c>
      <c r="BM361">
        <f t="shared" si="38"/>
        <v>7</v>
      </c>
      <c r="BN361" t="str">
        <f t="shared" si="39"/>
        <v>Li Lim</v>
      </c>
      <c r="BO361" t="str">
        <f t="shared" si="40"/>
        <v>Teng</v>
      </c>
    </row>
    <row r="362" spans="1:67" ht="16" thickBot="1" x14ac:dyDescent="0.25">
      <c r="A362" s="90" t="s">
        <v>2997</v>
      </c>
      <c r="B362" s="90" t="s">
        <v>2998</v>
      </c>
      <c r="C362" s="90" t="s">
        <v>2999</v>
      </c>
      <c r="D362" s="90" t="s">
        <v>3739</v>
      </c>
      <c r="E362" s="90" t="s">
        <v>1953</v>
      </c>
      <c r="F362" s="90" t="s">
        <v>3740</v>
      </c>
      <c r="G362" s="90" t="s">
        <v>3300</v>
      </c>
      <c r="H362" s="90" t="s">
        <v>1943</v>
      </c>
      <c r="I362" s="90" t="s">
        <v>1944</v>
      </c>
      <c r="J362" s="90" t="s">
        <v>1955</v>
      </c>
      <c r="K362" s="90" t="s">
        <v>3301</v>
      </c>
      <c r="L362" s="90" t="s">
        <v>1960</v>
      </c>
      <c r="M362" s="87" t="s">
        <v>1945</v>
      </c>
      <c r="N362" s="87" t="s">
        <v>66</v>
      </c>
      <c r="O362" s="88">
        <v>45663</v>
      </c>
      <c r="P362" s="89">
        <v>1.6</v>
      </c>
      <c r="Q362" s="90" t="s">
        <v>151</v>
      </c>
      <c r="R362" s="90" t="s">
        <v>859</v>
      </c>
      <c r="S362" s="90" t="s">
        <v>59</v>
      </c>
      <c r="T362" s="90" t="s">
        <v>3002</v>
      </c>
      <c r="U362" s="90" t="s">
        <v>1594</v>
      </c>
      <c r="V362" s="88">
        <v>45663</v>
      </c>
      <c r="W362" s="88">
        <v>45663</v>
      </c>
      <c r="X362" s="90" t="s">
        <v>43</v>
      </c>
      <c r="Y362" s="90" t="s">
        <v>257</v>
      </c>
      <c r="Z362" s="90" t="s">
        <v>36</v>
      </c>
      <c r="AA362" s="91"/>
      <c r="AB362" s="91"/>
      <c r="AC362" s="90" t="s">
        <v>2051</v>
      </c>
      <c r="AD362" s="90" t="s">
        <v>267</v>
      </c>
      <c r="AE362" s="90" t="s">
        <v>1614</v>
      </c>
      <c r="AF362" s="90" t="s">
        <v>1947</v>
      </c>
      <c r="AG362" s="91"/>
      <c r="AH362" s="90" t="s">
        <v>2052</v>
      </c>
      <c r="AI362" s="90" t="s">
        <v>2052</v>
      </c>
      <c r="AJ362" s="90" t="s">
        <v>2051</v>
      </c>
      <c r="AK362" s="91"/>
      <c r="AL362" s="90" t="s">
        <v>1613</v>
      </c>
      <c r="AM362" s="90" t="s">
        <v>3003</v>
      </c>
      <c r="AN362" s="90" t="s">
        <v>2054</v>
      </c>
      <c r="AO362" s="87" t="s">
        <v>3082</v>
      </c>
      <c r="AP362" s="87" t="s">
        <v>1950</v>
      </c>
      <c r="AQ362" s="90" t="s">
        <v>3299</v>
      </c>
      <c r="AR362" s="92">
        <v>88000</v>
      </c>
      <c r="AS362" s="92">
        <v>110000</v>
      </c>
      <c r="AT362" s="92">
        <v>137000</v>
      </c>
      <c r="AU362" s="87" t="s">
        <v>1951</v>
      </c>
      <c r="AV362" s="87" t="s">
        <v>1952</v>
      </c>
      <c r="AW362" s="91"/>
      <c r="AX362" s="91"/>
      <c r="AY362" s="91"/>
      <c r="AZ362" t="str">
        <f t="shared" si="36"/>
        <v>207588</v>
      </c>
      <c r="BA362" t="str">
        <f t="shared" si="37"/>
        <v>0057</v>
      </c>
      <c r="BB362" t="str">
        <f t="shared" si="35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>IFERROR(VLOOKUP(X362,'Status Map'!A:B,2,FALSE),"Status Code Not Mapped")</f>
        <v>Y</v>
      </c>
      <c r="BL362" t="str">
        <f>IFERROR(VLOOKUP(D362,'Invoice Exception Map'!A:C,3,FALSE),"N")</f>
        <v>N</v>
      </c>
      <c r="BM362">
        <f t="shared" si="38"/>
        <v>5</v>
      </c>
      <c r="BN362" t="str">
        <f t="shared" si="39"/>
        <v>Wong</v>
      </c>
      <c r="BO362" t="str">
        <f t="shared" si="40"/>
        <v>Wei Zhang</v>
      </c>
    </row>
    <row r="363" spans="1:67" s="106" customFormat="1" ht="16" thickBot="1" x14ac:dyDescent="0.25">
      <c r="A363" s="100" t="s">
        <v>2298</v>
      </c>
      <c r="B363" s="100" t="s">
        <v>2717</v>
      </c>
      <c r="C363" s="100" t="s">
        <v>2718</v>
      </c>
      <c r="D363" s="100" t="s">
        <v>3264</v>
      </c>
      <c r="E363" s="100" t="s">
        <v>1953</v>
      </c>
      <c r="F363" s="100" t="s">
        <v>2363</v>
      </c>
      <c r="G363" s="100" t="s">
        <v>2925</v>
      </c>
      <c r="H363" s="100" t="s">
        <v>1943</v>
      </c>
      <c r="I363" s="100" t="s">
        <v>1944</v>
      </c>
      <c r="J363" s="100" t="s">
        <v>2926</v>
      </c>
      <c r="K363" s="100" t="s">
        <v>2927</v>
      </c>
      <c r="L363" s="100" t="s">
        <v>2928</v>
      </c>
      <c r="M363" s="101" t="s">
        <v>1996</v>
      </c>
      <c r="N363" s="101" t="s">
        <v>2929</v>
      </c>
      <c r="O363" s="102">
        <v>45567</v>
      </c>
      <c r="P363" s="103">
        <v>1.9</v>
      </c>
      <c r="Q363" s="100" t="s">
        <v>163</v>
      </c>
      <c r="R363" s="100" t="s">
        <v>3276</v>
      </c>
      <c r="S363" s="100" t="s">
        <v>2578</v>
      </c>
      <c r="T363" s="100" t="s">
        <v>2305</v>
      </c>
      <c r="U363" s="100" t="s">
        <v>1640</v>
      </c>
      <c r="V363" s="102">
        <v>45567</v>
      </c>
      <c r="W363" s="102">
        <v>45567</v>
      </c>
      <c r="X363" s="100" t="s">
        <v>43</v>
      </c>
      <c r="Y363" s="100" t="s">
        <v>257</v>
      </c>
      <c r="Z363" s="100" t="s">
        <v>36</v>
      </c>
      <c r="AA363" s="104"/>
      <c r="AB363" s="104"/>
      <c r="AC363" s="100" t="s">
        <v>2051</v>
      </c>
      <c r="AD363" s="100" t="s">
        <v>267</v>
      </c>
      <c r="AE363" s="100" t="s">
        <v>1636</v>
      </c>
      <c r="AF363" s="100" t="s">
        <v>1947</v>
      </c>
      <c r="AG363" s="100" t="s">
        <v>2865</v>
      </c>
      <c r="AH363" s="104"/>
      <c r="AI363" s="104"/>
      <c r="AJ363" s="100" t="s">
        <v>2051</v>
      </c>
      <c r="AK363" s="104"/>
      <c r="AL363" s="100" t="s">
        <v>1635</v>
      </c>
      <c r="AM363" s="100" t="s">
        <v>2307</v>
      </c>
      <c r="AN363" s="100" t="s">
        <v>2147</v>
      </c>
      <c r="AO363" s="101" t="s">
        <v>1949</v>
      </c>
      <c r="AP363" s="101" t="s">
        <v>1950</v>
      </c>
      <c r="AQ363" s="100" t="s">
        <v>4143</v>
      </c>
      <c r="AR363" s="105">
        <v>140000</v>
      </c>
      <c r="AS363" s="105">
        <v>175000</v>
      </c>
      <c r="AT363" s="105">
        <v>218000</v>
      </c>
      <c r="AU363" s="101" t="s">
        <v>1951</v>
      </c>
      <c r="AV363" s="101" t="s">
        <v>1959</v>
      </c>
      <c r="AW363" s="104"/>
      <c r="AX363" s="104"/>
      <c r="AY363" s="104"/>
      <c r="AZ363" s="106" t="str">
        <f t="shared" si="36"/>
        <v>211474</v>
      </c>
      <c r="BA363" s="106" t="str">
        <f t="shared" si="37"/>
        <v>0077</v>
      </c>
      <c r="BB363" t="str">
        <f t="shared" si="35"/>
        <v>0000</v>
      </c>
      <c r="BC363" s="106" t="str">
        <f>IFERROR(VLOOKUP(TRIM(Q363),'Salary Map'!A:E,3,FALSE),"Salary Code Not Mapped")</f>
        <v>Default</v>
      </c>
      <c r="BD363" s="106" t="str">
        <f>IFERROR(VLOOKUP(TRIM(Q363),'Salary Map'!A:E,4,FALSE),"Salary Code Not Mapped")</f>
        <v>General</v>
      </c>
      <c r="BE363" s="106">
        <f>IF(BL363="N",0,IFERROR(VLOOKUP(TRIM(Q363),'Salary Map'!A:E,5,FALSE),"Salary Not Mapped"))</f>
        <v>0</v>
      </c>
      <c r="BF363" s="106" t="str">
        <f>IFERROR(VLOOKUP(AM363,'Country Map'!A:E,2,FALSE),"Country Not Mapped")</f>
        <v>SE</v>
      </c>
      <c r="BH363" s="106" t="str">
        <f>IFERROR(VLOOKUP(AM363,'Country Map'!A:E,4,FALSE),"Country Not Mapped")</f>
        <v>SEK</v>
      </c>
      <c r="BJ363" t="str">
        <f>IFERROR(VLOOKUP(X363,'Status Map'!A:B,2,FALSE),"Status Code Not Mapped")</f>
        <v>Y</v>
      </c>
      <c r="BL363" s="106" t="str">
        <f>IFERROR(VLOOKUP(D363,'Invoice Exception Map'!A:C,3,FALSE),"N")</f>
        <v>N</v>
      </c>
      <c r="BM363" s="106">
        <f t="shared" si="38"/>
        <v>8</v>
      </c>
      <c r="BN363" s="106" t="str">
        <f t="shared" si="39"/>
        <v>Hedborg</v>
      </c>
      <c r="BO363" s="106" t="str">
        <f t="shared" si="40"/>
        <v>Josefine</v>
      </c>
    </row>
  </sheetData>
  <autoFilter ref="A1:BO363" xr:uid="{221253E5-55BA-6346-8070-BD0F8AE94B18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 filterMode="1">
    <tabColor theme="6"/>
  </sheetPr>
  <dimension ref="A1:EG363"/>
  <sheetViews>
    <sheetView topLeftCell="H1" zoomScale="160" zoomScaleNormal="160" workbookViewId="0">
      <pane ySplit="1" topLeftCell="A69" activePane="bottomLeft" state="frozen"/>
      <selection activeCell="S374" sqref="S374"/>
      <selection pane="bottomLeft" activeCell="L69" sqref="L69"/>
    </sheetView>
  </sheetViews>
  <sheetFormatPr baseColWidth="10" defaultRowHeight="15" x14ac:dyDescent="0.2"/>
  <cols>
    <col min="1" max="1" width="12.5" style="18" bestFit="1" customWidth="1"/>
    <col min="2" max="2" width="14.33203125" style="18" bestFit="1" customWidth="1"/>
    <col min="3" max="3" width="16.6640625" style="18" bestFit="1" customWidth="1"/>
    <col min="4" max="4" width="18" style="18" bestFit="1" customWidth="1"/>
    <col min="5" max="5" width="17" style="18" bestFit="1" customWidth="1"/>
    <col min="6" max="6" width="35" style="18" bestFit="1" customWidth="1"/>
    <col min="7" max="7" width="16.6640625" style="18" bestFit="1" customWidth="1"/>
    <col min="8" max="8" width="28.1640625" style="18" bestFit="1" customWidth="1"/>
    <col min="9" max="9" width="23.33203125" style="18" bestFit="1" customWidth="1"/>
    <col min="10" max="10" width="13.6640625" style="18" bestFit="1" customWidth="1"/>
    <col min="11" max="11" width="12.5" style="18" bestFit="1" customWidth="1"/>
    <col min="12" max="12" width="21" style="18" bestFit="1" customWidth="1"/>
    <col min="13" max="13" width="14.5" style="18" bestFit="1" customWidth="1"/>
    <col min="14" max="14" width="12.83203125" style="18" bestFit="1" customWidth="1"/>
    <col min="15" max="15" width="11.1640625" style="18" bestFit="1" customWidth="1"/>
    <col min="16" max="21" width="13.83203125" style="18" bestFit="1" customWidth="1"/>
    <col min="22" max="22" width="13.33203125" style="18" bestFit="1" customWidth="1"/>
    <col min="23" max="23" width="15" style="18" bestFit="1" customWidth="1"/>
    <col min="24" max="24" width="13.5" style="18" bestFit="1" customWidth="1"/>
    <col min="25" max="25" width="13.33203125" style="18" bestFit="1" customWidth="1"/>
    <col min="26" max="26" width="15.6640625" style="18" bestFit="1" customWidth="1"/>
    <col min="27" max="27" width="13.33203125" style="18" bestFit="1" customWidth="1"/>
    <col min="28" max="28" width="14.1640625" style="18" bestFit="1" customWidth="1"/>
    <col min="29" max="29" width="13.6640625" style="18" bestFit="1" customWidth="1"/>
    <col min="30" max="30" width="13.33203125" style="18" bestFit="1" customWidth="1"/>
    <col min="31" max="37" width="14.33203125" style="18" bestFit="1" customWidth="1"/>
    <col min="38" max="38" width="15" style="18" bestFit="1" customWidth="1"/>
    <col min="39" max="41" width="14.33203125" style="18" bestFit="1" customWidth="1"/>
    <col min="42" max="42" width="21.5" style="18" bestFit="1" customWidth="1"/>
    <col min="43" max="43" width="16.1640625" style="18" bestFit="1" customWidth="1"/>
    <col min="44" max="44" width="15.33203125" style="18" bestFit="1" customWidth="1"/>
    <col min="45" max="46" width="14.6640625" style="18" bestFit="1" customWidth="1"/>
    <col min="47" max="47" width="15.6640625" style="18" bestFit="1" customWidth="1"/>
    <col min="48" max="48" width="17" style="18" bestFit="1" customWidth="1"/>
    <col min="49" max="49" width="16.5" style="18" bestFit="1" customWidth="1"/>
    <col min="50" max="50" width="17" style="18" bestFit="1" customWidth="1"/>
    <col min="51" max="52" width="14.6640625" style="18" bestFit="1" customWidth="1"/>
    <col min="53" max="53" width="15.6640625" style="18" bestFit="1" customWidth="1"/>
    <col min="54" max="54" width="16.33203125" style="18" bestFit="1" customWidth="1"/>
    <col min="55" max="55" width="16.83203125" style="18" bestFit="1" customWidth="1"/>
    <col min="56" max="56" width="15" style="18" bestFit="1" customWidth="1"/>
    <col min="57" max="57" width="15.83203125" style="18" bestFit="1" customWidth="1"/>
    <col min="58" max="58" width="15" style="18" bestFit="1" customWidth="1"/>
    <col min="59" max="62" width="15.83203125" style="18" bestFit="1" customWidth="1"/>
    <col min="63" max="63" width="14" style="18" bestFit="1" customWidth="1"/>
    <col min="64" max="64" width="15.33203125" style="18" bestFit="1" customWidth="1"/>
    <col min="65" max="65" width="15.1640625" style="18" bestFit="1" customWidth="1"/>
    <col min="66" max="66" width="14.5" style="18" bestFit="1" customWidth="1"/>
    <col min="67" max="67" width="13.6640625" style="18" bestFit="1" customWidth="1"/>
    <col min="68" max="68" width="14.5" style="18" bestFit="1" customWidth="1"/>
    <col min="69" max="69" width="15.33203125" style="18" bestFit="1" customWidth="1"/>
    <col min="70" max="70" width="14.6640625" style="18" bestFit="1" customWidth="1"/>
    <col min="71" max="71" width="15.1640625" style="18" bestFit="1" customWidth="1"/>
    <col min="72" max="72" width="13.83203125" style="18" bestFit="1" customWidth="1"/>
    <col min="73" max="73" width="15.6640625" style="18" bestFit="1" customWidth="1"/>
    <col min="74" max="74" width="13.5" style="18" bestFit="1" customWidth="1"/>
    <col min="75" max="75" width="13" style="18" bestFit="1" customWidth="1"/>
    <col min="76" max="76" width="13.33203125" style="18" bestFit="1" customWidth="1"/>
    <col min="77" max="77" width="15.83203125" style="18" bestFit="1" customWidth="1"/>
    <col min="78" max="78" width="12.5" style="18" bestFit="1" customWidth="1"/>
    <col min="79" max="79" width="13.5" style="18" bestFit="1" customWidth="1"/>
    <col min="80" max="80" width="15.83203125" style="18" bestFit="1" customWidth="1"/>
    <col min="81" max="81" width="15.33203125" style="18" bestFit="1" customWidth="1"/>
    <col min="82" max="83" width="15.83203125" style="18" bestFit="1" customWidth="1"/>
    <col min="84" max="85" width="15.33203125" style="18" bestFit="1" customWidth="1"/>
    <col min="86" max="86" width="23" style="18" bestFit="1" customWidth="1"/>
    <col min="87" max="87" width="14.33203125" style="18" bestFit="1" customWidth="1"/>
    <col min="88" max="88" width="15.83203125" style="18" bestFit="1" customWidth="1"/>
    <col min="89" max="89" width="13.83203125" style="18" bestFit="1" customWidth="1"/>
    <col min="90" max="90" width="14.5" style="18" bestFit="1" customWidth="1"/>
    <col min="91" max="91" width="15.83203125" style="18" bestFit="1" customWidth="1"/>
    <col min="92" max="92" width="13.33203125" style="18" bestFit="1" customWidth="1"/>
    <col min="93" max="93" width="14.33203125" style="18" bestFit="1" customWidth="1"/>
    <col min="94" max="94" width="15.83203125" style="18" bestFit="1" customWidth="1"/>
    <col min="95" max="95" width="11.6640625" style="18" bestFit="1" customWidth="1"/>
    <col min="96" max="96" width="11.83203125" style="18" bestFit="1" customWidth="1"/>
    <col min="97" max="97" width="13.5" style="18" bestFit="1" customWidth="1"/>
    <col min="98" max="98" width="11.6640625" style="18" bestFit="1" customWidth="1"/>
    <col min="99" max="137" width="14.5" style="18" bestFit="1" customWidth="1"/>
    <col min="138" max="16384" width="10.83203125" style="18"/>
  </cols>
  <sheetData>
    <row r="1" spans="1:137" s="76" customFormat="1" ht="81.75" customHeight="1" x14ac:dyDescent="0.2">
      <c r="A1" s="70" t="s">
        <v>1072</v>
      </c>
      <c r="B1" s="70" t="s">
        <v>1073</v>
      </c>
      <c r="C1" s="70" t="s">
        <v>3025</v>
      </c>
      <c r="D1" s="70" t="s">
        <v>1075</v>
      </c>
      <c r="E1" s="70" t="s">
        <v>3026</v>
      </c>
      <c r="F1" s="71" t="s">
        <v>3027</v>
      </c>
      <c r="G1" s="72" t="s">
        <v>3028</v>
      </c>
      <c r="H1" s="70" t="s">
        <v>3029</v>
      </c>
      <c r="I1" s="73" t="s">
        <v>1587</v>
      </c>
      <c r="J1" s="70" t="s">
        <v>1081</v>
      </c>
      <c r="K1" s="72" t="s">
        <v>1082</v>
      </c>
      <c r="L1" s="70" t="s">
        <v>1083</v>
      </c>
      <c r="M1" s="73" t="s">
        <v>1622</v>
      </c>
      <c r="N1" s="74" t="s">
        <v>1085</v>
      </c>
      <c r="O1" s="70" t="s">
        <v>1086</v>
      </c>
      <c r="P1" s="73" t="s">
        <v>1624</v>
      </c>
      <c r="Q1" s="110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1424</v>
      </c>
      <c r="X1" s="73" t="s">
        <v>1623</v>
      </c>
      <c r="Y1" s="72" t="s">
        <v>1092</v>
      </c>
      <c r="Z1" s="73" t="s">
        <v>1625</v>
      </c>
      <c r="AA1" s="72" t="s">
        <v>1093</v>
      </c>
      <c r="AB1" s="70" t="s">
        <v>1425</v>
      </c>
      <c r="AC1" s="70" t="s">
        <v>1426</v>
      </c>
      <c r="AD1" s="72" t="s">
        <v>1094</v>
      </c>
      <c r="AE1" s="72" t="s">
        <v>3030</v>
      </c>
      <c r="AF1" s="72" t="s">
        <v>1096</v>
      </c>
      <c r="AG1" s="72" t="s">
        <v>1097</v>
      </c>
      <c r="AH1" s="72" t="s">
        <v>1098</v>
      </c>
      <c r="AI1" s="72" t="s">
        <v>1099</v>
      </c>
      <c r="AJ1" s="72" t="s">
        <v>1100</v>
      </c>
      <c r="AK1" s="72" t="s">
        <v>1101</v>
      </c>
      <c r="AL1" s="72" t="s">
        <v>3031</v>
      </c>
      <c r="AM1" s="72" t="s">
        <v>1103</v>
      </c>
      <c r="AN1" s="72" t="s">
        <v>1104</v>
      </c>
      <c r="AO1" s="72" t="s">
        <v>1105</v>
      </c>
      <c r="AP1" s="73" t="s">
        <v>3032</v>
      </c>
      <c r="AQ1" s="72" t="s">
        <v>1107</v>
      </c>
      <c r="AR1" s="72" t="s">
        <v>1108</v>
      </c>
      <c r="AS1" s="72" t="s">
        <v>1109</v>
      </c>
      <c r="AT1" s="72" t="s">
        <v>1110</v>
      </c>
      <c r="AU1" s="72" t="s">
        <v>1111</v>
      </c>
      <c r="AV1" s="72" t="s">
        <v>1112</v>
      </c>
      <c r="AW1" s="72" t="s">
        <v>1113</v>
      </c>
      <c r="AX1" s="72" t="s">
        <v>1114</v>
      </c>
      <c r="AY1" s="72" t="s">
        <v>1115</v>
      </c>
      <c r="AZ1" s="72" t="s">
        <v>1116</v>
      </c>
      <c r="BA1" s="72" t="s">
        <v>1117</v>
      </c>
      <c r="BB1" s="72" t="s">
        <v>1118</v>
      </c>
      <c r="BC1" s="72" t="s">
        <v>1119</v>
      </c>
      <c r="BD1" s="72" t="s">
        <v>1120</v>
      </c>
      <c r="BE1" s="72" t="s">
        <v>1121</v>
      </c>
      <c r="BF1" s="72" t="s">
        <v>1122</v>
      </c>
      <c r="BG1" s="74" t="s">
        <v>1123</v>
      </c>
      <c r="BH1" s="74" t="s">
        <v>1124</v>
      </c>
      <c r="BI1" s="74" t="s">
        <v>1125</v>
      </c>
      <c r="BJ1" s="72" t="s">
        <v>1126</v>
      </c>
      <c r="BK1" s="74" t="s">
        <v>1127</v>
      </c>
      <c r="BL1" s="74" t="s">
        <v>1128</v>
      </c>
      <c r="BM1" s="72" t="s">
        <v>1129</v>
      </c>
      <c r="BN1" s="72" t="s">
        <v>1130</v>
      </c>
      <c r="BO1" s="72" t="s">
        <v>1131</v>
      </c>
      <c r="BP1" s="72" t="s">
        <v>1130</v>
      </c>
      <c r="BQ1" s="72" t="s">
        <v>1132</v>
      </c>
      <c r="BR1" s="72" t="s">
        <v>1133</v>
      </c>
      <c r="BS1" s="72" t="s">
        <v>1134</v>
      </c>
      <c r="BT1" s="72" t="s">
        <v>1135</v>
      </c>
      <c r="BU1" s="75" t="s">
        <v>1136</v>
      </c>
      <c r="BV1" s="75" t="s">
        <v>1137</v>
      </c>
      <c r="BW1" s="72" t="s">
        <v>1138</v>
      </c>
      <c r="BX1" s="72" t="s">
        <v>1139</v>
      </c>
      <c r="BY1" s="72" t="s">
        <v>1140</v>
      </c>
      <c r="BZ1" s="74" t="s">
        <v>1141</v>
      </c>
      <c r="CA1" s="74" t="s">
        <v>1142</v>
      </c>
      <c r="CB1" s="72" t="s">
        <v>1143</v>
      </c>
      <c r="CC1" s="72" t="s">
        <v>1144</v>
      </c>
      <c r="CD1" s="72" t="s">
        <v>1145</v>
      </c>
      <c r="CE1" s="72" t="s">
        <v>1146</v>
      </c>
      <c r="CF1" s="72" t="s">
        <v>1147</v>
      </c>
      <c r="CG1" s="72" t="s">
        <v>1148</v>
      </c>
      <c r="CH1" s="74" t="s">
        <v>3033</v>
      </c>
      <c r="CI1" s="72" t="s">
        <v>1150</v>
      </c>
      <c r="CJ1" s="72" t="s">
        <v>1151</v>
      </c>
      <c r="CK1" s="72" t="s">
        <v>1152</v>
      </c>
      <c r="CL1" s="72" t="s">
        <v>1153</v>
      </c>
      <c r="CM1" s="75" t="s">
        <v>1154</v>
      </c>
      <c r="CN1" s="75" t="s">
        <v>1155</v>
      </c>
      <c r="CO1" s="75" t="s">
        <v>1156</v>
      </c>
      <c r="CP1" s="72" t="s">
        <v>1157</v>
      </c>
      <c r="CQ1" s="72" t="s">
        <v>1158</v>
      </c>
      <c r="CR1" s="72" t="s">
        <v>1159</v>
      </c>
      <c r="CS1" s="72" t="s">
        <v>1160</v>
      </c>
      <c r="CT1" s="72" t="s">
        <v>1161</v>
      </c>
      <c r="CU1" s="72" t="s">
        <v>1162</v>
      </c>
      <c r="CV1" s="72" t="s">
        <v>1163</v>
      </c>
      <c r="CW1" s="72" t="s">
        <v>1164</v>
      </c>
      <c r="CX1" s="72" t="s">
        <v>1165</v>
      </c>
      <c r="CY1" s="72" t="s">
        <v>1166</v>
      </c>
      <c r="CZ1" s="72" t="s">
        <v>1167</v>
      </c>
      <c r="DA1" s="72" t="s">
        <v>1168</v>
      </c>
      <c r="DB1" s="72" t="s">
        <v>1169</v>
      </c>
      <c r="DC1" s="72" t="s">
        <v>1170</v>
      </c>
      <c r="DD1" s="72" t="s">
        <v>1171</v>
      </c>
      <c r="DE1" s="72" t="s">
        <v>1172</v>
      </c>
      <c r="DF1" s="72" t="s">
        <v>1173</v>
      </c>
      <c r="DG1" s="72" t="s">
        <v>1174</v>
      </c>
      <c r="DH1" s="72" t="s">
        <v>1175</v>
      </c>
      <c r="DI1" s="72" t="s">
        <v>1176</v>
      </c>
      <c r="DJ1" s="72" t="s">
        <v>1177</v>
      </c>
      <c r="DK1" s="72" t="s">
        <v>1178</v>
      </c>
      <c r="DL1" s="72" t="s">
        <v>1179</v>
      </c>
      <c r="DM1" s="72" t="s">
        <v>1180</v>
      </c>
      <c r="DN1" s="72" t="s">
        <v>1181</v>
      </c>
      <c r="DO1" s="72" t="s">
        <v>1182</v>
      </c>
      <c r="DP1" s="72" t="s">
        <v>1183</v>
      </c>
      <c r="DQ1" s="72" t="s">
        <v>1184</v>
      </c>
      <c r="DR1" s="72" t="s">
        <v>1185</v>
      </c>
      <c r="DS1" s="72" t="s">
        <v>1186</v>
      </c>
      <c r="DT1" s="72" t="s">
        <v>1187</v>
      </c>
      <c r="DU1" s="72" t="s">
        <v>1188</v>
      </c>
      <c r="DV1" s="72" t="s">
        <v>1189</v>
      </c>
      <c r="DW1" s="72" t="s">
        <v>1190</v>
      </c>
      <c r="DX1" s="72" t="s">
        <v>1191</v>
      </c>
      <c r="DY1" s="72" t="s">
        <v>1192</v>
      </c>
      <c r="DZ1" s="72" t="s">
        <v>1193</v>
      </c>
      <c r="EA1" s="72" t="s">
        <v>1194</v>
      </c>
      <c r="EB1" s="72" t="s">
        <v>1195</v>
      </c>
      <c r="EC1" s="72" t="s">
        <v>1196</v>
      </c>
      <c r="ED1" s="72" t="s">
        <v>1197</v>
      </c>
      <c r="EE1" s="72" t="s">
        <v>1198</v>
      </c>
      <c r="EF1" s="72" t="s">
        <v>1199</v>
      </c>
      <c r="EG1" s="72" t="s">
        <v>1200</v>
      </c>
    </row>
    <row r="2" spans="1:137" ht="16" hidden="1" thickBot="1" x14ac:dyDescent="0.25">
      <c r="A2" s="39" t="s">
        <v>1420</v>
      </c>
      <c r="B2" s="77" t="str">
        <f>UKG!BO2</f>
        <v>HanBing</v>
      </c>
      <c r="D2" s="77" t="str">
        <f>UKG!BN2</f>
        <v>Shi</v>
      </c>
      <c r="E2" s="77" t="str">
        <f>UKG!D2</f>
        <v>206238</v>
      </c>
      <c r="F2" s="77" t="str">
        <f>H2&amp;".new.uat"</f>
        <v>SShi@onebarnes.com.new.uat</v>
      </c>
      <c r="G2" s="18" t="s">
        <v>1427</v>
      </c>
      <c r="H2" s="77" t="str">
        <f>UKG!AQ2</f>
        <v>SShi@onebarnes.com</v>
      </c>
      <c r="I2" s="18" t="str">
        <f>IFERROR(VLOOKUP(J2,'Language Map'!M:O,3,FALSE),"en_US")</f>
        <v>zh_CN</v>
      </c>
      <c r="J2" s="77" t="str">
        <f>UKG!BF2</f>
        <v>CN</v>
      </c>
      <c r="L2" s="77" t="str">
        <f>IFERROR(VLOOKUP(UKG!BA2,'UKG Company Map'!B:G,7,FALSE),"Ledger Code Not Matched")</f>
        <v>Ledger Code Not Matched</v>
      </c>
      <c r="M2" s="18" t="str">
        <f>UKG!BH2</f>
        <v>CNY</v>
      </c>
      <c r="O2" s="18" t="str">
        <f>UKG!BJ2</f>
        <v>Y</v>
      </c>
      <c r="P2" s="18" t="str">
        <f>IFERROR(VLOOKUP(UKG!BA2,'UKG Company Map'!B:E,2,FALSE),"Org Unit 1 Not Mapped")</f>
        <v>0083</v>
      </c>
      <c r="Q2" s="77" t="str">
        <f>UKG!BB2</f>
        <v>0012</v>
      </c>
      <c r="W2" s="77" t="str">
        <f>UKG!Q2</f>
        <v>S14</v>
      </c>
      <c r="X2" s="18" t="str">
        <f>UKG!BC2</f>
        <v>Default</v>
      </c>
      <c r="Z2" s="18" t="str">
        <f>IFERROR(VLOOKUP(UKG!BA2,'UKG Company Map'!B:G,8,FALSE),"Custom 5 Not Matched")</f>
        <v>Custom 5 Not Matched</v>
      </c>
      <c r="AP2" s="18" t="str">
        <f>IFERROR(VLOOKUP(UKG!BA2,'UKG Company Map'!B:G,4,FALSE),"Custom 21 Exp Group Not Matched")</f>
        <v>0083</v>
      </c>
      <c r="BG2" s="77" t="str">
        <f>UKG!AZ2</f>
        <v>203007</v>
      </c>
      <c r="BK2" s="18" t="s">
        <v>1421</v>
      </c>
      <c r="BL2" s="18" t="s">
        <v>1421</v>
      </c>
      <c r="BU2" s="18" t="str">
        <f>UKG!BL2</f>
        <v>N</v>
      </c>
      <c r="BV2" s="18" t="str">
        <f>UKG!BL2</f>
        <v>N</v>
      </c>
      <c r="CE2" s="18" t="s">
        <v>1421</v>
      </c>
    </row>
    <row r="3" spans="1:137" ht="16" hidden="1" thickBot="1" x14ac:dyDescent="0.25">
      <c r="A3" s="39" t="s">
        <v>1420</v>
      </c>
      <c r="B3" s="77" t="str">
        <f>UKG!BO3</f>
        <v>Guojun</v>
      </c>
      <c r="D3" s="77" t="str">
        <f>UKG!BN3</f>
        <v>Song</v>
      </c>
      <c r="E3" s="77" t="str">
        <f>UKG!D3</f>
        <v>206241</v>
      </c>
      <c r="F3" s="77" t="str">
        <f t="shared" ref="F3:F66" si="0">H3&amp;".new.uat"</f>
        <v>gsong@onebarnes.com.new.uat</v>
      </c>
      <c r="G3" s="18" t="s">
        <v>1427</v>
      </c>
      <c r="H3" s="77" t="str">
        <f>UKG!AQ3</f>
        <v>gsong@onebarnes.com</v>
      </c>
      <c r="I3" s="18" t="str">
        <f>IFERROR(VLOOKUP(J3,'Language Map'!M:O,3,FALSE),"en_US")</f>
        <v>zh_CN</v>
      </c>
      <c r="J3" s="77" t="str">
        <f>UKG!BF3</f>
        <v>CN</v>
      </c>
      <c r="L3" s="77" t="str">
        <f>IFERROR(VLOOKUP(UKG!BA3,'UKG Company Map'!B:G,7,FALSE),"Ledger Code Not Matched")</f>
        <v>Ledger Code Not Matched</v>
      </c>
      <c r="M3" s="18" t="str">
        <f>UKG!BH3</f>
        <v>CNY</v>
      </c>
      <c r="O3" s="18" t="str">
        <f>UKG!BJ3</f>
        <v>Y</v>
      </c>
      <c r="P3" s="18" t="str">
        <f>IFERROR(VLOOKUP(UKG!BA3,'UKG Company Map'!B:E,2,FALSE),"Org Unit 1 Not Mapped")</f>
        <v>0083</v>
      </c>
      <c r="Q3" s="77" t="str">
        <f>UKG!BB3</f>
        <v>0012</v>
      </c>
      <c r="W3" s="77" t="str">
        <f>UKG!Q3</f>
        <v>S15</v>
      </c>
      <c r="X3" s="18" t="str">
        <f>UKG!BC3</f>
        <v>Default</v>
      </c>
      <c r="Z3" s="18" t="str">
        <f>IFERROR(VLOOKUP(UKG!BA3,'UKG Company Map'!B:G,8,FALSE),"Custom 5 Not Matched")</f>
        <v>Custom 5 Not Matched</v>
      </c>
      <c r="AP3" s="18" t="str">
        <f>IFERROR(VLOOKUP(UKG!BA3,'UKG Company Map'!B:G,4,FALSE),"Custom 21 Exp Group Not Matched")</f>
        <v>0083</v>
      </c>
      <c r="BG3" s="77" t="str">
        <f>UKG!AZ3</f>
        <v>212699</v>
      </c>
      <c r="BK3" s="18" t="s">
        <v>1421</v>
      </c>
      <c r="BL3" s="18" t="s">
        <v>1421</v>
      </c>
      <c r="BU3" s="18" t="str">
        <f>UKG!BL3</f>
        <v>N</v>
      </c>
      <c r="BV3" s="18" t="str">
        <f>UKG!BL3</f>
        <v>N</v>
      </c>
      <c r="CE3" s="18" t="s">
        <v>1421</v>
      </c>
    </row>
    <row r="4" spans="1:137" ht="16" hidden="1" thickBot="1" x14ac:dyDescent="0.25">
      <c r="A4" s="39" t="s">
        <v>1420</v>
      </c>
      <c r="B4" s="77" t="str">
        <f>UKG!BO4</f>
        <v>ZongJue</v>
      </c>
      <c r="D4" s="77" t="str">
        <f>UKG!BN4</f>
        <v>Wang</v>
      </c>
      <c r="E4" s="77" t="str">
        <f>UKG!D4</f>
        <v>206239</v>
      </c>
      <c r="F4" s="77" t="str">
        <f t="shared" si="0"/>
        <v>ZJWang@onebarnes.com.new.uat</v>
      </c>
      <c r="G4" s="18" t="s">
        <v>1427</v>
      </c>
      <c r="H4" s="77" t="str">
        <f>UKG!AQ4</f>
        <v>ZJWang@onebarnes.com</v>
      </c>
      <c r="I4" s="18" t="str">
        <f>IFERROR(VLOOKUP(J4,'Language Map'!M:O,3,FALSE),"en_US")</f>
        <v>zh_CN</v>
      </c>
      <c r="J4" s="77" t="str">
        <f>UKG!BF4</f>
        <v>CN</v>
      </c>
      <c r="L4" s="77" t="str">
        <f>IFERROR(VLOOKUP(UKG!BA4,'UKG Company Map'!B:G,7,FALSE),"Ledger Code Not Matched")</f>
        <v>Ledger Code Not Matched</v>
      </c>
      <c r="M4" s="18" t="str">
        <f>UKG!BH4</f>
        <v>CNY</v>
      </c>
      <c r="O4" s="18" t="str">
        <f>UKG!BJ4</f>
        <v>Y</v>
      </c>
      <c r="P4" s="18" t="str">
        <f>IFERROR(VLOOKUP(UKG!BA4,'UKG Company Map'!B:E,2,FALSE),"Org Unit 1 Not Mapped")</f>
        <v>0083</v>
      </c>
      <c r="Q4" s="77" t="str">
        <f>UKG!BB4</f>
        <v>0012</v>
      </c>
      <c r="W4" s="77" t="str">
        <f>UKG!Q4</f>
        <v>S11</v>
      </c>
      <c r="X4" s="18" t="str">
        <f>UKG!BC4</f>
        <v>Default</v>
      </c>
      <c r="Z4" s="18" t="str">
        <f>IFERROR(VLOOKUP(UKG!BA4,'UKG Company Map'!B:G,8,FALSE),"Custom 5 Not Matched")</f>
        <v>Custom 5 Not Matched</v>
      </c>
      <c r="AP4" s="18" t="str">
        <f>IFERROR(VLOOKUP(UKG!BA4,'UKG Company Map'!B:G,4,FALSE),"Custom 21 Exp Group Not Matched")</f>
        <v>0083</v>
      </c>
      <c r="BG4" s="77" t="str">
        <f>UKG!AZ4</f>
        <v>207588</v>
      </c>
      <c r="BK4" s="18" t="s">
        <v>1421</v>
      </c>
      <c r="BL4" s="18" t="s">
        <v>1421</v>
      </c>
      <c r="BU4" s="18" t="str">
        <f>UKG!BL4</f>
        <v>N</v>
      </c>
      <c r="BV4" s="18" t="str">
        <f>UKG!BL4</f>
        <v>N</v>
      </c>
      <c r="CE4" s="18" t="s">
        <v>1421</v>
      </c>
    </row>
    <row r="5" spans="1:137" ht="16" hidden="1" thickBot="1" x14ac:dyDescent="0.25">
      <c r="A5" s="39" t="s">
        <v>1420</v>
      </c>
      <c r="B5" s="77" t="str">
        <f>UKG!BO5</f>
        <v>Hao</v>
      </c>
      <c r="D5" s="77" t="str">
        <f>UKG!BN5</f>
        <v>Wu</v>
      </c>
      <c r="E5" s="77" t="str">
        <f>UKG!D5</f>
        <v>206240</v>
      </c>
      <c r="F5" s="77" t="str">
        <f t="shared" si="0"/>
        <v>hwu@onebarnes.com.new.uat</v>
      </c>
      <c r="G5" s="18" t="s">
        <v>1427</v>
      </c>
      <c r="H5" s="77" t="str">
        <f>UKG!AQ5</f>
        <v>hwu@onebarnes.com</v>
      </c>
      <c r="I5" s="18" t="str">
        <f>IFERROR(VLOOKUP(J5,'Language Map'!M:O,3,FALSE),"en_US")</f>
        <v>zh_CN</v>
      </c>
      <c r="J5" s="77" t="str">
        <f>UKG!BF5</f>
        <v>CN</v>
      </c>
      <c r="L5" s="77" t="str">
        <f>IFERROR(VLOOKUP(UKG!BA5,'UKG Company Map'!B:G,7,FALSE),"Ledger Code Not Matched")</f>
        <v>Ledger Code Not Matched</v>
      </c>
      <c r="M5" s="18" t="str">
        <f>UKG!BH5</f>
        <v>CNY</v>
      </c>
      <c r="O5" s="18" t="str">
        <f>UKG!BJ5</f>
        <v>Y</v>
      </c>
      <c r="P5" s="18" t="str">
        <f>IFERROR(VLOOKUP(UKG!BA5,'UKG Company Map'!B:E,2,FALSE),"Org Unit 1 Not Mapped")</f>
        <v>0083</v>
      </c>
      <c r="Q5" s="77" t="str">
        <f>UKG!BB5</f>
        <v>0012</v>
      </c>
      <c r="W5" s="77" t="str">
        <f>UKG!Q5</f>
        <v>S15</v>
      </c>
      <c r="X5" s="18" t="str">
        <f>UKG!BC5</f>
        <v>Default</v>
      </c>
      <c r="Z5" s="18" t="str">
        <f>IFERROR(VLOOKUP(UKG!BA5,'UKG Company Map'!B:G,8,FALSE),"Custom 5 Not Matched")</f>
        <v>Custom 5 Not Matched</v>
      </c>
      <c r="AP5" s="18" t="str">
        <f>IFERROR(VLOOKUP(UKG!BA5,'UKG Company Map'!B:G,4,FALSE),"Custom 21 Exp Group Not Matched")</f>
        <v>0083</v>
      </c>
      <c r="BG5" s="77" t="str">
        <f>UKG!AZ5</f>
        <v>206241</v>
      </c>
      <c r="BK5" s="18" t="s">
        <v>1421</v>
      </c>
      <c r="BL5" s="18" t="s">
        <v>1421</v>
      </c>
      <c r="BU5" s="18" t="str">
        <f>UKG!BL5</f>
        <v>N</v>
      </c>
      <c r="BV5" s="18" t="str">
        <f>UKG!BL5</f>
        <v>N</v>
      </c>
      <c r="CE5" s="18" t="s">
        <v>1421</v>
      </c>
    </row>
    <row r="6" spans="1:137" ht="16" hidden="1" thickBot="1" x14ac:dyDescent="0.25">
      <c r="A6" s="39" t="s">
        <v>1420</v>
      </c>
      <c r="B6" s="77" t="str">
        <f>UKG!BO6</f>
        <v>Shanhui</v>
      </c>
      <c r="D6" s="77" t="str">
        <f>UKG!BN6</f>
        <v>Xu</v>
      </c>
      <c r="E6" s="77" t="str">
        <f>UKG!D6</f>
        <v>206237</v>
      </c>
      <c r="F6" s="77" t="str">
        <f t="shared" si="0"/>
        <v>sxu2@onebarnes.com.new.uat</v>
      </c>
      <c r="G6" s="18" t="s">
        <v>1427</v>
      </c>
      <c r="H6" s="77" t="str">
        <f>UKG!AQ6</f>
        <v>sxu2@onebarnes.com</v>
      </c>
      <c r="I6" s="18" t="str">
        <f>IFERROR(VLOOKUP(J6,'Language Map'!M:O,3,FALSE),"en_US")</f>
        <v>zh_CN</v>
      </c>
      <c r="J6" s="77" t="str">
        <f>UKG!BF6</f>
        <v>CN</v>
      </c>
      <c r="L6" s="77" t="str">
        <f>IFERROR(VLOOKUP(UKG!BA6,'UKG Company Map'!B:G,7,FALSE),"Ledger Code Not Matched")</f>
        <v>Ledger Code Not Matched</v>
      </c>
      <c r="M6" s="18" t="str">
        <f>UKG!BH6</f>
        <v>CNY</v>
      </c>
      <c r="O6" s="18" t="str">
        <f>UKG!BJ6</f>
        <v>Y</v>
      </c>
      <c r="P6" s="18" t="str">
        <f>IFERROR(VLOOKUP(UKG!BA6,'UKG Company Map'!B:E,2,FALSE),"Org Unit 1 Not Mapped")</f>
        <v>0083</v>
      </c>
      <c r="Q6" s="77" t="str">
        <f>UKG!BB6</f>
        <v>0012</v>
      </c>
      <c r="W6" s="77" t="str">
        <f>UKG!Q6</f>
        <v>S12</v>
      </c>
      <c r="X6" s="18" t="str">
        <f>UKG!BC6</f>
        <v>Default</v>
      </c>
      <c r="Z6" s="18" t="str">
        <f>IFERROR(VLOOKUP(UKG!BA6,'UKG Company Map'!B:G,8,FALSE),"Custom 5 Not Matched")</f>
        <v>Custom 5 Not Matched</v>
      </c>
      <c r="AP6" s="18" t="str">
        <f>IFERROR(VLOOKUP(UKG!BA6,'UKG Company Map'!B:G,4,FALSE),"Custom 21 Exp Group Not Matched")</f>
        <v>0083</v>
      </c>
      <c r="BG6" s="77" t="str">
        <f>UKG!AZ6</f>
        <v>206241</v>
      </c>
      <c r="BK6" s="18" t="s">
        <v>1421</v>
      </c>
      <c r="BL6" s="18" t="s">
        <v>1421</v>
      </c>
      <c r="BU6" s="18" t="str">
        <f>UKG!BL6</f>
        <v>N</v>
      </c>
      <c r="BV6" s="18" t="str">
        <f>UKG!BL6</f>
        <v>N</v>
      </c>
      <c r="CE6" s="18" t="s">
        <v>1421</v>
      </c>
    </row>
    <row r="7" spans="1:137" ht="16" hidden="1" thickBot="1" x14ac:dyDescent="0.25">
      <c r="A7" s="39" t="s">
        <v>1420</v>
      </c>
      <c r="B7" s="77" t="str">
        <f>UKG!BO7</f>
        <v>Jiaqing</v>
      </c>
      <c r="D7" s="77" t="str">
        <f>UKG!BN7</f>
        <v>Zhu</v>
      </c>
      <c r="E7" s="77" t="str">
        <f>UKG!D7</f>
        <v>206236</v>
      </c>
      <c r="F7" s="77" t="str">
        <f t="shared" si="0"/>
        <v>jzhu@onebarnes.com.new.uat</v>
      </c>
      <c r="G7" s="18" t="s">
        <v>1427</v>
      </c>
      <c r="H7" s="77" t="str">
        <f>UKG!AQ7</f>
        <v>jzhu@onebarnes.com</v>
      </c>
      <c r="I7" s="18" t="str">
        <f>IFERROR(VLOOKUP(J7,'Language Map'!M:O,3,FALSE),"en_US")</f>
        <v>zh_CN</v>
      </c>
      <c r="J7" s="77" t="str">
        <f>UKG!BF7</f>
        <v>CN</v>
      </c>
      <c r="L7" s="77" t="str">
        <f>IFERROR(VLOOKUP(UKG!BA7,'UKG Company Map'!B:G,7,FALSE),"Ledger Code Not Matched")</f>
        <v>Ledger Code Not Matched</v>
      </c>
      <c r="M7" s="18" t="str">
        <f>UKG!BH7</f>
        <v>CNY</v>
      </c>
      <c r="O7" s="18" t="str">
        <f>UKG!BJ7</f>
        <v>Y</v>
      </c>
      <c r="P7" s="18" t="str">
        <f>IFERROR(VLOOKUP(UKG!BA7,'UKG Company Map'!B:E,2,FALSE),"Org Unit 1 Not Mapped")</f>
        <v>0083</v>
      </c>
      <c r="Q7" s="77" t="str">
        <f>UKG!BB7</f>
        <v>0012</v>
      </c>
      <c r="W7" s="77" t="str">
        <f>UKG!Q7</f>
        <v>S13</v>
      </c>
      <c r="X7" s="18" t="str">
        <f>UKG!BC7</f>
        <v>Default</v>
      </c>
      <c r="Z7" s="18" t="str">
        <f>IFERROR(VLOOKUP(UKG!BA7,'UKG Company Map'!B:G,8,FALSE),"Custom 5 Not Matched")</f>
        <v>Custom 5 Not Matched</v>
      </c>
      <c r="AP7" s="18" t="str">
        <f>IFERROR(VLOOKUP(UKG!BA7,'UKG Company Map'!B:G,4,FALSE),"Custom 21 Exp Group Not Matched")</f>
        <v>0083</v>
      </c>
      <c r="BG7" s="77" t="str">
        <f>UKG!AZ7</f>
        <v>206241</v>
      </c>
      <c r="BK7" s="18" t="s">
        <v>1421</v>
      </c>
      <c r="BL7" s="18" t="s">
        <v>1421</v>
      </c>
      <c r="BU7" s="18" t="str">
        <f>UKG!BL7</f>
        <v>N</v>
      </c>
      <c r="BV7" s="18" t="str">
        <f>UKG!BL7</f>
        <v>N</v>
      </c>
      <c r="CE7" s="18" t="s">
        <v>1421</v>
      </c>
    </row>
    <row r="8" spans="1:137" ht="16" hidden="1" thickBot="1" x14ac:dyDescent="0.25">
      <c r="A8" s="39" t="s">
        <v>1420</v>
      </c>
      <c r="B8" s="77" t="str">
        <f>UKG!BO8</f>
        <v>Yingying</v>
      </c>
      <c r="D8" s="77" t="str">
        <f>UKG!BN8</f>
        <v>Cui</v>
      </c>
      <c r="E8" s="77" t="str">
        <f>UKG!D8</f>
        <v>204862</v>
      </c>
      <c r="F8" s="77" t="str">
        <f t="shared" si="0"/>
        <v>Ycui@onebarnes.com.new.uat</v>
      </c>
      <c r="G8" s="18" t="s">
        <v>1427</v>
      </c>
      <c r="H8" s="77" t="str">
        <f>UKG!AQ8</f>
        <v>Ycui@onebarnes.com</v>
      </c>
      <c r="I8" s="18" t="str">
        <f>IFERROR(VLOOKUP(J8,'Language Map'!M:O,3,FALSE),"en_US")</f>
        <v>zh_CN</v>
      </c>
      <c r="J8" s="77" t="str">
        <f>UKG!BF8</f>
        <v>CN</v>
      </c>
      <c r="L8" s="77" t="str">
        <f>IFERROR(VLOOKUP(UKG!BA8,'UKG Company Map'!B:G,7,FALSE),"Ledger Code Not Matched")</f>
        <v>Ledger Code Not Matched</v>
      </c>
      <c r="M8" s="18" t="str">
        <f>UKG!BH8</f>
        <v>CNY</v>
      </c>
      <c r="O8" s="18" t="str">
        <f>UKG!BJ8</f>
        <v>Y</v>
      </c>
      <c r="P8" s="18" t="str">
        <f>IFERROR(VLOOKUP(UKG!BA8,'UKG Company Map'!B:E,2,FALSE),"Org Unit 1 Not Mapped")</f>
        <v>0079</v>
      </c>
      <c r="Q8" s="77" t="str">
        <f>UKG!BB8</f>
        <v>900</v>
      </c>
      <c r="W8" s="77" t="str">
        <f>UKG!Q8</f>
        <v>S10</v>
      </c>
      <c r="X8" s="18" t="str">
        <f>UKG!BC8</f>
        <v>Default</v>
      </c>
      <c r="Z8" s="18" t="str">
        <f>IFERROR(VLOOKUP(UKG!BA8,'UKG Company Map'!B:G,8,FALSE),"Custom 5 Not Matched")</f>
        <v>Custom 5 Not Matched</v>
      </c>
      <c r="AP8" s="18" t="str">
        <f>IFERROR(VLOOKUP(UKG!BA8,'UKG Company Map'!B:G,4,FALSE),"Custom 21 Exp Group Not Matched")</f>
        <v>0079</v>
      </c>
      <c r="BG8" s="77" t="str">
        <f>UKG!AZ8</f>
        <v>204859</v>
      </c>
      <c r="BK8" s="18" t="s">
        <v>1421</v>
      </c>
      <c r="BL8" s="18" t="s">
        <v>1421</v>
      </c>
      <c r="BU8" s="18" t="str">
        <f>UKG!BL8</f>
        <v>N</v>
      </c>
      <c r="BV8" s="18" t="str">
        <f>UKG!BL8</f>
        <v>N</v>
      </c>
      <c r="CE8" s="18" t="s">
        <v>1421</v>
      </c>
    </row>
    <row r="9" spans="1:137" ht="16" hidden="1" thickBot="1" x14ac:dyDescent="0.25">
      <c r="A9" s="39" t="s">
        <v>1420</v>
      </c>
      <c r="B9" s="77" t="str">
        <f>UKG!BO9</f>
        <v>Fang</v>
      </c>
      <c r="D9" s="77" t="str">
        <f>UKG!BN9</f>
        <v>Dong</v>
      </c>
      <c r="E9" s="77" t="str">
        <f>UKG!D9</f>
        <v>204869</v>
      </c>
      <c r="F9" s="77" t="str">
        <f t="shared" si="0"/>
        <v>fadong@onebarnes.com.new.uat</v>
      </c>
      <c r="G9" s="18" t="s">
        <v>1427</v>
      </c>
      <c r="H9" s="77" t="str">
        <f>UKG!AQ9</f>
        <v>fadong@onebarnes.com</v>
      </c>
      <c r="I9" s="18" t="str">
        <f>IFERROR(VLOOKUP(J9,'Language Map'!M:O,3,FALSE),"en_US")</f>
        <v>zh_CN</v>
      </c>
      <c r="J9" s="77" t="str">
        <f>UKG!BF9</f>
        <v>CN</v>
      </c>
      <c r="L9" s="77" t="str">
        <f>IFERROR(VLOOKUP(UKG!BA9,'UKG Company Map'!B:G,7,FALSE),"Ledger Code Not Matched")</f>
        <v>Ledger Code Not Matched</v>
      </c>
      <c r="M9" s="18" t="str">
        <f>UKG!BH9</f>
        <v>CNY</v>
      </c>
      <c r="O9" s="18" t="str">
        <f>UKG!BJ9</f>
        <v>Y</v>
      </c>
      <c r="P9" s="18" t="str">
        <f>IFERROR(VLOOKUP(UKG!BA9,'UKG Company Map'!B:E,2,FALSE),"Org Unit 1 Not Mapped")</f>
        <v>0079</v>
      </c>
      <c r="Q9" s="77" t="str">
        <f>UKG!BB9</f>
        <v>500</v>
      </c>
      <c r="W9" s="77" t="str">
        <f>UKG!Q9</f>
        <v>S13</v>
      </c>
      <c r="X9" s="18" t="str">
        <f>UKG!BC9</f>
        <v>Default</v>
      </c>
      <c r="Z9" s="18" t="str">
        <f>IFERROR(VLOOKUP(UKG!BA9,'UKG Company Map'!B:G,8,FALSE),"Custom 5 Not Matched")</f>
        <v>Custom 5 Not Matched</v>
      </c>
      <c r="AP9" s="18" t="str">
        <f>IFERROR(VLOOKUP(UKG!BA9,'UKG Company Map'!B:G,4,FALSE),"Custom 21 Exp Group Not Matched")</f>
        <v>0079</v>
      </c>
      <c r="BG9" s="77" t="str">
        <f>UKG!AZ9</f>
        <v>204854</v>
      </c>
      <c r="BK9" s="18" t="s">
        <v>1421</v>
      </c>
      <c r="BL9" s="18" t="s">
        <v>1421</v>
      </c>
      <c r="BU9" s="18" t="str">
        <f>UKG!BL9</f>
        <v>N</v>
      </c>
      <c r="BV9" s="18" t="str">
        <f>UKG!BL9</f>
        <v>N</v>
      </c>
      <c r="CE9" s="18" t="s">
        <v>1421</v>
      </c>
    </row>
    <row r="10" spans="1:137" ht="16" hidden="1" thickBot="1" x14ac:dyDescent="0.25">
      <c r="A10" s="39" t="s">
        <v>1420</v>
      </c>
      <c r="B10" s="77" t="str">
        <f>UKG!BO10</f>
        <v>Fengyue</v>
      </c>
      <c r="D10" s="77" t="str">
        <f>UKG!BN10</f>
        <v>Guo</v>
      </c>
      <c r="E10" s="77" t="str">
        <f>UKG!D10</f>
        <v>207493</v>
      </c>
      <c r="F10" s="77" t="str">
        <f t="shared" si="0"/>
        <v>FGuo@onebarnes.com.new.uat</v>
      </c>
      <c r="G10" s="18" t="s">
        <v>1427</v>
      </c>
      <c r="H10" s="77" t="str">
        <f>UKG!AQ10</f>
        <v>FGuo@onebarnes.com</v>
      </c>
      <c r="I10" s="18" t="str">
        <f>IFERROR(VLOOKUP(J10,'Language Map'!M:O,3,FALSE),"en_US")</f>
        <v>zh_CN</v>
      </c>
      <c r="J10" s="77" t="str">
        <f>UKG!BF10</f>
        <v>CN</v>
      </c>
      <c r="L10" s="77" t="str">
        <f>IFERROR(VLOOKUP(UKG!BA10,'UKG Company Map'!B:G,7,FALSE),"Ledger Code Not Matched")</f>
        <v>Ledger Code Not Matched</v>
      </c>
      <c r="M10" s="18" t="str">
        <f>UKG!BH10</f>
        <v>CNY</v>
      </c>
      <c r="O10" s="18" t="str">
        <f>UKG!BJ10</f>
        <v>Y</v>
      </c>
      <c r="P10" s="18" t="str">
        <f>IFERROR(VLOOKUP(UKG!BA10,'UKG Company Map'!B:E,2,FALSE),"Org Unit 1 Not Mapped")</f>
        <v>0079</v>
      </c>
      <c r="Q10" s="77" t="str">
        <f>UKG!BB10</f>
        <v>500</v>
      </c>
      <c r="W10" s="77" t="str">
        <f>UKG!Q10</f>
        <v>S06</v>
      </c>
      <c r="X10" s="18" t="str">
        <f>UKG!BC10</f>
        <v>Default</v>
      </c>
      <c r="Z10" s="18" t="str">
        <f>IFERROR(VLOOKUP(UKG!BA10,'UKG Company Map'!B:G,8,FALSE),"Custom 5 Not Matched")</f>
        <v>Custom 5 Not Matched</v>
      </c>
      <c r="AP10" s="18" t="str">
        <f>IFERROR(VLOOKUP(UKG!BA10,'UKG Company Map'!B:G,4,FALSE),"Custom 21 Exp Group Not Matched")</f>
        <v>0079</v>
      </c>
      <c r="BG10" s="77" t="str">
        <f>UKG!AZ10</f>
        <v>204379</v>
      </c>
      <c r="BK10" s="18" t="s">
        <v>1421</v>
      </c>
      <c r="BL10" s="18" t="s">
        <v>1421</v>
      </c>
      <c r="BU10" s="18" t="str">
        <f>UKG!BL10</f>
        <v>N</v>
      </c>
      <c r="BV10" s="18" t="str">
        <f>UKG!BL10</f>
        <v>N</v>
      </c>
      <c r="CE10" s="18" t="s">
        <v>1421</v>
      </c>
    </row>
    <row r="11" spans="1:137" ht="16" hidden="1" thickBot="1" x14ac:dyDescent="0.25">
      <c r="A11" s="39" t="s">
        <v>1420</v>
      </c>
      <c r="B11" s="77" t="str">
        <f>UKG!BO11</f>
        <v>Puwen</v>
      </c>
      <c r="D11" s="77" t="str">
        <f>UKG!BN11</f>
        <v>Hou</v>
      </c>
      <c r="E11" s="77" t="str">
        <f>UKG!D11</f>
        <v>204856</v>
      </c>
      <c r="F11" s="77" t="str">
        <f t="shared" si="0"/>
        <v>PHou@onebarnes.com.new.uat</v>
      </c>
      <c r="G11" s="18" t="s">
        <v>1427</v>
      </c>
      <c r="H11" s="77" t="str">
        <f>UKG!AQ11</f>
        <v>PHou@onebarnes.com</v>
      </c>
      <c r="I11" s="18" t="str">
        <f>IFERROR(VLOOKUP(J11,'Language Map'!M:O,3,FALSE),"en_US")</f>
        <v>zh_CN</v>
      </c>
      <c r="J11" s="77" t="str">
        <f>UKG!BF11</f>
        <v>CN</v>
      </c>
      <c r="L11" s="77" t="str">
        <f>IFERROR(VLOOKUP(UKG!BA11,'UKG Company Map'!B:G,7,FALSE),"Ledger Code Not Matched")</f>
        <v>Ledger Code Not Matched</v>
      </c>
      <c r="M11" s="18" t="str">
        <f>UKG!BH11</f>
        <v>CNY</v>
      </c>
      <c r="O11" s="18" t="str">
        <f>UKG!BJ11</f>
        <v>Y</v>
      </c>
      <c r="P11" s="18" t="str">
        <f>IFERROR(VLOOKUP(UKG!BA11,'UKG Company Map'!B:E,2,FALSE),"Org Unit 1 Not Mapped")</f>
        <v>0079</v>
      </c>
      <c r="Q11" s="77" t="str">
        <f>UKG!BB11</f>
        <v>500</v>
      </c>
      <c r="W11" s="77" t="str">
        <f>UKG!Q11</f>
        <v>S14</v>
      </c>
      <c r="X11" s="18" t="str">
        <f>UKG!BC11</f>
        <v>Default</v>
      </c>
      <c r="Z11" s="18" t="str">
        <f>IFERROR(VLOOKUP(UKG!BA11,'UKG Company Map'!B:G,8,FALSE),"Custom 5 Not Matched")</f>
        <v>Custom 5 Not Matched</v>
      </c>
      <c r="AP11" s="18" t="str">
        <f>IFERROR(VLOOKUP(UKG!BA11,'UKG Company Map'!B:G,4,FALSE),"Custom 21 Exp Group Not Matched")</f>
        <v>0079</v>
      </c>
      <c r="BG11" s="77" t="str">
        <f>UKG!AZ11</f>
        <v>204854</v>
      </c>
      <c r="BK11" s="18" t="s">
        <v>1421</v>
      </c>
      <c r="BL11" s="18" t="s">
        <v>1421</v>
      </c>
      <c r="BU11" s="18" t="str">
        <f>UKG!BL11</f>
        <v>N</v>
      </c>
      <c r="BV11" s="18" t="str">
        <f>UKG!BL11</f>
        <v>N</v>
      </c>
      <c r="CE11" s="18" t="s">
        <v>1421</v>
      </c>
    </row>
    <row r="12" spans="1:137" ht="16" hidden="1" thickBot="1" x14ac:dyDescent="0.25">
      <c r="A12" s="39" t="s">
        <v>1420</v>
      </c>
      <c r="B12" s="77" t="str">
        <f>UKG!BO12</f>
        <v>Yifan</v>
      </c>
      <c r="D12" s="77" t="str">
        <f>UKG!BN12</f>
        <v>Hou</v>
      </c>
      <c r="E12" s="77" t="str">
        <f>UKG!D12</f>
        <v>204877</v>
      </c>
      <c r="F12" s="77" t="str">
        <f t="shared" si="0"/>
        <v>YHou@onebarnes.com.new.uat</v>
      </c>
      <c r="G12" s="18" t="s">
        <v>1427</v>
      </c>
      <c r="H12" s="77" t="str">
        <f>UKG!AQ12</f>
        <v>YHou@onebarnes.com</v>
      </c>
      <c r="I12" s="18" t="str">
        <f>IFERROR(VLOOKUP(J12,'Language Map'!M:O,3,FALSE),"en_US")</f>
        <v>zh_CN</v>
      </c>
      <c r="J12" s="77" t="str">
        <f>UKG!BF12</f>
        <v>CN</v>
      </c>
      <c r="L12" s="77" t="str">
        <f>IFERROR(VLOOKUP(UKG!BA12,'UKG Company Map'!B:G,7,FALSE),"Ledger Code Not Matched")</f>
        <v>Ledger Code Not Matched</v>
      </c>
      <c r="M12" s="18" t="str">
        <f>UKG!BH12</f>
        <v>CNY</v>
      </c>
      <c r="O12" s="18" t="str">
        <f>UKG!BJ12</f>
        <v>Y</v>
      </c>
      <c r="P12" s="18" t="str">
        <f>IFERROR(VLOOKUP(UKG!BA12,'UKG Company Map'!B:E,2,FALSE),"Org Unit 1 Not Mapped")</f>
        <v>0079</v>
      </c>
      <c r="Q12" s="77" t="str">
        <f>UKG!BB12</f>
        <v>500</v>
      </c>
      <c r="W12" s="77" t="str">
        <f>UKG!Q12</f>
        <v>S10</v>
      </c>
      <c r="X12" s="18" t="str">
        <f>UKG!BC12</f>
        <v>Default</v>
      </c>
      <c r="Z12" s="18" t="str">
        <f>IFERROR(VLOOKUP(UKG!BA12,'UKG Company Map'!B:G,8,FALSE),"Custom 5 Not Matched")</f>
        <v>Custom 5 Not Matched</v>
      </c>
      <c r="AP12" s="18" t="str">
        <f>IFERROR(VLOOKUP(UKG!BA12,'UKG Company Map'!B:G,4,FALSE),"Custom 21 Exp Group Not Matched")</f>
        <v>0079</v>
      </c>
      <c r="BG12" s="77" t="str">
        <f>UKG!AZ12</f>
        <v>204856</v>
      </c>
      <c r="BK12" s="18" t="s">
        <v>1421</v>
      </c>
      <c r="BL12" s="18" t="s">
        <v>1421</v>
      </c>
      <c r="BU12" s="18" t="str">
        <f>UKG!BL12</f>
        <v>N</v>
      </c>
      <c r="BV12" s="18" t="str">
        <f>UKG!BL12</f>
        <v>N</v>
      </c>
      <c r="CE12" s="18" t="s">
        <v>1421</v>
      </c>
    </row>
    <row r="13" spans="1:137" ht="16" hidden="1" thickBot="1" x14ac:dyDescent="0.25">
      <c r="A13" s="39" t="s">
        <v>1420</v>
      </c>
      <c r="B13" s="77" t="str">
        <f>UKG!BO13</f>
        <v>Juntao</v>
      </c>
      <c r="D13" s="77" t="str">
        <f>UKG!BN13</f>
        <v>Hu</v>
      </c>
      <c r="E13" s="77" t="str">
        <f>UKG!D13</f>
        <v>204853</v>
      </c>
      <c r="F13" s="77" t="str">
        <f t="shared" si="0"/>
        <v>juntao.hu@asbg.com.cn.new.uat</v>
      </c>
      <c r="G13" s="18" t="s">
        <v>1427</v>
      </c>
      <c r="H13" s="77" t="str">
        <f>UKG!AQ13</f>
        <v>juntao.hu@asbg.com.cn</v>
      </c>
      <c r="I13" s="18" t="str">
        <f>IFERROR(VLOOKUP(J13,'Language Map'!M:O,3,FALSE),"en_US")</f>
        <v>zh_CN</v>
      </c>
      <c r="J13" s="77" t="str">
        <f>UKG!BF13</f>
        <v>CN</v>
      </c>
      <c r="L13" s="77" t="str">
        <f>IFERROR(VLOOKUP(UKG!BA13,'UKG Company Map'!B:G,7,FALSE),"Ledger Code Not Matched")</f>
        <v>Ledger Code Not Matched</v>
      </c>
      <c r="M13" s="18" t="str">
        <f>UKG!BH13</f>
        <v>CNY</v>
      </c>
      <c r="O13" s="18" t="str">
        <f>UKG!BJ13</f>
        <v>Y</v>
      </c>
      <c r="P13" s="18" t="str">
        <f>IFERROR(VLOOKUP(UKG!BA13,'UKG Company Map'!B:E,2,FALSE),"Org Unit 1 Not Mapped")</f>
        <v>0079</v>
      </c>
      <c r="Q13" s="77" t="str">
        <f>UKG!BB13</f>
        <v>900</v>
      </c>
      <c r="W13" s="77" t="str">
        <f>UKG!Q13</f>
        <v>S17</v>
      </c>
      <c r="X13" s="18" t="str">
        <f>UKG!BC13</f>
        <v>Default</v>
      </c>
      <c r="Z13" s="18" t="str">
        <f>IFERROR(VLOOKUP(UKG!BA13,'UKG Company Map'!B:G,8,FALSE),"Custom 5 Not Matched")</f>
        <v>Custom 5 Not Matched</v>
      </c>
      <c r="AP13" s="18" t="str">
        <f>IFERROR(VLOOKUP(UKG!BA13,'UKG Company Map'!B:G,4,FALSE),"Custom 21 Exp Group Not Matched")</f>
        <v>0079</v>
      </c>
      <c r="BG13" s="77" t="str">
        <f>UKG!AZ13</f>
        <v>205389</v>
      </c>
      <c r="BK13" s="18" t="s">
        <v>1421</v>
      </c>
      <c r="BL13" s="18" t="s">
        <v>1421</v>
      </c>
      <c r="BU13" s="18" t="str">
        <f>UKG!BL13</f>
        <v>N</v>
      </c>
      <c r="BV13" s="18" t="str">
        <f>UKG!BL13</f>
        <v>N</v>
      </c>
      <c r="CE13" s="18" t="s">
        <v>1421</v>
      </c>
    </row>
    <row r="14" spans="1:137" ht="16" hidden="1" thickBot="1" x14ac:dyDescent="0.25">
      <c r="A14" s="39" t="s">
        <v>1420</v>
      </c>
      <c r="B14" s="77" t="str">
        <f>UKG!BO14</f>
        <v>Man</v>
      </c>
      <c r="D14" s="77" t="str">
        <f>UKG!BN14</f>
        <v>Li</v>
      </c>
      <c r="E14" s="77" t="str">
        <f>UKG!D14</f>
        <v>204382</v>
      </c>
      <c r="F14" s="77" t="str">
        <f t="shared" si="0"/>
        <v>MLi@onebarnes.com.new.uat</v>
      </c>
      <c r="G14" s="18" t="s">
        <v>1427</v>
      </c>
      <c r="H14" s="77" t="str">
        <f>UKG!AQ14</f>
        <v>MLi@onebarnes.com</v>
      </c>
      <c r="I14" s="18" t="str">
        <f>IFERROR(VLOOKUP(J14,'Language Map'!M:O,3,FALSE),"en_US")</f>
        <v>zh_CN</v>
      </c>
      <c r="J14" s="77" t="str">
        <f>UKG!BF14</f>
        <v>CN</v>
      </c>
      <c r="L14" s="77" t="str">
        <f>IFERROR(VLOOKUP(UKG!BA14,'UKG Company Map'!B:G,7,FALSE),"Ledger Code Not Matched")</f>
        <v>Ledger Code Not Matched</v>
      </c>
      <c r="M14" s="18" t="str">
        <f>UKG!BH14</f>
        <v>CNY</v>
      </c>
      <c r="O14" s="18" t="str">
        <f>UKG!BJ14</f>
        <v>Y</v>
      </c>
      <c r="P14" s="18" t="str">
        <f>IFERROR(VLOOKUP(UKG!BA14,'UKG Company Map'!B:E,2,FALSE),"Org Unit 1 Not Mapped")</f>
        <v>0079</v>
      </c>
      <c r="Q14" s="77" t="str">
        <f>UKG!BB14</f>
        <v>500</v>
      </c>
      <c r="W14" s="77" t="str">
        <f>UKG!Q14</f>
        <v>S06</v>
      </c>
      <c r="X14" s="18" t="str">
        <f>UKG!BC14</f>
        <v>Default</v>
      </c>
      <c r="Z14" s="18" t="str">
        <f>IFERROR(VLOOKUP(UKG!BA14,'UKG Company Map'!B:G,8,FALSE),"Custom 5 Not Matched")</f>
        <v>Custom 5 Not Matched</v>
      </c>
      <c r="AP14" s="18" t="str">
        <f>IFERROR(VLOOKUP(UKG!BA14,'UKG Company Map'!B:G,4,FALSE),"Custom 21 Exp Group Not Matched")</f>
        <v>0079</v>
      </c>
      <c r="BG14" s="77" t="str">
        <f>UKG!AZ14</f>
        <v>204380</v>
      </c>
      <c r="BK14" s="18" t="s">
        <v>1421</v>
      </c>
      <c r="BL14" s="18" t="s">
        <v>1421</v>
      </c>
      <c r="BU14" s="18" t="str">
        <f>UKG!BL14</f>
        <v>N</v>
      </c>
      <c r="BV14" s="18" t="str">
        <f>UKG!BL14</f>
        <v>N</v>
      </c>
      <c r="CE14" s="18" t="s">
        <v>1421</v>
      </c>
    </row>
    <row r="15" spans="1:137" ht="16" hidden="1" thickBot="1" x14ac:dyDescent="0.25">
      <c r="A15" s="39" t="s">
        <v>1420</v>
      </c>
      <c r="B15" s="77" t="str">
        <f>UKG!BO15</f>
        <v>Meining</v>
      </c>
      <c r="D15" s="77" t="str">
        <f>UKG!BN15</f>
        <v>Liu</v>
      </c>
      <c r="E15" s="77" t="str">
        <f>UKG!D15</f>
        <v>204381</v>
      </c>
      <c r="F15" s="77" t="str">
        <f t="shared" si="0"/>
        <v>meliu@onebarnes.com.new.uat</v>
      </c>
      <c r="G15" s="18" t="s">
        <v>1427</v>
      </c>
      <c r="H15" s="77" t="str">
        <f>UKG!AQ15</f>
        <v>meliu@onebarnes.com</v>
      </c>
      <c r="I15" s="18" t="str">
        <f>IFERROR(VLOOKUP(J15,'Language Map'!M:O,3,FALSE),"en_US")</f>
        <v>zh_CN</v>
      </c>
      <c r="J15" s="77" t="str">
        <f>UKG!BF15</f>
        <v>CN</v>
      </c>
      <c r="L15" s="77" t="str">
        <f>IFERROR(VLOOKUP(UKG!BA15,'UKG Company Map'!B:G,7,FALSE),"Ledger Code Not Matched")</f>
        <v>Ledger Code Not Matched</v>
      </c>
      <c r="M15" s="18" t="str">
        <f>UKG!BH15</f>
        <v>CNY</v>
      </c>
      <c r="O15" s="18" t="str">
        <f>UKG!BJ15</f>
        <v>Y</v>
      </c>
      <c r="P15" s="18" t="str">
        <f>IFERROR(VLOOKUP(UKG!BA15,'UKG Company Map'!B:E,2,FALSE),"Org Unit 1 Not Mapped")</f>
        <v>0079</v>
      </c>
      <c r="Q15" s="77" t="str">
        <f>UKG!BB15</f>
        <v>500</v>
      </c>
      <c r="W15" s="77" t="str">
        <f>UKG!Q15</f>
        <v>S06</v>
      </c>
      <c r="X15" s="18" t="str">
        <f>UKG!BC15</f>
        <v>Default</v>
      </c>
      <c r="Z15" s="18" t="str">
        <f>IFERROR(VLOOKUP(UKG!BA15,'UKG Company Map'!B:G,8,FALSE),"Custom 5 Not Matched")</f>
        <v>Custom 5 Not Matched</v>
      </c>
      <c r="AP15" s="18" t="str">
        <f>IFERROR(VLOOKUP(UKG!BA15,'UKG Company Map'!B:G,4,FALSE),"Custom 21 Exp Group Not Matched")</f>
        <v>0079</v>
      </c>
      <c r="BG15" s="77" t="str">
        <f>UKG!AZ15</f>
        <v>204380</v>
      </c>
      <c r="BK15" s="18" t="s">
        <v>1421</v>
      </c>
      <c r="BL15" s="18" t="s">
        <v>1421</v>
      </c>
      <c r="BU15" s="18" t="str">
        <f>UKG!BL15</f>
        <v>N</v>
      </c>
      <c r="BV15" s="18" t="str">
        <f>UKG!BL15</f>
        <v>N</v>
      </c>
      <c r="CE15" s="18" t="s">
        <v>1421</v>
      </c>
    </row>
    <row r="16" spans="1:137" ht="16" hidden="1" thickBot="1" x14ac:dyDescent="0.25">
      <c r="A16" s="39" t="s">
        <v>1420</v>
      </c>
      <c r="B16" s="77" t="str">
        <f>UKG!BO16</f>
        <v>Xiaoqin</v>
      </c>
      <c r="D16" s="77" t="str">
        <f>UKG!BN16</f>
        <v>Liu</v>
      </c>
      <c r="E16" s="77" t="str">
        <f>UKG!D16</f>
        <v>204378</v>
      </c>
      <c r="F16" s="77" t="str">
        <f t="shared" si="0"/>
        <v>lliu@onebarnes.com.new.uat</v>
      </c>
      <c r="G16" s="18" t="s">
        <v>1427</v>
      </c>
      <c r="H16" s="77" t="str">
        <f>UKG!AQ16</f>
        <v>lliu@onebarnes.com</v>
      </c>
      <c r="I16" s="18" t="str">
        <f>IFERROR(VLOOKUP(J16,'Language Map'!M:O,3,FALSE),"en_US")</f>
        <v>zh_CN</v>
      </c>
      <c r="J16" s="77" t="str">
        <f>UKG!BF16</f>
        <v>CN</v>
      </c>
      <c r="L16" s="77" t="str">
        <f>IFERROR(VLOOKUP(UKG!BA16,'UKG Company Map'!B:G,7,FALSE),"Ledger Code Not Matched")</f>
        <v>Ledger Code Not Matched</v>
      </c>
      <c r="M16" s="18" t="str">
        <f>UKG!BH16</f>
        <v>CNY</v>
      </c>
      <c r="O16" s="18" t="str">
        <f>UKG!BJ16</f>
        <v>Y</v>
      </c>
      <c r="P16" s="18" t="str">
        <f>IFERROR(VLOOKUP(UKG!BA16,'UKG Company Map'!B:E,2,FALSE),"Org Unit 1 Not Mapped")</f>
        <v>0079</v>
      </c>
      <c r="Q16" s="77" t="str">
        <f>UKG!BB16</f>
        <v>500</v>
      </c>
      <c r="W16" s="77" t="str">
        <f>UKG!Q16</f>
        <v>S06</v>
      </c>
      <c r="X16" s="18" t="str">
        <f>UKG!BC16</f>
        <v>Default</v>
      </c>
      <c r="Z16" s="18" t="str">
        <f>IFERROR(VLOOKUP(UKG!BA16,'UKG Company Map'!B:G,8,FALSE),"Custom 5 Not Matched")</f>
        <v>Custom 5 Not Matched</v>
      </c>
      <c r="AP16" s="18" t="str">
        <f>IFERROR(VLOOKUP(UKG!BA16,'UKG Company Map'!B:G,4,FALSE),"Custom 21 Exp Group Not Matched")</f>
        <v>0079</v>
      </c>
      <c r="BG16" s="77" t="str">
        <f>UKG!AZ16</f>
        <v>204380</v>
      </c>
      <c r="BK16" s="18" t="s">
        <v>1421</v>
      </c>
      <c r="BL16" s="18" t="s">
        <v>1421</v>
      </c>
      <c r="BU16" s="18" t="str">
        <f>UKG!BL16</f>
        <v>N</v>
      </c>
      <c r="BV16" s="18" t="str">
        <f>UKG!BL16</f>
        <v>N</v>
      </c>
      <c r="CE16" s="18" t="s">
        <v>1421</v>
      </c>
    </row>
    <row r="17" spans="1:137" s="52" customFormat="1" ht="16" hidden="1" thickBot="1" x14ac:dyDescent="0.25">
      <c r="A17" s="39" t="s">
        <v>1420</v>
      </c>
      <c r="B17" s="77" t="str">
        <f>UKG!BO17</f>
        <v>Yuanyuan</v>
      </c>
      <c r="C17" s="18"/>
      <c r="D17" s="77" t="str">
        <f>UKG!BN17</f>
        <v>Lu</v>
      </c>
      <c r="E17" s="77" t="str">
        <f>UKG!D17</f>
        <v>206559</v>
      </c>
      <c r="F17" s="77" t="str">
        <f t="shared" si="0"/>
        <v>YLu@onebarnes.com.new.uat</v>
      </c>
      <c r="G17" s="18" t="s">
        <v>1427</v>
      </c>
      <c r="H17" s="77" t="str">
        <f>UKG!AQ17</f>
        <v>YLu@onebarnes.com</v>
      </c>
      <c r="I17" s="18" t="str">
        <f>IFERROR(VLOOKUP(J17,'Language Map'!M:O,3,FALSE),"en_US")</f>
        <v>zh_CN</v>
      </c>
      <c r="J17" s="77" t="str">
        <f>UKG!BF17</f>
        <v>CN</v>
      </c>
      <c r="K17" s="18"/>
      <c r="L17" s="77" t="str">
        <f>IFERROR(VLOOKUP(UKG!BA17,'UKG Company Map'!B:G,7,FALSE),"Ledger Code Not Matched")</f>
        <v>Ledger Code Not Matched</v>
      </c>
      <c r="M17" s="18" t="str">
        <f>UKG!BH17</f>
        <v>CNY</v>
      </c>
      <c r="N17" s="18"/>
      <c r="O17" s="18" t="str">
        <f>UKG!BJ17</f>
        <v>Y</v>
      </c>
      <c r="P17" s="18" t="str">
        <f>IFERROR(VLOOKUP(UKG!BA17,'UKG Company Map'!B:E,2,FALSE),"Org Unit 1 Not Mapped")</f>
        <v>0079</v>
      </c>
      <c r="Q17" s="77" t="str">
        <f>UKG!BB17</f>
        <v>900</v>
      </c>
      <c r="R17" s="18"/>
      <c r="S17" s="18"/>
      <c r="T17" s="18"/>
      <c r="U17" s="18"/>
      <c r="V17" s="18"/>
      <c r="W17" s="77" t="str">
        <f>UKG!Q17</f>
        <v>S06</v>
      </c>
      <c r="X17" s="18" t="str">
        <f>UKG!BC17</f>
        <v>Default</v>
      </c>
      <c r="Y17" s="18"/>
      <c r="Z17" s="18" t="str">
        <f>IFERROR(VLOOKUP(UKG!BA17,'UKG Company Map'!B:G,8,FALSE),"Custom 5 Not Matched")</f>
        <v>Custom 5 Not Matched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>IFERROR(VLOOKUP(UKG!BA17,'UKG Company Map'!B:G,4,FALSE),"Custom 21 Exp Group Not Matched")</f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77" t="str">
        <f>UKG!AZ17</f>
        <v>204853</v>
      </c>
      <c r="BH17" s="18"/>
      <c r="BI17" s="18"/>
      <c r="BJ17" s="18"/>
      <c r="BK17" s="18" t="s">
        <v>1421</v>
      </c>
      <c r="BL17" s="18" t="s">
        <v>1421</v>
      </c>
      <c r="BM17" s="18"/>
      <c r="BN17" s="18"/>
      <c r="BO17" s="18"/>
      <c r="BP17" s="18"/>
      <c r="BQ17" s="18"/>
      <c r="BR17" s="18"/>
      <c r="BS17" s="18"/>
      <c r="BT17" s="18"/>
      <c r="BU17" s="18" t="str">
        <f>UKG!BL17</f>
        <v>N</v>
      </c>
      <c r="BV17" s="18" t="str">
        <f>UKG!BL17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1421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hidden="1" thickBot="1" x14ac:dyDescent="0.25">
      <c r="A18" s="39" t="s">
        <v>1420</v>
      </c>
      <c r="B18" s="77" t="str">
        <f>UKG!BO18</f>
        <v>Tong</v>
      </c>
      <c r="D18" s="77" t="str">
        <f>UKG!BN18</f>
        <v>Luo</v>
      </c>
      <c r="E18" s="77" t="str">
        <f>UKG!D18</f>
        <v>207492</v>
      </c>
      <c r="F18" s="77" t="str">
        <f t="shared" si="0"/>
        <v>ltong@onebarnes.com.new.uat</v>
      </c>
      <c r="G18" s="18" t="s">
        <v>1427</v>
      </c>
      <c r="H18" s="77" t="str">
        <f>UKG!AQ18</f>
        <v>ltong@onebarnes.com</v>
      </c>
      <c r="I18" s="18" t="str">
        <f>IFERROR(VLOOKUP(J18,'Language Map'!M:O,3,FALSE),"en_US")</f>
        <v>zh_CN</v>
      </c>
      <c r="J18" s="77" t="str">
        <f>UKG!BF18</f>
        <v>CN</v>
      </c>
      <c r="L18" s="77" t="str">
        <f>IFERROR(VLOOKUP(UKG!BA18,'UKG Company Map'!B:G,7,FALSE),"Ledger Code Not Matched")</f>
        <v>Ledger Code Not Matched</v>
      </c>
      <c r="M18" s="18" t="str">
        <f>UKG!BH18</f>
        <v>CNY</v>
      </c>
      <c r="O18" s="18" t="str">
        <f>UKG!BJ18</f>
        <v>Y</v>
      </c>
      <c r="P18" s="18" t="str">
        <f>IFERROR(VLOOKUP(UKG!BA18,'UKG Company Map'!B:E,2,FALSE),"Org Unit 1 Not Mapped")</f>
        <v>0079</v>
      </c>
      <c r="Q18" s="77" t="str">
        <f>UKG!BB18</f>
        <v>500</v>
      </c>
      <c r="W18" s="77" t="str">
        <f>UKG!Q18</f>
        <v>S06</v>
      </c>
      <c r="X18" s="18" t="str">
        <f>UKG!BC18</f>
        <v>Default</v>
      </c>
      <c r="Z18" s="18" t="str">
        <f>IFERROR(VLOOKUP(UKG!BA18,'UKG Company Map'!B:G,8,FALSE),"Custom 5 Not Matched")</f>
        <v>Custom 5 Not Matched</v>
      </c>
      <c r="AP18" s="18" t="str">
        <f>IFERROR(VLOOKUP(UKG!BA18,'UKG Company Map'!B:G,4,FALSE),"Custom 21 Exp Group Not Matched")</f>
        <v>0079</v>
      </c>
      <c r="BG18" s="77" t="str">
        <f>UKG!AZ18</f>
        <v>204379</v>
      </c>
      <c r="BK18" s="18" t="s">
        <v>1421</v>
      </c>
      <c r="BL18" s="18" t="s">
        <v>1421</v>
      </c>
      <c r="BU18" s="18" t="str">
        <f>UKG!BL18</f>
        <v>N</v>
      </c>
      <c r="BV18" s="18" t="str">
        <f>UKG!BL18</f>
        <v>N</v>
      </c>
      <c r="CE18" s="18" t="s">
        <v>1421</v>
      </c>
    </row>
    <row r="19" spans="1:137" s="49" customFormat="1" ht="16" hidden="1" thickBot="1" x14ac:dyDescent="0.25">
      <c r="A19" s="39" t="s">
        <v>1420</v>
      </c>
      <c r="B19" s="77" t="str">
        <f>UKG!BO19</f>
        <v>Lei</v>
      </c>
      <c r="C19" s="18"/>
      <c r="D19" s="77" t="str">
        <f>UKG!BN19</f>
        <v>Nie</v>
      </c>
      <c r="E19" s="77" t="str">
        <f>UKG!D19</f>
        <v>204854</v>
      </c>
      <c r="F19" s="77" t="str">
        <f t="shared" si="0"/>
        <v>lenie@onebarnes.com.new.uat</v>
      </c>
      <c r="G19" s="18" t="s">
        <v>1427</v>
      </c>
      <c r="H19" s="77" t="str">
        <f>UKG!AQ19</f>
        <v>lenie@onebarnes.com</v>
      </c>
      <c r="I19" s="18" t="str">
        <f>IFERROR(VLOOKUP(J19,'Language Map'!M:O,3,FALSE),"en_US")</f>
        <v>zh_CN</v>
      </c>
      <c r="J19" s="77" t="str">
        <f>UKG!BF19</f>
        <v>CN</v>
      </c>
      <c r="K19" s="18"/>
      <c r="L19" s="77" t="str">
        <f>IFERROR(VLOOKUP(UKG!BA19,'UKG Company Map'!B:G,7,FALSE),"Ledger Code Not Matched")</f>
        <v>Ledger Code Not Matched</v>
      </c>
      <c r="M19" s="18" t="str">
        <f>UKG!BH19</f>
        <v>CNY</v>
      </c>
      <c r="N19" s="18"/>
      <c r="O19" s="18" t="str">
        <f>UKG!BJ19</f>
        <v>Y</v>
      </c>
      <c r="P19" s="18" t="str">
        <f>IFERROR(VLOOKUP(UKG!BA19,'UKG Company Map'!B:E,2,FALSE),"Org Unit 1 Not Mapped")</f>
        <v>0079</v>
      </c>
      <c r="Q19" s="77" t="str">
        <f>UKG!BB19</f>
        <v>800</v>
      </c>
      <c r="R19" s="18"/>
      <c r="S19" s="18"/>
      <c r="T19" s="18"/>
      <c r="U19" s="18"/>
      <c r="V19" s="18"/>
      <c r="W19" s="77" t="str">
        <f>UKG!Q19</f>
        <v>S15</v>
      </c>
      <c r="X19" s="18" t="str">
        <f>UKG!BC19</f>
        <v>Default</v>
      </c>
      <c r="Y19" s="18"/>
      <c r="Z19" s="18" t="str">
        <f>IFERROR(VLOOKUP(UKG!BA19,'UKG Company Map'!B:G,8,FALSE),"Custom 5 Not Matched")</f>
        <v>Custom 5 Not Matched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>IFERROR(VLOOKUP(UKG!BA19,'UKG Company Map'!B:G,4,FALSE),"Custom 21 Exp Group Not Matched")</f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77" t="str">
        <f>UKG!AZ19</f>
        <v>204853</v>
      </c>
      <c r="BH19" s="18"/>
      <c r="BI19" s="18"/>
      <c r="BJ19" s="18"/>
      <c r="BK19" s="18" t="s">
        <v>1421</v>
      </c>
      <c r="BL19" s="18" t="s">
        <v>1421</v>
      </c>
      <c r="BM19" s="18"/>
      <c r="BN19" s="18"/>
      <c r="BO19" s="18"/>
      <c r="BP19" s="18"/>
      <c r="BQ19" s="18"/>
      <c r="BR19" s="18"/>
      <c r="BS19" s="18"/>
      <c r="BT19" s="18"/>
      <c r="BU19" s="18" t="str">
        <f>UKG!BL19</f>
        <v>N</v>
      </c>
      <c r="BV19" s="18" t="str">
        <f>UKG!BL19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1421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hidden="1" thickBot="1" x14ac:dyDescent="0.25">
      <c r="A20" s="39" t="s">
        <v>1420</v>
      </c>
      <c r="B20" s="77" t="str">
        <f>UKG!BO20</f>
        <v>Hong</v>
      </c>
      <c r="D20" s="77" t="str">
        <f>UKG!BN20</f>
        <v>Song</v>
      </c>
      <c r="E20" s="77" t="str">
        <f>UKG!D20</f>
        <v>204855</v>
      </c>
      <c r="F20" s="77" t="str">
        <f t="shared" si="0"/>
        <v>hosong@onebarnes.com.new.uat</v>
      </c>
      <c r="G20" s="18" t="s">
        <v>1427</v>
      </c>
      <c r="H20" s="77" t="str">
        <f>UKG!AQ20</f>
        <v>hosong@onebarnes.com</v>
      </c>
      <c r="I20" s="18" t="str">
        <f>IFERROR(VLOOKUP(J20,'Language Map'!M:O,3,FALSE),"en_US")</f>
        <v>zh_CN</v>
      </c>
      <c r="J20" s="77" t="str">
        <f>UKG!BF20</f>
        <v>CN</v>
      </c>
      <c r="L20" s="77" t="str">
        <f>IFERROR(VLOOKUP(UKG!BA20,'UKG Company Map'!B:G,7,FALSE),"Ledger Code Not Matched")</f>
        <v>Ledger Code Not Matched</v>
      </c>
      <c r="M20" s="18" t="str">
        <f>UKG!BH20</f>
        <v>CNY</v>
      </c>
      <c r="O20" s="18" t="str">
        <f>UKG!BJ20</f>
        <v>Y</v>
      </c>
      <c r="P20" s="18" t="str">
        <f>IFERROR(VLOOKUP(UKG!BA20,'UKG Company Map'!B:E,2,FALSE),"Org Unit 1 Not Mapped")</f>
        <v>0079</v>
      </c>
      <c r="Q20" s="77" t="str">
        <f>UKG!BB20</f>
        <v>500</v>
      </c>
      <c r="W20" s="77" t="str">
        <f>UKG!Q20</f>
        <v>S15</v>
      </c>
      <c r="X20" s="18" t="str">
        <f>UKG!BC20</f>
        <v>Default</v>
      </c>
      <c r="Z20" s="18" t="str">
        <f>IFERROR(VLOOKUP(UKG!BA20,'UKG Company Map'!B:G,8,FALSE),"Custom 5 Not Matched")</f>
        <v>Custom 5 Not Matched</v>
      </c>
      <c r="AP20" s="18" t="str">
        <f>IFERROR(VLOOKUP(UKG!BA20,'UKG Company Map'!B:G,4,FALSE),"Custom 21 Exp Group Not Matched")</f>
        <v>0079</v>
      </c>
      <c r="BG20" s="77" t="str">
        <f>UKG!AZ20</f>
        <v>204853</v>
      </c>
      <c r="BK20" s="18" t="s">
        <v>1421</v>
      </c>
      <c r="BL20" s="18" t="s">
        <v>1421</v>
      </c>
      <c r="BU20" s="18" t="str">
        <f>UKG!BL20</f>
        <v>N</v>
      </c>
      <c r="BV20" s="18" t="str">
        <f>UKG!BL20</f>
        <v>N</v>
      </c>
      <c r="CE20" s="18" t="s">
        <v>1421</v>
      </c>
    </row>
    <row r="21" spans="1:137" ht="16" hidden="1" thickBot="1" x14ac:dyDescent="0.25">
      <c r="A21" s="39" t="s">
        <v>1420</v>
      </c>
      <c r="B21" s="77" t="str">
        <f>UKG!BO21</f>
        <v>Shiqi</v>
      </c>
      <c r="D21" s="77" t="str">
        <f>UKG!BN21</f>
        <v>Tian</v>
      </c>
      <c r="E21" s="77" t="str">
        <f>UKG!D21</f>
        <v>204380</v>
      </c>
      <c r="F21" s="77" t="str">
        <f t="shared" si="0"/>
        <v>qtian@onebarnes.com.new.uat</v>
      </c>
      <c r="G21" s="18" t="s">
        <v>1427</v>
      </c>
      <c r="H21" s="77" t="str">
        <f>UKG!AQ21</f>
        <v>qtian@onebarnes.com</v>
      </c>
      <c r="I21" s="18" t="str">
        <f>IFERROR(VLOOKUP(J21,'Language Map'!M:O,3,FALSE),"en_US")</f>
        <v>zh_CN</v>
      </c>
      <c r="J21" s="77" t="str">
        <f>UKG!BF21</f>
        <v>CN</v>
      </c>
      <c r="L21" s="77" t="str">
        <f>IFERROR(VLOOKUP(UKG!BA21,'UKG Company Map'!B:G,7,FALSE),"Ledger Code Not Matched")</f>
        <v>Ledger Code Not Matched</v>
      </c>
      <c r="M21" s="18" t="str">
        <f>UKG!BH21</f>
        <v>CNY</v>
      </c>
      <c r="O21" s="18" t="str">
        <f>UKG!BJ21</f>
        <v>Y</v>
      </c>
      <c r="P21" s="18" t="str">
        <f>IFERROR(VLOOKUP(UKG!BA21,'UKG Company Map'!B:E,2,FALSE),"Org Unit 1 Not Mapped")</f>
        <v>0079</v>
      </c>
      <c r="Q21" s="77" t="str">
        <f>UKG!BB21</f>
        <v>500</v>
      </c>
      <c r="W21" s="77" t="str">
        <f>UKG!Q21</f>
        <v>S12</v>
      </c>
      <c r="X21" s="18" t="str">
        <f>UKG!BC21</f>
        <v>Default</v>
      </c>
      <c r="Z21" s="18" t="str">
        <f>IFERROR(VLOOKUP(UKG!BA21,'UKG Company Map'!B:G,8,FALSE),"Custom 5 Not Matched")</f>
        <v>Custom 5 Not Matched</v>
      </c>
      <c r="AP21" s="18" t="str">
        <f>IFERROR(VLOOKUP(UKG!BA21,'UKG Company Map'!B:G,4,FALSE),"Custom 21 Exp Group Not Matched")</f>
        <v>0079</v>
      </c>
      <c r="BG21" s="77" t="str">
        <f>UKG!AZ21</f>
        <v>204855</v>
      </c>
      <c r="BK21" s="18" t="s">
        <v>1421</v>
      </c>
      <c r="BL21" s="18" t="s">
        <v>1421</v>
      </c>
      <c r="BU21" s="18" t="str">
        <f>UKG!BL21</f>
        <v>N</v>
      </c>
      <c r="BV21" s="18" t="str">
        <f>UKG!BL21</f>
        <v>N</v>
      </c>
      <c r="CE21" s="18" t="s">
        <v>1421</v>
      </c>
    </row>
    <row r="22" spans="1:137" ht="16" hidden="1" thickBot="1" x14ac:dyDescent="0.25">
      <c r="A22" s="39" t="s">
        <v>1420</v>
      </c>
      <c r="B22" s="77" t="str">
        <f>UKG!BO22</f>
        <v>Bing</v>
      </c>
      <c r="D22" s="77" t="str">
        <f>UKG!BN22</f>
        <v>Wang</v>
      </c>
      <c r="E22" s="77" t="str">
        <f>UKG!D22</f>
        <v>204857</v>
      </c>
      <c r="F22" s="77" t="str">
        <f t="shared" si="0"/>
        <v>biwang@onebarnes.com.new.uat</v>
      </c>
      <c r="G22" s="18" t="s">
        <v>1427</v>
      </c>
      <c r="H22" s="77" t="str">
        <f>UKG!AQ22</f>
        <v>biwang@onebarnes.com</v>
      </c>
      <c r="I22" s="18" t="str">
        <f>IFERROR(VLOOKUP(J22,'Language Map'!M:O,3,FALSE),"en_US")</f>
        <v>zh_CN</v>
      </c>
      <c r="J22" s="77" t="str">
        <f>UKG!BF22</f>
        <v>CN</v>
      </c>
      <c r="L22" s="77" t="str">
        <f>IFERROR(VLOOKUP(UKG!BA22,'UKG Company Map'!B:G,7,FALSE),"Ledger Code Not Matched")</f>
        <v>Ledger Code Not Matched</v>
      </c>
      <c r="M22" s="18" t="str">
        <f>UKG!BH22</f>
        <v>CNY</v>
      </c>
      <c r="O22" s="18" t="str">
        <f>UKG!BJ22</f>
        <v>Y</v>
      </c>
      <c r="P22" s="18" t="str">
        <f>IFERROR(VLOOKUP(UKG!BA22,'UKG Company Map'!B:E,2,FALSE),"Org Unit 1 Not Mapped")</f>
        <v>0079</v>
      </c>
      <c r="Q22" s="77" t="str">
        <f>UKG!BB22</f>
        <v>800</v>
      </c>
      <c r="W22" s="77" t="str">
        <f>UKG!Q22</f>
        <v>S14</v>
      </c>
      <c r="X22" s="18" t="str">
        <f>UKG!BC22</f>
        <v>Default</v>
      </c>
      <c r="Z22" s="18" t="str">
        <f>IFERROR(VLOOKUP(UKG!BA22,'UKG Company Map'!B:G,8,FALSE),"Custom 5 Not Matched")</f>
        <v>Custom 5 Not Matched</v>
      </c>
      <c r="AP22" s="18" t="str">
        <f>IFERROR(VLOOKUP(UKG!BA22,'UKG Company Map'!B:G,4,FALSE),"Custom 21 Exp Group Not Matched")</f>
        <v>0079</v>
      </c>
      <c r="BG22" s="77" t="str">
        <f>UKG!AZ22</f>
        <v>204854</v>
      </c>
      <c r="BK22" s="18" t="s">
        <v>1421</v>
      </c>
      <c r="BL22" s="18" t="s">
        <v>1421</v>
      </c>
      <c r="BU22" s="18" t="str">
        <f>UKG!BL22</f>
        <v>N</v>
      </c>
      <c r="BV22" s="18" t="str">
        <f>UKG!BL22</f>
        <v>N</v>
      </c>
      <c r="CE22" s="18" t="s">
        <v>1421</v>
      </c>
    </row>
    <row r="23" spans="1:137" ht="16" hidden="1" thickBot="1" x14ac:dyDescent="0.25">
      <c r="A23" s="39" t="s">
        <v>1420</v>
      </c>
      <c r="B23" s="77" t="str">
        <f>UKG!BO23</f>
        <v>Jinkai</v>
      </c>
      <c r="D23" s="77" t="str">
        <f>UKG!BN23</f>
        <v>Wang</v>
      </c>
      <c r="E23" s="77" t="str">
        <f>UKG!D23</f>
        <v>204861</v>
      </c>
      <c r="F23" s="77" t="str">
        <f t="shared" si="0"/>
        <v>kawang@onebarnes.com.new.uat</v>
      </c>
      <c r="G23" s="18" t="s">
        <v>1427</v>
      </c>
      <c r="H23" s="77" t="str">
        <f>UKG!AQ23</f>
        <v>kawang@onebarnes.com</v>
      </c>
      <c r="I23" s="18" t="str">
        <f>IFERROR(VLOOKUP(J23,'Language Map'!M:O,3,FALSE),"en_US")</f>
        <v>zh_CN</v>
      </c>
      <c r="J23" s="77" t="str">
        <f>UKG!BF23</f>
        <v>CN</v>
      </c>
      <c r="L23" s="77" t="str">
        <f>IFERROR(VLOOKUP(UKG!BA23,'UKG Company Map'!B:G,7,FALSE),"Ledger Code Not Matched")</f>
        <v>Ledger Code Not Matched</v>
      </c>
      <c r="M23" s="18" t="str">
        <f>UKG!BH23</f>
        <v>CNY</v>
      </c>
      <c r="O23" s="18" t="str">
        <f>UKG!BJ23</f>
        <v>Y</v>
      </c>
      <c r="P23" s="18" t="str">
        <f>IFERROR(VLOOKUP(UKG!BA23,'UKG Company Map'!B:E,2,FALSE),"Org Unit 1 Not Mapped")</f>
        <v>0079</v>
      </c>
      <c r="Q23" s="77" t="str">
        <f>UKG!BB23</f>
        <v>900</v>
      </c>
      <c r="W23" s="77" t="str">
        <f>UKG!Q23</f>
        <v>S06</v>
      </c>
      <c r="X23" s="18" t="str">
        <f>UKG!BC23</f>
        <v>Default</v>
      </c>
      <c r="Z23" s="18" t="str">
        <f>IFERROR(VLOOKUP(UKG!BA23,'UKG Company Map'!B:G,8,FALSE),"Custom 5 Not Matched")</f>
        <v>Custom 5 Not Matched</v>
      </c>
      <c r="AP23" s="18" t="str">
        <f>IFERROR(VLOOKUP(UKG!BA23,'UKG Company Map'!B:G,4,FALSE),"Custom 21 Exp Group Not Matched")</f>
        <v>0079</v>
      </c>
      <c r="BG23" s="77" t="str">
        <f>UKG!AZ23</f>
        <v>204859</v>
      </c>
      <c r="BK23" s="18" t="s">
        <v>1421</v>
      </c>
      <c r="BL23" s="18" t="s">
        <v>1421</v>
      </c>
      <c r="BU23" s="18" t="str">
        <f>UKG!BL23</f>
        <v>N</v>
      </c>
      <c r="BV23" s="18" t="str">
        <f>UKG!BL23</f>
        <v>N</v>
      </c>
      <c r="CE23" s="18" t="s">
        <v>1421</v>
      </c>
    </row>
    <row r="24" spans="1:137" ht="16" hidden="1" thickBot="1" x14ac:dyDescent="0.25">
      <c r="A24" s="39" t="s">
        <v>1420</v>
      </c>
      <c r="B24" s="77" t="str">
        <f>UKG!BO24</f>
        <v>Benny</v>
      </c>
      <c r="D24" s="77" t="str">
        <f>UKG!BN24</f>
        <v>Yang</v>
      </c>
      <c r="E24" s="77" t="str">
        <f>UKG!D24</f>
        <v>204858</v>
      </c>
      <c r="F24" s="77" t="str">
        <f t="shared" si="0"/>
        <v>beyang@onebarnes.com.new.uat</v>
      </c>
      <c r="G24" s="18" t="s">
        <v>1427</v>
      </c>
      <c r="H24" s="77" t="str">
        <f>UKG!AQ24</f>
        <v>beyang@onebarnes.com</v>
      </c>
      <c r="I24" s="18" t="str">
        <f>IFERROR(VLOOKUP(J24,'Language Map'!M:O,3,FALSE),"en_US")</f>
        <v>zh_CN</v>
      </c>
      <c r="J24" s="77" t="str">
        <f>UKG!BF24</f>
        <v>CN</v>
      </c>
      <c r="L24" s="77" t="str">
        <f>IFERROR(VLOOKUP(UKG!BA24,'UKG Company Map'!B:G,7,FALSE),"Ledger Code Not Matched")</f>
        <v>Ledger Code Not Matched</v>
      </c>
      <c r="M24" s="18" t="str">
        <f>UKG!BH24</f>
        <v>CNY</v>
      </c>
      <c r="O24" s="18" t="str">
        <f>UKG!BJ24</f>
        <v>Y</v>
      </c>
      <c r="P24" s="18" t="str">
        <f>IFERROR(VLOOKUP(UKG!BA24,'UKG Company Map'!B:E,2,FALSE),"Org Unit 1 Not Mapped")</f>
        <v>0079</v>
      </c>
      <c r="Q24" s="77" t="str">
        <f>UKG!BB24</f>
        <v>900</v>
      </c>
      <c r="W24" s="77" t="str">
        <f>UKG!Q24</f>
        <v>S16</v>
      </c>
      <c r="X24" s="18" t="str">
        <f>UKG!BC24</f>
        <v>Default</v>
      </c>
      <c r="Z24" s="18" t="str">
        <f>IFERROR(VLOOKUP(UKG!BA24,'UKG Company Map'!B:G,8,FALSE),"Custom 5 Not Matched")</f>
        <v>Custom 5 Not Matched</v>
      </c>
      <c r="AP24" s="18" t="str">
        <f>IFERROR(VLOOKUP(UKG!BA24,'UKG Company Map'!B:G,4,FALSE),"Custom 21 Exp Group Not Matched")</f>
        <v>0079</v>
      </c>
      <c r="BG24" s="77" t="str">
        <f>UKG!AZ24</f>
        <v>204853</v>
      </c>
      <c r="BK24" s="18" t="s">
        <v>1421</v>
      </c>
      <c r="BL24" s="18" t="s">
        <v>1421</v>
      </c>
      <c r="BU24" s="18" t="str">
        <f>UKG!BL24</f>
        <v>N</v>
      </c>
      <c r="BV24" s="18" t="str">
        <f>UKG!BL24</f>
        <v>N</v>
      </c>
      <c r="CE24" s="18" t="s">
        <v>1421</v>
      </c>
    </row>
    <row r="25" spans="1:137" ht="16" hidden="1" thickBot="1" x14ac:dyDescent="0.25">
      <c r="A25" s="39" t="s">
        <v>1420</v>
      </c>
      <c r="B25" s="77" t="str">
        <f>UKG!BO25</f>
        <v>Cui</v>
      </c>
      <c r="D25" s="77" t="str">
        <f>UKG!BN25</f>
        <v>Yang</v>
      </c>
      <c r="E25" s="77" t="str">
        <f>UKG!D25</f>
        <v>204379</v>
      </c>
      <c r="F25" s="77" t="str">
        <f t="shared" si="0"/>
        <v>CYang@onebarnes.com.new.uat</v>
      </c>
      <c r="G25" s="18" t="s">
        <v>1427</v>
      </c>
      <c r="H25" s="77" t="str">
        <f>UKG!AQ25</f>
        <v>CYang@onebarnes.com</v>
      </c>
      <c r="I25" s="18" t="str">
        <f>IFERROR(VLOOKUP(J25,'Language Map'!M:O,3,FALSE),"en_US")</f>
        <v>zh_CN</v>
      </c>
      <c r="J25" s="77" t="str">
        <f>UKG!BF25</f>
        <v>CN</v>
      </c>
      <c r="L25" s="77" t="str">
        <f>IFERROR(VLOOKUP(UKG!BA25,'UKG Company Map'!B:G,7,FALSE),"Ledger Code Not Matched")</f>
        <v>Ledger Code Not Matched</v>
      </c>
      <c r="M25" s="18" t="str">
        <f>UKG!BH25</f>
        <v>CNY</v>
      </c>
      <c r="O25" s="18" t="str">
        <f>UKG!BJ25</f>
        <v>Y</v>
      </c>
      <c r="P25" s="18" t="str">
        <f>IFERROR(VLOOKUP(UKG!BA25,'UKG Company Map'!B:E,2,FALSE),"Org Unit 1 Not Mapped")</f>
        <v>0079</v>
      </c>
      <c r="Q25" s="77" t="str">
        <f>UKG!BB25</f>
        <v>500</v>
      </c>
      <c r="W25" s="77" t="str">
        <f>UKG!Q25</f>
        <v>S12</v>
      </c>
      <c r="X25" s="18" t="str">
        <f>UKG!BC25</f>
        <v>Default</v>
      </c>
      <c r="Z25" s="18" t="str">
        <f>IFERROR(VLOOKUP(UKG!BA25,'UKG Company Map'!B:G,8,FALSE),"Custom 5 Not Matched")</f>
        <v>Custom 5 Not Matched</v>
      </c>
      <c r="AP25" s="18" t="str">
        <f>IFERROR(VLOOKUP(UKG!BA25,'UKG Company Map'!B:G,4,FALSE),"Custom 21 Exp Group Not Matched")</f>
        <v>0079</v>
      </c>
      <c r="BG25" s="77" t="str">
        <f>UKG!AZ25</f>
        <v>204855</v>
      </c>
      <c r="BK25" s="18" t="s">
        <v>1421</v>
      </c>
      <c r="BL25" s="18" t="s">
        <v>1421</v>
      </c>
      <c r="BU25" s="18" t="str">
        <f>UKG!BL25</f>
        <v>N</v>
      </c>
      <c r="BV25" s="18" t="str">
        <f>UKG!BL25</f>
        <v>N</v>
      </c>
      <c r="CE25" s="18" t="s">
        <v>1421</v>
      </c>
    </row>
    <row r="26" spans="1:137" ht="16" hidden="1" thickBot="1" x14ac:dyDescent="0.25">
      <c r="A26" s="39" t="s">
        <v>1420</v>
      </c>
      <c r="B26" s="77" t="str">
        <f>UKG!BO26</f>
        <v>Clive</v>
      </c>
      <c r="D26" s="77" t="str">
        <f>UKG!BN26</f>
        <v>Ye</v>
      </c>
      <c r="E26" s="77" t="str">
        <f>UKG!D26</f>
        <v>204859</v>
      </c>
      <c r="F26" s="77" t="str">
        <f t="shared" si="0"/>
        <v>CYe@onebarnes.com.new.uat</v>
      </c>
      <c r="G26" s="18" t="s">
        <v>1427</v>
      </c>
      <c r="H26" s="77" t="str">
        <f>UKG!AQ26</f>
        <v>CYe@onebarnes.com</v>
      </c>
      <c r="I26" s="18" t="str">
        <f>IFERROR(VLOOKUP(J26,'Language Map'!M:O,3,FALSE),"en_US")</f>
        <v>zh_CN</v>
      </c>
      <c r="J26" s="77" t="str">
        <f>UKG!BF26</f>
        <v>CN</v>
      </c>
      <c r="L26" s="77" t="str">
        <f>IFERROR(VLOOKUP(UKG!BA26,'UKG Company Map'!B:G,7,FALSE),"Ledger Code Not Matched")</f>
        <v>Ledger Code Not Matched</v>
      </c>
      <c r="M26" s="18" t="str">
        <f>UKG!BH26</f>
        <v>CNY</v>
      </c>
      <c r="O26" s="18" t="str">
        <f>UKG!BJ26</f>
        <v>Y</v>
      </c>
      <c r="P26" s="18" t="str">
        <f>IFERROR(VLOOKUP(UKG!BA26,'UKG Company Map'!B:E,2,FALSE),"Org Unit 1 Not Mapped")</f>
        <v>0079</v>
      </c>
      <c r="Q26" s="77" t="str">
        <f>UKG!BB26</f>
        <v>900</v>
      </c>
      <c r="W26" s="77" t="str">
        <f>UKG!Q26</f>
        <v>S16</v>
      </c>
      <c r="X26" s="18" t="str">
        <f>UKG!BC26</f>
        <v>Default</v>
      </c>
      <c r="Z26" s="18" t="str">
        <f>IFERROR(VLOOKUP(UKG!BA26,'UKG Company Map'!B:G,8,FALSE),"Custom 5 Not Matched")</f>
        <v>Custom 5 Not Matched</v>
      </c>
      <c r="AP26" s="18" t="str">
        <f>IFERROR(VLOOKUP(UKG!BA26,'UKG Company Map'!B:G,4,FALSE),"Custom 21 Exp Group Not Matched")</f>
        <v>0079</v>
      </c>
      <c r="BG26" s="77" t="str">
        <f>UKG!AZ26</f>
        <v>213174</v>
      </c>
      <c r="BK26" s="18" t="s">
        <v>1421</v>
      </c>
      <c r="BL26" s="18" t="s">
        <v>1421</v>
      </c>
      <c r="BU26" s="18" t="str">
        <f>UKG!BL26</f>
        <v>N</v>
      </c>
      <c r="BV26" s="18" t="str">
        <f>UKG!BL26</f>
        <v>N</v>
      </c>
      <c r="CE26" s="18" t="s">
        <v>1421</v>
      </c>
    </row>
    <row r="27" spans="1:137" ht="16" hidden="1" thickBot="1" x14ac:dyDescent="0.25">
      <c r="A27" s="39" t="s">
        <v>1420</v>
      </c>
      <c r="B27" s="77" t="str">
        <f>UKG!BO27</f>
        <v>Zhenxuan</v>
      </c>
      <c r="D27" s="77" t="str">
        <f>UKG!BN27</f>
        <v>Zhang</v>
      </c>
      <c r="E27" s="77" t="str">
        <f>UKG!D27</f>
        <v>204383</v>
      </c>
      <c r="F27" s="77" t="str">
        <f t="shared" si="0"/>
        <v>ZZhang@onebarnes.com.new.uat</v>
      </c>
      <c r="G27" s="18" t="s">
        <v>1427</v>
      </c>
      <c r="H27" s="77" t="str">
        <f>UKG!AQ27</f>
        <v>ZZhang@onebarnes.com</v>
      </c>
      <c r="I27" s="18" t="str">
        <f>IFERROR(VLOOKUP(J27,'Language Map'!M:O,3,FALSE),"en_US")</f>
        <v>zh_CN</v>
      </c>
      <c r="J27" s="77" t="str">
        <f>UKG!BF27</f>
        <v>CN</v>
      </c>
      <c r="L27" s="77" t="str">
        <f>IFERROR(VLOOKUP(UKG!BA27,'UKG Company Map'!B:G,7,FALSE),"Ledger Code Not Matched")</f>
        <v>Ledger Code Not Matched</v>
      </c>
      <c r="M27" s="18" t="str">
        <f>UKG!BH27</f>
        <v>CNY</v>
      </c>
      <c r="O27" s="18" t="str">
        <f>UKG!BJ27</f>
        <v>Y</v>
      </c>
      <c r="P27" s="18" t="str">
        <f>IFERROR(VLOOKUP(UKG!BA27,'UKG Company Map'!B:E,2,FALSE),"Org Unit 1 Not Mapped")</f>
        <v>0079</v>
      </c>
      <c r="Q27" s="77" t="str">
        <f>UKG!BB27</f>
        <v>500</v>
      </c>
      <c r="W27" s="77" t="str">
        <f>UKG!Q27</f>
        <v>S06</v>
      </c>
      <c r="X27" s="18" t="str">
        <f>UKG!BC27</f>
        <v>Default</v>
      </c>
      <c r="Z27" s="18" t="str">
        <f>IFERROR(VLOOKUP(UKG!BA27,'UKG Company Map'!B:G,8,FALSE),"Custom 5 Not Matched")</f>
        <v>Custom 5 Not Matched</v>
      </c>
      <c r="AP27" s="18" t="str">
        <f>IFERROR(VLOOKUP(UKG!BA27,'UKG Company Map'!B:G,4,FALSE),"Custom 21 Exp Group Not Matched")</f>
        <v>0079</v>
      </c>
      <c r="BG27" s="77" t="str">
        <f>UKG!AZ27</f>
        <v>204379</v>
      </c>
      <c r="BK27" s="18" t="s">
        <v>1421</v>
      </c>
      <c r="BL27" s="18" t="s">
        <v>1421</v>
      </c>
      <c r="BU27" s="18" t="str">
        <f>UKG!BL27</f>
        <v>N</v>
      </c>
      <c r="BV27" s="18" t="str">
        <f>UKG!BL27</f>
        <v>N</v>
      </c>
      <c r="CE27" s="18" t="s">
        <v>1421</v>
      </c>
    </row>
    <row r="28" spans="1:137" ht="16" hidden="1" thickBot="1" x14ac:dyDescent="0.25">
      <c r="A28" s="39" t="s">
        <v>1420</v>
      </c>
      <c r="B28" s="77" t="str">
        <f>UKG!BO28</f>
        <v>Yuanyuan</v>
      </c>
      <c r="D28" s="77" t="str">
        <f>UKG!BN28</f>
        <v>Zhao</v>
      </c>
      <c r="E28" s="77" t="str">
        <f>UKG!D28</f>
        <v>204860</v>
      </c>
      <c r="F28" s="77" t="str">
        <f t="shared" si="0"/>
        <v>yzhao@onebarnes.com.new.uat</v>
      </c>
      <c r="G28" s="18" t="s">
        <v>1427</v>
      </c>
      <c r="H28" s="77" t="str">
        <f>UKG!AQ28</f>
        <v>yzhao@onebarnes.com</v>
      </c>
      <c r="I28" s="18" t="str">
        <f>IFERROR(VLOOKUP(J28,'Language Map'!M:O,3,FALSE),"en_US")</f>
        <v>zh_CN</v>
      </c>
      <c r="J28" s="77" t="str">
        <f>UKG!BF28</f>
        <v>CN</v>
      </c>
      <c r="L28" s="77" t="str">
        <f>IFERROR(VLOOKUP(UKG!BA28,'UKG Company Map'!B:G,7,FALSE),"Ledger Code Not Matched")</f>
        <v>Ledger Code Not Matched</v>
      </c>
      <c r="M28" s="18" t="str">
        <f>UKG!BH28</f>
        <v>CNY</v>
      </c>
      <c r="O28" s="18" t="str">
        <f>UKG!BJ28</f>
        <v>Y</v>
      </c>
      <c r="P28" s="18" t="str">
        <f>IFERROR(VLOOKUP(UKG!BA28,'UKG Company Map'!B:E,2,FALSE),"Org Unit 1 Not Mapped")</f>
        <v>0079</v>
      </c>
      <c r="Q28" s="77" t="str">
        <f>UKG!BB28</f>
        <v>900</v>
      </c>
      <c r="W28" s="77" t="str">
        <f>UKG!Q28</f>
        <v>S10</v>
      </c>
      <c r="X28" s="18" t="str">
        <f>UKG!BC28</f>
        <v>Default</v>
      </c>
      <c r="Z28" s="18" t="str">
        <f>IFERROR(VLOOKUP(UKG!BA28,'UKG Company Map'!B:G,8,FALSE),"Custom 5 Not Matched")</f>
        <v>Custom 5 Not Matched</v>
      </c>
      <c r="AP28" s="18" t="str">
        <f>IFERROR(VLOOKUP(UKG!BA28,'UKG Company Map'!B:G,4,FALSE),"Custom 21 Exp Group Not Matched")</f>
        <v>0079</v>
      </c>
      <c r="BG28" s="77" t="str">
        <f>UKG!AZ28</f>
        <v>204859</v>
      </c>
      <c r="BK28" s="18" t="s">
        <v>1421</v>
      </c>
      <c r="BL28" s="18" t="s">
        <v>1421</v>
      </c>
      <c r="BU28" s="18" t="str">
        <f>UKG!BL28</f>
        <v>N</v>
      </c>
      <c r="BV28" s="18" t="str">
        <f>UKG!BL28</f>
        <v>N</v>
      </c>
      <c r="CE28" s="18" t="s">
        <v>1421</v>
      </c>
    </row>
    <row r="29" spans="1:137" ht="16" hidden="1" thickBot="1" x14ac:dyDescent="0.25">
      <c r="A29" s="39" t="s">
        <v>1420</v>
      </c>
      <c r="B29" s="77" t="str">
        <f>UKG!BO29</f>
        <v>Mehmet</v>
      </c>
      <c r="D29" s="77" t="str">
        <f>UKG!BN29</f>
        <v>Erdogan</v>
      </c>
      <c r="E29" s="77" t="str">
        <f>UKG!D29</f>
        <v>207199</v>
      </c>
      <c r="F29" s="77" t="str">
        <f t="shared" si="0"/>
        <v>MErdogan@onebarnes.com.new.uat</v>
      </c>
      <c r="G29" s="18" t="s">
        <v>1427</v>
      </c>
      <c r="H29" s="77" t="str">
        <f>UKG!AQ29</f>
        <v>MErdogan@onebarnes.com</v>
      </c>
      <c r="I29" s="18" t="str">
        <f>IFERROR(VLOOKUP(J29,'Language Map'!M:O,3,FALSE),"en_US")</f>
        <v>de_DE</v>
      </c>
      <c r="J29" s="77" t="str">
        <f>UKG!BF29</f>
        <v>DE</v>
      </c>
      <c r="L29" s="77" t="str">
        <f>IFERROR(VLOOKUP(UKG!BA29,'UKG Company Map'!B:G,7,FALSE),"Ledger Code Not Matched")</f>
        <v>Ledger Code Not Matched</v>
      </c>
      <c r="M29" s="18" t="str">
        <f>UKG!BH29</f>
        <v>EUR</v>
      </c>
      <c r="O29" s="18" t="str">
        <f>UKG!BJ29</f>
        <v>Y</v>
      </c>
      <c r="P29" s="18" t="str">
        <f>IFERROR(VLOOKUP(UKG!BA29,'UKG Company Map'!B:E,2,FALSE),"Org Unit 1 Not Mapped")</f>
        <v>0400</v>
      </c>
      <c r="Q29" s="111" t="str">
        <f>UKG!BB29</f>
        <v>140500</v>
      </c>
      <c r="W29" s="77" t="str">
        <f>UKG!Q29</f>
        <v>S17</v>
      </c>
      <c r="X29" s="18" t="str">
        <f>UKG!BC29</f>
        <v>Default</v>
      </c>
      <c r="Z29" s="18" t="str">
        <f>IFERROR(VLOOKUP(UKG!BA29,'UKG Company Map'!B:G,8,FALSE),"Custom 5 Not Matched")</f>
        <v>Custom 5 Not Matched</v>
      </c>
      <c r="AP29" s="18" t="str">
        <f>IFERROR(VLOOKUP(UKG!BA29,'UKG Company Map'!B:G,4,FALSE),"Custom 21 Exp Group Not Matched")</f>
        <v>0400</v>
      </c>
      <c r="BG29" s="77" t="str">
        <f>UKG!AZ29</f>
        <v>207709</v>
      </c>
      <c r="BK29" s="18" t="s">
        <v>1421</v>
      </c>
      <c r="BL29" s="18" t="s">
        <v>1421</v>
      </c>
      <c r="BU29" s="18" t="str">
        <f>UKG!BL29</f>
        <v>Y</v>
      </c>
      <c r="BV29" s="18" t="str">
        <f>UKG!BL29</f>
        <v>Y</v>
      </c>
      <c r="CE29" s="18" t="s">
        <v>1421</v>
      </c>
    </row>
    <row r="30" spans="1:137" ht="16" hidden="1" thickBot="1" x14ac:dyDescent="0.25">
      <c r="A30" s="39" t="s">
        <v>1420</v>
      </c>
      <c r="B30" s="77" t="str">
        <f>UKG!BO30</f>
        <v>Timo</v>
      </c>
      <c r="D30" s="77" t="str">
        <f>UKG!BN30</f>
        <v>Klohn</v>
      </c>
      <c r="E30" s="77" t="str">
        <f>UKG!D30</f>
        <v>203967</v>
      </c>
      <c r="F30" s="77" t="str">
        <f t="shared" si="0"/>
        <v>TKlohn@spectrix.com.new.uat</v>
      </c>
      <c r="G30" s="18" t="s">
        <v>1427</v>
      </c>
      <c r="H30" s="77" t="str">
        <f>UKG!AQ30</f>
        <v>TKlohn@spectrix.com</v>
      </c>
      <c r="I30" s="18" t="str">
        <f>IFERROR(VLOOKUP(J30,'Language Map'!M:O,3,FALSE),"en_US")</f>
        <v>de_DE</v>
      </c>
      <c r="J30" s="77" t="str">
        <f>UKG!BF30</f>
        <v>DE</v>
      </c>
      <c r="L30" s="77" t="str">
        <f>IFERROR(VLOOKUP(UKG!BA30,'UKG Company Map'!B:G,7,FALSE),"Ledger Code Not Matched")</f>
        <v>Ledger Code Not Matched</v>
      </c>
      <c r="M30" s="18" t="str">
        <f>UKG!BH30</f>
        <v>EUR</v>
      </c>
      <c r="O30" s="18" t="str">
        <f>UKG!BJ30</f>
        <v>Y</v>
      </c>
      <c r="P30" s="18" t="str">
        <f>IFERROR(VLOOKUP(UKG!BA30,'UKG Company Map'!B:E,2,FALSE),"Org Unit 1 Not Mapped")</f>
        <v>0400</v>
      </c>
      <c r="Q30" s="112" t="str">
        <f>UKG!BB30</f>
        <v>140102</v>
      </c>
      <c r="W30" s="77" t="str">
        <f>UKG!Q30</f>
        <v>S15</v>
      </c>
      <c r="X30" s="18" t="str">
        <f>UKG!BC30</f>
        <v>Default</v>
      </c>
      <c r="Z30" s="18" t="str">
        <f>IFERROR(VLOOKUP(UKG!BA30,'UKG Company Map'!B:G,8,FALSE),"Custom 5 Not Matched")</f>
        <v>Custom 5 Not Matched</v>
      </c>
      <c r="AP30" s="18" t="str">
        <f>IFERROR(VLOOKUP(UKG!BA30,'UKG Company Map'!B:G,4,FALSE),"Custom 21 Exp Group Not Matched")</f>
        <v>0400</v>
      </c>
      <c r="BG30" s="77" t="str">
        <f>UKG!AZ30</f>
        <v>207199</v>
      </c>
      <c r="BK30" s="18" t="s">
        <v>1421</v>
      </c>
      <c r="BL30" s="18" t="s">
        <v>1421</v>
      </c>
      <c r="BU30" s="18" t="str">
        <f>UKG!BL30</f>
        <v>N</v>
      </c>
      <c r="BV30" s="18" t="str">
        <f>UKG!BL30</f>
        <v>N</v>
      </c>
      <c r="CE30" s="18" t="s">
        <v>1421</v>
      </c>
    </row>
    <row r="31" spans="1:137" ht="16" hidden="1" thickBot="1" x14ac:dyDescent="0.25">
      <c r="A31" s="39" t="s">
        <v>1420</v>
      </c>
      <c r="B31" s="77" t="str">
        <f>UKG!BO31</f>
        <v>Sebastian</v>
      </c>
      <c r="D31" s="77" t="str">
        <f>UKG!BN31</f>
        <v>Lobner</v>
      </c>
      <c r="E31" s="77" t="str">
        <f>UKG!D31</f>
        <v>210703</v>
      </c>
      <c r="F31" s="77" t="str">
        <f t="shared" si="0"/>
        <v>slobner@onebarnes.com.new.uat</v>
      </c>
      <c r="G31" s="18" t="s">
        <v>1427</v>
      </c>
      <c r="H31" s="77" t="str">
        <f>UKG!AQ31</f>
        <v>slobner@onebarnes.com</v>
      </c>
      <c r="I31" s="18" t="str">
        <f>IFERROR(VLOOKUP(J31,'Language Map'!M:O,3,FALSE),"en_US")</f>
        <v>de_DE</v>
      </c>
      <c r="J31" s="77" t="str">
        <f>UKG!BF31</f>
        <v>DE</v>
      </c>
      <c r="L31" s="77" t="str">
        <f>IFERROR(VLOOKUP(UKG!BA31,'UKG Company Map'!B:G,7,FALSE),"Ledger Code Not Matched")</f>
        <v>Ledger Code Not Matched</v>
      </c>
      <c r="M31" s="18" t="str">
        <f>UKG!BH31</f>
        <v>EUR</v>
      </c>
      <c r="O31" s="18" t="str">
        <f>UKG!BJ31</f>
        <v>N</v>
      </c>
      <c r="P31" s="18" t="str">
        <f>IFERROR(VLOOKUP(UKG!BA31,'UKG Company Map'!B:E,2,FALSE),"Org Unit 1 Not Mapped")</f>
        <v>0400</v>
      </c>
      <c r="Q31" s="112" t="str">
        <f>UKG!BB31</f>
        <v>146100</v>
      </c>
      <c r="W31" s="77" t="str">
        <f>UKG!Q31</f>
        <v>S19</v>
      </c>
      <c r="X31" s="18" t="str">
        <f>UKG!BC31</f>
        <v>Default</v>
      </c>
      <c r="Z31" s="18" t="str">
        <f>IFERROR(VLOOKUP(UKG!BA31,'UKG Company Map'!B:G,8,FALSE),"Custom 5 Not Matched")</f>
        <v>Custom 5 Not Matched</v>
      </c>
      <c r="AP31" s="18" t="str">
        <f>IFERROR(VLOOKUP(UKG!BA31,'UKG Company Map'!B:G,4,FALSE),"Custom 21 Exp Group Not Matched")</f>
        <v>0400</v>
      </c>
      <c r="BG31" s="77">
        <f>UKG!AZ31</f>
        <v>0</v>
      </c>
      <c r="BK31" s="18" t="s">
        <v>1421</v>
      </c>
      <c r="BL31" s="18" t="s">
        <v>1421</v>
      </c>
      <c r="BU31" s="18" t="str">
        <f>UKG!BL31</f>
        <v>N</v>
      </c>
      <c r="BV31" s="18" t="str">
        <f>UKG!BL31</f>
        <v>N</v>
      </c>
      <c r="CE31" s="18" t="s">
        <v>1421</v>
      </c>
    </row>
    <row r="32" spans="1:137" ht="16" hidden="1" thickBot="1" x14ac:dyDescent="0.25">
      <c r="A32" s="39" t="s">
        <v>1420</v>
      </c>
      <c r="B32" s="77" t="str">
        <f>UKG!BO32</f>
        <v>Reiner</v>
      </c>
      <c r="D32" s="77" t="str">
        <f>UKG!BN32</f>
        <v>Springer</v>
      </c>
      <c r="E32" s="77" t="str">
        <f>UKG!D32</f>
        <v>211634</v>
      </c>
      <c r="F32" s="77" t="str">
        <f t="shared" si="0"/>
        <v>REINER.SPRINGER@KALLER.COM.new.uat</v>
      </c>
      <c r="G32" s="18" t="s">
        <v>1427</v>
      </c>
      <c r="H32" s="77" t="str">
        <f>UKG!AQ32</f>
        <v>REINER.SPRINGER@KALLER.COM</v>
      </c>
      <c r="I32" s="18" t="str">
        <f>IFERROR(VLOOKUP(J32,'Language Map'!M:O,3,FALSE),"en_US")</f>
        <v>de_DE</v>
      </c>
      <c r="J32" s="77" t="str">
        <f>UKG!BF32</f>
        <v>DE</v>
      </c>
      <c r="L32" s="77" t="str">
        <f>IFERROR(VLOOKUP(UKG!BA32,'UKG Company Map'!B:G,7,FALSE),"Ledger Code Not Matched")</f>
        <v>Ledger Code Not Matched</v>
      </c>
      <c r="M32" s="18" t="str">
        <f>UKG!BH32</f>
        <v>EUR</v>
      </c>
      <c r="O32" s="18" t="str">
        <f>UKG!BJ32</f>
        <v>Y</v>
      </c>
      <c r="P32" s="18" t="str">
        <f>IFERROR(VLOOKUP(UKG!BA32,'UKG Company Map'!B:E,2,FALSE),"Org Unit 1 Not Mapped")</f>
        <v>0400</v>
      </c>
      <c r="Q32" s="77" t="str">
        <f>UKG!BB32</f>
        <v>140102</v>
      </c>
      <c r="W32" s="77" t="str">
        <f>UKG!Q32</f>
        <v>S17</v>
      </c>
      <c r="X32" s="18" t="str">
        <f>UKG!BC32</f>
        <v>Default</v>
      </c>
      <c r="Z32" s="18" t="str">
        <f>IFERROR(VLOOKUP(UKG!BA32,'UKG Company Map'!B:G,8,FALSE),"Custom 5 Not Matched")</f>
        <v>Custom 5 Not Matched</v>
      </c>
      <c r="AP32" s="18" t="str">
        <f>IFERROR(VLOOKUP(UKG!BA32,'UKG Company Map'!B:G,4,FALSE),"Custom 21 Exp Group Not Matched")</f>
        <v>0400</v>
      </c>
      <c r="BG32" s="77" t="str">
        <f>UKG!AZ32</f>
        <v>210868</v>
      </c>
      <c r="BK32" s="18" t="s">
        <v>1421</v>
      </c>
      <c r="BL32" s="18" t="s">
        <v>1421</v>
      </c>
      <c r="BU32" s="18" t="str">
        <f>UKG!BL32</f>
        <v>N</v>
      </c>
      <c r="BV32" s="18" t="str">
        <f>UKG!BL32</f>
        <v>N</v>
      </c>
      <c r="CE32" s="18" t="s">
        <v>1421</v>
      </c>
    </row>
    <row r="33" spans="1:83" ht="16" hidden="1" thickBot="1" x14ac:dyDescent="0.25">
      <c r="A33" s="39" t="s">
        <v>1420</v>
      </c>
      <c r="B33" s="77" t="str">
        <f>UKG!BO33</f>
        <v>Istvan</v>
      </c>
      <c r="D33" s="77" t="str">
        <f>UKG!BN33</f>
        <v>Tenk</v>
      </c>
      <c r="E33" s="77" t="str">
        <f>UKG!D33</f>
        <v>212910</v>
      </c>
      <c r="F33" s="77" t="str">
        <f t="shared" si="0"/>
        <v>ITENK@ONEBARNES.COM.new.uat</v>
      </c>
      <c r="G33" s="18" t="s">
        <v>1427</v>
      </c>
      <c r="H33" s="77" t="str">
        <f>UKG!AQ33</f>
        <v>ITENK@ONEBARNES.COM</v>
      </c>
      <c r="I33" s="18" t="str">
        <f>IFERROR(VLOOKUP(J33,'Language Map'!M:O,3,FALSE),"en_US")</f>
        <v>de_DE</v>
      </c>
      <c r="J33" s="77" t="str">
        <f>UKG!BF33</f>
        <v>DE</v>
      </c>
      <c r="L33" s="77" t="str">
        <f>IFERROR(VLOOKUP(UKG!BA33,'UKG Company Map'!B:G,7,FALSE),"Ledger Code Not Matched")</f>
        <v>Ledger Code Not Matched</v>
      </c>
      <c r="M33" s="18" t="str">
        <f>UKG!BH33</f>
        <v>EUR</v>
      </c>
      <c r="O33" s="18" t="str">
        <f>UKG!BJ33</f>
        <v>Y</v>
      </c>
      <c r="P33" s="18" t="str">
        <f>IFERROR(VLOOKUP(UKG!BA33,'UKG Company Map'!B:E,2,FALSE),"Org Unit 1 Not Mapped")</f>
        <v>0400</v>
      </c>
      <c r="Q33" s="77" t="str">
        <f>UKG!BB33</f>
        <v>140102</v>
      </c>
      <c r="W33" s="77" t="str">
        <f>UKG!Q33</f>
        <v>S20</v>
      </c>
      <c r="X33" s="18" t="str">
        <f>UKG!BC33</f>
        <v>Grade 20</v>
      </c>
      <c r="Z33" s="18" t="str">
        <f>IFERROR(VLOOKUP(UKG!BA33,'UKG Company Map'!B:G,8,FALSE),"Custom 5 Not Matched")</f>
        <v>Custom 5 Not Matched</v>
      </c>
      <c r="AP33" s="18" t="str">
        <f>IFERROR(VLOOKUP(UKG!BA33,'UKG Company Map'!B:G,4,FALSE),"Custom 21 Exp Group Not Matched")</f>
        <v>0400</v>
      </c>
      <c r="BG33" s="77" t="str">
        <f>UKG!AZ33</f>
        <v>207709</v>
      </c>
      <c r="BK33" s="18" t="s">
        <v>1421</v>
      </c>
      <c r="BL33" s="18" t="s">
        <v>1421</v>
      </c>
      <c r="BU33" s="18" t="str">
        <f>UKG!BL33</f>
        <v>N</v>
      </c>
      <c r="BV33" s="18" t="str">
        <f>UKG!BL33</f>
        <v>N</v>
      </c>
      <c r="CE33" s="18" t="s">
        <v>1421</v>
      </c>
    </row>
    <row r="34" spans="1:83" ht="16" hidden="1" thickBot="1" x14ac:dyDescent="0.25">
      <c r="A34" s="39" t="s">
        <v>1420</v>
      </c>
      <c r="B34" s="77" t="str">
        <f>UKG!BO34</f>
        <v>Hakan</v>
      </c>
      <c r="D34" s="77" t="str">
        <f>UKG!BN34</f>
        <v>Bozok</v>
      </c>
      <c r="E34" s="77" t="str">
        <f>UKG!D34</f>
        <v>207758</v>
      </c>
      <c r="F34" s="77" t="str">
        <f t="shared" si="0"/>
        <v>hbozok@onebarnes.com.new.uat</v>
      </c>
      <c r="G34" s="18" t="s">
        <v>1427</v>
      </c>
      <c r="H34" s="77" t="str">
        <f>UKG!AQ34</f>
        <v>hbozok@onebarnes.com</v>
      </c>
      <c r="I34" s="18" t="str">
        <f>IFERROR(VLOOKUP(J34,'Language Map'!M:O,3,FALSE),"en_US")</f>
        <v>fr_FR</v>
      </c>
      <c r="J34" s="77" t="str">
        <f>UKG!BF34</f>
        <v>FR</v>
      </c>
      <c r="L34" s="77" t="str">
        <f>IFERROR(VLOOKUP(UKG!BA34,'UKG Company Map'!B:G,7,FALSE),"Ledger Code Not Matched")</f>
        <v>Ledger Code Not Matched</v>
      </c>
      <c r="M34" s="18" t="str">
        <f>UKG!BH34</f>
        <v>EUR</v>
      </c>
      <c r="O34" s="18" t="str">
        <f>UKG!BJ34</f>
        <v>Y</v>
      </c>
      <c r="P34" s="18" t="str">
        <f>IFERROR(VLOOKUP(UKG!BA34,'UKG Company Map'!B:E,2,FALSE),"Org Unit 1 Not Mapped")</f>
        <v>0055</v>
      </c>
      <c r="Q34" s="77" t="str">
        <f>UKG!BB34</f>
        <v>000</v>
      </c>
      <c r="W34" s="77" t="str">
        <f>UKG!Q34</f>
        <v>S06</v>
      </c>
      <c r="X34" s="18" t="str">
        <f>UKG!BC34</f>
        <v>Default</v>
      </c>
      <c r="Z34" s="18" t="str">
        <f>IFERROR(VLOOKUP(UKG!BA34,'UKG Company Map'!B:G,8,FALSE),"Custom 5 Not Matched")</f>
        <v>Custom 5 Not Matched</v>
      </c>
      <c r="AP34" s="18" t="str">
        <f>IFERROR(VLOOKUP(UKG!BA34,'UKG Company Map'!B:G,4,FALSE),"Custom 21 Exp Group Not Matched")</f>
        <v>0055</v>
      </c>
      <c r="BG34" s="77" t="str">
        <f>UKG!AZ34</f>
        <v>206250</v>
      </c>
      <c r="BK34" s="18" t="s">
        <v>1421</v>
      </c>
      <c r="BL34" s="18" t="s">
        <v>1421</v>
      </c>
      <c r="BU34" s="18" t="str">
        <f>UKG!BL34</f>
        <v>N</v>
      </c>
      <c r="BV34" s="18" t="str">
        <f>UKG!BL34</f>
        <v>N</v>
      </c>
      <c r="CE34" s="18" t="s">
        <v>1421</v>
      </c>
    </row>
    <row r="35" spans="1:83" ht="16" hidden="1" thickBot="1" x14ac:dyDescent="0.25">
      <c r="A35" s="39" t="s">
        <v>1420</v>
      </c>
      <c r="B35" s="77" t="str">
        <f>UKG!BO35</f>
        <v>Stephane</v>
      </c>
      <c r="D35" s="77" t="str">
        <f>UKG!BN35</f>
        <v>Causse</v>
      </c>
      <c r="E35" s="77" t="str">
        <f>UKG!D35</f>
        <v>206251</v>
      </c>
      <c r="F35" s="77" t="str">
        <f t="shared" si="0"/>
        <v>scausse@onebarnes.com.new.uat</v>
      </c>
      <c r="G35" s="18" t="s">
        <v>1427</v>
      </c>
      <c r="H35" s="77" t="str">
        <f>UKG!AQ35</f>
        <v>scausse@onebarnes.com</v>
      </c>
      <c r="I35" s="18" t="str">
        <f>IFERROR(VLOOKUP(J35,'Language Map'!M:O,3,FALSE),"en_US")</f>
        <v>fr_FR</v>
      </c>
      <c r="J35" s="77" t="str">
        <f>UKG!BF35</f>
        <v>FR</v>
      </c>
      <c r="L35" s="77" t="str">
        <f>IFERROR(VLOOKUP(UKG!BA35,'UKG Company Map'!B:G,7,FALSE),"Ledger Code Not Matched")</f>
        <v>Ledger Code Not Matched</v>
      </c>
      <c r="M35" s="18" t="str">
        <f>UKG!BH35</f>
        <v>EUR</v>
      </c>
      <c r="O35" s="18" t="str">
        <f>UKG!BJ35</f>
        <v>Y</v>
      </c>
      <c r="P35" s="18" t="str">
        <f>IFERROR(VLOOKUP(UKG!BA35,'UKG Company Map'!B:E,2,FALSE),"Org Unit 1 Not Mapped")</f>
        <v>0055</v>
      </c>
      <c r="Q35" s="77" t="str">
        <f>UKG!BB35</f>
        <v>000</v>
      </c>
      <c r="W35" s="77" t="str">
        <f>UKG!Q35</f>
        <v>S04</v>
      </c>
      <c r="X35" s="18" t="str">
        <f>UKG!BC35</f>
        <v>Default</v>
      </c>
      <c r="Z35" s="18" t="str">
        <f>IFERROR(VLOOKUP(UKG!BA35,'UKG Company Map'!B:G,8,FALSE),"Custom 5 Not Matched")</f>
        <v>Custom 5 Not Matched</v>
      </c>
      <c r="AP35" s="18" t="str">
        <f>IFERROR(VLOOKUP(UKG!BA35,'UKG Company Map'!B:G,4,FALSE),"Custom 21 Exp Group Not Matched")</f>
        <v>0055</v>
      </c>
      <c r="BG35" s="77" t="str">
        <f>UKG!AZ35</f>
        <v>206248</v>
      </c>
      <c r="BK35" s="18" t="s">
        <v>1421</v>
      </c>
      <c r="BL35" s="18" t="s">
        <v>1421</v>
      </c>
      <c r="BU35" s="18" t="str">
        <f>UKG!BL35</f>
        <v>N</v>
      </c>
      <c r="BV35" s="18" t="str">
        <f>UKG!BL35</f>
        <v>N</v>
      </c>
      <c r="CE35" s="18" t="s">
        <v>1421</v>
      </c>
    </row>
    <row r="36" spans="1:83" ht="16" hidden="1" thickBot="1" x14ac:dyDescent="0.25">
      <c r="A36" s="39" t="s">
        <v>1420</v>
      </c>
      <c r="B36" s="77" t="str">
        <f>UKG!BO36</f>
        <v>Maria de la Cruz</v>
      </c>
      <c r="D36" s="77" t="str">
        <f>UKG!BN36</f>
        <v>Colombier</v>
      </c>
      <c r="E36" s="77" t="str">
        <f>UKG!D36</f>
        <v>209279</v>
      </c>
      <c r="F36" s="77" t="str">
        <f t="shared" si="0"/>
        <v>mcolombier@ressortsspec.com.new.uat</v>
      </c>
      <c r="G36" s="18" t="s">
        <v>1427</v>
      </c>
      <c r="H36" s="77" t="str">
        <f>UKG!AQ36</f>
        <v>mcolombier@ressortsspec.com</v>
      </c>
      <c r="I36" s="18" t="str">
        <f>IFERROR(VLOOKUP(J36,'Language Map'!M:O,3,FALSE),"en_US")</f>
        <v>fr_FR</v>
      </c>
      <c r="J36" s="77" t="str">
        <f>UKG!BF36</f>
        <v>FR</v>
      </c>
      <c r="L36" s="77" t="str">
        <f>IFERROR(VLOOKUP(UKG!BA36,'UKG Company Map'!B:G,7,FALSE),"Ledger Code Not Matched")</f>
        <v>Ledger Code Not Matched</v>
      </c>
      <c r="M36" s="18" t="str">
        <f>UKG!BH36</f>
        <v>EUR</v>
      </c>
      <c r="O36" s="18" t="str">
        <f>UKG!BJ36</f>
        <v>Y</v>
      </c>
      <c r="P36" s="18" t="str">
        <f>IFERROR(VLOOKUP(UKG!BA36,'UKG Company Map'!B:E,2,FALSE),"Org Unit 1 Not Mapped")</f>
        <v>0055</v>
      </c>
      <c r="Q36" s="77" t="str">
        <f>UKG!BB36</f>
        <v>000</v>
      </c>
      <c r="W36" s="77" t="str">
        <f>UKG!Q36</f>
        <v>S06</v>
      </c>
      <c r="X36" s="18" t="str">
        <f>UKG!BC36</f>
        <v>Default</v>
      </c>
      <c r="Z36" s="18" t="str">
        <f>IFERROR(VLOOKUP(UKG!BA36,'UKG Company Map'!B:G,8,FALSE),"Custom 5 Not Matched")</f>
        <v>Custom 5 Not Matched</v>
      </c>
      <c r="AP36" s="18" t="str">
        <f>IFERROR(VLOOKUP(UKG!BA36,'UKG Company Map'!B:G,4,FALSE),"Custom 21 Exp Group Not Matched")</f>
        <v>0055</v>
      </c>
      <c r="BG36" s="77" t="str">
        <f>UKG!AZ36</f>
        <v>206250</v>
      </c>
      <c r="BK36" s="18" t="s">
        <v>1421</v>
      </c>
      <c r="BL36" s="18" t="s">
        <v>1421</v>
      </c>
      <c r="BU36" s="18" t="str">
        <f>UKG!BL36</f>
        <v>N</v>
      </c>
      <c r="BV36" s="18" t="str">
        <f>UKG!BL36</f>
        <v>N</v>
      </c>
      <c r="CE36" s="18" t="s">
        <v>1421</v>
      </c>
    </row>
    <row r="37" spans="1:83" ht="16" hidden="1" thickBot="1" x14ac:dyDescent="0.25">
      <c r="A37" s="39" t="s">
        <v>1420</v>
      </c>
      <c r="B37" s="77" t="str">
        <f>UKG!BO37</f>
        <v>Florence</v>
      </c>
      <c r="D37" s="77" t="str">
        <f>UKG!BN37</f>
        <v>Coulleray</v>
      </c>
      <c r="E37" s="77" t="str">
        <f>UKG!D37</f>
        <v>206249</v>
      </c>
      <c r="F37" s="77" t="str">
        <f t="shared" si="0"/>
        <v>fcoulleray@ressortsspec.com.new.uat</v>
      </c>
      <c r="G37" s="18" t="s">
        <v>1427</v>
      </c>
      <c r="H37" s="77" t="str">
        <f>UKG!AQ37</f>
        <v>fcoulleray@ressortsspec.com</v>
      </c>
      <c r="I37" s="18" t="str">
        <f>IFERROR(VLOOKUP(J37,'Language Map'!M:O,3,FALSE),"en_US")</f>
        <v>fr_FR</v>
      </c>
      <c r="J37" s="77" t="str">
        <f>UKG!BF37</f>
        <v>FR</v>
      </c>
      <c r="L37" s="77" t="str">
        <f>IFERROR(VLOOKUP(UKG!BA37,'UKG Company Map'!B:G,7,FALSE),"Ledger Code Not Matched")</f>
        <v>Ledger Code Not Matched</v>
      </c>
      <c r="M37" s="18" t="str">
        <f>UKG!BH37</f>
        <v>EUR</v>
      </c>
      <c r="O37" s="18" t="str">
        <f>UKG!BJ37</f>
        <v>Y</v>
      </c>
      <c r="P37" s="18" t="str">
        <f>IFERROR(VLOOKUP(UKG!BA37,'UKG Company Map'!B:E,2,FALSE),"Org Unit 1 Not Mapped")</f>
        <v>0055</v>
      </c>
      <c r="Q37" s="77" t="str">
        <f>UKG!BB37</f>
        <v>000</v>
      </c>
      <c r="W37" s="77" t="str">
        <f>UKG!Q37</f>
        <v>S06</v>
      </c>
      <c r="X37" s="18" t="str">
        <f>UKG!BC37</f>
        <v>Default</v>
      </c>
      <c r="Z37" s="18" t="str">
        <f>IFERROR(VLOOKUP(UKG!BA37,'UKG Company Map'!B:G,8,FALSE),"Custom 5 Not Matched")</f>
        <v>Custom 5 Not Matched</v>
      </c>
      <c r="AP37" s="18" t="str">
        <f>IFERROR(VLOOKUP(UKG!BA37,'UKG Company Map'!B:G,4,FALSE),"Custom 21 Exp Group Not Matched")</f>
        <v>0055</v>
      </c>
      <c r="BG37" s="77" t="str">
        <f>UKG!AZ37</f>
        <v>206250</v>
      </c>
      <c r="BK37" s="18" t="s">
        <v>1421</v>
      </c>
      <c r="BL37" s="18" t="s">
        <v>1421</v>
      </c>
      <c r="BU37" s="18" t="str">
        <f>UKG!BL37</f>
        <v>N</v>
      </c>
      <c r="BV37" s="18" t="str">
        <f>UKG!BL37</f>
        <v>N</v>
      </c>
      <c r="CE37" s="18" t="s">
        <v>1421</v>
      </c>
    </row>
    <row r="38" spans="1:83" ht="16" hidden="1" thickBot="1" x14ac:dyDescent="0.25">
      <c r="A38" s="39" t="s">
        <v>1420</v>
      </c>
      <c r="B38" s="77" t="str">
        <f>UKG!BO38</f>
        <v>Sabrina</v>
      </c>
      <c r="D38" s="77" t="str">
        <f>UKG!BN38</f>
        <v>Dougdag</v>
      </c>
      <c r="E38" s="77" t="str">
        <f>UKG!D38</f>
        <v>209577</v>
      </c>
      <c r="F38" s="77" t="str">
        <f t="shared" si="0"/>
        <v>sdougdag@ressortsspec.com.new.uat</v>
      </c>
      <c r="G38" s="18" t="s">
        <v>1427</v>
      </c>
      <c r="H38" s="77" t="str">
        <f>UKG!AQ38</f>
        <v>sdougdag@ressortsspec.com</v>
      </c>
      <c r="I38" s="18" t="str">
        <f>IFERROR(VLOOKUP(J38,'Language Map'!M:O,3,FALSE),"en_US")</f>
        <v>fr_FR</v>
      </c>
      <c r="J38" s="77" t="str">
        <f>UKG!BF38</f>
        <v>FR</v>
      </c>
      <c r="L38" s="77" t="str">
        <f>IFERROR(VLOOKUP(UKG!BA38,'UKG Company Map'!B:G,7,FALSE),"Ledger Code Not Matched")</f>
        <v>Ledger Code Not Matched</v>
      </c>
      <c r="M38" s="18" t="str">
        <f>UKG!BH38</f>
        <v>EUR</v>
      </c>
      <c r="O38" s="18" t="str">
        <f>UKG!BJ38</f>
        <v>Y</v>
      </c>
      <c r="P38" s="18" t="str">
        <f>IFERROR(VLOOKUP(UKG!BA38,'UKG Company Map'!B:E,2,FALSE),"Org Unit 1 Not Mapped")</f>
        <v>0055</v>
      </c>
      <c r="Q38" s="77" t="str">
        <f>UKG!BB38</f>
        <v>000</v>
      </c>
      <c r="W38" s="77" t="str">
        <f>UKG!Q38</f>
        <v>S06</v>
      </c>
      <c r="X38" s="18" t="str">
        <f>UKG!BC38</f>
        <v>Default</v>
      </c>
      <c r="Z38" s="18" t="str">
        <f>IFERROR(VLOOKUP(UKG!BA38,'UKG Company Map'!B:G,8,FALSE),"Custom 5 Not Matched")</f>
        <v>Custom 5 Not Matched</v>
      </c>
      <c r="AP38" s="18" t="str">
        <f>IFERROR(VLOOKUP(UKG!BA38,'UKG Company Map'!B:G,4,FALSE),"Custom 21 Exp Group Not Matched")</f>
        <v>0055</v>
      </c>
      <c r="BG38" s="77" t="str">
        <f>UKG!AZ38</f>
        <v>206250</v>
      </c>
      <c r="BK38" s="18" t="s">
        <v>1421</v>
      </c>
      <c r="BL38" s="18" t="s">
        <v>1421</v>
      </c>
      <c r="BU38" s="18" t="str">
        <f>UKG!BL38</f>
        <v>N</v>
      </c>
      <c r="BV38" s="18" t="str">
        <f>UKG!BL38</f>
        <v>N</v>
      </c>
      <c r="CE38" s="18" t="s">
        <v>1421</v>
      </c>
    </row>
    <row r="39" spans="1:83" ht="16" hidden="1" thickBot="1" x14ac:dyDescent="0.25">
      <c r="A39" s="39" t="s">
        <v>1420</v>
      </c>
      <c r="B39" s="77" t="str">
        <f>UKG!BO39</f>
        <v>Olivier</v>
      </c>
      <c r="D39" s="77" t="str">
        <f>UKG!BN39</f>
        <v>Fauchereau</v>
      </c>
      <c r="E39" s="77" t="str">
        <f>UKG!D39</f>
        <v>206247</v>
      </c>
      <c r="F39" s="77" t="str">
        <f t="shared" si="0"/>
        <v>ofauchereau@ressortsspec.com.new.uat</v>
      </c>
      <c r="G39" s="18" t="s">
        <v>1427</v>
      </c>
      <c r="H39" s="77" t="str">
        <f>UKG!AQ39</f>
        <v>ofauchereau@ressortsspec.com</v>
      </c>
      <c r="I39" s="18" t="str">
        <f>IFERROR(VLOOKUP(J39,'Language Map'!M:O,3,FALSE),"en_US")</f>
        <v>fr_FR</v>
      </c>
      <c r="J39" s="77" t="str">
        <f>UKG!BF39</f>
        <v>FR</v>
      </c>
      <c r="L39" s="77" t="str">
        <f>IFERROR(VLOOKUP(UKG!BA39,'UKG Company Map'!B:G,7,FALSE),"Ledger Code Not Matched")</f>
        <v>Ledger Code Not Matched</v>
      </c>
      <c r="M39" s="18" t="str">
        <f>UKG!BH39</f>
        <v>EUR</v>
      </c>
      <c r="O39" s="18" t="str">
        <f>UKG!BJ39</f>
        <v>Y</v>
      </c>
      <c r="P39" s="18" t="str">
        <f>IFERROR(VLOOKUP(UKG!BA39,'UKG Company Map'!B:E,2,FALSE),"Org Unit 1 Not Mapped")</f>
        <v>0055</v>
      </c>
      <c r="Q39" s="77" t="str">
        <f>UKG!BB39</f>
        <v>000</v>
      </c>
      <c r="W39" s="77" t="str">
        <f>UKG!Q39</f>
        <v>S16</v>
      </c>
      <c r="X39" s="18" t="str">
        <f>UKG!BC39</f>
        <v>Default</v>
      </c>
      <c r="Z39" s="18" t="str">
        <f>IFERROR(VLOOKUP(UKG!BA39,'UKG Company Map'!B:G,8,FALSE),"Custom 5 Not Matched")</f>
        <v>Custom 5 Not Matched</v>
      </c>
      <c r="AP39" s="18" t="str">
        <f>IFERROR(VLOOKUP(UKG!BA39,'UKG Company Map'!B:G,4,FALSE),"Custom 21 Exp Group Not Matched")</f>
        <v>0055</v>
      </c>
      <c r="BG39" s="77" t="str">
        <f>UKG!AZ39</f>
        <v>207588</v>
      </c>
      <c r="BK39" s="18" t="s">
        <v>1421</v>
      </c>
      <c r="BL39" s="18" t="s">
        <v>1421</v>
      </c>
      <c r="BU39" s="18" t="str">
        <f>UKG!BL39</f>
        <v>N</v>
      </c>
      <c r="BV39" s="18" t="str">
        <f>UKG!BL39</f>
        <v>N</v>
      </c>
      <c r="CE39" s="18" t="s">
        <v>1421</v>
      </c>
    </row>
    <row r="40" spans="1:83" ht="16" hidden="1" thickBot="1" x14ac:dyDescent="0.25">
      <c r="A40" s="39" t="s">
        <v>1420</v>
      </c>
      <c r="B40" s="77" t="str">
        <f>UKG!BO40</f>
        <v>Rodolphe</v>
      </c>
      <c r="D40" s="77" t="str">
        <f>UKG!BN40</f>
        <v>Lampe</v>
      </c>
      <c r="E40" s="77" t="str">
        <f>UKG!D40</f>
        <v>213448</v>
      </c>
      <c r="F40" s="77" t="str">
        <f t="shared" si="0"/>
        <v>rlampe@ressortsspec.com.new.uat</v>
      </c>
      <c r="G40" s="18" t="s">
        <v>1427</v>
      </c>
      <c r="H40" s="77" t="str">
        <f>UKG!AQ40</f>
        <v>rlampe@ressortsspec.com</v>
      </c>
      <c r="I40" s="18" t="str">
        <f>IFERROR(VLOOKUP(J40,'Language Map'!M:O,3,FALSE),"en_US")</f>
        <v>fr_FR</v>
      </c>
      <c r="J40" s="77" t="str">
        <f>UKG!BF40</f>
        <v>FR</v>
      </c>
      <c r="L40" s="77" t="str">
        <f>IFERROR(VLOOKUP(UKG!BA40,'UKG Company Map'!B:G,7,FALSE),"Ledger Code Not Matched")</f>
        <v>Ledger Code Not Matched</v>
      </c>
      <c r="M40" s="18" t="str">
        <f>UKG!BH40</f>
        <v>EUR</v>
      </c>
      <c r="O40" s="18" t="str">
        <f>UKG!BJ40</f>
        <v>Y</v>
      </c>
      <c r="P40" s="18" t="str">
        <f>IFERROR(VLOOKUP(UKG!BA40,'UKG Company Map'!B:E,2,FALSE),"Org Unit 1 Not Mapped")</f>
        <v>0055</v>
      </c>
      <c r="Q40" s="77" t="str">
        <f>UKG!BB40</f>
        <v>000</v>
      </c>
      <c r="W40" s="77" t="str">
        <f>UKG!Q40</f>
        <v>S16</v>
      </c>
      <c r="X40" s="18" t="str">
        <f>UKG!BC40</f>
        <v>Default</v>
      </c>
      <c r="Z40" s="18" t="str">
        <f>IFERROR(VLOOKUP(UKG!BA40,'UKG Company Map'!B:G,8,FALSE),"Custom 5 Not Matched")</f>
        <v>Custom 5 Not Matched</v>
      </c>
      <c r="AP40" s="18" t="str">
        <f>IFERROR(VLOOKUP(UKG!BA40,'UKG Company Map'!B:G,4,FALSE),"Custom 21 Exp Group Not Matched")</f>
        <v>0055</v>
      </c>
      <c r="BG40" s="77" t="str">
        <f>UKG!AZ40</f>
        <v>206247</v>
      </c>
      <c r="BK40" s="18" t="s">
        <v>1421</v>
      </c>
      <c r="BL40" s="18" t="s">
        <v>1421</v>
      </c>
      <c r="BU40" s="18" t="str">
        <f>UKG!BL40</f>
        <v>N</v>
      </c>
      <c r="BV40" s="18" t="str">
        <f>UKG!BL40</f>
        <v>N</v>
      </c>
      <c r="CE40" s="18" t="s">
        <v>1421</v>
      </c>
    </row>
    <row r="41" spans="1:83" ht="16" hidden="1" thickBot="1" x14ac:dyDescent="0.25">
      <c r="A41" s="39" t="s">
        <v>1420</v>
      </c>
      <c r="B41" s="77" t="str">
        <f>UKG!BO41</f>
        <v>Luis M.</v>
      </c>
      <c r="D41" s="77" t="str">
        <f>UKG!BN41</f>
        <v>Lopes</v>
      </c>
      <c r="E41" s="77" t="str">
        <f>UKG!D41</f>
        <v>206248</v>
      </c>
      <c r="F41" s="77" t="str">
        <f t="shared" si="0"/>
        <v>llopes@onebarnes.com.new.uat</v>
      </c>
      <c r="G41" s="18" t="s">
        <v>1427</v>
      </c>
      <c r="H41" s="77" t="str">
        <f>UKG!AQ41</f>
        <v>llopes@onebarnes.com</v>
      </c>
      <c r="I41" s="18" t="str">
        <f>IFERROR(VLOOKUP(J41,'Language Map'!M:O,3,FALSE),"en_US")</f>
        <v>fr_FR</v>
      </c>
      <c r="J41" s="77" t="str">
        <f>UKG!BF41</f>
        <v>FR</v>
      </c>
      <c r="L41" s="77" t="str">
        <f>IFERROR(VLOOKUP(UKG!BA41,'UKG Company Map'!B:G,7,FALSE),"Ledger Code Not Matched")</f>
        <v>Ledger Code Not Matched</v>
      </c>
      <c r="M41" s="18" t="str">
        <f>UKG!BH41</f>
        <v>EUR</v>
      </c>
      <c r="O41" s="18" t="str">
        <f>UKG!BJ41</f>
        <v>Y</v>
      </c>
      <c r="P41" s="18" t="str">
        <f>IFERROR(VLOOKUP(UKG!BA41,'UKG Company Map'!B:E,2,FALSE),"Org Unit 1 Not Mapped")</f>
        <v>0055</v>
      </c>
      <c r="Q41" s="77" t="str">
        <f>UKG!BB41</f>
        <v>000</v>
      </c>
      <c r="W41" s="77" t="str">
        <f>UKG!Q41</f>
        <v>S08</v>
      </c>
      <c r="X41" s="18" t="str">
        <f>UKG!BC41</f>
        <v>Default</v>
      </c>
      <c r="Z41" s="18" t="str">
        <f>IFERROR(VLOOKUP(UKG!BA41,'UKG Company Map'!B:G,8,FALSE),"Custom 5 Not Matched")</f>
        <v>Custom 5 Not Matched</v>
      </c>
      <c r="AP41" s="18" t="str">
        <f>IFERROR(VLOOKUP(UKG!BA41,'UKG Company Map'!B:G,4,FALSE),"Custom 21 Exp Group Not Matched")</f>
        <v>0055</v>
      </c>
      <c r="BG41" s="77" t="str">
        <f>UKG!AZ41</f>
        <v>206250</v>
      </c>
      <c r="BK41" s="18" t="s">
        <v>1421</v>
      </c>
      <c r="BL41" s="18" t="s">
        <v>1421</v>
      </c>
      <c r="BU41" s="18" t="str">
        <f>UKG!BL41</f>
        <v>N</v>
      </c>
      <c r="BV41" s="18" t="str">
        <f>UKG!BL41</f>
        <v>N</v>
      </c>
      <c r="CE41" s="18" t="s">
        <v>1421</v>
      </c>
    </row>
    <row r="42" spans="1:83" ht="16" hidden="1" thickBot="1" x14ac:dyDescent="0.25">
      <c r="A42" s="39" t="s">
        <v>1420</v>
      </c>
      <c r="B42" s="77" t="str">
        <f>UKG!BO42</f>
        <v>Salima</v>
      </c>
      <c r="D42" s="77" t="str">
        <f>UKG!BN42</f>
        <v>Messaoui</v>
      </c>
      <c r="E42" s="77" t="str">
        <f>UKG!D42</f>
        <v>206250</v>
      </c>
      <c r="F42" s="77" t="str">
        <f t="shared" si="0"/>
        <v>smessaoui@onebarnes.com.new.uat</v>
      </c>
      <c r="G42" s="18" t="s">
        <v>1427</v>
      </c>
      <c r="H42" s="77" t="str">
        <f>UKG!AQ42</f>
        <v>smessaoui@onebarnes.com</v>
      </c>
      <c r="I42" s="18" t="str">
        <f>IFERROR(VLOOKUP(J42,'Language Map'!M:O,3,FALSE),"en_US")</f>
        <v>fr_FR</v>
      </c>
      <c r="J42" s="77" t="str">
        <f>UKG!BF42</f>
        <v>FR</v>
      </c>
      <c r="L42" s="77" t="str">
        <f>IFERROR(VLOOKUP(UKG!BA42,'UKG Company Map'!B:G,7,FALSE),"Ledger Code Not Matched")</f>
        <v>Ledger Code Not Matched</v>
      </c>
      <c r="M42" s="18" t="str">
        <f>UKG!BH42</f>
        <v>EUR</v>
      </c>
      <c r="O42" s="18" t="str">
        <f>UKG!BJ42</f>
        <v>Y</v>
      </c>
      <c r="P42" s="18" t="str">
        <f>IFERROR(VLOOKUP(UKG!BA42,'UKG Company Map'!B:E,2,FALSE),"Org Unit 1 Not Mapped")</f>
        <v>0055</v>
      </c>
      <c r="Q42" s="77" t="str">
        <f>UKG!BB42</f>
        <v>000</v>
      </c>
      <c r="W42" s="77" t="str">
        <f>UKG!Q42</f>
        <v>S15</v>
      </c>
      <c r="X42" s="18" t="str">
        <f>UKG!BC42</f>
        <v>Default</v>
      </c>
      <c r="Z42" s="18" t="str">
        <f>IFERROR(VLOOKUP(UKG!BA42,'UKG Company Map'!B:G,8,FALSE),"Custom 5 Not Matched")</f>
        <v>Custom 5 Not Matched</v>
      </c>
      <c r="AP42" s="18" t="str">
        <f>IFERROR(VLOOKUP(UKG!BA42,'UKG Company Map'!B:G,4,FALSE),"Custom 21 Exp Group Not Matched")</f>
        <v>0055</v>
      </c>
      <c r="BG42" s="77" t="str">
        <f>UKG!AZ42</f>
        <v>205389</v>
      </c>
      <c r="BK42" s="18" t="s">
        <v>1421</v>
      </c>
      <c r="BL42" s="18" t="s">
        <v>1421</v>
      </c>
      <c r="BU42" s="18" t="str">
        <f>UKG!BL42</f>
        <v>N</v>
      </c>
      <c r="BV42" s="18" t="str">
        <f>UKG!BL42</f>
        <v>N</v>
      </c>
      <c r="CE42" s="18" t="s">
        <v>1421</v>
      </c>
    </row>
    <row r="43" spans="1:83" ht="16" hidden="1" thickBot="1" x14ac:dyDescent="0.25">
      <c r="A43" s="39" t="s">
        <v>1420</v>
      </c>
      <c r="B43" s="77" t="str">
        <f>UKG!BO43</f>
        <v>Can</v>
      </c>
      <c r="D43" s="77" t="str">
        <f>UKG!BN43</f>
        <v>Özkan</v>
      </c>
      <c r="E43" s="77" t="str">
        <f>UKG!D43</f>
        <v>209086</v>
      </c>
      <c r="F43" s="77" t="str">
        <f t="shared" si="0"/>
        <v>cozkan@onebarnes.com.new.uat</v>
      </c>
      <c r="G43" s="18" t="s">
        <v>1427</v>
      </c>
      <c r="H43" s="77" t="str">
        <f>UKG!AQ43</f>
        <v>cozkan@onebarnes.com</v>
      </c>
      <c r="I43" s="18" t="str">
        <f>IFERROR(VLOOKUP(J43,'Language Map'!M:O,3,FALSE),"en_US")</f>
        <v>fr_FR</v>
      </c>
      <c r="J43" s="77" t="str">
        <f>UKG!BF43</f>
        <v>FR</v>
      </c>
      <c r="L43" s="77" t="str">
        <f>IFERROR(VLOOKUP(UKG!BA43,'UKG Company Map'!B:G,7,FALSE),"Ledger Code Not Matched")</f>
        <v>Ledger Code Not Matched</v>
      </c>
      <c r="M43" s="18" t="str">
        <f>UKG!BH43</f>
        <v>EUR</v>
      </c>
      <c r="O43" s="18" t="str">
        <f>UKG!BJ43</f>
        <v>Y</v>
      </c>
      <c r="P43" s="18" t="str">
        <f>IFERROR(VLOOKUP(UKG!BA43,'UKG Company Map'!B:E,2,FALSE),"Org Unit 1 Not Mapped")</f>
        <v>0055</v>
      </c>
      <c r="Q43" s="77" t="str">
        <f>UKG!BB43</f>
        <v>000</v>
      </c>
      <c r="W43" s="77" t="str">
        <f>UKG!Q43</f>
        <v>S13</v>
      </c>
      <c r="X43" s="18" t="str">
        <f>UKG!BC43</f>
        <v>Default</v>
      </c>
      <c r="Z43" s="18" t="str">
        <f>IFERROR(VLOOKUP(UKG!BA43,'UKG Company Map'!B:G,8,FALSE),"Custom 5 Not Matched")</f>
        <v>Custom 5 Not Matched</v>
      </c>
      <c r="AP43" s="18" t="str">
        <f>IFERROR(VLOOKUP(UKG!BA43,'UKG Company Map'!B:G,4,FALSE),"Custom 21 Exp Group Not Matched")</f>
        <v>0055</v>
      </c>
      <c r="BG43" s="77" t="str">
        <f>UKG!AZ43</f>
        <v>211601</v>
      </c>
      <c r="BK43" s="18" t="s">
        <v>1421</v>
      </c>
      <c r="BL43" s="18" t="s">
        <v>1421</v>
      </c>
      <c r="BU43" s="18" t="str">
        <f>UKG!BL43</f>
        <v>N</v>
      </c>
      <c r="BV43" s="18" t="str">
        <f>UKG!BL43</f>
        <v>N</v>
      </c>
      <c r="CE43" s="18" t="s">
        <v>1421</v>
      </c>
    </row>
    <row r="44" spans="1:83" ht="16" hidden="1" thickBot="1" x14ac:dyDescent="0.25">
      <c r="A44" s="39" t="s">
        <v>1420</v>
      </c>
      <c r="B44" s="77" t="str">
        <f>UKG!BO44</f>
        <v>Lizbeth V.</v>
      </c>
      <c r="D44" s="77" t="str">
        <f>UKG!BN44</f>
        <v>Tensorer</v>
      </c>
      <c r="E44" s="77" t="str">
        <f>UKG!D44</f>
        <v>211490</v>
      </c>
      <c r="F44" s="77" t="str">
        <f t="shared" si="0"/>
        <v>ltensorer@onebarnes.com.new.uat</v>
      </c>
      <c r="G44" s="18" t="s">
        <v>1427</v>
      </c>
      <c r="H44" s="77" t="str">
        <f>UKG!AQ44</f>
        <v>ltensorer@onebarnes.com</v>
      </c>
      <c r="I44" s="18" t="str">
        <f>IFERROR(VLOOKUP(J44,'Language Map'!M:O,3,FALSE),"en_US")</f>
        <v>fr_FR</v>
      </c>
      <c r="J44" s="77" t="str">
        <f>UKG!BF44</f>
        <v>FR</v>
      </c>
      <c r="L44" s="77" t="str">
        <f>IFERROR(VLOOKUP(UKG!BA44,'UKG Company Map'!B:G,7,FALSE),"Ledger Code Not Matched")</f>
        <v>Ledger Code Not Matched</v>
      </c>
      <c r="M44" s="18" t="str">
        <f>UKG!BH44</f>
        <v>EUR</v>
      </c>
      <c r="O44" s="18" t="str">
        <f>UKG!BJ44</f>
        <v>Y</v>
      </c>
      <c r="P44" s="18" t="str">
        <f>IFERROR(VLOOKUP(UKG!BA44,'UKG Company Map'!B:E,2,FALSE),"Org Unit 1 Not Mapped")</f>
        <v>0055</v>
      </c>
      <c r="Q44" s="77" t="str">
        <f>UKG!BB44</f>
        <v>000</v>
      </c>
      <c r="W44" s="77" t="str">
        <f>UKG!Q44</f>
        <v>S06</v>
      </c>
      <c r="X44" s="18" t="str">
        <f>UKG!BC44</f>
        <v>Default</v>
      </c>
      <c r="Z44" s="18" t="str">
        <f>IFERROR(VLOOKUP(UKG!BA44,'UKG Company Map'!B:G,8,FALSE),"Custom 5 Not Matched")</f>
        <v>Custom 5 Not Matched</v>
      </c>
      <c r="AP44" s="18" t="str">
        <f>IFERROR(VLOOKUP(UKG!BA44,'UKG Company Map'!B:G,4,FALSE),"Custom 21 Exp Group Not Matched")</f>
        <v>0055</v>
      </c>
      <c r="BG44" s="77" t="str">
        <f>UKG!AZ44</f>
        <v>206250</v>
      </c>
      <c r="BK44" s="18" t="s">
        <v>1421</v>
      </c>
      <c r="BL44" s="18" t="s">
        <v>1421</v>
      </c>
      <c r="BU44" s="18" t="str">
        <f>UKG!BL44</f>
        <v>N</v>
      </c>
      <c r="BV44" s="18" t="str">
        <f>UKG!BL44</f>
        <v>N</v>
      </c>
      <c r="CE44" s="18" t="s">
        <v>1421</v>
      </c>
    </row>
    <row r="45" spans="1:83" ht="16" hidden="1" thickBot="1" x14ac:dyDescent="0.25">
      <c r="A45" s="39" t="s">
        <v>1420</v>
      </c>
      <c r="B45" s="77" t="str">
        <f>UKG!BO45</f>
        <v>Babatunde</v>
      </c>
      <c r="D45" s="77" t="str">
        <f>UKG!BN45</f>
        <v>Adewalure</v>
      </c>
      <c r="E45" s="77" t="str">
        <f>UKG!D45</f>
        <v>203011</v>
      </c>
      <c r="F45" s="77" t="str">
        <f t="shared" si="0"/>
        <v>TAdewalure@onebarnes.com.new.uat</v>
      </c>
      <c r="G45" s="18" t="s">
        <v>1427</v>
      </c>
      <c r="H45" s="77" t="str">
        <f>UKG!AQ45</f>
        <v>TAdewalure@onebarnes.com</v>
      </c>
      <c r="I45" s="18" t="str">
        <f>IFERROR(VLOOKUP(J45,'Language Map'!M:O,3,FALSE),"en_US")</f>
        <v>en_GB</v>
      </c>
      <c r="J45" s="77" t="str">
        <f>UKG!BF45</f>
        <v>GB</v>
      </c>
      <c r="L45" s="77" t="str">
        <f>IFERROR(VLOOKUP(UKG!BA45,'UKG Company Map'!B:G,7,FALSE),"Ledger Code Not Matched")</f>
        <v>Ledger Code Not Matched</v>
      </c>
      <c r="M45" s="18" t="str">
        <f>UKG!BH45</f>
        <v>GBP</v>
      </c>
      <c r="O45" s="18" t="str">
        <f>UKG!BJ45</f>
        <v>Y</v>
      </c>
      <c r="P45" s="18" t="str">
        <f>IFERROR(VLOOKUP(UKG!BA45,'UKG Company Map'!B:E,2,FALSE),"Org Unit 1 Not Mapped")</f>
        <v>0035</v>
      </c>
      <c r="Q45" s="77" t="str">
        <f>UKG!BB45</f>
        <v>000</v>
      </c>
      <c r="W45" s="77" t="str">
        <f>UKG!Q45</f>
        <v>S19</v>
      </c>
      <c r="X45" s="18" t="str">
        <f>UKG!BC45</f>
        <v>Default</v>
      </c>
      <c r="Z45" s="18" t="str">
        <f>IFERROR(VLOOKUP(UKG!BA45,'UKG Company Map'!B:G,8,FALSE),"Custom 5 Not Matched")</f>
        <v>Custom 5 Not Matched</v>
      </c>
      <c r="AP45" s="18" t="str">
        <f>IFERROR(VLOOKUP(UKG!BA45,'UKG Company Map'!B:G,4,FALSE),"Custom 21 Exp Group Not Matched")</f>
        <v>0035</v>
      </c>
      <c r="BG45" s="77" t="str">
        <f>UKG!AZ45</f>
        <v>207709</v>
      </c>
      <c r="BK45" s="18" t="s">
        <v>1421</v>
      </c>
      <c r="BL45" s="18" t="s">
        <v>1421</v>
      </c>
      <c r="BU45" s="18" t="str">
        <f>UKG!BL45</f>
        <v>N</v>
      </c>
      <c r="BV45" s="18" t="str">
        <f>UKG!BL45</f>
        <v>N</v>
      </c>
      <c r="CE45" s="18" t="s">
        <v>1421</v>
      </c>
    </row>
    <row r="46" spans="1:83" ht="16" hidden="1" thickBot="1" x14ac:dyDescent="0.25">
      <c r="A46" s="39" t="s">
        <v>1420</v>
      </c>
      <c r="B46" s="77" t="str">
        <f>UKG!BO46</f>
        <v>Lewis</v>
      </c>
      <c r="D46" s="77" t="str">
        <f>UKG!BN46</f>
        <v>Baxter</v>
      </c>
      <c r="E46" s="77" t="str">
        <f>UKG!D46</f>
        <v>210867</v>
      </c>
      <c r="F46" s="77" t="str">
        <f t="shared" si="0"/>
        <v>lbaxter@onebarnes.com.new.uat</v>
      </c>
      <c r="G46" s="18" t="s">
        <v>1427</v>
      </c>
      <c r="H46" s="77" t="str">
        <f>UKG!AQ46</f>
        <v>lbaxter@onebarnes.com</v>
      </c>
      <c r="I46" s="18" t="str">
        <f>IFERROR(VLOOKUP(J46,'Language Map'!M:O,3,FALSE),"en_US")</f>
        <v>en_GB</v>
      </c>
      <c r="J46" s="77" t="str">
        <f>UKG!BF46</f>
        <v>GB</v>
      </c>
      <c r="L46" s="77" t="str">
        <f>IFERROR(VLOOKUP(UKG!BA46,'UKG Company Map'!B:G,7,FALSE),"Ledger Code Not Matched")</f>
        <v>Ledger Code Not Matched</v>
      </c>
      <c r="M46" s="18" t="str">
        <f>UKG!BH46</f>
        <v>GBP</v>
      </c>
      <c r="O46" s="18" t="str">
        <f>UKG!BJ46</f>
        <v>Y</v>
      </c>
      <c r="P46" s="18" t="str">
        <f>IFERROR(VLOOKUP(UKG!BA46,'UKG Company Map'!B:E,2,FALSE),"Org Unit 1 Not Mapped")</f>
        <v>0035</v>
      </c>
      <c r="Q46" s="77" t="str">
        <f>UKG!BB46</f>
        <v>000</v>
      </c>
      <c r="W46" s="77" t="str">
        <f>UKG!Q46</f>
        <v>S15</v>
      </c>
      <c r="X46" s="18" t="str">
        <f>UKG!BC46</f>
        <v>Default</v>
      </c>
      <c r="Z46" s="18" t="str">
        <f>IFERROR(VLOOKUP(UKG!BA46,'UKG Company Map'!B:G,8,FALSE),"Custom 5 Not Matched")</f>
        <v>Custom 5 Not Matched</v>
      </c>
      <c r="AP46" s="18" t="str">
        <f>IFERROR(VLOOKUP(UKG!BA46,'UKG Company Map'!B:G,4,FALSE),"Custom 21 Exp Group Not Matched")</f>
        <v>0035</v>
      </c>
      <c r="BG46" s="77" t="str">
        <f>UKG!AZ46</f>
        <v>206247</v>
      </c>
      <c r="BK46" s="18" t="s">
        <v>1421</v>
      </c>
      <c r="BL46" s="18" t="s">
        <v>1421</v>
      </c>
      <c r="BU46" s="18" t="str">
        <f>UKG!BL46</f>
        <v>N</v>
      </c>
      <c r="BV46" s="18" t="str">
        <f>UKG!BL46</f>
        <v>N</v>
      </c>
      <c r="CE46" s="18" t="s">
        <v>1421</v>
      </c>
    </row>
    <row r="47" spans="1:83" ht="16" hidden="1" thickBot="1" x14ac:dyDescent="0.25">
      <c r="A47" s="39" t="s">
        <v>1420</v>
      </c>
      <c r="B47" s="77" t="str">
        <f>UKG!BO47</f>
        <v>Karen A.</v>
      </c>
      <c r="D47" s="77" t="str">
        <f>UKG!BN47</f>
        <v>Birch</v>
      </c>
      <c r="E47" s="77" t="str">
        <f>UKG!D47</f>
        <v>203017</v>
      </c>
      <c r="F47" s="77" t="str">
        <f t="shared" si="0"/>
        <v>kbirch@assocspring.co.uk.new.uat</v>
      </c>
      <c r="G47" s="18" t="s">
        <v>1427</v>
      </c>
      <c r="H47" s="77" t="str">
        <f>UKG!AQ47</f>
        <v>kbirch@assocspring.co.uk</v>
      </c>
      <c r="I47" s="18" t="str">
        <f>IFERROR(VLOOKUP(J47,'Language Map'!M:O,3,FALSE),"en_US")</f>
        <v>en_GB</v>
      </c>
      <c r="J47" s="77" t="str">
        <f>UKG!BF47</f>
        <v>GB</v>
      </c>
      <c r="L47" s="77" t="str">
        <f>IFERROR(VLOOKUP(UKG!BA47,'UKG Company Map'!B:G,7,FALSE),"Ledger Code Not Matched")</f>
        <v>Ledger Code Not Matched</v>
      </c>
      <c r="M47" s="18" t="str">
        <f>UKG!BH47</f>
        <v>GBP</v>
      </c>
      <c r="O47" s="18" t="str">
        <f>UKG!BJ47</f>
        <v>Y</v>
      </c>
      <c r="P47" s="18" t="str">
        <f>IFERROR(VLOOKUP(UKG!BA47,'UKG Company Map'!B:E,2,FALSE),"Org Unit 1 Not Mapped")</f>
        <v>0035</v>
      </c>
      <c r="Q47" s="77" t="str">
        <f>UKG!BB47</f>
        <v>000</v>
      </c>
      <c r="W47" s="77" t="str">
        <f>UKG!Q47</f>
        <v>S12</v>
      </c>
      <c r="X47" s="18" t="str">
        <f>UKG!BC47</f>
        <v>Default</v>
      </c>
      <c r="Z47" s="18" t="str">
        <f>IFERROR(VLOOKUP(UKG!BA47,'UKG Company Map'!B:G,8,FALSE),"Custom 5 Not Matched")</f>
        <v>Custom 5 Not Matched</v>
      </c>
      <c r="AP47" s="18" t="str">
        <f>IFERROR(VLOOKUP(UKG!BA47,'UKG Company Map'!B:G,4,FALSE),"Custom 21 Exp Group Not Matched")</f>
        <v>0035</v>
      </c>
      <c r="BG47" s="77" t="str">
        <f>UKG!AZ47</f>
        <v>203016</v>
      </c>
      <c r="BK47" s="18" t="s">
        <v>1421</v>
      </c>
      <c r="BL47" s="18" t="s">
        <v>1421</v>
      </c>
      <c r="BU47" s="18" t="str">
        <f>UKG!BL47</f>
        <v>N</v>
      </c>
      <c r="BV47" s="18" t="str">
        <f>UKG!BL47</f>
        <v>N</v>
      </c>
      <c r="CE47" s="18" t="s">
        <v>1421</v>
      </c>
    </row>
    <row r="48" spans="1:83" ht="16" hidden="1" thickBot="1" x14ac:dyDescent="0.25">
      <c r="A48" s="39" t="s">
        <v>1420</v>
      </c>
      <c r="B48" s="77" t="str">
        <f>UKG!BO48</f>
        <v>Rebecca</v>
      </c>
      <c r="D48" s="77" t="str">
        <f>UKG!BN48</f>
        <v>Bishop</v>
      </c>
      <c r="E48" s="77" t="str">
        <f>UKG!D48</f>
        <v>203016</v>
      </c>
      <c r="F48" s="77" t="str">
        <f t="shared" si="0"/>
        <v>rbishop@onebarnes.com.new.uat</v>
      </c>
      <c r="G48" s="18" t="s">
        <v>1427</v>
      </c>
      <c r="H48" s="77" t="str">
        <f>UKG!AQ48</f>
        <v>rbishop@onebarnes.com</v>
      </c>
      <c r="I48" s="18" t="str">
        <f>IFERROR(VLOOKUP(J48,'Language Map'!M:O,3,FALSE),"en_US")</f>
        <v>en_GB</v>
      </c>
      <c r="J48" s="77" t="str">
        <f>UKG!BF48</f>
        <v>GB</v>
      </c>
      <c r="L48" s="77" t="str">
        <f>IFERROR(VLOOKUP(UKG!BA48,'UKG Company Map'!B:G,7,FALSE),"Ledger Code Not Matched")</f>
        <v>Ledger Code Not Matched</v>
      </c>
      <c r="M48" s="18" t="str">
        <f>UKG!BH48</f>
        <v>GBP</v>
      </c>
      <c r="O48" s="18" t="str">
        <f>UKG!BJ48</f>
        <v>Y</v>
      </c>
      <c r="P48" s="18" t="str">
        <f>IFERROR(VLOOKUP(UKG!BA48,'UKG Company Map'!B:E,2,FALSE),"Org Unit 1 Not Mapped")</f>
        <v>0035</v>
      </c>
      <c r="Q48" s="77" t="str">
        <f>UKG!BB48</f>
        <v>000</v>
      </c>
      <c r="W48" s="77" t="str">
        <f>UKG!Q48</f>
        <v>S16</v>
      </c>
      <c r="X48" s="18" t="str">
        <f>UKG!BC48</f>
        <v>Default</v>
      </c>
      <c r="Z48" s="18" t="str">
        <f>IFERROR(VLOOKUP(UKG!BA48,'UKG Company Map'!B:G,8,FALSE),"Custom 5 Not Matched")</f>
        <v>Custom 5 Not Matched</v>
      </c>
      <c r="AP48" s="18" t="str">
        <f>IFERROR(VLOOKUP(UKG!BA48,'UKG Company Map'!B:G,4,FALSE),"Custom 21 Exp Group Not Matched")</f>
        <v>0035</v>
      </c>
      <c r="BG48" s="77" t="str">
        <f>UKG!AZ48</f>
        <v>205389</v>
      </c>
      <c r="BK48" s="18" t="s">
        <v>1421</v>
      </c>
      <c r="BL48" s="18" t="s">
        <v>1421</v>
      </c>
      <c r="BU48" s="18" t="str">
        <f>UKG!BL48</f>
        <v>N</v>
      </c>
      <c r="BV48" s="18" t="str">
        <f>UKG!BL48</f>
        <v>N</v>
      </c>
      <c r="CE48" s="18" t="s">
        <v>1421</v>
      </c>
    </row>
    <row r="49" spans="1:83" ht="16" hidden="1" thickBot="1" x14ac:dyDescent="0.25">
      <c r="A49" s="39" t="s">
        <v>1420</v>
      </c>
      <c r="B49" s="77" t="str">
        <f>UKG!BO49</f>
        <v>Thomas</v>
      </c>
      <c r="D49" s="77" t="str">
        <f>UKG!BN49</f>
        <v>Cuthbert</v>
      </c>
      <c r="E49" s="77" t="str">
        <f>UKG!D49</f>
        <v>206835</v>
      </c>
      <c r="F49" s="77" t="str">
        <f t="shared" si="0"/>
        <v>tcuthbert@onebarnes.com.new.uat</v>
      </c>
      <c r="G49" s="18" t="s">
        <v>1427</v>
      </c>
      <c r="H49" s="77" t="str">
        <f>UKG!AQ49</f>
        <v>tcuthbert@onebarnes.com</v>
      </c>
      <c r="I49" s="18" t="str">
        <f>IFERROR(VLOOKUP(J49,'Language Map'!M:O,3,FALSE),"en_US")</f>
        <v>en_GB</v>
      </c>
      <c r="J49" s="77" t="str">
        <f>UKG!BF49</f>
        <v>GB</v>
      </c>
      <c r="L49" s="77" t="str">
        <f>IFERROR(VLOOKUP(UKG!BA49,'UKG Company Map'!B:G,7,FALSE),"Ledger Code Not Matched")</f>
        <v>Ledger Code Not Matched</v>
      </c>
      <c r="M49" s="18" t="str">
        <f>UKG!BH49</f>
        <v>GBP</v>
      </c>
      <c r="O49" s="18" t="str">
        <f>UKG!BJ49</f>
        <v>Y</v>
      </c>
      <c r="P49" s="18" t="str">
        <f>IFERROR(VLOOKUP(UKG!BA49,'UKG Company Map'!B:E,2,FALSE),"Org Unit 1 Not Mapped")</f>
        <v>0035</v>
      </c>
      <c r="Q49" s="77" t="str">
        <f>UKG!BB49</f>
        <v>000</v>
      </c>
      <c r="W49" s="77" t="str">
        <f>UKG!Q49</f>
        <v>S12</v>
      </c>
      <c r="X49" s="18" t="str">
        <f>UKG!BC49</f>
        <v>Default</v>
      </c>
      <c r="Z49" s="18" t="str">
        <f>IFERROR(VLOOKUP(UKG!BA49,'UKG Company Map'!B:G,8,FALSE),"Custom 5 Not Matched")</f>
        <v>Custom 5 Not Matched</v>
      </c>
      <c r="AP49" s="18" t="str">
        <f>IFERROR(VLOOKUP(UKG!BA49,'UKG Company Map'!B:G,4,FALSE),"Custom 21 Exp Group Not Matched")</f>
        <v>0035</v>
      </c>
      <c r="BG49" s="77" t="str">
        <f>UKG!AZ49</f>
        <v>203016</v>
      </c>
      <c r="BK49" s="18" t="s">
        <v>1421</v>
      </c>
      <c r="BL49" s="18" t="s">
        <v>1421</v>
      </c>
      <c r="BU49" s="18" t="str">
        <f>UKG!BL49</f>
        <v>N</v>
      </c>
      <c r="BV49" s="18" t="str">
        <f>UKG!BL49</f>
        <v>N</v>
      </c>
      <c r="CE49" s="18" t="s">
        <v>1421</v>
      </c>
    </row>
    <row r="50" spans="1:83" ht="16" hidden="1" thickBot="1" x14ac:dyDescent="0.25">
      <c r="A50" s="39" t="s">
        <v>1420</v>
      </c>
      <c r="B50" s="77" t="str">
        <f>UKG!BO50</f>
        <v>Chris</v>
      </c>
      <c r="D50" s="77" t="str">
        <f>UKG!BN50</f>
        <v>Englefield</v>
      </c>
      <c r="E50" s="77" t="str">
        <f>UKG!D50</f>
        <v>210598</v>
      </c>
      <c r="F50" s="77" t="str">
        <f t="shared" si="0"/>
        <v>cenglefield@onebarnes.com.new.uat</v>
      </c>
      <c r="G50" s="18" t="s">
        <v>1427</v>
      </c>
      <c r="H50" s="77" t="str">
        <f>UKG!AQ50</f>
        <v>cenglefield@onebarnes.com</v>
      </c>
      <c r="I50" s="18" t="str">
        <f>IFERROR(VLOOKUP(J50,'Language Map'!M:O,3,FALSE),"en_US")</f>
        <v>en_GB</v>
      </c>
      <c r="J50" s="77" t="str">
        <f>UKG!BF50</f>
        <v>GB</v>
      </c>
      <c r="L50" s="77" t="str">
        <f>IFERROR(VLOOKUP(UKG!BA50,'UKG Company Map'!B:G,7,FALSE),"Ledger Code Not Matched")</f>
        <v>Ledger Code Not Matched</v>
      </c>
      <c r="M50" s="18" t="str">
        <f>UKG!BH50</f>
        <v>GBP</v>
      </c>
      <c r="O50" s="18" t="str">
        <f>UKG!BJ50</f>
        <v>Y</v>
      </c>
      <c r="P50" s="18" t="str">
        <f>IFERROR(VLOOKUP(UKG!BA50,'UKG Company Map'!B:E,2,FALSE),"Org Unit 1 Not Mapped")</f>
        <v>0035</v>
      </c>
      <c r="Q50" s="77" t="str">
        <f>UKG!BB50</f>
        <v>000</v>
      </c>
      <c r="W50" s="77" t="str">
        <f>UKG!Q50</f>
        <v>S15</v>
      </c>
      <c r="X50" s="18" t="str">
        <f>UKG!BC50</f>
        <v>Default</v>
      </c>
      <c r="Z50" s="18" t="str">
        <f>IFERROR(VLOOKUP(UKG!BA50,'UKG Company Map'!B:G,8,FALSE),"Custom 5 Not Matched")</f>
        <v>Custom 5 Not Matched</v>
      </c>
      <c r="AP50" s="18" t="str">
        <f>IFERROR(VLOOKUP(UKG!BA50,'UKG Company Map'!B:G,4,FALSE),"Custom 21 Exp Group Not Matched")</f>
        <v>0035</v>
      </c>
      <c r="BG50" s="77" t="str">
        <f>UKG!AZ50</f>
        <v>211766</v>
      </c>
      <c r="BK50" s="18" t="s">
        <v>1421</v>
      </c>
      <c r="BL50" s="18" t="s">
        <v>1421</v>
      </c>
      <c r="BU50" s="18" t="str">
        <f>UKG!BL50</f>
        <v>N</v>
      </c>
      <c r="BV50" s="18" t="str">
        <f>UKG!BL50</f>
        <v>N</v>
      </c>
      <c r="CE50" s="18" t="s">
        <v>1421</v>
      </c>
    </row>
    <row r="51" spans="1:83" ht="16" hidden="1" thickBot="1" x14ac:dyDescent="0.25">
      <c r="A51" s="39" t="s">
        <v>1420</v>
      </c>
      <c r="B51" s="77" t="str">
        <f>UKG!BO51</f>
        <v>Craig T.</v>
      </c>
      <c r="D51" s="77" t="str">
        <f>UKG!BN51</f>
        <v>Ganse</v>
      </c>
      <c r="E51" s="77" t="str">
        <f>UKG!D51</f>
        <v>212849</v>
      </c>
      <c r="F51" s="77" t="str">
        <f t="shared" si="0"/>
        <v>cganse@onebarnes.com.new.uat</v>
      </c>
      <c r="G51" s="18" t="s">
        <v>1427</v>
      </c>
      <c r="H51" s="77" t="str">
        <f>UKG!AQ51</f>
        <v>cganse@onebarnes.com</v>
      </c>
      <c r="I51" s="18" t="str">
        <f>IFERROR(VLOOKUP(J51,'Language Map'!M:O,3,FALSE),"en_US")</f>
        <v>en_GB</v>
      </c>
      <c r="J51" s="77" t="str">
        <f>UKG!BF51</f>
        <v>GB</v>
      </c>
      <c r="L51" s="77" t="str">
        <f>IFERROR(VLOOKUP(UKG!BA51,'UKG Company Map'!B:G,7,FALSE),"Ledger Code Not Matched")</f>
        <v>Ledger Code Not Matched</v>
      </c>
      <c r="M51" s="18" t="str">
        <f>UKG!BH51</f>
        <v>GBP</v>
      </c>
      <c r="O51" s="18" t="str">
        <f>UKG!BJ51</f>
        <v>Y</v>
      </c>
      <c r="P51" s="18" t="str">
        <f>IFERROR(VLOOKUP(UKG!BA51,'UKG Company Map'!B:E,2,FALSE),"Org Unit 1 Not Mapped")</f>
        <v>0035</v>
      </c>
      <c r="Q51" s="77" t="str">
        <f>UKG!BB51</f>
        <v>000</v>
      </c>
      <c r="W51" s="77" t="str">
        <f>UKG!Q51</f>
        <v>S05</v>
      </c>
      <c r="X51" s="18" t="str">
        <f>UKG!BC51</f>
        <v>Default</v>
      </c>
      <c r="Z51" s="18" t="str">
        <f>IFERROR(VLOOKUP(UKG!BA51,'UKG Company Map'!B:G,8,FALSE),"Custom 5 Not Matched")</f>
        <v>Custom 5 Not Matched</v>
      </c>
      <c r="AP51" s="18" t="str">
        <f>IFERROR(VLOOKUP(UKG!BA51,'UKG Company Map'!B:G,4,FALSE),"Custom 21 Exp Group Not Matched")</f>
        <v>0035</v>
      </c>
      <c r="BG51" s="77" t="str">
        <f>UKG!AZ51</f>
        <v>206835</v>
      </c>
      <c r="BK51" s="18" t="s">
        <v>1421</v>
      </c>
      <c r="BL51" s="18" t="s">
        <v>1421</v>
      </c>
      <c r="BU51" s="18" t="str">
        <f>UKG!BL51</f>
        <v>N</v>
      </c>
      <c r="BV51" s="18" t="str">
        <f>UKG!BL51</f>
        <v>N</v>
      </c>
      <c r="CE51" s="18" t="s">
        <v>1421</v>
      </c>
    </row>
    <row r="52" spans="1:83" ht="16" hidden="1" thickBot="1" x14ac:dyDescent="0.25">
      <c r="A52" s="39" t="s">
        <v>1420</v>
      </c>
      <c r="B52" s="77" t="str">
        <f>UKG!BO52</f>
        <v>Carrie- Anne</v>
      </c>
      <c r="D52" s="77" t="str">
        <f>UKG!BN52</f>
        <v>Gisbourne</v>
      </c>
      <c r="E52" s="77" t="str">
        <f>UKG!D52</f>
        <v>212789</v>
      </c>
      <c r="F52" s="77" t="str">
        <f t="shared" si="0"/>
        <v>cgisbourne@asraymond.com.new.uat</v>
      </c>
      <c r="G52" s="18" t="s">
        <v>1427</v>
      </c>
      <c r="H52" s="77" t="str">
        <f>UKG!AQ52</f>
        <v>cgisbourne@asraymond.com</v>
      </c>
      <c r="I52" s="18" t="str">
        <f>IFERROR(VLOOKUP(J52,'Language Map'!M:O,3,FALSE),"en_US")</f>
        <v>en_GB</v>
      </c>
      <c r="J52" s="77" t="str">
        <f>UKG!BF52</f>
        <v>GB</v>
      </c>
      <c r="L52" s="77" t="str">
        <f>IFERROR(VLOOKUP(UKG!BA52,'UKG Company Map'!B:G,7,FALSE),"Ledger Code Not Matched")</f>
        <v>Ledger Code Not Matched</v>
      </c>
      <c r="M52" s="18" t="str">
        <f>UKG!BH52</f>
        <v>GBP</v>
      </c>
      <c r="O52" s="18" t="str">
        <f>UKG!BJ52</f>
        <v>Y</v>
      </c>
      <c r="P52" s="18" t="str">
        <f>IFERROR(VLOOKUP(UKG!BA52,'UKG Company Map'!B:E,2,FALSE),"Org Unit 1 Not Mapped")</f>
        <v>0035</v>
      </c>
      <c r="Q52" s="77" t="str">
        <f>UKG!BB52</f>
        <v>000</v>
      </c>
      <c r="W52" s="77" t="str">
        <f>UKG!Q52</f>
        <v>S08</v>
      </c>
      <c r="X52" s="18" t="str">
        <f>UKG!BC52</f>
        <v>Default</v>
      </c>
      <c r="Z52" s="18" t="str">
        <f>IFERROR(VLOOKUP(UKG!BA52,'UKG Company Map'!B:G,8,FALSE),"Custom 5 Not Matched")</f>
        <v>Custom 5 Not Matched</v>
      </c>
      <c r="AP52" s="18" t="str">
        <f>IFERROR(VLOOKUP(UKG!BA52,'UKG Company Map'!B:G,4,FALSE),"Custom 21 Exp Group Not Matched")</f>
        <v>0035</v>
      </c>
      <c r="BG52" s="77" t="str">
        <f>UKG!AZ52</f>
        <v>203017</v>
      </c>
      <c r="BK52" s="18" t="s">
        <v>1421</v>
      </c>
      <c r="BL52" s="18" t="s">
        <v>1421</v>
      </c>
      <c r="BU52" s="18" t="str">
        <f>UKG!BL52</f>
        <v>N</v>
      </c>
      <c r="BV52" s="18" t="str">
        <f>UKG!BL52</f>
        <v>N</v>
      </c>
      <c r="CE52" s="18" t="s">
        <v>1421</v>
      </c>
    </row>
    <row r="53" spans="1:83" ht="16" hidden="1" thickBot="1" x14ac:dyDescent="0.25">
      <c r="A53" s="39" t="s">
        <v>1420</v>
      </c>
      <c r="B53" s="77" t="str">
        <f>UKG!BO53</f>
        <v>Alan</v>
      </c>
      <c r="D53" s="77" t="str">
        <f>UKG!BN53</f>
        <v>Hastings</v>
      </c>
      <c r="E53" s="77" t="str">
        <f>UKG!D53</f>
        <v>213449</v>
      </c>
      <c r="F53" s="77" t="str">
        <f t="shared" si="0"/>
        <v>ahastings@asraymond.com.new.uat</v>
      </c>
      <c r="G53" s="18" t="s">
        <v>1427</v>
      </c>
      <c r="H53" s="77" t="str">
        <f>UKG!AQ53</f>
        <v>ahastings@asraymond.com</v>
      </c>
      <c r="I53" s="18" t="str">
        <f>IFERROR(VLOOKUP(J53,'Language Map'!M:O,3,FALSE),"en_US")</f>
        <v>en_GB</v>
      </c>
      <c r="J53" s="77" t="str">
        <f>UKG!BF53</f>
        <v>GB</v>
      </c>
      <c r="L53" s="77" t="str">
        <f>IFERROR(VLOOKUP(UKG!BA53,'UKG Company Map'!B:G,7,FALSE),"Ledger Code Not Matched")</f>
        <v>Ledger Code Not Matched</v>
      </c>
      <c r="M53" s="18" t="str">
        <f>UKG!BH53</f>
        <v>GBP</v>
      </c>
      <c r="O53" s="18" t="str">
        <f>UKG!BJ53</f>
        <v>Y</v>
      </c>
      <c r="P53" s="18" t="str">
        <f>IFERROR(VLOOKUP(UKG!BA53,'UKG Company Map'!B:E,2,FALSE),"Org Unit 1 Not Mapped")</f>
        <v>0035</v>
      </c>
      <c r="Q53" s="77" t="str">
        <f>UKG!BB53</f>
        <v>000</v>
      </c>
      <c r="W53" s="77" t="str">
        <f>UKG!Q53</f>
        <v>S16</v>
      </c>
      <c r="X53" s="18" t="str">
        <f>UKG!BC53</f>
        <v>Default</v>
      </c>
      <c r="Z53" s="18" t="str">
        <f>IFERROR(VLOOKUP(UKG!BA53,'UKG Company Map'!B:G,8,FALSE),"Custom 5 Not Matched")</f>
        <v>Custom 5 Not Matched</v>
      </c>
      <c r="AP53" s="18" t="str">
        <f>IFERROR(VLOOKUP(UKG!BA53,'UKG Company Map'!B:G,4,FALSE),"Custom 21 Exp Group Not Matched")</f>
        <v>0035</v>
      </c>
      <c r="BG53" s="77" t="str">
        <f>UKG!AZ53</f>
        <v>206247</v>
      </c>
      <c r="BK53" s="18" t="s">
        <v>1421</v>
      </c>
      <c r="BL53" s="18" t="s">
        <v>1421</v>
      </c>
      <c r="BU53" s="18" t="str">
        <f>UKG!BL53</f>
        <v>N</v>
      </c>
      <c r="BV53" s="18" t="str">
        <f>UKG!BL53</f>
        <v>N</v>
      </c>
      <c r="CE53" s="18" t="s">
        <v>1421</v>
      </c>
    </row>
    <row r="54" spans="1:83" ht="16" hidden="1" thickBot="1" x14ac:dyDescent="0.25">
      <c r="A54" s="39" t="s">
        <v>1420</v>
      </c>
      <c r="B54" s="77" t="str">
        <f>UKG!BO54</f>
        <v>Stephen L.</v>
      </c>
      <c r="D54" s="77" t="str">
        <f>UKG!BN54</f>
        <v>James</v>
      </c>
      <c r="E54" s="77" t="str">
        <f>UKG!D54</f>
        <v>207477</v>
      </c>
      <c r="F54" s="77" t="str">
        <f t="shared" si="0"/>
        <v>sjames@onebarnes.com.new.uat</v>
      </c>
      <c r="G54" s="18" t="s">
        <v>1427</v>
      </c>
      <c r="H54" s="77" t="str">
        <f>UKG!AQ54</f>
        <v>sjames@onebarnes.com</v>
      </c>
      <c r="I54" s="18" t="str">
        <f>IFERROR(VLOOKUP(J54,'Language Map'!M:O,3,FALSE),"en_US")</f>
        <v>en_GB</v>
      </c>
      <c r="J54" s="77" t="str">
        <f>UKG!BF54</f>
        <v>GB</v>
      </c>
      <c r="L54" s="77" t="str">
        <f>IFERROR(VLOOKUP(UKG!BA54,'UKG Company Map'!B:G,7,FALSE),"Ledger Code Not Matched")</f>
        <v>Ledger Code Not Matched</v>
      </c>
      <c r="M54" s="18" t="str">
        <f>UKG!BH54</f>
        <v>GBP</v>
      </c>
      <c r="O54" s="18" t="str">
        <f>UKG!BJ54</f>
        <v>Y</v>
      </c>
      <c r="P54" s="18" t="str">
        <f>IFERROR(VLOOKUP(UKG!BA54,'UKG Company Map'!B:E,2,FALSE),"Org Unit 1 Not Mapped")</f>
        <v>0035</v>
      </c>
      <c r="Q54" s="77" t="str">
        <f>UKG!BB54</f>
        <v>000</v>
      </c>
      <c r="W54" s="77" t="str">
        <f>UKG!Q54</f>
        <v>S12</v>
      </c>
      <c r="X54" s="18" t="str">
        <f>UKG!BC54</f>
        <v>Default</v>
      </c>
      <c r="Z54" s="18" t="str">
        <f>IFERROR(VLOOKUP(UKG!BA54,'UKG Company Map'!B:G,8,FALSE),"Custom 5 Not Matched")</f>
        <v>Custom 5 Not Matched</v>
      </c>
      <c r="AP54" s="18" t="str">
        <f>IFERROR(VLOOKUP(UKG!BA54,'UKG Company Map'!B:G,4,FALSE),"Custom 21 Exp Group Not Matched")</f>
        <v>0035</v>
      </c>
      <c r="BG54" s="77" t="str">
        <f>UKG!AZ54</f>
        <v>203007</v>
      </c>
      <c r="BK54" s="18" t="s">
        <v>1421</v>
      </c>
      <c r="BL54" s="18" t="s">
        <v>1421</v>
      </c>
      <c r="BU54" s="18" t="str">
        <f>UKG!BL54</f>
        <v>N</v>
      </c>
      <c r="BV54" s="18" t="str">
        <f>UKG!BL54</f>
        <v>N</v>
      </c>
      <c r="CE54" s="18" t="s">
        <v>1421</v>
      </c>
    </row>
    <row r="55" spans="1:83" ht="16" hidden="1" thickBot="1" x14ac:dyDescent="0.25">
      <c r="A55" s="39" t="s">
        <v>1420</v>
      </c>
      <c r="B55" s="77" t="str">
        <f>UKG!BO55</f>
        <v>Dean</v>
      </c>
      <c r="D55" s="77" t="str">
        <f>UKG!BN55</f>
        <v>Lewis</v>
      </c>
      <c r="E55" s="77" t="str">
        <f>UKG!D55</f>
        <v>203013</v>
      </c>
      <c r="F55" s="77" t="str">
        <f t="shared" si="0"/>
        <v>dlewis@onebarnes.com.new.uat</v>
      </c>
      <c r="G55" s="18" t="s">
        <v>1427</v>
      </c>
      <c r="H55" s="77" t="str">
        <f>UKG!AQ55</f>
        <v>dlewis@onebarnes.com</v>
      </c>
      <c r="I55" s="18" t="str">
        <f>IFERROR(VLOOKUP(J55,'Language Map'!M:O,3,FALSE),"en_US")</f>
        <v>en_GB</v>
      </c>
      <c r="J55" s="77" t="str">
        <f>UKG!BF55</f>
        <v>GB</v>
      </c>
      <c r="L55" s="77" t="str">
        <f>IFERROR(VLOOKUP(UKG!BA55,'UKG Company Map'!B:G,7,FALSE),"Ledger Code Not Matched")</f>
        <v>Ledger Code Not Matched</v>
      </c>
      <c r="M55" s="18" t="str">
        <f>UKG!BH55</f>
        <v>GBP</v>
      </c>
      <c r="O55" s="18" t="str">
        <f>UKG!BJ55</f>
        <v>Y</v>
      </c>
      <c r="P55" s="18" t="str">
        <f>IFERROR(VLOOKUP(UKG!BA55,'UKG Company Map'!B:E,2,FALSE),"Org Unit 1 Not Mapped")</f>
        <v>0035</v>
      </c>
      <c r="Q55" s="77" t="str">
        <f>UKG!BB55</f>
        <v>000</v>
      </c>
      <c r="W55" s="77" t="str">
        <f>UKG!Q55</f>
        <v>S11</v>
      </c>
      <c r="X55" s="18" t="str">
        <f>UKG!BC55</f>
        <v>Default</v>
      </c>
      <c r="Z55" s="18" t="str">
        <f>IFERROR(VLOOKUP(UKG!BA55,'UKG Company Map'!B:G,8,FALSE),"Custom 5 Not Matched")</f>
        <v>Custom 5 Not Matched</v>
      </c>
      <c r="AP55" s="18" t="str">
        <f>IFERROR(VLOOKUP(UKG!BA55,'UKG Company Map'!B:G,4,FALSE),"Custom 21 Exp Group Not Matched")</f>
        <v>0035</v>
      </c>
      <c r="BG55" s="77" t="str">
        <f>UKG!AZ55</f>
        <v>203016</v>
      </c>
      <c r="BK55" s="18" t="s">
        <v>1421</v>
      </c>
      <c r="BL55" s="18" t="s">
        <v>1421</v>
      </c>
      <c r="BU55" s="18" t="str">
        <f>UKG!BL55</f>
        <v>N</v>
      </c>
      <c r="BV55" s="18" t="str">
        <f>UKG!BL55</f>
        <v>N</v>
      </c>
      <c r="CE55" s="18" t="s">
        <v>1421</v>
      </c>
    </row>
    <row r="56" spans="1:83" ht="16" hidden="1" thickBot="1" x14ac:dyDescent="0.25">
      <c r="A56" s="39" t="s">
        <v>1420</v>
      </c>
      <c r="B56" s="77" t="str">
        <f>UKG!BO56</f>
        <v>Douglas</v>
      </c>
      <c r="D56" s="77" t="str">
        <f>UKG!BN56</f>
        <v>McNeilly</v>
      </c>
      <c r="E56" s="77" t="str">
        <f>UKG!D56</f>
        <v>203007</v>
      </c>
      <c r="F56" s="77" t="str">
        <f t="shared" si="0"/>
        <v>dmcneilly@onebarnes.com.new.uat</v>
      </c>
      <c r="G56" s="18" t="s">
        <v>1427</v>
      </c>
      <c r="H56" s="77" t="str">
        <f>UKG!AQ56</f>
        <v>dmcneilly@onebarnes.com</v>
      </c>
      <c r="I56" s="18" t="str">
        <f>IFERROR(VLOOKUP(J56,'Language Map'!M:O,3,FALSE),"en_US")</f>
        <v>en_GB</v>
      </c>
      <c r="J56" s="77" t="str">
        <f>UKG!BF56</f>
        <v>GB</v>
      </c>
      <c r="L56" s="77" t="str">
        <f>IFERROR(VLOOKUP(UKG!BA56,'UKG Company Map'!B:G,7,FALSE),"Ledger Code Not Matched")</f>
        <v>Ledger Code Not Matched</v>
      </c>
      <c r="M56" s="18" t="str">
        <f>UKG!BH56</f>
        <v>GBP</v>
      </c>
      <c r="O56" s="18" t="str">
        <f>UKG!BJ56</f>
        <v>Y</v>
      </c>
      <c r="P56" s="18" t="str">
        <f>IFERROR(VLOOKUP(UKG!BA56,'UKG Company Map'!B:E,2,FALSE),"Org Unit 1 Not Mapped")</f>
        <v>0035</v>
      </c>
      <c r="Q56" s="77" t="str">
        <f>UKG!BB56</f>
        <v>000</v>
      </c>
      <c r="W56" s="77" t="str">
        <f>UKG!Q56</f>
        <v>S16</v>
      </c>
      <c r="X56" s="18" t="str">
        <f>UKG!BC56</f>
        <v>Default</v>
      </c>
      <c r="Z56" s="18" t="str">
        <f>IFERROR(VLOOKUP(UKG!BA56,'UKG Company Map'!B:G,8,FALSE),"Custom 5 Not Matched")</f>
        <v>Custom 5 Not Matched</v>
      </c>
      <c r="AP56" s="18" t="str">
        <f>IFERROR(VLOOKUP(UKG!BA56,'UKG Company Map'!B:G,4,FALSE),"Custom 21 Exp Group Not Matched")</f>
        <v>0035</v>
      </c>
      <c r="BG56" s="77" t="str">
        <f>UKG!AZ56</f>
        <v>213453</v>
      </c>
      <c r="BK56" s="18" t="s">
        <v>1421</v>
      </c>
      <c r="BL56" s="18" t="s">
        <v>1421</v>
      </c>
      <c r="BU56" s="18" t="str">
        <f>UKG!BL56</f>
        <v>N</v>
      </c>
      <c r="BV56" s="18" t="str">
        <f>UKG!BL56</f>
        <v>N</v>
      </c>
      <c r="CE56" s="18" t="s">
        <v>1421</v>
      </c>
    </row>
    <row r="57" spans="1:83" ht="16" hidden="1" thickBot="1" x14ac:dyDescent="0.25">
      <c r="A57" s="39" t="s">
        <v>1420</v>
      </c>
      <c r="B57" s="77" t="str">
        <f>UKG!BO57</f>
        <v>Julie A.</v>
      </c>
      <c r="D57" s="77" t="str">
        <f>UKG!BN57</f>
        <v>Thompson</v>
      </c>
      <c r="E57" s="77" t="str">
        <f>UKG!D57</f>
        <v>211894</v>
      </c>
      <c r="F57" s="77" t="str">
        <f t="shared" si="0"/>
        <v>jthompson@onebarnes.com.new.uat</v>
      </c>
      <c r="G57" s="18" t="s">
        <v>1427</v>
      </c>
      <c r="H57" s="77" t="str">
        <f>UKG!AQ57</f>
        <v>jthompson@onebarnes.com</v>
      </c>
      <c r="I57" s="18" t="str">
        <f>IFERROR(VLOOKUP(J57,'Language Map'!M:O,3,FALSE),"en_US")</f>
        <v>en_GB</v>
      </c>
      <c r="J57" s="77" t="str">
        <f>UKG!BF57</f>
        <v>GB</v>
      </c>
      <c r="L57" s="77" t="str">
        <f>IFERROR(VLOOKUP(UKG!BA57,'UKG Company Map'!B:G,7,FALSE),"Ledger Code Not Matched")</f>
        <v>Ledger Code Not Matched</v>
      </c>
      <c r="M57" s="18" t="str">
        <f>UKG!BH57</f>
        <v>GBP</v>
      </c>
      <c r="O57" s="18" t="str">
        <f>UKG!BJ57</f>
        <v>Y</v>
      </c>
      <c r="P57" s="18" t="str">
        <f>IFERROR(VLOOKUP(UKG!BA57,'UKG Company Map'!B:E,2,FALSE),"Org Unit 1 Not Mapped")</f>
        <v>0035</v>
      </c>
      <c r="Q57" s="77" t="str">
        <f>UKG!BB57</f>
        <v>000</v>
      </c>
      <c r="W57" s="77" t="str">
        <f>UKG!Q57</f>
        <v>S05</v>
      </c>
      <c r="X57" s="18" t="str">
        <f>UKG!BC57</f>
        <v>Default</v>
      </c>
      <c r="Z57" s="18" t="str">
        <f>IFERROR(VLOOKUP(UKG!BA57,'UKG Company Map'!B:G,8,FALSE),"Custom 5 Not Matched")</f>
        <v>Custom 5 Not Matched</v>
      </c>
      <c r="AP57" s="18" t="str">
        <f>IFERROR(VLOOKUP(UKG!BA57,'UKG Company Map'!B:G,4,FALSE),"Custom 21 Exp Group Not Matched")</f>
        <v>0035</v>
      </c>
      <c r="BG57" s="77" t="str">
        <f>UKG!AZ57</f>
        <v>206835</v>
      </c>
      <c r="BK57" s="18" t="s">
        <v>1421</v>
      </c>
      <c r="BL57" s="18" t="s">
        <v>1421</v>
      </c>
      <c r="BU57" s="18" t="str">
        <f>UKG!BL57</f>
        <v>N</v>
      </c>
      <c r="BV57" s="18" t="str">
        <f>UKG!BL57</f>
        <v>N</v>
      </c>
      <c r="CE57" s="18" t="s">
        <v>1421</v>
      </c>
    </row>
    <row r="58" spans="1:83" ht="16" hidden="1" thickBot="1" x14ac:dyDescent="0.25">
      <c r="A58" s="39" t="s">
        <v>1420</v>
      </c>
      <c r="B58" s="77" t="str">
        <f>UKG!BO58</f>
        <v>Colin</v>
      </c>
      <c r="D58" s="77" t="str">
        <f>UKG!BN58</f>
        <v>Luchini</v>
      </c>
      <c r="E58" s="77" t="str">
        <f>UKG!D58</f>
        <v>203034</v>
      </c>
      <c r="F58" s="77" t="str">
        <f t="shared" si="0"/>
        <v>CLuchini@onebarnes.com.new.uat</v>
      </c>
      <c r="G58" s="18" t="s">
        <v>1427</v>
      </c>
      <c r="H58" s="77" t="str">
        <f>UKG!AQ58</f>
        <v>CLuchini@onebarnes.com</v>
      </c>
      <c r="I58" s="18" t="str">
        <f>IFERROR(VLOOKUP(J58,'Language Map'!M:O,3,FALSE),"en_US")</f>
        <v>en_GB</v>
      </c>
      <c r="J58" s="77" t="str">
        <f>UKG!BF58</f>
        <v>GB</v>
      </c>
      <c r="L58" s="77" t="str">
        <f>IFERROR(VLOOKUP(UKG!BA58,'UKG Company Map'!B:G,7,FALSE),"Ledger Code Not Matched")</f>
        <v>Ledger Code Not Matched</v>
      </c>
      <c r="M58" s="18" t="str">
        <f>UKG!BH58</f>
        <v>GBP</v>
      </c>
      <c r="O58" s="18" t="str">
        <f>UKG!BJ58</f>
        <v>Y</v>
      </c>
      <c r="P58" s="18" t="str">
        <f>IFERROR(VLOOKUP(UKG!BA58,'UKG Company Map'!B:E,2,FALSE),"Org Unit 1 Not Mapped")</f>
        <v>0218</v>
      </c>
      <c r="Q58" s="77" t="str">
        <f>UKG!BB58</f>
        <v>000</v>
      </c>
      <c r="W58" s="77" t="str">
        <f>UKG!Q58</f>
        <v>H0000</v>
      </c>
      <c r="X58" s="18" t="str">
        <f>UKG!BC58</f>
        <v>Default</v>
      </c>
      <c r="Z58" s="18" t="str">
        <f>IFERROR(VLOOKUP(UKG!BA58,'UKG Company Map'!B:G,8,FALSE),"Custom 5 Not Matched")</f>
        <v>Custom 5 Not Matched</v>
      </c>
      <c r="AP58" s="18" t="str">
        <f>IFERROR(VLOOKUP(UKG!BA58,'UKG Company Map'!B:G,4,FALSE),"Custom 21 Exp Group Not Matched")</f>
        <v>0218</v>
      </c>
      <c r="BG58" s="77" t="str">
        <f>UKG!AZ58</f>
        <v>212614</v>
      </c>
      <c r="BK58" s="18" t="s">
        <v>1421</v>
      </c>
      <c r="BL58" s="18" t="s">
        <v>1421</v>
      </c>
      <c r="BU58" s="18" t="str">
        <f>UKG!BL58</f>
        <v>N</v>
      </c>
      <c r="BV58" s="18" t="str">
        <f>UKG!BL58</f>
        <v>N</v>
      </c>
      <c r="CE58" s="18" t="s">
        <v>1421</v>
      </c>
    </row>
    <row r="59" spans="1:83" ht="16" hidden="1" thickBot="1" x14ac:dyDescent="0.25">
      <c r="A59" s="39" t="s">
        <v>1420</v>
      </c>
      <c r="B59" s="77" t="str">
        <f>UKG!BO59</f>
        <v>Jean-Marc</v>
      </c>
      <c r="D59" s="77" t="str">
        <f>UKG!BN59</f>
        <v>Oculi</v>
      </c>
      <c r="E59" s="77" t="str">
        <f>UKG!D59</f>
        <v>209575</v>
      </c>
      <c r="F59" s="77" t="str">
        <f t="shared" si="0"/>
        <v>jeanmarc.oculi@hotmail.fr.new.uat</v>
      </c>
      <c r="G59" s="18" t="s">
        <v>1427</v>
      </c>
      <c r="H59" s="77" t="str">
        <f>UKG!AQ59</f>
        <v>jeanmarc.oculi@hotmail.fr</v>
      </c>
      <c r="I59" s="18" t="str">
        <f>IFERROR(VLOOKUP(J59,'Language Map'!M:O,3,FALSE),"en_US")</f>
        <v>en_GB</v>
      </c>
      <c r="J59" s="77" t="str">
        <f>UKG!BF59</f>
        <v>GB</v>
      </c>
      <c r="L59" s="77" t="str">
        <f>IFERROR(VLOOKUP(UKG!BA59,'UKG Company Map'!B:G,7,FALSE),"Ledger Code Not Matched")</f>
        <v>Ledger Code Not Matched</v>
      </c>
      <c r="M59" s="18" t="str">
        <f>UKG!BH59</f>
        <v>GBP</v>
      </c>
      <c r="O59" s="18" t="str">
        <f>UKG!BJ59</f>
        <v>Y</v>
      </c>
      <c r="P59" s="18" t="str">
        <f>IFERROR(VLOOKUP(UKG!BA59,'UKG Company Map'!B:E,2,FALSE),"Org Unit 1 Not Mapped")</f>
        <v>0218</v>
      </c>
      <c r="Q59" s="77" t="str">
        <f>UKG!BB59</f>
        <v>000</v>
      </c>
      <c r="W59" s="77" t="str">
        <f>UKG!Q59</f>
        <v>H0000</v>
      </c>
      <c r="X59" s="18" t="str">
        <f>UKG!BC59</f>
        <v>Default</v>
      </c>
      <c r="Z59" s="18" t="str">
        <f>IFERROR(VLOOKUP(UKG!BA59,'UKG Company Map'!B:G,8,FALSE),"Custom 5 Not Matched")</f>
        <v>Custom 5 Not Matched</v>
      </c>
      <c r="AP59" s="18" t="str">
        <f>IFERROR(VLOOKUP(UKG!BA59,'UKG Company Map'!B:G,4,FALSE),"Custom 21 Exp Group Not Matched")</f>
        <v>0218</v>
      </c>
      <c r="BG59" s="77" t="str">
        <f>UKG!AZ59</f>
        <v>212614</v>
      </c>
      <c r="BK59" s="18" t="s">
        <v>1421</v>
      </c>
      <c r="BL59" s="18" t="s">
        <v>1421</v>
      </c>
      <c r="BU59" s="18" t="str">
        <f>UKG!BL59</f>
        <v>N</v>
      </c>
      <c r="BV59" s="18" t="str">
        <f>UKG!BL59</f>
        <v>N</v>
      </c>
      <c r="CE59" s="18" t="s">
        <v>1421</v>
      </c>
    </row>
    <row r="60" spans="1:83" ht="16" hidden="1" thickBot="1" x14ac:dyDescent="0.25">
      <c r="A60" s="39" t="s">
        <v>1420</v>
      </c>
      <c r="B60" s="77" t="str">
        <f>UKG!BO60</f>
        <v>Suresh K.</v>
      </c>
      <c r="D60" s="77" t="str">
        <f>UKG!BN60</f>
        <v>Surendran</v>
      </c>
      <c r="E60" s="77" t="str">
        <f>UKG!D60</f>
        <v>209576</v>
      </c>
      <c r="F60" s="77" t="str">
        <f t="shared" si="0"/>
        <v>sureshsurendran@hotmail.com.new.uat</v>
      </c>
      <c r="G60" s="18" t="s">
        <v>1427</v>
      </c>
      <c r="H60" s="77" t="str">
        <f>UKG!AQ60</f>
        <v>sureshsurendran@hotmail.com</v>
      </c>
      <c r="I60" s="18" t="str">
        <f>IFERROR(VLOOKUP(J60,'Language Map'!M:O,3,FALSE),"en_US")</f>
        <v>en_GB</v>
      </c>
      <c r="J60" s="77" t="str">
        <f>UKG!BF60</f>
        <v>GB</v>
      </c>
      <c r="L60" s="77" t="str">
        <f>IFERROR(VLOOKUP(UKG!BA60,'UKG Company Map'!B:G,7,FALSE),"Ledger Code Not Matched")</f>
        <v>Ledger Code Not Matched</v>
      </c>
      <c r="M60" s="18" t="str">
        <f>UKG!BH60</f>
        <v>GBP</v>
      </c>
      <c r="O60" s="18" t="str">
        <f>UKG!BJ60</f>
        <v>Y</v>
      </c>
      <c r="P60" s="18" t="str">
        <f>IFERROR(VLOOKUP(UKG!BA60,'UKG Company Map'!B:E,2,FALSE),"Org Unit 1 Not Mapped")</f>
        <v>0218</v>
      </c>
      <c r="Q60" s="77" t="str">
        <f>UKG!BB60</f>
        <v>000</v>
      </c>
      <c r="W60" s="77" t="str">
        <f>UKG!Q60</f>
        <v>H0000</v>
      </c>
      <c r="X60" s="18" t="str">
        <f>UKG!BC60</f>
        <v>Default</v>
      </c>
      <c r="Z60" s="18" t="str">
        <f>IFERROR(VLOOKUP(UKG!BA60,'UKG Company Map'!B:G,8,FALSE),"Custom 5 Not Matched")</f>
        <v>Custom 5 Not Matched</v>
      </c>
      <c r="AP60" s="18" t="str">
        <f>IFERROR(VLOOKUP(UKG!BA60,'UKG Company Map'!B:G,4,FALSE),"Custom 21 Exp Group Not Matched")</f>
        <v>0218</v>
      </c>
      <c r="BG60" s="77" t="str">
        <f>UKG!AZ60</f>
        <v>212614</v>
      </c>
      <c r="BK60" s="18" t="s">
        <v>1421</v>
      </c>
      <c r="BL60" s="18" t="s">
        <v>1421</v>
      </c>
      <c r="BU60" s="18" t="str">
        <f>UKG!BL60</f>
        <v>N</v>
      </c>
      <c r="BV60" s="18" t="str">
        <f>UKG!BL60</f>
        <v>N</v>
      </c>
      <c r="CE60" s="18" t="s">
        <v>1421</v>
      </c>
    </row>
    <row r="61" spans="1:83" ht="16" hidden="1" thickBot="1" x14ac:dyDescent="0.25">
      <c r="A61" s="39" t="s">
        <v>1420</v>
      </c>
      <c r="B61" s="77" t="str">
        <f>UKG!BO61</f>
        <v>Joao</v>
      </c>
      <c r="D61" s="77" t="str">
        <f>UKG!BN61</f>
        <v>Alves</v>
      </c>
      <c r="E61" s="77" t="str">
        <f>UKG!D61</f>
        <v>209278</v>
      </c>
      <c r="F61" s="77" t="str">
        <f t="shared" si="0"/>
        <v>JAlves@onebarnes.com.new.uat</v>
      </c>
      <c r="G61" s="18" t="s">
        <v>1427</v>
      </c>
      <c r="H61" s="77" t="str">
        <f>UKG!AQ61</f>
        <v>JAlves@onebarnes.com</v>
      </c>
      <c r="I61" s="18" t="str">
        <f>IFERROR(VLOOKUP(J61,'Language Map'!M:O,3,FALSE),"en_US")</f>
        <v>en_GB</v>
      </c>
      <c r="J61" s="77" t="str">
        <f>UKG!BF61</f>
        <v>GB</v>
      </c>
      <c r="L61" s="77" t="str">
        <f>IFERROR(VLOOKUP(UKG!BA61,'UKG Company Map'!B:G,7,FALSE),"Ledger Code Not Matched")</f>
        <v>Ledger Code Not Matched</v>
      </c>
      <c r="M61" s="18" t="str">
        <f>UKG!BH61</f>
        <v>GBP</v>
      </c>
      <c r="O61" s="18" t="str">
        <f>UKG!BJ61</f>
        <v>Y</v>
      </c>
      <c r="P61" s="18" t="str">
        <f>IFERROR(VLOOKUP(UKG!BA61,'UKG Company Map'!B:E,2,FALSE),"Org Unit 1 Not Mapped")</f>
        <v>0218</v>
      </c>
      <c r="Q61" s="77" t="str">
        <f>UKG!BB61</f>
        <v>000</v>
      </c>
      <c r="W61" s="77" t="str">
        <f>UKG!Q61</f>
        <v>S12</v>
      </c>
      <c r="X61" s="18" t="str">
        <f>UKG!BC61</f>
        <v>Default</v>
      </c>
      <c r="Z61" s="18" t="str">
        <f>IFERROR(VLOOKUP(UKG!BA61,'UKG Company Map'!B:G,8,FALSE),"Custom 5 Not Matched")</f>
        <v>Custom 5 Not Matched</v>
      </c>
      <c r="AP61" s="18" t="str">
        <f>IFERROR(VLOOKUP(UKG!BA61,'UKG Company Map'!B:G,4,FALSE),"Custom 21 Exp Group Not Matched")</f>
        <v>0218</v>
      </c>
      <c r="BG61" s="77" t="str">
        <f>UKG!AZ61</f>
        <v>203016</v>
      </c>
      <c r="BK61" s="18" t="s">
        <v>1421</v>
      </c>
      <c r="BL61" s="18" t="s">
        <v>1421</v>
      </c>
      <c r="BU61" s="18" t="str">
        <f>UKG!BL61</f>
        <v>N</v>
      </c>
      <c r="BV61" s="18" t="str">
        <f>UKG!BL61</f>
        <v>N</v>
      </c>
      <c r="CE61" s="18" t="s">
        <v>1421</v>
      </c>
    </row>
    <row r="62" spans="1:83" ht="16" hidden="1" thickBot="1" x14ac:dyDescent="0.25">
      <c r="A62" s="39" t="s">
        <v>1420</v>
      </c>
      <c r="B62" s="77" t="str">
        <f>UKG!BO62</f>
        <v>Mark</v>
      </c>
      <c r="D62" s="77" t="str">
        <f>UKG!BN62</f>
        <v>Bryant</v>
      </c>
      <c r="E62" s="77" t="str">
        <f>UKG!D62</f>
        <v>203038</v>
      </c>
      <c r="F62" s="77" t="str">
        <f t="shared" si="0"/>
        <v>MBryant@onebarnes.com.new.uat</v>
      </c>
      <c r="G62" s="18" t="s">
        <v>1427</v>
      </c>
      <c r="H62" s="77" t="str">
        <f>UKG!AQ62</f>
        <v>MBryant@onebarnes.com</v>
      </c>
      <c r="I62" s="18" t="str">
        <f>IFERROR(VLOOKUP(J62,'Language Map'!M:O,3,FALSE),"en_US")</f>
        <v>en_GB</v>
      </c>
      <c r="J62" s="77" t="str">
        <f>UKG!BF62</f>
        <v>GB</v>
      </c>
      <c r="L62" s="77" t="str">
        <f>IFERROR(VLOOKUP(UKG!BA62,'UKG Company Map'!B:G,7,FALSE),"Ledger Code Not Matched")</f>
        <v>Ledger Code Not Matched</v>
      </c>
      <c r="M62" s="18" t="str">
        <f>UKG!BH62</f>
        <v>GBP</v>
      </c>
      <c r="O62" s="18" t="str">
        <f>UKG!BJ62</f>
        <v>Y</v>
      </c>
      <c r="P62" s="18" t="str">
        <f>IFERROR(VLOOKUP(UKG!BA62,'UKG Company Map'!B:E,2,FALSE),"Org Unit 1 Not Mapped")</f>
        <v>0218</v>
      </c>
      <c r="Q62" s="77" t="str">
        <f>UKG!BB62</f>
        <v>000</v>
      </c>
      <c r="W62" s="77" t="str">
        <f>UKG!Q62</f>
        <v>S14</v>
      </c>
      <c r="X62" s="18" t="str">
        <f>UKG!BC62</f>
        <v>Default</v>
      </c>
      <c r="Z62" s="18" t="str">
        <f>IFERROR(VLOOKUP(UKG!BA62,'UKG Company Map'!B:G,8,FALSE),"Custom 5 Not Matched")</f>
        <v>Custom 5 Not Matched</v>
      </c>
      <c r="AP62" s="18" t="str">
        <f>IFERROR(VLOOKUP(UKG!BA62,'UKG Company Map'!B:G,4,FALSE),"Custom 21 Exp Group Not Matched")</f>
        <v>0218</v>
      </c>
      <c r="BG62" s="77" t="str">
        <f>UKG!AZ62</f>
        <v>203016</v>
      </c>
      <c r="BK62" s="18" t="s">
        <v>1421</v>
      </c>
      <c r="BL62" s="18" t="s">
        <v>1421</v>
      </c>
      <c r="BU62" s="18" t="str">
        <f>UKG!BL62</f>
        <v>N</v>
      </c>
      <c r="BV62" s="18" t="str">
        <f>UKG!BL62</f>
        <v>N</v>
      </c>
      <c r="CE62" s="18" t="s">
        <v>1421</v>
      </c>
    </row>
    <row r="63" spans="1:83" ht="16" hidden="1" thickBot="1" x14ac:dyDescent="0.25">
      <c r="A63" s="39" t="s">
        <v>1420</v>
      </c>
      <c r="B63" s="77" t="str">
        <f>UKG!BO63</f>
        <v>Jean-Philippe</v>
      </c>
      <c r="D63" s="77" t="str">
        <f>UKG!BN63</f>
        <v>Duvillard</v>
      </c>
      <c r="E63" s="77" t="str">
        <f>UKG!D63</f>
        <v>203036</v>
      </c>
      <c r="F63" s="77" t="str">
        <f t="shared" si="0"/>
        <v>jduvillard@onebarnes.com.new.uat</v>
      </c>
      <c r="G63" s="18" t="s">
        <v>1427</v>
      </c>
      <c r="H63" s="77" t="str">
        <f>UKG!AQ63</f>
        <v>jduvillard@onebarnes.com</v>
      </c>
      <c r="I63" s="18" t="str">
        <f>IFERROR(VLOOKUP(J63,'Language Map'!M:O,3,FALSE),"en_US")</f>
        <v>en_GB</v>
      </c>
      <c r="J63" s="77" t="str">
        <f>UKG!BF63</f>
        <v>GB</v>
      </c>
      <c r="L63" s="77" t="str">
        <f>IFERROR(VLOOKUP(UKG!BA63,'UKG Company Map'!B:G,7,FALSE),"Ledger Code Not Matched")</f>
        <v>Ledger Code Not Matched</v>
      </c>
      <c r="M63" s="18" t="str">
        <f>UKG!BH63</f>
        <v>GBP</v>
      </c>
      <c r="O63" s="18" t="str">
        <f>UKG!BJ63</f>
        <v>Y</v>
      </c>
      <c r="P63" s="18" t="str">
        <f>IFERROR(VLOOKUP(UKG!BA63,'UKG Company Map'!B:E,2,FALSE),"Org Unit 1 Not Mapped")</f>
        <v>0218</v>
      </c>
      <c r="Q63" s="77" t="str">
        <f>UKG!BB63</f>
        <v>000</v>
      </c>
      <c r="W63" s="77" t="str">
        <f>UKG!Q63</f>
        <v>S15</v>
      </c>
      <c r="X63" s="18" t="str">
        <f>UKG!BC63</f>
        <v>Default</v>
      </c>
      <c r="Z63" s="18" t="str">
        <f>IFERROR(VLOOKUP(UKG!BA63,'UKG Company Map'!B:G,8,FALSE),"Custom 5 Not Matched")</f>
        <v>Custom 5 Not Matched</v>
      </c>
      <c r="AP63" s="18" t="str">
        <f>IFERROR(VLOOKUP(UKG!BA63,'UKG Company Map'!B:G,4,FALSE),"Custom 21 Exp Group Not Matched")</f>
        <v>0218</v>
      </c>
      <c r="BG63" s="77" t="str">
        <f>UKG!AZ63</f>
        <v>207199</v>
      </c>
      <c r="BK63" s="18" t="s">
        <v>1421</v>
      </c>
      <c r="BL63" s="18" t="s">
        <v>1421</v>
      </c>
      <c r="BU63" s="18" t="str">
        <f>UKG!BL63</f>
        <v>Y</v>
      </c>
      <c r="BV63" s="18" t="str">
        <f>UKG!BL63</f>
        <v>Y</v>
      </c>
      <c r="CE63" s="18" t="s">
        <v>1421</v>
      </c>
    </row>
    <row r="64" spans="1:83" ht="16" hidden="1" thickBot="1" x14ac:dyDescent="0.25">
      <c r="A64" s="39" t="s">
        <v>1420</v>
      </c>
      <c r="B64" s="77" t="str">
        <f>UKG!BO64</f>
        <v>Benjamin</v>
      </c>
      <c r="D64" s="77" t="str">
        <f>UKG!BN64</f>
        <v>Hall</v>
      </c>
      <c r="E64" s="77" t="str">
        <f>UKG!D64</f>
        <v>212614</v>
      </c>
      <c r="F64" s="77" t="str">
        <f t="shared" si="0"/>
        <v>Bhall@onebarnes.com.new.uat</v>
      </c>
      <c r="G64" s="18" t="s">
        <v>1427</v>
      </c>
      <c r="H64" s="77" t="str">
        <f>UKG!AQ64</f>
        <v>Bhall@onebarnes.com</v>
      </c>
      <c r="I64" s="18" t="str">
        <f>IFERROR(VLOOKUP(J64,'Language Map'!M:O,3,FALSE),"en_US")</f>
        <v>en_GB</v>
      </c>
      <c r="J64" s="77" t="str">
        <f>UKG!BF64</f>
        <v>GB</v>
      </c>
      <c r="L64" s="77" t="str">
        <f>IFERROR(VLOOKUP(UKG!BA64,'UKG Company Map'!B:G,7,FALSE),"Ledger Code Not Matched")</f>
        <v>Ledger Code Not Matched</v>
      </c>
      <c r="M64" s="18" t="str">
        <f>UKG!BH64</f>
        <v>GBP</v>
      </c>
      <c r="O64" s="18" t="str">
        <f>UKG!BJ64</f>
        <v>Y</v>
      </c>
      <c r="P64" s="18" t="str">
        <f>IFERROR(VLOOKUP(UKG!BA64,'UKG Company Map'!B:E,2,FALSE),"Org Unit 1 Not Mapped")</f>
        <v>0218</v>
      </c>
      <c r="Q64" s="77" t="str">
        <f>UKG!BB64</f>
        <v>000</v>
      </c>
      <c r="W64" s="77" t="str">
        <f>UKG!Q64</f>
        <v>S14</v>
      </c>
      <c r="X64" s="18" t="str">
        <f>UKG!BC64</f>
        <v>Default</v>
      </c>
      <c r="Z64" s="18" t="str">
        <f>IFERROR(VLOOKUP(UKG!BA64,'UKG Company Map'!B:G,8,FALSE),"Custom 5 Not Matched")</f>
        <v>Custom 5 Not Matched</v>
      </c>
      <c r="AP64" s="18" t="str">
        <f>IFERROR(VLOOKUP(UKG!BA64,'UKG Company Map'!B:G,4,FALSE),"Custom 21 Exp Group Not Matched")</f>
        <v>0218</v>
      </c>
      <c r="BG64" s="77" t="str">
        <f>UKG!AZ64</f>
        <v>203016</v>
      </c>
      <c r="BK64" s="18" t="s">
        <v>1421</v>
      </c>
      <c r="BL64" s="18" t="s">
        <v>1421</v>
      </c>
      <c r="BU64" s="18" t="str">
        <f>UKG!BL64</f>
        <v>N</v>
      </c>
      <c r="BV64" s="18" t="str">
        <f>UKG!BL64</f>
        <v>N</v>
      </c>
      <c r="CE64" s="18" t="s">
        <v>1421</v>
      </c>
    </row>
    <row r="65" spans="1:83" ht="16" hidden="1" thickBot="1" x14ac:dyDescent="0.25">
      <c r="A65" s="39" t="s">
        <v>1420</v>
      </c>
      <c r="B65" s="77" t="str">
        <f>UKG!BO65</f>
        <v>Linda</v>
      </c>
      <c r="D65" s="77" t="str">
        <f>UKG!BN65</f>
        <v>Joseph</v>
      </c>
      <c r="E65" s="77" t="str">
        <f>UKG!D65</f>
        <v>203042</v>
      </c>
      <c r="F65" s="77" t="str">
        <f t="shared" si="0"/>
        <v>Linda.Joseph@igsltd.co.uk.new.uat</v>
      </c>
      <c r="G65" s="18" t="s">
        <v>1427</v>
      </c>
      <c r="H65" s="77" t="str">
        <f>UKG!AQ65</f>
        <v>Linda.Joseph@igsltd.co.uk</v>
      </c>
      <c r="I65" s="18" t="str">
        <f>IFERROR(VLOOKUP(J65,'Language Map'!M:O,3,FALSE),"en_US")</f>
        <v>en_GB</v>
      </c>
      <c r="J65" s="77" t="str">
        <f>UKG!BF65</f>
        <v>GB</v>
      </c>
      <c r="L65" s="77" t="str">
        <f>IFERROR(VLOOKUP(UKG!BA65,'UKG Company Map'!B:G,7,FALSE),"Ledger Code Not Matched")</f>
        <v>Ledger Code Not Matched</v>
      </c>
      <c r="M65" s="18" t="str">
        <f>UKG!BH65</f>
        <v>GBP</v>
      </c>
      <c r="O65" s="18" t="str">
        <f>UKG!BJ65</f>
        <v>Y</v>
      </c>
      <c r="P65" s="18" t="str">
        <f>IFERROR(VLOOKUP(UKG!BA65,'UKG Company Map'!B:E,2,FALSE),"Org Unit 1 Not Mapped")</f>
        <v>0218</v>
      </c>
      <c r="Q65" s="77" t="str">
        <f>UKG!BB65</f>
        <v>000</v>
      </c>
      <c r="W65" s="77" t="str">
        <f>UKG!Q65</f>
        <v>S16</v>
      </c>
      <c r="X65" s="18" t="str">
        <f>UKG!BC65</f>
        <v>Default</v>
      </c>
      <c r="Z65" s="18" t="str">
        <f>IFERROR(VLOOKUP(UKG!BA65,'UKG Company Map'!B:G,8,FALSE),"Custom 5 Not Matched")</f>
        <v>Custom 5 Not Matched</v>
      </c>
      <c r="AP65" s="18" t="str">
        <f>IFERROR(VLOOKUP(UKG!BA65,'UKG Company Map'!B:G,4,FALSE),"Custom 21 Exp Group Not Matched")</f>
        <v>0218</v>
      </c>
      <c r="BG65" s="77" t="str">
        <f>UKG!AZ65</f>
        <v>203016</v>
      </c>
      <c r="BK65" s="18" t="s">
        <v>1421</v>
      </c>
      <c r="BL65" s="18" t="s">
        <v>1421</v>
      </c>
      <c r="BU65" s="18" t="str">
        <f>UKG!BL65</f>
        <v>N</v>
      </c>
      <c r="BV65" s="18" t="str">
        <f>UKG!BL65</f>
        <v>N</v>
      </c>
      <c r="CE65" s="18" t="s">
        <v>1421</v>
      </c>
    </row>
    <row r="66" spans="1:83" ht="16" hidden="1" thickBot="1" x14ac:dyDescent="0.25">
      <c r="A66" s="39" t="s">
        <v>1420</v>
      </c>
      <c r="B66" s="77" t="str">
        <f>UKG!BO66</f>
        <v>Rizwan</v>
      </c>
      <c r="D66" s="77" t="str">
        <f>UKG!BN66</f>
        <v>Qayyum</v>
      </c>
      <c r="E66" s="77" t="str">
        <f>UKG!D66</f>
        <v>207473</v>
      </c>
      <c r="F66" s="77" t="str">
        <f t="shared" si="0"/>
        <v>RQayyum@onebarnes.com.new.uat</v>
      </c>
      <c r="G66" s="18" t="s">
        <v>1427</v>
      </c>
      <c r="H66" s="77" t="str">
        <f>UKG!AQ66</f>
        <v>RQayyum@onebarnes.com</v>
      </c>
      <c r="I66" s="18" t="str">
        <f>IFERROR(VLOOKUP(J66,'Language Map'!M:O,3,FALSE),"en_US")</f>
        <v>en_GB</v>
      </c>
      <c r="J66" s="77" t="str">
        <f>UKG!BF66</f>
        <v>GB</v>
      </c>
      <c r="L66" s="77" t="str">
        <f>IFERROR(VLOOKUP(UKG!BA66,'UKG Company Map'!B:G,7,FALSE),"Ledger Code Not Matched")</f>
        <v>Ledger Code Not Matched</v>
      </c>
      <c r="M66" s="18" t="str">
        <f>UKG!BH66</f>
        <v>GBP</v>
      </c>
      <c r="O66" s="18" t="str">
        <f>UKG!BJ66</f>
        <v>Y</v>
      </c>
      <c r="P66" s="18" t="str">
        <f>IFERROR(VLOOKUP(UKG!BA66,'UKG Company Map'!B:E,2,FALSE),"Org Unit 1 Not Mapped")</f>
        <v>0218</v>
      </c>
      <c r="Q66" s="77" t="str">
        <f>UKG!BB66</f>
        <v>000</v>
      </c>
      <c r="W66" s="77" t="str">
        <f>UKG!Q66</f>
        <v>S08</v>
      </c>
      <c r="X66" s="18" t="str">
        <f>UKG!BC66</f>
        <v>Default</v>
      </c>
      <c r="Z66" s="18" t="str">
        <f>IFERROR(VLOOKUP(UKG!BA66,'UKG Company Map'!B:G,8,FALSE),"Custom 5 Not Matched")</f>
        <v>Custom 5 Not Matched</v>
      </c>
      <c r="AP66" s="18" t="str">
        <f>IFERROR(VLOOKUP(UKG!BA66,'UKG Company Map'!B:G,4,FALSE),"Custom 21 Exp Group Not Matched")</f>
        <v>0218</v>
      </c>
      <c r="BG66" s="77" t="str">
        <f>UKG!AZ66</f>
        <v>212226</v>
      </c>
      <c r="BK66" s="18" t="s">
        <v>1421</v>
      </c>
      <c r="BL66" s="18" t="s">
        <v>1421</v>
      </c>
      <c r="BU66" s="18" t="str">
        <f>UKG!BL66</f>
        <v>N</v>
      </c>
      <c r="BV66" s="18" t="str">
        <f>UKG!BL66</f>
        <v>N</v>
      </c>
      <c r="CE66" s="18" t="s">
        <v>1421</v>
      </c>
    </row>
    <row r="67" spans="1:83" ht="16" hidden="1" thickBot="1" x14ac:dyDescent="0.25">
      <c r="A67" s="39" t="s">
        <v>1420</v>
      </c>
      <c r="B67" s="77" t="str">
        <f>UKG!BO67</f>
        <v>Svetlana</v>
      </c>
      <c r="D67" s="77" t="str">
        <f>UKG!BN67</f>
        <v>Sharakshinova</v>
      </c>
      <c r="E67" s="77" t="str">
        <f>UKG!D67</f>
        <v>212226</v>
      </c>
      <c r="F67" s="77" t="str">
        <f t="shared" ref="F67:F85" si="1">H67&amp;".new.uat"</f>
        <v>ssharakshinova@onebarnes.com.new.uat</v>
      </c>
      <c r="G67" s="18" t="s">
        <v>1427</v>
      </c>
      <c r="H67" s="77" t="str">
        <f>UKG!AQ67</f>
        <v>ssharakshinova@onebarnes.com</v>
      </c>
      <c r="I67" s="18" t="str">
        <f>IFERROR(VLOOKUP(J67,'Language Map'!M:O,3,FALSE),"en_US")</f>
        <v>en_GB</v>
      </c>
      <c r="J67" s="77" t="str">
        <f>UKG!BF67</f>
        <v>GB</v>
      </c>
      <c r="L67" s="77" t="str">
        <f>IFERROR(VLOOKUP(UKG!BA67,'UKG Company Map'!B:G,7,FALSE),"Ledger Code Not Matched")</f>
        <v>Ledger Code Not Matched</v>
      </c>
      <c r="M67" s="18" t="str">
        <f>UKG!BH67</f>
        <v>GBP</v>
      </c>
      <c r="O67" s="18" t="str">
        <f>UKG!BJ67</f>
        <v>Y</v>
      </c>
      <c r="P67" s="18" t="str">
        <f>IFERROR(VLOOKUP(UKG!BA67,'UKG Company Map'!B:E,2,FALSE),"Org Unit 1 Not Mapped")</f>
        <v>0218</v>
      </c>
      <c r="Q67" s="77" t="str">
        <f>UKG!BB67</f>
        <v>000</v>
      </c>
      <c r="W67" s="77" t="str">
        <f>UKG!Q67</f>
        <v>S15</v>
      </c>
      <c r="X67" s="18" t="str">
        <f>UKG!BC67</f>
        <v>Default</v>
      </c>
      <c r="Z67" s="18" t="str">
        <f>IFERROR(VLOOKUP(UKG!BA67,'UKG Company Map'!B:G,8,FALSE),"Custom 5 Not Matched")</f>
        <v>Custom 5 Not Matched</v>
      </c>
      <c r="AP67" s="18" t="str">
        <f>IFERROR(VLOOKUP(UKG!BA67,'UKG Company Map'!B:G,4,FALSE),"Custom 21 Exp Group Not Matched")</f>
        <v>0218</v>
      </c>
      <c r="BG67" s="77" t="str">
        <f>UKG!AZ67</f>
        <v>008750</v>
      </c>
      <c r="BK67" s="18" t="s">
        <v>1421</v>
      </c>
      <c r="BL67" s="18" t="s">
        <v>1421</v>
      </c>
      <c r="BU67" s="18" t="str">
        <f>UKG!BL67</f>
        <v>N</v>
      </c>
      <c r="BV67" s="18" t="str">
        <f>UKG!BL67</f>
        <v>N</v>
      </c>
      <c r="CE67" s="18" t="s">
        <v>1421</v>
      </c>
    </row>
    <row r="68" spans="1:83" ht="16" hidden="1" thickBot="1" x14ac:dyDescent="0.25">
      <c r="A68" s="39" t="s">
        <v>1420</v>
      </c>
      <c r="B68" s="77" t="str">
        <f>UKG!BO68</f>
        <v>Kelly</v>
      </c>
      <c r="D68" s="77" t="str">
        <f>UKG!BN68</f>
        <v>Streeter</v>
      </c>
      <c r="E68" s="77" t="str">
        <f>UKG!D68</f>
        <v>203046</v>
      </c>
      <c r="F68" s="77" t="str">
        <f t="shared" si="1"/>
        <v>KStreeter@onebarnes.com.new.uat</v>
      </c>
      <c r="G68" s="18" t="s">
        <v>1427</v>
      </c>
      <c r="H68" s="77" t="str">
        <f>UKG!AQ68</f>
        <v>KStreeter@onebarnes.com</v>
      </c>
      <c r="I68" s="18" t="str">
        <f>IFERROR(VLOOKUP(J68,'Language Map'!M:O,3,FALSE),"en_US")</f>
        <v>en_GB</v>
      </c>
      <c r="J68" s="77" t="str">
        <f>UKG!BF68</f>
        <v>GB</v>
      </c>
      <c r="L68" s="77" t="str">
        <f>IFERROR(VLOOKUP(UKG!BA68,'UKG Company Map'!B:G,7,FALSE),"Ledger Code Not Matched")</f>
        <v>Ledger Code Not Matched</v>
      </c>
      <c r="M68" s="18" t="str">
        <f>UKG!BH68</f>
        <v>GBP</v>
      </c>
      <c r="O68" s="18" t="str">
        <f>UKG!BJ68</f>
        <v>Y</v>
      </c>
      <c r="P68" s="18" t="str">
        <f>IFERROR(VLOOKUP(UKG!BA68,'UKG Company Map'!B:E,2,FALSE),"Org Unit 1 Not Mapped")</f>
        <v>0218</v>
      </c>
      <c r="Q68" s="77" t="str">
        <f>UKG!BB68</f>
        <v>000</v>
      </c>
      <c r="W68" s="77" t="str">
        <f>UKG!Q68</f>
        <v>S15</v>
      </c>
      <c r="X68" s="18" t="str">
        <f>UKG!BC68</f>
        <v>Default</v>
      </c>
      <c r="Z68" s="18" t="str">
        <f>IFERROR(VLOOKUP(UKG!BA68,'UKG Company Map'!B:G,8,FALSE),"Custom 5 Not Matched")</f>
        <v>Custom 5 Not Matched</v>
      </c>
      <c r="AP68" s="18" t="str">
        <f>IFERROR(VLOOKUP(UKG!BA68,'UKG Company Map'!B:G,4,FALSE),"Custom 21 Exp Group Not Matched")</f>
        <v>0218</v>
      </c>
      <c r="BG68" s="77" t="str">
        <f>UKG!AZ68</f>
        <v>211766</v>
      </c>
      <c r="BK68" s="18" t="s">
        <v>1421</v>
      </c>
      <c r="BL68" s="18" t="s">
        <v>1421</v>
      </c>
      <c r="BU68" s="18" t="str">
        <f>UKG!BL68</f>
        <v>N</v>
      </c>
      <c r="BV68" s="18" t="str">
        <f>UKG!BL68</f>
        <v>N</v>
      </c>
      <c r="CE68" s="18" t="s">
        <v>1421</v>
      </c>
    </row>
    <row r="69" spans="1:83" ht="16" thickBot="1" x14ac:dyDescent="0.25">
      <c r="A69" s="39" t="s">
        <v>1420</v>
      </c>
      <c r="B69" s="77" t="str">
        <f>UKG!BO69</f>
        <v>Lee</v>
      </c>
      <c r="D69" s="77" t="str">
        <f>UKG!BN69</f>
        <v>Adams</v>
      </c>
      <c r="E69" s="77" t="str">
        <f>UKG!D69</f>
        <v>210868</v>
      </c>
      <c r="F69" s="77" t="str">
        <f t="shared" si="1"/>
        <v>ladams@onebarnes.com.new.uat</v>
      </c>
      <c r="G69" s="18" t="s">
        <v>1427</v>
      </c>
      <c r="H69" s="77" t="str">
        <f>UKG!AQ69</f>
        <v>ladams@onebarnes.com</v>
      </c>
      <c r="I69" s="18" t="str">
        <f>IFERROR(VLOOKUP(J69,'Language Map'!M:O,3,FALSE),"en_US")</f>
        <v>en_GB</v>
      </c>
      <c r="J69" s="77" t="str">
        <f>UKG!BF69</f>
        <v>GB</v>
      </c>
      <c r="L69" s="77" t="str">
        <f>IFERROR(VLOOKUP(UKG!BA69,'UKG Company Map'!B:G,7,FALSE),"Ledger Code Not Matched")</f>
        <v>Ledger Code Not Matched</v>
      </c>
      <c r="M69" s="18" t="str">
        <f>UKG!BH69</f>
        <v>GBP</v>
      </c>
      <c r="O69" s="18" t="str">
        <f>UKG!BJ69</f>
        <v>Y</v>
      </c>
      <c r="P69" s="18" t="str">
        <f>IFERROR(VLOOKUP(UKG!BA69,'UKG Company Map'!B:E,2,FALSE),"Org Unit 1 Not Mapped")</f>
        <v>0114</v>
      </c>
      <c r="Q69" s="112" t="str">
        <f>UKG!BB69</f>
        <v>140102</v>
      </c>
      <c r="W69" s="77" t="str">
        <f>UKG!Q69</f>
        <v>S18</v>
      </c>
      <c r="X69" s="18" t="str">
        <f>UKG!BC69</f>
        <v>Default</v>
      </c>
      <c r="Z69" s="18" t="str">
        <f>IFERROR(VLOOKUP(UKG!BA69,'UKG Company Map'!B:G,8,FALSE),"Custom 5 Not Matched")</f>
        <v>Custom 5 Not Matched</v>
      </c>
      <c r="AP69" s="18" t="str">
        <f>IFERROR(VLOOKUP(UKG!BA69,'UKG Company Map'!B:G,4,FALSE),"Custom 21 Exp Group Not Matched")</f>
        <v>0114</v>
      </c>
      <c r="BG69" s="77" t="str">
        <f>UKG!AZ69</f>
        <v>207709</v>
      </c>
      <c r="BK69" s="18" t="s">
        <v>1421</v>
      </c>
      <c r="BL69" s="18" t="s">
        <v>1421</v>
      </c>
      <c r="BU69" s="18" t="str">
        <f>UKG!BL69</f>
        <v>N</v>
      </c>
      <c r="BV69" s="18" t="str">
        <f>UKG!BL69</f>
        <v>N</v>
      </c>
      <c r="CE69" s="18" t="s">
        <v>1421</v>
      </c>
    </row>
    <row r="70" spans="1:83" ht="16" hidden="1" thickBot="1" x14ac:dyDescent="0.25">
      <c r="A70" s="39" t="s">
        <v>1420</v>
      </c>
      <c r="B70" s="77" t="str">
        <f>UKG!BO70</f>
        <v>Paul J.</v>
      </c>
      <c r="D70" s="77" t="str">
        <f>UKG!BN70</f>
        <v>Dawson</v>
      </c>
      <c r="E70" s="77" t="str">
        <f>UKG!D70</f>
        <v>212152</v>
      </c>
      <c r="F70" s="77" t="str">
        <f t="shared" si="1"/>
        <v>Paul.Dawson@kaller.com.new.uat</v>
      </c>
      <c r="G70" s="18" t="s">
        <v>1427</v>
      </c>
      <c r="H70" s="77" t="str">
        <f>UKG!AQ70</f>
        <v>Paul.Dawson@kaller.com</v>
      </c>
      <c r="I70" s="18" t="str">
        <f>IFERROR(VLOOKUP(J70,'Language Map'!M:O,3,FALSE),"en_US")</f>
        <v>en_GB</v>
      </c>
      <c r="J70" s="77" t="str">
        <f>UKG!BF70</f>
        <v>GB</v>
      </c>
      <c r="L70" s="77" t="str">
        <f>IFERROR(VLOOKUP(UKG!BA70,'UKG Company Map'!B:G,7,FALSE),"Ledger Code Not Matched")</f>
        <v>Ledger Code Not Matched</v>
      </c>
      <c r="M70" s="18" t="str">
        <f>UKG!BH70</f>
        <v>GBP</v>
      </c>
      <c r="O70" s="18" t="str">
        <f>UKG!BJ70</f>
        <v>Y</v>
      </c>
      <c r="P70" s="18" t="str">
        <f>IFERROR(VLOOKUP(UKG!BA70,'UKG Company Map'!B:E,2,FALSE),"Org Unit 1 Not Mapped")</f>
        <v>0114</v>
      </c>
      <c r="Q70" s="77" t="str">
        <f>UKG!BB70</f>
        <v>000</v>
      </c>
      <c r="W70" s="77" t="str">
        <f>UKG!Q70</f>
        <v>S13</v>
      </c>
      <c r="X70" s="18" t="str">
        <f>UKG!BC70</f>
        <v>Default</v>
      </c>
      <c r="Z70" s="18" t="str">
        <f>IFERROR(VLOOKUP(UKG!BA70,'UKG Company Map'!B:G,8,FALSE),"Custom 5 Not Matched")</f>
        <v>Custom 5 Not Matched</v>
      </c>
      <c r="AP70" s="18" t="str">
        <f>IFERROR(VLOOKUP(UKG!BA70,'UKG Company Map'!B:G,4,FALSE),"Custom 21 Exp Group Not Matched")</f>
        <v>0114</v>
      </c>
      <c r="BG70" s="77" t="str">
        <f>UKG!AZ70</f>
        <v>210868</v>
      </c>
      <c r="BK70" s="18" t="s">
        <v>1421</v>
      </c>
      <c r="BL70" s="18" t="s">
        <v>1421</v>
      </c>
      <c r="BU70" s="18" t="str">
        <f>UKG!BL70</f>
        <v>N</v>
      </c>
      <c r="BV70" s="18" t="str">
        <f>UKG!BL70</f>
        <v>N</v>
      </c>
      <c r="CE70" s="18" t="s">
        <v>1421</v>
      </c>
    </row>
    <row r="71" spans="1:83" ht="16" hidden="1" thickBot="1" x14ac:dyDescent="0.25">
      <c r="A71" s="39" t="s">
        <v>1420</v>
      </c>
      <c r="B71" s="77" t="str">
        <f>UKG!BO71</f>
        <v>Monika M.</v>
      </c>
      <c r="D71" s="77" t="str">
        <f>UKG!BN71</f>
        <v>Demange</v>
      </c>
      <c r="E71" s="77" t="str">
        <f>UKG!D71</f>
        <v>209533</v>
      </c>
      <c r="F71" s="77" t="str">
        <f t="shared" si="1"/>
        <v>monika.demange@kaller.com.new.uat</v>
      </c>
      <c r="G71" s="18" t="s">
        <v>1427</v>
      </c>
      <c r="H71" s="77" t="str">
        <f>UKG!AQ71</f>
        <v>monika.demange@kaller.com</v>
      </c>
      <c r="I71" s="18" t="str">
        <f>IFERROR(VLOOKUP(J71,'Language Map'!M:O,3,FALSE),"en_US")</f>
        <v>en_GB</v>
      </c>
      <c r="J71" s="77" t="str">
        <f>UKG!BF71</f>
        <v>GB</v>
      </c>
      <c r="L71" s="77" t="str">
        <f>IFERROR(VLOOKUP(UKG!BA71,'UKG Company Map'!B:G,7,FALSE),"Ledger Code Not Matched")</f>
        <v>Ledger Code Not Matched</v>
      </c>
      <c r="M71" s="18" t="str">
        <f>UKG!BH71</f>
        <v>GBP</v>
      </c>
      <c r="O71" s="18" t="str">
        <f>UKG!BJ71</f>
        <v>Y</v>
      </c>
      <c r="P71" s="18" t="str">
        <f>IFERROR(VLOOKUP(UKG!BA71,'UKG Company Map'!B:E,2,FALSE),"Org Unit 1 Not Mapped")</f>
        <v>0114</v>
      </c>
      <c r="Q71" s="77" t="str">
        <f>UKG!BB71</f>
        <v>000</v>
      </c>
      <c r="W71" s="77" t="str">
        <f>UKG!Q71</f>
        <v>S11</v>
      </c>
      <c r="X71" s="18" t="str">
        <f>UKG!BC71</f>
        <v>Default</v>
      </c>
      <c r="Z71" s="18" t="str">
        <f>IFERROR(VLOOKUP(UKG!BA71,'UKG Company Map'!B:G,8,FALSE),"Custom 5 Not Matched")</f>
        <v>Custom 5 Not Matched</v>
      </c>
      <c r="AP71" s="18" t="str">
        <f>IFERROR(VLOOKUP(UKG!BA71,'UKG Company Map'!B:G,4,FALSE),"Custom 21 Exp Group Not Matched")</f>
        <v>0114</v>
      </c>
      <c r="BG71" s="77" t="str">
        <f>UKG!AZ71</f>
        <v>210868</v>
      </c>
      <c r="BK71" s="18" t="s">
        <v>1421</v>
      </c>
      <c r="BL71" s="18" t="s">
        <v>1421</v>
      </c>
      <c r="BU71" s="18" t="str">
        <f>UKG!BL71</f>
        <v>N</v>
      </c>
      <c r="BV71" s="18" t="str">
        <f>UKG!BL71</f>
        <v>N</v>
      </c>
      <c r="CE71" s="18" t="s">
        <v>1421</v>
      </c>
    </row>
    <row r="72" spans="1:83" ht="16" hidden="1" thickBot="1" x14ac:dyDescent="0.25">
      <c r="A72" s="39" t="s">
        <v>1420</v>
      </c>
      <c r="B72" s="77" t="str">
        <f>UKG!BO72</f>
        <v>Mark</v>
      </c>
      <c r="D72" s="77" t="str">
        <f>UKG!BN72</f>
        <v>Duncan</v>
      </c>
      <c r="E72" s="77" t="str">
        <f>UKG!D72</f>
        <v>209529</v>
      </c>
      <c r="F72" s="77" t="str">
        <f t="shared" si="1"/>
        <v>mark.duncan@kaller.com.new.uat</v>
      </c>
      <c r="G72" s="18" t="s">
        <v>1427</v>
      </c>
      <c r="H72" s="77" t="str">
        <f>UKG!AQ72</f>
        <v>mark.duncan@kaller.com</v>
      </c>
      <c r="I72" s="18" t="str">
        <f>IFERROR(VLOOKUP(J72,'Language Map'!M:O,3,FALSE),"en_US")</f>
        <v>en_GB</v>
      </c>
      <c r="J72" s="77" t="str">
        <f>UKG!BF72</f>
        <v>GB</v>
      </c>
      <c r="L72" s="77" t="str">
        <f>IFERROR(VLOOKUP(UKG!BA72,'UKG Company Map'!B:G,7,FALSE),"Ledger Code Not Matched")</f>
        <v>Ledger Code Not Matched</v>
      </c>
      <c r="M72" s="18" t="str">
        <f>UKG!BH72</f>
        <v>GBP</v>
      </c>
      <c r="O72" s="18" t="str">
        <f>UKG!BJ72</f>
        <v>Y</v>
      </c>
      <c r="P72" s="18" t="str">
        <f>IFERROR(VLOOKUP(UKG!BA72,'UKG Company Map'!B:E,2,FALSE),"Org Unit 1 Not Mapped")</f>
        <v>0114</v>
      </c>
      <c r="Q72" s="77" t="str">
        <f>UKG!BB72</f>
        <v>000</v>
      </c>
      <c r="W72" s="77" t="str">
        <f>UKG!Q72</f>
        <v>S14</v>
      </c>
      <c r="X72" s="18" t="str">
        <f>UKG!BC72</f>
        <v>Default</v>
      </c>
      <c r="Z72" s="18" t="str">
        <f>IFERROR(VLOOKUP(UKG!BA72,'UKG Company Map'!B:G,8,FALSE),"Custom 5 Not Matched")</f>
        <v>Custom 5 Not Matched</v>
      </c>
      <c r="AP72" s="18" t="str">
        <f>IFERROR(VLOOKUP(UKG!BA72,'UKG Company Map'!B:G,4,FALSE),"Custom 21 Exp Group Not Matched")</f>
        <v>0114</v>
      </c>
      <c r="BG72" s="77" t="str">
        <f>UKG!AZ72</f>
        <v>210868</v>
      </c>
      <c r="BK72" s="18" t="s">
        <v>1421</v>
      </c>
      <c r="BL72" s="18" t="s">
        <v>1421</v>
      </c>
      <c r="BU72" s="18" t="str">
        <f>UKG!BL72</f>
        <v>N</v>
      </c>
      <c r="BV72" s="18" t="str">
        <f>UKG!BL72</f>
        <v>N</v>
      </c>
      <c r="CE72" s="18" t="s">
        <v>1421</v>
      </c>
    </row>
    <row r="73" spans="1:83" ht="16" hidden="1" thickBot="1" x14ac:dyDescent="0.25">
      <c r="A73" s="39" t="s">
        <v>1420</v>
      </c>
      <c r="B73" s="77" t="str">
        <f>UKG!BO73</f>
        <v>Bryn R.</v>
      </c>
      <c r="D73" s="77" t="str">
        <f>UKG!BN73</f>
        <v>Jones</v>
      </c>
      <c r="E73" s="77" t="str">
        <f>UKG!D73</f>
        <v>209532</v>
      </c>
      <c r="F73" s="77" t="str">
        <f t="shared" si="1"/>
        <v>bryn.jones@kaller.com.new.uat</v>
      </c>
      <c r="G73" s="18" t="s">
        <v>1427</v>
      </c>
      <c r="H73" s="77" t="str">
        <f>UKG!AQ73</f>
        <v>bryn.jones@kaller.com</v>
      </c>
      <c r="I73" s="18" t="str">
        <f>IFERROR(VLOOKUP(J73,'Language Map'!M:O,3,FALSE),"en_US")</f>
        <v>en_GB</v>
      </c>
      <c r="J73" s="77" t="str">
        <f>UKG!BF73</f>
        <v>GB</v>
      </c>
      <c r="L73" s="77" t="str">
        <f>IFERROR(VLOOKUP(UKG!BA73,'UKG Company Map'!B:G,7,FALSE),"Ledger Code Not Matched")</f>
        <v>Ledger Code Not Matched</v>
      </c>
      <c r="M73" s="18" t="str">
        <f>UKG!BH73</f>
        <v>GBP</v>
      </c>
      <c r="O73" s="18" t="str">
        <f>UKG!BJ73</f>
        <v>Y</v>
      </c>
      <c r="P73" s="18" t="str">
        <f>IFERROR(VLOOKUP(UKG!BA73,'UKG Company Map'!B:E,2,FALSE),"Org Unit 1 Not Mapped")</f>
        <v>0114</v>
      </c>
      <c r="Q73" s="77" t="str">
        <f>UKG!BB73</f>
        <v>000</v>
      </c>
      <c r="W73" s="77" t="str">
        <f>UKG!Q73</f>
        <v>S14</v>
      </c>
      <c r="X73" s="18" t="str">
        <f>UKG!BC73</f>
        <v>Default</v>
      </c>
      <c r="Z73" s="18" t="str">
        <f>IFERROR(VLOOKUP(UKG!BA73,'UKG Company Map'!B:G,8,FALSE),"Custom 5 Not Matched")</f>
        <v>Custom 5 Not Matched</v>
      </c>
      <c r="AP73" s="18" t="str">
        <f>IFERROR(VLOOKUP(UKG!BA73,'UKG Company Map'!B:G,4,FALSE),"Custom 21 Exp Group Not Matched")</f>
        <v>0114</v>
      </c>
      <c r="BG73" s="77" t="str">
        <f>UKG!AZ73</f>
        <v>210868</v>
      </c>
      <c r="BK73" s="18" t="s">
        <v>1421</v>
      </c>
      <c r="BL73" s="18" t="s">
        <v>1421</v>
      </c>
      <c r="BU73" s="18" t="str">
        <f>UKG!BL73</f>
        <v>N</v>
      </c>
      <c r="BV73" s="18" t="str">
        <f>UKG!BL73</f>
        <v>N</v>
      </c>
      <c r="CE73" s="18" t="s">
        <v>1421</v>
      </c>
    </row>
    <row r="74" spans="1:83" ht="16" hidden="1" thickBot="1" x14ac:dyDescent="0.25">
      <c r="A74" s="39" t="s">
        <v>1420</v>
      </c>
      <c r="B74" s="77" t="str">
        <f>UKG!BO74</f>
        <v>Thomas J.</v>
      </c>
      <c r="D74" s="77" t="str">
        <f>UKG!BN74</f>
        <v>Simpson</v>
      </c>
      <c r="E74" s="77" t="str">
        <f>UKG!D74</f>
        <v>213447</v>
      </c>
      <c r="F74" s="77" t="str">
        <f t="shared" si="1"/>
        <v>thomas.simpson@kaller.com.new.uat</v>
      </c>
      <c r="G74" s="18" t="s">
        <v>1427</v>
      </c>
      <c r="H74" s="77" t="str">
        <f>UKG!AQ74</f>
        <v>thomas.simpson@kaller.com</v>
      </c>
      <c r="I74" s="18" t="str">
        <f>IFERROR(VLOOKUP(J74,'Language Map'!M:O,3,FALSE),"en_US")</f>
        <v>en_GB</v>
      </c>
      <c r="J74" s="77" t="str">
        <f>UKG!BF74</f>
        <v>GB</v>
      </c>
      <c r="L74" s="77" t="str">
        <f>IFERROR(VLOOKUP(UKG!BA74,'UKG Company Map'!B:G,7,FALSE),"Ledger Code Not Matched")</f>
        <v>Ledger Code Not Matched</v>
      </c>
      <c r="M74" s="18" t="str">
        <f>UKG!BH74</f>
        <v>GBP</v>
      </c>
      <c r="O74" s="18" t="str">
        <f>UKG!BJ74</f>
        <v>Y</v>
      </c>
      <c r="P74" s="18" t="str">
        <f>IFERROR(VLOOKUP(UKG!BA74,'UKG Company Map'!B:E,2,FALSE),"Org Unit 1 Not Mapped")</f>
        <v>0035</v>
      </c>
      <c r="Q74" s="77" t="str">
        <f>UKG!BB74</f>
        <v>000</v>
      </c>
      <c r="W74" s="77" t="str">
        <f>UKG!Q74</f>
        <v>S14</v>
      </c>
      <c r="X74" s="18" t="str">
        <f>UKG!BC74</f>
        <v>Default</v>
      </c>
      <c r="Z74" s="18" t="str">
        <f>IFERROR(VLOOKUP(UKG!BA74,'UKG Company Map'!B:G,8,FALSE),"Custom 5 Not Matched")</f>
        <v>Custom 5 Not Matched</v>
      </c>
      <c r="AP74" s="18" t="str">
        <f>IFERROR(VLOOKUP(UKG!BA74,'UKG Company Map'!B:G,4,FALSE),"Custom 21 Exp Group Not Matched")</f>
        <v>0035</v>
      </c>
      <c r="BG74" s="77" t="str">
        <f>UKG!AZ74</f>
        <v>212910</v>
      </c>
      <c r="BK74" s="18" t="s">
        <v>1421</v>
      </c>
      <c r="BL74" s="18" t="s">
        <v>1421</v>
      </c>
      <c r="BU74" s="18" t="str">
        <f>UKG!BL74</f>
        <v>N</v>
      </c>
      <c r="BV74" s="18" t="str">
        <f>UKG!BL74</f>
        <v>N</v>
      </c>
      <c r="CE74" s="18" t="s">
        <v>1421</v>
      </c>
    </row>
    <row r="75" spans="1:83" ht="16" hidden="1" thickBot="1" x14ac:dyDescent="0.25">
      <c r="A75" s="39" t="s">
        <v>1420</v>
      </c>
      <c r="B75" s="77" t="str">
        <f>UKG!BO75</f>
        <v>Akash M.</v>
      </c>
      <c r="D75" s="77" t="str">
        <f>UKG!BN75</f>
        <v>Deshmukh</v>
      </c>
      <c r="E75" s="77" t="str">
        <f>UKG!D75</f>
        <v>206253</v>
      </c>
      <c r="F75" s="77" t="str">
        <f t="shared" si="1"/>
        <v>akash.deshmukh@bginc.com.new.uat</v>
      </c>
      <c r="G75" s="18" t="s">
        <v>1427</v>
      </c>
      <c r="H75" s="77" t="str">
        <f>UKG!AQ75</f>
        <v>akash.deshmukh@bginc.com</v>
      </c>
      <c r="I75" s="18" t="str">
        <f>IFERROR(VLOOKUP(J75,'Language Map'!M:O,3,FALSE),"en_US")</f>
        <v>en_IN</v>
      </c>
      <c r="J75" s="77" t="str">
        <f>UKG!BF75</f>
        <v>IN</v>
      </c>
      <c r="L75" s="77" t="str">
        <f>IFERROR(VLOOKUP(UKG!BA75,'UKG Company Map'!B:G,7,FALSE),"Ledger Code Not Matched")</f>
        <v>Ledger Code Not Matched</v>
      </c>
      <c r="M75" s="18" t="str">
        <f>UKG!BH75</f>
        <v>INR</v>
      </c>
      <c r="O75" s="18" t="str">
        <f>UKG!BJ75</f>
        <v>Y</v>
      </c>
      <c r="P75" s="18" t="str">
        <f>IFERROR(VLOOKUP(UKG!BA75,'UKG Company Map'!B:E,2,FALSE),"Org Unit 1 Not Mapped")</f>
        <v>26</v>
      </c>
      <c r="Q75" s="77" t="str">
        <f>UKG!BB75</f>
        <v>0900</v>
      </c>
      <c r="W75" s="77" t="str">
        <f>UKG!Q75</f>
        <v>S14</v>
      </c>
      <c r="X75" s="18" t="str">
        <f>UKG!BC75</f>
        <v>Default</v>
      </c>
      <c r="Z75" s="18" t="str">
        <f>IFERROR(VLOOKUP(UKG!BA75,'UKG Company Map'!B:G,8,FALSE),"Custom 5 Not Matched")</f>
        <v>Custom 5 Not Matched</v>
      </c>
      <c r="AP75" s="18" t="str">
        <f>IFERROR(VLOOKUP(UKG!BA75,'UKG Company Map'!B:G,4,FALSE),"Custom 21 Exp Group Not Matched")</f>
        <v>26</v>
      </c>
      <c r="BG75" s="77" t="str">
        <f>UKG!AZ75</f>
        <v>206252</v>
      </c>
      <c r="BK75" s="18" t="s">
        <v>1421</v>
      </c>
      <c r="BL75" s="18" t="s">
        <v>1421</v>
      </c>
      <c r="BU75" s="18" t="str">
        <f>UKG!BL75</f>
        <v>N</v>
      </c>
      <c r="BV75" s="18" t="str">
        <f>UKG!BL75</f>
        <v>N</v>
      </c>
      <c r="CE75" s="18" t="s">
        <v>1421</v>
      </c>
    </row>
    <row r="76" spans="1:83" ht="16" hidden="1" thickBot="1" x14ac:dyDescent="0.25">
      <c r="A76" s="39" t="s">
        <v>1420</v>
      </c>
      <c r="B76" s="77" t="str">
        <f>UKG!BO76</f>
        <v>Sandip</v>
      </c>
      <c r="D76" s="77" t="str">
        <f>UKG!BN76</f>
        <v>Nikam</v>
      </c>
      <c r="E76" s="77" t="str">
        <f>UKG!D76</f>
        <v>206252</v>
      </c>
      <c r="F76" s="77" t="str">
        <f t="shared" si="1"/>
        <v>sandip.nikam@bginc.com.new.uat</v>
      </c>
      <c r="G76" s="18" t="s">
        <v>1427</v>
      </c>
      <c r="H76" s="77" t="str">
        <f>UKG!AQ76</f>
        <v>sandip.nikam@bginc.com</v>
      </c>
      <c r="I76" s="18" t="str">
        <f>IFERROR(VLOOKUP(J76,'Language Map'!M:O,3,FALSE),"en_US")</f>
        <v>en_IN</v>
      </c>
      <c r="J76" s="77" t="str">
        <f>UKG!BF76</f>
        <v>IN</v>
      </c>
      <c r="L76" s="77" t="str">
        <f>IFERROR(VLOOKUP(UKG!BA76,'UKG Company Map'!B:G,7,FALSE),"Ledger Code Not Matched")</f>
        <v>Ledger Code Not Matched</v>
      </c>
      <c r="M76" s="18" t="str">
        <f>UKG!BH76</f>
        <v>INR</v>
      </c>
      <c r="O76" s="18" t="str">
        <f>UKG!BJ76</f>
        <v>Y</v>
      </c>
      <c r="P76" s="18" t="str">
        <f>IFERROR(VLOOKUP(UKG!BA76,'UKG Company Map'!B:E,2,FALSE),"Org Unit 1 Not Mapped")</f>
        <v>26</v>
      </c>
      <c r="Q76" s="77" t="str">
        <f>UKG!BB76</f>
        <v>0900</v>
      </c>
      <c r="W76" s="77" t="str">
        <f>UKG!Q76</f>
        <v>S16</v>
      </c>
      <c r="X76" s="18" t="str">
        <f>UKG!BC76</f>
        <v>Default</v>
      </c>
      <c r="Z76" s="18" t="str">
        <f>IFERROR(VLOOKUP(UKG!BA76,'UKG Company Map'!B:G,8,FALSE),"Custom 5 Not Matched")</f>
        <v>Custom 5 Not Matched</v>
      </c>
      <c r="AP76" s="18" t="str">
        <f>IFERROR(VLOOKUP(UKG!BA76,'UKG Company Map'!B:G,4,FALSE),"Custom 21 Exp Group Not Matched")</f>
        <v>26</v>
      </c>
      <c r="BG76" s="77" t="str">
        <f>UKG!AZ76</f>
        <v>205373</v>
      </c>
      <c r="BK76" s="18" t="s">
        <v>1421</v>
      </c>
      <c r="BL76" s="18" t="s">
        <v>1421</v>
      </c>
      <c r="BU76" s="18" t="str">
        <f>UKG!BL76</f>
        <v>N</v>
      </c>
      <c r="BV76" s="18" t="str">
        <f>UKG!BL76</f>
        <v>N</v>
      </c>
      <c r="CE76" s="18" t="s">
        <v>1421</v>
      </c>
    </row>
    <row r="77" spans="1:83" ht="16" hidden="1" thickBot="1" x14ac:dyDescent="0.25">
      <c r="A77" s="39" t="s">
        <v>1420</v>
      </c>
      <c r="B77" s="77" t="str">
        <f>UKG!BO77</f>
        <v>Mariko</v>
      </c>
      <c r="D77" s="77" t="str">
        <f>UKG!BN77</f>
        <v>Nakajima</v>
      </c>
      <c r="E77" s="77" t="str">
        <f>UKG!D77</f>
        <v>211596</v>
      </c>
      <c r="F77" s="77" t="str">
        <f t="shared" si="1"/>
        <v>mnakajima@onebarnes.com.new.uat</v>
      </c>
      <c r="G77" s="18" t="s">
        <v>1427</v>
      </c>
      <c r="H77" s="77" t="str">
        <f>UKG!AQ77</f>
        <v>mnakajima@onebarnes.com</v>
      </c>
      <c r="I77" s="18" t="str">
        <f>IFERROR(VLOOKUP(J77,'Language Map'!M:O,3,FALSE),"en_US")</f>
        <v>ja_JP</v>
      </c>
      <c r="J77" s="77" t="str">
        <f>UKG!BF77</f>
        <v>JP</v>
      </c>
      <c r="L77" s="77" t="str">
        <f>IFERROR(VLOOKUP(UKG!BA77,'UKG Company Map'!B:G,7,FALSE),"Ledger Code Not Matched")</f>
        <v>Ledger Code Not Matched</v>
      </c>
      <c r="M77" s="18" t="str">
        <f>UKG!BH77</f>
        <v>JPY</v>
      </c>
      <c r="O77" s="18" t="str">
        <f>UKG!BJ77</f>
        <v>Y</v>
      </c>
      <c r="P77" s="18" t="str">
        <f>IFERROR(VLOOKUP(UKG!BA77,'UKG Company Map'!B:E,2,FALSE),"Org Unit 1 Not Mapped")</f>
        <v>0406</v>
      </c>
      <c r="Q77" s="77" t="str">
        <f>UKG!BB77</f>
        <v>0000</v>
      </c>
      <c r="W77" s="77" t="str">
        <f>UKG!Q77</f>
        <v>S14</v>
      </c>
      <c r="X77" s="18" t="str">
        <f>UKG!BC77</f>
        <v>Default</v>
      </c>
      <c r="Z77" s="18" t="str">
        <f>IFERROR(VLOOKUP(UKG!BA77,'UKG Company Map'!B:G,8,FALSE),"Custom 5 Not Matched")</f>
        <v>Custom 5 Not Matched</v>
      </c>
      <c r="AP77" s="18" t="str">
        <f>IFERROR(VLOOKUP(UKG!BA77,'UKG Company Map'!B:G,4,FALSE),"Custom 21 Exp Group Not Matched")</f>
        <v>0406</v>
      </c>
      <c r="BG77" s="77" t="str">
        <f>UKG!AZ77</f>
        <v>212047</v>
      </c>
      <c r="BK77" s="18" t="s">
        <v>1421</v>
      </c>
      <c r="BL77" s="18" t="s">
        <v>1421</v>
      </c>
      <c r="BU77" s="18" t="str">
        <f>UKG!BL77</f>
        <v>N</v>
      </c>
      <c r="BV77" s="18" t="str">
        <f>UKG!BL77</f>
        <v>N</v>
      </c>
      <c r="CE77" s="18" t="s">
        <v>1421</v>
      </c>
    </row>
    <row r="78" spans="1:83" ht="16" hidden="1" thickBot="1" x14ac:dyDescent="0.25">
      <c r="A78" s="39" t="s">
        <v>1420</v>
      </c>
      <c r="B78" s="77" t="str">
        <f>UKG!BO78</f>
        <v>Atsushi</v>
      </c>
      <c r="D78" s="77" t="str">
        <f>UKG!BN78</f>
        <v>Nakasako</v>
      </c>
      <c r="E78" s="77" t="str">
        <f>UKG!D78</f>
        <v>212047</v>
      </c>
      <c r="F78" s="77" t="str">
        <f t="shared" si="1"/>
        <v>anakasako@onebarnes.com.new.uat</v>
      </c>
      <c r="G78" s="18" t="s">
        <v>1427</v>
      </c>
      <c r="H78" s="77" t="str">
        <f>UKG!AQ78</f>
        <v>anakasako@onebarnes.com</v>
      </c>
      <c r="I78" s="18" t="str">
        <f>IFERROR(VLOOKUP(J78,'Language Map'!M:O,3,FALSE),"en_US")</f>
        <v>ja_JP</v>
      </c>
      <c r="J78" s="77" t="str">
        <f>UKG!BF78</f>
        <v>JP</v>
      </c>
      <c r="L78" s="77" t="str">
        <f>IFERROR(VLOOKUP(UKG!BA78,'UKG Company Map'!B:G,7,FALSE),"Ledger Code Not Matched")</f>
        <v>Ledger Code Not Matched</v>
      </c>
      <c r="M78" s="18" t="str">
        <f>UKG!BH78</f>
        <v>JPY</v>
      </c>
      <c r="O78" s="18" t="str">
        <f>UKG!BJ78</f>
        <v>Y</v>
      </c>
      <c r="P78" s="18" t="str">
        <f>IFERROR(VLOOKUP(UKG!BA78,'UKG Company Map'!B:E,2,FALSE),"Org Unit 1 Not Mapped")</f>
        <v>0406</v>
      </c>
      <c r="Q78" s="77" t="str">
        <f>UKG!BB78</f>
        <v>0000</v>
      </c>
      <c r="W78" s="77" t="str">
        <f>UKG!Q78</f>
        <v>S14</v>
      </c>
      <c r="X78" s="18" t="str">
        <f>UKG!BC78</f>
        <v>Default</v>
      </c>
      <c r="Z78" s="18" t="str">
        <f>IFERROR(VLOOKUP(UKG!BA78,'UKG Company Map'!B:G,8,FALSE),"Custom 5 Not Matched")</f>
        <v>Custom 5 Not Matched</v>
      </c>
      <c r="AP78" s="18" t="str">
        <f>IFERROR(VLOOKUP(UKG!BA78,'UKG Company Map'!B:G,4,FALSE),"Custom 21 Exp Group Not Matched")</f>
        <v>0406</v>
      </c>
      <c r="BG78" s="77">
        <f>UKG!AZ78</f>
        <v>901934</v>
      </c>
      <c r="BK78" s="18" t="s">
        <v>1421</v>
      </c>
      <c r="BL78" s="18" t="s">
        <v>1421</v>
      </c>
      <c r="BU78" s="18" t="str">
        <f>UKG!BL78</f>
        <v>N</v>
      </c>
      <c r="BV78" s="18" t="str">
        <f>UKG!BL78</f>
        <v>N</v>
      </c>
      <c r="CE78" s="18" t="s">
        <v>1421</v>
      </c>
    </row>
    <row r="79" spans="1:83" ht="16" hidden="1" thickBot="1" x14ac:dyDescent="0.25">
      <c r="A79" s="39" t="s">
        <v>1420</v>
      </c>
      <c r="B79" s="77" t="str">
        <f>UKG!BO79</f>
        <v>Satoru</v>
      </c>
      <c r="D79" s="77" t="str">
        <f>UKG!BN79</f>
        <v>Nakayama</v>
      </c>
      <c r="E79" s="77" t="str">
        <f>UKG!D79</f>
        <v>213169</v>
      </c>
      <c r="F79" s="77" t="str">
        <f t="shared" si="1"/>
        <v>snakayama@spectrix.com.new.uat</v>
      </c>
      <c r="G79" s="18" t="s">
        <v>1427</v>
      </c>
      <c r="H79" s="77" t="str">
        <f>UKG!AQ79</f>
        <v>snakayama@spectrix.com</v>
      </c>
      <c r="I79" s="18" t="str">
        <f>IFERROR(VLOOKUP(J79,'Language Map'!M:O,3,FALSE),"en_US")</f>
        <v>ja_JP</v>
      </c>
      <c r="J79" s="77" t="str">
        <f>UKG!BF79</f>
        <v>JP</v>
      </c>
      <c r="L79" s="77" t="str">
        <f>IFERROR(VLOOKUP(UKG!BA79,'UKG Company Map'!B:G,7,FALSE),"Ledger Code Not Matched")</f>
        <v>Ledger Code Not Matched</v>
      </c>
      <c r="M79" s="18" t="str">
        <f>UKG!BH79</f>
        <v>JPY</v>
      </c>
      <c r="O79" s="18" t="str">
        <f>UKG!BJ79</f>
        <v>Y</v>
      </c>
      <c r="P79" s="18" t="str">
        <f>IFERROR(VLOOKUP(UKG!BA79,'UKG Company Map'!B:E,2,FALSE),"Org Unit 1 Not Mapped")</f>
        <v>0406</v>
      </c>
      <c r="Q79" s="77" t="str">
        <f>UKG!BB79</f>
        <v>0000</v>
      </c>
      <c r="W79" s="77" t="str">
        <f>UKG!Q79</f>
        <v>S14</v>
      </c>
      <c r="X79" s="18" t="str">
        <f>UKG!BC79</f>
        <v>Default</v>
      </c>
      <c r="Z79" s="18" t="str">
        <f>IFERROR(VLOOKUP(UKG!BA79,'UKG Company Map'!B:G,8,FALSE),"Custom 5 Not Matched")</f>
        <v>Custom 5 Not Matched</v>
      </c>
      <c r="AP79" s="18" t="str">
        <f>IFERROR(VLOOKUP(UKG!BA79,'UKG Company Map'!B:G,4,FALSE),"Custom 21 Exp Group Not Matched")</f>
        <v>0406</v>
      </c>
      <c r="BG79" s="77" t="str">
        <f>UKG!AZ79</f>
        <v>212047</v>
      </c>
      <c r="BK79" s="18" t="s">
        <v>1421</v>
      </c>
      <c r="BL79" s="18" t="s">
        <v>1421</v>
      </c>
      <c r="BU79" s="18" t="str">
        <f>UKG!BL79</f>
        <v>N</v>
      </c>
      <c r="BV79" s="18" t="str">
        <f>UKG!BL79</f>
        <v>N</v>
      </c>
      <c r="CE79" s="18" t="s">
        <v>1421</v>
      </c>
    </row>
    <row r="80" spans="1:83" ht="16" hidden="1" thickBot="1" x14ac:dyDescent="0.25">
      <c r="A80" s="39" t="s">
        <v>1420</v>
      </c>
      <c r="B80" s="77" t="str">
        <f>UKG!BO80</f>
        <v>Makoto</v>
      </c>
      <c r="D80" s="77" t="str">
        <f>UKG!BN80</f>
        <v>Sugawara</v>
      </c>
      <c r="E80" s="77" t="str">
        <f>UKG!D80</f>
        <v>206366</v>
      </c>
      <c r="F80" s="77" t="str">
        <f t="shared" si="1"/>
        <v>MSugawara@onebarnes.com.new.uat</v>
      </c>
      <c r="G80" s="18" t="s">
        <v>1427</v>
      </c>
      <c r="H80" s="77" t="str">
        <f>UKG!AQ80</f>
        <v>MSugawara@onebarnes.com</v>
      </c>
      <c r="I80" s="18" t="str">
        <f>IFERROR(VLOOKUP(J80,'Language Map'!M:O,3,FALSE),"en_US")</f>
        <v>ja_JP</v>
      </c>
      <c r="J80" s="77" t="str">
        <f>UKG!BF80</f>
        <v>JP</v>
      </c>
      <c r="L80" s="77" t="str">
        <f>IFERROR(VLOOKUP(UKG!BA80,'UKG Company Map'!B:G,7,FALSE),"Ledger Code Not Matched")</f>
        <v>Ledger Code Not Matched</v>
      </c>
      <c r="M80" s="18" t="str">
        <f>UKG!BH80</f>
        <v>JPY</v>
      </c>
      <c r="O80" s="18" t="str">
        <f>UKG!BJ80</f>
        <v>Y</v>
      </c>
      <c r="P80" s="18" t="str">
        <f>IFERROR(VLOOKUP(UKG!BA80,'UKG Company Map'!B:E,2,FALSE),"Org Unit 1 Not Mapped")</f>
        <v>0463</v>
      </c>
      <c r="Q80" s="77" t="str">
        <f>UKG!BB80</f>
        <v>536900</v>
      </c>
      <c r="W80" s="77" t="str">
        <f>UKG!Q80</f>
        <v>S14</v>
      </c>
      <c r="X80" s="18" t="str">
        <f>UKG!BC80</f>
        <v>Default</v>
      </c>
      <c r="Z80" s="18" t="str">
        <f>IFERROR(VLOOKUP(UKG!BA80,'UKG Company Map'!B:G,8,FALSE),"Custom 5 Not Matched")</f>
        <v>Custom 5 Not Matched</v>
      </c>
      <c r="AP80" s="18" t="str">
        <f>IFERROR(VLOOKUP(UKG!BA80,'UKG Company Map'!B:G,4,FALSE),"Custom 21 Exp Group Not Matched")</f>
        <v>0463</v>
      </c>
      <c r="BG80" s="77" t="str">
        <f>UKG!AZ80</f>
        <v>212047</v>
      </c>
      <c r="BK80" s="18" t="s">
        <v>1421</v>
      </c>
      <c r="BL80" s="18" t="s">
        <v>1421</v>
      </c>
      <c r="BU80" s="18" t="str">
        <f>UKG!BL80</f>
        <v>N</v>
      </c>
      <c r="BV80" s="18" t="str">
        <f>UKG!BL80</f>
        <v>N</v>
      </c>
      <c r="CE80" s="18" t="s">
        <v>1421</v>
      </c>
    </row>
    <row r="81" spans="1:83" ht="16" hidden="1" thickBot="1" x14ac:dyDescent="0.25">
      <c r="A81" s="39" t="s">
        <v>1420</v>
      </c>
      <c r="B81" s="77" t="str">
        <f>UKG!BO81</f>
        <v>Xinhua</v>
      </c>
      <c r="D81" s="77" t="str">
        <f>UKG!BN81</f>
        <v>Yan</v>
      </c>
      <c r="E81" s="77" t="str">
        <f>UKG!D81</f>
        <v>210462</v>
      </c>
      <c r="F81" s="77" t="str">
        <f t="shared" si="1"/>
        <v>xyan@onebarnes.com.new.uat</v>
      </c>
      <c r="G81" s="18" t="s">
        <v>1427</v>
      </c>
      <c r="H81" s="77" t="str">
        <f>UKG!AQ81</f>
        <v>xyan@onebarnes.com</v>
      </c>
      <c r="I81" s="18" t="str">
        <f>IFERROR(VLOOKUP(J81,'Language Map'!M:O,3,FALSE),"en_US")</f>
        <v>ja_JP</v>
      </c>
      <c r="J81" s="77" t="str">
        <f>UKG!BF81</f>
        <v>JP</v>
      </c>
      <c r="L81" s="77" t="str">
        <f>IFERROR(VLOOKUP(UKG!BA81,'UKG Company Map'!B:G,7,FALSE),"Ledger Code Not Matched")</f>
        <v>Ledger Code Not Matched</v>
      </c>
      <c r="M81" s="18" t="str">
        <f>UKG!BH81</f>
        <v>JPY</v>
      </c>
      <c r="O81" s="18" t="str">
        <f>UKG!BJ81</f>
        <v>Y</v>
      </c>
      <c r="P81" s="18" t="str">
        <f>IFERROR(VLOOKUP(UKG!BA81,'UKG Company Map'!B:E,2,FALSE),"Org Unit 1 Not Mapped")</f>
        <v>0463</v>
      </c>
      <c r="Q81" s="77" t="str">
        <f>UKG!BB81</f>
        <v>536900</v>
      </c>
      <c r="W81" s="77" t="str">
        <f>UKG!Q81</f>
        <v>S14</v>
      </c>
      <c r="X81" s="18" t="str">
        <f>UKG!BC81</f>
        <v>Default</v>
      </c>
      <c r="Z81" s="18" t="str">
        <f>IFERROR(VLOOKUP(UKG!BA81,'UKG Company Map'!B:G,8,FALSE),"Custom 5 Not Matched")</f>
        <v>Custom 5 Not Matched</v>
      </c>
      <c r="AP81" s="18" t="str">
        <f>IFERROR(VLOOKUP(UKG!BA81,'UKG Company Map'!B:G,4,FALSE),"Custom 21 Exp Group Not Matched")</f>
        <v>0463</v>
      </c>
      <c r="BG81" s="77" t="str">
        <f>UKG!AZ81</f>
        <v>212047</v>
      </c>
      <c r="BK81" s="18" t="s">
        <v>1421</v>
      </c>
      <c r="BL81" s="18" t="s">
        <v>1421</v>
      </c>
      <c r="BU81" s="18" t="str">
        <f>UKG!BL81</f>
        <v>N</v>
      </c>
      <c r="BV81" s="18" t="str">
        <f>UKG!BL81</f>
        <v>N</v>
      </c>
      <c r="CE81" s="18" t="s">
        <v>1421</v>
      </c>
    </row>
    <row r="82" spans="1:83" ht="16" hidden="1" thickBot="1" x14ac:dyDescent="0.25">
      <c r="A82" s="39" t="s">
        <v>1420</v>
      </c>
      <c r="B82" s="77" t="str">
        <f>UKG!BO82</f>
        <v>Hideo</v>
      </c>
      <c r="D82" s="77" t="str">
        <f>UKG!BN82</f>
        <v>Yoshino</v>
      </c>
      <c r="E82" s="77" t="str">
        <f>UKG!D82</f>
        <v>206368</v>
      </c>
      <c r="F82" s="77" t="str">
        <f t="shared" si="1"/>
        <v>hideo.yoshino@kaller.com.new.uat</v>
      </c>
      <c r="G82" s="18" t="s">
        <v>1427</v>
      </c>
      <c r="H82" s="77" t="str">
        <f>UKG!AQ82</f>
        <v>hideo.yoshino@kaller.com</v>
      </c>
      <c r="I82" s="18" t="str">
        <f>IFERROR(VLOOKUP(J82,'Language Map'!M:O,3,FALSE),"en_US")</f>
        <v>ja_JP</v>
      </c>
      <c r="J82" s="77" t="str">
        <f>UKG!BF82</f>
        <v>JP</v>
      </c>
      <c r="L82" s="77" t="str">
        <f>IFERROR(VLOOKUP(UKG!BA82,'UKG Company Map'!B:G,7,FALSE),"Ledger Code Not Matched")</f>
        <v>Ledger Code Not Matched</v>
      </c>
      <c r="M82" s="18" t="str">
        <f>UKG!BH82</f>
        <v>JPY</v>
      </c>
      <c r="O82" s="18" t="str">
        <f>UKG!BJ82</f>
        <v>Y</v>
      </c>
      <c r="P82" s="18" t="str">
        <f>IFERROR(VLOOKUP(UKG!BA82,'UKG Company Map'!B:E,2,FALSE),"Org Unit 1 Not Mapped")</f>
        <v>0463</v>
      </c>
      <c r="Q82" s="77" t="str">
        <f>UKG!BB82</f>
        <v>536900</v>
      </c>
      <c r="W82" s="77" t="str">
        <f>UKG!Q82</f>
        <v>S15</v>
      </c>
      <c r="X82" s="18" t="str">
        <f>UKG!BC82</f>
        <v>Default</v>
      </c>
      <c r="Z82" s="18" t="str">
        <f>IFERROR(VLOOKUP(UKG!BA82,'UKG Company Map'!B:G,8,FALSE),"Custom 5 Not Matched")</f>
        <v>Custom 5 Not Matched</v>
      </c>
      <c r="AP82" s="18" t="str">
        <f>IFERROR(VLOOKUP(UKG!BA82,'UKG Company Map'!B:G,4,FALSE),"Custom 21 Exp Group Not Matched")</f>
        <v>0463</v>
      </c>
      <c r="BG82" s="77" t="str">
        <f>UKG!AZ82</f>
        <v>901934</v>
      </c>
      <c r="BK82" s="18" t="s">
        <v>1421</v>
      </c>
      <c r="BL82" s="18" t="s">
        <v>1421</v>
      </c>
      <c r="BU82" s="18" t="str">
        <f>UKG!BL82</f>
        <v>N</v>
      </c>
      <c r="BV82" s="18" t="str">
        <f>UKG!BL82</f>
        <v>N</v>
      </c>
      <c r="CE82" s="18" t="s">
        <v>1421</v>
      </c>
    </row>
    <row r="83" spans="1:83" ht="16" hidden="1" thickBot="1" x14ac:dyDescent="0.25">
      <c r="A83" s="39" t="s">
        <v>1420</v>
      </c>
      <c r="B83" s="77" t="str">
        <f>UKG!BO83</f>
        <v>Byoungwook</v>
      </c>
      <c r="D83" s="77" t="str">
        <f>UKG!BN83</f>
        <v>Chon</v>
      </c>
      <c r="E83" s="77" t="str">
        <f>UKG!D83</f>
        <v>206503</v>
      </c>
      <c r="F83" s="77" t="str">
        <f t="shared" si="1"/>
        <v>chon@kaller.com.new.uat</v>
      </c>
      <c r="G83" s="18" t="s">
        <v>1427</v>
      </c>
      <c r="H83" s="77" t="str">
        <f>UKG!AQ83</f>
        <v>chon@kaller.com</v>
      </c>
      <c r="I83" s="18" t="str">
        <f>IFERROR(VLOOKUP(J83,'Language Map'!M:O,3,FALSE),"en_US")</f>
        <v>ko_KR</v>
      </c>
      <c r="J83" s="77" t="str">
        <f>UKG!BF83</f>
        <v>KR</v>
      </c>
      <c r="L83" s="77" t="str">
        <f>IFERROR(VLOOKUP(UKG!BA83,'UKG Company Map'!B:G,7,FALSE),"Ledger Code Not Matched")</f>
        <v>Ledger Code Not Matched</v>
      </c>
      <c r="M83" s="18" t="str">
        <f>UKG!BH83</f>
        <v>KRW</v>
      </c>
      <c r="O83" s="18" t="str">
        <f>UKG!BJ83</f>
        <v>Y</v>
      </c>
      <c r="P83" s="18" t="str">
        <f>IFERROR(VLOOKUP(UKG!BA83,'UKG Company Map'!B:E,2,FALSE),"Org Unit 1 Not Mapped")</f>
        <v>34</v>
      </c>
      <c r="Q83" s="77" t="str">
        <f>UKG!BB83</f>
        <v>800</v>
      </c>
      <c r="W83" s="77" t="str">
        <f>UKG!Q83</f>
        <v>S16</v>
      </c>
      <c r="X83" s="18" t="str">
        <f>UKG!BC83</f>
        <v>Default</v>
      </c>
      <c r="Z83" s="18" t="str">
        <f>IFERROR(VLOOKUP(UKG!BA83,'UKG Company Map'!B:G,8,FALSE),"Custom 5 Not Matched")</f>
        <v>Custom 5 Not Matched</v>
      </c>
      <c r="AP83" s="18" t="str">
        <f>IFERROR(VLOOKUP(UKG!BA83,'UKG Company Map'!B:G,4,FALSE),"Custom 21 Exp Group Not Matched")</f>
        <v>34</v>
      </c>
      <c r="BG83" s="77" t="str">
        <f>UKG!AZ83</f>
        <v>205389</v>
      </c>
      <c r="BK83" s="18" t="s">
        <v>1421</v>
      </c>
      <c r="BL83" s="18" t="s">
        <v>1421</v>
      </c>
      <c r="BU83" s="18" t="str">
        <f>UKG!BL83</f>
        <v>N</v>
      </c>
      <c r="BV83" s="18" t="str">
        <f>UKG!BL83</f>
        <v>N</v>
      </c>
      <c r="CE83" s="18" t="s">
        <v>1421</v>
      </c>
    </row>
    <row r="84" spans="1:83" ht="16" hidden="1" thickBot="1" x14ac:dyDescent="0.25">
      <c r="A84" s="39" t="s">
        <v>1420</v>
      </c>
      <c r="B84" s="77" t="str">
        <f>UKG!BO84</f>
        <v>Yungsek</v>
      </c>
      <c r="D84" s="77" t="str">
        <f>UKG!BN84</f>
        <v>Jung</v>
      </c>
      <c r="E84" s="77" t="str">
        <f>UKG!D84</f>
        <v>206504</v>
      </c>
      <c r="F84" s="77" t="str">
        <f t="shared" si="1"/>
        <v>jung@kaller.com.new.uat</v>
      </c>
      <c r="G84" s="18" t="s">
        <v>1427</v>
      </c>
      <c r="H84" s="77" t="str">
        <f>UKG!AQ84</f>
        <v>jung@kaller.com</v>
      </c>
      <c r="I84" s="18" t="str">
        <f>IFERROR(VLOOKUP(J84,'Language Map'!M:O,3,FALSE),"en_US")</f>
        <v>ko_KR</v>
      </c>
      <c r="J84" s="77" t="str">
        <f>UKG!BF84</f>
        <v>KR</v>
      </c>
      <c r="L84" s="77" t="str">
        <f>IFERROR(VLOOKUP(UKG!BA84,'UKG Company Map'!B:G,7,FALSE),"Ledger Code Not Matched")</f>
        <v>Ledger Code Not Matched</v>
      </c>
      <c r="M84" s="18" t="str">
        <f>UKG!BH84</f>
        <v>KRW</v>
      </c>
      <c r="O84" s="18" t="str">
        <f>UKG!BJ84</f>
        <v>Y</v>
      </c>
      <c r="P84" s="18" t="str">
        <f>IFERROR(VLOOKUP(UKG!BA84,'UKG Company Map'!B:E,2,FALSE),"Org Unit 1 Not Mapped")</f>
        <v>34</v>
      </c>
      <c r="Q84" s="77" t="str">
        <f>UKG!BB84</f>
        <v>800</v>
      </c>
      <c r="W84" s="77" t="str">
        <f>UKG!Q84</f>
        <v>S14</v>
      </c>
      <c r="X84" s="18" t="str">
        <f>UKG!BC84</f>
        <v>Default</v>
      </c>
      <c r="Z84" s="18" t="str">
        <f>IFERROR(VLOOKUP(UKG!BA84,'UKG Company Map'!B:G,8,FALSE),"Custom 5 Not Matched")</f>
        <v>Custom 5 Not Matched</v>
      </c>
      <c r="AP84" s="18" t="str">
        <f>IFERROR(VLOOKUP(UKG!BA84,'UKG Company Map'!B:G,4,FALSE),"Custom 21 Exp Group Not Matched")</f>
        <v>34</v>
      </c>
      <c r="BG84" s="77" t="str">
        <f>UKG!AZ84</f>
        <v>206503</v>
      </c>
      <c r="BK84" s="18" t="s">
        <v>1421</v>
      </c>
      <c r="BL84" s="18" t="s">
        <v>1421</v>
      </c>
      <c r="BU84" s="18" t="str">
        <f>UKG!BL84</f>
        <v>N</v>
      </c>
      <c r="BV84" s="18" t="str">
        <f>UKG!BL84</f>
        <v>N</v>
      </c>
      <c r="CE84" s="18" t="s">
        <v>1421</v>
      </c>
    </row>
    <row r="85" spans="1:83" ht="16" hidden="1" thickBot="1" x14ac:dyDescent="0.25">
      <c r="A85" s="39" t="s">
        <v>1420</v>
      </c>
      <c r="B85" s="77" t="str">
        <f>UKG!BO85</f>
        <v>Young-El</v>
      </c>
      <c r="D85" s="77" t="str">
        <f>UKG!BN85</f>
        <v>Kwon</v>
      </c>
      <c r="E85" s="77" t="str">
        <f>UKG!D85</f>
        <v>206507</v>
      </c>
      <c r="F85" s="77" t="str">
        <f t="shared" si="1"/>
        <v>young-el.kwon@kaller.com.new.uat</v>
      </c>
      <c r="G85" s="18" t="s">
        <v>1427</v>
      </c>
      <c r="H85" s="77" t="str">
        <f>UKG!AQ85</f>
        <v>young-el.kwon@kaller.com</v>
      </c>
      <c r="I85" s="18" t="str">
        <f>IFERROR(VLOOKUP(J85,'Language Map'!M:O,3,FALSE),"en_US")</f>
        <v>ko_KR</v>
      </c>
      <c r="J85" s="77" t="str">
        <f>UKG!BF85</f>
        <v>KR</v>
      </c>
      <c r="L85" s="77" t="str">
        <f>IFERROR(VLOOKUP(UKG!BA85,'UKG Company Map'!B:G,7,FALSE),"Ledger Code Not Matched")</f>
        <v>Ledger Code Not Matched</v>
      </c>
      <c r="M85" s="18" t="str">
        <f>UKG!BH85</f>
        <v>KRW</v>
      </c>
      <c r="O85" s="18" t="str">
        <f>UKG!BJ85</f>
        <v>Y</v>
      </c>
      <c r="P85" s="18" t="str">
        <f>IFERROR(VLOOKUP(UKG!BA85,'UKG Company Map'!B:E,2,FALSE),"Org Unit 1 Not Mapped")</f>
        <v>34</v>
      </c>
      <c r="Q85" s="77" t="str">
        <f>UKG!BB85</f>
        <v>800</v>
      </c>
      <c r="W85" s="77" t="str">
        <f>UKG!Q85</f>
        <v>S12</v>
      </c>
      <c r="X85" s="18" t="str">
        <f>UKG!BC85</f>
        <v>Default</v>
      </c>
      <c r="Z85" s="18" t="str">
        <f>IFERROR(VLOOKUP(UKG!BA85,'UKG Company Map'!B:G,8,FALSE),"Custom 5 Not Matched")</f>
        <v>Custom 5 Not Matched</v>
      </c>
      <c r="AP85" s="18" t="str">
        <f>IFERROR(VLOOKUP(UKG!BA85,'UKG Company Map'!B:G,4,FALSE),"Custom 21 Exp Group Not Matched")</f>
        <v>34</v>
      </c>
      <c r="BG85" s="77" t="str">
        <f>UKG!AZ85</f>
        <v>206503</v>
      </c>
      <c r="BK85" s="18" t="s">
        <v>1421</v>
      </c>
      <c r="BL85" s="18" t="s">
        <v>1421</v>
      </c>
      <c r="BU85" s="18" t="str">
        <f>UKG!BL85</f>
        <v>N</v>
      </c>
      <c r="BV85" s="18" t="str">
        <f>UKG!BL85</f>
        <v>N</v>
      </c>
      <c r="CE85" s="18" t="s">
        <v>1421</v>
      </c>
    </row>
    <row r="86" spans="1:83" ht="16" hidden="1" thickBot="1" x14ac:dyDescent="0.25">
      <c r="A86" s="39" t="s">
        <v>1420</v>
      </c>
      <c r="B86" s="77" t="str">
        <f>UKG!BO86</f>
        <v>YongJun</v>
      </c>
      <c r="D86" s="77" t="str">
        <f>UKG!BN86</f>
        <v>Lee</v>
      </c>
      <c r="E86" s="77" t="str">
        <f>UKG!D86</f>
        <v>206508</v>
      </c>
      <c r="F86" s="77" t="str">
        <f t="shared" ref="F86:F149" si="2">H86&amp;".new.uat"</f>
        <v>lee@kaller.com.new.uat</v>
      </c>
      <c r="G86" s="18" t="s">
        <v>1427</v>
      </c>
      <c r="H86" s="77" t="str">
        <f>UKG!AQ86</f>
        <v>lee@kaller.com</v>
      </c>
      <c r="I86" s="18" t="str">
        <f>IFERROR(VLOOKUP(J86,'Language Map'!M:O,3,FALSE),"en_US")</f>
        <v>ko_KR</v>
      </c>
      <c r="J86" s="77" t="str">
        <f>UKG!BF86</f>
        <v>KR</v>
      </c>
      <c r="L86" s="77" t="str">
        <f>IFERROR(VLOOKUP(UKG!BA86,'UKG Company Map'!B:G,7,FALSE),"Ledger Code Not Matched")</f>
        <v>Ledger Code Not Matched</v>
      </c>
      <c r="M86" s="18" t="str">
        <f>UKG!BH86</f>
        <v>KRW</v>
      </c>
      <c r="O86" s="18" t="str">
        <f>UKG!BJ86</f>
        <v>Y</v>
      </c>
      <c r="P86" s="18" t="str">
        <f>IFERROR(VLOOKUP(UKG!BA86,'UKG Company Map'!B:E,2,FALSE),"Org Unit 1 Not Mapped")</f>
        <v>34</v>
      </c>
      <c r="Q86" s="77" t="str">
        <f>UKG!BB86</f>
        <v>800</v>
      </c>
      <c r="W86" s="77" t="str">
        <f>UKG!Q86</f>
        <v>S12</v>
      </c>
      <c r="X86" s="18" t="str">
        <f>UKG!BC86</f>
        <v>Default</v>
      </c>
      <c r="Z86" s="18" t="str">
        <f>IFERROR(VLOOKUP(UKG!BA86,'UKG Company Map'!B:G,8,FALSE),"Custom 5 Not Matched")</f>
        <v>Custom 5 Not Matched</v>
      </c>
      <c r="AP86" s="18" t="str">
        <f>IFERROR(VLOOKUP(UKG!BA86,'UKG Company Map'!B:G,4,FALSE),"Custom 21 Exp Group Not Matched")</f>
        <v>34</v>
      </c>
      <c r="BG86" s="77" t="str">
        <f>UKG!AZ86</f>
        <v>206503</v>
      </c>
      <c r="BK86" s="18" t="s">
        <v>1421</v>
      </c>
      <c r="BL86" s="18" t="s">
        <v>1421</v>
      </c>
      <c r="BU86" s="18" t="str">
        <f>UKG!BL86</f>
        <v>N</v>
      </c>
      <c r="BV86" s="18" t="str">
        <f>UKG!BL86</f>
        <v>N</v>
      </c>
      <c r="CE86" s="18" t="s">
        <v>1421</v>
      </c>
    </row>
    <row r="87" spans="1:83" ht="16" hidden="1" thickBot="1" x14ac:dyDescent="0.25">
      <c r="A87" s="39" t="s">
        <v>1420</v>
      </c>
      <c r="B87" s="77" t="str">
        <f>UKG!BO87</f>
        <v>Sungjae</v>
      </c>
      <c r="D87" s="77" t="str">
        <f>UKG!BN87</f>
        <v>Yoon</v>
      </c>
      <c r="E87" s="77" t="str">
        <f>UKG!D87</f>
        <v>206509</v>
      </c>
      <c r="F87" s="77" t="str">
        <f t="shared" si="2"/>
        <v>seoungjae.yoon@kaller.com.new.uat</v>
      </c>
      <c r="G87" s="18" t="s">
        <v>1427</v>
      </c>
      <c r="H87" s="77" t="str">
        <f>UKG!AQ87</f>
        <v>seoungjae.yoon@kaller.com</v>
      </c>
      <c r="I87" s="18" t="str">
        <f>IFERROR(VLOOKUP(J87,'Language Map'!M:O,3,FALSE),"en_US")</f>
        <v>ko_KR</v>
      </c>
      <c r="J87" s="77" t="str">
        <f>UKG!BF87</f>
        <v>KR</v>
      </c>
      <c r="L87" s="77" t="str">
        <f>IFERROR(VLOOKUP(UKG!BA87,'UKG Company Map'!B:G,7,FALSE),"Ledger Code Not Matched")</f>
        <v>Ledger Code Not Matched</v>
      </c>
      <c r="M87" s="18" t="str">
        <f>UKG!BH87</f>
        <v>KRW</v>
      </c>
      <c r="O87" s="18" t="str">
        <f>UKG!BJ87</f>
        <v>Y</v>
      </c>
      <c r="P87" s="18" t="str">
        <f>IFERROR(VLOOKUP(UKG!BA87,'UKG Company Map'!B:E,2,FALSE),"Org Unit 1 Not Mapped")</f>
        <v>34</v>
      </c>
      <c r="Q87" s="77" t="str">
        <f>UKG!BB87</f>
        <v>800</v>
      </c>
      <c r="W87" s="77" t="str">
        <f>UKG!Q87</f>
        <v>S12</v>
      </c>
      <c r="X87" s="18" t="str">
        <f>UKG!BC87</f>
        <v>Default</v>
      </c>
      <c r="Z87" s="18" t="str">
        <f>IFERROR(VLOOKUP(UKG!BA87,'UKG Company Map'!B:G,8,FALSE),"Custom 5 Not Matched")</f>
        <v>Custom 5 Not Matched</v>
      </c>
      <c r="AP87" s="18" t="str">
        <f>IFERROR(VLOOKUP(UKG!BA87,'UKG Company Map'!B:G,4,FALSE),"Custom 21 Exp Group Not Matched")</f>
        <v>34</v>
      </c>
      <c r="BG87" s="77" t="str">
        <f>UKG!AZ87</f>
        <v>206503</v>
      </c>
      <c r="BK87" s="18" t="s">
        <v>1421</v>
      </c>
      <c r="BL87" s="18" t="s">
        <v>1421</v>
      </c>
      <c r="BU87" s="18" t="str">
        <f>UKG!BL87</f>
        <v>N</v>
      </c>
      <c r="BV87" s="18" t="str">
        <f>UKG!BL87</f>
        <v>N</v>
      </c>
      <c r="CE87" s="18" t="s">
        <v>1421</v>
      </c>
    </row>
    <row r="88" spans="1:83" ht="16" hidden="1" thickBot="1" x14ac:dyDescent="0.25">
      <c r="A88" s="39" t="s">
        <v>1420</v>
      </c>
      <c r="B88" s="77" t="str">
        <f>UKG!BO88</f>
        <v>RICARDO</v>
      </c>
      <c r="D88" s="77" t="str">
        <f>UKG!BN88</f>
        <v>CARRILLO</v>
      </c>
      <c r="E88" s="77" t="str">
        <f>UKG!D88</f>
        <v>202181</v>
      </c>
      <c r="F88" s="77" t="str">
        <f t="shared" si="2"/>
        <v>RCarrillo@onebarnes.com.new.uat</v>
      </c>
      <c r="G88" s="18" t="s">
        <v>1427</v>
      </c>
      <c r="H88" s="77" t="str">
        <f>UKG!AQ88</f>
        <v>RCarrillo@onebarnes.com</v>
      </c>
      <c r="I88" s="18" t="str">
        <f>IFERROR(VLOOKUP(J88,'Language Map'!M:O,3,FALSE),"en_US")</f>
        <v>es_MX</v>
      </c>
      <c r="J88" s="77" t="str">
        <f>UKG!BF88</f>
        <v>MX</v>
      </c>
      <c r="L88" s="77" t="str">
        <f>IFERROR(VLOOKUP(UKG!BA88,'UKG Company Map'!B:G,7,FALSE),"Ledger Code Not Matched")</f>
        <v>Ledger Code Not Matched</v>
      </c>
      <c r="M88" s="18" t="str">
        <f>UKG!BH88</f>
        <v>MXN</v>
      </c>
      <c r="O88" s="18" t="str">
        <f>UKG!BJ88</f>
        <v>Y</v>
      </c>
      <c r="P88" s="18" t="str">
        <f>IFERROR(VLOOKUP(UKG!BA88,'UKG Company Map'!B:E,2,FALSE),"Org Unit 1 Not Mapped")</f>
        <v>0084</v>
      </c>
      <c r="Q88" s="77" t="str">
        <f>UKG!BB88</f>
        <v>84RDM</v>
      </c>
      <c r="W88" s="77" t="str">
        <f>UKG!Q88</f>
        <v>S16</v>
      </c>
      <c r="X88" s="18" t="str">
        <f>UKG!BC88</f>
        <v>Default</v>
      </c>
      <c r="Z88" s="18" t="str">
        <f>IFERROR(VLOOKUP(UKG!BA88,'UKG Company Map'!B:G,8,FALSE),"Custom 5 Not Matched")</f>
        <v>Custom 5 Not Matched</v>
      </c>
      <c r="AP88" s="18" t="str">
        <f>IFERROR(VLOOKUP(UKG!BA88,'UKG Company Map'!B:G,4,FALSE),"Custom 21 Exp Group Not Matched")</f>
        <v>0084</v>
      </c>
      <c r="BG88" s="77" t="str">
        <f>UKG!AZ88</f>
        <v>202182</v>
      </c>
      <c r="BK88" s="18" t="s">
        <v>1421</v>
      </c>
      <c r="BL88" s="18" t="s">
        <v>1421</v>
      </c>
      <c r="BU88" s="18" t="str">
        <f>UKG!BL88</f>
        <v>N</v>
      </c>
      <c r="BV88" s="18" t="str">
        <f>UKG!BL88</f>
        <v>N</v>
      </c>
      <c r="CE88" s="18" t="s">
        <v>1421</v>
      </c>
    </row>
    <row r="89" spans="1:83" ht="16" hidden="1" thickBot="1" x14ac:dyDescent="0.25">
      <c r="A89" s="39" t="s">
        <v>1420</v>
      </c>
      <c r="B89" s="77" t="str">
        <f>UKG!BO89</f>
        <v>EDUARDO J.</v>
      </c>
      <c r="D89" s="77" t="str">
        <f>UKG!BN89</f>
        <v>CARRIZALES VÁZQUEZ</v>
      </c>
      <c r="E89" s="77" t="str">
        <f>UKG!D89</f>
        <v>202219</v>
      </c>
      <c r="F89" s="77" t="str">
        <f t="shared" si="2"/>
        <v>ecarrizales@onebarnes.com.new.uat</v>
      </c>
      <c r="G89" s="18" t="s">
        <v>1427</v>
      </c>
      <c r="H89" s="77" t="str">
        <f>UKG!AQ89</f>
        <v>ecarrizales@onebarnes.com</v>
      </c>
      <c r="I89" s="18" t="str">
        <f>IFERROR(VLOOKUP(J89,'Language Map'!M:O,3,FALSE),"en_US")</f>
        <v>es_MX</v>
      </c>
      <c r="J89" s="77" t="str">
        <f>UKG!BF89</f>
        <v>MX</v>
      </c>
      <c r="L89" s="77" t="str">
        <f>IFERROR(VLOOKUP(UKG!BA89,'UKG Company Map'!B:G,7,FALSE),"Ledger Code Not Matched")</f>
        <v>Ledger Code Not Matched</v>
      </c>
      <c r="M89" s="18" t="str">
        <f>UKG!BH89</f>
        <v>MXN</v>
      </c>
      <c r="O89" s="18" t="str">
        <f>UKG!BJ89</f>
        <v>Y</v>
      </c>
      <c r="P89" s="18" t="str">
        <f>IFERROR(VLOOKUP(UKG!BA89,'UKG Company Map'!B:E,2,FALSE),"Org Unit 1 Not Mapped")</f>
        <v>0084</v>
      </c>
      <c r="Q89" s="77" t="str">
        <f>UKG!BB89</f>
        <v>800</v>
      </c>
      <c r="W89" s="77" t="str">
        <f>UKG!Q89</f>
        <v>S06</v>
      </c>
      <c r="X89" s="18" t="str">
        <f>UKG!BC89</f>
        <v>Default</v>
      </c>
      <c r="Z89" s="18" t="str">
        <f>IFERROR(VLOOKUP(UKG!BA89,'UKG Company Map'!B:G,8,FALSE),"Custom 5 Not Matched")</f>
        <v>Custom 5 Not Matched</v>
      </c>
      <c r="AP89" s="18" t="str">
        <f>IFERROR(VLOOKUP(UKG!BA89,'UKG Company Map'!B:G,4,FALSE),"Custom 21 Exp Group Not Matched")</f>
        <v>0084</v>
      </c>
      <c r="BG89" s="77" t="str">
        <f>UKG!AZ89</f>
        <v>202182</v>
      </c>
      <c r="BK89" s="18" t="s">
        <v>1421</v>
      </c>
      <c r="BL89" s="18" t="s">
        <v>1421</v>
      </c>
      <c r="BU89" s="18" t="str">
        <f>UKG!BL89</f>
        <v>N</v>
      </c>
      <c r="BV89" s="18" t="str">
        <f>UKG!BL89</f>
        <v>N</v>
      </c>
      <c r="CE89" s="18" t="s">
        <v>1421</v>
      </c>
    </row>
    <row r="90" spans="1:83" ht="16" hidden="1" thickBot="1" x14ac:dyDescent="0.25">
      <c r="A90" s="39" t="s">
        <v>1420</v>
      </c>
      <c r="B90" s="77" t="str">
        <f>UKG!BO90</f>
        <v>MANUEL A.</v>
      </c>
      <c r="D90" s="77" t="str">
        <f>UKG!BN90</f>
        <v>CASTORENA</v>
      </c>
      <c r="E90" s="77" t="str">
        <f>UKG!D90</f>
        <v>202212</v>
      </c>
      <c r="F90" s="77" t="str">
        <f t="shared" si="2"/>
        <v>MCastorena@onebarnes.com.new.uat</v>
      </c>
      <c r="G90" s="18" t="s">
        <v>1427</v>
      </c>
      <c r="H90" s="77" t="str">
        <f>UKG!AQ90</f>
        <v>MCastorena@onebarnes.com</v>
      </c>
      <c r="I90" s="18" t="str">
        <f>IFERROR(VLOOKUP(J90,'Language Map'!M:O,3,FALSE),"en_US")</f>
        <v>es_MX</v>
      </c>
      <c r="J90" s="77" t="str">
        <f>UKG!BF90</f>
        <v>MX</v>
      </c>
      <c r="L90" s="77" t="str">
        <f>IFERROR(VLOOKUP(UKG!BA90,'UKG Company Map'!B:G,7,FALSE),"Ledger Code Not Matched")</f>
        <v>Ledger Code Not Matched</v>
      </c>
      <c r="M90" s="18" t="str">
        <f>UKG!BH90</f>
        <v>MXN</v>
      </c>
      <c r="O90" s="18" t="str">
        <f>UKG!BJ90</f>
        <v>Y</v>
      </c>
      <c r="P90" s="18" t="str">
        <f>IFERROR(VLOOKUP(UKG!BA90,'UKG Company Map'!B:E,2,FALSE),"Org Unit 1 Not Mapped")</f>
        <v>0075</v>
      </c>
      <c r="Q90" s="77" t="str">
        <f>UKG!BB90</f>
        <v>800</v>
      </c>
      <c r="W90" s="77" t="str">
        <f>UKG!Q90</f>
        <v>S14</v>
      </c>
      <c r="X90" s="18" t="str">
        <f>UKG!BC90</f>
        <v>Default</v>
      </c>
      <c r="Z90" s="18" t="str">
        <f>IFERROR(VLOOKUP(UKG!BA90,'UKG Company Map'!B:G,8,FALSE),"Custom 5 Not Matched")</f>
        <v>Custom 5 Not Matched</v>
      </c>
      <c r="AP90" s="18" t="str">
        <f>IFERROR(VLOOKUP(UKG!BA90,'UKG Company Map'!B:G,4,FALSE),"Custom 21 Exp Group Not Matched")</f>
        <v>0075</v>
      </c>
      <c r="BG90" s="77" t="str">
        <f>UKG!AZ90</f>
        <v>202182</v>
      </c>
      <c r="BK90" s="18" t="s">
        <v>1421</v>
      </c>
      <c r="BL90" s="18" t="s">
        <v>1421</v>
      </c>
      <c r="BU90" s="18" t="str">
        <f>UKG!BL90</f>
        <v>N</v>
      </c>
      <c r="BV90" s="18" t="str">
        <f>UKG!BL90</f>
        <v>N</v>
      </c>
      <c r="CE90" s="18" t="s">
        <v>1421</v>
      </c>
    </row>
    <row r="91" spans="1:83" ht="16" hidden="1" thickBot="1" x14ac:dyDescent="0.25">
      <c r="A91" s="39" t="s">
        <v>1420</v>
      </c>
      <c r="B91" s="77" t="str">
        <f>UKG!BO91</f>
        <v>DANTE A.</v>
      </c>
      <c r="D91" s="77" t="str">
        <f>UKG!BN91</f>
        <v>GONZALEZ</v>
      </c>
      <c r="E91" s="77" t="str">
        <f>UKG!D91</f>
        <v>202184</v>
      </c>
      <c r="F91" s="77" t="str">
        <f t="shared" si="2"/>
        <v>DGonzalez@onebarnes.com.new.uat</v>
      </c>
      <c r="G91" s="18" t="s">
        <v>1427</v>
      </c>
      <c r="H91" s="77" t="str">
        <f>UKG!AQ91</f>
        <v>DGonzalez@onebarnes.com</v>
      </c>
      <c r="I91" s="18" t="str">
        <f>IFERROR(VLOOKUP(J91,'Language Map'!M:O,3,FALSE),"en_US")</f>
        <v>es_MX</v>
      </c>
      <c r="J91" s="77" t="str">
        <f>UKG!BF91</f>
        <v>MX</v>
      </c>
      <c r="L91" s="77" t="str">
        <f>IFERROR(VLOOKUP(UKG!BA91,'UKG Company Map'!B:G,7,FALSE),"Ledger Code Not Matched")</f>
        <v>Ledger Code Not Matched</v>
      </c>
      <c r="M91" s="18" t="str">
        <f>UKG!BH91</f>
        <v>MXN</v>
      </c>
      <c r="O91" s="18" t="str">
        <f>UKG!BJ91</f>
        <v>Y</v>
      </c>
      <c r="P91" s="18" t="str">
        <f>IFERROR(VLOOKUP(UKG!BA91,'UKG Company Map'!B:E,2,FALSE),"Org Unit 1 Not Mapped")</f>
        <v>0075</v>
      </c>
      <c r="Q91" s="77" t="str">
        <f>UKG!BB91</f>
        <v>800</v>
      </c>
      <c r="W91" s="77" t="str">
        <f>UKG!Q91</f>
        <v>S11</v>
      </c>
      <c r="X91" s="18" t="str">
        <f>UKG!BC91</f>
        <v>Default</v>
      </c>
      <c r="Z91" s="18" t="str">
        <f>IFERROR(VLOOKUP(UKG!BA91,'UKG Company Map'!B:G,8,FALSE),"Custom 5 Not Matched")</f>
        <v>Custom 5 Not Matched</v>
      </c>
      <c r="AP91" s="18" t="str">
        <f>IFERROR(VLOOKUP(UKG!BA91,'UKG Company Map'!B:G,4,FALSE),"Custom 21 Exp Group Not Matched")</f>
        <v>0075</v>
      </c>
      <c r="BG91" s="77" t="str">
        <f>UKG!AZ91</f>
        <v>202182</v>
      </c>
      <c r="BK91" s="18" t="s">
        <v>1421</v>
      </c>
      <c r="BL91" s="18" t="s">
        <v>1421</v>
      </c>
      <c r="BU91" s="18" t="str">
        <f>UKG!BL91</f>
        <v>N</v>
      </c>
      <c r="BV91" s="18" t="str">
        <f>UKG!BL91</f>
        <v>N</v>
      </c>
      <c r="CE91" s="18" t="s">
        <v>1421</v>
      </c>
    </row>
    <row r="92" spans="1:83" ht="16" hidden="1" thickBot="1" x14ac:dyDescent="0.25">
      <c r="A92" s="39" t="s">
        <v>1420</v>
      </c>
      <c r="B92" s="77" t="str">
        <f>UKG!BO92</f>
        <v>VICTOR A.</v>
      </c>
      <c r="D92" s="77" t="str">
        <f>UKG!BN92</f>
        <v>HILLEL</v>
      </c>
      <c r="E92" s="77" t="str">
        <f>UKG!D92</f>
        <v>207883</v>
      </c>
      <c r="F92" s="77" t="str">
        <f t="shared" si="2"/>
        <v>VHillel@onebarnes.com.new.uat</v>
      </c>
      <c r="G92" s="18" t="s">
        <v>1427</v>
      </c>
      <c r="H92" s="77" t="str">
        <f>UKG!AQ92</f>
        <v>VHillel@onebarnes.com</v>
      </c>
      <c r="I92" s="18" t="str">
        <f>IFERROR(VLOOKUP(J92,'Language Map'!M:O,3,FALSE),"en_US")</f>
        <v>es_MX</v>
      </c>
      <c r="J92" s="77" t="str">
        <f>UKG!BF92</f>
        <v>MX</v>
      </c>
      <c r="L92" s="77" t="str">
        <f>IFERROR(VLOOKUP(UKG!BA92,'UKG Company Map'!B:G,7,FALSE),"Ledger Code Not Matched")</f>
        <v>Ledger Code Not Matched</v>
      </c>
      <c r="M92" s="18" t="str">
        <f>UKG!BH92</f>
        <v>MXN</v>
      </c>
      <c r="O92" s="18" t="str">
        <f>UKG!BJ92</f>
        <v>Y</v>
      </c>
      <c r="P92" s="18" t="str">
        <f>IFERROR(VLOOKUP(UKG!BA92,'UKG Company Map'!B:E,2,FALSE),"Org Unit 1 Not Mapped")</f>
        <v>0075</v>
      </c>
      <c r="Q92" s="77" t="str">
        <f>UKG!BB92</f>
        <v>800</v>
      </c>
      <c r="W92" s="77" t="str">
        <f>UKG!Q92</f>
        <v>S14</v>
      </c>
      <c r="X92" s="18" t="str">
        <f>UKG!BC92</f>
        <v>Default</v>
      </c>
      <c r="Z92" s="18" t="str">
        <f>IFERROR(VLOOKUP(UKG!BA92,'UKG Company Map'!B:G,8,FALSE),"Custom 5 Not Matched")</f>
        <v>Custom 5 Not Matched</v>
      </c>
      <c r="AP92" s="18" t="str">
        <f>IFERROR(VLOOKUP(UKG!BA92,'UKG Company Map'!B:G,4,FALSE),"Custom 21 Exp Group Not Matched")</f>
        <v>0075</v>
      </c>
      <c r="BG92" s="77" t="str">
        <f>UKG!AZ92</f>
        <v>202182</v>
      </c>
      <c r="BK92" s="18" t="s">
        <v>1421</v>
      </c>
      <c r="BL92" s="18" t="s">
        <v>1421</v>
      </c>
      <c r="BU92" s="18" t="str">
        <f>UKG!BL92</f>
        <v>N</v>
      </c>
      <c r="BV92" s="18" t="str">
        <f>UKG!BL92</f>
        <v>N</v>
      </c>
      <c r="CE92" s="18" t="s">
        <v>1421</v>
      </c>
    </row>
    <row r="93" spans="1:83" ht="16" hidden="1" thickBot="1" x14ac:dyDescent="0.25">
      <c r="A93" s="39" t="s">
        <v>1420</v>
      </c>
      <c r="B93" s="77" t="str">
        <f>UKG!BO93</f>
        <v>JUAN C.</v>
      </c>
      <c r="D93" s="77" t="str">
        <f>UKG!BN93</f>
        <v>MARIN</v>
      </c>
      <c r="E93" s="77" t="str">
        <f>UKG!D93</f>
        <v>202183</v>
      </c>
      <c r="F93" s="77" t="str">
        <f t="shared" si="2"/>
        <v>JMarin@onebarnes.com.new.uat</v>
      </c>
      <c r="G93" s="18" t="s">
        <v>1427</v>
      </c>
      <c r="H93" s="77" t="str">
        <f>UKG!AQ93</f>
        <v>JMarin@onebarnes.com</v>
      </c>
      <c r="I93" s="18" t="str">
        <f>IFERROR(VLOOKUP(J93,'Language Map'!M:O,3,FALSE),"en_US")</f>
        <v>es_MX</v>
      </c>
      <c r="J93" s="77" t="str">
        <f>UKG!BF93</f>
        <v>MX</v>
      </c>
      <c r="L93" s="77" t="str">
        <f>IFERROR(VLOOKUP(UKG!BA93,'UKG Company Map'!B:G,7,FALSE),"Ledger Code Not Matched")</f>
        <v>Ledger Code Not Matched</v>
      </c>
      <c r="M93" s="18" t="str">
        <f>UKG!BH93</f>
        <v>MXN</v>
      </c>
      <c r="O93" s="18" t="str">
        <f>UKG!BJ93</f>
        <v>Y</v>
      </c>
      <c r="P93" s="18" t="str">
        <f>IFERROR(VLOOKUP(UKG!BA93,'UKG Company Map'!B:E,2,FALSE),"Org Unit 1 Not Mapped")</f>
        <v>0084</v>
      </c>
      <c r="Q93" s="77" t="str">
        <f>UKG!BB93</f>
        <v>800</v>
      </c>
      <c r="W93" s="77" t="str">
        <f>UKG!Q93</f>
        <v>S06</v>
      </c>
      <c r="X93" s="18" t="str">
        <f>UKG!BC93</f>
        <v>Default</v>
      </c>
      <c r="Z93" s="18" t="str">
        <f>IFERROR(VLOOKUP(UKG!BA93,'UKG Company Map'!B:G,8,FALSE),"Custom 5 Not Matched")</f>
        <v>Custom 5 Not Matched</v>
      </c>
      <c r="AP93" s="18" t="str">
        <f>IFERROR(VLOOKUP(UKG!BA93,'UKG Company Map'!B:G,4,FALSE),"Custom 21 Exp Group Not Matched")</f>
        <v>0084</v>
      </c>
      <c r="BG93" s="77" t="str">
        <f>UKG!AZ93</f>
        <v>202182</v>
      </c>
      <c r="BK93" s="18" t="s">
        <v>1421</v>
      </c>
      <c r="BL93" s="18" t="s">
        <v>1421</v>
      </c>
      <c r="BU93" s="18" t="str">
        <f>UKG!BL93</f>
        <v>N</v>
      </c>
      <c r="BV93" s="18" t="str">
        <f>UKG!BL93</f>
        <v>N</v>
      </c>
      <c r="CE93" s="18" t="s">
        <v>1421</v>
      </c>
    </row>
    <row r="94" spans="1:83" ht="16" hidden="1" thickBot="1" x14ac:dyDescent="0.25">
      <c r="A94" s="39" t="s">
        <v>1420</v>
      </c>
      <c r="B94" s="77" t="str">
        <f>UKG!BO94</f>
        <v>HECTOR D.</v>
      </c>
      <c r="D94" s="77" t="str">
        <f>UKG!BN94</f>
        <v>MARTINEZ</v>
      </c>
      <c r="E94" s="77" t="str">
        <f>UKG!D94</f>
        <v>202218</v>
      </c>
      <c r="F94" s="77" t="str">
        <f t="shared" si="2"/>
        <v>HMartinez@onebarnes.com.new.uat</v>
      </c>
      <c r="G94" s="18" t="s">
        <v>1427</v>
      </c>
      <c r="H94" s="77" t="str">
        <f>UKG!AQ94</f>
        <v>HMartinez@onebarnes.com</v>
      </c>
      <c r="I94" s="18" t="str">
        <f>IFERROR(VLOOKUP(J94,'Language Map'!M:O,3,FALSE),"en_US")</f>
        <v>es_MX</v>
      </c>
      <c r="J94" s="77" t="str">
        <f>UKG!BF94</f>
        <v>MX</v>
      </c>
      <c r="L94" s="77" t="str">
        <f>IFERROR(VLOOKUP(UKG!BA94,'UKG Company Map'!B:G,7,FALSE),"Ledger Code Not Matched")</f>
        <v>Ledger Code Not Matched</v>
      </c>
      <c r="M94" s="18" t="str">
        <f>UKG!BH94</f>
        <v>MXN</v>
      </c>
      <c r="O94" s="18" t="str">
        <f>UKG!BJ94</f>
        <v>Y</v>
      </c>
      <c r="P94" s="18" t="str">
        <f>IFERROR(VLOOKUP(UKG!BA94,'UKG Company Map'!B:E,2,FALSE),"Org Unit 1 Not Mapped")</f>
        <v>0075</v>
      </c>
      <c r="Q94" s="77" t="str">
        <f>UKG!BB94</f>
        <v>800</v>
      </c>
      <c r="W94" s="77" t="str">
        <f>UKG!Q94</f>
        <v>S13</v>
      </c>
      <c r="X94" s="18" t="str">
        <f>UKG!BC94</f>
        <v>Default</v>
      </c>
      <c r="Z94" s="18" t="str">
        <f>IFERROR(VLOOKUP(UKG!BA94,'UKG Company Map'!B:G,8,FALSE),"Custom 5 Not Matched")</f>
        <v>Custom 5 Not Matched</v>
      </c>
      <c r="AP94" s="18" t="str">
        <f>IFERROR(VLOOKUP(UKG!BA94,'UKG Company Map'!B:G,4,FALSE),"Custom 21 Exp Group Not Matched")</f>
        <v>0075</v>
      </c>
      <c r="BG94" s="77" t="str">
        <f>UKG!AZ94</f>
        <v>008750</v>
      </c>
      <c r="BK94" s="18" t="s">
        <v>1421</v>
      </c>
      <c r="BL94" s="18" t="s">
        <v>1421</v>
      </c>
      <c r="BU94" s="18" t="str">
        <f>UKG!BL94</f>
        <v>N</v>
      </c>
      <c r="BV94" s="18" t="str">
        <f>UKG!BL94</f>
        <v>N</v>
      </c>
      <c r="CE94" s="18" t="s">
        <v>1421</v>
      </c>
    </row>
    <row r="95" spans="1:83" ht="16" hidden="1" thickBot="1" x14ac:dyDescent="0.25">
      <c r="A95" s="39" t="s">
        <v>1420</v>
      </c>
      <c r="B95" s="77" t="str">
        <f>UKG!BO95</f>
        <v>JUAN E.</v>
      </c>
      <c r="D95" s="77" t="str">
        <f>UKG!BN95</f>
        <v>MEJORADO</v>
      </c>
      <c r="E95" s="77" t="str">
        <f>UKG!D95</f>
        <v>210004</v>
      </c>
      <c r="F95" s="77" t="str">
        <f t="shared" si="2"/>
        <v>Eflores@onebarnes.com.new.uat</v>
      </c>
      <c r="G95" s="18" t="s">
        <v>1427</v>
      </c>
      <c r="H95" s="77" t="str">
        <f>UKG!AQ95</f>
        <v>Eflores@onebarnes.com</v>
      </c>
      <c r="I95" s="18" t="str">
        <f>IFERROR(VLOOKUP(J95,'Language Map'!M:O,3,FALSE),"en_US")</f>
        <v>es_MX</v>
      </c>
      <c r="J95" s="77" t="str">
        <f>UKG!BF95</f>
        <v>MX</v>
      </c>
      <c r="L95" s="77" t="str">
        <f>IFERROR(VLOOKUP(UKG!BA95,'UKG Company Map'!B:G,7,FALSE),"Ledger Code Not Matched")</f>
        <v>Ledger Code Not Matched</v>
      </c>
      <c r="M95" s="18" t="str">
        <f>UKG!BH95</f>
        <v>MXN</v>
      </c>
      <c r="O95" s="18" t="str">
        <f>UKG!BJ95</f>
        <v>Y</v>
      </c>
      <c r="P95" s="18" t="str">
        <f>IFERROR(VLOOKUP(UKG!BA95,'UKG Company Map'!B:E,2,FALSE),"Org Unit 1 Not Mapped")</f>
        <v>0084</v>
      </c>
      <c r="Q95" s="77" t="str">
        <f>UKG!BB95</f>
        <v>800</v>
      </c>
      <c r="W95" s="77" t="str">
        <f>UKG!Q95</f>
        <v>S06</v>
      </c>
      <c r="X95" s="18" t="str">
        <f>UKG!BC95</f>
        <v>Default</v>
      </c>
      <c r="Z95" s="18" t="str">
        <f>IFERROR(VLOOKUP(UKG!BA95,'UKG Company Map'!B:G,8,FALSE),"Custom 5 Not Matched")</f>
        <v>Custom 5 Not Matched</v>
      </c>
      <c r="AP95" s="18" t="str">
        <f>IFERROR(VLOOKUP(UKG!BA95,'UKG Company Map'!B:G,4,FALSE),"Custom 21 Exp Group Not Matched")</f>
        <v>0084</v>
      </c>
      <c r="BG95" s="77" t="str">
        <f>UKG!AZ95</f>
        <v>202182</v>
      </c>
      <c r="BK95" s="18" t="s">
        <v>1421</v>
      </c>
      <c r="BL95" s="18" t="s">
        <v>1421</v>
      </c>
      <c r="BU95" s="18" t="str">
        <f>UKG!BL95</f>
        <v>N</v>
      </c>
      <c r="BV95" s="18" t="str">
        <f>UKG!BL95</f>
        <v>N</v>
      </c>
      <c r="CE95" s="18" t="s">
        <v>1421</v>
      </c>
    </row>
    <row r="96" spans="1:83" ht="16" hidden="1" thickBot="1" x14ac:dyDescent="0.25">
      <c r="A96" s="39" t="s">
        <v>1420</v>
      </c>
      <c r="B96" s="77" t="str">
        <f>UKG!BO96</f>
        <v>Fernando</v>
      </c>
      <c r="D96" s="77" t="str">
        <f>UKG!BN96</f>
        <v>Moreno</v>
      </c>
      <c r="E96" s="77" t="str">
        <f>UKG!D96</f>
        <v>211686</v>
      </c>
      <c r="F96" s="77" t="str">
        <f t="shared" si="2"/>
        <v>FMORENO@ONEBARNES.COM.new.uat</v>
      </c>
      <c r="G96" s="18" t="s">
        <v>1427</v>
      </c>
      <c r="H96" s="77" t="str">
        <f>UKG!AQ96</f>
        <v>FMORENO@ONEBARNES.COM</v>
      </c>
      <c r="I96" s="18" t="str">
        <f>IFERROR(VLOOKUP(J96,'Language Map'!M:O,3,FALSE),"en_US")</f>
        <v>es_MX</v>
      </c>
      <c r="J96" s="77" t="str">
        <f>UKG!BF96</f>
        <v>MX</v>
      </c>
      <c r="L96" s="77" t="str">
        <f>IFERROR(VLOOKUP(UKG!BA96,'UKG Company Map'!B:G,7,FALSE),"Ledger Code Not Matched")</f>
        <v>Ledger Code Not Matched</v>
      </c>
      <c r="M96" s="18" t="str">
        <f>UKG!BH96</f>
        <v>MXN</v>
      </c>
      <c r="O96" s="18" t="str">
        <f>UKG!BJ96</f>
        <v>Y</v>
      </c>
      <c r="P96" s="18" t="str">
        <f>IFERROR(VLOOKUP(UKG!BA96,'UKG Company Map'!B:E,2,FALSE),"Org Unit 1 Not Mapped")</f>
        <v>0075</v>
      </c>
      <c r="Q96" s="77" t="str">
        <f>UKG!BB96</f>
        <v>800</v>
      </c>
      <c r="W96" s="77" t="str">
        <f>UKG!Q96</f>
        <v>S06</v>
      </c>
      <c r="X96" s="18" t="str">
        <f>UKG!BC96</f>
        <v>Default</v>
      </c>
      <c r="Z96" s="18" t="str">
        <f>IFERROR(VLOOKUP(UKG!BA96,'UKG Company Map'!B:G,8,FALSE),"Custom 5 Not Matched")</f>
        <v>Custom 5 Not Matched</v>
      </c>
      <c r="AP96" s="18" t="str">
        <f>IFERROR(VLOOKUP(UKG!BA96,'UKG Company Map'!B:G,4,FALSE),"Custom 21 Exp Group Not Matched")</f>
        <v>0075</v>
      </c>
      <c r="BG96" s="77" t="str">
        <f>UKG!AZ96</f>
        <v>202182</v>
      </c>
      <c r="BK96" s="18" t="s">
        <v>1421</v>
      </c>
      <c r="BL96" s="18" t="s">
        <v>1421</v>
      </c>
      <c r="BU96" s="18" t="str">
        <f>UKG!BL96</f>
        <v>N</v>
      </c>
      <c r="BV96" s="18" t="str">
        <f>UKG!BL96</f>
        <v>N</v>
      </c>
      <c r="CE96" s="18" t="s">
        <v>1421</v>
      </c>
    </row>
    <row r="97" spans="1:83" ht="16" hidden="1" thickBot="1" x14ac:dyDescent="0.25">
      <c r="A97" s="39" t="s">
        <v>1420</v>
      </c>
      <c r="B97" s="77" t="str">
        <f>UKG!BO97</f>
        <v>ALFONSO</v>
      </c>
      <c r="D97" s="77" t="str">
        <f>UKG!BN97</f>
        <v>REYES</v>
      </c>
      <c r="E97" s="77" t="str">
        <f>UKG!D97</f>
        <v>202213</v>
      </c>
      <c r="F97" s="77" t="str">
        <f t="shared" si="2"/>
        <v>AReyes@onebarnes.com.new.uat</v>
      </c>
      <c r="G97" s="18" t="s">
        <v>1427</v>
      </c>
      <c r="H97" s="77" t="str">
        <f>UKG!AQ97</f>
        <v>AReyes@onebarnes.com</v>
      </c>
      <c r="I97" s="18" t="str">
        <f>IFERROR(VLOOKUP(J97,'Language Map'!M:O,3,FALSE),"en_US")</f>
        <v>es_MX</v>
      </c>
      <c r="J97" s="77" t="str">
        <f>UKG!BF97</f>
        <v>MX</v>
      </c>
      <c r="L97" s="77" t="str">
        <f>IFERROR(VLOOKUP(UKG!BA97,'UKG Company Map'!B:G,7,FALSE),"Ledger Code Not Matched")</f>
        <v>Ledger Code Not Matched</v>
      </c>
      <c r="M97" s="18" t="str">
        <f>UKG!BH97</f>
        <v>MXN</v>
      </c>
      <c r="O97" s="18" t="str">
        <f>UKG!BJ97</f>
        <v>Y</v>
      </c>
      <c r="P97" s="18" t="str">
        <f>IFERROR(VLOOKUP(UKG!BA97,'UKG Company Map'!B:E,2,FALSE),"Org Unit 1 Not Mapped")</f>
        <v>0075</v>
      </c>
      <c r="Q97" s="77" t="str">
        <f>UKG!BB97</f>
        <v>800</v>
      </c>
      <c r="W97" s="77" t="str">
        <f>UKG!Q97</f>
        <v>S14</v>
      </c>
      <c r="X97" s="18" t="str">
        <f>UKG!BC97</f>
        <v>Default</v>
      </c>
      <c r="Z97" s="18" t="str">
        <f>IFERROR(VLOOKUP(UKG!BA97,'UKG Company Map'!B:G,8,FALSE),"Custom 5 Not Matched")</f>
        <v>Custom 5 Not Matched</v>
      </c>
      <c r="AP97" s="18" t="str">
        <f>IFERROR(VLOOKUP(UKG!BA97,'UKG Company Map'!B:G,4,FALSE),"Custom 21 Exp Group Not Matched")</f>
        <v>0075</v>
      </c>
      <c r="BG97" s="77" t="str">
        <f>UKG!AZ97</f>
        <v>202182</v>
      </c>
      <c r="BK97" s="18" t="s">
        <v>1421</v>
      </c>
      <c r="BL97" s="18" t="s">
        <v>1421</v>
      </c>
      <c r="BU97" s="18" t="str">
        <f>UKG!BL97</f>
        <v>N</v>
      </c>
      <c r="BV97" s="18" t="str">
        <f>UKG!BL97</f>
        <v>N</v>
      </c>
      <c r="CE97" s="18" t="s">
        <v>1421</v>
      </c>
    </row>
    <row r="98" spans="1:83" ht="16" hidden="1" thickBot="1" x14ac:dyDescent="0.25">
      <c r="A98" s="39" t="s">
        <v>1420</v>
      </c>
      <c r="B98" s="77" t="str">
        <f>UKG!BO98</f>
        <v>ISMAEL</v>
      </c>
      <c r="D98" s="77" t="str">
        <f>UKG!BN98</f>
        <v>VAZQUEZ</v>
      </c>
      <c r="E98" s="77" t="str">
        <f>UKG!D98</f>
        <v>209552</v>
      </c>
      <c r="F98" s="77" t="str">
        <f t="shared" si="2"/>
        <v>ivazquez@onebarnes.com.new.uat</v>
      </c>
      <c r="G98" s="18" t="s">
        <v>1427</v>
      </c>
      <c r="H98" s="77" t="str">
        <f>UKG!AQ98</f>
        <v>ivazquez@onebarnes.com</v>
      </c>
      <c r="I98" s="18" t="str">
        <f>IFERROR(VLOOKUP(J98,'Language Map'!M:O,3,FALSE),"en_US")</f>
        <v>es_MX</v>
      </c>
      <c r="J98" s="77" t="str">
        <f>UKG!BF98</f>
        <v>MX</v>
      </c>
      <c r="L98" s="77" t="str">
        <f>IFERROR(VLOOKUP(UKG!BA98,'UKG Company Map'!B:G,7,FALSE),"Ledger Code Not Matched")</f>
        <v>Ledger Code Not Matched</v>
      </c>
      <c r="M98" s="18" t="str">
        <f>UKG!BH98</f>
        <v>MXN</v>
      </c>
      <c r="O98" s="18" t="str">
        <f>UKG!BJ98</f>
        <v>Y</v>
      </c>
      <c r="P98" s="18" t="str">
        <f>IFERROR(VLOOKUP(UKG!BA98,'UKG Company Map'!B:E,2,FALSE),"Org Unit 1 Not Mapped")</f>
        <v>0075</v>
      </c>
      <c r="Q98" s="77" t="str">
        <f>UKG!BB98</f>
        <v>800</v>
      </c>
      <c r="W98" s="77" t="str">
        <f>UKG!Q98</f>
        <v>S10</v>
      </c>
      <c r="X98" s="18" t="str">
        <f>UKG!BC98</f>
        <v>Default</v>
      </c>
      <c r="Z98" s="18" t="str">
        <f>IFERROR(VLOOKUP(UKG!BA98,'UKG Company Map'!B:G,8,FALSE),"Custom 5 Not Matched")</f>
        <v>Custom 5 Not Matched</v>
      </c>
      <c r="AP98" s="18" t="str">
        <f>IFERROR(VLOOKUP(UKG!BA98,'UKG Company Map'!B:G,4,FALSE),"Custom 21 Exp Group Not Matched")</f>
        <v>0075</v>
      </c>
      <c r="BG98" s="77" t="str">
        <f>UKG!AZ98</f>
        <v>202182</v>
      </c>
      <c r="BK98" s="18" t="s">
        <v>1421</v>
      </c>
      <c r="BL98" s="18" t="s">
        <v>1421</v>
      </c>
      <c r="BU98" s="18" t="str">
        <f>UKG!BL98</f>
        <v>N</v>
      </c>
      <c r="BV98" s="18" t="str">
        <f>UKG!BL98</f>
        <v>N</v>
      </c>
      <c r="CE98" s="18" t="s">
        <v>1421</v>
      </c>
    </row>
    <row r="99" spans="1:83" ht="16" hidden="1" thickBot="1" x14ac:dyDescent="0.25">
      <c r="A99" s="39" t="s">
        <v>1420</v>
      </c>
      <c r="B99" s="77" t="str">
        <f>UKG!BO99</f>
        <v>JOAQUIN E.</v>
      </c>
      <c r="D99" s="77" t="str">
        <f>UKG!BN99</f>
        <v>VILLARREAL</v>
      </c>
      <c r="E99" s="77" t="str">
        <f>UKG!D99</f>
        <v>202182</v>
      </c>
      <c r="F99" s="77" t="str">
        <f t="shared" si="2"/>
        <v>jvillarreal@onebarnes.com.new.uat</v>
      </c>
      <c r="G99" s="18" t="s">
        <v>1427</v>
      </c>
      <c r="H99" s="77" t="str">
        <f>UKG!AQ99</f>
        <v>jvillarreal@onebarnes.com</v>
      </c>
      <c r="I99" s="18" t="str">
        <f>IFERROR(VLOOKUP(J99,'Language Map'!M:O,3,FALSE),"en_US")</f>
        <v>es_MX</v>
      </c>
      <c r="J99" s="77" t="str">
        <f>UKG!BF99</f>
        <v>MX</v>
      </c>
      <c r="L99" s="77" t="str">
        <f>IFERROR(VLOOKUP(UKG!BA99,'UKG Company Map'!B:G,7,FALSE),"Ledger Code Not Matched")</f>
        <v>Ledger Code Not Matched</v>
      </c>
      <c r="M99" s="18" t="str">
        <f>UKG!BH99</f>
        <v>MXN</v>
      </c>
      <c r="O99" s="18" t="str">
        <f>UKG!BJ99</f>
        <v>Y</v>
      </c>
      <c r="P99" s="18" t="str">
        <f>IFERROR(VLOOKUP(UKG!BA99,'UKG Company Map'!B:E,2,FALSE),"Org Unit 1 Not Mapped")</f>
        <v>0075</v>
      </c>
      <c r="Q99" s="77" t="str">
        <f>UKG!BB99</f>
        <v>800</v>
      </c>
      <c r="W99" s="77" t="str">
        <f>UKG!Q99</f>
        <v>S16</v>
      </c>
      <c r="X99" s="18" t="str">
        <f>UKG!BC99</f>
        <v>Default</v>
      </c>
      <c r="Z99" s="18" t="str">
        <f>IFERROR(VLOOKUP(UKG!BA99,'UKG Company Map'!B:G,8,FALSE),"Custom 5 Not Matched")</f>
        <v>Custom 5 Not Matched</v>
      </c>
      <c r="AP99" s="18" t="str">
        <f>IFERROR(VLOOKUP(UKG!BA99,'UKG Company Map'!B:G,4,FALSE),"Custom 21 Exp Group Not Matched")</f>
        <v>0075</v>
      </c>
      <c r="BG99" s="77" t="str">
        <f>UKG!AZ99</f>
        <v>213037</v>
      </c>
      <c r="BK99" s="18" t="s">
        <v>1421</v>
      </c>
      <c r="BL99" s="18" t="s">
        <v>1421</v>
      </c>
      <c r="BU99" s="18" t="str">
        <f>UKG!BL99</f>
        <v>N</v>
      </c>
      <c r="BV99" s="18" t="str">
        <f>UKG!BL99</f>
        <v>N</v>
      </c>
      <c r="CE99" s="18" t="s">
        <v>1421</v>
      </c>
    </row>
    <row r="100" spans="1:83" ht="16" hidden="1" thickBot="1" x14ac:dyDescent="0.25">
      <c r="A100" s="39" t="s">
        <v>1420</v>
      </c>
      <c r="B100" s="77" t="str">
        <f>UKG!BO100</f>
        <v>THIMMIE</v>
      </c>
      <c r="D100" s="77" t="str">
        <f>UKG!BN100</f>
        <v>ÅKERBLOM</v>
      </c>
      <c r="E100" s="77" t="str">
        <f>UKG!D100</f>
        <v>205305</v>
      </c>
      <c r="F100" s="77" t="str">
        <f t="shared" si="2"/>
        <v>E205305@onebarnes.com.new.uat</v>
      </c>
      <c r="G100" s="18" t="s">
        <v>1427</v>
      </c>
      <c r="H100" s="77" t="str">
        <f>UKG!AQ100</f>
        <v>E205305@onebarnes.com</v>
      </c>
      <c r="I100" s="18" t="str">
        <f>IFERROR(VLOOKUP(J100,'Language Map'!M:O,3,FALSE),"en_US")</f>
        <v>sv_SE</v>
      </c>
      <c r="J100" s="77" t="str">
        <f>UKG!BF100</f>
        <v>SE</v>
      </c>
      <c r="L100" s="77" t="str">
        <f>IFERROR(VLOOKUP(UKG!BA100,'UKG Company Map'!B:G,7,FALSE),"Ledger Code Not Matched")</f>
        <v>Ledger Code Not Matched</v>
      </c>
      <c r="M100" s="18" t="str">
        <f>UKG!BH100</f>
        <v>SEK</v>
      </c>
      <c r="O100" s="18" t="str">
        <f>UKG!BJ100</f>
        <v>Y</v>
      </c>
      <c r="P100" s="18" t="str">
        <f>IFERROR(VLOOKUP(UKG!BA100,'UKG Company Map'!B:E,2,FALSE),"Org Unit 1 Not Mapped")</f>
        <v>0077</v>
      </c>
      <c r="Q100" s="77" t="str">
        <f>UKG!BB100</f>
        <v>0000</v>
      </c>
      <c r="W100" s="77" t="str">
        <f>UKG!Q100</f>
        <v>H0005</v>
      </c>
      <c r="X100" s="18" t="str">
        <f>UKG!BC100</f>
        <v>Default</v>
      </c>
      <c r="Z100" s="18" t="str">
        <f>IFERROR(VLOOKUP(UKG!BA100,'UKG Company Map'!B:G,8,FALSE),"Custom 5 Not Matched")</f>
        <v>Custom 5 Not Matched</v>
      </c>
      <c r="AP100" s="18" t="str">
        <f>IFERROR(VLOOKUP(UKG!BA100,'UKG Company Map'!B:G,4,FALSE),"Custom 21 Exp Group Not Matched")</f>
        <v>0077</v>
      </c>
      <c r="BG100" s="77" t="str">
        <f>UKG!AZ100</f>
        <v>212110</v>
      </c>
      <c r="BK100" s="18" t="s">
        <v>1421</v>
      </c>
      <c r="BL100" s="18" t="s">
        <v>1421</v>
      </c>
      <c r="BU100" s="18" t="str">
        <f>UKG!BL100</f>
        <v>N</v>
      </c>
      <c r="BV100" s="18" t="str">
        <f>UKG!BL100</f>
        <v>N</v>
      </c>
      <c r="CE100" s="18" t="s">
        <v>1421</v>
      </c>
    </row>
    <row r="101" spans="1:83" ht="16" hidden="1" thickBot="1" x14ac:dyDescent="0.25">
      <c r="A101" s="39" t="s">
        <v>1420</v>
      </c>
      <c r="B101" s="77" t="str">
        <f>UKG!BO101</f>
        <v>BESIR</v>
      </c>
      <c r="D101" s="77" t="str">
        <f>UKG!BN101</f>
        <v>AKGÜN</v>
      </c>
      <c r="E101" s="77" t="str">
        <f>UKG!D101</f>
        <v>205303</v>
      </c>
      <c r="F101" s="77" t="str">
        <f t="shared" si="2"/>
        <v>E205303@onebarnes.com.new.uat</v>
      </c>
      <c r="G101" s="18" t="s">
        <v>1427</v>
      </c>
      <c r="H101" s="77" t="str">
        <f>UKG!AQ101</f>
        <v>E205303@onebarnes.com</v>
      </c>
      <c r="I101" s="18" t="str">
        <f>IFERROR(VLOOKUP(J101,'Language Map'!M:O,3,FALSE),"en_US")</f>
        <v>sv_SE</v>
      </c>
      <c r="J101" s="77" t="str">
        <f>UKG!BF101</f>
        <v>SE</v>
      </c>
      <c r="L101" s="77" t="str">
        <f>IFERROR(VLOOKUP(UKG!BA101,'UKG Company Map'!B:G,7,FALSE),"Ledger Code Not Matched")</f>
        <v>Ledger Code Not Matched</v>
      </c>
      <c r="M101" s="18" t="str">
        <f>UKG!BH101</f>
        <v>SEK</v>
      </c>
      <c r="O101" s="18" t="str">
        <f>UKG!BJ101</f>
        <v>Y</v>
      </c>
      <c r="P101" s="18" t="str">
        <f>IFERROR(VLOOKUP(UKG!BA101,'UKG Company Map'!B:E,2,FALSE),"Org Unit 1 Not Mapped")</f>
        <v>0077</v>
      </c>
      <c r="Q101" s="77" t="str">
        <f>UKG!BB101</f>
        <v>0000</v>
      </c>
      <c r="W101" s="77" t="str">
        <f>UKG!Q101</f>
        <v>H0005</v>
      </c>
      <c r="X101" s="18" t="str">
        <f>UKG!BC101</f>
        <v>Default</v>
      </c>
      <c r="Z101" s="18" t="str">
        <f>IFERROR(VLOOKUP(UKG!BA101,'UKG Company Map'!B:G,8,FALSE),"Custom 5 Not Matched")</f>
        <v>Custom 5 Not Matched</v>
      </c>
      <c r="AP101" s="18" t="str">
        <f>IFERROR(VLOOKUP(UKG!BA101,'UKG Company Map'!B:G,4,FALSE),"Custom 21 Exp Group Not Matched")</f>
        <v>0077</v>
      </c>
      <c r="BG101" s="77" t="str">
        <f>UKG!AZ101</f>
        <v>205377</v>
      </c>
      <c r="BK101" s="18" t="s">
        <v>1421</v>
      </c>
      <c r="BL101" s="18" t="s">
        <v>1421</v>
      </c>
      <c r="BU101" s="18" t="str">
        <f>UKG!BL101</f>
        <v>N</v>
      </c>
      <c r="BV101" s="18" t="str">
        <f>UKG!BL101</f>
        <v>N</v>
      </c>
      <c r="CE101" s="18" t="s">
        <v>1421</v>
      </c>
    </row>
    <row r="102" spans="1:83" ht="16" hidden="1" thickBot="1" x14ac:dyDescent="0.25">
      <c r="A102" s="39" t="s">
        <v>1420</v>
      </c>
      <c r="B102" s="77" t="str">
        <f>UKG!BO102</f>
        <v>OBADA</v>
      </c>
      <c r="D102" s="77" t="str">
        <f>UKG!BN102</f>
        <v>ALHOMSI</v>
      </c>
      <c r="E102" s="77" t="str">
        <f>UKG!D102</f>
        <v>207096</v>
      </c>
      <c r="F102" s="77" t="str">
        <f t="shared" si="2"/>
        <v>E207096@onebarnes.com.new.uat</v>
      </c>
      <c r="G102" s="18" t="s">
        <v>1427</v>
      </c>
      <c r="H102" s="77" t="str">
        <f>UKG!AQ102</f>
        <v>E207096@onebarnes.com</v>
      </c>
      <c r="I102" s="18" t="str">
        <f>IFERROR(VLOOKUP(J102,'Language Map'!M:O,3,FALSE),"en_US")</f>
        <v>sv_SE</v>
      </c>
      <c r="J102" s="77" t="str">
        <f>UKG!BF102</f>
        <v>SE</v>
      </c>
      <c r="L102" s="77" t="str">
        <f>IFERROR(VLOOKUP(UKG!BA102,'UKG Company Map'!B:G,7,FALSE),"Ledger Code Not Matched")</f>
        <v>Ledger Code Not Matched</v>
      </c>
      <c r="M102" s="18" t="str">
        <f>UKG!BH102</f>
        <v>SEK</v>
      </c>
      <c r="O102" s="18" t="str">
        <f>UKG!BJ102</f>
        <v>Y</v>
      </c>
      <c r="P102" s="18" t="str">
        <f>IFERROR(VLOOKUP(UKG!BA102,'UKG Company Map'!B:E,2,FALSE),"Org Unit 1 Not Mapped")</f>
        <v>0077</v>
      </c>
      <c r="Q102" s="77" t="str">
        <f>UKG!BB102</f>
        <v>0000</v>
      </c>
      <c r="W102" s="77" t="str">
        <f>UKG!Q102</f>
        <v>H0005</v>
      </c>
      <c r="X102" s="18" t="str">
        <f>UKG!BC102</f>
        <v>Default</v>
      </c>
      <c r="Z102" s="18" t="str">
        <f>IFERROR(VLOOKUP(UKG!BA102,'UKG Company Map'!B:G,8,FALSE),"Custom 5 Not Matched")</f>
        <v>Custom 5 Not Matched</v>
      </c>
      <c r="AP102" s="18" t="str">
        <f>IFERROR(VLOOKUP(UKG!BA102,'UKG Company Map'!B:G,4,FALSE),"Custom 21 Exp Group Not Matched")</f>
        <v>0077</v>
      </c>
      <c r="BG102" s="77" t="str">
        <f>UKG!AZ102</f>
        <v>205315</v>
      </c>
      <c r="BK102" s="18" t="s">
        <v>1421</v>
      </c>
      <c r="BL102" s="18" t="s">
        <v>1421</v>
      </c>
      <c r="BU102" s="18" t="str">
        <f>UKG!BL102</f>
        <v>N</v>
      </c>
      <c r="BV102" s="18" t="str">
        <f>UKG!BL102</f>
        <v>N</v>
      </c>
      <c r="CE102" s="18" t="s">
        <v>1421</v>
      </c>
    </row>
    <row r="103" spans="1:83" ht="16" hidden="1" thickBot="1" x14ac:dyDescent="0.25">
      <c r="A103" s="39" t="s">
        <v>1420</v>
      </c>
      <c r="B103" s="77" t="str">
        <f>UKG!BO103</f>
        <v>MARIA</v>
      </c>
      <c r="D103" s="77" t="str">
        <f>UKG!BN103</f>
        <v>ALLVIN</v>
      </c>
      <c r="E103" s="77" t="str">
        <f>UKG!D103</f>
        <v>205153</v>
      </c>
      <c r="F103" s="77" t="str">
        <f t="shared" si="2"/>
        <v>E205153@onebarnes.com.new.uat</v>
      </c>
      <c r="G103" s="18" t="s">
        <v>1427</v>
      </c>
      <c r="H103" s="77" t="str">
        <f>UKG!AQ103</f>
        <v>E205153@onebarnes.com</v>
      </c>
      <c r="I103" s="18" t="str">
        <f>IFERROR(VLOOKUP(J103,'Language Map'!M:O,3,FALSE),"en_US")</f>
        <v>sv_SE</v>
      </c>
      <c r="J103" s="77" t="str">
        <f>UKG!BF103</f>
        <v>SE</v>
      </c>
      <c r="L103" s="77" t="str">
        <f>IFERROR(VLOOKUP(UKG!BA103,'UKG Company Map'!B:G,7,FALSE),"Ledger Code Not Matched")</f>
        <v>Ledger Code Not Matched</v>
      </c>
      <c r="M103" s="18" t="str">
        <f>UKG!BH103</f>
        <v>SEK</v>
      </c>
      <c r="O103" s="18" t="str">
        <f>UKG!BJ103</f>
        <v>Y</v>
      </c>
      <c r="P103" s="18" t="str">
        <f>IFERROR(VLOOKUP(UKG!BA103,'UKG Company Map'!B:E,2,FALSE),"Org Unit 1 Not Mapped")</f>
        <v>0077</v>
      </c>
      <c r="Q103" s="77" t="str">
        <f>UKG!BB103</f>
        <v>0000</v>
      </c>
      <c r="W103" s="77" t="str">
        <f>UKG!Q103</f>
        <v>H0004</v>
      </c>
      <c r="X103" s="18" t="str">
        <f>UKG!BC103</f>
        <v>Default</v>
      </c>
      <c r="Z103" s="18" t="str">
        <f>IFERROR(VLOOKUP(UKG!BA103,'UKG Company Map'!B:G,8,FALSE),"Custom 5 Not Matched")</f>
        <v>Custom 5 Not Matched</v>
      </c>
      <c r="AP103" s="18" t="str">
        <f>IFERROR(VLOOKUP(UKG!BA103,'UKG Company Map'!B:G,4,FALSE),"Custom 21 Exp Group Not Matched")</f>
        <v>0077</v>
      </c>
      <c r="BG103" s="77" t="str">
        <f>UKG!AZ103</f>
        <v>205383</v>
      </c>
      <c r="BK103" s="18" t="s">
        <v>1421</v>
      </c>
      <c r="BL103" s="18" t="s">
        <v>1421</v>
      </c>
      <c r="BU103" s="18" t="str">
        <f>UKG!BL103</f>
        <v>N</v>
      </c>
      <c r="BV103" s="18" t="str">
        <f>UKG!BL103</f>
        <v>N</v>
      </c>
      <c r="CE103" s="18" t="s">
        <v>1421</v>
      </c>
    </row>
    <row r="104" spans="1:83" ht="16" hidden="1" thickBot="1" x14ac:dyDescent="0.25">
      <c r="A104" s="39" t="s">
        <v>1420</v>
      </c>
      <c r="B104" s="77" t="str">
        <f>UKG!BO104</f>
        <v>RIKARD</v>
      </c>
      <c r="D104" s="77" t="str">
        <f>UKG!BN104</f>
        <v>ALLVIN</v>
      </c>
      <c r="E104" s="77" t="str">
        <f>UKG!D104</f>
        <v>205109</v>
      </c>
      <c r="F104" s="77" t="str">
        <f t="shared" si="2"/>
        <v>E205109@onebarnes.com.new.uat</v>
      </c>
      <c r="G104" s="18" t="s">
        <v>1427</v>
      </c>
      <c r="H104" s="77" t="str">
        <f>UKG!AQ104</f>
        <v>E205109@onebarnes.com</v>
      </c>
      <c r="I104" s="18" t="str">
        <f>IFERROR(VLOOKUP(J104,'Language Map'!M:O,3,FALSE),"en_US")</f>
        <v>sv_SE</v>
      </c>
      <c r="J104" s="77" t="str">
        <f>UKG!BF104</f>
        <v>SE</v>
      </c>
      <c r="L104" s="77" t="str">
        <f>IFERROR(VLOOKUP(UKG!BA104,'UKG Company Map'!B:G,7,FALSE),"Ledger Code Not Matched")</f>
        <v>Ledger Code Not Matched</v>
      </c>
      <c r="M104" s="18" t="str">
        <f>UKG!BH104</f>
        <v>SEK</v>
      </c>
      <c r="O104" s="18" t="str">
        <f>UKG!BJ104</f>
        <v>Y</v>
      </c>
      <c r="P104" s="18" t="str">
        <f>IFERROR(VLOOKUP(UKG!BA104,'UKG Company Map'!B:E,2,FALSE),"Org Unit 1 Not Mapped")</f>
        <v>0077</v>
      </c>
      <c r="Q104" s="77" t="str">
        <f>UKG!BB104</f>
        <v>0000</v>
      </c>
      <c r="W104" s="77" t="str">
        <f>UKG!Q104</f>
        <v>H0008</v>
      </c>
      <c r="X104" s="18" t="str">
        <f>UKG!BC104</f>
        <v>Default</v>
      </c>
      <c r="Z104" s="18" t="str">
        <f>IFERROR(VLOOKUP(UKG!BA104,'UKG Company Map'!B:G,8,FALSE),"Custom 5 Not Matched")</f>
        <v>Custom 5 Not Matched</v>
      </c>
      <c r="AP104" s="18" t="str">
        <f>IFERROR(VLOOKUP(UKG!BA104,'UKG Company Map'!B:G,4,FALSE),"Custom 21 Exp Group Not Matched")</f>
        <v>0077</v>
      </c>
      <c r="BG104" s="77" t="str">
        <f>UKG!AZ104</f>
        <v>205384</v>
      </c>
      <c r="BK104" s="18" t="s">
        <v>1421</v>
      </c>
      <c r="BL104" s="18" t="s">
        <v>1421</v>
      </c>
      <c r="BU104" s="18" t="str">
        <f>UKG!BL104</f>
        <v>N</v>
      </c>
      <c r="BV104" s="18" t="str">
        <f>UKG!BL104</f>
        <v>N</v>
      </c>
      <c r="CE104" s="18" t="s">
        <v>1421</v>
      </c>
    </row>
    <row r="105" spans="1:83" ht="16" hidden="1" thickBot="1" x14ac:dyDescent="0.25">
      <c r="A105" s="39" t="s">
        <v>1420</v>
      </c>
      <c r="B105" s="77" t="str">
        <f>UKG!BO105</f>
        <v>IBRAHIM</v>
      </c>
      <c r="D105" s="77" t="str">
        <f>UKG!BN105</f>
        <v>ALMULLA ALI</v>
      </c>
      <c r="E105" s="77" t="str">
        <f>UKG!D105</f>
        <v>207718</v>
      </c>
      <c r="F105" s="77" t="str">
        <f t="shared" si="2"/>
        <v>E207718@onebarnes.com.new.uat</v>
      </c>
      <c r="G105" s="18" t="s">
        <v>1427</v>
      </c>
      <c r="H105" s="77" t="str">
        <f>UKG!AQ105</f>
        <v>E207718@onebarnes.com</v>
      </c>
      <c r="I105" s="18" t="str">
        <f>IFERROR(VLOOKUP(J105,'Language Map'!M:O,3,FALSE),"en_US")</f>
        <v>sv_SE</v>
      </c>
      <c r="J105" s="77" t="str">
        <f>UKG!BF105</f>
        <v>SE</v>
      </c>
      <c r="L105" s="77" t="str">
        <f>IFERROR(VLOOKUP(UKG!BA105,'UKG Company Map'!B:G,7,FALSE),"Ledger Code Not Matched")</f>
        <v>Ledger Code Not Matched</v>
      </c>
      <c r="M105" s="18" t="str">
        <f>UKG!BH105</f>
        <v>SEK</v>
      </c>
      <c r="O105" s="18" t="str">
        <f>UKG!BJ105</f>
        <v>Y</v>
      </c>
      <c r="P105" s="18" t="str">
        <f>IFERROR(VLOOKUP(UKG!BA105,'UKG Company Map'!B:E,2,FALSE),"Org Unit 1 Not Mapped")</f>
        <v>0077</v>
      </c>
      <c r="Q105" s="77" t="str">
        <f>UKG!BB105</f>
        <v>0000</v>
      </c>
      <c r="W105" s="77" t="str">
        <f>UKG!Q105</f>
        <v>H0005</v>
      </c>
      <c r="X105" s="18" t="str">
        <f>UKG!BC105</f>
        <v>Default</v>
      </c>
      <c r="Z105" s="18" t="str">
        <f>IFERROR(VLOOKUP(UKG!BA105,'UKG Company Map'!B:G,8,FALSE),"Custom 5 Not Matched")</f>
        <v>Custom 5 Not Matched</v>
      </c>
      <c r="AP105" s="18" t="str">
        <f>IFERROR(VLOOKUP(UKG!BA105,'UKG Company Map'!B:G,4,FALSE),"Custom 21 Exp Group Not Matched")</f>
        <v>0077</v>
      </c>
      <c r="BG105" s="77" t="str">
        <f>UKG!AZ105</f>
        <v>205315</v>
      </c>
      <c r="BK105" s="18" t="s">
        <v>1421</v>
      </c>
      <c r="BL105" s="18" t="s">
        <v>1421</v>
      </c>
      <c r="BU105" s="18" t="str">
        <f>UKG!BL105</f>
        <v>N</v>
      </c>
      <c r="BV105" s="18" t="str">
        <f>UKG!BL105</f>
        <v>N</v>
      </c>
      <c r="CE105" s="18" t="s">
        <v>1421</v>
      </c>
    </row>
    <row r="106" spans="1:83" ht="16" hidden="1" thickBot="1" x14ac:dyDescent="0.25">
      <c r="A106" s="39" t="s">
        <v>1420</v>
      </c>
      <c r="B106" s="77" t="str">
        <f>UKG!BO106</f>
        <v>JALAL</v>
      </c>
      <c r="D106" s="77" t="str">
        <f>UKG!BN106</f>
        <v>AMSOU</v>
      </c>
      <c r="E106" s="77" t="str">
        <f>UKG!D106</f>
        <v>205320</v>
      </c>
      <c r="F106" s="77" t="str">
        <f t="shared" si="2"/>
        <v>E205320@onebarnes.com.new.uat</v>
      </c>
      <c r="G106" s="18" t="s">
        <v>1427</v>
      </c>
      <c r="H106" s="77" t="str">
        <f>UKG!AQ106</f>
        <v>E205320@onebarnes.com</v>
      </c>
      <c r="I106" s="18" t="str">
        <f>IFERROR(VLOOKUP(J106,'Language Map'!M:O,3,FALSE),"en_US")</f>
        <v>sv_SE</v>
      </c>
      <c r="J106" s="77" t="str">
        <f>UKG!BF106</f>
        <v>SE</v>
      </c>
      <c r="L106" s="77" t="str">
        <f>IFERROR(VLOOKUP(UKG!BA106,'UKG Company Map'!B:G,7,FALSE),"Ledger Code Not Matched")</f>
        <v>Ledger Code Not Matched</v>
      </c>
      <c r="M106" s="18" t="str">
        <f>UKG!BH106</f>
        <v>SEK</v>
      </c>
      <c r="O106" s="18" t="str">
        <f>UKG!BJ106</f>
        <v>Y</v>
      </c>
      <c r="P106" s="18" t="str">
        <f>IFERROR(VLOOKUP(UKG!BA106,'UKG Company Map'!B:E,2,FALSE),"Org Unit 1 Not Mapped")</f>
        <v>0077</v>
      </c>
      <c r="Q106" s="77" t="str">
        <f>UKG!BB106</f>
        <v>0000</v>
      </c>
      <c r="W106" s="77" t="str">
        <f>UKG!Q106</f>
        <v>H0005</v>
      </c>
      <c r="X106" s="18" t="str">
        <f>UKG!BC106</f>
        <v>Default</v>
      </c>
      <c r="Z106" s="18" t="str">
        <f>IFERROR(VLOOKUP(UKG!BA106,'UKG Company Map'!B:G,8,FALSE),"Custom 5 Not Matched")</f>
        <v>Custom 5 Not Matched</v>
      </c>
      <c r="AP106" s="18" t="str">
        <f>IFERROR(VLOOKUP(UKG!BA106,'UKG Company Map'!B:G,4,FALSE),"Custom 21 Exp Group Not Matched")</f>
        <v>0077</v>
      </c>
      <c r="BG106" s="77" t="str">
        <f>UKG!AZ106</f>
        <v>205377</v>
      </c>
      <c r="BK106" s="18" t="s">
        <v>1421</v>
      </c>
      <c r="BL106" s="18" t="s">
        <v>1421</v>
      </c>
      <c r="BU106" s="18" t="str">
        <f>UKG!BL106</f>
        <v>N</v>
      </c>
      <c r="BV106" s="18" t="str">
        <f>UKG!BL106</f>
        <v>N</v>
      </c>
      <c r="CE106" s="18" t="s">
        <v>1421</v>
      </c>
    </row>
    <row r="107" spans="1:83" ht="16" hidden="1" thickBot="1" x14ac:dyDescent="0.25">
      <c r="A107" s="39" t="s">
        <v>1420</v>
      </c>
      <c r="B107" s="77" t="str">
        <f>UKG!BO107</f>
        <v>ANDERS</v>
      </c>
      <c r="D107" s="77" t="str">
        <f>UKG!BN107</f>
        <v>ANDERSSON</v>
      </c>
      <c r="E107" s="77" t="str">
        <f>UKG!D107</f>
        <v>207734</v>
      </c>
      <c r="F107" s="77" t="str">
        <f t="shared" si="2"/>
        <v>E207734@onebarnes.com.new.uat</v>
      </c>
      <c r="G107" s="18" t="s">
        <v>1427</v>
      </c>
      <c r="H107" s="77" t="str">
        <f>UKG!AQ107</f>
        <v>E207734@onebarnes.com</v>
      </c>
      <c r="I107" s="18" t="str">
        <f>IFERROR(VLOOKUP(J107,'Language Map'!M:O,3,FALSE),"en_US")</f>
        <v>sv_SE</v>
      </c>
      <c r="J107" s="77" t="str">
        <f>UKG!BF107</f>
        <v>SE</v>
      </c>
      <c r="L107" s="77" t="str">
        <f>IFERROR(VLOOKUP(UKG!BA107,'UKG Company Map'!B:G,7,FALSE),"Ledger Code Not Matched")</f>
        <v>Ledger Code Not Matched</v>
      </c>
      <c r="M107" s="18" t="str">
        <f>UKG!BH107</f>
        <v>SEK</v>
      </c>
      <c r="O107" s="18" t="str">
        <f>UKG!BJ107</f>
        <v>Y</v>
      </c>
      <c r="P107" s="18" t="str">
        <f>IFERROR(VLOOKUP(UKG!BA107,'UKG Company Map'!B:E,2,FALSE),"Org Unit 1 Not Mapped")</f>
        <v>0077</v>
      </c>
      <c r="Q107" s="77" t="str">
        <f>UKG!BB107</f>
        <v>0000</v>
      </c>
      <c r="W107" s="77" t="str">
        <f>UKG!Q107</f>
        <v>H0008</v>
      </c>
      <c r="X107" s="18" t="str">
        <f>UKG!BC107</f>
        <v>Default</v>
      </c>
      <c r="Z107" s="18" t="str">
        <f>IFERROR(VLOOKUP(UKG!BA107,'UKG Company Map'!B:G,8,FALSE),"Custom 5 Not Matched")</f>
        <v>Custom 5 Not Matched</v>
      </c>
      <c r="AP107" s="18" t="str">
        <f>IFERROR(VLOOKUP(UKG!BA107,'UKG Company Map'!B:G,4,FALSE),"Custom 21 Exp Group Not Matched")</f>
        <v>0077</v>
      </c>
      <c r="BG107" s="77" t="str">
        <f>UKG!AZ107</f>
        <v>205384</v>
      </c>
      <c r="BK107" s="18" t="s">
        <v>1421</v>
      </c>
      <c r="BL107" s="18" t="s">
        <v>1421</v>
      </c>
      <c r="BU107" s="18" t="str">
        <f>UKG!BL107</f>
        <v>N</v>
      </c>
      <c r="BV107" s="18" t="str">
        <f>UKG!BL107</f>
        <v>N</v>
      </c>
      <c r="CE107" s="18" t="s">
        <v>1421</v>
      </c>
    </row>
    <row r="108" spans="1:83" ht="16" hidden="1" thickBot="1" x14ac:dyDescent="0.25">
      <c r="A108" s="39" t="s">
        <v>1420</v>
      </c>
      <c r="B108" s="77" t="str">
        <f>UKG!BO108</f>
        <v>CHRISTOFFER</v>
      </c>
      <c r="D108" s="77" t="str">
        <f>UKG!BN108</f>
        <v>ANDERSSON</v>
      </c>
      <c r="E108" s="77" t="str">
        <f>UKG!D108</f>
        <v>205329</v>
      </c>
      <c r="F108" s="77" t="str">
        <f t="shared" si="2"/>
        <v>E205329@onebarnes.com.new.uat</v>
      </c>
      <c r="G108" s="18" t="s">
        <v>1427</v>
      </c>
      <c r="H108" s="77" t="str">
        <f>UKG!AQ108</f>
        <v>E205329@onebarnes.com</v>
      </c>
      <c r="I108" s="18" t="str">
        <f>IFERROR(VLOOKUP(J108,'Language Map'!M:O,3,FALSE),"en_US")</f>
        <v>sv_SE</v>
      </c>
      <c r="J108" s="77" t="str">
        <f>UKG!BF108</f>
        <v>SE</v>
      </c>
      <c r="L108" s="77" t="str">
        <f>IFERROR(VLOOKUP(UKG!BA108,'UKG Company Map'!B:G,7,FALSE),"Ledger Code Not Matched")</f>
        <v>Ledger Code Not Matched</v>
      </c>
      <c r="M108" s="18" t="str">
        <f>UKG!BH108</f>
        <v>SEK</v>
      </c>
      <c r="O108" s="18" t="str">
        <f>UKG!BJ108</f>
        <v>Y</v>
      </c>
      <c r="P108" s="18" t="str">
        <f>IFERROR(VLOOKUP(UKG!BA108,'UKG Company Map'!B:E,2,FALSE),"Org Unit 1 Not Mapped")</f>
        <v>0077</v>
      </c>
      <c r="Q108" s="77" t="str">
        <f>UKG!BB108</f>
        <v>0000</v>
      </c>
      <c r="W108" s="77" t="str">
        <f>UKG!Q108</f>
        <v>H0005</v>
      </c>
      <c r="X108" s="18" t="str">
        <f>UKG!BC108</f>
        <v>Default</v>
      </c>
      <c r="Z108" s="18" t="str">
        <f>IFERROR(VLOOKUP(UKG!BA108,'UKG Company Map'!B:G,8,FALSE),"Custom 5 Not Matched")</f>
        <v>Custom 5 Not Matched</v>
      </c>
      <c r="AP108" s="18" t="str">
        <f>IFERROR(VLOOKUP(UKG!BA108,'UKG Company Map'!B:G,4,FALSE),"Custom 21 Exp Group Not Matched")</f>
        <v>0077</v>
      </c>
      <c r="BG108" s="77" t="str">
        <f>UKG!AZ108</f>
        <v>205377</v>
      </c>
      <c r="BK108" s="18" t="s">
        <v>1421</v>
      </c>
      <c r="BL108" s="18" t="s">
        <v>1421</v>
      </c>
      <c r="BU108" s="18" t="str">
        <f>UKG!BL108</f>
        <v>N</v>
      </c>
      <c r="BV108" s="18" t="str">
        <f>UKG!BL108</f>
        <v>N</v>
      </c>
      <c r="CE108" s="18" t="s">
        <v>1421</v>
      </c>
    </row>
    <row r="109" spans="1:83" ht="16" hidden="1" thickBot="1" x14ac:dyDescent="0.25">
      <c r="A109" s="39" t="s">
        <v>1420</v>
      </c>
      <c r="B109" s="77" t="str">
        <f>UKG!BO109</f>
        <v>FREDRIK</v>
      </c>
      <c r="D109" s="77" t="str">
        <f>UKG!BN109</f>
        <v>ANDERSSON</v>
      </c>
      <c r="E109" s="77" t="str">
        <f>UKG!D109</f>
        <v>205310</v>
      </c>
      <c r="F109" s="77" t="str">
        <f t="shared" si="2"/>
        <v>E205310@onebarnes.com.new.uat</v>
      </c>
      <c r="G109" s="18" t="s">
        <v>1427</v>
      </c>
      <c r="H109" s="77" t="str">
        <f>UKG!AQ109</f>
        <v>E205310@onebarnes.com</v>
      </c>
      <c r="I109" s="18" t="str">
        <f>IFERROR(VLOOKUP(J109,'Language Map'!M:O,3,FALSE),"en_US")</f>
        <v>sv_SE</v>
      </c>
      <c r="J109" s="77" t="str">
        <f>UKG!BF109</f>
        <v>SE</v>
      </c>
      <c r="L109" s="77" t="str">
        <f>IFERROR(VLOOKUP(UKG!BA109,'UKG Company Map'!B:G,7,FALSE),"Ledger Code Not Matched")</f>
        <v>Ledger Code Not Matched</v>
      </c>
      <c r="M109" s="18" t="str">
        <f>UKG!BH109</f>
        <v>SEK</v>
      </c>
      <c r="O109" s="18" t="str">
        <f>UKG!BJ109</f>
        <v>Y</v>
      </c>
      <c r="P109" s="18" t="str">
        <f>IFERROR(VLOOKUP(UKG!BA109,'UKG Company Map'!B:E,2,FALSE),"Org Unit 1 Not Mapped")</f>
        <v>0077</v>
      </c>
      <c r="Q109" s="77" t="str">
        <f>UKG!BB109</f>
        <v>0000</v>
      </c>
      <c r="W109" s="77" t="str">
        <f>UKG!Q109</f>
        <v>S06</v>
      </c>
      <c r="X109" s="18" t="str">
        <f>UKG!BC109</f>
        <v>Default</v>
      </c>
      <c r="Z109" s="18" t="str">
        <f>IFERROR(VLOOKUP(UKG!BA109,'UKG Company Map'!B:G,8,FALSE),"Custom 5 Not Matched")</f>
        <v>Custom 5 Not Matched</v>
      </c>
      <c r="AP109" s="18" t="str">
        <f>IFERROR(VLOOKUP(UKG!BA109,'UKG Company Map'!B:G,4,FALSE),"Custom 21 Exp Group Not Matched")</f>
        <v>0077</v>
      </c>
      <c r="BG109" s="77" t="str">
        <f>UKG!AZ109</f>
        <v>205380</v>
      </c>
      <c r="BK109" s="18" t="s">
        <v>1421</v>
      </c>
      <c r="BL109" s="18" t="s">
        <v>1421</v>
      </c>
      <c r="BU109" s="18" t="str">
        <f>UKG!BL109</f>
        <v>N</v>
      </c>
      <c r="BV109" s="18" t="str">
        <f>UKG!BL109</f>
        <v>N</v>
      </c>
      <c r="CE109" s="18" t="s">
        <v>1421</v>
      </c>
    </row>
    <row r="110" spans="1:83" ht="16" hidden="1" thickBot="1" x14ac:dyDescent="0.25">
      <c r="A110" s="39" t="s">
        <v>1420</v>
      </c>
      <c r="B110" s="77" t="str">
        <f>UKG!BO110</f>
        <v>LARS</v>
      </c>
      <c r="D110" s="77" t="str">
        <f>UKG!BN110</f>
        <v>ANDERSSON</v>
      </c>
      <c r="E110" s="77" t="str">
        <f>UKG!D110</f>
        <v>205237</v>
      </c>
      <c r="F110" s="77" t="str">
        <f t="shared" si="2"/>
        <v>E205737@onebarnes.com.new.uat</v>
      </c>
      <c r="G110" s="18" t="s">
        <v>1427</v>
      </c>
      <c r="H110" s="77" t="str">
        <f>UKG!AQ110</f>
        <v>E205737@onebarnes.com</v>
      </c>
      <c r="I110" s="18" t="str">
        <f>IFERROR(VLOOKUP(J110,'Language Map'!M:O,3,FALSE),"en_US")</f>
        <v>sv_SE</v>
      </c>
      <c r="J110" s="77" t="str">
        <f>UKG!BF110</f>
        <v>SE</v>
      </c>
      <c r="L110" s="77" t="str">
        <f>IFERROR(VLOOKUP(UKG!BA110,'UKG Company Map'!B:G,7,FALSE),"Ledger Code Not Matched")</f>
        <v>Ledger Code Not Matched</v>
      </c>
      <c r="M110" s="18" t="str">
        <f>UKG!BH110</f>
        <v>SEK</v>
      </c>
      <c r="O110" s="18" t="str">
        <f>UKG!BJ110</f>
        <v>Y</v>
      </c>
      <c r="P110" s="18" t="str">
        <f>IFERROR(VLOOKUP(UKG!BA110,'UKG Company Map'!B:E,2,FALSE),"Org Unit 1 Not Mapped")</f>
        <v>0077</v>
      </c>
      <c r="Q110" s="77" t="str">
        <f>UKG!BB110</f>
        <v>0000</v>
      </c>
      <c r="W110" s="77" t="str">
        <f>UKG!Q110</f>
        <v>H0000</v>
      </c>
      <c r="X110" s="18" t="str">
        <f>UKG!BC110</f>
        <v>Default</v>
      </c>
      <c r="Z110" s="18" t="str">
        <f>IFERROR(VLOOKUP(UKG!BA110,'UKG Company Map'!B:G,8,FALSE),"Custom 5 Not Matched")</f>
        <v>Custom 5 Not Matched</v>
      </c>
      <c r="AP110" s="18" t="str">
        <f>IFERROR(VLOOKUP(UKG!BA110,'UKG Company Map'!B:G,4,FALSE),"Custom 21 Exp Group Not Matched")</f>
        <v>0077</v>
      </c>
      <c r="BG110" s="77" t="str">
        <f>UKG!AZ110</f>
        <v>205383</v>
      </c>
      <c r="BK110" s="18" t="s">
        <v>1421</v>
      </c>
      <c r="BL110" s="18" t="s">
        <v>1421</v>
      </c>
      <c r="BU110" s="18" t="str">
        <f>UKG!BL110</f>
        <v>N</v>
      </c>
      <c r="BV110" s="18" t="str">
        <f>UKG!BL110</f>
        <v>N</v>
      </c>
      <c r="CE110" s="18" t="s">
        <v>1421</v>
      </c>
    </row>
    <row r="111" spans="1:83" ht="16" hidden="1" thickBot="1" x14ac:dyDescent="0.25">
      <c r="A111" s="39" t="s">
        <v>1420</v>
      </c>
      <c r="B111" s="77" t="str">
        <f>UKG!BO111</f>
        <v>MIKAEL</v>
      </c>
      <c r="D111" s="77" t="str">
        <f>UKG!BN111</f>
        <v>ANDERSSON</v>
      </c>
      <c r="E111" s="77" t="str">
        <f>UKG!D111</f>
        <v>205158</v>
      </c>
      <c r="F111" s="77" t="str">
        <f t="shared" si="2"/>
        <v>MAndersson@onebarnes.com.new.uat</v>
      </c>
      <c r="G111" s="18" t="s">
        <v>1427</v>
      </c>
      <c r="H111" s="77" t="str">
        <f>UKG!AQ111</f>
        <v>MAndersson@onebarnes.com</v>
      </c>
      <c r="I111" s="18" t="str">
        <f>IFERROR(VLOOKUP(J111,'Language Map'!M:O,3,FALSE),"en_US")</f>
        <v>sv_SE</v>
      </c>
      <c r="J111" s="77" t="str">
        <f>UKG!BF111</f>
        <v>SE</v>
      </c>
      <c r="L111" s="77" t="str">
        <f>IFERROR(VLOOKUP(UKG!BA111,'UKG Company Map'!B:G,7,FALSE),"Ledger Code Not Matched")</f>
        <v>Ledger Code Not Matched</v>
      </c>
      <c r="M111" s="18" t="str">
        <f>UKG!BH111</f>
        <v>SEK</v>
      </c>
      <c r="O111" s="18" t="str">
        <f>UKG!BJ111</f>
        <v>Y</v>
      </c>
      <c r="P111" s="18" t="str">
        <f>IFERROR(VLOOKUP(UKG!BA111,'UKG Company Map'!B:E,2,FALSE),"Org Unit 1 Not Mapped")</f>
        <v>0077</v>
      </c>
      <c r="Q111" s="77" t="str">
        <f>UKG!BB111</f>
        <v>0000</v>
      </c>
      <c r="W111" s="77" t="str">
        <f>UKG!Q111</f>
        <v>H0004</v>
      </c>
      <c r="X111" s="18" t="str">
        <f>UKG!BC111</f>
        <v>Default</v>
      </c>
      <c r="Z111" s="18" t="str">
        <f>IFERROR(VLOOKUP(UKG!BA111,'UKG Company Map'!B:G,8,FALSE),"Custom 5 Not Matched")</f>
        <v>Custom 5 Not Matched</v>
      </c>
      <c r="AP111" s="18" t="str">
        <f>IFERROR(VLOOKUP(UKG!BA111,'UKG Company Map'!B:G,4,FALSE),"Custom 21 Exp Group Not Matched")</f>
        <v>0077</v>
      </c>
      <c r="BG111" s="77" t="str">
        <f>UKG!AZ111</f>
        <v>205383</v>
      </c>
      <c r="BK111" s="18" t="s">
        <v>1421</v>
      </c>
      <c r="BL111" s="18" t="s">
        <v>1421</v>
      </c>
      <c r="BU111" s="18" t="str">
        <f>UKG!BL111</f>
        <v>N</v>
      </c>
      <c r="BV111" s="18" t="str">
        <f>UKG!BL111</f>
        <v>N</v>
      </c>
      <c r="CE111" s="18" t="s">
        <v>1421</v>
      </c>
    </row>
    <row r="112" spans="1:83" ht="16" hidden="1" thickBot="1" x14ac:dyDescent="0.25">
      <c r="A112" s="39" t="s">
        <v>1420</v>
      </c>
      <c r="B112" s="77" t="str">
        <f>UKG!BO112</f>
        <v>ULF</v>
      </c>
      <c r="D112" s="77" t="str">
        <f>UKG!BN112</f>
        <v>ANDERSSON</v>
      </c>
      <c r="E112" s="77" t="str">
        <f>UKG!D112</f>
        <v>205142</v>
      </c>
      <c r="F112" s="77" t="str">
        <f t="shared" si="2"/>
        <v>E205142@onebarnes.com.new.uat</v>
      </c>
      <c r="G112" s="18" t="s">
        <v>1427</v>
      </c>
      <c r="H112" s="77" t="str">
        <f>UKG!AQ112</f>
        <v>E205142@onebarnes.com</v>
      </c>
      <c r="I112" s="18" t="str">
        <f>IFERROR(VLOOKUP(J112,'Language Map'!M:O,3,FALSE),"en_US")</f>
        <v>sv_SE</v>
      </c>
      <c r="J112" s="77" t="str">
        <f>UKG!BF112</f>
        <v>SE</v>
      </c>
      <c r="L112" s="77" t="str">
        <f>IFERROR(VLOOKUP(UKG!BA112,'UKG Company Map'!B:G,7,FALSE),"Ledger Code Not Matched")</f>
        <v>Ledger Code Not Matched</v>
      </c>
      <c r="M112" s="18" t="str">
        <f>UKG!BH112</f>
        <v>SEK</v>
      </c>
      <c r="O112" s="18" t="str">
        <f>UKG!BJ112</f>
        <v>Y</v>
      </c>
      <c r="P112" s="18" t="str">
        <f>IFERROR(VLOOKUP(UKG!BA112,'UKG Company Map'!B:E,2,FALSE),"Org Unit 1 Not Mapped")</f>
        <v>0077</v>
      </c>
      <c r="Q112" s="77" t="str">
        <f>UKG!BB112</f>
        <v>0000</v>
      </c>
      <c r="W112" s="77" t="str">
        <f>UKG!Q112</f>
        <v>H0004</v>
      </c>
      <c r="X112" s="18" t="str">
        <f>UKG!BC112</f>
        <v>Default</v>
      </c>
      <c r="Z112" s="18" t="str">
        <f>IFERROR(VLOOKUP(UKG!BA112,'UKG Company Map'!B:G,8,FALSE),"Custom 5 Not Matched")</f>
        <v>Custom 5 Not Matched</v>
      </c>
      <c r="AP112" s="18" t="str">
        <f>IFERROR(VLOOKUP(UKG!BA112,'UKG Company Map'!B:G,4,FALSE),"Custom 21 Exp Group Not Matched")</f>
        <v>0077</v>
      </c>
      <c r="BG112" s="77" t="str">
        <f>UKG!AZ112</f>
        <v>205116</v>
      </c>
      <c r="BK112" s="18" t="s">
        <v>1421</v>
      </c>
      <c r="BL112" s="18" t="s">
        <v>1421</v>
      </c>
      <c r="BU112" s="18" t="str">
        <f>UKG!BL112</f>
        <v>N</v>
      </c>
      <c r="BV112" s="18" t="str">
        <f>UKG!BL112</f>
        <v>N</v>
      </c>
      <c r="CE112" s="18" t="s">
        <v>1421</v>
      </c>
    </row>
    <row r="113" spans="1:83" ht="16" hidden="1" thickBot="1" x14ac:dyDescent="0.25">
      <c r="A113" s="39" t="s">
        <v>1420</v>
      </c>
      <c r="B113" s="77" t="str">
        <f>UKG!BO113</f>
        <v>ERIK</v>
      </c>
      <c r="D113" s="77" t="str">
        <f>UKG!BN113</f>
        <v>ANDRÉN</v>
      </c>
      <c r="E113" s="77" t="str">
        <f>UKG!D113</f>
        <v>205319</v>
      </c>
      <c r="F113" s="77" t="str">
        <f t="shared" si="2"/>
        <v>E205319@onebarnes.com.new.uat</v>
      </c>
      <c r="G113" s="18" t="s">
        <v>1427</v>
      </c>
      <c r="H113" s="77" t="str">
        <f>UKG!AQ113</f>
        <v>E205319@onebarnes.com</v>
      </c>
      <c r="I113" s="18" t="str">
        <f>IFERROR(VLOOKUP(J113,'Language Map'!M:O,3,FALSE),"en_US")</f>
        <v>sv_SE</v>
      </c>
      <c r="J113" s="77" t="str">
        <f>UKG!BF113</f>
        <v>SE</v>
      </c>
      <c r="L113" s="77" t="str">
        <f>IFERROR(VLOOKUP(UKG!BA113,'UKG Company Map'!B:G,7,FALSE),"Ledger Code Not Matched")</f>
        <v>Ledger Code Not Matched</v>
      </c>
      <c r="M113" s="18" t="str">
        <f>UKG!BH113</f>
        <v>SEK</v>
      </c>
      <c r="O113" s="18" t="str">
        <f>UKG!BJ113</f>
        <v>Y</v>
      </c>
      <c r="P113" s="18" t="str">
        <f>IFERROR(VLOOKUP(UKG!BA113,'UKG Company Map'!B:E,2,FALSE),"Org Unit 1 Not Mapped")</f>
        <v>0077</v>
      </c>
      <c r="Q113" s="77" t="str">
        <f>UKG!BB113</f>
        <v>0000</v>
      </c>
      <c r="W113" s="77" t="str">
        <f>UKG!Q113</f>
        <v>H0005</v>
      </c>
      <c r="X113" s="18" t="str">
        <f>UKG!BC113</f>
        <v>Default</v>
      </c>
      <c r="Z113" s="18" t="str">
        <f>IFERROR(VLOOKUP(UKG!BA113,'UKG Company Map'!B:G,8,FALSE),"Custom 5 Not Matched")</f>
        <v>Custom 5 Not Matched</v>
      </c>
      <c r="AP113" s="18" t="str">
        <f>IFERROR(VLOOKUP(UKG!BA113,'UKG Company Map'!B:G,4,FALSE),"Custom 21 Exp Group Not Matched")</f>
        <v>0077</v>
      </c>
      <c r="BG113" s="77" t="str">
        <f>UKG!AZ113</f>
        <v>205377</v>
      </c>
      <c r="BK113" s="18" t="s">
        <v>1421</v>
      </c>
      <c r="BL113" s="18" t="s">
        <v>1421</v>
      </c>
      <c r="BU113" s="18" t="str">
        <f>UKG!BL113</f>
        <v>N</v>
      </c>
      <c r="BV113" s="18" t="str">
        <f>UKG!BL113</f>
        <v>N</v>
      </c>
      <c r="CE113" s="18" t="s">
        <v>1421</v>
      </c>
    </row>
    <row r="114" spans="1:83" ht="16" hidden="1" thickBot="1" x14ac:dyDescent="0.25">
      <c r="A114" s="39" t="s">
        <v>1420</v>
      </c>
      <c r="B114" s="77" t="str">
        <f>UKG!BO114</f>
        <v>JOHAN</v>
      </c>
      <c r="D114" s="77" t="str">
        <f>UKG!BN114</f>
        <v>ANTONSSON</v>
      </c>
      <c r="E114" s="77" t="str">
        <f>UKG!D114</f>
        <v>205137</v>
      </c>
      <c r="F114" s="77" t="str">
        <f t="shared" si="2"/>
        <v>E205137@onebarnes.com.new.uat</v>
      </c>
      <c r="G114" s="18" t="s">
        <v>1427</v>
      </c>
      <c r="H114" s="77" t="str">
        <f>UKG!AQ114</f>
        <v>E205137@onebarnes.com</v>
      </c>
      <c r="I114" s="18" t="str">
        <f>IFERROR(VLOOKUP(J114,'Language Map'!M:O,3,FALSE),"en_US")</f>
        <v>sv_SE</v>
      </c>
      <c r="J114" s="77" t="str">
        <f>UKG!BF114</f>
        <v>SE</v>
      </c>
      <c r="L114" s="77" t="str">
        <f>IFERROR(VLOOKUP(UKG!BA114,'UKG Company Map'!B:G,7,FALSE),"Ledger Code Not Matched")</f>
        <v>Ledger Code Not Matched</v>
      </c>
      <c r="M114" s="18" t="str">
        <f>UKG!BH114</f>
        <v>SEK</v>
      </c>
      <c r="O114" s="18" t="str">
        <f>UKG!BJ114</f>
        <v>Y</v>
      </c>
      <c r="P114" s="18" t="str">
        <f>IFERROR(VLOOKUP(UKG!BA114,'UKG Company Map'!B:E,2,FALSE),"Org Unit 1 Not Mapped")</f>
        <v>0077</v>
      </c>
      <c r="Q114" s="77" t="str">
        <f>UKG!BB114</f>
        <v>0000</v>
      </c>
      <c r="W114" s="77" t="str">
        <f>UKG!Q114</f>
        <v>H0004</v>
      </c>
      <c r="X114" s="18" t="str">
        <f>UKG!BC114</f>
        <v>Default</v>
      </c>
      <c r="Z114" s="18" t="str">
        <f>IFERROR(VLOOKUP(UKG!BA114,'UKG Company Map'!B:G,8,FALSE),"Custom 5 Not Matched")</f>
        <v>Custom 5 Not Matched</v>
      </c>
      <c r="AP114" s="18" t="str">
        <f>IFERROR(VLOOKUP(UKG!BA114,'UKG Company Map'!B:G,4,FALSE),"Custom 21 Exp Group Not Matched")</f>
        <v>0077</v>
      </c>
      <c r="BG114" s="77" t="str">
        <f>UKG!AZ114</f>
        <v>205383</v>
      </c>
      <c r="BK114" s="18" t="s">
        <v>1421</v>
      </c>
      <c r="BL114" s="18" t="s">
        <v>1421</v>
      </c>
      <c r="BU114" s="18" t="str">
        <f>UKG!BL114</f>
        <v>N</v>
      </c>
      <c r="BV114" s="18" t="str">
        <f>UKG!BL114</f>
        <v>N</v>
      </c>
      <c r="CE114" s="18" t="s">
        <v>1421</v>
      </c>
    </row>
    <row r="115" spans="1:83" ht="16" hidden="1" thickBot="1" x14ac:dyDescent="0.25">
      <c r="A115" s="39" t="s">
        <v>1420</v>
      </c>
      <c r="B115" s="77" t="str">
        <f>UKG!BO115</f>
        <v>ANNA</v>
      </c>
      <c r="D115" s="77" t="str">
        <f>UKG!BN115</f>
        <v>ARVIDSSON</v>
      </c>
      <c r="E115" s="77" t="str">
        <f>UKG!D115</f>
        <v>205350</v>
      </c>
      <c r="F115" s="77" t="str">
        <f t="shared" si="2"/>
        <v>akonneback@onebarnes.com.new.uat</v>
      </c>
      <c r="G115" s="18" t="s">
        <v>1427</v>
      </c>
      <c r="H115" s="77" t="str">
        <f>UKG!AQ115</f>
        <v>akonneback@onebarnes.com</v>
      </c>
      <c r="I115" s="18" t="str">
        <f>IFERROR(VLOOKUP(J115,'Language Map'!M:O,3,FALSE),"en_US")</f>
        <v>sv_SE</v>
      </c>
      <c r="J115" s="77" t="str">
        <f>UKG!BF115</f>
        <v>SE</v>
      </c>
      <c r="L115" s="77" t="str">
        <f>IFERROR(VLOOKUP(UKG!BA115,'UKG Company Map'!B:G,7,FALSE),"Ledger Code Not Matched")</f>
        <v>Ledger Code Not Matched</v>
      </c>
      <c r="M115" s="18" t="str">
        <f>UKG!BH115</f>
        <v>SEK</v>
      </c>
      <c r="O115" s="18" t="str">
        <f>UKG!BJ115</f>
        <v>Y</v>
      </c>
      <c r="P115" s="18" t="str">
        <f>IFERROR(VLOOKUP(UKG!BA115,'UKG Company Map'!B:E,2,FALSE),"Org Unit 1 Not Mapped")</f>
        <v>0077</v>
      </c>
      <c r="Q115" s="77" t="str">
        <f>UKG!BB115</f>
        <v>0000</v>
      </c>
      <c r="W115" s="77" t="str">
        <f>UKG!Q115</f>
        <v>H0006</v>
      </c>
      <c r="X115" s="18" t="str">
        <f>UKG!BC115</f>
        <v>Default</v>
      </c>
      <c r="Z115" s="18" t="str">
        <f>IFERROR(VLOOKUP(UKG!BA115,'UKG Company Map'!B:G,8,FALSE),"Custom 5 Not Matched")</f>
        <v>Custom 5 Not Matched</v>
      </c>
      <c r="AP115" s="18" t="str">
        <f>IFERROR(VLOOKUP(UKG!BA115,'UKG Company Map'!B:G,4,FALSE),"Custom 21 Exp Group Not Matched")</f>
        <v>0077</v>
      </c>
      <c r="BG115" s="77" t="str">
        <f>UKG!AZ115</f>
        <v>205375</v>
      </c>
      <c r="BK115" s="18" t="s">
        <v>1421</v>
      </c>
      <c r="BL115" s="18" t="s">
        <v>1421</v>
      </c>
      <c r="BU115" s="18" t="str">
        <f>UKG!BL115</f>
        <v>N</v>
      </c>
      <c r="BV115" s="18" t="str">
        <f>UKG!BL115</f>
        <v>N</v>
      </c>
      <c r="CE115" s="18" t="s">
        <v>1421</v>
      </c>
    </row>
    <row r="116" spans="1:83" ht="16" hidden="1" thickBot="1" x14ac:dyDescent="0.25">
      <c r="A116" s="39" t="s">
        <v>1420</v>
      </c>
      <c r="B116" s="77" t="str">
        <f>UKG!BO116</f>
        <v>LARS</v>
      </c>
      <c r="D116" s="77" t="str">
        <f>UKG!BN116</f>
        <v>ASKLUND</v>
      </c>
      <c r="E116" s="77" t="str">
        <f>UKG!D116</f>
        <v>205104</v>
      </c>
      <c r="F116" s="77" t="str">
        <f t="shared" si="2"/>
        <v>LAsklund@onebarnes.com.new.uat</v>
      </c>
      <c r="G116" s="18" t="s">
        <v>1427</v>
      </c>
      <c r="H116" s="77" t="str">
        <f>UKG!AQ116</f>
        <v>LAsklund@onebarnes.com</v>
      </c>
      <c r="I116" s="18" t="str">
        <f>IFERROR(VLOOKUP(J116,'Language Map'!M:O,3,FALSE),"en_US")</f>
        <v>sv_SE</v>
      </c>
      <c r="J116" s="77" t="str">
        <f>UKG!BF116</f>
        <v>SE</v>
      </c>
      <c r="L116" s="77" t="str">
        <f>IFERROR(VLOOKUP(UKG!BA116,'UKG Company Map'!B:G,7,FALSE),"Ledger Code Not Matched")</f>
        <v>Ledger Code Not Matched</v>
      </c>
      <c r="M116" s="18" t="str">
        <f>UKG!BH116</f>
        <v>SEK</v>
      </c>
      <c r="O116" s="18" t="str">
        <f>UKG!BJ116</f>
        <v>Y</v>
      </c>
      <c r="P116" s="18" t="str">
        <f>IFERROR(VLOOKUP(UKG!BA116,'UKG Company Map'!B:E,2,FALSE),"Org Unit 1 Not Mapped")</f>
        <v>0077</v>
      </c>
      <c r="Q116" s="77" t="str">
        <f>UKG!BB116</f>
        <v>0000</v>
      </c>
      <c r="W116" s="77" t="str">
        <f>UKG!Q116</f>
        <v>H0008</v>
      </c>
      <c r="X116" s="18" t="str">
        <f>UKG!BC116</f>
        <v>Default</v>
      </c>
      <c r="Z116" s="18" t="str">
        <f>IFERROR(VLOOKUP(UKG!BA116,'UKG Company Map'!B:G,8,FALSE),"Custom 5 Not Matched")</f>
        <v>Custom 5 Not Matched</v>
      </c>
      <c r="AP116" s="18" t="str">
        <f>IFERROR(VLOOKUP(UKG!BA116,'UKG Company Map'!B:G,4,FALSE),"Custom 21 Exp Group Not Matched")</f>
        <v>0077</v>
      </c>
      <c r="BG116" s="77" t="str">
        <f>UKG!AZ116</f>
        <v>213066</v>
      </c>
      <c r="BK116" s="18" t="s">
        <v>1421</v>
      </c>
      <c r="BL116" s="18" t="s">
        <v>1421</v>
      </c>
      <c r="BU116" s="18" t="str">
        <f>UKG!BL116</f>
        <v>N</v>
      </c>
      <c r="BV116" s="18" t="str">
        <f>UKG!BL116</f>
        <v>N</v>
      </c>
      <c r="CE116" s="18" t="s">
        <v>1421</v>
      </c>
    </row>
    <row r="117" spans="1:83" ht="16" hidden="1" thickBot="1" x14ac:dyDescent="0.25">
      <c r="A117" s="39" t="s">
        <v>1420</v>
      </c>
      <c r="B117" s="77" t="str">
        <f>UKG!BO117</f>
        <v>DON JONNY</v>
      </c>
      <c r="D117" s="77" t="str">
        <f>UKG!BN117</f>
        <v>AUGUSTSSON</v>
      </c>
      <c r="E117" s="77" t="str">
        <f>UKG!D117</f>
        <v>205128</v>
      </c>
      <c r="F117" s="77" t="str">
        <f t="shared" si="2"/>
        <v>E205128@onebarnes.com.new.uat</v>
      </c>
      <c r="G117" s="18" t="s">
        <v>1427</v>
      </c>
      <c r="H117" s="77" t="str">
        <f>UKG!AQ117</f>
        <v>E205128@onebarnes.com</v>
      </c>
      <c r="I117" s="18" t="str">
        <f>IFERROR(VLOOKUP(J117,'Language Map'!M:O,3,FALSE),"en_US")</f>
        <v>sv_SE</v>
      </c>
      <c r="J117" s="77" t="str">
        <f>UKG!BF117</f>
        <v>SE</v>
      </c>
      <c r="L117" s="77" t="str">
        <f>IFERROR(VLOOKUP(UKG!BA117,'UKG Company Map'!B:G,7,FALSE),"Ledger Code Not Matched")</f>
        <v>Ledger Code Not Matched</v>
      </c>
      <c r="M117" s="18" t="str">
        <f>UKG!BH117</f>
        <v>SEK</v>
      </c>
      <c r="O117" s="18" t="str">
        <f>UKG!BJ117</f>
        <v>Y</v>
      </c>
      <c r="P117" s="18" t="str">
        <f>IFERROR(VLOOKUP(UKG!BA117,'UKG Company Map'!B:E,2,FALSE),"Org Unit 1 Not Mapped")</f>
        <v>0077</v>
      </c>
      <c r="Q117" s="77" t="str">
        <f>UKG!BB117</f>
        <v>0000</v>
      </c>
      <c r="W117" s="77" t="str">
        <f>UKG!Q117</f>
        <v>H0000</v>
      </c>
      <c r="X117" s="18" t="str">
        <f>UKG!BC117</f>
        <v>Default</v>
      </c>
      <c r="Z117" s="18" t="str">
        <f>IFERROR(VLOOKUP(UKG!BA117,'UKG Company Map'!B:G,8,FALSE),"Custom 5 Not Matched")</f>
        <v>Custom 5 Not Matched</v>
      </c>
      <c r="AP117" s="18" t="str">
        <f>IFERROR(VLOOKUP(UKG!BA117,'UKG Company Map'!B:G,4,FALSE),"Custom 21 Exp Group Not Matched")</f>
        <v>0077</v>
      </c>
      <c r="BG117" s="77" t="str">
        <f>UKG!AZ117</f>
        <v>205383</v>
      </c>
      <c r="BK117" s="18" t="s">
        <v>1421</v>
      </c>
      <c r="BL117" s="18" t="s">
        <v>1421</v>
      </c>
      <c r="BU117" s="18" t="str">
        <f>UKG!BL117</f>
        <v>N</v>
      </c>
      <c r="BV117" s="18" t="str">
        <f>UKG!BL117</f>
        <v>N</v>
      </c>
      <c r="CE117" s="18" t="s">
        <v>1421</v>
      </c>
    </row>
    <row r="118" spans="1:83" ht="16" hidden="1" thickBot="1" x14ac:dyDescent="0.25">
      <c r="A118" s="39" t="s">
        <v>1420</v>
      </c>
      <c r="B118" s="77" t="str">
        <f>UKG!BO118</f>
        <v>HANNA</v>
      </c>
      <c r="D118" s="77" t="str">
        <f>UKG!BN118</f>
        <v>AUGUSTSSON</v>
      </c>
      <c r="E118" s="77" t="str">
        <f>UKG!D118</f>
        <v>205172</v>
      </c>
      <c r="F118" s="77" t="str">
        <f t="shared" si="2"/>
        <v>E205172@onebarnes.com.new.uat</v>
      </c>
      <c r="G118" s="18" t="s">
        <v>1427</v>
      </c>
      <c r="H118" s="77" t="str">
        <f>UKG!AQ118</f>
        <v>E205172@onebarnes.com</v>
      </c>
      <c r="I118" s="18" t="str">
        <f>IFERROR(VLOOKUP(J118,'Language Map'!M:O,3,FALSE),"en_US")</f>
        <v>sv_SE</v>
      </c>
      <c r="J118" s="77" t="str">
        <f>UKG!BF118</f>
        <v>SE</v>
      </c>
      <c r="L118" s="77" t="str">
        <f>IFERROR(VLOOKUP(UKG!BA118,'UKG Company Map'!B:G,7,FALSE),"Ledger Code Not Matched")</f>
        <v>Ledger Code Not Matched</v>
      </c>
      <c r="M118" s="18" t="str">
        <f>UKG!BH118</f>
        <v>SEK</v>
      </c>
      <c r="O118" s="18" t="str">
        <f>UKG!BJ118</f>
        <v>Y</v>
      </c>
      <c r="P118" s="18" t="str">
        <f>IFERROR(VLOOKUP(UKG!BA118,'UKG Company Map'!B:E,2,FALSE),"Org Unit 1 Not Mapped")</f>
        <v>0077</v>
      </c>
      <c r="Q118" s="77" t="str">
        <f>UKG!BB118</f>
        <v>0000</v>
      </c>
      <c r="W118" s="77" t="str">
        <f>UKG!Q118</f>
        <v>H0004</v>
      </c>
      <c r="X118" s="18" t="str">
        <f>UKG!BC118</f>
        <v>Default</v>
      </c>
      <c r="Z118" s="18" t="str">
        <f>IFERROR(VLOOKUP(UKG!BA118,'UKG Company Map'!B:G,8,FALSE),"Custom 5 Not Matched")</f>
        <v>Custom 5 Not Matched</v>
      </c>
      <c r="AP118" s="18" t="str">
        <f>IFERROR(VLOOKUP(UKG!BA118,'UKG Company Map'!B:G,4,FALSE),"Custom 21 Exp Group Not Matched")</f>
        <v>0077</v>
      </c>
      <c r="BG118" s="77" t="str">
        <f>UKG!AZ118</f>
        <v>205383</v>
      </c>
      <c r="BK118" s="18" t="s">
        <v>1421</v>
      </c>
      <c r="BL118" s="18" t="s">
        <v>1421</v>
      </c>
      <c r="BU118" s="18" t="str">
        <f>UKG!BL118</f>
        <v>N</v>
      </c>
      <c r="BV118" s="18" t="str">
        <f>UKG!BL118</f>
        <v>N</v>
      </c>
      <c r="CE118" s="18" t="s">
        <v>1421</v>
      </c>
    </row>
    <row r="119" spans="1:83" ht="16" hidden="1" thickBot="1" x14ac:dyDescent="0.25">
      <c r="A119" s="39" t="s">
        <v>1420</v>
      </c>
      <c r="B119" s="77" t="str">
        <f>UKG!BO119</f>
        <v>LUDVIG</v>
      </c>
      <c r="D119" s="77" t="str">
        <f>UKG!BN119</f>
        <v>AUGUSTSSON</v>
      </c>
      <c r="E119" s="77" t="str">
        <f>UKG!D119</f>
        <v>205333</v>
      </c>
      <c r="F119" s="77" t="str">
        <f t="shared" si="2"/>
        <v>E205333@onebarnes.com.new.uat</v>
      </c>
      <c r="G119" s="18" t="s">
        <v>1427</v>
      </c>
      <c r="H119" s="77" t="str">
        <f>UKG!AQ119</f>
        <v>E205333@onebarnes.com</v>
      </c>
      <c r="I119" s="18" t="str">
        <f>IFERROR(VLOOKUP(J119,'Language Map'!M:O,3,FALSE),"en_US")</f>
        <v>sv_SE</v>
      </c>
      <c r="J119" s="77" t="str">
        <f>UKG!BF119</f>
        <v>SE</v>
      </c>
      <c r="L119" s="77" t="str">
        <f>IFERROR(VLOOKUP(UKG!BA119,'UKG Company Map'!B:G,7,FALSE),"Ledger Code Not Matched")</f>
        <v>Ledger Code Not Matched</v>
      </c>
      <c r="M119" s="18" t="str">
        <f>UKG!BH119</f>
        <v>SEK</v>
      </c>
      <c r="O119" s="18" t="str">
        <f>UKG!BJ119</f>
        <v>Y</v>
      </c>
      <c r="P119" s="18" t="str">
        <f>IFERROR(VLOOKUP(UKG!BA119,'UKG Company Map'!B:E,2,FALSE),"Org Unit 1 Not Mapped")</f>
        <v>0077</v>
      </c>
      <c r="Q119" s="77" t="str">
        <f>UKG!BB119</f>
        <v>0000</v>
      </c>
      <c r="W119" s="77" t="str">
        <f>UKG!Q119</f>
        <v>H0005</v>
      </c>
      <c r="X119" s="18" t="str">
        <f>UKG!BC119</f>
        <v>Default</v>
      </c>
      <c r="Z119" s="18" t="str">
        <f>IFERROR(VLOOKUP(UKG!BA119,'UKG Company Map'!B:G,8,FALSE),"Custom 5 Not Matched")</f>
        <v>Custom 5 Not Matched</v>
      </c>
      <c r="AP119" s="18" t="str">
        <f>IFERROR(VLOOKUP(UKG!BA119,'UKG Company Map'!B:G,4,FALSE),"Custom 21 Exp Group Not Matched")</f>
        <v>0077</v>
      </c>
      <c r="BG119" s="77" t="str">
        <f>UKG!AZ119</f>
        <v>205377</v>
      </c>
      <c r="BK119" s="18" t="s">
        <v>1421</v>
      </c>
      <c r="BL119" s="18" t="s">
        <v>1421</v>
      </c>
      <c r="BU119" s="18" t="str">
        <f>UKG!BL119</f>
        <v>N</v>
      </c>
      <c r="BV119" s="18" t="str">
        <f>UKG!BL119</f>
        <v>N</v>
      </c>
      <c r="CE119" s="18" t="s">
        <v>1421</v>
      </c>
    </row>
    <row r="120" spans="1:83" ht="16" hidden="1" thickBot="1" x14ac:dyDescent="0.25">
      <c r="A120" s="39" t="s">
        <v>1420</v>
      </c>
      <c r="B120" s="77" t="str">
        <f>UKG!BO120</f>
        <v>SALEH</v>
      </c>
      <c r="D120" s="77" t="str">
        <f>UKG!BN120</f>
        <v>AWAD</v>
      </c>
      <c r="E120" s="77" t="str">
        <f>UKG!D120</f>
        <v>205201</v>
      </c>
      <c r="F120" s="77" t="str">
        <f t="shared" si="2"/>
        <v>E205201@onebarnes.com.new.uat</v>
      </c>
      <c r="G120" s="18" t="s">
        <v>1427</v>
      </c>
      <c r="H120" s="77" t="str">
        <f>UKG!AQ120</f>
        <v>E205201@onebarnes.com</v>
      </c>
      <c r="I120" s="18" t="str">
        <f>IFERROR(VLOOKUP(J120,'Language Map'!M:O,3,FALSE),"en_US")</f>
        <v>sv_SE</v>
      </c>
      <c r="J120" s="77" t="str">
        <f>UKG!BF120</f>
        <v>SE</v>
      </c>
      <c r="L120" s="77" t="str">
        <f>IFERROR(VLOOKUP(UKG!BA120,'UKG Company Map'!B:G,7,FALSE),"Ledger Code Not Matched")</f>
        <v>Ledger Code Not Matched</v>
      </c>
      <c r="M120" s="18" t="str">
        <f>UKG!BH120</f>
        <v>SEK</v>
      </c>
      <c r="O120" s="18" t="str">
        <f>UKG!BJ120</f>
        <v>Y</v>
      </c>
      <c r="P120" s="18" t="str">
        <f>IFERROR(VLOOKUP(UKG!BA120,'UKG Company Map'!B:E,2,FALSE),"Org Unit 1 Not Mapped")</f>
        <v>0077</v>
      </c>
      <c r="Q120" s="77" t="str">
        <f>UKG!BB120</f>
        <v>0000</v>
      </c>
      <c r="W120" s="77" t="str">
        <f>UKG!Q120</f>
        <v>H0005</v>
      </c>
      <c r="X120" s="18" t="str">
        <f>UKG!BC120</f>
        <v>Default</v>
      </c>
      <c r="Z120" s="18" t="str">
        <f>IFERROR(VLOOKUP(UKG!BA120,'UKG Company Map'!B:G,8,FALSE),"Custom 5 Not Matched")</f>
        <v>Custom 5 Not Matched</v>
      </c>
      <c r="AP120" s="18" t="str">
        <f>IFERROR(VLOOKUP(UKG!BA120,'UKG Company Map'!B:G,4,FALSE),"Custom 21 Exp Group Not Matched")</f>
        <v>0077</v>
      </c>
      <c r="BG120" s="77" t="str">
        <f>UKG!AZ120</f>
        <v>205315</v>
      </c>
      <c r="BK120" s="18" t="s">
        <v>1421</v>
      </c>
      <c r="BL120" s="18" t="s">
        <v>1421</v>
      </c>
      <c r="BU120" s="18" t="str">
        <f>UKG!BL120</f>
        <v>N</v>
      </c>
      <c r="BV120" s="18" t="str">
        <f>UKG!BL120</f>
        <v>N</v>
      </c>
      <c r="CE120" s="18" t="s">
        <v>1421</v>
      </c>
    </row>
    <row r="121" spans="1:83" ht="16" hidden="1" thickBot="1" x14ac:dyDescent="0.25">
      <c r="A121" s="39" t="s">
        <v>1420</v>
      </c>
      <c r="B121" s="77" t="str">
        <f>UKG!BO121</f>
        <v>ELIN</v>
      </c>
      <c r="D121" s="77" t="str">
        <f>UKG!BN121</f>
        <v>AXELSSON</v>
      </c>
      <c r="E121" s="77" t="str">
        <f>UKG!D121</f>
        <v>205243</v>
      </c>
      <c r="F121" s="77" t="str">
        <f t="shared" si="2"/>
        <v>E205243@onebarnes.com.new.uat</v>
      </c>
      <c r="G121" s="18" t="s">
        <v>1427</v>
      </c>
      <c r="H121" s="77" t="str">
        <f>UKG!AQ121</f>
        <v>E205243@onebarnes.com</v>
      </c>
      <c r="I121" s="18" t="str">
        <f>IFERROR(VLOOKUP(J121,'Language Map'!M:O,3,FALSE),"en_US")</f>
        <v>sv_SE</v>
      </c>
      <c r="J121" s="77" t="str">
        <f>UKG!BF121</f>
        <v>SE</v>
      </c>
      <c r="L121" s="77" t="str">
        <f>IFERROR(VLOOKUP(UKG!BA121,'UKG Company Map'!B:G,7,FALSE),"Ledger Code Not Matched")</f>
        <v>Ledger Code Not Matched</v>
      </c>
      <c r="M121" s="18" t="str">
        <f>UKG!BH121</f>
        <v>SEK</v>
      </c>
      <c r="O121" s="18" t="str">
        <f>UKG!BJ121</f>
        <v>Y</v>
      </c>
      <c r="P121" s="18" t="str">
        <f>IFERROR(VLOOKUP(UKG!BA121,'UKG Company Map'!B:E,2,FALSE),"Org Unit 1 Not Mapped")</f>
        <v>0077</v>
      </c>
      <c r="Q121" s="77" t="str">
        <f>UKG!BB121</f>
        <v>0000</v>
      </c>
      <c r="W121" s="77" t="str">
        <f>UKG!Q121</f>
        <v>H0005</v>
      </c>
      <c r="X121" s="18" t="str">
        <f>UKG!BC121</f>
        <v>Default</v>
      </c>
      <c r="Z121" s="18" t="str">
        <f>IFERROR(VLOOKUP(UKG!BA121,'UKG Company Map'!B:G,8,FALSE),"Custom 5 Not Matched")</f>
        <v>Custom 5 Not Matched</v>
      </c>
      <c r="AP121" s="18" t="str">
        <f>IFERROR(VLOOKUP(UKG!BA121,'UKG Company Map'!B:G,4,FALSE),"Custom 21 Exp Group Not Matched")</f>
        <v>0077</v>
      </c>
      <c r="BG121" s="77" t="str">
        <f>UKG!AZ121</f>
        <v>205315</v>
      </c>
      <c r="BK121" s="18" t="s">
        <v>1421</v>
      </c>
      <c r="BL121" s="18" t="s">
        <v>1421</v>
      </c>
      <c r="BU121" s="18" t="str">
        <f>UKG!BL121</f>
        <v>N</v>
      </c>
      <c r="BV121" s="18" t="str">
        <f>UKG!BL121</f>
        <v>N</v>
      </c>
      <c r="CE121" s="18" t="s">
        <v>1421</v>
      </c>
    </row>
    <row r="122" spans="1:83" ht="16" hidden="1" thickBot="1" x14ac:dyDescent="0.25">
      <c r="A122" s="39" t="s">
        <v>1420</v>
      </c>
      <c r="B122" s="77" t="str">
        <f>UKG!BO122</f>
        <v>SANADA</v>
      </c>
      <c r="D122" s="77" t="str">
        <f>UKG!BN122</f>
        <v>BAJROVIC</v>
      </c>
      <c r="E122" s="77" t="str">
        <f>UKG!D122</f>
        <v>205299</v>
      </c>
      <c r="F122" s="77" t="str">
        <f t="shared" si="2"/>
        <v>E205299@onebarnes.com.new.uat</v>
      </c>
      <c r="G122" s="18" t="s">
        <v>1427</v>
      </c>
      <c r="H122" s="77" t="str">
        <f>UKG!AQ122</f>
        <v>E205299@onebarnes.com</v>
      </c>
      <c r="I122" s="18" t="str">
        <f>IFERROR(VLOOKUP(J122,'Language Map'!M:O,3,FALSE),"en_US")</f>
        <v>sv_SE</v>
      </c>
      <c r="J122" s="77" t="str">
        <f>UKG!BF122</f>
        <v>SE</v>
      </c>
      <c r="L122" s="77" t="str">
        <f>IFERROR(VLOOKUP(UKG!BA122,'UKG Company Map'!B:G,7,FALSE),"Ledger Code Not Matched")</f>
        <v>Ledger Code Not Matched</v>
      </c>
      <c r="M122" s="18" t="str">
        <f>UKG!BH122</f>
        <v>SEK</v>
      </c>
      <c r="O122" s="18" t="str">
        <f>UKG!BJ122</f>
        <v>Y</v>
      </c>
      <c r="P122" s="18" t="str">
        <f>IFERROR(VLOOKUP(UKG!BA122,'UKG Company Map'!B:E,2,FALSE),"Org Unit 1 Not Mapped")</f>
        <v>0077</v>
      </c>
      <c r="Q122" s="77" t="str">
        <f>UKG!BB122</f>
        <v>0000</v>
      </c>
      <c r="W122" s="77" t="str">
        <f>UKG!Q122</f>
        <v>H0005</v>
      </c>
      <c r="X122" s="18" t="str">
        <f>UKG!BC122</f>
        <v>Default</v>
      </c>
      <c r="Z122" s="18" t="str">
        <f>IFERROR(VLOOKUP(UKG!BA122,'UKG Company Map'!B:G,8,FALSE),"Custom 5 Not Matched")</f>
        <v>Custom 5 Not Matched</v>
      </c>
      <c r="AP122" s="18" t="str">
        <f>IFERROR(VLOOKUP(UKG!BA122,'UKG Company Map'!B:G,4,FALSE),"Custom 21 Exp Group Not Matched")</f>
        <v>0077</v>
      </c>
      <c r="BG122" s="77" t="str">
        <f>UKG!AZ122</f>
        <v>212110</v>
      </c>
      <c r="BK122" s="18" t="s">
        <v>1421</v>
      </c>
      <c r="BL122" s="18" t="s">
        <v>1421</v>
      </c>
      <c r="BU122" s="18" t="str">
        <f>UKG!BL122</f>
        <v>N</v>
      </c>
      <c r="BV122" s="18" t="str">
        <f>UKG!BL122</f>
        <v>N</v>
      </c>
      <c r="CE122" s="18" t="s">
        <v>1421</v>
      </c>
    </row>
    <row r="123" spans="1:83" ht="16" hidden="1" thickBot="1" x14ac:dyDescent="0.25">
      <c r="A123" s="39" t="s">
        <v>1420</v>
      </c>
      <c r="B123" s="77" t="str">
        <f>UKG!BO123</f>
        <v>ACO</v>
      </c>
      <c r="D123" s="77" t="str">
        <f>UKG!BN123</f>
        <v>BANOVIC</v>
      </c>
      <c r="E123" s="77" t="str">
        <f>UKG!D123</f>
        <v>205280</v>
      </c>
      <c r="F123" s="77" t="str">
        <f t="shared" si="2"/>
        <v>E205280@onebarnes.com.new.uat</v>
      </c>
      <c r="G123" s="18" t="s">
        <v>1427</v>
      </c>
      <c r="H123" s="77" t="str">
        <f>UKG!AQ123</f>
        <v>E205280@onebarnes.com</v>
      </c>
      <c r="I123" s="18" t="str">
        <f>IFERROR(VLOOKUP(J123,'Language Map'!M:O,3,FALSE),"en_US")</f>
        <v>sv_SE</v>
      </c>
      <c r="J123" s="77" t="str">
        <f>UKG!BF123</f>
        <v>SE</v>
      </c>
      <c r="L123" s="77" t="str">
        <f>IFERROR(VLOOKUP(UKG!BA123,'UKG Company Map'!B:G,7,FALSE),"Ledger Code Not Matched")</f>
        <v>Ledger Code Not Matched</v>
      </c>
      <c r="M123" s="18" t="str">
        <f>UKG!BH123</f>
        <v>SEK</v>
      </c>
      <c r="O123" s="18" t="str">
        <f>UKG!BJ123</f>
        <v>Y</v>
      </c>
      <c r="P123" s="18" t="str">
        <f>IFERROR(VLOOKUP(UKG!BA123,'UKG Company Map'!B:E,2,FALSE),"Org Unit 1 Not Mapped")</f>
        <v>0077</v>
      </c>
      <c r="Q123" s="77" t="str">
        <f>UKG!BB123</f>
        <v>0000</v>
      </c>
      <c r="W123" s="77" t="str">
        <f>UKG!Q123</f>
        <v>H0005</v>
      </c>
      <c r="X123" s="18" t="str">
        <f>UKG!BC123</f>
        <v>Default</v>
      </c>
      <c r="Z123" s="18" t="str">
        <f>IFERROR(VLOOKUP(UKG!BA123,'UKG Company Map'!B:G,8,FALSE),"Custom 5 Not Matched")</f>
        <v>Custom 5 Not Matched</v>
      </c>
      <c r="AP123" s="18" t="str">
        <f>IFERROR(VLOOKUP(UKG!BA123,'UKG Company Map'!B:G,4,FALSE),"Custom 21 Exp Group Not Matched")</f>
        <v>0077</v>
      </c>
      <c r="BG123" s="77" t="str">
        <f>UKG!AZ123</f>
        <v>212110</v>
      </c>
      <c r="BK123" s="18" t="s">
        <v>1421</v>
      </c>
      <c r="BL123" s="18" t="s">
        <v>1421</v>
      </c>
      <c r="BU123" s="18" t="str">
        <f>UKG!BL123</f>
        <v>N</v>
      </c>
      <c r="BV123" s="18" t="str">
        <f>UKG!BL123</f>
        <v>N</v>
      </c>
      <c r="CE123" s="18" t="s">
        <v>1421</v>
      </c>
    </row>
    <row r="124" spans="1:83" ht="16" hidden="1" thickBot="1" x14ac:dyDescent="0.25">
      <c r="A124" s="39" t="s">
        <v>1420</v>
      </c>
      <c r="B124" s="77" t="str">
        <f>UKG!BO124</f>
        <v>JONAS</v>
      </c>
      <c r="D124" s="77" t="str">
        <f>UKG!BN124</f>
        <v>BERGGÅRDEN</v>
      </c>
      <c r="E124" s="77" t="str">
        <f>UKG!D124</f>
        <v>205230</v>
      </c>
      <c r="F124" s="77" t="str">
        <f t="shared" si="2"/>
        <v>E205230@onebarnes.com.new.uat</v>
      </c>
      <c r="G124" s="18" t="s">
        <v>1427</v>
      </c>
      <c r="H124" s="77" t="str">
        <f>UKG!AQ124</f>
        <v>E205230@onebarnes.com</v>
      </c>
      <c r="I124" s="18" t="str">
        <f>IFERROR(VLOOKUP(J124,'Language Map'!M:O,3,FALSE),"en_US")</f>
        <v>sv_SE</v>
      </c>
      <c r="J124" s="77" t="str">
        <f>UKG!BF124</f>
        <v>SE</v>
      </c>
      <c r="L124" s="77" t="str">
        <f>IFERROR(VLOOKUP(UKG!BA124,'UKG Company Map'!B:G,7,FALSE),"Ledger Code Not Matched")</f>
        <v>Ledger Code Not Matched</v>
      </c>
      <c r="M124" s="18" t="str">
        <f>UKG!BH124</f>
        <v>SEK</v>
      </c>
      <c r="O124" s="18" t="str">
        <f>UKG!BJ124</f>
        <v>Y</v>
      </c>
      <c r="P124" s="18" t="str">
        <f>IFERROR(VLOOKUP(UKG!BA124,'UKG Company Map'!B:E,2,FALSE),"Org Unit 1 Not Mapped")</f>
        <v>0077</v>
      </c>
      <c r="Q124" s="77" t="str">
        <f>UKG!BB124</f>
        <v>0000</v>
      </c>
      <c r="W124" s="77" t="str">
        <f>UKG!Q124</f>
        <v>H0005</v>
      </c>
      <c r="X124" s="18" t="str">
        <f>UKG!BC124</f>
        <v>Default</v>
      </c>
      <c r="Z124" s="18" t="str">
        <f>IFERROR(VLOOKUP(UKG!BA124,'UKG Company Map'!B:G,8,FALSE),"Custom 5 Not Matched")</f>
        <v>Custom 5 Not Matched</v>
      </c>
      <c r="AP124" s="18" t="str">
        <f>IFERROR(VLOOKUP(UKG!BA124,'UKG Company Map'!B:G,4,FALSE),"Custom 21 Exp Group Not Matched")</f>
        <v>0077</v>
      </c>
      <c r="BG124" s="77" t="str">
        <f>UKG!AZ124</f>
        <v>205383</v>
      </c>
      <c r="BK124" s="18" t="s">
        <v>1421</v>
      </c>
      <c r="BL124" s="18" t="s">
        <v>1421</v>
      </c>
      <c r="BU124" s="18" t="str">
        <f>UKG!BL124</f>
        <v>N</v>
      </c>
      <c r="BV124" s="18" t="str">
        <f>UKG!BL124</f>
        <v>N</v>
      </c>
      <c r="CE124" s="18" t="s">
        <v>1421</v>
      </c>
    </row>
    <row r="125" spans="1:83" ht="16" hidden="1" thickBot="1" x14ac:dyDescent="0.25">
      <c r="A125" s="39" t="s">
        <v>1420</v>
      </c>
      <c r="B125" s="77" t="str">
        <f>UKG!BO125</f>
        <v>MARKUS</v>
      </c>
      <c r="D125" s="77" t="str">
        <f>UKG!BN125</f>
        <v>BERGMAN</v>
      </c>
      <c r="E125" s="77" t="str">
        <f>UKG!D125</f>
        <v>205200</v>
      </c>
      <c r="F125" s="77" t="str">
        <f t="shared" si="2"/>
        <v>MBergman@onebarnes.com.new.uat</v>
      </c>
      <c r="G125" s="18" t="s">
        <v>1427</v>
      </c>
      <c r="H125" s="77" t="str">
        <f>UKG!AQ125</f>
        <v>MBergman@onebarnes.com</v>
      </c>
      <c r="I125" s="18" t="str">
        <f>IFERROR(VLOOKUP(J125,'Language Map'!M:O,3,FALSE),"en_US")</f>
        <v>sv_SE</v>
      </c>
      <c r="J125" s="77" t="str">
        <f>UKG!BF125</f>
        <v>SE</v>
      </c>
      <c r="L125" s="77" t="str">
        <f>IFERROR(VLOOKUP(UKG!BA125,'UKG Company Map'!B:G,7,FALSE),"Ledger Code Not Matched")</f>
        <v>Ledger Code Not Matched</v>
      </c>
      <c r="M125" s="18" t="str">
        <f>UKG!BH125</f>
        <v>SEK</v>
      </c>
      <c r="O125" s="18" t="str">
        <f>UKG!BJ125</f>
        <v>Y</v>
      </c>
      <c r="P125" s="18" t="str">
        <f>IFERROR(VLOOKUP(UKG!BA125,'UKG Company Map'!B:E,2,FALSE),"Org Unit 1 Not Mapped")</f>
        <v>0077</v>
      </c>
      <c r="Q125" s="77" t="str">
        <f>UKG!BB125</f>
        <v>0000</v>
      </c>
      <c r="W125" s="77" t="str">
        <f>UKG!Q125</f>
        <v>H0004</v>
      </c>
      <c r="X125" s="18" t="str">
        <f>UKG!BC125</f>
        <v>Default</v>
      </c>
      <c r="Z125" s="18" t="str">
        <f>IFERROR(VLOOKUP(UKG!BA125,'UKG Company Map'!B:G,8,FALSE),"Custom 5 Not Matched")</f>
        <v>Custom 5 Not Matched</v>
      </c>
      <c r="AP125" s="18" t="str">
        <f>IFERROR(VLOOKUP(UKG!BA125,'UKG Company Map'!B:G,4,FALSE),"Custom 21 Exp Group Not Matched")</f>
        <v>0077</v>
      </c>
      <c r="BG125" s="77" t="str">
        <f>UKG!AZ125</f>
        <v>205380</v>
      </c>
      <c r="BK125" s="18" t="s">
        <v>1421</v>
      </c>
      <c r="BL125" s="18" t="s">
        <v>1421</v>
      </c>
      <c r="BU125" s="18" t="str">
        <f>UKG!BL125</f>
        <v>N</v>
      </c>
      <c r="BV125" s="18" t="str">
        <f>UKG!BL125</f>
        <v>N</v>
      </c>
      <c r="CE125" s="18" t="s">
        <v>1421</v>
      </c>
    </row>
    <row r="126" spans="1:83" ht="16" hidden="1" thickBot="1" x14ac:dyDescent="0.25">
      <c r="A126" s="39" t="s">
        <v>1420</v>
      </c>
      <c r="B126" s="77" t="str">
        <f>UKG!BO126</f>
        <v>ARVID</v>
      </c>
      <c r="D126" s="77" t="str">
        <f>UKG!BN126</f>
        <v>BJÖRK</v>
      </c>
      <c r="E126" s="77" t="str">
        <f>UKG!D126</f>
        <v>205318</v>
      </c>
      <c r="F126" s="77" t="str">
        <f t="shared" si="2"/>
        <v>E205318@onebarnes.com.new.uat</v>
      </c>
      <c r="G126" s="18" t="s">
        <v>1427</v>
      </c>
      <c r="H126" s="77" t="str">
        <f>UKG!AQ126</f>
        <v>E205318@onebarnes.com</v>
      </c>
      <c r="I126" s="18" t="str">
        <f>IFERROR(VLOOKUP(J126,'Language Map'!M:O,3,FALSE),"en_US")</f>
        <v>sv_SE</v>
      </c>
      <c r="J126" s="77" t="str">
        <f>UKG!BF126</f>
        <v>SE</v>
      </c>
      <c r="L126" s="77" t="str">
        <f>IFERROR(VLOOKUP(UKG!BA126,'UKG Company Map'!B:G,7,FALSE),"Ledger Code Not Matched")</f>
        <v>Ledger Code Not Matched</v>
      </c>
      <c r="M126" s="18" t="str">
        <f>UKG!BH126</f>
        <v>SEK</v>
      </c>
      <c r="O126" s="18" t="str">
        <f>UKG!BJ126</f>
        <v>Y</v>
      </c>
      <c r="P126" s="18" t="str">
        <f>IFERROR(VLOOKUP(UKG!BA126,'UKG Company Map'!B:E,2,FALSE),"Org Unit 1 Not Mapped")</f>
        <v>0077</v>
      </c>
      <c r="Q126" s="77" t="str">
        <f>UKG!BB126</f>
        <v>0000</v>
      </c>
      <c r="W126" s="77" t="str">
        <f>UKG!Q126</f>
        <v>H0005</v>
      </c>
      <c r="X126" s="18" t="str">
        <f>UKG!BC126</f>
        <v>Default</v>
      </c>
      <c r="Z126" s="18" t="str">
        <f>IFERROR(VLOOKUP(UKG!BA126,'UKG Company Map'!B:G,8,FALSE),"Custom 5 Not Matched")</f>
        <v>Custom 5 Not Matched</v>
      </c>
      <c r="AP126" s="18" t="str">
        <f>IFERROR(VLOOKUP(UKG!BA126,'UKG Company Map'!B:G,4,FALSE),"Custom 21 Exp Group Not Matched")</f>
        <v>0077</v>
      </c>
      <c r="BG126" s="77" t="str">
        <f>UKG!AZ126</f>
        <v>205377</v>
      </c>
      <c r="BK126" s="18" t="s">
        <v>1421</v>
      </c>
      <c r="BL126" s="18" t="s">
        <v>1421</v>
      </c>
      <c r="BU126" s="18" t="str">
        <f>UKG!BL126</f>
        <v>N</v>
      </c>
      <c r="BV126" s="18" t="str">
        <f>UKG!BL126</f>
        <v>N</v>
      </c>
      <c r="CE126" s="18" t="s">
        <v>1421</v>
      </c>
    </row>
    <row r="127" spans="1:83" ht="16" hidden="1" thickBot="1" x14ac:dyDescent="0.25">
      <c r="A127" s="39" t="s">
        <v>1420</v>
      </c>
      <c r="B127" s="77" t="str">
        <f>UKG!BO127</f>
        <v>BENJAMIN</v>
      </c>
      <c r="D127" s="77" t="str">
        <f>UKG!BN127</f>
        <v>BJÖRKEGREN</v>
      </c>
      <c r="E127" s="77" t="str">
        <f>UKG!D127</f>
        <v>205180</v>
      </c>
      <c r="F127" s="77" t="str">
        <f t="shared" si="2"/>
        <v>bbjorkegren@onebarnes.com.new.uat</v>
      </c>
      <c r="G127" s="18" t="s">
        <v>1427</v>
      </c>
      <c r="H127" s="77" t="str">
        <f>UKG!AQ127</f>
        <v>bbjorkegren@onebarnes.com</v>
      </c>
      <c r="I127" s="18" t="str">
        <f>IFERROR(VLOOKUP(J127,'Language Map'!M:O,3,FALSE),"en_US")</f>
        <v>sv_SE</v>
      </c>
      <c r="J127" s="77" t="str">
        <f>UKG!BF127</f>
        <v>SE</v>
      </c>
      <c r="L127" s="77" t="str">
        <f>IFERROR(VLOOKUP(UKG!BA127,'UKG Company Map'!B:G,7,FALSE),"Ledger Code Not Matched")</f>
        <v>Ledger Code Not Matched</v>
      </c>
      <c r="M127" s="18" t="str">
        <f>UKG!BH127</f>
        <v>SEK</v>
      </c>
      <c r="O127" s="18" t="str">
        <f>UKG!BJ127</f>
        <v>Y</v>
      </c>
      <c r="P127" s="18" t="str">
        <f>IFERROR(VLOOKUP(UKG!BA127,'UKG Company Map'!B:E,2,FALSE),"Org Unit 1 Not Mapped")</f>
        <v>0077</v>
      </c>
      <c r="Q127" s="77" t="str">
        <f>UKG!BB127</f>
        <v>0000</v>
      </c>
      <c r="W127" s="77" t="str">
        <f>UKG!Q127</f>
        <v>S07</v>
      </c>
      <c r="X127" s="18" t="str">
        <f>UKG!BC127</f>
        <v>Default</v>
      </c>
      <c r="Z127" s="18" t="str">
        <f>IFERROR(VLOOKUP(UKG!BA127,'UKG Company Map'!B:G,8,FALSE),"Custom 5 Not Matched")</f>
        <v>Custom 5 Not Matched</v>
      </c>
      <c r="AP127" s="18" t="str">
        <f>IFERROR(VLOOKUP(UKG!BA127,'UKG Company Map'!B:G,4,FALSE),"Custom 21 Exp Group Not Matched")</f>
        <v>0077</v>
      </c>
      <c r="BG127" s="77" t="str">
        <f>UKG!AZ127</f>
        <v>205095</v>
      </c>
      <c r="BK127" s="18" t="s">
        <v>1421</v>
      </c>
      <c r="BL127" s="18" t="s">
        <v>1421</v>
      </c>
      <c r="BU127" s="18" t="str">
        <f>UKG!BL127</f>
        <v>N</v>
      </c>
      <c r="BV127" s="18" t="str">
        <f>UKG!BL127</f>
        <v>N</v>
      </c>
      <c r="CE127" s="18" t="s">
        <v>1421</v>
      </c>
    </row>
    <row r="128" spans="1:83" ht="16" hidden="1" thickBot="1" x14ac:dyDescent="0.25">
      <c r="A128" s="39" t="s">
        <v>1420</v>
      </c>
      <c r="B128" s="77" t="str">
        <f>UKG!BO128</f>
        <v>PER</v>
      </c>
      <c r="D128" s="77" t="str">
        <f>UKG!BN128</f>
        <v>BJÖRKEGREN</v>
      </c>
      <c r="E128" s="77" t="str">
        <f>UKG!D128</f>
        <v>205122</v>
      </c>
      <c r="F128" s="77" t="str">
        <f t="shared" si="2"/>
        <v>PBjorkegren@onebarnes.com.new.uat</v>
      </c>
      <c r="G128" s="18" t="s">
        <v>1427</v>
      </c>
      <c r="H128" s="77" t="str">
        <f>UKG!AQ128</f>
        <v>PBjorkegren@onebarnes.com</v>
      </c>
      <c r="I128" s="18" t="str">
        <f>IFERROR(VLOOKUP(J128,'Language Map'!M:O,3,FALSE),"en_US")</f>
        <v>sv_SE</v>
      </c>
      <c r="J128" s="77" t="str">
        <f>UKG!BF128</f>
        <v>SE</v>
      </c>
      <c r="L128" s="77" t="str">
        <f>IFERROR(VLOOKUP(UKG!BA128,'UKG Company Map'!B:G,7,FALSE),"Ledger Code Not Matched")</f>
        <v>Ledger Code Not Matched</v>
      </c>
      <c r="M128" s="18" t="str">
        <f>UKG!BH128</f>
        <v>SEK</v>
      </c>
      <c r="O128" s="18" t="str">
        <f>UKG!BJ128</f>
        <v>Y</v>
      </c>
      <c r="P128" s="18" t="str">
        <f>IFERROR(VLOOKUP(UKG!BA128,'UKG Company Map'!B:E,2,FALSE),"Org Unit 1 Not Mapped")</f>
        <v>0077</v>
      </c>
      <c r="Q128" s="77" t="str">
        <f>UKG!BB128</f>
        <v>0000</v>
      </c>
      <c r="W128" s="77" t="str">
        <f>UKG!Q128</f>
        <v>H0004</v>
      </c>
      <c r="X128" s="18" t="str">
        <f>UKG!BC128</f>
        <v>Default</v>
      </c>
      <c r="Z128" s="18" t="str">
        <f>IFERROR(VLOOKUP(UKG!BA128,'UKG Company Map'!B:G,8,FALSE),"Custom 5 Not Matched")</f>
        <v>Custom 5 Not Matched</v>
      </c>
      <c r="AP128" s="18" t="str">
        <f>IFERROR(VLOOKUP(UKG!BA128,'UKG Company Map'!B:G,4,FALSE),"Custom 21 Exp Group Not Matched")</f>
        <v>0077</v>
      </c>
      <c r="BG128" s="77" t="str">
        <f>UKG!AZ128</f>
        <v>205058</v>
      </c>
      <c r="BK128" s="18" t="s">
        <v>1421</v>
      </c>
      <c r="BL128" s="18" t="s">
        <v>1421</v>
      </c>
      <c r="BU128" s="18" t="str">
        <f>UKG!BL128</f>
        <v>N</v>
      </c>
      <c r="BV128" s="18" t="str">
        <f>UKG!BL128</f>
        <v>N</v>
      </c>
      <c r="CE128" s="18" t="s">
        <v>1421</v>
      </c>
    </row>
    <row r="129" spans="1:83" ht="16" hidden="1" thickBot="1" x14ac:dyDescent="0.25">
      <c r="A129" s="39" t="s">
        <v>1420</v>
      </c>
      <c r="B129" s="77" t="str">
        <f>UKG!BO129</f>
        <v>FREDRIC</v>
      </c>
      <c r="D129" s="77" t="str">
        <f>UKG!BN129</f>
        <v>BLOMQVIST</v>
      </c>
      <c r="E129" s="77" t="str">
        <f>UKG!D129</f>
        <v>205302</v>
      </c>
      <c r="F129" s="77" t="str">
        <f t="shared" si="2"/>
        <v>E205302@onebarnes.com.new.uat</v>
      </c>
      <c r="G129" s="18" t="s">
        <v>1427</v>
      </c>
      <c r="H129" s="77" t="str">
        <f>UKG!AQ129</f>
        <v>E205302@onebarnes.com</v>
      </c>
      <c r="I129" s="18" t="str">
        <f>IFERROR(VLOOKUP(J129,'Language Map'!M:O,3,FALSE),"en_US")</f>
        <v>sv_SE</v>
      </c>
      <c r="J129" s="77" t="str">
        <f>UKG!BF129</f>
        <v>SE</v>
      </c>
      <c r="L129" s="77" t="str">
        <f>IFERROR(VLOOKUP(UKG!BA129,'UKG Company Map'!B:G,7,FALSE),"Ledger Code Not Matched")</f>
        <v>Ledger Code Not Matched</v>
      </c>
      <c r="M129" s="18" t="str">
        <f>UKG!BH129</f>
        <v>SEK</v>
      </c>
      <c r="O129" s="18" t="str">
        <f>UKG!BJ129</f>
        <v>Y</v>
      </c>
      <c r="P129" s="18" t="str">
        <f>IFERROR(VLOOKUP(UKG!BA129,'UKG Company Map'!B:E,2,FALSE),"Org Unit 1 Not Mapped")</f>
        <v>0077</v>
      </c>
      <c r="Q129" s="77" t="str">
        <f>UKG!BB129</f>
        <v>0000</v>
      </c>
      <c r="W129" s="77" t="str">
        <f>UKG!Q129</f>
        <v>H0005</v>
      </c>
      <c r="X129" s="18" t="str">
        <f>UKG!BC129</f>
        <v>Default</v>
      </c>
      <c r="Z129" s="18" t="str">
        <f>IFERROR(VLOOKUP(UKG!BA129,'UKG Company Map'!B:G,8,FALSE),"Custom 5 Not Matched")</f>
        <v>Custom 5 Not Matched</v>
      </c>
      <c r="AP129" s="18" t="str">
        <f>IFERROR(VLOOKUP(UKG!BA129,'UKG Company Map'!B:G,4,FALSE),"Custom 21 Exp Group Not Matched")</f>
        <v>0077</v>
      </c>
      <c r="BG129" s="77" t="str">
        <f>UKG!AZ129</f>
        <v>205377</v>
      </c>
      <c r="BK129" s="18" t="s">
        <v>1421</v>
      </c>
      <c r="BL129" s="18" t="s">
        <v>1421</v>
      </c>
      <c r="BU129" s="18" t="str">
        <f>UKG!BL129</f>
        <v>N</v>
      </c>
      <c r="BV129" s="18" t="str">
        <f>UKG!BL129</f>
        <v>N</v>
      </c>
      <c r="CE129" s="18" t="s">
        <v>1421</v>
      </c>
    </row>
    <row r="130" spans="1:83" ht="16" hidden="1" thickBot="1" x14ac:dyDescent="0.25">
      <c r="A130" s="39" t="s">
        <v>1420</v>
      </c>
      <c r="B130" s="77" t="str">
        <f>UKG!BO130</f>
        <v>ALBIN</v>
      </c>
      <c r="D130" s="77" t="str">
        <f>UKG!BN130</f>
        <v>BORG</v>
      </c>
      <c r="E130" s="77" t="str">
        <f>UKG!D130</f>
        <v>205190</v>
      </c>
      <c r="F130" s="77" t="str">
        <f t="shared" si="2"/>
        <v>E205190@onebarnes.com.new.uat</v>
      </c>
      <c r="G130" s="18" t="s">
        <v>1427</v>
      </c>
      <c r="H130" s="77" t="str">
        <f>UKG!AQ130</f>
        <v>E205190@onebarnes.com</v>
      </c>
      <c r="I130" s="18" t="str">
        <f>IFERROR(VLOOKUP(J130,'Language Map'!M:O,3,FALSE),"en_US")</f>
        <v>sv_SE</v>
      </c>
      <c r="J130" s="77" t="str">
        <f>UKG!BF130</f>
        <v>SE</v>
      </c>
      <c r="L130" s="77" t="str">
        <f>IFERROR(VLOOKUP(UKG!BA130,'UKG Company Map'!B:G,7,FALSE),"Ledger Code Not Matched")</f>
        <v>Ledger Code Not Matched</v>
      </c>
      <c r="M130" s="18" t="str">
        <f>UKG!BH130</f>
        <v>SEK</v>
      </c>
      <c r="O130" s="18" t="str">
        <f>UKG!BJ130</f>
        <v>Y</v>
      </c>
      <c r="P130" s="18" t="str">
        <f>IFERROR(VLOOKUP(UKG!BA130,'UKG Company Map'!B:E,2,FALSE),"Org Unit 1 Not Mapped")</f>
        <v>0077</v>
      </c>
      <c r="Q130" s="77" t="str">
        <f>UKG!BB130</f>
        <v>0000</v>
      </c>
      <c r="W130" s="77" t="str">
        <f>UKG!Q130</f>
        <v>H0005</v>
      </c>
      <c r="X130" s="18" t="str">
        <f>UKG!BC130</f>
        <v>Default</v>
      </c>
      <c r="Z130" s="18" t="str">
        <f>IFERROR(VLOOKUP(UKG!BA130,'UKG Company Map'!B:G,8,FALSE),"Custom 5 Not Matched")</f>
        <v>Custom 5 Not Matched</v>
      </c>
      <c r="AP130" s="18" t="str">
        <f>IFERROR(VLOOKUP(UKG!BA130,'UKG Company Map'!B:G,4,FALSE),"Custom 21 Exp Group Not Matched")</f>
        <v>0077</v>
      </c>
      <c r="BG130" s="77" t="str">
        <f>UKG!AZ130</f>
        <v>212110</v>
      </c>
      <c r="BK130" s="18" t="s">
        <v>1421</v>
      </c>
      <c r="BL130" s="18" t="s">
        <v>1421</v>
      </c>
      <c r="BU130" s="18" t="str">
        <f>UKG!BL130</f>
        <v>N</v>
      </c>
      <c r="BV130" s="18" t="str">
        <f>UKG!BL130</f>
        <v>N</v>
      </c>
      <c r="CE130" s="18" t="s">
        <v>1421</v>
      </c>
    </row>
    <row r="131" spans="1:83" ht="16" hidden="1" thickBot="1" x14ac:dyDescent="0.25">
      <c r="A131" s="39" t="s">
        <v>1420</v>
      </c>
      <c r="B131" s="77" t="str">
        <f>UKG!BO131</f>
        <v>PATRIK</v>
      </c>
      <c r="D131" s="77" t="str">
        <f>UKG!BN131</f>
        <v>BRANDT</v>
      </c>
      <c r="E131" s="77" t="str">
        <f>UKG!D131</f>
        <v>205198</v>
      </c>
      <c r="F131" s="77" t="str">
        <f t="shared" si="2"/>
        <v>E205198@onebarnes.com.new.uat</v>
      </c>
      <c r="G131" s="18" t="s">
        <v>1427</v>
      </c>
      <c r="H131" s="77" t="str">
        <f>UKG!AQ131</f>
        <v>E205198@onebarnes.com</v>
      </c>
      <c r="I131" s="18" t="str">
        <f>IFERROR(VLOOKUP(J131,'Language Map'!M:O,3,FALSE),"en_US")</f>
        <v>sv_SE</v>
      </c>
      <c r="J131" s="77" t="str">
        <f>UKG!BF131</f>
        <v>SE</v>
      </c>
      <c r="L131" s="77" t="str">
        <f>IFERROR(VLOOKUP(UKG!BA131,'UKG Company Map'!B:G,7,FALSE),"Ledger Code Not Matched")</f>
        <v>Ledger Code Not Matched</v>
      </c>
      <c r="M131" s="18" t="str">
        <f>UKG!BH131</f>
        <v>SEK</v>
      </c>
      <c r="O131" s="18" t="str">
        <f>UKG!BJ131</f>
        <v>Y</v>
      </c>
      <c r="P131" s="18" t="str">
        <f>IFERROR(VLOOKUP(UKG!BA131,'UKG Company Map'!B:E,2,FALSE),"Org Unit 1 Not Mapped")</f>
        <v>0077</v>
      </c>
      <c r="Q131" s="77" t="str">
        <f>UKG!BB131</f>
        <v>0000</v>
      </c>
      <c r="W131" s="77" t="str">
        <f>UKG!Q131</f>
        <v>H0005</v>
      </c>
      <c r="X131" s="18" t="str">
        <f>UKG!BC131</f>
        <v>Default</v>
      </c>
      <c r="Z131" s="18" t="str">
        <f>IFERROR(VLOOKUP(UKG!BA131,'UKG Company Map'!B:G,8,FALSE),"Custom 5 Not Matched")</f>
        <v>Custom 5 Not Matched</v>
      </c>
      <c r="AP131" s="18" t="str">
        <f>IFERROR(VLOOKUP(UKG!BA131,'UKG Company Map'!B:G,4,FALSE),"Custom 21 Exp Group Not Matched")</f>
        <v>0077</v>
      </c>
      <c r="BG131" s="77" t="str">
        <f>UKG!AZ131</f>
        <v>205315</v>
      </c>
      <c r="BK131" s="18" t="s">
        <v>1421</v>
      </c>
      <c r="BL131" s="18" t="s">
        <v>1421</v>
      </c>
      <c r="BU131" s="18" t="str">
        <f>UKG!BL131</f>
        <v>N</v>
      </c>
      <c r="BV131" s="18" t="str">
        <f>UKG!BL131</f>
        <v>N</v>
      </c>
      <c r="CE131" s="18" t="s">
        <v>1421</v>
      </c>
    </row>
    <row r="132" spans="1:83" ht="16" hidden="1" thickBot="1" x14ac:dyDescent="0.25">
      <c r="A132" s="39" t="s">
        <v>1420</v>
      </c>
      <c r="B132" s="77" t="str">
        <f>UKG!BO132</f>
        <v>ALBERT</v>
      </c>
      <c r="D132" s="77" t="str">
        <f>UKG!BN132</f>
        <v>BRICKARP</v>
      </c>
      <c r="E132" s="77" t="str">
        <f>UKG!D132</f>
        <v>205106</v>
      </c>
      <c r="F132" s="77" t="str">
        <f t="shared" si="2"/>
        <v>ABrickarp@onebarnes.com.new.uat</v>
      </c>
      <c r="G132" s="18" t="s">
        <v>1427</v>
      </c>
      <c r="H132" s="77" t="str">
        <f>UKG!AQ132</f>
        <v>ABrickarp@onebarnes.com</v>
      </c>
      <c r="I132" s="18" t="str">
        <f>IFERROR(VLOOKUP(J132,'Language Map'!M:O,3,FALSE),"en_US")</f>
        <v>sv_SE</v>
      </c>
      <c r="J132" s="77" t="str">
        <f>UKG!BF132</f>
        <v>SE</v>
      </c>
      <c r="L132" s="77" t="str">
        <f>IFERROR(VLOOKUP(UKG!BA132,'UKG Company Map'!B:G,7,FALSE),"Ledger Code Not Matched")</f>
        <v>Ledger Code Not Matched</v>
      </c>
      <c r="M132" s="18" t="str">
        <f>UKG!BH132</f>
        <v>SEK</v>
      </c>
      <c r="O132" s="18" t="str">
        <f>UKG!BJ132</f>
        <v>Y</v>
      </c>
      <c r="P132" s="18" t="str">
        <f>IFERROR(VLOOKUP(UKG!BA132,'UKG Company Map'!B:E,2,FALSE),"Org Unit 1 Not Mapped")</f>
        <v>0077</v>
      </c>
      <c r="Q132" s="77" t="str">
        <f>UKG!BB132</f>
        <v>0000</v>
      </c>
      <c r="W132" s="77" t="str">
        <f>UKG!Q132</f>
        <v>H0008</v>
      </c>
      <c r="X132" s="18" t="str">
        <f>UKG!BC132</f>
        <v>Default</v>
      </c>
      <c r="Z132" s="18" t="str">
        <f>IFERROR(VLOOKUP(UKG!BA132,'UKG Company Map'!B:G,8,FALSE),"Custom 5 Not Matched")</f>
        <v>Custom 5 Not Matched</v>
      </c>
      <c r="AP132" s="18" t="str">
        <f>IFERROR(VLOOKUP(UKG!BA132,'UKG Company Map'!B:G,4,FALSE),"Custom 21 Exp Group Not Matched")</f>
        <v>0077</v>
      </c>
      <c r="BG132" s="77" t="str">
        <f>UKG!AZ132</f>
        <v>213066</v>
      </c>
      <c r="BK132" s="18" t="s">
        <v>1421</v>
      </c>
      <c r="BL132" s="18" t="s">
        <v>1421</v>
      </c>
      <c r="BU132" s="18" t="str">
        <f>UKG!BL132</f>
        <v>N</v>
      </c>
      <c r="BV132" s="18" t="str">
        <f>UKG!BL132</f>
        <v>N</v>
      </c>
      <c r="CE132" s="18" t="s">
        <v>1421</v>
      </c>
    </row>
    <row r="133" spans="1:83" ht="16" hidden="1" thickBot="1" x14ac:dyDescent="0.25">
      <c r="A133" s="39" t="s">
        <v>1420</v>
      </c>
      <c r="B133" s="77" t="str">
        <f>UKG!BO133</f>
        <v>JOAKIM</v>
      </c>
      <c r="D133" s="77" t="str">
        <f>UKG!BN133</f>
        <v>BYSTRÖM</v>
      </c>
      <c r="E133" s="77" t="str">
        <f>UKG!D133</f>
        <v>205311</v>
      </c>
      <c r="F133" s="77" t="str">
        <f t="shared" si="2"/>
        <v>E205311@onebarnes.com.new.uat</v>
      </c>
      <c r="G133" s="18" t="s">
        <v>1427</v>
      </c>
      <c r="H133" s="77" t="str">
        <f>UKG!AQ133</f>
        <v>E205311@onebarnes.com</v>
      </c>
      <c r="I133" s="18" t="str">
        <f>IFERROR(VLOOKUP(J133,'Language Map'!M:O,3,FALSE),"en_US")</f>
        <v>sv_SE</v>
      </c>
      <c r="J133" s="77" t="str">
        <f>UKG!BF133</f>
        <v>SE</v>
      </c>
      <c r="L133" s="77" t="str">
        <f>IFERROR(VLOOKUP(UKG!BA133,'UKG Company Map'!B:G,7,FALSE),"Ledger Code Not Matched")</f>
        <v>Ledger Code Not Matched</v>
      </c>
      <c r="M133" s="18" t="str">
        <f>UKG!BH133</f>
        <v>SEK</v>
      </c>
      <c r="O133" s="18" t="str">
        <f>UKG!BJ133</f>
        <v>Y</v>
      </c>
      <c r="P133" s="18" t="str">
        <f>IFERROR(VLOOKUP(UKG!BA133,'UKG Company Map'!B:E,2,FALSE),"Org Unit 1 Not Mapped")</f>
        <v>0077</v>
      </c>
      <c r="Q133" s="77" t="str">
        <f>UKG!BB133</f>
        <v>0000</v>
      </c>
      <c r="W133" s="77" t="str">
        <f>UKG!Q133</f>
        <v>H0005</v>
      </c>
      <c r="X133" s="18" t="str">
        <f>UKG!BC133</f>
        <v>Default</v>
      </c>
      <c r="Z133" s="18" t="str">
        <f>IFERROR(VLOOKUP(UKG!BA133,'UKG Company Map'!B:G,8,FALSE),"Custom 5 Not Matched")</f>
        <v>Custom 5 Not Matched</v>
      </c>
      <c r="AP133" s="18" t="str">
        <f>IFERROR(VLOOKUP(UKG!BA133,'UKG Company Map'!B:G,4,FALSE),"Custom 21 Exp Group Not Matched")</f>
        <v>0077</v>
      </c>
      <c r="BG133" s="77" t="str">
        <f>UKG!AZ133</f>
        <v>212110</v>
      </c>
      <c r="BK133" s="18" t="s">
        <v>1421</v>
      </c>
      <c r="BL133" s="18" t="s">
        <v>1421</v>
      </c>
      <c r="BU133" s="18" t="str">
        <f>UKG!BL133</f>
        <v>N</v>
      </c>
      <c r="BV133" s="18" t="str">
        <f>UKG!BL133</f>
        <v>N</v>
      </c>
      <c r="CE133" s="18" t="s">
        <v>1421</v>
      </c>
    </row>
    <row r="134" spans="1:83" ht="16" hidden="1" thickBot="1" x14ac:dyDescent="0.25">
      <c r="A134" s="39" t="s">
        <v>1420</v>
      </c>
      <c r="B134" s="77" t="str">
        <f>UKG!BO134</f>
        <v>EMILIA</v>
      </c>
      <c r="D134" s="77" t="str">
        <f>UKG!BN134</f>
        <v>CARLSSON</v>
      </c>
      <c r="E134" s="77" t="str">
        <f>UKG!D134</f>
        <v>205347</v>
      </c>
      <c r="F134" s="77" t="str">
        <f t="shared" si="2"/>
        <v>ecarlsson@onebarnes.com.new.uat</v>
      </c>
      <c r="G134" s="18" t="s">
        <v>1427</v>
      </c>
      <c r="H134" s="77" t="str">
        <f>UKG!AQ134</f>
        <v>ecarlsson@onebarnes.com</v>
      </c>
      <c r="I134" s="18" t="str">
        <f>IFERROR(VLOOKUP(J134,'Language Map'!M:O,3,FALSE),"en_US")</f>
        <v>sv_SE</v>
      </c>
      <c r="J134" s="77" t="str">
        <f>UKG!BF134</f>
        <v>SE</v>
      </c>
      <c r="L134" s="77" t="str">
        <f>IFERROR(VLOOKUP(UKG!BA134,'UKG Company Map'!B:G,7,FALSE),"Ledger Code Not Matched")</f>
        <v>Ledger Code Not Matched</v>
      </c>
      <c r="M134" s="18" t="str">
        <f>UKG!BH134</f>
        <v>SEK</v>
      </c>
      <c r="O134" s="18" t="str">
        <f>UKG!BJ134</f>
        <v>Y</v>
      </c>
      <c r="P134" s="18" t="str">
        <f>IFERROR(VLOOKUP(UKG!BA134,'UKG Company Map'!B:E,2,FALSE),"Org Unit 1 Not Mapped")</f>
        <v>0077</v>
      </c>
      <c r="Q134" s="77" t="str">
        <f>UKG!BB134</f>
        <v>0000</v>
      </c>
      <c r="W134" s="77" t="str">
        <f>UKG!Q134</f>
        <v>H0004</v>
      </c>
      <c r="X134" s="18" t="str">
        <f>UKG!BC134</f>
        <v>Default</v>
      </c>
      <c r="Z134" s="18" t="str">
        <f>IFERROR(VLOOKUP(UKG!BA134,'UKG Company Map'!B:G,8,FALSE),"Custom 5 Not Matched")</f>
        <v>Custom 5 Not Matched</v>
      </c>
      <c r="AP134" s="18" t="str">
        <f>IFERROR(VLOOKUP(UKG!BA134,'UKG Company Map'!B:G,4,FALSE),"Custom 21 Exp Group Not Matched")</f>
        <v>0077</v>
      </c>
      <c r="BG134" s="77" t="str">
        <f>UKG!AZ134</f>
        <v>205058</v>
      </c>
      <c r="BK134" s="18" t="s">
        <v>1421</v>
      </c>
      <c r="BL134" s="18" t="s">
        <v>1421</v>
      </c>
      <c r="BU134" s="18" t="str">
        <f>UKG!BL134</f>
        <v>N</v>
      </c>
      <c r="BV134" s="18" t="str">
        <f>UKG!BL134</f>
        <v>N</v>
      </c>
      <c r="CE134" s="18" t="s">
        <v>1421</v>
      </c>
    </row>
    <row r="135" spans="1:83" ht="16" hidden="1" thickBot="1" x14ac:dyDescent="0.25">
      <c r="A135" s="39" t="s">
        <v>1420</v>
      </c>
      <c r="B135" s="77" t="str">
        <f>UKG!BO135</f>
        <v>FREDRICK</v>
      </c>
      <c r="D135" s="77" t="str">
        <f>UKG!BN135</f>
        <v>CARLSSON</v>
      </c>
      <c r="E135" s="77" t="str">
        <f>UKG!D135</f>
        <v>205119</v>
      </c>
      <c r="F135" s="77" t="str">
        <f t="shared" si="2"/>
        <v>FCarlsson@onebarnes.com.new.uat</v>
      </c>
      <c r="G135" s="18" t="s">
        <v>1427</v>
      </c>
      <c r="H135" s="77" t="str">
        <f>UKG!AQ135</f>
        <v>FCarlsson@onebarnes.com</v>
      </c>
      <c r="I135" s="18" t="str">
        <f>IFERROR(VLOOKUP(J135,'Language Map'!M:O,3,FALSE),"en_US")</f>
        <v>sv_SE</v>
      </c>
      <c r="J135" s="77" t="str">
        <f>UKG!BF135</f>
        <v>SE</v>
      </c>
      <c r="L135" s="77" t="str">
        <f>IFERROR(VLOOKUP(UKG!BA135,'UKG Company Map'!B:G,7,FALSE),"Ledger Code Not Matched")</f>
        <v>Ledger Code Not Matched</v>
      </c>
      <c r="M135" s="18" t="str">
        <f>UKG!BH135</f>
        <v>SEK</v>
      </c>
      <c r="O135" s="18" t="str">
        <f>UKG!BJ135</f>
        <v>Y</v>
      </c>
      <c r="P135" s="18" t="str">
        <f>IFERROR(VLOOKUP(UKG!BA135,'UKG Company Map'!B:E,2,FALSE),"Org Unit 1 Not Mapped")</f>
        <v>0077</v>
      </c>
      <c r="Q135" s="77" t="str">
        <f>UKG!BB135</f>
        <v>0000</v>
      </c>
      <c r="W135" s="77" t="str">
        <f>UKG!Q135</f>
        <v>H0004</v>
      </c>
      <c r="X135" s="18" t="str">
        <f>UKG!BC135</f>
        <v>Default</v>
      </c>
      <c r="Z135" s="18" t="str">
        <f>IFERROR(VLOOKUP(UKG!BA135,'UKG Company Map'!B:G,8,FALSE),"Custom 5 Not Matched")</f>
        <v>Custom 5 Not Matched</v>
      </c>
      <c r="AP135" s="18" t="str">
        <f>IFERROR(VLOOKUP(UKG!BA135,'UKG Company Map'!B:G,4,FALSE),"Custom 21 Exp Group Not Matched")</f>
        <v>0077</v>
      </c>
      <c r="BG135" s="77" t="str">
        <f>UKG!AZ135</f>
        <v>205058</v>
      </c>
      <c r="BK135" s="18" t="s">
        <v>1421</v>
      </c>
      <c r="BL135" s="18" t="s">
        <v>1421</v>
      </c>
      <c r="BU135" s="18" t="str">
        <f>UKG!BL135</f>
        <v>N</v>
      </c>
      <c r="BV135" s="18" t="str">
        <f>UKG!BL135</f>
        <v>N</v>
      </c>
      <c r="CE135" s="18" t="s">
        <v>1421</v>
      </c>
    </row>
    <row r="136" spans="1:83" ht="16" hidden="1" thickBot="1" x14ac:dyDescent="0.25">
      <c r="A136" s="39" t="s">
        <v>1420</v>
      </c>
      <c r="B136" s="77" t="str">
        <f>UKG!BO136</f>
        <v>GUSTAV</v>
      </c>
      <c r="D136" s="77" t="str">
        <f>UKG!BN136</f>
        <v>CREUTZ</v>
      </c>
      <c r="E136" s="77" t="str">
        <f>UKG!D136</f>
        <v>205175</v>
      </c>
      <c r="F136" s="77" t="str">
        <f t="shared" si="2"/>
        <v>GCreutz@onebarnes.com.new.uat</v>
      </c>
      <c r="G136" s="18" t="s">
        <v>1427</v>
      </c>
      <c r="H136" s="77" t="str">
        <f>UKG!AQ136</f>
        <v>GCreutz@onebarnes.com</v>
      </c>
      <c r="I136" s="18" t="str">
        <f>IFERROR(VLOOKUP(J136,'Language Map'!M:O,3,FALSE),"en_US")</f>
        <v>sv_SE</v>
      </c>
      <c r="J136" s="77" t="str">
        <f>UKG!BF136</f>
        <v>SE</v>
      </c>
      <c r="L136" s="77" t="str">
        <f>IFERROR(VLOOKUP(UKG!BA136,'UKG Company Map'!B:G,7,FALSE),"Ledger Code Not Matched")</f>
        <v>Ledger Code Not Matched</v>
      </c>
      <c r="M136" s="18" t="str">
        <f>UKG!BH136</f>
        <v>SEK</v>
      </c>
      <c r="O136" s="18" t="str">
        <f>UKG!BJ136</f>
        <v>Y</v>
      </c>
      <c r="P136" s="18" t="str">
        <f>IFERROR(VLOOKUP(UKG!BA136,'UKG Company Map'!B:E,2,FALSE),"Org Unit 1 Not Mapped")</f>
        <v>0077</v>
      </c>
      <c r="Q136" s="77" t="str">
        <f>UKG!BB136</f>
        <v>0000</v>
      </c>
      <c r="W136" s="77" t="str">
        <f>UKG!Q136</f>
        <v>S06</v>
      </c>
      <c r="X136" s="18" t="str">
        <f>UKG!BC136</f>
        <v>Default</v>
      </c>
      <c r="Z136" s="18" t="str">
        <f>IFERROR(VLOOKUP(UKG!BA136,'UKG Company Map'!B:G,8,FALSE),"Custom 5 Not Matched")</f>
        <v>Custom 5 Not Matched</v>
      </c>
      <c r="AP136" s="18" t="str">
        <f>IFERROR(VLOOKUP(UKG!BA136,'UKG Company Map'!B:G,4,FALSE),"Custom 21 Exp Group Not Matched")</f>
        <v>0077</v>
      </c>
      <c r="BG136" s="77" t="str">
        <f>UKG!AZ136</f>
        <v>205058</v>
      </c>
      <c r="BK136" s="18" t="s">
        <v>1421</v>
      </c>
      <c r="BL136" s="18" t="s">
        <v>1421</v>
      </c>
      <c r="BU136" s="18" t="str">
        <f>UKG!BL136</f>
        <v>N</v>
      </c>
      <c r="BV136" s="18" t="str">
        <f>UKG!BL136</f>
        <v>N</v>
      </c>
      <c r="CE136" s="18" t="s">
        <v>1421</v>
      </c>
    </row>
    <row r="137" spans="1:83" ht="16" hidden="1" thickBot="1" x14ac:dyDescent="0.25">
      <c r="A137" s="39" t="s">
        <v>1420</v>
      </c>
      <c r="B137" s="77" t="str">
        <f>UKG!BO137</f>
        <v>CENNETH</v>
      </c>
      <c r="D137" s="77" t="str">
        <f>UKG!BN137</f>
        <v>DACKE</v>
      </c>
      <c r="E137" s="77" t="str">
        <f>UKG!D137</f>
        <v>205268</v>
      </c>
      <c r="F137" s="77" t="str">
        <f t="shared" si="2"/>
        <v>CDacke@onebarnes.com.new.uat</v>
      </c>
      <c r="G137" s="18" t="s">
        <v>1427</v>
      </c>
      <c r="H137" s="77" t="str">
        <f>UKG!AQ137</f>
        <v>CDacke@onebarnes.com</v>
      </c>
      <c r="I137" s="18" t="str">
        <f>IFERROR(VLOOKUP(J137,'Language Map'!M:O,3,FALSE),"en_US")</f>
        <v>sv_SE</v>
      </c>
      <c r="J137" s="77" t="str">
        <f>UKG!BF137</f>
        <v>SE</v>
      </c>
      <c r="L137" s="77" t="str">
        <f>IFERROR(VLOOKUP(UKG!BA137,'UKG Company Map'!B:G,7,FALSE),"Ledger Code Not Matched")</f>
        <v>Ledger Code Not Matched</v>
      </c>
      <c r="M137" s="18" t="str">
        <f>UKG!BH137</f>
        <v>SEK</v>
      </c>
      <c r="O137" s="18" t="str">
        <f>UKG!BJ137</f>
        <v>Y</v>
      </c>
      <c r="P137" s="18" t="str">
        <f>IFERROR(VLOOKUP(UKG!BA137,'UKG Company Map'!B:E,2,FALSE),"Org Unit 1 Not Mapped")</f>
        <v>0077</v>
      </c>
      <c r="Q137" s="77" t="str">
        <f>UKG!BB137</f>
        <v>0000</v>
      </c>
      <c r="W137" s="77" t="str">
        <f>UKG!Q137</f>
        <v>H0008</v>
      </c>
      <c r="X137" s="18" t="str">
        <f>UKG!BC137</f>
        <v>Default</v>
      </c>
      <c r="Z137" s="18" t="str">
        <f>IFERROR(VLOOKUP(UKG!BA137,'UKG Company Map'!B:G,8,FALSE),"Custom 5 Not Matched")</f>
        <v>Custom 5 Not Matched</v>
      </c>
      <c r="AP137" s="18" t="str">
        <f>IFERROR(VLOOKUP(UKG!BA137,'UKG Company Map'!B:G,4,FALSE),"Custom 21 Exp Group Not Matched")</f>
        <v>0077</v>
      </c>
      <c r="BG137" s="77" t="str">
        <f>UKG!AZ137</f>
        <v>213066</v>
      </c>
      <c r="BK137" s="18" t="s">
        <v>1421</v>
      </c>
      <c r="BL137" s="18" t="s">
        <v>1421</v>
      </c>
      <c r="BU137" s="18" t="str">
        <f>UKG!BL137</f>
        <v>N</v>
      </c>
      <c r="BV137" s="18" t="str">
        <f>UKG!BL137</f>
        <v>N</v>
      </c>
      <c r="CE137" s="18" t="s">
        <v>1421</v>
      </c>
    </row>
    <row r="138" spans="1:83" ht="16" hidden="1" thickBot="1" x14ac:dyDescent="0.25">
      <c r="A138" s="39" t="s">
        <v>1420</v>
      </c>
      <c r="B138" s="77" t="str">
        <f>UKG!BO138</f>
        <v>CHRISTER</v>
      </c>
      <c r="D138" s="77" t="str">
        <f>UKG!BN138</f>
        <v>DACKE</v>
      </c>
      <c r="E138" s="77" t="str">
        <f>UKG!D138</f>
        <v>205281</v>
      </c>
      <c r="F138" s="77" t="str">
        <f t="shared" si="2"/>
        <v>E205281@onebarnes.com.new.uat</v>
      </c>
      <c r="G138" s="18" t="s">
        <v>1427</v>
      </c>
      <c r="H138" s="77" t="str">
        <f>UKG!AQ138</f>
        <v>E205281@onebarnes.com</v>
      </c>
      <c r="I138" s="18" t="str">
        <f>IFERROR(VLOOKUP(J138,'Language Map'!M:O,3,FALSE),"en_US")</f>
        <v>sv_SE</v>
      </c>
      <c r="J138" s="77" t="str">
        <f>UKG!BF138</f>
        <v>SE</v>
      </c>
      <c r="L138" s="77" t="str">
        <f>IFERROR(VLOOKUP(UKG!BA138,'UKG Company Map'!B:G,7,FALSE),"Ledger Code Not Matched")</f>
        <v>Ledger Code Not Matched</v>
      </c>
      <c r="M138" s="18" t="str">
        <f>UKG!BH138</f>
        <v>SEK</v>
      </c>
      <c r="O138" s="18" t="str">
        <f>UKG!BJ138</f>
        <v>Y</v>
      </c>
      <c r="P138" s="18" t="str">
        <f>IFERROR(VLOOKUP(UKG!BA138,'UKG Company Map'!B:E,2,FALSE),"Org Unit 1 Not Mapped")</f>
        <v>0077</v>
      </c>
      <c r="Q138" s="77" t="str">
        <f>UKG!BB138</f>
        <v>0000</v>
      </c>
      <c r="W138" s="77" t="str">
        <f>UKG!Q138</f>
        <v>H0005</v>
      </c>
      <c r="X138" s="18" t="str">
        <f>UKG!BC138</f>
        <v>Default</v>
      </c>
      <c r="Z138" s="18" t="str">
        <f>IFERROR(VLOOKUP(UKG!BA138,'UKG Company Map'!B:G,8,FALSE),"Custom 5 Not Matched")</f>
        <v>Custom 5 Not Matched</v>
      </c>
      <c r="AP138" s="18" t="str">
        <f>IFERROR(VLOOKUP(UKG!BA138,'UKG Company Map'!B:G,4,FALSE),"Custom 21 Exp Group Not Matched")</f>
        <v>0077</v>
      </c>
      <c r="BG138" s="77" t="str">
        <f>UKG!AZ138</f>
        <v>213066</v>
      </c>
      <c r="BK138" s="18" t="s">
        <v>1421</v>
      </c>
      <c r="BL138" s="18" t="s">
        <v>1421</v>
      </c>
      <c r="BU138" s="18" t="str">
        <f>UKG!BL138</f>
        <v>N</v>
      </c>
      <c r="BV138" s="18" t="str">
        <f>UKG!BL138</f>
        <v>N</v>
      </c>
      <c r="CE138" s="18" t="s">
        <v>1421</v>
      </c>
    </row>
    <row r="139" spans="1:83" ht="16" hidden="1" thickBot="1" x14ac:dyDescent="0.25">
      <c r="A139" s="39" t="s">
        <v>1420</v>
      </c>
      <c r="B139" s="77" t="str">
        <f>UKG!BO139</f>
        <v>LABAN</v>
      </c>
      <c r="D139" s="77" t="str">
        <f>UKG!BN139</f>
        <v>DAHLGREN</v>
      </c>
      <c r="E139" s="77" t="str">
        <f>UKG!D139</f>
        <v>209256</v>
      </c>
      <c r="F139" s="77" t="str">
        <f t="shared" si="2"/>
        <v>E209256@onebarnes.com.new.uat</v>
      </c>
      <c r="G139" s="18" t="s">
        <v>1427</v>
      </c>
      <c r="H139" s="77" t="str">
        <f>UKG!AQ139</f>
        <v>E209256@onebarnes.com</v>
      </c>
      <c r="I139" s="18" t="str">
        <f>IFERROR(VLOOKUP(J139,'Language Map'!M:O,3,FALSE),"en_US")</f>
        <v>sv_SE</v>
      </c>
      <c r="J139" s="77" t="str">
        <f>UKG!BF139</f>
        <v>SE</v>
      </c>
      <c r="L139" s="77" t="str">
        <f>IFERROR(VLOOKUP(UKG!BA139,'UKG Company Map'!B:G,7,FALSE),"Ledger Code Not Matched")</f>
        <v>Ledger Code Not Matched</v>
      </c>
      <c r="M139" s="18" t="str">
        <f>UKG!BH139</f>
        <v>SEK</v>
      </c>
      <c r="O139" s="18" t="str">
        <f>UKG!BJ139</f>
        <v>Y</v>
      </c>
      <c r="P139" s="18" t="str">
        <f>IFERROR(VLOOKUP(UKG!BA139,'UKG Company Map'!B:E,2,FALSE),"Org Unit 1 Not Mapped")</f>
        <v>0077</v>
      </c>
      <c r="Q139" s="77" t="str">
        <f>UKG!BB139</f>
        <v>0000</v>
      </c>
      <c r="W139" s="77" t="str">
        <f>UKG!Q139</f>
        <v>H0005</v>
      </c>
      <c r="X139" s="18" t="str">
        <f>UKG!BC139</f>
        <v>Default</v>
      </c>
      <c r="Z139" s="18" t="str">
        <f>IFERROR(VLOOKUP(UKG!BA139,'UKG Company Map'!B:G,8,FALSE),"Custom 5 Not Matched")</f>
        <v>Custom 5 Not Matched</v>
      </c>
      <c r="AP139" s="18" t="str">
        <f>IFERROR(VLOOKUP(UKG!BA139,'UKG Company Map'!B:G,4,FALSE),"Custom 21 Exp Group Not Matched")</f>
        <v>0077</v>
      </c>
      <c r="BG139" s="77" t="str">
        <f>UKG!AZ139</f>
        <v>205315</v>
      </c>
      <c r="BK139" s="18" t="s">
        <v>1421</v>
      </c>
      <c r="BL139" s="18" t="s">
        <v>1421</v>
      </c>
      <c r="BU139" s="18" t="str">
        <f>UKG!BL139</f>
        <v>N</v>
      </c>
      <c r="BV139" s="18" t="str">
        <f>UKG!BL139</f>
        <v>N</v>
      </c>
      <c r="CE139" s="18" t="s">
        <v>1421</v>
      </c>
    </row>
    <row r="140" spans="1:83" ht="16" hidden="1" thickBot="1" x14ac:dyDescent="0.25">
      <c r="A140" s="39" t="s">
        <v>1420</v>
      </c>
      <c r="B140" s="77" t="str">
        <f>UKG!BO140</f>
        <v>MAGNUS</v>
      </c>
      <c r="D140" s="77" t="str">
        <f>UKG!BN140</f>
        <v>DAHLGREN</v>
      </c>
      <c r="E140" s="77" t="str">
        <f>UKG!D140</f>
        <v>205186</v>
      </c>
      <c r="F140" s="77" t="str">
        <f t="shared" si="2"/>
        <v>magnus.dahlgren@kaller.com.new.uat</v>
      </c>
      <c r="G140" s="18" t="s">
        <v>1427</v>
      </c>
      <c r="H140" s="77" t="str">
        <f>UKG!AQ140</f>
        <v>magnus.dahlgren@kaller.com</v>
      </c>
      <c r="I140" s="18" t="str">
        <f>IFERROR(VLOOKUP(J140,'Language Map'!M:O,3,FALSE),"en_US")</f>
        <v>sv_SE</v>
      </c>
      <c r="J140" s="77" t="str">
        <f>UKG!BF140</f>
        <v>SE</v>
      </c>
      <c r="L140" s="77" t="str">
        <f>IFERROR(VLOOKUP(UKG!BA140,'UKG Company Map'!B:G,7,FALSE),"Ledger Code Not Matched")</f>
        <v>Ledger Code Not Matched</v>
      </c>
      <c r="M140" s="18" t="str">
        <f>UKG!BH140</f>
        <v>SEK</v>
      </c>
      <c r="O140" s="18" t="str">
        <f>UKG!BJ140</f>
        <v>Y</v>
      </c>
      <c r="P140" s="18" t="str">
        <f>IFERROR(VLOOKUP(UKG!BA140,'UKG Company Map'!B:E,2,FALSE),"Org Unit 1 Not Mapped")</f>
        <v>0077</v>
      </c>
      <c r="Q140" s="77" t="str">
        <f>UKG!BB140</f>
        <v>0000</v>
      </c>
      <c r="W140" s="77" t="str">
        <f>UKG!Q140</f>
        <v>H0005</v>
      </c>
      <c r="X140" s="18" t="str">
        <f>UKG!BC140</f>
        <v>Default</v>
      </c>
      <c r="Z140" s="18" t="str">
        <f>IFERROR(VLOOKUP(UKG!BA140,'UKG Company Map'!B:G,8,FALSE),"Custom 5 Not Matched")</f>
        <v>Custom 5 Not Matched</v>
      </c>
      <c r="AP140" s="18" t="str">
        <f>IFERROR(VLOOKUP(UKG!BA140,'UKG Company Map'!B:G,4,FALSE),"Custom 21 Exp Group Not Matched")</f>
        <v>0077</v>
      </c>
      <c r="BG140" s="77" t="str">
        <f>UKG!AZ140</f>
        <v>212110</v>
      </c>
      <c r="BK140" s="18" t="s">
        <v>1421</v>
      </c>
      <c r="BL140" s="18" t="s">
        <v>1421</v>
      </c>
      <c r="BU140" s="18" t="str">
        <f>UKG!BL140</f>
        <v>N</v>
      </c>
      <c r="BV140" s="18" t="str">
        <f>UKG!BL140</f>
        <v>N</v>
      </c>
      <c r="CE140" s="18" t="s">
        <v>1421</v>
      </c>
    </row>
    <row r="141" spans="1:83" ht="16" hidden="1" thickBot="1" x14ac:dyDescent="0.25">
      <c r="A141" s="39" t="s">
        <v>1420</v>
      </c>
      <c r="B141" s="77" t="str">
        <f>UKG!BO141</f>
        <v>KLAS</v>
      </c>
      <c r="D141" s="77" t="str">
        <f>UKG!BN141</f>
        <v>DAMNE</v>
      </c>
      <c r="E141" s="77" t="str">
        <f>UKG!D141</f>
        <v>205322</v>
      </c>
      <c r="F141" s="77" t="str">
        <f t="shared" si="2"/>
        <v>E205322@onebarnes.com.new.uat</v>
      </c>
      <c r="G141" s="18" t="s">
        <v>1427</v>
      </c>
      <c r="H141" s="77" t="str">
        <f>UKG!AQ141</f>
        <v>E205322@onebarnes.com</v>
      </c>
      <c r="I141" s="18" t="str">
        <f>IFERROR(VLOOKUP(J141,'Language Map'!M:O,3,FALSE),"en_US")</f>
        <v>sv_SE</v>
      </c>
      <c r="J141" s="77" t="str">
        <f>UKG!BF141</f>
        <v>SE</v>
      </c>
      <c r="L141" s="77" t="str">
        <f>IFERROR(VLOOKUP(UKG!BA141,'UKG Company Map'!B:G,7,FALSE),"Ledger Code Not Matched")</f>
        <v>Ledger Code Not Matched</v>
      </c>
      <c r="M141" s="18" t="str">
        <f>UKG!BH141</f>
        <v>SEK</v>
      </c>
      <c r="O141" s="18" t="str">
        <f>UKG!BJ141</f>
        <v>Y</v>
      </c>
      <c r="P141" s="18" t="str">
        <f>IFERROR(VLOOKUP(UKG!BA141,'UKG Company Map'!B:E,2,FALSE),"Org Unit 1 Not Mapped")</f>
        <v>0077</v>
      </c>
      <c r="Q141" s="77" t="str">
        <f>UKG!BB141</f>
        <v>0000</v>
      </c>
      <c r="W141" s="77" t="str">
        <f>UKG!Q141</f>
        <v>H0000</v>
      </c>
      <c r="X141" s="18" t="str">
        <f>UKG!BC141</f>
        <v>Default</v>
      </c>
      <c r="Z141" s="18" t="str">
        <f>IFERROR(VLOOKUP(UKG!BA141,'UKG Company Map'!B:G,8,FALSE),"Custom 5 Not Matched")</f>
        <v>Custom 5 Not Matched</v>
      </c>
      <c r="AP141" s="18" t="str">
        <f>IFERROR(VLOOKUP(UKG!BA141,'UKG Company Map'!B:G,4,FALSE),"Custom 21 Exp Group Not Matched")</f>
        <v>0077</v>
      </c>
      <c r="BG141" s="77" t="str">
        <f>UKG!AZ141</f>
        <v>205383</v>
      </c>
      <c r="BK141" s="18" t="s">
        <v>1421</v>
      </c>
      <c r="BL141" s="18" t="s">
        <v>1421</v>
      </c>
      <c r="BU141" s="18" t="str">
        <f>UKG!BL141</f>
        <v>N</v>
      </c>
      <c r="BV141" s="18" t="str">
        <f>UKG!BL141</f>
        <v>N</v>
      </c>
      <c r="CE141" s="18" t="s">
        <v>1421</v>
      </c>
    </row>
    <row r="142" spans="1:83" ht="16" hidden="1" thickBot="1" x14ac:dyDescent="0.25">
      <c r="A142" s="39" t="s">
        <v>1420</v>
      </c>
      <c r="B142" s="77" t="str">
        <f>UKG!BO142</f>
        <v>HENRIK</v>
      </c>
      <c r="D142" s="77" t="str">
        <f>UKG!BN142</f>
        <v>DONNERBORG</v>
      </c>
      <c r="E142" s="77" t="str">
        <f>UKG!D142</f>
        <v>205149</v>
      </c>
      <c r="F142" s="77" t="str">
        <f t="shared" si="2"/>
        <v>hdonnerborg@onebarnes.com.new.uat</v>
      </c>
      <c r="G142" s="18" t="s">
        <v>1427</v>
      </c>
      <c r="H142" s="77" t="str">
        <f>UKG!AQ142</f>
        <v>hdonnerborg@onebarnes.com</v>
      </c>
      <c r="I142" s="18" t="str">
        <f>IFERROR(VLOOKUP(J142,'Language Map'!M:O,3,FALSE),"en_US")</f>
        <v>sv_SE</v>
      </c>
      <c r="J142" s="77" t="str">
        <f>UKG!BF142</f>
        <v>SE</v>
      </c>
      <c r="L142" s="77" t="str">
        <f>IFERROR(VLOOKUP(UKG!BA142,'UKG Company Map'!B:G,7,FALSE),"Ledger Code Not Matched")</f>
        <v>Ledger Code Not Matched</v>
      </c>
      <c r="M142" s="18" t="str">
        <f>UKG!BH142</f>
        <v>SEK</v>
      </c>
      <c r="O142" s="18" t="str">
        <f>UKG!BJ142</f>
        <v>Y</v>
      </c>
      <c r="P142" s="18" t="str">
        <f>IFERROR(VLOOKUP(UKG!BA142,'UKG Company Map'!B:E,2,FALSE),"Org Unit 1 Not Mapped")</f>
        <v>0077</v>
      </c>
      <c r="Q142" s="77" t="str">
        <f>UKG!BB142</f>
        <v>0000</v>
      </c>
      <c r="W142" s="77" t="str">
        <f>UKG!Q142</f>
        <v>H0004</v>
      </c>
      <c r="X142" s="18" t="str">
        <f>UKG!BC142</f>
        <v>Default</v>
      </c>
      <c r="Z142" s="18" t="str">
        <f>IFERROR(VLOOKUP(UKG!BA142,'UKG Company Map'!B:G,8,FALSE),"Custom 5 Not Matched")</f>
        <v>Custom 5 Not Matched</v>
      </c>
      <c r="AP142" s="18" t="str">
        <f>IFERROR(VLOOKUP(UKG!BA142,'UKG Company Map'!B:G,4,FALSE),"Custom 21 Exp Group Not Matched")</f>
        <v>0077</v>
      </c>
      <c r="BG142" s="77" t="str">
        <f>UKG!AZ142</f>
        <v>205116</v>
      </c>
      <c r="BK142" s="18" t="s">
        <v>1421</v>
      </c>
      <c r="BL142" s="18" t="s">
        <v>1421</v>
      </c>
      <c r="BU142" s="18" t="str">
        <f>UKG!BL142</f>
        <v>N</v>
      </c>
      <c r="BV142" s="18" t="str">
        <f>UKG!BL142</f>
        <v>N</v>
      </c>
      <c r="CE142" s="18" t="s">
        <v>1421</v>
      </c>
    </row>
    <row r="143" spans="1:83" ht="16" hidden="1" thickBot="1" x14ac:dyDescent="0.25">
      <c r="A143" s="39" t="s">
        <v>1420</v>
      </c>
      <c r="B143" s="77" t="str">
        <f>UKG!BO143</f>
        <v>BENNY</v>
      </c>
      <c r="D143" s="77" t="str">
        <f>UKG!BN143</f>
        <v>DYYK</v>
      </c>
      <c r="E143" s="77" t="str">
        <f>UKG!D143</f>
        <v>205170</v>
      </c>
      <c r="F143" s="77" t="str">
        <f t="shared" si="2"/>
        <v>E205170@onebarnes.com.new.uat</v>
      </c>
      <c r="G143" s="18" t="s">
        <v>1427</v>
      </c>
      <c r="H143" s="77" t="str">
        <f>UKG!AQ143</f>
        <v>E205170@onebarnes.com</v>
      </c>
      <c r="I143" s="18" t="str">
        <f>IFERROR(VLOOKUP(J143,'Language Map'!M:O,3,FALSE),"en_US")</f>
        <v>sv_SE</v>
      </c>
      <c r="J143" s="77" t="str">
        <f>UKG!BF143</f>
        <v>SE</v>
      </c>
      <c r="L143" s="77" t="str">
        <f>IFERROR(VLOOKUP(UKG!BA143,'UKG Company Map'!B:G,7,FALSE),"Ledger Code Not Matched")</f>
        <v>Ledger Code Not Matched</v>
      </c>
      <c r="M143" s="18" t="str">
        <f>UKG!BH143</f>
        <v>SEK</v>
      </c>
      <c r="O143" s="18" t="str">
        <f>UKG!BJ143</f>
        <v>Y</v>
      </c>
      <c r="P143" s="18" t="str">
        <f>IFERROR(VLOOKUP(UKG!BA143,'UKG Company Map'!B:E,2,FALSE),"Org Unit 1 Not Mapped")</f>
        <v>0077</v>
      </c>
      <c r="Q143" s="77" t="str">
        <f>UKG!BB143</f>
        <v>0000</v>
      </c>
      <c r="W143" s="77" t="str">
        <f>UKG!Q143</f>
        <v>H0004</v>
      </c>
      <c r="X143" s="18" t="str">
        <f>UKG!BC143</f>
        <v>Default</v>
      </c>
      <c r="Z143" s="18" t="str">
        <f>IFERROR(VLOOKUP(UKG!BA143,'UKG Company Map'!B:G,8,FALSE),"Custom 5 Not Matched")</f>
        <v>Custom 5 Not Matched</v>
      </c>
      <c r="AP143" s="18" t="str">
        <f>IFERROR(VLOOKUP(UKG!BA143,'UKG Company Map'!B:G,4,FALSE),"Custom 21 Exp Group Not Matched")</f>
        <v>0077</v>
      </c>
      <c r="BG143" s="77" t="str">
        <f>UKG!AZ143</f>
        <v>205383</v>
      </c>
      <c r="BK143" s="18" t="s">
        <v>1421</v>
      </c>
      <c r="BL143" s="18" t="s">
        <v>1421</v>
      </c>
      <c r="BU143" s="18" t="str">
        <f>UKG!BL143</f>
        <v>N</v>
      </c>
      <c r="BV143" s="18" t="str">
        <f>UKG!BL143</f>
        <v>N</v>
      </c>
      <c r="CE143" s="18" t="s">
        <v>1421</v>
      </c>
    </row>
    <row r="144" spans="1:83" ht="16" hidden="1" thickBot="1" x14ac:dyDescent="0.25">
      <c r="A144" s="39" t="s">
        <v>1420</v>
      </c>
      <c r="B144" s="77" t="str">
        <f>UKG!BO144</f>
        <v>MIKAEL</v>
      </c>
      <c r="D144" s="77" t="str">
        <f>UKG!BN144</f>
        <v>EFRAIMSSON</v>
      </c>
      <c r="E144" s="77" t="str">
        <f>UKG!D144</f>
        <v>205139</v>
      </c>
      <c r="F144" s="77" t="str">
        <f t="shared" si="2"/>
        <v>E205139@onebarnes.com.new.uat</v>
      </c>
      <c r="G144" s="18" t="s">
        <v>1427</v>
      </c>
      <c r="H144" s="77" t="str">
        <f>UKG!AQ144</f>
        <v>E205139@onebarnes.com</v>
      </c>
      <c r="I144" s="18" t="str">
        <f>IFERROR(VLOOKUP(J144,'Language Map'!M:O,3,FALSE),"en_US")</f>
        <v>sv_SE</v>
      </c>
      <c r="J144" s="77" t="str">
        <f>UKG!BF144</f>
        <v>SE</v>
      </c>
      <c r="L144" s="77" t="str">
        <f>IFERROR(VLOOKUP(UKG!BA144,'UKG Company Map'!B:G,7,FALSE),"Ledger Code Not Matched")</f>
        <v>Ledger Code Not Matched</v>
      </c>
      <c r="M144" s="18" t="str">
        <f>UKG!BH144</f>
        <v>SEK</v>
      </c>
      <c r="O144" s="18" t="str">
        <f>UKG!BJ144</f>
        <v>Y</v>
      </c>
      <c r="P144" s="18" t="str">
        <f>IFERROR(VLOOKUP(UKG!BA144,'UKG Company Map'!B:E,2,FALSE),"Org Unit 1 Not Mapped")</f>
        <v>0077</v>
      </c>
      <c r="Q144" s="77" t="str">
        <f>UKG!BB144</f>
        <v>0000</v>
      </c>
      <c r="W144" s="77" t="str">
        <f>UKG!Q144</f>
        <v>H0004</v>
      </c>
      <c r="X144" s="18" t="str">
        <f>UKG!BC144</f>
        <v>Default</v>
      </c>
      <c r="Z144" s="18" t="str">
        <f>IFERROR(VLOOKUP(UKG!BA144,'UKG Company Map'!B:G,8,FALSE),"Custom 5 Not Matched")</f>
        <v>Custom 5 Not Matched</v>
      </c>
      <c r="AP144" s="18" t="str">
        <f>IFERROR(VLOOKUP(UKG!BA144,'UKG Company Map'!B:G,4,FALSE),"Custom 21 Exp Group Not Matched")</f>
        <v>0077</v>
      </c>
      <c r="BG144" s="77" t="str">
        <f>UKG!AZ144</f>
        <v>205116</v>
      </c>
      <c r="BK144" s="18" t="s">
        <v>1421</v>
      </c>
      <c r="BL144" s="18" t="s">
        <v>1421</v>
      </c>
      <c r="BU144" s="18" t="str">
        <f>UKG!BL144</f>
        <v>N</v>
      </c>
      <c r="BV144" s="18" t="str">
        <f>UKG!BL144</f>
        <v>N</v>
      </c>
      <c r="CE144" s="18" t="s">
        <v>1421</v>
      </c>
    </row>
    <row r="145" spans="1:83" ht="16" hidden="1" thickBot="1" x14ac:dyDescent="0.25">
      <c r="A145" s="39" t="s">
        <v>1420</v>
      </c>
      <c r="B145" s="77" t="str">
        <f>UKG!BO145</f>
        <v>JONAS</v>
      </c>
      <c r="D145" s="77" t="str">
        <f>UKG!BN145</f>
        <v>EKDAHL</v>
      </c>
      <c r="E145" s="77" t="str">
        <f>UKG!D145</f>
        <v>205108</v>
      </c>
      <c r="F145" s="77" t="str">
        <f t="shared" si="2"/>
        <v>JEkdahl@onebarnes.com.new.uat</v>
      </c>
      <c r="G145" s="18" t="s">
        <v>1427</v>
      </c>
      <c r="H145" s="77" t="str">
        <f>UKG!AQ145</f>
        <v>JEkdahl@onebarnes.com</v>
      </c>
      <c r="I145" s="18" t="str">
        <f>IFERROR(VLOOKUP(J145,'Language Map'!M:O,3,FALSE),"en_US")</f>
        <v>sv_SE</v>
      </c>
      <c r="J145" s="77" t="str">
        <f>UKG!BF145</f>
        <v>SE</v>
      </c>
      <c r="L145" s="77" t="str">
        <f>IFERROR(VLOOKUP(UKG!BA145,'UKG Company Map'!B:G,7,FALSE),"Ledger Code Not Matched")</f>
        <v>Ledger Code Not Matched</v>
      </c>
      <c r="M145" s="18" t="str">
        <f>UKG!BH145</f>
        <v>SEK</v>
      </c>
      <c r="O145" s="18" t="str">
        <f>UKG!BJ145</f>
        <v>Y</v>
      </c>
      <c r="P145" s="18" t="str">
        <f>IFERROR(VLOOKUP(UKG!BA145,'UKG Company Map'!B:E,2,FALSE),"Org Unit 1 Not Mapped")</f>
        <v>0077</v>
      </c>
      <c r="Q145" s="77" t="str">
        <f>UKG!BB145</f>
        <v>0000</v>
      </c>
      <c r="W145" s="77" t="str">
        <f>UKG!Q145</f>
        <v>H0008</v>
      </c>
      <c r="X145" s="18" t="str">
        <f>UKG!BC145</f>
        <v>Default</v>
      </c>
      <c r="Z145" s="18" t="str">
        <f>IFERROR(VLOOKUP(UKG!BA145,'UKG Company Map'!B:G,8,FALSE),"Custom 5 Not Matched")</f>
        <v>Custom 5 Not Matched</v>
      </c>
      <c r="AP145" s="18" t="str">
        <f>IFERROR(VLOOKUP(UKG!BA145,'UKG Company Map'!B:G,4,FALSE),"Custom 21 Exp Group Not Matched")</f>
        <v>0077</v>
      </c>
      <c r="BG145" s="77" t="str">
        <f>UKG!AZ145</f>
        <v>213066</v>
      </c>
      <c r="BK145" s="18" t="s">
        <v>1421</v>
      </c>
      <c r="BL145" s="18" t="s">
        <v>1421</v>
      </c>
      <c r="BU145" s="18" t="str">
        <f>UKG!BL145</f>
        <v>N</v>
      </c>
      <c r="BV145" s="18" t="str">
        <f>UKG!BL145</f>
        <v>N</v>
      </c>
      <c r="CE145" s="18" t="s">
        <v>1421</v>
      </c>
    </row>
    <row r="146" spans="1:83" ht="16" hidden="1" thickBot="1" x14ac:dyDescent="0.25">
      <c r="A146" s="39" t="s">
        <v>1420</v>
      </c>
      <c r="B146" s="77" t="str">
        <f>UKG!BO146</f>
        <v>TOMMY</v>
      </c>
      <c r="D146" s="77" t="str">
        <f>UKG!BN146</f>
        <v>EKMAN</v>
      </c>
      <c r="E146" s="77" t="str">
        <f>UKG!D146</f>
        <v>205254</v>
      </c>
      <c r="F146" s="77" t="str">
        <f t="shared" si="2"/>
        <v>E205254@onebarnes.com.new.uat</v>
      </c>
      <c r="G146" s="18" t="s">
        <v>1427</v>
      </c>
      <c r="H146" s="77" t="str">
        <f>UKG!AQ146</f>
        <v>E205254@onebarnes.com</v>
      </c>
      <c r="I146" s="18" t="str">
        <f>IFERROR(VLOOKUP(J146,'Language Map'!M:O,3,FALSE),"en_US")</f>
        <v>sv_SE</v>
      </c>
      <c r="J146" s="77" t="str">
        <f>UKG!BF146</f>
        <v>SE</v>
      </c>
      <c r="L146" s="77" t="str">
        <f>IFERROR(VLOOKUP(UKG!BA146,'UKG Company Map'!B:G,7,FALSE),"Ledger Code Not Matched")</f>
        <v>Ledger Code Not Matched</v>
      </c>
      <c r="M146" s="18" t="str">
        <f>UKG!BH146</f>
        <v>SEK</v>
      </c>
      <c r="O146" s="18" t="str">
        <f>UKG!BJ146</f>
        <v>Y</v>
      </c>
      <c r="P146" s="18" t="str">
        <f>IFERROR(VLOOKUP(UKG!BA146,'UKG Company Map'!B:E,2,FALSE),"Org Unit 1 Not Mapped")</f>
        <v>0077</v>
      </c>
      <c r="Q146" s="77" t="str">
        <f>UKG!BB146</f>
        <v>0000</v>
      </c>
      <c r="W146" s="77" t="str">
        <f>UKG!Q146</f>
        <v>H0005</v>
      </c>
      <c r="X146" s="18" t="str">
        <f>UKG!BC146</f>
        <v>Default</v>
      </c>
      <c r="Z146" s="18" t="str">
        <f>IFERROR(VLOOKUP(UKG!BA146,'UKG Company Map'!B:G,8,FALSE),"Custom 5 Not Matched")</f>
        <v>Custom 5 Not Matched</v>
      </c>
      <c r="AP146" s="18" t="str">
        <f>IFERROR(VLOOKUP(UKG!BA146,'UKG Company Map'!B:G,4,FALSE),"Custom 21 Exp Group Not Matched")</f>
        <v>0077</v>
      </c>
      <c r="BG146" s="77" t="str">
        <f>UKG!AZ146</f>
        <v>212110</v>
      </c>
      <c r="BK146" s="18" t="s">
        <v>1421</v>
      </c>
      <c r="BL146" s="18" t="s">
        <v>1421</v>
      </c>
      <c r="BU146" s="18" t="str">
        <f>UKG!BL146</f>
        <v>N</v>
      </c>
      <c r="BV146" s="18" t="str">
        <f>UKG!BL146</f>
        <v>N</v>
      </c>
      <c r="CE146" s="18" t="s">
        <v>1421</v>
      </c>
    </row>
    <row r="147" spans="1:83" ht="16" hidden="1" thickBot="1" x14ac:dyDescent="0.25">
      <c r="A147" s="39" t="s">
        <v>1420</v>
      </c>
      <c r="B147" s="77" t="str">
        <f>UKG!BO147</f>
        <v>TOMAS</v>
      </c>
      <c r="D147" s="77" t="str">
        <f>UKG!BN147</f>
        <v>EKSTRÖM</v>
      </c>
      <c r="E147" s="77" t="str">
        <f>UKG!D147</f>
        <v>205098</v>
      </c>
      <c r="F147" s="77" t="str">
        <f t="shared" si="2"/>
        <v>E205098@onebarnes.com.new.uat</v>
      </c>
      <c r="G147" s="18" t="s">
        <v>1427</v>
      </c>
      <c r="H147" s="77" t="str">
        <f>UKG!AQ147</f>
        <v>E205098@onebarnes.com</v>
      </c>
      <c r="I147" s="18" t="str">
        <f>IFERROR(VLOOKUP(J147,'Language Map'!M:O,3,FALSE),"en_US")</f>
        <v>sv_SE</v>
      </c>
      <c r="J147" s="77" t="str">
        <f>UKG!BF147</f>
        <v>SE</v>
      </c>
      <c r="L147" s="77" t="str">
        <f>IFERROR(VLOOKUP(UKG!BA147,'UKG Company Map'!B:G,7,FALSE),"Ledger Code Not Matched")</f>
        <v>Ledger Code Not Matched</v>
      </c>
      <c r="M147" s="18" t="str">
        <f>UKG!BH147</f>
        <v>SEK</v>
      </c>
      <c r="O147" s="18" t="str">
        <f>UKG!BJ147</f>
        <v>Y</v>
      </c>
      <c r="P147" s="18" t="str">
        <f>IFERROR(VLOOKUP(UKG!BA147,'UKG Company Map'!B:E,2,FALSE),"Org Unit 1 Not Mapped")</f>
        <v>0077</v>
      </c>
      <c r="Q147" s="77" t="str">
        <f>UKG!BB147</f>
        <v>0000</v>
      </c>
      <c r="W147" s="77" t="str">
        <f>UKG!Q147</f>
        <v>H0008</v>
      </c>
      <c r="X147" s="18" t="str">
        <f>UKG!BC147</f>
        <v>Default</v>
      </c>
      <c r="Z147" s="18" t="str">
        <f>IFERROR(VLOOKUP(UKG!BA147,'UKG Company Map'!B:G,8,FALSE),"Custom 5 Not Matched")</f>
        <v>Custom 5 Not Matched</v>
      </c>
      <c r="AP147" s="18" t="str">
        <f>IFERROR(VLOOKUP(UKG!BA147,'UKG Company Map'!B:G,4,FALSE),"Custom 21 Exp Group Not Matched")</f>
        <v>0077</v>
      </c>
      <c r="BG147" s="77" t="str">
        <f>UKG!AZ147</f>
        <v>213066</v>
      </c>
      <c r="BK147" s="18" t="s">
        <v>1421</v>
      </c>
      <c r="BL147" s="18" t="s">
        <v>1421</v>
      </c>
      <c r="BU147" s="18" t="str">
        <f>UKG!BL147</f>
        <v>N</v>
      </c>
      <c r="BV147" s="18" t="str">
        <f>UKG!BL147</f>
        <v>N</v>
      </c>
      <c r="CE147" s="18" t="s">
        <v>1421</v>
      </c>
    </row>
    <row r="148" spans="1:83" ht="16" hidden="1" thickBot="1" x14ac:dyDescent="0.25">
      <c r="A148" s="39" t="s">
        <v>1420</v>
      </c>
      <c r="B148" s="77" t="str">
        <f>UKG!BO148</f>
        <v>SUSANNE</v>
      </c>
      <c r="D148" s="77" t="str">
        <f>UKG!BN148</f>
        <v>EKVALL</v>
      </c>
      <c r="E148" s="77" t="str">
        <f>UKG!D148</f>
        <v>205164</v>
      </c>
      <c r="F148" s="77" t="str">
        <f t="shared" si="2"/>
        <v>susanne.ekvall@kaller.com.new.uat</v>
      </c>
      <c r="G148" s="18" t="s">
        <v>1427</v>
      </c>
      <c r="H148" s="77" t="str">
        <f>UKG!AQ148</f>
        <v>susanne.ekvall@kaller.com</v>
      </c>
      <c r="I148" s="18" t="str">
        <f>IFERROR(VLOOKUP(J148,'Language Map'!M:O,3,FALSE),"en_US")</f>
        <v>sv_SE</v>
      </c>
      <c r="J148" s="77" t="str">
        <f>UKG!BF148</f>
        <v>SE</v>
      </c>
      <c r="L148" s="77" t="str">
        <f>IFERROR(VLOOKUP(UKG!BA148,'UKG Company Map'!B:G,7,FALSE),"Ledger Code Not Matched")</f>
        <v>Ledger Code Not Matched</v>
      </c>
      <c r="M148" s="18" t="str">
        <f>UKG!BH148</f>
        <v>SEK</v>
      </c>
      <c r="O148" s="18" t="str">
        <f>UKG!BJ148</f>
        <v>Y</v>
      </c>
      <c r="P148" s="18" t="str">
        <f>IFERROR(VLOOKUP(UKG!BA148,'UKG Company Map'!B:E,2,FALSE),"Org Unit 1 Not Mapped")</f>
        <v>0077</v>
      </c>
      <c r="Q148" s="77" t="str">
        <f>UKG!BB148</f>
        <v>0000</v>
      </c>
      <c r="W148" s="77" t="str">
        <f>UKG!Q148</f>
        <v>H0004</v>
      </c>
      <c r="X148" s="18" t="str">
        <f>UKG!BC148</f>
        <v>Default</v>
      </c>
      <c r="Z148" s="18" t="str">
        <f>IFERROR(VLOOKUP(UKG!BA148,'UKG Company Map'!B:G,8,FALSE),"Custom 5 Not Matched")</f>
        <v>Custom 5 Not Matched</v>
      </c>
      <c r="AP148" s="18" t="str">
        <f>IFERROR(VLOOKUP(UKG!BA148,'UKG Company Map'!B:G,4,FALSE),"Custom 21 Exp Group Not Matched")</f>
        <v>0077</v>
      </c>
      <c r="BG148" s="77" t="str">
        <f>UKG!AZ148</f>
        <v>205383</v>
      </c>
      <c r="BK148" s="18" t="s">
        <v>1421</v>
      </c>
      <c r="BL148" s="18" t="s">
        <v>1421</v>
      </c>
      <c r="BU148" s="18" t="str">
        <f>UKG!BL148</f>
        <v>N</v>
      </c>
      <c r="BV148" s="18" t="str">
        <f>UKG!BL148</f>
        <v>N</v>
      </c>
      <c r="CE148" s="18" t="s">
        <v>1421</v>
      </c>
    </row>
    <row r="149" spans="1:83" ht="16" hidden="1" thickBot="1" x14ac:dyDescent="0.25">
      <c r="A149" s="39" t="s">
        <v>1420</v>
      </c>
      <c r="B149" s="77" t="str">
        <f>UKG!BO149</f>
        <v>MIKAEL</v>
      </c>
      <c r="D149" s="77" t="str">
        <f>UKG!BN149</f>
        <v>ELM</v>
      </c>
      <c r="E149" s="77" t="str">
        <f>UKG!D149</f>
        <v>205102</v>
      </c>
      <c r="F149" s="77" t="str">
        <f t="shared" si="2"/>
        <v>MElm@onebarnes.com.new.uat</v>
      </c>
      <c r="G149" s="18" t="s">
        <v>1427</v>
      </c>
      <c r="H149" s="77" t="str">
        <f>UKG!AQ149</f>
        <v>MElm@onebarnes.com</v>
      </c>
      <c r="I149" s="18" t="str">
        <f>IFERROR(VLOOKUP(J149,'Language Map'!M:O,3,FALSE),"en_US")</f>
        <v>sv_SE</v>
      </c>
      <c r="J149" s="77" t="str">
        <f>UKG!BF149</f>
        <v>SE</v>
      </c>
      <c r="L149" s="77" t="str">
        <f>IFERROR(VLOOKUP(UKG!BA149,'UKG Company Map'!B:G,7,FALSE),"Ledger Code Not Matched")</f>
        <v>Ledger Code Not Matched</v>
      </c>
      <c r="M149" s="18" t="str">
        <f>UKG!BH149</f>
        <v>SEK</v>
      </c>
      <c r="O149" s="18" t="str">
        <f>UKG!BJ149</f>
        <v>Y</v>
      </c>
      <c r="P149" s="18" t="str">
        <f>IFERROR(VLOOKUP(UKG!BA149,'UKG Company Map'!B:E,2,FALSE),"Org Unit 1 Not Mapped")</f>
        <v>0077</v>
      </c>
      <c r="Q149" s="77" t="str">
        <f>UKG!BB149</f>
        <v>0000</v>
      </c>
      <c r="W149" s="77" t="str">
        <f>UKG!Q149</f>
        <v>H0007</v>
      </c>
      <c r="X149" s="18" t="str">
        <f>UKG!BC149</f>
        <v>Default</v>
      </c>
      <c r="Z149" s="18" t="str">
        <f>IFERROR(VLOOKUP(UKG!BA149,'UKG Company Map'!B:G,8,FALSE),"Custom 5 Not Matched")</f>
        <v>Custom 5 Not Matched</v>
      </c>
      <c r="AP149" s="18" t="str">
        <f>IFERROR(VLOOKUP(UKG!BA149,'UKG Company Map'!B:G,4,FALSE),"Custom 21 Exp Group Not Matched")</f>
        <v>0077</v>
      </c>
      <c r="BG149" s="77" t="str">
        <f>UKG!AZ149</f>
        <v>213460</v>
      </c>
      <c r="BK149" s="18" t="s">
        <v>1421</v>
      </c>
      <c r="BL149" s="18" t="s">
        <v>1421</v>
      </c>
      <c r="BU149" s="18" t="str">
        <f>UKG!BL149</f>
        <v>N</v>
      </c>
      <c r="BV149" s="18" t="str">
        <f>UKG!BL149</f>
        <v>N</v>
      </c>
      <c r="CE149" s="18" t="s">
        <v>1421</v>
      </c>
    </row>
    <row r="150" spans="1:83" ht="16" hidden="1" thickBot="1" x14ac:dyDescent="0.25">
      <c r="A150" s="39" t="s">
        <v>1420</v>
      </c>
      <c r="B150" s="77" t="str">
        <f>UKG!BO150</f>
        <v>LARS-OLOV</v>
      </c>
      <c r="D150" s="77" t="str">
        <f>UKG!BN150</f>
        <v>ENGLUND</v>
      </c>
      <c r="E150" s="77" t="str">
        <f>UKG!D150</f>
        <v>205239</v>
      </c>
      <c r="F150" s="77" t="str">
        <f t="shared" ref="F150:F213" si="3">H150&amp;".new.uat"</f>
        <v>E205239@onebarnes.com.new.uat</v>
      </c>
      <c r="G150" s="18" t="s">
        <v>1427</v>
      </c>
      <c r="H150" s="77" t="str">
        <f>UKG!AQ150</f>
        <v>E205239@onebarnes.com</v>
      </c>
      <c r="I150" s="18" t="str">
        <f>IFERROR(VLOOKUP(J150,'Language Map'!M:O,3,FALSE),"en_US")</f>
        <v>sv_SE</v>
      </c>
      <c r="J150" s="77" t="str">
        <f>UKG!BF150</f>
        <v>SE</v>
      </c>
      <c r="L150" s="77" t="str">
        <f>IFERROR(VLOOKUP(UKG!BA150,'UKG Company Map'!B:G,7,FALSE),"Ledger Code Not Matched")</f>
        <v>Ledger Code Not Matched</v>
      </c>
      <c r="M150" s="18" t="str">
        <f>UKG!BH150</f>
        <v>SEK</v>
      </c>
      <c r="O150" s="18" t="str">
        <f>UKG!BJ150</f>
        <v>Y</v>
      </c>
      <c r="P150" s="18" t="str">
        <f>IFERROR(VLOOKUP(UKG!BA150,'UKG Company Map'!B:E,2,FALSE),"Org Unit 1 Not Mapped")</f>
        <v>0077</v>
      </c>
      <c r="Q150" s="77" t="str">
        <f>UKG!BB150</f>
        <v>0000</v>
      </c>
      <c r="W150" s="77" t="str">
        <f>UKG!Q150</f>
        <v>H0005</v>
      </c>
      <c r="X150" s="18" t="str">
        <f>UKG!BC150</f>
        <v>Default</v>
      </c>
      <c r="Z150" s="18" t="str">
        <f>IFERROR(VLOOKUP(UKG!BA150,'UKG Company Map'!B:G,8,FALSE),"Custom 5 Not Matched")</f>
        <v>Custom 5 Not Matched</v>
      </c>
      <c r="AP150" s="18" t="str">
        <f>IFERROR(VLOOKUP(UKG!BA150,'UKG Company Map'!B:G,4,FALSE),"Custom 21 Exp Group Not Matched")</f>
        <v>0077</v>
      </c>
      <c r="BG150" s="77" t="str">
        <f>UKG!AZ150</f>
        <v>212110</v>
      </c>
      <c r="BK150" s="18" t="s">
        <v>1421</v>
      </c>
      <c r="BL150" s="18" t="s">
        <v>1421</v>
      </c>
      <c r="BU150" s="18" t="str">
        <f>UKG!BL150</f>
        <v>N</v>
      </c>
      <c r="BV150" s="18" t="str">
        <f>UKG!BL150</f>
        <v>N</v>
      </c>
      <c r="CE150" s="18" t="s">
        <v>1421</v>
      </c>
    </row>
    <row r="151" spans="1:83" ht="16" hidden="1" thickBot="1" x14ac:dyDescent="0.25">
      <c r="A151" s="39" t="s">
        <v>1420</v>
      </c>
      <c r="B151" s="77" t="str">
        <f>UKG!BO151</f>
        <v>MATTHIAS</v>
      </c>
      <c r="D151" s="77" t="str">
        <f>UKG!BN151</f>
        <v>ENGVALL</v>
      </c>
      <c r="E151" s="77" t="str">
        <f>UKG!D151</f>
        <v>205328</v>
      </c>
      <c r="F151" s="77" t="str">
        <f t="shared" si="3"/>
        <v>E205328@onebarnes.com.new.uat</v>
      </c>
      <c r="G151" s="18" t="s">
        <v>1427</v>
      </c>
      <c r="H151" s="77" t="str">
        <f>UKG!AQ151</f>
        <v>E205328@onebarnes.com</v>
      </c>
      <c r="I151" s="18" t="str">
        <f>IFERROR(VLOOKUP(J151,'Language Map'!M:O,3,FALSE),"en_US")</f>
        <v>sv_SE</v>
      </c>
      <c r="J151" s="77" t="str">
        <f>UKG!BF151</f>
        <v>SE</v>
      </c>
      <c r="L151" s="77" t="str">
        <f>IFERROR(VLOOKUP(UKG!BA151,'UKG Company Map'!B:G,7,FALSE),"Ledger Code Not Matched")</f>
        <v>Ledger Code Not Matched</v>
      </c>
      <c r="M151" s="18" t="str">
        <f>UKG!BH151</f>
        <v>SEK</v>
      </c>
      <c r="O151" s="18" t="str">
        <f>UKG!BJ151</f>
        <v>Y</v>
      </c>
      <c r="P151" s="18" t="str">
        <f>IFERROR(VLOOKUP(UKG!BA151,'UKG Company Map'!B:E,2,FALSE),"Org Unit 1 Not Mapped")</f>
        <v>0077</v>
      </c>
      <c r="Q151" s="77" t="str">
        <f>UKG!BB151</f>
        <v>0000</v>
      </c>
      <c r="W151" s="77" t="str">
        <f>UKG!Q151</f>
        <v>H0005</v>
      </c>
      <c r="X151" s="18" t="str">
        <f>UKG!BC151</f>
        <v>Default</v>
      </c>
      <c r="Z151" s="18" t="str">
        <f>IFERROR(VLOOKUP(UKG!BA151,'UKG Company Map'!B:G,8,FALSE),"Custom 5 Not Matched")</f>
        <v>Custom 5 Not Matched</v>
      </c>
      <c r="AP151" s="18" t="str">
        <f>IFERROR(VLOOKUP(UKG!BA151,'UKG Company Map'!B:G,4,FALSE),"Custom 21 Exp Group Not Matched")</f>
        <v>0077</v>
      </c>
      <c r="BG151" s="77" t="str">
        <f>UKG!AZ151</f>
        <v>205315</v>
      </c>
      <c r="BK151" s="18" t="s">
        <v>1421</v>
      </c>
      <c r="BL151" s="18" t="s">
        <v>1421</v>
      </c>
      <c r="BU151" s="18" t="str">
        <f>UKG!BL151</f>
        <v>N</v>
      </c>
      <c r="BV151" s="18" t="str">
        <f>UKG!BL151</f>
        <v>N</v>
      </c>
      <c r="CE151" s="18" t="s">
        <v>1421</v>
      </c>
    </row>
    <row r="152" spans="1:83" ht="16" hidden="1" thickBot="1" x14ac:dyDescent="0.25">
      <c r="A152" s="39" t="s">
        <v>1420</v>
      </c>
      <c r="B152" s="77" t="str">
        <f>UKG!BO152</f>
        <v>DENNIS</v>
      </c>
      <c r="D152" s="77" t="str">
        <f>UKG!BN152</f>
        <v>FAGERLUND</v>
      </c>
      <c r="E152" s="77" t="str">
        <f>UKG!D152</f>
        <v>205274</v>
      </c>
      <c r="F152" s="77" t="str">
        <f t="shared" si="3"/>
        <v>dfagerlund@onebarnes.com.new.uat</v>
      </c>
      <c r="G152" s="18" t="s">
        <v>1427</v>
      </c>
      <c r="H152" s="77" t="str">
        <f>UKG!AQ152</f>
        <v>dfagerlund@onebarnes.com</v>
      </c>
      <c r="I152" s="18" t="str">
        <f>IFERROR(VLOOKUP(J152,'Language Map'!M:O,3,FALSE),"en_US")</f>
        <v>sv_SE</v>
      </c>
      <c r="J152" s="77" t="str">
        <f>UKG!BF152</f>
        <v>SE</v>
      </c>
      <c r="L152" s="77" t="str">
        <f>IFERROR(VLOOKUP(UKG!BA152,'UKG Company Map'!B:G,7,FALSE),"Ledger Code Not Matched")</f>
        <v>Ledger Code Not Matched</v>
      </c>
      <c r="M152" s="18" t="str">
        <f>UKG!BH152</f>
        <v>SEK</v>
      </c>
      <c r="O152" s="18" t="str">
        <f>UKG!BJ152</f>
        <v>Y</v>
      </c>
      <c r="P152" s="18" t="str">
        <f>IFERROR(VLOOKUP(UKG!BA152,'UKG Company Map'!B:E,2,FALSE),"Org Unit 1 Not Mapped")</f>
        <v>0077</v>
      </c>
      <c r="Q152" s="77" t="str">
        <f>UKG!BB152</f>
        <v>0000</v>
      </c>
      <c r="W152" s="77" t="str">
        <f>UKG!Q152</f>
        <v>H0007</v>
      </c>
      <c r="X152" s="18" t="str">
        <f>UKG!BC152</f>
        <v>Default</v>
      </c>
      <c r="Z152" s="18" t="str">
        <f>IFERROR(VLOOKUP(UKG!BA152,'UKG Company Map'!B:G,8,FALSE),"Custom 5 Not Matched")</f>
        <v>Custom 5 Not Matched</v>
      </c>
      <c r="AP152" s="18" t="str">
        <f>IFERROR(VLOOKUP(UKG!BA152,'UKG Company Map'!B:G,4,FALSE),"Custom 21 Exp Group Not Matched")</f>
        <v>0077</v>
      </c>
      <c r="BG152" s="77" t="str">
        <f>UKG!AZ152</f>
        <v>213460</v>
      </c>
      <c r="BK152" s="18" t="s">
        <v>1421</v>
      </c>
      <c r="BL152" s="18" t="s">
        <v>1421</v>
      </c>
      <c r="BU152" s="18" t="str">
        <f>UKG!BL152</f>
        <v>N</v>
      </c>
      <c r="BV152" s="18" t="str">
        <f>UKG!BL152</f>
        <v>N</v>
      </c>
      <c r="CE152" s="18" t="s">
        <v>1421</v>
      </c>
    </row>
    <row r="153" spans="1:83" ht="16" hidden="1" thickBot="1" x14ac:dyDescent="0.25">
      <c r="A153" s="39" t="s">
        <v>1420</v>
      </c>
      <c r="B153" s="77" t="str">
        <f>UKG!BO153</f>
        <v>SIMON</v>
      </c>
      <c r="D153" s="77" t="str">
        <f>UKG!BN153</f>
        <v>FAGERLUND</v>
      </c>
      <c r="E153" s="77" t="str">
        <f>UKG!D153</f>
        <v>205273</v>
      </c>
      <c r="F153" s="77" t="str">
        <f t="shared" si="3"/>
        <v>simon.fagerlund@kaller.com.new.uat</v>
      </c>
      <c r="G153" s="18" t="s">
        <v>1427</v>
      </c>
      <c r="H153" s="77" t="str">
        <f>UKG!AQ153</f>
        <v>simon.fagerlund@kaller.com</v>
      </c>
      <c r="I153" s="18" t="str">
        <f>IFERROR(VLOOKUP(J153,'Language Map'!M:O,3,FALSE),"en_US")</f>
        <v>sv_SE</v>
      </c>
      <c r="J153" s="77" t="str">
        <f>UKG!BF153</f>
        <v>SE</v>
      </c>
      <c r="L153" s="77" t="str">
        <f>IFERROR(VLOOKUP(UKG!BA153,'UKG Company Map'!B:G,7,FALSE),"Ledger Code Not Matched")</f>
        <v>Ledger Code Not Matched</v>
      </c>
      <c r="M153" s="18" t="str">
        <f>UKG!BH153</f>
        <v>SEK</v>
      </c>
      <c r="O153" s="18" t="str">
        <f>UKG!BJ153</f>
        <v>Y</v>
      </c>
      <c r="P153" s="18" t="str">
        <f>IFERROR(VLOOKUP(UKG!BA153,'UKG Company Map'!B:E,2,FALSE),"Org Unit 1 Not Mapped")</f>
        <v>0077</v>
      </c>
      <c r="Q153" s="77" t="str">
        <f>UKG!BB153</f>
        <v>0000</v>
      </c>
      <c r="W153" s="77" t="str">
        <f>UKG!Q153</f>
        <v>H0004</v>
      </c>
      <c r="X153" s="18" t="str">
        <f>UKG!BC153</f>
        <v>Default</v>
      </c>
      <c r="Z153" s="18" t="str">
        <f>IFERROR(VLOOKUP(UKG!BA153,'UKG Company Map'!B:G,8,FALSE),"Custom 5 Not Matched")</f>
        <v>Custom 5 Not Matched</v>
      </c>
      <c r="AP153" s="18" t="str">
        <f>IFERROR(VLOOKUP(UKG!BA153,'UKG Company Map'!B:G,4,FALSE),"Custom 21 Exp Group Not Matched")</f>
        <v>0077</v>
      </c>
      <c r="BG153" s="77" t="str">
        <f>UKG!AZ153</f>
        <v>205380</v>
      </c>
      <c r="BK153" s="18" t="s">
        <v>1421</v>
      </c>
      <c r="BL153" s="18" t="s">
        <v>1421</v>
      </c>
      <c r="BU153" s="18" t="str">
        <f>UKG!BL153</f>
        <v>N</v>
      </c>
      <c r="BV153" s="18" t="str">
        <f>UKG!BL153</f>
        <v>N</v>
      </c>
      <c r="CE153" s="18" t="s">
        <v>1421</v>
      </c>
    </row>
    <row r="154" spans="1:83" ht="16" hidden="1" thickBot="1" x14ac:dyDescent="0.25">
      <c r="A154" s="39" t="s">
        <v>1420</v>
      </c>
      <c r="B154" s="77" t="str">
        <f>UKG!BO154</f>
        <v>HASSAN</v>
      </c>
      <c r="D154" s="77" t="str">
        <f>UKG!BN154</f>
        <v>FEIZY</v>
      </c>
      <c r="E154" s="77" t="str">
        <f>UKG!D154</f>
        <v>207159</v>
      </c>
      <c r="F154" s="77" t="str">
        <f t="shared" si="3"/>
        <v>E205159@onebarnes.com.new.uat</v>
      </c>
      <c r="G154" s="18" t="s">
        <v>1427</v>
      </c>
      <c r="H154" s="77" t="str">
        <f>UKG!AQ154</f>
        <v>E205159@onebarnes.com</v>
      </c>
      <c r="I154" s="18" t="str">
        <f>IFERROR(VLOOKUP(J154,'Language Map'!M:O,3,FALSE),"en_US")</f>
        <v>sv_SE</v>
      </c>
      <c r="J154" s="77" t="str">
        <f>UKG!BF154</f>
        <v>SE</v>
      </c>
      <c r="L154" s="77" t="str">
        <f>IFERROR(VLOOKUP(UKG!BA154,'UKG Company Map'!B:G,7,FALSE),"Ledger Code Not Matched")</f>
        <v>Ledger Code Not Matched</v>
      </c>
      <c r="M154" s="18" t="str">
        <f>UKG!BH154</f>
        <v>SEK</v>
      </c>
      <c r="O154" s="18" t="str">
        <f>UKG!BJ154</f>
        <v>Y</v>
      </c>
      <c r="P154" s="18" t="str">
        <f>IFERROR(VLOOKUP(UKG!BA154,'UKG Company Map'!B:E,2,FALSE),"Org Unit 1 Not Mapped")</f>
        <v>0077</v>
      </c>
      <c r="Q154" s="77" t="str">
        <f>UKG!BB154</f>
        <v>0000</v>
      </c>
      <c r="W154" s="77" t="str">
        <f>UKG!Q154</f>
        <v>H0005</v>
      </c>
      <c r="X154" s="18" t="str">
        <f>UKG!BC154</f>
        <v>Default</v>
      </c>
      <c r="Z154" s="18" t="str">
        <f>IFERROR(VLOOKUP(UKG!BA154,'UKG Company Map'!B:G,8,FALSE),"Custom 5 Not Matched")</f>
        <v>Custom 5 Not Matched</v>
      </c>
      <c r="AP154" s="18" t="str">
        <f>IFERROR(VLOOKUP(UKG!BA154,'UKG Company Map'!B:G,4,FALSE),"Custom 21 Exp Group Not Matched")</f>
        <v>0077</v>
      </c>
      <c r="BG154" s="77" t="str">
        <f>UKG!AZ154</f>
        <v>205315</v>
      </c>
      <c r="BK154" s="18" t="s">
        <v>1421</v>
      </c>
      <c r="BL154" s="18" t="s">
        <v>1421</v>
      </c>
      <c r="BU154" s="18" t="str">
        <f>UKG!BL154</f>
        <v>N</v>
      </c>
      <c r="BV154" s="18" t="str">
        <f>UKG!BL154</f>
        <v>N</v>
      </c>
      <c r="CE154" s="18" t="s">
        <v>1421</v>
      </c>
    </row>
    <row r="155" spans="1:83" ht="16" hidden="1" thickBot="1" x14ac:dyDescent="0.25">
      <c r="A155" s="39" t="s">
        <v>1420</v>
      </c>
      <c r="B155" s="77" t="str">
        <f>UKG!BO155</f>
        <v>VIKTOR</v>
      </c>
      <c r="D155" s="77" t="str">
        <f>UKG!BN155</f>
        <v>FOGELIN</v>
      </c>
      <c r="E155" s="77" t="str">
        <f>UKG!D155</f>
        <v>205232</v>
      </c>
      <c r="F155" s="77" t="str">
        <f t="shared" si="3"/>
        <v>E205232@onebarnes.com.new.uat</v>
      </c>
      <c r="G155" s="18" t="s">
        <v>1427</v>
      </c>
      <c r="H155" s="77" t="str">
        <f>UKG!AQ155</f>
        <v>E205232@onebarnes.com</v>
      </c>
      <c r="I155" s="18" t="str">
        <f>IFERROR(VLOOKUP(J155,'Language Map'!M:O,3,FALSE),"en_US")</f>
        <v>sv_SE</v>
      </c>
      <c r="J155" s="77" t="str">
        <f>UKG!BF155</f>
        <v>SE</v>
      </c>
      <c r="L155" s="77" t="str">
        <f>IFERROR(VLOOKUP(UKG!BA155,'UKG Company Map'!B:G,7,FALSE),"Ledger Code Not Matched")</f>
        <v>Ledger Code Not Matched</v>
      </c>
      <c r="M155" s="18" t="str">
        <f>UKG!BH155</f>
        <v>SEK</v>
      </c>
      <c r="O155" s="18" t="str">
        <f>UKG!BJ155</f>
        <v>Y</v>
      </c>
      <c r="P155" s="18" t="str">
        <f>IFERROR(VLOOKUP(UKG!BA155,'UKG Company Map'!B:E,2,FALSE),"Org Unit 1 Not Mapped")</f>
        <v>0077</v>
      </c>
      <c r="Q155" s="77" t="str">
        <f>UKG!BB155</f>
        <v>0000</v>
      </c>
      <c r="W155" s="77" t="str">
        <f>UKG!Q155</f>
        <v>H0000</v>
      </c>
      <c r="X155" s="18" t="str">
        <f>UKG!BC155</f>
        <v>Default</v>
      </c>
      <c r="Z155" s="18" t="str">
        <f>IFERROR(VLOOKUP(UKG!BA155,'UKG Company Map'!B:G,8,FALSE),"Custom 5 Not Matched")</f>
        <v>Custom 5 Not Matched</v>
      </c>
      <c r="AP155" s="18" t="str">
        <f>IFERROR(VLOOKUP(UKG!BA155,'UKG Company Map'!B:G,4,FALSE),"Custom 21 Exp Group Not Matched")</f>
        <v>0077</v>
      </c>
      <c r="BG155" s="77" t="str">
        <f>UKG!AZ155</f>
        <v>205380</v>
      </c>
      <c r="BK155" s="18" t="s">
        <v>1421</v>
      </c>
      <c r="BL155" s="18" t="s">
        <v>1421</v>
      </c>
      <c r="BU155" s="18" t="str">
        <f>UKG!BL155</f>
        <v>N</v>
      </c>
      <c r="BV155" s="18" t="str">
        <f>UKG!BL155</f>
        <v>N</v>
      </c>
      <c r="CE155" s="18" t="s">
        <v>1421</v>
      </c>
    </row>
    <row r="156" spans="1:83" ht="16" hidden="1" thickBot="1" x14ac:dyDescent="0.25">
      <c r="A156" s="39" t="s">
        <v>1420</v>
      </c>
      <c r="B156" s="77" t="str">
        <f>UKG!BO156</f>
        <v>ANDERS</v>
      </c>
      <c r="D156" s="77" t="str">
        <f>UKG!BN156</f>
        <v>FORSLUND</v>
      </c>
      <c r="E156" s="77" t="str">
        <f>UKG!D156</f>
        <v>205107</v>
      </c>
      <c r="F156" s="77" t="str">
        <f t="shared" si="3"/>
        <v>AForslund@onebarnes.com.new.uat</v>
      </c>
      <c r="G156" s="18" t="s">
        <v>1427</v>
      </c>
      <c r="H156" s="77" t="str">
        <f>UKG!AQ156</f>
        <v>AForslund@onebarnes.com</v>
      </c>
      <c r="I156" s="18" t="str">
        <f>IFERROR(VLOOKUP(J156,'Language Map'!M:O,3,FALSE),"en_US")</f>
        <v>sv_SE</v>
      </c>
      <c r="J156" s="77" t="str">
        <f>UKG!BF156</f>
        <v>SE</v>
      </c>
      <c r="L156" s="77" t="str">
        <f>IFERROR(VLOOKUP(UKG!BA156,'UKG Company Map'!B:G,7,FALSE),"Ledger Code Not Matched")</f>
        <v>Ledger Code Not Matched</v>
      </c>
      <c r="M156" s="18" t="str">
        <f>UKG!BH156</f>
        <v>SEK</v>
      </c>
      <c r="O156" s="18" t="str">
        <f>UKG!BJ156</f>
        <v>Y</v>
      </c>
      <c r="P156" s="18" t="str">
        <f>IFERROR(VLOOKUP(UKG!BA156,'UKG Company Map'!B:E,2,FALSE),"Org Unit 1 Not Mapped")</f>
        <v>0077</v>
      </c>
      <c r="Q156" s="77" t="str">
        <f>UKG!BB156</f>
        <v>0000</v>
      </c>
      <c r="W156" s="77" t="str">
        <f>UKG!Q156</f>
        <v>H0005</v>
      </c>
      <c r="X156" s="18" t="str">
        <f>UKG!BC156</f>
        <v>Default</v>
      </c>
      <c r="Z156" s="18" t="str">
        <f>IFERROR(VLOOKUP(UKG!BA156,'UKG Company Map'!B:G,8,FALSE),"Custom 5 Not Matched")</f>
        <v>Custom 5 Not Matched</v>
      </c>
      <c r="AP156" s="18" t="str">
        <f>IFERROR(VLOOKUP(UKG!BA156,'UKG Company Map'!B:G,4,FALSE),"Custom 21 Exp Group Not Matched")</f>
        <v>0077</v>
      </c>
      <c r="BG156" s="77" t="str">
        <f>UKG!AZ156</f>
        <v>213066</v>
      </c>
      <c r="BK156" s="18" t="s">
        <v>1421</v>
      </c>
      <c r="BL156" s="18" t="s">
        <v>1421</v>
      </c>
      <c r="BU156" s="18" t="str">
        <f>UKG!BL156</f>
        <v>N</v>
      </c>
      <c r="BV156" s="18" t="str">
        <f>UKG!BL156</f>
        <v>N</v>
      </c>
      <c r="CE156" s="18" t="s">
        <v>1421</v>
      </c>
    </row>
    <row r="157" spans="1:83" ht="16" hidden="1" thickBot="1" x14ac:dyDescent="0.25">
      <c r="A157" s="39" t="s">
        <v>1420</v>
      </c>
      <c r="B157" s="77" t="str">
        <f>UKG!BO157</f>
        <v>LINUS</v>
      </c>
      <c r="D157" s="77" t="str">
        <f>UKG!BN157</f>
        <v>FREDRIKSSON</v>
      </c>
      <c r="E157" s="77" t="str">
        <f>UKG!D157</f>
        <v>205125</v>
      </c>
      <c r="F157" s="77" t="str">
        <f t="shared" si="3"/>
        <v>linus.fredriksson@kaller.com.new.uat</v>
      </c>
      <c r="G157" s="18" t="s">
        <v>1427</v>
      </c>
      <c r="H157" s="77" t="str">
        <f>UKG!AQ157</f>
        <v>linus.fredriksson@kaller.com</v>
      </c>
      <c r="I157" s="18" t="str">
        <f>IFERROR(VLOOKUP(J157,'Language Map'!M:O,3,FALSE),"en_US")</f>
        <v>sv_SE</v>
      </c>
      <c r="J157" s="77" t="str">
        <f>UKG!BF157</f>
        <v>SE</v>
      </c>
      <c r="L157" s="77" t="str">
        <f>IFERROR(VLOOKUP(UKG!BA157,'UKG Company Map'!B:G,7,FALSE),"Ledger Code Not Matched")</f>
        <v>Ledger Code Not Matched</v>
      </c>
      <c r="M157" s="18" t="str">
        <f>UKG!BH157</f>
        <v>SEK</v>
      </c>
      <c r="O157" s="18" t="str">
        <f>UKG!BJ157</f>
        <v>Y</v>
      </c>
      <c r="P157" s="18" t="str">
        <f>IFERROR(VLOOKUP(UKG!BA157,'UKG Company Map'!B:E,2,FALSE),"Org Unit 1 Not Mapped")</f>
        <v>0077</v>
      </c>
      <c r="Q157" s="77" t="str">
        <f>UKG!BB157</f>
        <v>0000</v>
      </c>
      <c r="W157" s="77" t="str">
        <f>UKG!Q157</f>
        <v>H0004</v>
      </c>
      <c r="X157" s="18" t="str">
        <f>UKG!BC157</f>
        <v>Default</v>
      </c>
      <c r="Z157" s="18" t="str">
        <f>IFERROR(VLOOKUP(UKG!BA157,'UKG Company Map'!B:G,8,FALSE),"Custom 5 Not Matched")</f>
        <v>Custom 5 Not Matched</v>
      </c>
      <c r="AP157" s="18" t="str">
        <f>IFERROR(VLOOKUP(UKG!BA157,'UKG Company Map'!B:G,4,FALSE),"Custom 21 Exp Group Not Matched")</f>
        <v>0077</v>
      </c>
      <c r="BG157" s="77" t="str">
        <f>UKG!AZ157</f>
        <v>205380</v>
      </c>
      <c r="BK157" s="18" t="s">
        <v>1421</v>
      </c>
      <c r="BL157" s="18" t="s">
        <v>1421</v>
      </c>
      <c r="BU157" s="18" t="str">
        <f>UKG!BL157</f>
        <v>N</v>
      </c>
      <c r="BV157" s="18" t="str">
        <f>UKG!BL157</f>
        <v>N</v>
      </c>
      <c r="CE157" s="18" t="s">
        <v>1421</v>
      </c>
    </row>
    <row r="158" spans="1:83" ht="16" hidden="1" thickBot="1" x14ac:dyDescent="0.25">
      <c r="A158" s="39" t="s">
        <v>1420</v>
      </c>
      <c r="B158" s="77" t="str">
        <f>UKG!BO158</f>
        <v>CHRISTOPHER</v>
      </c>
      <c r="D158" s="77" t="str">
        <f>UKG!BN158</f>
        <v>FRIBERG</v>
      </c>
      <c r="E158" s="77" t="str">
        <f>UKG!D158</f>
        <v>205191</v>
      </c>
      <c r="F158" s="77" t="str">
        <f t="shared" si="3"/>
        <v>E205191@onebarnes.com.new.uat</v>
      </c>
      <c r="G158" s="18" t="s">
        <v>1427</v>
      </c>
      <c r="H158" s="77" t="str">
        <f>UKG!AQ158</f>
        <v>E205191@onebarnes.com</v>
      </c>
      <c r="I158" s="18" t="str">
        <f>IFERROR(VLOOKUP(J158,'Language Map'!M:O,3,FALSE),"en_US")</f>
        <v>sv_SE</v>
      </c>
      <c r="J158" s="77" t="str">
        <f>UKG!BF158</f>
        <v>SE</v>
      </c>
      <c r="L158" s="77" t="str">
        <f>IFERROR(VLOOKUP(UKG!BA158,'UKG Company Map'!B:G,7,FALSE),"Ledger Code Not Matched")</f>
        <v>Ledger Code Not Matched</v>
      </c>
      <c r="M158" s="18" t="str">
        <f>UKG!BH158</f>
        <v>SEK</v>
      </c>
      <c r="O158" s="18" t="str">
        <f>UKG!BJ158</f>
        <v>Y</v>
      </c>
      <c r="P158" s="18" t="str">
        <f>IFERROR(VLOOKUP(UKG!BA158,'UKG Company Map'!B:E,2,FALSE),"Org Unit 1 Not Mapped")</f>
        <v>0077</v>
      </c>
      <c r="Q158" s="77" t="str">
        <f>UKG!BB158</f>
        <v>0000</v>
      </c>
      <c r="W158" s="77" t="str">
        <f>UKG!Q158</f>
        <v>H0005</v>
      </c>
      <c r="X158" s="18" t="str">
        <f>UKG!BC158</f>
        <v>Default</v>
      </c>
      <c r="Z158" s="18" t="str">
        <f>IFERROR(VLOOKUP(UKG!BA158,'UKG Company Map'!B:G,8,FALSE),"Custom 5 Not Matched")</f>
        <v>Custom 5 Not Matched</v>
      </c>
      <c r="AP158" s="18" t="str">
        <f>IFERROR(VLOOKUP(UKG!BA158,'UKG Company Map'!B:G,4,FALSE),"Custom 21 Exp Group Not Matched")</f>
        <v>0077</v>
      </c>
      <c r="BG158" s="77" t="str">
        <f>UKG!AZ158</f>
        <v>205315</v>
      </c>
      <c r="BK158" s="18" t="s">
        <v>1421</v>
      </c>
      <c r="BL158" s="18" t="s">
        <v>1421</v>
      </c>
      <c r="BU158" s="18" t="str">
        <f>UKG!BL158</f>
        <v>N</v>
      </c>
      <c r="BV158" s="18" t="str">
        <f>UKG!BL158</f>
        <v>N</v>
      </c>
      <c r="CE158" s="18" t="s">
        <v>1421</v>
      </c>
    </row>
    <row r="159" spans="1:83" ht="16" hidden="1" thickBot="1" x14ac:dyDescent="0.25">
      <c r="A159" s="39" t="s">
        <v>1420</v>
      </c>
      <c r="B159" s="77" t="str">
        <f>UKG!BO159</f>
        <v>STEFAN</v>
      </c>
      <c r="D159" s="77" t="str">
        <f>UKG!BN159</f>
        <v>FRISK</v>
      </c>
      <c r="E159" s="77" t="str">
        <f>UKG!D159</f>
        <v>205253</v>
      </c>
      <c r="F159" s="77" t="str">
        <f t="shared" si="3"/>
        <v>E205253@onebarnes.com.new.uat</v>
      </c>
      <c r="G159" s="18" t="s">
        <v>1427</v>
      </c>
      <c r="H159" s="77" t="str">
        <f>UKG!AQ159</f>
        <v>E205253@onebarnes.com</v>
      </c>
      <c r="I159" s="18" t="str">
        <f>IFERROR(VLOOKUP(J159,'Language Map'!M:O,3,FALSE),"en_US")</f>
        <v>sv_SE</v>
      </c>
      <c r="J159" s="77" t="str">
        <f>UKG!BF159</f>
        <v>SE</v>
      </c>
      <c r="L159" s="77" t="str">
        <f>IFERROR(VLOOKUP(UKG!BA159,'UKG Company Map'!B:G,7,FALSE),"Ledger Code Not Matched")</f>
        <v>Ledger Code Not Matched</v>
      </c>
      <c r="M159" s="18" t="str">
        <f>UKG!BH159</f>
        <v>SEK</v>
      </c>
      <c r="O159" s="18" t="str">
        <f>UKG!BJ159</f>
        <v>Y</v>
      </c>
      <c r="P159" s="18" t="str">
        <f>IFERROR(VLOOKUP(UKG!BA159,'UKG Company Map'!B:E,2,FALSE),"Org Unit 1 Not Mapped")</f>
        <v>0077</v>
      </c>
      <c r="Q159" s="77" t="str">
        <f>UKG!BB159</f>
        <v>0000</v>
      </c>
      <c r="W159" s="77" t="str">
        <f>UKG!Q159</f>
        <v>H0005</v>
      </c>
      <c r="X159" s="18" t="str">
        <f>UKG!BC159</f>
        <v>Default</v>
      </c>
      <c r="Z159" s="18" t="str">
        <f>IFERROR(VLOOKUP(UKG!BA159,'UKG Company Map'!B:G,8,FALSE),"Custom 5 Not Matched")</f>
        <v>Custom 5 Not Matched</v>
      </c>
      <c r="AP159" s="18" t="str">
        <f>IFERROR(VLOOKUP(UKG!BA159,'UKG Company Map'!B:G,4,FALSE),"Custom 21 Exp Group Not Matched")</f>
        <v>0077</v>
      </c>
      <c r="BG159" s="77" t="str">
        <f>UKG!AZ159</f>
        <v>212110</v>
      </c>
      <c r="BK159" s="18" t="s">
        <v>1421</v>
      </c>
      <c r="BL159" s="18" t="s">
        <v>1421</v>
      </c>
      <c r="BU159" s="18" t="str">
        <f>UKG!BL159</f>
        <v>N</v>
      </c>
      <c r="BV159" s="18" t="str">
        <f>UKG!BL159</f>
        <v>N</v>
      </c>
      <c r="CE159" s="18" t="s">
        <v>1421</v>
      </c>
    </row>
    <row r="160" spans="1:83" ht="16" hidden="1" thickBot="1" x14ac:dyDescent="0.25">
      <c r="A160" s="39" t="s">
        <v>1420</v>
      </c>
      <c r="B160" s="77" t="str">
        <f>UKG!BO160</f>
        <v>MIKAEL</v>
      </c>
      <c r="D160" s="77" t="str">
        <f>UKG!BN160</f>
        <v>FRÖJD</v>
      </c>
      <c r="E160" s="77" t="str">
        <f>UKG!D160</f>
        <v>205215</v>
      </c>
      <c r="F160" s="77" t="str">
        <f t="shared" si="3"/>
        <v>mikael.frojd@kaller.com.new.uat</v>
      </c>
      <c r="G160" s="18" t="s">
        <v>1427</v>
      </c>
      <c r="H160" s="77" t="str">
        <f>UKG!AQ160</f>
        <v>mikael.frojd@kaller.com</v>
      </c>
      <c r="I160" s="18" t="str">
        <f>IFERROR(VLOOKUP(J160,'Language Map'!M:O,3,FALSE),"en_US")</f>
        <v>sv_SE</v>
      </c>
      <c r="J160" s="77" t="str">
        <f>UKG!BF160</f>
        <v>SE</v>
      </c>
      <c r="L160" s="77" t="str">
        <f>IFERROR(VLOOKUP(UKG!BA160,'UKG Company Map'!B:G,7,FALSE),"Ledger Code Not Matched")</f>
        <v>Ledger Code Not Matched</v>
      </c>
      <c r="M160" s="18" t="str">
        <f>UKG!BH160</f>
        <v>SEK</v>
      </c>
      <c r="O160" s="18" t="str">
        <f>UKG!BJ160</f>
        <v>Y</v>
      </c>
      <c r="P160" s="18" t="str">
        <f>IFERROR(VLOOKUP(UKG!BA160,'UKG Company Map'!B:E,2,FALSE),"Org Unit 1 Not Mapped")</f>
        <v>0077</v>
      </c>
      <c r="Q160" s="77" t="str">
        <f>UKG!BB160</f>
        <v>0000</v>
      </c>
      <c r="W160" s="77" t="str">
        <f>UKG!Q160</f>
        <v>H0004</v>
      </c>
      <c r="X160" s="18" t="str">
        <f>UKG!BC160</f>
        <v>Default</v>
      </c>
      <c r="Z160" s="18" t="str">
        <f>IFERROR(VLOOKUP(UKG!BA160,'UKG Company Map'!B:G,8,FALSE),"Custom 5 Not Matched")</f>
        <v>Custom 5 Not Matched</v>
      </c>
      <c r="AP160" s="18" t="str">
        <f>IFERROR(VLOOKUP(UKG!BA160,'UKG Company Map'!B:G,4,FALSE),"Custom 21 Exp Group Not Matched")</f>
        <v>0077</v>
      </c>
      <c r="BG160" s="77" t="str">
        <f>UKG!AZ160</f>
        <v>205380</v>
      </c>
      <c r="BK160" s="18" t="s">
        <v>1421</v>
      </c>
      <c r="BL160" s="18" t="s">
        <v>1421</v>
      </c>
      <c r="BU160" s="18" t="str">
        <f>UKG!BL160</f>
        <v>N</v>
      </c>
      <c r="BV160" s="18" t="str">
        <f>UKG!BL160</f>
        <v>N</v>
      </c>
      <c r="CE160" s="18" t="s">
        <v>1421</v>
      </c>
    </row>
    <row r="161" spans="1:83" ht="16" hidden="1" thickBot="1" x14ac:dyDescent="0.25">
      <c r="A161" s="39" t="s">
        <v>1420</v>
      </c>
      <c r="B161" s="77" t="str">
        <f>UKG!BO161</f>
        <v>MELIS</v>
      </c>
      <c r="D161" s="77" t="str">
        <f>UKG!BN161</f>
        <v>GAZIC</v>
      </c>
      <c r="E161" s="77" t="str">
        <f>UKG!D161</f>
        <v>205344</v>
      </c>
      <c r="F161" s="77" t="str">
        <f t="shared" si="3"/>
        <v>E205344@onebarnes.com.new.uat</v>
      </c>
      <c r="G161" s="18" t="s">
        <v>1427</v>
      </c>
      <c r="H161" s="77" t="str">
        <f>UKG!AQ161</f>
        <v>E205344@onebarnes.com</v>
      </c>
      <c r="I161" s="18" t="str">
        <f>IFERROR(VLOOKUP(J161,'Language Map'!M:O,3,FALSE),"en_US")</f>
        <v>sv_SE</v>
      </c>
      <c r="J161" s="77" t="str">
        <f>UKG!BF161</f>
        <v>SE</v>
      </c>
      <c r="L161" s="77" t="str">
        <f>IFERROR(VLOOKUP(UKG!BA161,'UKG Company Map'!B:G,7,FALSE),"Ledger Code Not Matched")</f>
        <v>Ledger Code Not Matched</v>
      </c>
      <c r="M161" s="18" t="str">
        <f>UKG!BH161</f>
        <v>SEK</v>
      </c>
      <c r="O161" s="18" t="str">
        <f>UKG!BJ161</f>
        <v>Y</v>
      </c>
      <c r="P161" s="18" t="str">
        <f>IFERROR(VLOOKUP(UKG!BA161,'UKG Company Map'!B:E,2,FALSE),"Org Unit 1 Not Mapped")</f>
        <v>0077</v>
      </c>
      <c r="Q161" s="77" t="str">
        <f>UKG!BB161</f>
        <v>0000</v>
      </c>
      <c r="W161" s="77" t="str">
        <f>UKG!Q161</f>
        <v>H0004</v>
      </c>
      <c r="X161" s="18" t="str">
        <f>UKG!BC161</f>
        <v>Default</v>
      </c>
      <c r="Z161" s="18" t="str">
        <f>IFERROR(VLOOKUP(UKG!BA161,'UKG Company Map'!B:G,8,FALSE),"Custom 5 Not Matched")</f>
        <v>Custom 5 Not Matched</v>
      </c>
      <c r="AP161" s="18" t="str">
        <f>IFERROR(VLOOKUP(UKG!BA161,'UKG Company Map'!B:G,4,FALSE),"Custom 21 Exp Group Not Matched")</f>
        <v>0077</v>
      </c>
      <c r="BG161" s="77" t="str">
        <f>UKG!AZ161</f>
        <v>205116</v>
      </c>
      <c r="BK161" s="18" t="s">
        <v>1421</v>
      </c>
      <c r="BL161" s="18" t="s">
        <v>1421</v>
      </c>
      <c r="BU161" s="18" t="str">
        <f>UKG!BL161</f>
        <v>N</v>
      </c>
      <c r="BV161" s="18" t="str">
        <f>UKG!BL161</f>
        <v>N</v>
      </c>
      <c r="CE161" s="18" t="s">
        <v>1421</v>
      </c>
    </row>
    <row r="162" spans="1:83" ht="16" hidden="1" thickBot="1" x14ac:dyDescent="0.25">
      <c r="A162" s="39" t="s">
        <v>1420</v>
      </c>
      <c r="B162" s="77" t="str">
        <f>UKG!BO162</f>
        <v>AJSELA</v>
      </c>
      <c r="D162" s="77" t="str">
        <f>UKG!BN162</f>
        <v>GOJAK</v>
      </c>
      <c r="E162" s="77" t="str">
        <f>UKG!D162</f>
        <v>205229</v>
      </c>
      <c r="F162" s="77" t="str">
        <f t="shared" si="3"/>
        <v>agojak@onebarnes.com.new.uat</v>
      </c>
      <c r="G162" s="18" t="s">
        <v>1427</v>
      </c>
      <c r="H162" s="77" t="str">
        <f>UKG!AQ162</f>
        <v>agojak@onebarnes.com</v>
      </c>
      <c r="I162" s="18" t="str">
        <f>IFERROR(VLOOKUP(J162,'Language Map'!M:O,3,FALSE),"en_US")</f>
        <v>sv_SE</v>
      </c>
      <c r="J162" s="77" t="str">
        <f>UKG!BF162</f>
        <v>SE</v>
      </c>
      <c r="L162" s="77" t="str">
        <f>IFERROR(VLOOKUP(UKG!BA162,'UKG Company Map'!B:G,7,FALSE),"Ledger Code Not Matched")</f>
        <v>Ledger Code Not Matched</v>
      </c>
      <c r="M162" s="18" t="str">
        <f>UKG!BH162</f>
        <v>SEK</v>
      </c>
      <c r="O162" s="18" t="str">
        <f>UKG!BJ162</f>
        <v>Y</v>
      </c>
      <c r="P162" s="18" t="str">
        <f>IFERROR(VLOOKUP(UKG!BA162,'UKG Company Map'!B:E,2,FALSE),"Org Unit 1 Not Mapped")</f>
        <v>0077</v>
      </c>
      <c r="Q162" s="77" t="str">
        <f>UKG!BB162</f>
        <v>0000</v>
      </c>
      <c r="W162" s="77" t="str">
        <f>UKG!Q162</f>
        <v>H0004</v>
      </c>
      <c r="X162" s="18" t="str">
        <f>UKG!BC162</f>
        <v>Default</v>
      </c>
      <c r="Z162" s="18" t="str">
        <f>IFERROR(VLOOKUP(UKG!BA162,'UKG Company Map'!B:G,8,FALSE),"Custom 5 Not Matched")</f>
        <v>Custom 5 Not Matched</v>
      </c>
      <c r="AP162" s="18" t="str">
        <f>IFERROR(VLOOKUP(UKG!BA162,'UKG Company Map'!B:G,4,FALSE),"Custom 21 Exp Group Not Matched")</f>
        <v>0077</v>
      </c>
      <c r="BG162" s="77" t="str">
        <f>UKG!AZ162</f>
        <v>205380</v>
      </c>
      <c r="BK162" s="18" t="s">
        <v>1421</v>
      </c>
      <c r="BL162" s="18" t="s">
        <v>1421</v>
      </c>
      <c r="BU162" s="18" t="str">
        <f>UKG!BL162</f>
        <v>N</v>
      </c>
      <c r="BV162" s="18" t="str">
        <f>UKG!BL162</f>
        <v>N</v>
      </c>
      <c r="CE162" s="18" t="s">
        <v>1421</v>
      </c>
    </row>
    <row r="163" spans="1:83" ht="16" hidden="1" thickBot="1" x14ac:dyDescent="0.25">
      <c r="A163" s="39" t="s">
        <v>1420</v>
      </c>
      <c r="B163" s="77" t="str">
        <f>UKG!BO163</f>
        <v>EMIL</v>
      </c>
      <c r="D163" s="77" t="str">
        <f>UKG!BN163</f>
        <v>GÖRANSSON</v>
      </c>
      <c r="E163" s="77" t="str">
        <f>UKG!D163</f>
        <v>205163</v>
      </c>
      <c r="F163" s="77" t="str">
        <f t="shared" si="3"/>
        <v>E205163@onebarnes.com.new.uat</v>
      </c>
      <c r="G163" s="18" t="s">
        <v>1427</v>
      </c>
      <c r="H163" s="77" t="str">
        <f>UKG!AQ163</f>
        <v>E205163@onebarnes.com</v>
      </c>
      <c r="I163" s="18" t="str">
        <f>IFERROR(VLOOKUP(J163,'Language Map'!M:O,3,FALSE),"en_US")</f>
        <v>sv_SE</v>
      </c>
      <c r="J163" s="77" t="str">
        <f>UKG!BF163</f>
        <v>SE</v>
      </c>
      <c r="L163" s="77" t="str">
        <f>IFERROR(VLOOKUP(UKG!BA163,'UKG Company Map'!B:G,7,FALSE),"Ledger Code Not Matched")</f>
        <v>Ledger Code Not Matched</v>
      </c>
      <c r="M163" s="18" t="str">
        <f>UKG!BH163</f>
        <v>SEK</v>
      </c>
      <c r="O163" s="18" t="str">
        <f>UKG!BJ163</f>
        <v>Y</v>
      </c>
      <c r="P163" s="18" t="str">
        <f>IFERROR(VLOOKUP(UKG!BA163,'UKG Company Map'!B:E,2,FALSE),"Org Unit 1 Not Mapped")</f>
        <v>0077</v>
      </c>
      <c r="Q163" s="77" t="str">
        <f>UKG!BB163</f>
        <v>0000</v>
      </c>
      <c r="W163" s="77" t="str">
        <f>UKG!Q163</f>
        <v>H0004</v>
      </c>
      <c r="X163" s="18" t="str">
        <f>UKG!BC163</f>
        <v>Default</v>
      </c>
      <c r="Z163" s="18" t="str">
        <f>IFERROR(VLOOKUP(UKG!BA163,'UKG Company Map'!B:G,8,FALSE),"Custom 5 Not Matched")</f>
        <v>Custom 5 Not Matched</v>
      </c>
      <c r="AP163" s="18" t="str">
        <f>IFERROR(VLOOKUP(UKG!BA163,'UKG Company Map'!B:G,4,FALSE),"Custom 21 Exp Group Not Matched")</f>
        <v>0077</v>
      </c>
      <c r="BG163" s="77" t="str">
        <f>UKG!AZ163</f>
        <v>205383</v>
      </c>
      <c r="BK163" s="18" t="s">
        <v>1421</v>
      </c>
      <c r="BL163" s="18" t="s">
        <v>1421</v>
      </c>
      <c r="BU163" s="18" t="str">
        <f>UKG!BL163</f>
        <v>N</v>
      </c>
      <c r="BV163" s="18" t="str">
        <f>UKG!BL163</f>
        <v>N</v>
      </c>
      <c r="CE163" s="18" t="s">
        <v>1421</v>
      </c>
    </row>
    <row r="164" spans="1:83" ht="16" hidden="1" thickBot="1" x14ac:dyDescent="0.25">
      <c r="A164" s="39" t="s">
        <v>1420</v>
      </c>
      <c r="B164" s="77" t="str">
        <f>UKG!BO164</f>
        <v>TONY</v>
      </c>
      <c r="D164" s="77" t="str">
        <f>UKG!BN164</f>
        <v>GÖRANSSON</v>
      </c>
      <c r="E164" s="77" t="str">
        <f>UKG!D164</f>
        <v>205169</v>
      </c>
      <c r="F164" s="77" t="str">
        <f t="shared" si="3"/>
        <v>E205169@onebarnes.com.new.uat</v>
      </c>
      <c r="G164" s="18" t="s">
        <v>1427</v>
      </c>
      <c r="H164" s="77" t="str">
        <f>UKG!AQ164</f>
        <v>E205169@onebarnes.com</v>
      </c>
      <c r="I164" s="18" t="str">
        <f>IFERROR(VLOOKUP(J164,'Language Map'!M:O,3,FALSE),"en_US")</f>
        <v>sv_SE</v>
      </c>
      <c r="J164" s="77" t="str">
        <f>UKG!BF164</f>
        <v>SE</v>
      </c>
      <c r="L164" s="77" t="str">
        <f>IFERROR(VLOOKUP(UKG!BA164,'UKG Company Map'!B:G,7,FALSE),"Ledger Code Not Matched")</f>
        <v>Ledger Code Not Matched</v>
      </c>
      <c r="M164" s="18" t="str">
        <f>UKG!BH164</f>
        <v>SEK</v>
      </c>
      <c r="O164" s="18" t="str">
        <f>UKG!BJ164</f>
        <v>Y</v>
      </c>
      <c r="P164" s="18" t="str">
        <f>IFERROR(VLOOKUP(UKG!BA164,'UKG Company Map'!B:E,2,FALSE),"Org Unit 1 Not Mapped")</f>
        <v>0077</v>
      </c>
      <c r="Q164" s="77" t="str">
        <f>UKG!BB164</f>
        <v>0000</v>
      </c>
      <c r="W164" s="77" t="str">
        <f>UKG!Q164</f>
        <v>H0004</v>
      </c>
      <c r="X164" s="18" t="str">
        <f>UKG!BC164</f>
        <v>Default</v>
      </c>
      <c r="Z164" s="18" t="str">
        <f>IFERROR(VLOOKUP(UKG!BA164,'UKG Company Map'!B:G,8,FALSE),"Custom 5 Not Matched")</f>
        <v>Custom 5 Not Matched</v>
      </c>
      <c r="AP164" s="18" t="str">
        <f>IFERROR(VLOOKUP(UKG!BA164,'UKG Company Map'!B:G,4,FALSE),"Custom 21 Exp Group Not Matched")</f>
        <v>0077</v>
      </c>
      <c r="BG164" s="77" t="str">
        <f>UKG!AZ164</f>
        <v>205383</v>
      </c>
      <c r="BK164" s="18" t="s">
        <v>1421</v>
      </c>
      <c r="BL164" s="18" t="s">
        <v>1421</v>
      </c>
      <c r="BU164" s="18" t="str">
        <f>UKG!BL164</f>
        <v>N</v>
      </c>
      <c r="BV164" s="18" t="str">
        <f>UKG!BL164</f>
        <v>N</v>
      </c>
      <c r="CE164" s="18" t="s">
        <v>1421</v>
      </c>
    </row>
    <row r="165" spans="1:83" ht="16" hidden="1" thickBot="1" x14ac:dyDescent="0.25">
      <c r="A165" s="39" t="s">
        <v>1420</v>
      </c>
      <c r="B165" s="77" t="str">
        <f>UKG!BO165</f>
        <v>TORBJÖRN</v>
      </c>
      <c r="D165" s="77" t="str">
        <f>UKG!BN165</f>
        <v>GÖRANSSON</v>
      </c>
      <c r="E165" s="77" t="str">
        <f>UKG!D165</f>
        <v>205105</v>
      </c>
      <c r="F165" s="77" t="str">
        <f t="shared" si="3"/>
        <v>TGoransson@onebarnes.com.new.uat</v>
      </c>
      <c r="G165" s="18" t="s">
        <v>1427</v>
      </c>
      <c r="H165" s="77" t="str">
        <f>UKG!AQ165</f>
        <v>TGoransson@onebarnes.com</v>
      </c>
      <c r="I165" s="18" t="str">
        <f>IFERROR(VLOOKUP(J165,'Language Map'!M:O,3,FALSE),"en_US")</f>
        <v>sv_SE</v>
      </c>
      <c r="J165" s="77" t="str">
        <f>UKG!BF165</f>
        <v>SE</v>
      </c>
      <c r="L165" s="77" t="str">
        <f>IFERROR(VLOOKUP(UKG!BA165,'UKG Company Map'!B:G,7,FALSE),"Ledger Code Not Matched")</f>
        <v>Ledger Code Not Matched</v>
      </c>
      <c r="M165" s="18" t="str">
        <f>UKG!BH165</f>
        <v>SEK</v>
      </c>
      <c r="O165" s="18" t="str">
        <f>UKG!BJ165</f>
        <v>Y</v>
      </c>
      <c r="P165" s="18" t="str">
        <f>IFERROR(VLOOKUP(UKG!BA165,'UKG Company Map'!B:E,2,FALSE),"Org Unit 1 Not Mapped")</f>
        <v>0077</v>
      </c>
      <c r="Q165" s="77" t="str">
        <f>UKG!BB165</f>
        <v>0000</v>
      </c>
      <c r="W165" s="77" t="str">
        <f>UKG!Q165</f>
        <v>H0008</v>
      </c>
      <c r="X165" s="18" t="str">
        <f>UKG!BC165</f>
        <v>Default</v>
      </c>
      <c r="Z165" s="18" t="str">
        <f>IFERROR(VLOOKUP(UKG!BA165,'UKG Company Map'!B:G,8,FALSE),"Custom 5 Not Matched")</f>
        <v>Custom 5 Not Matched</v>
      </c>
      <c r="AP165" s="18" t="str">
        <f>IFERROR(VLOOKUP(UKG!BA165,'UKG Company Map'!B:G,4,FALSE),"Custom 21 Exp Group Not Matched")</f>
        <v>0077</v>
      </c>
      <c r="BG165" s="77" t="str">
        <f>UKG!AZ165</f>
        <v>213066</v>
      </c>
      <c r="BK165" s="18" t="s">
        <v>1421</v>
      </c>
      <c r="BL165" s="18" t="s">
        <v>1421</v>
      </c>
      <c r="BU165" s="18" t="str">
        <f>UKG!BL165</f>
        <v>N</v>
      </c>
      <c r="BV165" s="18" t="str">
        <f>UKG!BL165</f>
        <v>N</v>
      </c>
      <c r="CE165" s="18" t="s">
        <v>1421</v>
      </c>
    </row>
    <row r="166" spans="1:83" ht="16" hidden="1" thickBot="1" x14ac:dyDescent="0.25">
      <c r="A166" s="39" t="s">
        <v>1420</v>
      </c>
      <c r="B166" s="77" t="str">
        <f>UKG!BO166</f>
        <v>FUAD</v>
      </c>
      <c r="D166" s="77" t="str">
        <f>UKG!BN166</f>
        <v>GOTOVUSA</v>
      </c>
      <c r="E166" s="77" t="str">
        <f>UKG!D166</f>
        <v>205194</v>
      </c>
      <c r="F166" s="77" t="str">
        <f t="shared" si="3"/>
        <v>E205194@onebarnes.com.new.uat</v>
      </c>
      <c r="G166" s="18" t="s">
        <v>1427</v>
      </c>
      <c r="H166" s="77" t="str">
        <f>UKG!AQ166</f>
        <v>E205194@onebarnes.com</v>
      </c>
      <c r="I166" s="18" t="str">
        <f>IFERROR(VLOOKUP(J166,'Language Map'!M:O,3,FALSE),"en_US")</f>
        <v>sv_SE</v>
      </c>
      <c r="J166" s="77" t="str">
        <f>UKG!BF166</f>
        <v>SE</v>
      </c>
      <c r="L166" s="77" t="str">
        <f>IFERROR(VLOOKUP(UKG!BA166,'UKG Company Map'!B:G,7,FALSE),"Ledger Code Not Matched")</f>
        <v>Ledger Code Not Matched</v>
      </c>
      <c r="M166" s="18" t="str">
        <f>UKG!BH166</f>
        <v>SEK</v>
      </c>
      <c r="O166" s="18" t="str">
        <f>UKG!BJ166</f>
        <v>Y</v>
      </c>
      <c r="P166" s="18" t="str">
        <f>IFERROR(VLOOKUP(UKG!BA166,'UKG Company Map'!B:E,2,FALSE),"Org Unit 1 Not Mapped")</f>
        <v>0077</v>
      </c>
      <c r="Q166" s="77" t="str">
        <f>UKG!BB166</f>
        <v>0000</v>
      </c>
      <c r="W166" s="77" t="str">
        <f>UKG!Q166</f>
        <v>H0005</v>
      </c>
      <c r="X166" s="18" t="str">
        <f>UKG!BC166</f>
        <v>Default</v>
      </c>
      <c r="Z166" s="18" t="str">
        <f>IFERROR(VLOOKUP(UKG!BA166,'UKG Company Map'!B:G,8,FALSE),"Custom 5 Not Matched")</f>
        <v>Custom 5 Not Matched</v>
      </c>
      <c r="AP166" s="18" t="str">
        <f>IFERROR(VLOOKUP(UKG!BA166,'UKG Company Map'!B:G,4,FALSE),"Custom 21 Exp Group Not Matched")</f>
        <v>0077</v>
      </c>
      <c r="BG166" s="77" t="str">
        <f>UKG!AZ166</f>
        <v>212110</v>
      </c>
      <c r="BK166" s="18" t="s">
        <v>1421</v>
      </c>
      <c r="BL166" s="18" t="s">
        <v>1421</v>
      </c>
      <c r="BU166" s="18" t="str">
        <f>UKG!BL166</f>
        <v>N</v>
      </c>
      <c r="BV166" s="18" t="str">
        <f>UKG!BL166</f>
        <v>N</v>
      </c>
      <c r="CE166" s="18" t="s">
        <v>1421</v>
      </c>
    </row>
    <row r="167" spans="1:83" ht="16" hidden="1" thickBot="1" x14ac:dyDescent="0.25">
      <c r="A167" s="39" t="s">
        <v>1420</v>
      </c>
      <c r="B167" s="77" t="str">
        <f>UKG!BO167</f>
        <v>TOBIAS</v>
      </c>
      <c r="D167" s="77" t="str">
        <f>UKG!BN167</f>
        <v>GUSTAFSSON</v>
      </c>
      <c r="E167" s="77" t="str">
        <f>UKG!D167</f>
        <v>205224</v>
      </c>
      <c r="F167" s="77" t="str">
        <f t="shared" si="3"/>
        <v>E205224@onebarnes.com.new.uat</v>
      </c>
      <c r="G167" s="18" t="s">
        <v>1427</v>
      </c>
      <c r="H167" s="77" t="str">
        <f>UKG!AQ167</f>
        <v>E205224@onebarnes.com</v>
      </c>
      <c r="I167" s="18" t="str">
        <f>IFERROR(VLOOKUP(J167,'Language Map'!M:O,3,FALSE),"en_US")</f>
        <v>sv_SE</v>
      </c>
      <c r="J167" s="77" t="str">
        <f>UKG!BF167</f>
        <v>SE</v>
      </c>
      <c r="L167" s="77" t="str">
        <f>IFERROR(VLOOKUP(UKG!BA167,'UKG Company Map'!B:G,7,FALSE),"Ledger Code Not Matched")</f>
        <v>Ledger Code Not Matched</v>
      </c>
      <c r="M167" s="18" t="str">
        <f>UKG!BH167</f>
        <v>SEK</v>
      </c>
      <c r="O167" s="18" t="str">
        <f>UKG!BJ167</f>
        <v>Y</v>
      </c>
      <c r="P167" s="18" t="str">
        <f>IFERROR(VLOOKUP(UKG!BA167,'UKG Company Map'!B:E,2,FALSE),"Org Unit 1 Not Mapped")</f>
        <v>0077</v>
      </c>
      <c r="Q167" s="77" t="str">
        <f>UKG!BB167</f>
        <v>0000</v>
      </c>
      <c r="W167" s="77" t="str">
        <f>UKG!Q167</f>
        <v>H0005</v>
      </c>
      <c r="X167" s="18" t="str">
        <f>UKG!BC167</f>
        <v>Default</v>
      </c>
      <c r="Z167" s="18" t="str">
        <f>IFERROR(VLOOKUP(UKG!BA167,'UKG Company Map'!B:G,8,FALSE),"Custom 5 Not Matched")</f>
        <v>Custom 5 Not Matched</v>
      </c>
      <c r="AP167" s="18" t="str">
        <f>IFERROR(VLOOKUP(UKG!BA167,'UKG Company Map'!B:G,4,FALSE),"Custom 21 Exp Group Not Matched")</f>
        <v>0077</v>
      </c>
      <c r="BG167" s="77" t="str">
        <f>UKG!AZ167</f>
        <v>212110</v>
      </c>
      <c r="BK167" s="18" t="s">
        <v>1421</v>
      </c>
      <c r="BL167" s="18" t="s">
        <v>1421</v>
      </c>
      <c r="BU167" s="18" t="str">
        <f>UKG!BL167</f>
        <v>N</v>
      </c>
      <c r="BV167" s="18" t="str">
        <f>UKG!BL167</f>
        <v>N</v>
      </c>
      <c r="CE167" s="18" t="s">
        <v>1421</v>
      </c>
    </row>
    <row r="168" spans="1:83" ht="16" hidden="1" thickBot="1" x14ac:dyDescent="0.25">
      <c r="A168" s="39" t="s">
        <v>1420</v>
      </c>
      <c r="B168" s="77" t="str">
        <f>UKG!BO168</f>
        <v>TONY</v>
      </c>
      <c r="D168" s="77" t="str">
        <f>UKG!BN168</f>
        <v>GUSTAVSSON</v>
      </c>
      <c r="E168" s="77" t="str">
        <f>UKG!D168</f>
        <v>207637</v>
      </c>
      <c r="F168" s="77" t="str">
        <f t="shared" si="3"/>
        <v>tgustavsson@onebarnes.com.new.uat</v>
      </c>
      <c r="G168" s="18" t="s">
        <v>1427</v>
      </c>
      <c r="H168" s="77" t="str">
        <f>UKG!AQ168</f>
        <v>tgustavsson@onebarnes.com</v>
      </c>
      <c r="I168" s="18" t="str">
        <f>IFERROR(VLOOKUP(J168,'Language Map'!M:O,3,FALSE),"en_US")</f>
        <v>sv_SE</v>
      </c>
      <c r="J168" s="77" t="str">
        <f>UKG!BF168</f>
        <v>SE</v>
      </c>
      <c r="L168" s="77" t="str">
        <f>IFERROR(VLOOKUP(UKG!BA168,'UKG Company Map'!B:G,7,FALSE),"Ledger Code Not Matched")</f>
        <v>Ledger Code Not Matched</v>
      </c>
      <c r="M168" s="18" t="str">
        <f>UKG!BH168</f>
        <v>SEK</v>
      </c>
      <c r="O168" s="18" t="str">
        <f>UKG!BJ168</f>
        <v>Y</v>
      </c>
      <c r="P168" s="18" t="str">
        <f>IFERROR(VLOOKUP(UKG!BA168,'UKG Company Map'!B:E,2,FALSE),"Org Unit 1 Not Mapped")</f>
        <v>0077</v>
      </c>
      <c r="Q168" s="77" t="str">
        <f>UKG!BB168</f>
        <v>0000</v>
      </c>
      <c r="W168" s="77" t="str">
        <f>UKG!Q168</f>
        <v>H0004</v>
      </c>
      <c r="X168" s="18" t="str">
        <f>UKG!BC168</f>
        <v>Default</v>
      </c>
      <c r="Z168" s="18" t="str">
        <f>IFERROR(VLOOKUP(UKG!BA168,'UKG Company Map'!B:G,8,FALSE),"Custom 5 Not Matched")</f>
        <v>Custom 5 Not Matched</v>
      </c>
      <c r="AP168" s="18" t="str">
        <f>IFERROR(VLOOKUP(UKG!BA168,'UKG Company Map'!B:G,4,FALSE),"Custom 21 Exp Group Not Matched")</f>
        <v>0077</v>
      </c>
      <c r="BG168" s="77" t="str">
        <f>UKG!AZ168</f>
        <v>205380</v>
      </c>
      <c r="BK168" s="18" t="s">
        <v>1421</v>
      </c>
      <c r="BL168" s="18" t="s">
        <v>1421</v>
      </c>
      <c r="BU168" s="18" t="str">
        <f>UKG!BL168</f>
        <v>N</v>
      </c>
      <c r="BV168" s="18" t="str">
        <f>UKG!BL168</f>
        <v>N</v>
      </c>
      <c r="CE168" s="18" t="s">
        <v>1421</v>
      </c>
    </row>
    <row r="169" spans="1:83" ht="16" hidden="1" thickBot="1" x14ac:dyDescent="0.25">
      <c r="A169" s="39" t="s">
        <v>1420</v>
      </c>
      <c r="B169" s="77" t="str">
        <f>UKG!BO169</f>
        <v>TOBIAS</v>
      </c>
      <c r="D169" s="77" t="str">
        <f>UKG!BN169</f>
        <v>GYLLENSTEN</v>
      </c>
      <c r="E169" s="77" t="str">
        <f>UKG!D169</f>
        <v>205240</v>
      </c>
      <c r="F169" s="77" t="str">
        <f t="shared" si="3"/>
        <v>E205240@onebarnes.com.new.uat</v>
      </c>
      <c r="G169" s="18" t="s">
        <v>1427</v>
      </c>
      <c r="H169" s="77" t="str">
        <f>UKG!AQ169</f>
        <v>E205240@onebarnes.com</v>
      </c>
      <c r="I169" s="18" t="str">
        <f>IFERROR(VLOOKUP(J169,'Language Map'!M:O,3,FALSE),"en_US")</f>
        <v>sv_SE</v>
      </c>
      <c r="J169" s="77" t="str">
        <f>UKG!BF169</f>
        <v>SE</v>
      </c>
      <c r="L169" s="77" t="str">
        <f>IFERROR(VLOOKUP(UKG!BA169,'UKG Company Map'!B:G,7,FALSE),"Ledger Code Not Matched")</f>
        <v>Ledger Code Not Matched</v>
      </c>
      <c r="M169" s="18" t="str">
        <f>UKG!BH169</f>
        <v>SEK</v>
      </c>
      <c r="O169" s="18" t="str">
        <f>UKG!BJ169</f>
        <v>Y</v>
      </c>
      <c r="P169" s="18" t="str">
        <f>IFERROR(VLOOKUP(UKG!BA169,'UKG Company Map'!B:E,2,FALSE),"Org Unit 1 Not Mapped")</f>
        <v>0077</v>
      </c>
      <c r="Q169" s="77" t="str">
        <f>UKG!BB169</f>
        <v>0000</v>
      </c>
      <c r="W169" s="77" t="str">
        <f>UKG!Q169</f>
        <v>H0005</v>
      </c>
      <c r="X169" s="18" t="str">
        <f>UKG!BC169</f>
        <v>Default</v>
      </c>
      <c r="Z169" s="18" t="str">
        <f>IFERROR(VLOOKUP(UKG!BA169,'UKG Company Map'!B:G,8,FALSE),"Custom 5 Not Matched")</f>
        <v>Custom 5 Not Matched</v>
      </c>
      <c r="AP169" s="18" t="str">
        <f>IFERROR(VLOOKUP(UKG!BA169,'UKG Company Map'!B:G,4,FALSE),"Custom 21 Exp Group Not Matched")</f>
        <v>0077</v>
      </c>
      <c r="BG169" s="77" t="str">
        <f>UKG!AZ169</f>
        <v>212110</v>
      </c>
      <c r="BK169" s="18" t="s">
        <v>1421</v>
      </c>
      <c r="BL169" s="18" t="s">
        <v>1421</v>
      </c>
      <c r="BU169" s="18" t="str">
        <f>UKG!BL169</f>
        <v>N</v>
      </c>
      <c r="BV169" s="18" t="str">
        <f>UKG!BL169</f>
        <v>N</v>
      </c>
      <c r="CE169" s="18" t="s">
        <v>1421</v>
      </c>
    </row>
    <row r="170" spans="1:83" ht="16" hidden="1" thickBot="1" x14ac:dyDescent="0.25">
      <c r="A170" s="39" t="s">
        <v>1420</v>
      </c>
      <c r="B170" s="77" t="str">
        <f>UKG!BO170</f>
        <v>PETER</v>
      </c>
      <c r="D170" s="77" t="str">
        <f>UKG!BN170</f>
        <v>HÄGER</v>
      </c>
      <c r="E170" s="77" t="str">
        <f>UKG!D170</f>
        <v>205289</v>
      </c>
      <c r="F170" s="77" t="str">
        <f t="shared" si="3"/>
        <v>E205289@onebarnes.com.new.uat</v>
      </c>
      <c r="G170" s="18" t="s">
        <v>1427</v>
      </c>
      <c r="H170" s="77" t="str">
        <f>UKG!AQ170</f>
        <v>E205289@onebarnes.com</v>
      </c>
      <c r="I170" s="18" t="str">
        <f>IFERROR(VLOOKUP(J170,'Language Map'!M:O,3,FALSE),"en_US")</f>
        <v>sv_SE</v>
      </c>
      <c r="J170" s="77" t="str">
        <f>UKG!BF170</f>
        <v>SE</v>
      </c>
      <c r="L170" s="77" t="str">
        <f>IFERROR(VLOOKUP(UKG!BA170,'UKG Company Map'!B:G,7,FALSE),"Ledger Code Not Matched")</f>
        <v>Ledger Code Not Matched</v>
      </c>
      <c r="M170" s="18" t="str">
        <f>UKG!BH170</f>
        <v>SEK</v>
      </c>
      <c r="O170" s="18" t="str">
        <f>UKG!BJ170</f>
        <v>Y</v>
      </c>
      <c r="P170" s="18" t="str">
        <f>IFERROR(VLOOKUP(UKG!BA170,'UKG Company Map'!B:E,2,FALSE),"Org Unit 1 Not Mapped")</f>
        <v>0077</v>
      </c>
      <c r="Q170" s="77" t="str">
        <f>UKG!BB170</f>
        <v>0000</v>
      </c>
      <c r="W170" s="77" t="str">
        <f>UKG!Q170</f>
        <v>H0005</v>
      </c>
      <c r="X170" s="18" t="str">
        <f>UKG!BC170</f>
        <v>Default</v>
      </c>
      <c r="Z170" s="18" t="str">
        <f>IFERROR(VLOOKUP(UKG!BA170,'UKG Company Map'!B:G,8,FALSE),"Custom 5 Not Matched")</f>
        <v>Custom 5 Not Matched</v>
      </c>
      <c r="AP170" s="18" t="str">
        <f>IFERROR(VLOOKUP(UKG!BA170,'UKG Company Map'!B:G,4,FALSE),"Custom 21 Exp Group Not Matched")</f>
        <v>0077</v>
      </c>
      <c r="BG170" s="77" t="str">
        <f>UKG!AZ170</f>
        <v>205315</v>
      </c>
      <c r="BK170" s="18" t="s">
        <v>1421</v>
      </c>
      <c r="BL170" s="18" t="s">
        <v>1421</v>
      </c>
      <c r="BU170" s="18" t="str">
        <f>UKG!BL170</f>
        <v>N</v>
      </c>
      <c r="BV170" s="18" t="str">
        <f>UKG!BL170</f>
        <v>N</v>
      </c>
      <c r="CE170" s="18" t="s">
        <v>1421</v>
      </c>
    </row>
    <row r="171" spans="1:83" ht="16" hidden="1" thickBot="1" x14ac:dyDescent="0.25">
      <c r="A171" s="39" t="s">
        <v>1420</v>
      </c>
      <c r="B171" s="77" t="str">
        <f>UKG!BO171</f>
        <v>TONY</v>
      </c>
      <c r="D171" s="77" t="str">
        <f>UKG!BN171</f>
        <v>HAGSTRÖM</v>
      </c>
      <c r="E171" s="77" t="str">
        <f>UKG!D171</f>
        <v>205143</v>
      </c>
      <c r="F171" s="77" t="str">
        <f t="shared" si="3"/>
        <v>E205143@onebarnes.com.new.uat</v>
      </c>
      <c r="G171" s="18" t="s">
        <v>1427</v>
      </c>
      <c r="H171" s="77" t="str">
        <f>UKG!AQ171</f>
        <v>E205143@onebarnes.com</v>
      </c>
      <c r="I171" s="18" t="str">
        <f>IFERROR(VLOOKUP(J171,'Language Map'!M:O,3,FALSE),"en_US")</f>
        <v>sv_SE</v>
      </c>
      <c r="J171" s="77" t="str">
        <f>UKG!BF171</f>
        <v>SE</v>
      </c>
      <c r="L171" s="77" t="str">
        <f>IFERROR(VLOOKUP(UKG!BA171,'UKG Company Map'!B:G,7,FALSE),"Ledger Code Not Matched")</f>
        <v>Ledger Code Not Matched</v>
      </c>
      <c r="M171" s="18" t="str">
        <f>UKG!BH171</f>
        <v>SEK</v>
      </c>
      <c r="O171" s="18" t="str">
        <f>UKG!BJ171</f>
        <v>Y</v>
      </c>
      <c r="P171" s="18" t="str">
        <f>IFERROR(VLOOKUP(UKG!BA171,'UKG Company Map'!B:E,2,FALSE),"Org Unit 1 Not Mapped")</f>
        <v>0077</v>
      </c>
      <c r="Q171" s="77" t="str">
        <f>UKG!BB171</f>
        <v>0000</v>
      </c>
      <c r="W171" s="77" t="str">
        <f>UKG!Q171</f>
        <v>H0004</v>
      </c>
      <c r="X171" s="18" t="str">
        <f>UKG!BC171</f>
        <v>Default</v>
      </c>
      <c r="Z171" s="18" t="str">
        <f>IFERROR(VLOOKUP(UKG!BA171,'UKG Company Map'!B:G,8,FALSE),"Custom 5 Not Matched")</f>
        <v>Custom 5 Not Matched</v>
      </c>
      <c r="AP171" s="18" t="str">
        <f>IFERROR(VLOOKUP(UKG!BA171,'UKG Company Map'!B:G,4,FALSE),"Custom 21 Exp Group Not Matched")</f>
        <v>0077</v>
      </c>
      <c r="BG171" s="77" t="str">
        <f>UKG!AZ171</f>
        <v>205383</v>
      </c>
      <c r="BK171" s="18" t="s">
        <v>1421</v>
      </c>
      <c r="BL171" s="18" t="s">
        <v>1421</v>
      </c>
      <c r="BU171" s="18" t="str">
        <f>UKG!BL171</f>
        <v>N</v>
      </c>
      <c r="BV171" s="18" t="str">
        <f>UKG!BL171</f>
        <v>N</v>
      </c>
      <c r="CE171" s="18" t="s">
        <v>1421</v>
      </c>
    </row>
    <row r="172" spans="1:83" ht="16" hidden="1" thickBot="1" x14ac:dyDescent="0.25">
      <c r="A172" s="39" t="s">
        <v>1420</v>
      </c>
      <c r="B172" s="77" t="str">
        <f>UKG!BO172</f>
        <v>JENS</v>
      </c>
      <c r="D172" s="77" t="str">
        <f>UKG!BN172</f>
        <v>HALLMAN</v>
      </c>
      <c r="E172" s="77" t="str">
        <f>UKG!D172</f>
        <v>205332</v>
      </c>
      <c r="F172" s="77" t="str">
        <f t="shared" si="3"/>
        <v>E205332@onebarnes.com.new.uat</v>
      </c>
      <c r="G172" s="18" t="s">
        <v>1427</v>
      </c>
      <c r="H172" s="77" t="str">
        <f>UKG!AQ172</f>
        <v>E205332@onebarnes.com</v>
      </c>
      <c r="I172" s="18" t="str">
        <f>IFERROR(VLOOKUP(J172,'Language Map'!M:O,3,FALSE),"en_US")</f>
        <v>sv_SE</v>
      </c>
      <c r="J172" s="77" t="str">
        <f>UKG!BF172</f>
        <v>SE</v>
      </c>
      <c r="L172" s="77" t="str">
        <f>IFERROR(VLOOKUP(UKG!BA172,'UKG Company Map'!B:G,7,FALSE),"Ledger Code Not Matched")</f>
        <v>Ledger Code Not Matched</v>
      </c>
      <c r="M172" s="18" t="str">
        <f>UKG!BH172</f>
        <v>SEK</v>
      </c>
      <c r="O172" s="18" t="str">
        <f>UKG!BJ172</f>
        <v>Y</v>
      </c>
      <c r="P172" s="18" t="str">
        <f>IFERROR(VLOOKUP(UKG!BA172,'UKG Company Map'!B:E,2,FALSE),"Org Unit 1 Not Mapped")</f>
        <v>0077</v>
      </c>
      <c r="Q172" s="77" t="str">
        <f>UKG!BB172</f>
        <v>0000</v>
      </c>
      <c r="W172" s="77" t="str">
        <f>UKG!Q172</f>
        <v>H0005</v>
      </c>
      <c r="X172" s="18" t="str">
        <f>UKG!BC172</f>
        <v>Default</v>
      </c>
      <c r="Z172" s="18" t="str">
        <f>IFERROR(VLOOKUP(UKG!BA172,'UKG Company Map'!B:G,8,FALSE),"Custom 5 Not Matched")</f>
        <v>Custom 5 Not Matched</v>
      </c>
      <c r="AP172" s="18" t="str">
        <f>IFERROR(VLOOKUP(UKG!BA172,'UKG Company Map'!B:G,4,FALSE),"Custom 21 Exp Group Not Matched")</f>
        <v>0077</v>
      </c>
      <c r="BG172" s="77" t="str">
        <f>UKG!AZ172</f>
        <v>212110</v>
      </c>
      <c r="BK172" s="18" t="s">
        <v>1421</v>
      </c>
      <c r="BL172" s="18" t="s">
        <v>1421</v>
      </c>
      <c r="BU172" s="18" t="str">
        <f>UKG!BL172</f>
        <v>N</v>
      </c>
      <c r="BV172" s="18" t="str">
        <f>UKG!BL172</f>
        <v>N</v>
      </c>
      <c r="CE172" s="18" t="s">
        <v>1421</v>
      </c>
    </row>
    <row r="173" spans="1:83" ht="16" hidden="1" thickBot="1" x14ac:dyDescent="0.25">
      <c r="A173" s="39" t="s">
        <v>1420</v>
      </c>
      <c r="B173" s="77" t="str">
        <f>UKG!BO173</f>
        <v>TORBJÖRN</v>
      </c>
      <c r="D173" s="77" t="str">
        <f>UKG!BN173</f>
        <v>HANSSON</v>
      </c>
      <c r="E173" s="77" t="str">
        <f>UKG!D173</f>
        <v>205338</v>
      </c>
      <c r="F173" s="77" t="str">
        <f t="shared" si="3"/>
        <v>E205338@onebarnes.com.new.uat</v>
      </c>
      <c r="G173" s="18" t="s">
        <v>1427</v>
      </c>
      <c r="H173" s="77" t="str">
        <f>UKG!AQ173</f>
        <v>E205338@onebarnes.com</v>
      </c>
      <c r="I173" s="18" t="str">
        <f>IFERROR(VLOOKUP(J173,'Language Map'!M:O,3,FALSE),"en_US")</f>
        <v>sv_SE</v>
      </c>
      <c r="J173" s="77" t="str">
        <f>UKG!BF173</f>
        <v>SE</v>
      </c>
      <c r="L173" s="77" t="str">
        <f>IFERROR(VLOOKUP(UKG!BA173,'UKG Company Map'!B:G,7,FALSE),"Ledger Code Not Matched")</f>
        <v>Ledger Code Not Matched</v>
      </c>
      <c r="M173" s="18" t="str">
        <f>UKG!BH173</f>
        <v>SEK</v>
      </c>
      <c r="O173" s="18" t="str">
        <f>UKG!BJ173</f>
        <v>Y</v>
      </c>
      <c r="P173" s="18" t="str">
        <f>IFERROR(VLOOKUP(UKG!BA173,'UKG Company Map'!B:E,2,FALSE),"Org Unit 1 Not Mapped")</f>
        <v>0077</v>
      </c>
      <c r="Q173" s="77" t="str">
        <f>UKG!BB173</f>
        <v>0000</v>
      </c>
      <c r="W173" s="77" t="str">
        <f>UKG!Q173</f>
        <v>H0004</v>
      </c>
      <c r="X173" s="18" t="str">
        <f>UKG!BC173</f>
        <v>Default</v>
      </c>
      <c r="Z173" s="18" t="str">
        <f>IFERROR(VLOOKUP(UKG!BA173,'UKG Company Map'!B:G,8,FALSE),"Custom 5 Not Matched")</f>
        <v>Custom 5 Not Matched</v>
      </c>
      <c r="AP173" s="18" t="str">
        <f>IFERROR(VLOOKUP(UKG!BA173,'UKG Company Map'!B:G,4,FALSE),"Custom 21 Exp Group Not Matched")</f>
        <v>0077</v>
      </c>
      <c r="BG173" s="77" t="str">
        <f>UKG!AZ173</f>
        <v>212110</v>
      </c>
      <c r="BK173" s="18" t="s">
        <v>1421</v>
      </c>
      <c r="BL173" s="18" t="s">
        <v>1421</v>
      </c>
      <c r="BU173" s="18" t="str">
        <f>UKG!BL173</f>
        <v>N</v>
      </c>
      <c r="BV173" s="18" t="str">
        <f>UKG!BL173</f>
        <v>N</v>
      </c>
      <c r="CE173" s="18" t="s">
        <v>1421</v>
      </c>
    </row>
    <row r="174" spans="1:83" ht="16" hidden="1" thickBot="1" x14ac:dyDescent="0.25">
      <c r="A174" s="39" t="s">
        <v>1420</v>
      </c>
      <c r="B174" s="77" t="str">
        <f>UKG!BO174</f>
        <v>MEVLUDIN</v>
      </c>
      <c r="D174" s="77" t="str">
        <f>UKG!BN174</f>
        <v>HASKOVIC</v>
      </c>
      <c r="E174" s="77" t="str">
        <f>UKG!D174</f>
        <v>205252</v>
      </c>
      <c r="F174" s="77" t="str">
        <f t="shared" si="3"/>
        <v>E205252@onebarnes.com.new.uat</v>
      </c>
      <c r="G174" s="18" t="s">
        <v>1427</v>
      </c>
      <c r="H174" s="77" t="str">
        <f>UKG!AQ174</f>
        <v>E205252@onebarnes.com</v>
      </c>
      <c r="I174" s="18" t="str">
        <f>IFERROR(VLOOKUP(J174,'Language Map'!M:O,3,FALSE),"en_US")</f>
        <v>sv_SE</v>
      </c>
      <c r="J174" s="77" t="str">
        <f>UKG!BF174</f>
        <v>SE</v>
      </c>
      <c r="L174" s="77" t="str">
        <f>IFERROR(VLOOKUP(UKG!BA174,'UKG Company Map'!B:G,7,FALSE),"Ledger Code Not Matched")</f>
        <v>Ledger Code Not Matched</v>
      </c>
      <c r="M174" s="18" t="str">
        <f>UKG!BH174</f>
        <v>SEK</v>
      </c>
      <c r="O174" s="18" t="str">
        <f>UKG!BJ174</f>
        <v>Y</v>
      </c>
      <c r="P174" s="18" t="str">
        <f>IFERROR(VLOOKUP(UKG!BA174,'UKG Company Map'!B:E,2,FALSE),"Org Unit 1 Not Mapped")</f>
        <v>0077</v>
      </c>
      <c r="Q174" s="77" t="str">
        <f>UKG!BB174</f>
        <v>0000</v>
      </c>
      <c r="W174" s="77" t="str">
        <f>UKG!Q174</f>
        <v>H0005</v>
      </c>
      <c r="X174" s="18" t="str">
        <f>UKG!BC174</f>
        <v>Default</v>
      </c>
      <c r="Z174" s="18" t="str">
        <f>IFERROR(VLOOKUP(UKG!BA174,'UKG Company Map'!B:G,8,FALSE),"Custom 5 Not Matched")</f>
        <v>Custom 5 Not Matched</v>
      </c>
      <c r="AP174" s="18" t="str">
        <f>IFERROR(VLOOKUP(UKG!BA174,'UKG Company Map'!B:G,4,FALSE),"Custom 21 Exp Group Not Matched")</f>
        <v>0077</v>
      </c>
      <c r="BG174" s="77" t="str">
        <f>UKG!AZ174</f>
        <v>212110</v>
      </c>
      <c r="BK174" s="18" t="s">
        <v>1421</v>
      </c>
      <c r="BL174" s="18" t="s">
        <v>1421</v>
      </c>
      <c r="BU174" s="18" t="str">
        <f>UKG!BL174</f>
        <v>N</v>
      </c>
      <c r="BV174" s="18" t="str">
        <f>UKG!BL174</f>
        <v>N</v>
      </c>
      <c r="CE174" s="18" t="s">
        <v>1421</v>
      </c>
    </row>
    <row r="175" spans="1:83" ht="16" hidden="1" thickBot="1" x14ac:dyDescent="0.25">
      <c r="A175" s="39" t="s">
        <v>1420</v>
      </c>
      <c r="B175" s="77" t="str">
        <f>UKG!BO175</f>
        <v>PIERRE</v>
      </c>
      <c r="D175" s="77" t="str">
        <f>UKG!BN175</f>
        <v>HEDLUND</v>
      </c>
      <c r="E175" s="77" t="str">
        <f>UKG!D175</f>
        <v>205294</v>
      </c>
      <c r="F175" s="77" t="str">
        <f t="shared" si="3"/>
        <v>E205294@onebarnes.com.new.uat</v>
      </c>
      <c r="G175" s="18" t="s">
        <v>1427</v>
      </c>
      <c r="H175" s="77" t="str">
        <f>UKG!AQ175</f>
        <v>E205294@onebarnes.com</v>
      </c>
      <c r="I175" s="18" t="str">
        <f>IFERROR(VLOOKUP(J175,'Language Map'!M:O,3,FALSE),"en_US")</f>
        <v>sv_SE</v>
      </c>
      <c r="J175" s="77" t="str">
        <f>UKG!BF175</f>
        <v>SE</v>
      </c>
      <c r="L175" s="77" t="str">
        <f>IFERROR(VLOOKUP(UKG!BA175,'UKG Company Map'!B:G,7,FALSE),"Ledger Code Not Matched")</f>
        <v>Ledger Code Not Matched</v>
      </c>
      <c r="M175" s="18" t="str">
        <f>UKG!BH175</f>
        <v>SEK</v>
      </c>
      <c r="O175" s="18" t="str">
        <f>UKG!BJ175</f>
        <v>Y</v>
      </c>
      <c r="P175" s="18" t="str">
        <f>IFERROR(VLOOKUP(UKG!BA175,'UKG Company Map'!B:E,2,FALSE),"Org Unit 1 Not Mapped")</f>
        <v>0077</v>
      </c>
      <c r="Q175" s="77" t="str">
        <f>UKG!BB175</f>
        <v>0000</v>
      </c>
      <c r="W175" s="77" t="str">
        <f>UKG!Q175</f>
        <v>H0008</v>
      </c>
      <c r="X175" s="18" t="str">
        <f>UKG!BC175</f>
        <v>Default</v>
      </c>
      <c r="Z175" s="18" t="str">
        <f>IFERROR(VLOOKUP(UKG!BA175,'UKG Company Map'!B:G,8,FALSE),"Custom 5 Not Matched")</f>
        <v>Custom 5 Not Matched</v>
      </c>
      <c r="AP175" s="18" t="str">
        <f>IFERROR(VLOOKUP(UKG!BA175,'UKG Company Map'!B:G,4,FALSE),"Custom 21 Exp Group Not Matched")</f>
        <v>0077</v>
      </c>
      <c r="BG175" s="77" t="str">
        <f>UKG!AZ175</f>
        <v>205384</v>
      </c>
      <c r="BK175" s="18" t="s">
        <v>1421</v>
      </c>
      <c r="BL175" s="18" t="s">
        <v>1421</v>
      </c>
      <c r="BU175" s="18" t="str">
        <f>UKG!BL175</f>
        <v>N</v>
      </c>
      <c r="BV175" s="18" t="str">
        <f>UKG!BL175</f>
        <v>N</v>
      </c>
      <c r="CE175" s="18" t="s">
        <v>1421</v>
      </c>
    </row>
    <row r="176" spans="1:83" ht="16" hidden="1" thickBot="1" x14ac:dyDescent="0.25">
      <c r="A176" s="39" t="s">
        <v>1420</v>
      </c>
      <c r="B176" s="77" t="str">
        <f>UKG!BO176</f>
        <v>TAHA</v>
      </c>
      <c r="D176" s="77" t="str">
        <f>UKG!BN176</f>
        <v>HEIDARI</v>
      </c>
      <c r="E176" s="77" t="str">
        <f>UKG!D176</f>
        <v>207717</v>
      </c>
      <c r="F176" s="77" t="str">
        <f t="shared" si="3"/>
        <v>E207717@onebarnes.com.new.uat</v>
      </c>
      <c r="G176" s="18" t="s">
        <v>1427</v>
      </c>
      <c r="H176" s="77" t="str">
        <f>UKG!AQ176</f>
        <v>E207717@onebarnes.com</v>
      </c>
      <c r="I176" s="18" t="str">
        <f>IFERROR(VLOOKUP(J176,'Language Map'!M:O,3,FALSE),"en_US")</f>
        <v>sv_SE</v>
      </c>
      <c r="J176" s="77" t="str">
        <f>UKG!BF176</f>
        <v>SE</v>
      </c>
      <c r="L176" s="77" t="str">
        <f>IFERROR(VLOOKUP(UKG!BA176,'UKG Company Map'!B:G,7,FALSE),"Ledger Code Not Matched")</f>
        <v>Ledger Code Not Matched</v>
      </c>
      <c r="M176" s="18" t="str">
        <f>UKG!BH176</f>
        <v>SEK</v>
      </c>
      <c r="O176" s="18" t="str">
        <f>UKG!BJ176</f>
        <v>Y</v>
      </c>
      <c r="P176" s="18" t="str">
        <f>IFERROR(VLOOKUP(UKG!BA176,'UKG Company Map'!B:E,2,FALSE),"Org Unit 1 Not Mapped")</f>
        <v>0077</v>
      </c>
      <c r="Q176" s="77" t="str">
        <f>UKG!BB176</f>
        <v>0000</v>
      </c>
      <c r="W176" s="77" t="str">
        <f>UKG!Q176</f>
        <v>H0005</v>
      </c>
      <c r="X176" s="18" t="str">
        <f>UKG!BC176</f>
        <v>Default</v>
      </c>
      <c r="Z176" s="18" t="str">
        <f>IFERROR(VLOOKUP(UKG!BA176,'UKG Company Map'!B:G,8,FALSE),"Custom 5 Not Matched")</f>
        <v>Custom 5 Not Matched</v>
      </c>
      <c r="AP176" s="18" t="str">
        <f>IFERROR(VLOOKUP(UKG!BA176,'UKG Company Map'!B:G,4,FALSE),"Custom 21 Exp Group Not Matched")</f>
        <v>0077</v>
      </c>
      <c r="BG176" s="77" t="str">
        <f>UKG!AZ176</f>
        <v>212110</v>
      </c>
      <c r="BK176" s="18" t="s">
        <v>1421</v>
      </c>
      <c r="BL176" s="18" t="s">
        <v>1421</v>
      </c>
      <c r="BU176" s="18" t="str">
        <f>UKG!BL176</f>
        <v>N</v>
      </c>
      <c r="BV176" s="18" t="str">
        <f>UKG!BL176</f>
        <v>N</v>
      </c>
      <c r="CE176" s="18" t="s">
        <v>1421</v>
      </c>
    </row>
    <row r="177" spans="1:83" ht="16" hidden="1" thickBot="1" x14ac:dyDescent="0.25">
      <c r="A177" s="39" t="s">
        <v>1420</v>
      </c>
      <c r="B177" s="77" t="str">
        <f>UKG!BO177</f>
        <v>RASMUS</v>
      </c>
      <c r="D177" s="77" t="str">
        <f>UKG!BN177</f>
        <v>HELLMANSSON</v>
      </c>
      <c r="E177" s="77" t="str">
        <f>UKG!D177</f>
        <v>205262</v>
      </c>
      <c r="F177" s="77" t="str">
        <f t="shared" si="3"/>
        <v>E205262@onebarnes.com.new.uat</v>
      </c>
      <c r="G177" s="18" t="s">
        <v>1427</v>
      </c>
      <c r="H177" s="77" t="str">
        <f>UKG!AQ177</f>
        <v>E205262@onebarnes.com</v>
      </c>
      <c r="I177" s="18" t="str">
        <f>IFERROR(VLOOKUP(J177,'Language Map'!M:O,3,FALSE),"en_US")</f>
        <v>sv_SE</v>
      </c>
      <c r="J177" s="77" t="str">
        <f>UKG!BF177</f>
        <v>SE</v>
      </c>
      <c r="L177" s="77" t="str">
        <f>IFERROR(VLOOKUP(UKG!BA177,'UKG Company Map'!B:G,7,FALSE),"Ledger Code Not Matched")</f>
        <v>Ledger Code Not Matched</v>
      </c>
      <c r="M177" s="18" t="str">
        <f>UKG!BH177</f>
        <v>SEK</v>
      </c>
      <c r="O177" s="18" t="str">
        <f>UKG!BJ177</f>
        <v>Y</v>
      </c>
      <c r="P177" s="18" t="str">
        <f>IFERROR(VLOOKUP(UKG!BA177,'UKG Company Map'!B:E,2,FALSE),"Org Unit 1 Not Mapped")</f>
        <v>0077</v>
      </c>
      <c r="Q177" s="77" t="str">
        <f>UKG!BB177</f>
        <v>0000</v>
      </c>
      <c r="W177" s="77" t="str">
        <f>UKG!Q177</f>
        <v>H0005</v>
      </c>
      <c r="X177" s="18" t="str">
        <f>UKG!BC177</f>
        <v>Default</v>
      </c>
      <c r="Z177" s="18" t="str">
        <f>IFERROR(VLOOKUP(UKG!BA177,'UKG Company Map'!B:G,8,FALSE),"Custom 5 Not Matched")</f>
        <v>Custom 5 Not Matched</v>
      </c>
      <c r="AP177" s="18" t="str">
        <f>IFERROR(VLOOKUP(UKG!BA177,'UKG Company Map'!B:G,4,FALSE),"Custom 21 Exp Group Not Matched")</f>
        <v>0077</v>
      </c>
      <c r="BG177" s="77" t="str">
        <f>UKG!AZ177</f>
        <v>205315</v>
      </c>
      <c r="BK177" s="18" t="s">
        <v>1421</v>
      </c>
      <c r="BL177" s="18" t="s">
        <v>1421</v>
      </c>
      <c r="BU177" s="18" t="str">
        <f>UKG!BL177</f>
        <v>N</v>
      </c>
      <c r="BV177" s="18" t="str">
        <f>UKG!BL177</f>
        <v>N</v>
      </c>
      <c r="CE177" s="18" t="s">
        <v>1421</v>
      </c>
    </row>
    <row r="178" spans="1:83" ht="16" hidden="1" thickBot="1" x14ac:dyDescent="0.25">
      <c r="A178" s="39" t="s">
        <v>1420</v>
      </c>
      <c r="B178" s="77" t="str">
        <f>UKG!BO178</f>
        <v>MELKER</v>
      </c>
      <c r="D178" s="77" t="str">
        <f>UKG!BN178</f>
        <v>HOLMQVIST</v>
      </c>
      <c r="E178" s="77" t="str">
        <f>UKG!D178</f>
        <v>205259</v>
      </c>
      <c r="F178" s="77" t="str">
        <f t="shared" si="3"/>
        <v>E205259@onebarnes.com.new.uat</v>
      </c>
      <c r="G178" s="18" t="s">
        <v>1427</v>
      </c>
      <c r="H178" s="77" t="str">
        <f>UKG!AQ178</f>
        <v>E205259@onebarnes.com</v>
      </c>
      <c r="I178" s="18" t="str">
        <f>IFERROR(VLOOKUP(J178,'Language Map'!M:O,3,FALSE),"en_US")</f>
        <v>sv_SE</v>
      </c>
      <c r="J178" s="77" t="str">
        <f>UKG!BF178</f>
        <v>SE</v>
      </c>
      <c r="L178" s="77" t="str">
        <f>IFERROR(VLOOKUP(UKG!BA178,'UKG Company Map'!B:G,7,FALSE),"Ledger Code Not Matched")</f>
        <v>Ledger Code Not Matched</v>
      </c>
      <c r="M178" s="18" t="str">
        <f>UKG!BH178</f>
        <v>SEK</v>
      </c>
      <c r="O178" s="18" t="str">
        <f>UKG!BJ178</f>
        <v>Y</v>
      </c>
      <c r="P178" s="18" t="str">
        <f>IFERROR(VLOOKUP(UKG!BA178,'UKG Company Map'!B:E,2,FALSE),"Org Unit 1 Not Mapped")</f>
        <v>0077</v>
      </c>
      <c r="Q178" s="77" t="str">
        <f>UKG!BB178</f>
        <v>0000</v>
      </c>
      <c r="W178" s="77" t="str">
        <f>UKG!Q178</f>
        <v>H0005</v>
      </c>
      <c r="X178" s="18" t="str">
        <f>UKG!BC178</f>
        <v>Default</v>
      </c>
      <c r="Z178" s="18" t="str">
        <f>IFERROR(VLOOKUP(UKG!BA178,'UKG Company Map'!B:G,8,FALSE),"Custom 5 Not Matched")</f>
        <v>Custom 5 Not Matched</v>
      </c>
      <c r="AP178" s="18" t="str">
        <f>IFERROR(VLOOKUP(UKG!BA178,'UKG Company Map'!B:G,4,FALSE),"Custom 21 Exp Group Not Matched")</f>
        <v>0077</v>
      </c>
      <c r="BG178" s="77" t="str">
        <f>UKG!AZ178</f>
        <v>205377</v>
      </c>
      <c r="BK178" s="18" t="s">
        <v>1421</v>
      </c>
      <c r="BL178" s="18" t="s">
        <v>1421</v>
      </c>
      <c r="BU178" s="18" t="str">
        <f>UKG!BL178</f>
        <v>N</v>
      </c>
      <c r="BV178" s="18" t="str">
        <f>UKG!BL178</f>
        <v>N</v>
      </c>
      <c r="CE178" s="18" t="s">
        <v>1421</v>
      </c>
    </row>
    <row r="179" spans="1:83" ht="16" hidden="1" thickBot="1" x14ac:dyDescent="0.25">
      <c r="A179" s="39" t="s">
        <v>1420</v>
      </c>
      <c r="B179" s="77" t="str">
        <f>UKG!BO179</f>
        <v>ANNA-LENA</v>
      </c>
      <c r="D179" s="77" t="str">
        <f>UKG!BN179</f>
        <v>HOLMSTEDT</v>
      </c>
      <c r="E179" s="77" t="str">
        <f>UKG!D179</f>
        <v>205214</v>
      </c>
      <c r="F179" s="77" t="str">
        <f t="shared" si="3"/>
        <v>E205214@onebarnes.com.new.uat</v>
      </c>
      <c r="G179" s="18" t="s">
        <v>1427</v>
      </c>
      <c r="H179" s="77" t="str">
        <f>UKG!AQ179</f>
        <v>E205214@onebarnes.com</v>
      </c>
      <c r="I179" s="18" t="str">
        <f>IFERROR(VLOOKUP(J179,'Language Map'!M:O,3,FALSE),"en_US")</f>
        <v>sv_SE</v>
      </c>
      <c r="J179" s="77" t="str">
        <f>UKG!BF179</f>
        <v>SE</v>
      </c>
      <c r="L179" s="77" t="str">
        <f>IFERROR(VLOOKUP(UKG!BA179,'UKG Company Map'!B:G,7,FALSE),"Ledger Code Not Matched")</f>
        <v>Ledger Code Not Matched</v>
      </c>
      <c r="M179" s="18" t="str">
        <f>UKG!BH179</f>
        <v>SEK</v>
      </c>
      <c r="O179" s="18" t="str">
        <f>UKG!BJ179</f>
        <v>Y</v>
      </c>
      <c r="P179" s="18" t="str">
        <f>IFERROR(VLOOKUP(UKG!BA179,'UKG Company Map'!B:E,2,FALSE),"Org Unit 1 Not Mapped")</f>
        <v>0077</v>
      </c>
      <c r="Q179" s="77" t="str">
        <f>UKG!BB179</f>
        <v>0000</v>
      </c>
      <c r="W179" s="77" t="str">
        <f>UKG!Q179</f>
        <v>H0005</v>
      </c>
      <c r="X179" s="18" t="str">
        <f>UKG!BC179</f>
        <v>Default</v>
      </c>
      <c r="Z179" s="18" t="str">
        <f>IFERROR(VLOOKUP(UKG!BA179,'UKG Company Map'!B:G,8,FALSE),"Custom 5 Not Matched")</f>
        <v>Custom 5 Not Matched</v>
      </c>
      <c r="AP179" s="18" t="str">
        <f>IFERROR(VLOOKUP(UKG!BA179,'UKG Company Map'!B:G,4,FALSE),"Custom 21 Exp Group Not Matched")</f>
        <v>0077</v>
      </c>
      <c r="BG179" s="77" t="str">
        <f>UKG!AZ179</f>
        <v>205315</v>
      </c>
      <c r="BK179" s="18" t="s">
        <v>1421</v>
      </c>
      <c r="BL179" s="18" t="s">
        <v>1421</v>
      </c>
      <c r="BU179" s="18" t="str">
        <f>UKG!BL179</f>
        <v>N</v>
      </c>
      <c r="BV179" s="18" t="str">
        <f>UKG!BL179</f>
        <v>N</v>
      </c>
      <c r="CE179" s="18" t="s">
        <v>1421</v>
      </c>
    </row>
    <row r="180" spans="1:83" ht="16" hidden="1" thickBot="1" x14ac:dyDescent="0.25">
      <c r="A180" s="39" t="s">
        <v>1420</v>
      </c>
      <c r="B180" s="77" t="str">
        <f>UKG!BO180</f>
        <v>MATHIAS</v>
      </c>
      <c r="D180" s="77" t="str">
        <f>UKG!BN180</f>
        <v>HULTÉN</v>
      </c>
      <c r="E180" s="77" t="str">
        <f>UKG!D180</f>
        <v>205323</v>
      </c>
      <c r="F180" s="77" t="str">
        <f t="shared" si="3"/>
        <v>E205323@onebarnes.com.new.uat</v>
      </c>
      <c r="G180" s="18" t="s">
        <v>1427</v>
      </c>
      <c r="H180" s="77" t="str">
        <f>UKG!AQ180</f>
        <v>E205323@onebarnes.com</v>
      </c>
      <c r="I180" s="18" t="str">
        <f>IFERROR(VLOOKUP(J180,'Language Map'!M:O,3,FALSE),"en_US")</f>
        <v>sv_SE</v>
      </c>
      <c r="J180" s="77" t="str">
        <f>UKG!BF180</f>
        <v>SE</v>
      </c>
      <c r="L180" s="77" t="str">
        <f>IFERROR(VLOOKUP(UKG!BA180,'UKG Company Map'!B:G,7,FALSE),"Ledger Code Not Matched")</f>
        <v>Ledger Code Not Matched</v>
      </c>
      <c r="M180" s="18" t="str">
        <f>UKG!BH180</f>
        <v>SEK</v>
      </c>
      <c r="O180" s="18" t="str">
        <f>UKG!BJ180</f>
        <v>Y</v>
      </c>
      <c r="P180" s="18" t="str">
        <f>IFERROR(VLOOKUP(UKG!BA180,'UKG Company Map'!B:E,2,FALSE),"Org Unit 1 Not Mapped")</f>
        <v>0077</v>
      </c>
      <c r="Q180" s="77" t="str">
        <f>UKG!BB180</f>
        <v>0000</v>
      </c>
      <c r="W180" s="77" t="str">
        <f>UKG!Q180</f>
        <v>H0005</v>
      </c>
      <c r="X180" s="18" t="str">
        <f>UKG!BC180</f>
        <v>Default</v>
      </c>
      <c r="Z180" s="18" t="str">
        <f>IFERROR(VLOOKUP(UKG!BA180,'UKG Company Map'!B:G,8,FALSE),"Custom 5 Not Matched")</f>
        <v>Custom 5 Not Matched</v>
      </c>
      <c r="AP180" s="18" t="str">
        <f>IFERROR(VLOOKUP(UKG!BA180,'UKG Company Map'!B:G,4,FALSE),"Custom 21 Exp Group Not Matched")</f>
        <v>0077</v>
      </c>
      <c r="BG180" s="77" t="str">
        <f>UKG!AZ180</f>
        <v>205377</v>
      </c>
      <c r="BK180" s="18" t="s">
        <v>1421</v>
      </c>
      <c r="BL180" s="18" t="s">
        <v>1421</v>
      </c>
      <c r="BU180" s="18" t="str">
        <f>UKG!BL180</f>
        <v>N</v>
      </c>
      <c r="BV180" s="18" t="str">
        <f>UKG!BL180</f>
        <v>N</v>
      </c>
      <c r="CE180" s="18" t="s">
        <v>1421</v>
      </c>
    </row>
    <row r="181" spans="1:83" ht="16" hidden="1" thickBot="1" x14ac:dyDescent="0.25">
      <c r="A181" s="39" t="s">
        <v>1420</v>
      </c>
      <c r="B181" s="77" t="str">
        <f>UKG!BO181</f>
        <v>OSCAR</v>
      </c>
      <c r="D181" s="77" t="str">
        <f>UKG!BN181</f>
        <v>HULTMAN</v>
      </c>
      <c r="E181" s="77" t="str">
        <f>UKG!D181</f>
        <v>205304</v>
      </c>
      <c r="F181" s="77" t="str">
        <f t="shared" si="3"/>
        <v>E205304@onebarnes.com.new.uat</v>
      </c>
      <c r="G181" s="18" t="s">
        <v>1427</v>
      </c>
      <c r="H181" s="77" t="str">
        <f>UKG!AQ181</f>
        <v>E205304@onebarnes.com</v>
      </c>
      <c r="I181" s="18" t="str">
        <f>IFERROR(VLOOKUP(J181,'Language Map'!M:O,3,FALSE),"en_US")</f>
        <v>sv_SE</v>
      </c>
      <c r="J181" s="77" t="str">
        <f>UKG!BF181</f>
        <v>SE</v>
      </c>
      <c r="L181" s="77" t="str">
        <f>IFERROR(VLOOKUP(UKG!BA181,'UKG Company Map'!B:G,7,FALSE),"Ledger Code Not Matched")</f>
        <v>Ledger Code Not Matched</v>
      </c>
      <c r="M181" s="18" t="str">
        <f>UKG!BH181</f>
        <v>SEK</v>
      </c>
      <c r="O181" s="18" t="str">
        <f>UKG!BJ181</f>
        <v>Y</v>
      </c>
      <c r="P181" s="18" t="str">
        <f>IFERROR(VLOOKUP(UKG!BA181,'UKG Company Map'!B:E,2,FALSE),"Org Unit 1 Not Mapped")</f>
        <v>0077</v>
      </c>
      <c r="Q181" s="77" t="str">
        <f>UKG!BB181</f>
        <v>0000</v>
      </c>
      <c r="W181" s="77" t="str">
        <f>UKG!Q181</f>
        <v>H0005</v>
      </c>
      <c r="X181" s="18" t="str">
        <f>UKG!BC181</f>
        <v>Default</v>
      </c>
      <c r="Z181" s="18" t="str">
        <f>IFERROR(VLOOKUP(UKG!BA181,'UKG Company Map'!B:G,8,FALSE),"Custom 5 Not Matched")</f>
        <v>Custom 5 Not Matched</v>
      </c>
      <c r="AP181" s="18" t="str">
        <f>IFERROR(VLOOKUP(UKG!BA181,'UKG Company Map'!B:G,4,FALSE),"Custom 21 Exp Group Not Matched")</f>
        <v>0077</v>
      </c>
      <c r="BG181" s="77" t="str">
        <f>UKG!AZ181</f>
        <v>205377</v>
      </c>
      <c r="BK181" s="18" t="s">
        <v>1421</v>
      </c>
      <c r="BL181" s="18" t="s">
        <v>1421</v>
      </c>
      <c r="BU181" s="18" t="str">
        <f>UKG!BL181</f>
        <v>N</v>
      </c>
      <c r="BV181" s="18" t="str">
        <f>UKG!BL181</f>
        <v>N</v>
      </c>
      <c r="CE181" s="18" t="s">
        <v>1421</v>
      </c>
    </row>
    <row r="182" spans="1:83" ht="16" hidden="1" thickBot="1" x14ac:dyDescent="0.25">
      <c r="A182" s="39" t="s">
        <v>1420</v>
      </c>
      <c r="B182" s="77" t="str">
        <f>UKG!BO182</f>
        <v>EDIN</v>
      </c>
      <c r="D182" s="77" t="str">
        <f>UKG!BN182</f>
        <v>HUSKIC</v>
      </c>
      <c r="E182" s="77" t="str">
        <f>UKG!D182</f>
        <v>205309</v>
      </c>
      <c r="F182" s="77" t="str">
        <f t="shared" si="3"/>
        <v>ehuskic@onebarnes.com.new.uat</v>
      </c>
      <c r="G182" s="18" t="s">
        <v>1427</v>
      </c>
      <c r="H182" s="77" t="str">
        <f>UKG!AQ182</f>
        <v>ehuskic@onebarnes.com</v>
      </c>
      <c r="I182" s="18" t="str">
        <f>IFERROR(VLOOKUP(J182,'Language Map'!M:O,3,FALSE),"en_US")</f>
        <v>sv_SE</v>
      </c>
      <c r="J182" s="77" t="str">
        <f>UKG!BF182</f>
        <v>SE</v>
      </c>
      <c r="L182" s="77" t="str">
        <f>IFERROR(VLOOKUP(UKG!BA182,'UKG Company Map'!B:G,7,FALSE),"Ledger Code Not Matched")</f>
        <v>Ledger Code Not Matched</v>
      </c>
      <c r="M182" s="18" t="str">
        <f>UKG!BH182</f>
        <v>SEK</v>
      </c>
      <c r="O182" s="18" t="str">
        <f>UKG!BJ182</f>
        <v>Y</v>
      </c>
      <c r="P182" s="18" t="str">
        <f>IFERROR(VLOOKUP(UKG!BA182,'UKG Company Map'!B:E,2,FALSE),"Org Unit 1 Not Mapped")</f>
        <v>0077</v>
      </c>
      <c r="Q182" s="77" t="str">
        <f>UKG!BB182</f>
        <v>0000</v>
      </c>
      <c r="W182" s="77" t="str">
        <f>UKG!Q182</f>
        <v>H0005</v>
      </c>
      <c r="X182" s="18" t="str">
        <f>UKG!BC182</f>
        <v>Default</v>
      </c>
      <c r="Z182" s="18" t="str">
        <f>IFERROR(VLOOKUP(UKG!BA182,'UKG Company Map'!B:G,8,FALSE),"Custom 5 Not Matched")</f>
        <v>Custom 5 Not Matched</v>
      </c>
      <c r="AP182" s="18" t="str">
        <f>IFERROR(VLOOKUP(UKG!BA182,'UKG Company Map'!B:G,4,FALSE),"Custom 21 Exp Group Not Matched")</f>
        <v>0077</v>
      </c>
      <c r="BG182" s="77" t="str">
        <f>UKG!AZ182</f>
        <v>205377</v>
      </c>
      <c r="BK182" s="18" t="s">
        <v>1421</v>
      </c>
      <c r="BL182" s="18" t="s">
        <v>1421</v>
      </c>
      <c r="BU182" s="18" t="str">
        <f>UKG!BL182</f>
        <v>N</v>
      </c>
      <c r="BV182" s="18" t="str">
        <f>UKG!BL182</f>
        <v>N</v>
      </c>
      <c r="CE182" s="18" t="s">
        <v>1421</v>
      </c>
    </row>
    <row r="183" spans="1:83" ht="16" hidden="1" thickBot="1" x14ac:dyDescent="0.25">
      <c r="A183" s="39" t="s">
        <v>1420</v>
      </c>
      <c r="B183" s="77" t="str">
        <f>UKG!BO183</f>
        <v>HABIB</v>
      </c>
      <c r="D183" s="77" t="str">
        <f>UKG!BN183</f>
        <v>JAFARI</v>
      </c>
      <c r="E183" s="77" t="str">
        <f>UKG!D183</f>
        <v>207164</v>
      </c>
      <c r="F183" s="77" t="str">
        <f t="shared" si="3"/>
        <v>E207164@onebarnes.com.new.uat</v>
      </c>
      <c r="G183" s="18" t="s">
        <v>1427</v>
      </c>
      <c r="H183" s="77" t="str">
        <f>UKG!AQ183</f>
        <v>E207164@onebarnes.com</v>
      </c>
      <c r="I183" s="18" t="str">
        <f>IFERROR(VLOOKUP(J183,'Language Map'!M:O,3,FALSE),"en_US")</f>
        <v>sv_SE</v>
      </c>
      <c r="J183" s="77" t="str">
        <f>UKG!BF183</f>
        <v>SE</v>
      </c>
      <c r="L183" s="77" t="str">
        <f>IFERROR(VLOOKUP(UKG!BA183,'UKG Company Map'!B:G,7,FALSE),"Ledger Code Not Matched")</f>
        <v>Ledger Code Not Matched</v>
      </c>
      <c r="M183" s="18" t="str">
        <f>UKG!BH183</f>
        <v>SEK</v>
      </c>
      <c r="O183" s="18" t="str">
        <f>UKG!BJ183</f>
        <v>Y</v>
      </c>
      <c r="P183" s="18" t="str">
        <f>IFERROR(VLOOKUP(UKG!BA183,'UKG Company Map'!B:E,2,FALSE),"Org Unit 1 Not Mapped")</f>
        <v>0077</v>
      </c>
      <c r="Q183" s="77" t="str">
        <f>UKG!BB183</f>
        <v>0000</v>
      </c>
      <c r="W183" s="77" t="str">
        <f>UKG!Q183</f>
        <v>H0005</v>
      </c>
      <c r="X183" s="18" t="str">
        <f>UKG!BC183</f>
        <v>Default</v>
      </c>
      <c r="Z183" s="18" t="str">
        <f>IFERROR(VLOOKUP(UKG!BA183,'UKG Company Map'!B:G,8,FALSE),"Custom 5 Not Matched")</f>
        <v>Custom 5 Not Matched</v>
      </c>
      <c r="AP183" s="18" t="str">
        <f>IFERROR(VLOOKUP(UKG!BA183,'UKG Company Map'!B:G,4,FALSE),"Custom 21 Exp Group Not Matched")</f>
        <v>0077</v>
      </c>
      <c r="BG183" s="77" t="str">
        <f>UKG!AZ183</f>
        <v>212110</v>
      </c>
      <c r="BK183" s="18" t="s">
        <v>1421</v>
      </c>
      <c r="BL183" s="18" t="s">
        <v>1421</v>
      </c>
      <c r="BU183" s="18" t="str">
        <f>UKG!BL183</f>
        <v>N</v>
      </c>
      <c r="BV183" s="18" t="str">
        <f>UKG!BL183</f>
        <v>N</v>
      </c>
      <c r="CE183" s="18" t="s">
        <v>1421</v>
      </c>
    </row>
    <row r="184" spans="1:83" ht="16" hidden="1" thickBot="1" x14ac:dyDescent="0.25">
      <c r="A184" s="39" t="s">
        <v>1420</v>
      </c>
      <c r="B184" s="77" t="str">
        <f>UKG!BO184</f>
        <v>ANNA-LENA</v>
      </c>
      <c r="D184" s="77" t="str">
        <f>UKG!BN184</f>
        <v>JAKOBSSON</v>
      </c>
      <c r="E184" s="77" t="str">
        <f>UKG!D184</f>
        <v>205228</v>
      </c>
      <c r="F184" s="77" t="str">
        <f t="shared" si="3"/>
        <v>E205228@onebarnes.com.new.uat</v>
      </c>
      <c r="G184" s="18" t="s">
        <v>1427</v>
      </c>
      <c r="H184" s="77" t="str">
        <f>UKG!AQ184</f>
        <v>E205228@onebarnes.com</v>
      </c>
      <c r="I184" s="18" t="str">
        <f>IFERROR(VLOOKUP(J184,'Language Map'!M:O,3,FALSE),"en_US")</f>
        <v>sv_SE</v>
      </c>
      <c r="J184" s="77" t="str">
        <f>UKG!BF184</f>
        <v>SE</v>
      </c>
      <c r="L184" s="77" t="str">
        <f>IFERROR(VLOOKUP(UKG!BA184,'UKG Company Map'!B:G,7,FALSE),"Ledger Code Not Matched")</f>
        <v>Ledger Code Not Matched</v>
      </c>
      <c r="M184" s="18" t="str">
        <f>UKG!BH184</f>
        <v>SEK</v>
      </c>
      <c r="O184" s="18" t="str">
        <f>UKG!BJ184</f>
        <v>Y</v>
      </c>
      <c r="P184" s="18" t="str">
        <f>IFERROR(VLOOKUP(UKG!BA184,'UKG Company Map'!B:E,2,FALSE),"Org Unit 1 Not Mapped")</f>
        <v>0077</v>
      </c>
      <c r="Q184" s="77" t="str">
        <f>UKG!BB184</f>
        <v>0000</v>
      </c>
      <c r="W184" s="77" t="str">
        <f>UKG!Q184</f>
        <v>H0005</v>
      </c>
      <c r="X184" s="18" t="str">
        <f>UKG!BC184</f>
        <v>Default</v>
      </c>
      <c r="Z184" s="18" t="str">
        <f>IFERROR(VLOOKUP(UKG!BA184,'UKG Company Map'!B:G,8,FALSE),"Custom 5 Not Matched")</f>
        <v>Custom 5 Not Matched</v>
      </c>
      <c r="AP184" s="18" t="str">
        <f>IFERROR(VLOOKUP(UKG!BA184,'UKG Company Map'!B:G,4,FALSE),"Custom 21 Exp Group Not Matched")</f>
        <v>0077</v>
      </c>
      <c r="BG184" s="77" t="str">
        <f>UKG!AZ184</f>
        <v>205315</v>
      </c>
      <c r="BK184" s="18" t="s">
        <v>1421</v>
      </c>
      <c r="BL184" s="18" t="s">
        <v>1421</v>
      </c>
      <c r="BU184" s="18" t="str">
        <f>UKG!BL184</f>
        <v>N</v>
      </c>
      <c r="BV184" s="18" t="str">
        <f>UKG!BL184</f>
        <v>N</v>
      </c>
      <c r="CE184" s="18" t="s">
        <v>1421</v>
      </c>
    </row>
    <row r="185" spans="1:83" ht="16" hidden="1" thickBot="1" x14ac:dyDescent="0.25">
      <c r="A185" s="39" t="s">
        <v>1420</v>
      </c>
      <c r="B185" s="77" t="str">
        <f>UKG!BO185</f>
        <v>JENNY</v>
      </c>
      <c r="D185" s="77" t="str">
        <f>UKG!BN185</f>
        <v>JOHANSSON</v>
      </c>
      <c r="E185" s="77" t="str">
        <f>UKG!D185</f>
        <v>205208</v>
      </c>
      <c r="F185" s="77" t="str">
        <f t="shared" si="3"/>
        <v>E205208@onebarnes.com.new.uat</v>
      </c>
      <c r="G185" s="18" t="s">
        <v>1427</v>
      </c>
      <c r="H185" s="77" t="str">
        <f>UKG!AQ185</f>
        <v>E205208@onebarnes.com</v>
      </c>
      <c r="I185" s="18" t="str">
        <f>IFERROR(VLOOKUP(J185,'Language Map'!M:O,3,FALSE),"en_US")</f>
        <v>sv_SE</v>
      </c>
      <c r="J185" s="77" t="str">
        <f>UKG!BF185</f>
        <v>SE</v>
      </c>
      <c r="L185" s="77" t="str">
        <f>IFERROR(VLOOKUP(UKG!BA185,'UKG Company Map'!B:G,7,FALSE),"Ledger Code Not Matched")</f>
        <v>Ledger Code Not Matched</v>
      </c>
      <c r="M185" s="18" t="str">
        <f>UKG!BH185</f>
        <v>SEK</v>
      </c>
      <c r="O185" s="18" t="str">
        <f>UKG!BJ185</f>
        <v>Y</v>
      </c>
      <c r="P185" s="18" t="str">
        <f>IFERROR(VLOOKUP(UKG!BA185,'UKG Company Map'!B:E,2,FALSE),"Org Unit 1 Not Mapped")</f>
        <v>0077</v>
      </c>
      <c r="Q185" s="77" t="str">
        <f>UKG!BB185</f>
        <v>0000</v>
      </c>
      <c r="W185" s="77" t="str">
        <f>UKG!Q185</f>
        <v>H0005</v>
      </c>
      <c r="X185" s="18" t="str">
        <f>UKG!BC185</f>
        <v>Default</v>
      </c>
      <c r="Z185" s="18" t="str">
        <f>IFERROR(VLOOKUP(UKG!BA185,'UKG Company Map'!B:G,8,FALSE),"Custom 5 Not Matched")</f>
        <v>Custom 5 Not Matched</v>
      </c>
      <c r="AP185" s="18" t="str">
        <f>IFERROR(VLOOKUP(UKG!BA185,'UKG Company Map'!B:G,4,FALSE),"Custom 21 Exp Group Not Matched")</f>
        <v>0077</v>
      </c>
      <c r="BG185" s="77" t="str">
        <f>UKG!AZ185</f>
        <v>205383</v>
      </c>
      <c r="BK185" s="18" t="s">
        <v>1421</v>
      </c>
      <c r="BL185" s="18" t="s">
        <v>1421</v>
      </c>
      <c r="BU185" s="18" t="str">
        <f>UKG!BL185</f>
        <v>N</v>
      </c>
      <c r="BV185" s="18" t="str">
        <f>UKG!BL185</f>
        <v>N</v>
      </c>
      <c r="CE185" s="18" t="s">
        <v>1421</v>
      </c>
    </row>
    <row r="186" spans="1:83" ht="16" hidden="1" thickBot="1" x14ac:dyDescent="0.25">
      <c r="A186" s="39" t="s">
        <v>1420</v>
      </c>
      <c r="B186" s="77" t="str">
        <f>UKG!BO186</f>
        <v>MIKAEL</v>
      </c>
      <c r="D186" s="77" t="str">
        <f>UKG!BN186</f>
        <v>JOHANSSON</v>
      </c>
      <c r="E186" s="77" t="str">
        <f>UKG!D186</f>
        <v>205272</v>
      </c>
      <c r="F186" s="77" t="str">
        <f t="shared" si="3"/>
        <v>E205272@onebarnes.com.new.uat</v>
      </c>
      <c r="G186" s="18" t="s">
        <v>1427</v>
      </c>
      <c r="H186" s="77" t="str">
        <f>UKG!AQ186</f>
        <v>E205272@onebarnes.com</v>
      </c>
      <c r="I186" s="18" t="str">
        <f>IFERROR(VLOOKUP(J186,'Language Map'!M:O,3,FALSE),"en_US")</f>
        <v>sv_SE</v>
      </c>
      <c r="J186" s="77" t="str">
        <f>UKG!BF186</f>
        <v>SE</v>
      </c>
      <c r="L186" s="77" t="str">
        <f>IFERROR(VLOOKUP(UKG!BA186,'UKG Company Map'!B:G,7,FALSE),"Ledger Code Not Matched")</f>
        <v>Ledger Code Not Matched</v>
      </c>
      <c r="M186" s="18" t="str">
        <f>UKG!BH186</f>
        <v>SEK</v>
      </c>
      <c r="O186" s="18" t="str">
        <f>UKG!BJ186</f>
        <v>Y</v>
      </c>
      <c r="P186" s="18" t="str">
        <f>IFERROR(VLOOKUP(UKG!BA186,'UKG Company Map'!B:E,2,FALSE),"Org Unit 1 Not Mapped")</f>
        <v>0077</v>
      </c>
      <c r="Q186" s="77" t="str">
        <f>UKG!BB186</f>
        <v>0000</v>
      </c>
      <c r="W186" s="77" t="str">
        <f>UKG!Q186</f>
        <v>H0005</v>
      </c>
      <c r="X186" s="18" t="str">
        <f>UKG!BC186</f>
        <v>Default</v>
      </c>
      <c r="Z186" s="18" t="str">
        <f>IFERROR(VLOOKUP(UKG!BA186,'UKG Company Map'!B:G,8,FALSE),"Custom 5 Not Matched")</f>
        <v>Custom 5 Not Matched</v>
      </c>
      <c r="AP186" s="18" t="str">
        <f>IFERROR(VLOOKUP(UKG!BA186,'UKG Company Map'!B:G,4,FALSE),"Custom 21 Exp Group Not Matched")</f>
        <v>0077</v>
      </c>
      <c r="BG186" s="77" t="str">
        <f>UKG!AZ186</f>
        <v>212110</v>
      </c>
      <c r="BK186" s="18" t="s">
        <v>1421</v>
      </c>
      <c r="BL186" s="18" t="s">
        <v>1421</v>
      </c>
      <c r="BU186" s="18" t="str">
        <f>UKG!BL186</f>
        <v>N</v>
      </c>
      <c r="BV186" s="18" t="str">
        <f>UKG!BL186</f>
        <v>N</v>
      </c>
      <c r="CE186" s="18" t="s">
        <v>1421</v>
      </c>
    </row>
    <row r="187" spans="1:83" ht="16" hidden="1" thickBot="1" x14ac:dyDescent="0.25">
      <c r="A187" s="39" t="s">
        <v>1420</v>
      </c>
      <c r="B187" s="77" t="str">
        <f>UKG!BO187</f>
        <v>SOFIE</v>
      </c>
      <c r="D187" s="77" t="str">
        <f>UKG!BN187</f>
        <v>JOHANSSON</v>
      </c>
      <c r="E187" s="77" t="str">
        <f>UKG!D187</f>
        <v>205282</v>
      </c>
      <c r="F187" s="77" t="str">
        <f t="shared" si="3"/>
        <v>E205282@onebarnes.com.new.uat</v>
      </c>
      <c r="G187" s="18" t="s">
        <v>1427</v>
      </c>
      <c r="H187" s="77" t="str">
        <f>UKG!AQ187</f>
        <v>E205282@onebarnes.com</v>
      </c>
      <c r="I187" s="18" t="str">
        <f>IFERROR(VLOOKUP(J187,'Language Map'!M:O,3,FALSE),"en_US")</f>
        <v>sv_SE</v>
      </c>
      <c r="J187" s="77" t="str">
        <f>UKG!BF187</f>
        <v>SE</v>
      </c>
      <c r="L187" s="77" t="str">
        <f>IFERROR(VLOOKUP(UKG!BA187,'UKG Company Map'!B:G,7,FALSE),"Ledger Code Not Matched")</f>
        <v>Ledger Code Not Matched</v>
      </c>
      <c r="M187" s="18" t="str">
        <f>UKG!BH187</f>
        <v>SEK</v>
      </c>
      <c r="O187" s="18" t="str">
        <f>UKG!BJ187</f>
        <v>Y</v>
      </c>
      <c r="P187" s="18" t="str">
        <f>IFERROR(VLOOKUP(UKG!BA187,'UKG Company Map'!B:E,2,FALSE),"Org Unit 1 Not Mapped")</f>
        <v>0077</v>
      </c>
      <c r="Q187" s="77" t="str">
        <f>UKG!BB187</f>
        <v>0000</v>
      </c>
      <c r="W187" s="77" t="str">
        <f>UKG!Q187</f>
        <v>H0005</v>
      </c>
      <c r="X187" s="18" t="str">
        <f>UKG!BC187</f>
        <v>Default</v>
      </c>
      <c r="Z187" s="18" t="str">
        <f>IFERROR(VLOOKUP(UKG!BA187,'UKG Company Map'!B:G,8,FALSE),"Custom 5 Not Matched")</f>
        <v>Custom 5 Not Matched</v>
      </c>
      <c r="AP187" s="18" t="str">
        <f>IFERROR(VLOOKUP(UKG!BA187,'UKG Company Map'!B:G,4,FALSE),"Custom 21 Exp Group Not Matched")</f>
        <v>0077</v>
      </c>
      <c r="BG187" s="77" t="str">
        <f>UKG!AZ187</f>
        <v>212110</v>
      </c>
      <c r="BK187" s="18" t="s">
        <v>1421</v>
      </c>
      <c r="BL187" s="18" t="s">
        <v>1421</v>
      </c>
      <c r="BU187" s="18" t="str">
        <f>UKG!BL187</f>
        <v>N</v>
      </c>
      <c r="BV187" s="18" t="str">
        <f>UKG!BL187</f>
        <v>N</v>
      </c>
      <c r="CE187" s="18" t="s">
        <v>1421</v>
      </c>
    </row>
    <row r="188" spans="1:83" ht="16" hidden="1" thickBot="1" x14ac:dyDescent="0.25">
      <c r="A188" s="39" t="s">
        <v>1420</v>
      </c>
      <c r="B188" s="77" t="str">
        <f>UKG!BO188</f>
        <v>CLAES</v>
      </c>
      <c r="D188" s="77" t="str">
        <f>UKG!BN188</f>
        <v>JOHNSSON</v>
      </c>
      <c r="E188" s="77" t="str">
        <f>UKG!D188</f>
        <v>205147</v>
      </c>
      <c r="F188" s="77" t="str">
        <f t="shared" si="3"/>
        <v>CJohnsson@onebarnes.com.new.uat</v>
      </c>
      <c r="G188" s="18" t="s">
        <v>1427</v>
      </c>
      <c r="H188" s="77" t="str">
        <f>UKG!AQ188</f>
        <v>CJohnsson@onebarnes.com</v>
      </c>
      <c r="I188" s="18" t="str">
        <f>IFERROR(VLOOKUP(J188,'Language Map'!M:O,3,FALSE),"en_US")</f>
        <v>sv_SE</v>
      </c>
      <c r="J188" s="77" t="str">
        <f>UKG!BF188</f>
        <v>SE</v>
      </c>
      <c r="L188" s="77" t="str">
        <f>IFERROR(VLOOKUP(UKG!BA188,'UKG Company Map'!B:G,7,FALSE),"Ledger Code Not Matched")</f>
        <v>Ledger Code Not Matched</v>
      </c>
      <c r="M188" s="18" t="str">
        <f>UKG!BH188</f>
        <v>SEK</v>
      </c>
      <c r="O188" s="18" t="str">
        <f>UKG!BJ188</f>
        <v>Y</v>
      </c>
      <c r="P188" s="18" t="str">
        <f>IFERROR(VLOOKUP(UKG!BA188,'UKG Company Map'!B:E,2,FALSE),"Org Unit 1 Not Mapped")</f>
        <v>0077</v>
      </c>
      <c r="Q188" s="77" t="str">
        <f>UKG!BB188</f>
        <v>0000</v>
      </c>
      <c r="W188" s="77" t="str">
        <f>UKG!Q188</f>
        <v>H0004</v>
      </c>
      <c r="X188" s="18" t="str">
        <f>UKG!BC188</f>
        <v>Default</v>
      </c>
      <c r="Z188" s="18" t="str">
        <f>IFERROR(VLOOKUP(UKG!BA188,'UKG Company Map'!B:G,8,FALSE),"Custom 5 Not Matched")</f>
        <v>Custom 5 Not Matched</v>
      </c>
      <c r="AP188" s="18" t="str">
        <f>IFERROR(VLOOKUP(UKG!BA188,'UKG Company Map'!B:G,4,FALSE),"Custom 21 Exp Group Not Matched")</f>
        <v>0077</v>
      </c>
      <c r="BG188" s="77" t="str">
        <f>UKG!AZ188</f>
        <v>205058</v>
      </c>
      <c r="BK188" s="18" t="s">
        <v>1421</v>
      </c>
      <c r="BL188" s="18" t="s">
        <v>1421</v>
      </c>
      <c r="BU188" s="18" t="str">
        <f>UKG!BL188</f>
        <v>N</v>
      </c>
      <c r="BV188" s="18" t="str">
        <f>UKG!BL188</f>
        <v>N</v>
      </c>
      <c r="CE188" s="18" t="s">
        <v>1421</v>
      </c>
    </row>
    <row r="189" spans="1:83" ht="16" hidden="1" thickBot="1" x14ac:dyDescent="0.25">
      <c r="A189" s="39" t="s">
        <v>1420</v>
      </c>
      <c r="B189" s="77" t="str">
        <f>UKG!BO189</f>
        <v>LARS</v>
      </c>
      <c r="D189" s="77" t="str">
        <f>UKG!BN189</f>
        <v>JONEBRING</v>
      </c>
      <c r="E189" s="77" t="str">
        <f>UKG!D189</f>
        <v>205120</v>
      </c>
      <c r="F189" s="77" t="str">
        <f t="shared" si="3"/>
        <v>LJonebring@onebarnes.com.new.uat</v>
      </c>
      <c r="G189" s="18" t="s">
        <v>1427</v>
      </c>
      <c r="H189" s="77" t="str">
        <f>UKG!AQ189</f>
        <v>LJonebring@onebarnes.com</v>
      </c>
      <c r="I189" s="18" t="str">
        <f>IFERROR(VLOOKUP(J189,'Language Map'!M:O,3,FALSE),"en_US")</f>
        <v>sv_SE</v>
      </c>
      <c r="J189" s="77" t="str">
        <f>UKG!BF189</f>
        <v>SE</v>
      </c>
      <c r="L189" s="77" t="str">
        <f>IFERROR(VLOOKUP(UKG!BA189,'UKG Company Map'!B:G,7,FALSE),"Ledger Code Not Matched")</f>
        <v>Ledger Code Not Matched</v>
      </c>
      <c r="M189" s="18" t="str">
        <f>UKG!BH189</f>
        <v>SEK</v>
      </c>
      <c r="O189" s="18" t="str">
        <f>UKG!BJ189</f>
        <v>Y</v>
      </c>
      <c r="P189" s="18" t="str">
        <f>IFERROR(VLOOKUP(UKG!BA189,'UKG Company Map'!B:E,2,FALSE),"Org Unit 1 Not Mapped")</f>
        <v>0077</v>
      </c>
      <c r="Q189" s="77" t="str">
        <f>UKG!BB189</f>
        <v>0000</v>
      </c>
      <c r="W189" s="77" t="str">
        <f>UKG!Q189</f>
        <v>H0004</v>
      </c>
      <c r="X189" s="18" t="str">
        <f>UKG!BC189</f>
        <v>Default</v>
      </c>
      <c r="Z189" s="18" t="str">
        <f>IFERROR(VLOOKUP(UKG!BA189,'UKG Company Map'!B:G,8,FALSE),"Custom 5 Not Matched")</f>
        <v>Custom 5 Not Matched</v>
      </c>
      <c r="AP189" s="18" t="str">
        <f>IFERROR(VLOOKUP(UKG!BA189,'UKG Company Map'!B:G,4,FALSE),"Custom 21 Exp Group Not Matched")</f>
        <v>0077</v>
      </c>
      <c r="BG189" s="77" t="str">
        <f>UKG!AZ189</f>
        <v>205380</v>
      </c>
      <c r="BK189" s="18" t="s">
        <v>1421</v>
      </c>
      <c r="BL189" s="18" t="s">
        <v>1421</v>
      </c>
      <c r="BU189" s="18" t="str">
        <f>UKG!BL189</f>
        <v>N</v>
      </c>
      <c r="BV189" s="18" t="str">
        <f>UKG!BL189</f>
        <v>N</v>
      </c>
      <c r="CE189" s="18" t="s">
        <v>1421</v>
      </c>
    </row>
    <row r="190" spans="1:83" ht="16" hidden="1" thickBot="1" x14ac:dyDescent="0.25">
      <c r="A190" s="39" t="s">
        <v>1420</v>
      </c>
      <c r="B190" s="77" t="str">
        <f>UKG!BO190</f>
        <v>ANDREAS</v>
      </c>
      <c r="D190" s="77" t="str">
        <f>UKG!BN190</f>
        <v>JONSSON</v>
      </c>
      <c r="E190" s="77" t="str">
        <f>UKG!D190</f>
        <v>205111</v>
      </c>
      <c r="F190" s="77" t="str">
        <f t="shared" si="3"/>
        <v>E205111@onebarnes.com.new.uat</v>
      </c>
      <c r="G190" s="18" t="s">
        <v>1427</v>
      </c>
      <c r="H190" s="77" t="str">
        <f>UKG!AQ190</f>
        <v>E205111@onebarnes.com</v>
      </c>
      <c r="I190" s="18" t="str">
        <f>IFERROR(VLOOKUP(J190,'Language Map'!M:O,3,FALSE),"en_US")</f>
        <v>sv_SE</v>
      </c>
      <c r="J190" s="77" t="str">
        <f>UKG!BF190</f>
        <v>SE</v>
      </c>
      <c r="L190" s="77" t="str">
        <f>IFERROR(VLOOKUP(UKG!BA190,'UKG Company Map'!B:G,7,FALSE),"Ledger Code Not Matched")</f>
        <v>Ledger Code Not Matched</v>
      </c>
      <c r="M190" s="18" t="str">
        <f>UKG!BH190</f>
        <v>SEK</v>
      </c>
      <c r="O190" s="18" t="str">
        <f>UKG!BJ190</f>
        <v>Y</v>
      </c>
      <c r="P190" s="18" t="str">
        <f>IFERROR(VLOOKUP(UKG!BA190,'UKG Company Map'!B:E,2,FALSE),"Org Unit 1 Not Mapped")</f>
        <v>0077</v>
      </c>
      <c r="Q190" s="77" t="str">
        <f>UKG!BB190</f>
        <v>0000</v>
      </c>
      <c r="W190" s="77" t="str">
        <f>UKG!Q190</f>
        <v>H0008</v>
      </c>
      <c r="X190" s="18" t="str">
        <f>UKG!BC190</f>
        <v>Default</v>
      </c>
      <c r="Z190" s="18" t="str">
        <f>IFERROR(VLOOKUP(UKG!BA190,'UKG Company Map'!B:G,8,FALSE),"Custom 5 Not Matched")</f>
        <v>Custom 5 Not Matched</v>
      </c>
      <c r="AP190" s="18" t="str">
        <f>IFERROR(VLOOKUP(UKG!BA190,'UKG Company Map'!B:G,4,FALSE),"Custom 21 Exp Group Not Matched")</f>
        <v>0077</v>
      </c>
      <c r="BG190" s="77" t="str">
        <f>UKG!AZ190</f>
        <v>205384</v>
      </c>
      <c r="BK190" s="18" t="s">
        <v>1421</v>
      </c>
      <c r="BL190" s="18" t="s">
        <v>1421</v>
      </c>
      <c r="BU190" s="18" t="str">
        <f>UKG!BL190</f>
        <v>N</v>
      </c>
      <c r="BV190" s="18" t="str">
        <f>UKG!BL190</f>
        <v>N</v>
      </c>
      <c r="CE190" s="18" t="s">
        <v>1421</v>
      </c>
    </row>
    <row r="191" spans="1:83" ht="16" hidden="1" thickBot="1" x14ac:dyDescent="0.25">
      <c r="A191" s="39" t="s">
        <v>1420</v>
      </c>
      <c r="B191" s="77" t="str">
        <f>UKG!BO191</f>
        <v>NIHAD</v>
      </c>
      <c r="D191" s="77" t="str">
        <f>UKG!BN191</f>
        <v>KAHAREVIC</v>
      </c>
      <c r="E191" s="77" t="str">
        <f>UKG!D191</f>
        <v>205213</v>
      </c>
      <c r="F191" s="77" t="str">
        <f t="shared" si="3"/>
        <v>E205213@onebarnes.com.new.uat</v>
      </c>
      <c r="G191" s="18" t="s">
        <v>1427</v>
      </c>
      <c r="H191" s="77" t="str">
        <f>UKG!AQ191</f>
        <v>E205213@onebarnes.com</v>
      </c>
      <c r="I191" s="18" t="str">
        <f>IFERROR(VLOOKUP(J191,'Language Map'!M:O,3,FALSE),"en_US")</f>
        <v>sv_SE</v>
      </c>
      <c r="J191" s="77" t="str">
        <f>UKG!BF191</f>
        <v>SE</v>
      </c>
      <c r="L191" s="77" t="str">
        <f>IFERROR(VLOOKUP(UKG!BA191,'UKG Company Map'!B:G,7,FALSE),"Ledger Code Not Matched")</f>
        <v>Ledger Code Not Matched</v>
      </c>
      <c r="M191" s="18" t="str">
        <f>UKG!BH191</f>
        <v>SEK</v>
      </c>
      <c r="O191" s="18" t="str">
        <f>UKG!BJ191</f>
        <v>Y</v>
      </c>
      <c r="P191" s="18" t="str">
        <f>IFERROR(VLOOKUP(UKG!BA191,'UKG Company Map'!B:E,2,FALSE),"Org Unit 1 Not Mapped")</f>
        <v>0077</v>
      </c>
      <c r="Q191" s="77" t="str">
        <f>UKG!BB191</f>
        <v>0000</v>
      </c>
      <c r="W191" s="77" t="str">
        <f>UKG!Q191</f>
        <v>H0005</v>
      </c>
      <c r="X191" s="18" t="str">
        <f>UKG!BC191</f>
        <v>Default</v>
      </c>
      <c r="Z191" s="18" t="str">
        <f>IFERROR(VLOOKUP(UKG!BA191,'UKG Company Map'!B:G,8,FALSE),"Custom 5 Not Matched")</f>
        <v>Custom 5 Not Matched</v>
      </c>
      <c r="AP191" s="18" t="str">
        <f>IFERROR(VLOOKUP(UKG!BA191,'UKG Company Map'!B:G,4,FALSE),"Custom 21 Exp Group Not Matched")</f>
        <v>0077</v>
      </c>
      <c r="BG191" s="77" t="str">
        <f>UKG!AZ191</f>
        <v>205315</v>
      </c>
      <c r="BK191" s="18" t="s">
        <v>1421</v>
      </c>
      <c r="BL191" s="18" t="s">
        <v>1421</v>
      </c>
      <c r="BU191" s="18" t="str">
        <f>UKG!BL191</f>
        <v>N</v>
      </c>
      <c r="BV191" s="18" t="str">
        <f>UKG!BL191</f>
        <v>N</v>
      </c>
      <c r="CE191" s="18" t="s">
        <v>1421</v>
      </c>
    </row>
    <row r="192" spans="1:83" ht="16" hidden="1" thickBot="1" x14ac:dyDescent="0.25">
      <c r="A192" s="39" t="s">
        <v>1420</v>
      </c>
      <c r="B192" s="77" t="str">
        <f>UKG!BO192</f>
        <v>NICLAS</v>
      </c>
      <c r="D192" s="77" t="str">
        <f>UKG!BN192</f>
        <v>KAMSPÅNG</v>
      </c>
      <c r="E192" s="77" t="str">
        <f>UKG!D192</f>
        <v>205271</v>
      </c>
      <c r="F192" s="77" t="str">
        <f t="shared" si="3"/>
        <v>niclas.kamspang@kaller.com.new.uat</v>
      </c>
      <c r="G192" s="18" t="s">
        <v>1427</v>
      </c>
      <c r="H192" s="77" t="str">
        <f>UKG!AQ192</f>
        <v>niclas.kamspang@kaller.com</v>
      </c>
      <c r="I192" s="18" t="str">
        <f>IFERROR(VLOOKUP(J192,'Language Map'!M:O,3,FALSE),"en_US")</f>
        <v>sv_SE</v>
      </c>
      <c r="J192" s="77" t="str">
        <f>UKG!BF192</f>
        <v>SE</v>
      </c>
      <c r="L192" s="77" t="str">
        <f>IFERROR(VLOOKUP(UKG!BA192,'UKG Company Map'!B:G,7,FALSE),"Ledger Code Not Matched")</f>
        <v>Ledger Code Not Matched</v>
      </c>
      <c r="M192" s="18" t="str">
        <f>UKG!BH192</f>
        <v>SEK</v>
      </c>
      <c r="O192" s="18" t="str">
        <f>UKG!BJ192</f>
        <v>Y</v>
      </c>
      <c r="P192" s="18" t="str">
        <f>IFERROR(VLOOKUP(UKG!BA192,'UKG Company Map'!B:E,2,FALSE),"Org Unit 1 Not Mapped")</f>
        <v>0077</v>
      </c>
      <c r="Q192" s="77" t="str">
        <f>UKG!BB192</f>
        <v>0000</v>
      </c>
      <c r="W192" s="77" t="str">
        <f>UKG!Q192</f>
        <v>H0007</v>
      </c>
      <c r="X192" s="18" t="str">
        <f>UKG!BC192</f>
        <v>Default</v>
      </c>
      <c r="Z192" s="18" t="str">
        <f>IFERROR(VLOOKUP(UKG!BA192,'UKG Company Map'!B:G,8,FALSE),"Custom 5 Not Matched")</f>
        <v>Custom 5 Not Matched</v>
      </c>
      <c r="AP192" s="18" t="str">
        <f>IFERROR(VLOOKUP(UKG!BA192,'UKG Company Map'!B:G,4,FALSE),"Custom 21 Exp Group Not Matched")</f>
        <v>0077</v>
      </c>
      <c r="BG192" s="77" t="str">
        <f>UKG!AZ192</f>
        <v>213460</v>
      </c>
      <c r="BK192" s="18" t="s">
        <v>1421</v>
      </c>
      <c r="BL192" s="18" t="s">
        <v>1421</v>
      </c>
      <c r="BU192" s="18" t="str">
        <f>UKG!BL192</f>
        <v>N</v>
      </c>
      <c r="BV192" s="18" t="str">
        <f>UKG!BL192</f>
        <v>N</v>
      </c>
      <c r="CE192" s="18" t="s">
        <v>1421</v>
      </c>
    </row>
    <row r="193" spans="1:83" ht="16" hidden="1" thickBot="1" x14ac:dyDescent="0.25">
      <c r="A193" s="39" t="s">
        <v>1420</v>
      </c>
      <c r="B193" s="77" t="str">
        <f>UKG!BO193</f>
        <v>SAIBUA</v>
      </c>
      <c r="D193" s="77" t="str">
        <f>UKG!BN193</f>
        <v>KAN-OP</v>
      </c>
      <c r="E193" s="77" t="str">
        <f>UKG!D193</f>
        <v>207536</v>
      </c>
      <c r="F193" s="77" t="str">
        <f t="shared" si="3"/>
        <v>E207536@onebarnes.com.new.uat</v>
      </c>
      <c r="G193" s="18" t="s">
        <v>1427</v>
      </c>
      <c r="H193" s="77" t="str">
        <f>UKG!AQ193</f>
        <v>E207536@onebarnes.com</v>
      </c>
      <c r="I193" s="18" t="str">
        <f>IFERROR(VLOOKUP(J193,'Language Map'!M:O,3,FALSE),"en_US")</f>
        <v>sv_SE</v>
      </c>
      <c r="J193" s="77" t="str">
        <f>UKG!BF193</f>
        <v>SE</v>
      </c>
      <c r="L193" s="77" t="str">
        <f>IFERROR(VLOOKUP(UKG!BA193,'UKG Company Map'!B:G,7,FALSE),"Ledger Code Not Matched")</f>
        <v>Ledger Code Not Matched</v>
      </c>
      <c r="M193" s="18" t="str">
        <f>UKG!BH193</f>
        <v>SEK</v>
      </c>
      <c r="O193" s="18" t="str">
        <f>UKG!BJ193</f>
        <v>Y</v>
      </c>
      <c r="P193" s="18" t="str">
        <f>IFERROR(VLOOKUP(UKG!BA193,'UKG Company Map'!B:E,2,FALSE),"Org Unit 1 Not Mapped")</f>
        <v>0077</v>
      </c>
      <c r="Q193" s="77" t="str">
        <f>UKG!BB193</f>
        <v>0000</v>
      </c>
      <c r="W193" s="77" t="str">
        <f>UKG!Q193</f>
        <v>H0004</v>
      </c>
      <c r="X193" s="18" t="str">
        <f>UKG!BC193</f>
        <v>Default</v>
      </c>
      <c r="Z193" s="18" t="str">
        <f>IFERROR(VLOOKUP(UKG!BA193,'UKG Company Map'!B:G,8,FALSE),"Custom 5 Not Matched")</f>
        <v>Custom 5 Not Matched</v>
      </c>
      <c r="AP193" s="18" t="str">
        <f>IFERROR(VLOOKUP(UKG!BA193,'UKG Company Map'!B:G,4,FALSE),"Custom 21 Exp Group Not Matched")</f>
        <v>0077</v>
      </c>
      <c r="BG193" s="77" t="str">
        <f>UKG!AZ193</f>
        <v>205116</v>
      </c>
      <c r="BK193" s="18" t="s">
        <v>1421</v>
      </c>
      <c r="BL193" s="18" t="s">
        <v>1421</v>
      </c>
      <c r="BU193" s="18" t="str">
        <f>UKG!BL193</f>
        <v>N</v>
      </c>
      <c r="BV193" s="18" t="str">
        <f>UKG!BL193</f>
        <v>N</v>
      </c>
      <c r="CE193" s="18" t="s">
        <v>1421</v>
      </c>
    </row>
    <row r="194" spans="1:83" ht="16" hidden="1" thickBot="1" x14ac:dyDescent="0.25">
      <c r="A194" s="39" t="s">
        <v>1420</v>
      </c>
      <c r="B194" s="77" t="str">
        <f>UKG!BO194</f>
        <v>FREDRIK</v>
      </c>
      <c r="D194" s="77" t="str">
        <f>UKG!BN194</f>
        <v>KANNIAINEN</v>
      </c>
      <c r="E194" s="77" t="str">
        <f>UKG!D194</f>
        <v>205189</v>
      </c>
      <c r="F194" s="77" t="str">
        <f t="shared" si="3"/>
        <v>E205189@onebarnes.com.new.uat</v>
      </c>
      <c r="G194" s="18" t="s">
        <v>1427</v>
      </c>
      <c r="H194" s="77" t="str">
        <f>UKG!AQ194</f>
        <v>E205189@onebarnes.com</v>
      </c>
      <c r="I194" s="18" t="str">
        <f>IFERROR(VLOOKUP(J194,'Language Map'!M:O,3,FALSE),"en_US")</f>
        <v>sv_SE</v>
      </c>
      <c r="J194" s="77" t="str">
        <f>UKG!BF194</f>
        <v>SE</v>
      </c>
      <c r="L194" s="77" t="str">
        <f>IFERROR(VLOOKUP(UKG!BA194,'UKG Company Map'!B:G,7,FALSE),"Ledger Code Not Matched")</f>
        <v>Ledger Code Not Matched</v>
      </c>
      <c r="M194" s="18" t="str">
        <f>UKG!BH194</f>
        <v>SEK</v>
      </c>
      <c r="O194" s="18" t="str">
        <f>UKG!BJ194</f>
        <v>Y</v>
      </c>
      <c r="P194" s="18" t="str">
        <f>IFERROR(VLOOKUP(UKG!BA194,'UKG Company Map'!B:E,2,FALSE),"Org Unit 1 Not Mapped")</f>
        <v>0077</v>
      </c>
      <c r="Q194" s="77" t="str">
        <f>UKG!BB194</f>
        <v>0000</v>
      </c>
      <c r="W194" s="77" t="str">
        <f>UKG!Q194</f>
        <v>H0005</v>
      </c>
      <c r="X194" s="18" t="str">
        <f>UKG!BC194</f>
        <v>Default</v>
      </c>
      <c r="Z194" s="18" t="str">
        <f>IFERROR(VLOOKUP(UKG!BA194,'UKG Company Map'!B:G,8,FALSE),"Custom 5 Not Matched")</f>
        <v>Custom 5 Not Matched</v>
      </c>
      <c r="AP194" s="18" t="str">
        <f>IFERROR(VLOOKUP(UKG!BA194,'UKG Company Map'!B:G,4,FALSE),"Custom 21 Exp Group Not Matched")</f>
        <v>0077</v>
      </c>
      <c r="BG194" s="77" t="str">
        <f>UKG!AZ194</f>
        <v>212110</v>
      </c>
      <c r="BK194" s="18" t="s">
        <v>1421</v>
      </c>
      <c r="BL194" s="18" t="s">
        <v>1421</v>
      </c>
      <c r="BU194" s="18" t="str">
        <f>UKG!BL194</f>
        <v>N</v>
      </c>
      <c r="BV194" s="18" t="str">
        <f>UKG!BL194</f>
        <v>N</v>
      </c>
      <c r="CE194" s="18" t="s">
        <v>1421</v>
      </c>
    </row>
    <row r="195" spans="1:83" ht="16" hidden="1" thickBot="1" x14ac:dyDescent="0.25">
      <c r="A195" s="39" t="s">
        <v>1420</v>
      </c>
      <c r="B195" s="77" t="str">
        <f>UKG!BO195</f>
        <v>RUCHIPHAT</v>
      </c>
      <c r="D195" s="77" t="str">
        <f>UKG!BN195</f>
        <v>KARINSUNGNOEN</v>
      </c>
      <c r="E195" s="77" t="str">
        <f>UKG!D195</f>
        <v>205241</v>
      </c>
      <c r="F195" s="77" t="str">
        <f t="shared" si="3"/>
        <v>E205241@onebarnes.com.new.uat</v>
      </c>
      <c r="G195" s="18" t="s">
        <v>1427</v>
      </c>
      <c r="H195" s="77" t="str">
        <f>UKG!AQ195</f>
        <v>E205241@onebarnes.com</v>
      </c>
      <c r="I195" s="18" t="str">
        <f>IFERROR(VLOOKUP(J195,'Language Map'!M:O,3,FALSE),"en_US")</f>
        <v>sv_SE</v>
      </c>
      <c r="J195" s="77" t="str">
        <f>UKG!BF195</f>
        <v>SE</v>
      </c>
      <c r="L195" s="77" t="str">
        <f>IFERROR(VLOOKUP(UKG!BA195,'UKG Company Map'!B:G,7,FALSE),"Ledger Code Not Matched")</f>
        <v>Ledger Code Not Matched</v>
      </c>
      <c r="M195" s="18" t="str">
        <f>UKG!BH195</f>
        <v>SEK</v>
      </c>
      <c r="O195" s="18" t="str">
        <f>UKG!BJ195</f>
        <v>Y</v>
      </c>
      <c r="P195" s="18" t="str">
        <f>IFERROR(VLOOKUP(UKG!BA195,'UKG Company Map'!B:E,2,FALSE),"Org Unit 1 Not Mapped")</f>
        <v>0077</v>
      </c>
      <c r="Q195" s="77" t="str">
        <f>UKG!BB195</f>
        <v>0000</v>
      </c>
      <c r="W195" s="77" t="str">
        <f>UKG!Q195</f>
        <v>H0000</v>
      </c>
      <c r="X195" s="18" t="str">
        <f>UKG!BC195</f>
        <v>Default</v>
      </c>
      <c r="Z195" s="18" t="str">
        <f>IFERROR(VLOOKUP(UKG!BA195,'UKG Company Map'!B:G,8,FALSE),"Custom 5 Not Matched")</f>
        <v>Custom 5 Not Matched</v>
      </c>
      <c r="AP195" s="18" t="str">
        <f>IFERROR(VLOOKUP(UKG!BA195,'UKG Company Map'!B:G,4,FALSE),"Custom 21 Exp Group Not Matched")</f>
        <v>0077</v>
      </c>
      <c r="BG195" s="77" t="str">
        <f>UKG!AZ195</f>
        <v>205383</v>
      </c>
      <c r="BK195" s="18" t="s">
        <v>1421</v>
      </c>
      <c r="BL195" s="18" t="s">
        <v>1421</v>
      </c>
      <c r="BU195" s="18" t="str">
        <f>UKG!BL195</f>
        <v>N</v>
      </c>
      <c r="BV195" s="18" t="str">
        <f>UKG!BL195</f>
        <v>N</v>
      </c>
      <c r="CE195" s="18" t="s">
        <v>1421</v>
      </c>
    </row>
    <row r="196" spans="1:83" ht="16" hidden="1" thickBot="1" x14ac:dyDescent="0.25">
      <c r="A196" s="39" t="s">
        <v>1420</v>
      </c>
      <c r="B196" s="77" t="str">
        <f>UKG!BO196</f>
        <v>ALEXANDER</v>
      </c>
      <c r="D196" s="77" t="str">
        <f>UKG!BN196</f>
        <v>KARLSSON</v>
      </c>
      <c r="E196" s="77" t="str">
        <f>UKG!D196</f>
        <v>205202</v>
      </c>
      <c r="F196" s="77" t="str">
        <f t="shared" si="3"/>
        <v>E205202@onebarnes.com.new.uat</v>
      </c>
      <c r="G196" s="18" t="s">
        <v>1427</v>
      </c>
      <c r="H196" s="77" t="str">
        <f>UKG!AQ196</f>
        <v>E205202@onebarnes.com</v>
      </c>
      <c r="I196" s="18" t="str">
        <f>IFERROR(VLOOKUP(J196,'Language Map'!M:O,3,FALSE),"en_US")</f>
        <v>sv_SE</v>
      </c>
      <c r="J196" s="77" t="str">
        <f>UKG!BF196</f>
        <v>SE</v>
      </c>
      <c r="L196" s="77" t="str">
        <f>IFERROR(VLOOKUP(UKG!BA196,'UKG Company Map'!B:G,7,FALSE),"Ledger Code Not Matched")</f>
        <v>Ledger Code Not Matched</v>
      </c>
      <c r="M196" s="18" t="str">
        <f>UKG!BH196</f>
        <v>SEK</v>
      </c>
      <c r="O196" s="18" t="str">
        <f>UKG!BJ196</f>
        <v>Y</v>
      </c>
      <c r="P196" s="18" t="str">
        <f>IFERROR(VLOOKUP(UKG!BA196,'UKG Company Map'!B:E,2,FALSE),"Org Unit 1 Not Mapped")</f>
        <v>0077</v>
      </c>
      <c r="Q196" s="77" t="str">
        <f>UKG!BB196</f>
        <v>0000</v>
      </c>
      <c r="W196" s="77" t="str">
        <f>UKG!Q196</f>
        <v>H0005</v>
      </c>
      <c r="X196" s="18" t="str">
        <f>UKG!BC196</f>
        <v>Default</v>
      </c>
      <c r="Z196" s="18" t="str">
        <f>IFERROR(VLOOKUP(UKG!BA196,'UKG Company Map'!B:G,8,FALSE),"Custom 5 Not Matched")</f>
        <v>Custom 5 Not Matched</v>
      </c>
      <c r="AP196" s="18" t="str">
        <f>IFERROR(VLOOKUP(UKG!BA196,'UKG Company Map'!B:G,4,FALSE),"Custom 21 Exp Group Not Matched")</f>
        <v>0077</v>
      </c>
      <c r="BG196" s="77" t="str">
        <f>UKG!AZ196</f>
        <v>205315</v>
      </c>
      <c r="BK196" s="18" t="s">
        <v>1421</v>
      </c>
      <c r="BL196" s="18" t="s">
        <v>1421</v>
      </c>
      <c r="BU196" s="18" t="str">
        <f>UKG!BL196</f>
        <v>N</v>
      </c>
      <c r="BV196" s="18" t="str">
        <f>UKG!BL196</f>
        <v>N</v>
      </c>
      <c r="CE196" s="18" t="s">
        <v>1421</v>
      </c>
    </row>
    <row r="197" spans="1:83" ht="16" hidden="1" thickBot="1" x14ac:dyDescent="0.25">
      <c r="A197" s="39" t="s">
        <v>1420</v>
      </c>
      <c r="B197" s="77" t="str">
        <f>UKG!BO197</f>
        <v>JOHANNA</v>
      </c>
      <c r="D197" s="77" t="str">
        <f>UKG!BN197</f>
        <v>KARLSSON</v>
      </c>
      <c r="E197" s="77" t="str">
        <f>UKG!D197</f>
        <v>205148</v>
      </c>
      <c r="F197" s="77" t="str">
        <f t="shared" si="3"/>
        <v>E205148@onebarnes.com.new.uat</v>
      </c>
      <c r="G197" s="18" t="s">
        <v>1427</v>
      </c>
      <c r="H197" s="77" t="str">
        <f>UKG!AQ197</f>
        <v>E205148@onebarnes.com</v>
      </c>
      <c r="I197" s="18" t="str">
        <f>IFERROR(VLOOKUP(J197,'Language Map'!M:O,3,FALSE),"en_US")</f>
        <v>sv_SE</v>
      </c>
      <c r="J197" s="77" t="str">
        <f>UKG!BF197</f>
        <v>SE</v>
      </c>
      <c r="L197" s="77" t="str">
        <f>IFERROR(VLOOKUP(UKG!BA197,'UKG Company Map'!B:G,7,FALSE),"Ledger Code Not Matched")</f>
        <v>Ledger Code Not Matched</v>
      </c>
      <c r="M197" s="18" t="str">
        <f>UKG!BH197</f>
        <v>SEK</v>
      </c>
      <c r="O197" s="18" t="str">
        <f>UKG!BJ197</f>
        <v>Y</v>
      </c>
      <c r="P197" s="18" t="str">
        <f>IFERROR(VLOOKUP(UKG!BA197,'UKG Company Map'!B:E,2,FALSE),"Org Unit 1 Not Mapped")</f>
        <v>0077</v>
      </c>
      <c r="Q197" s="77" t="str">
        <f>UKG!BB197</f>
        <v>0000</v>
      </c>
      <c r="W197" s="77" t="str">
        <f>UKG!Q197</f>
        <v>H0004</v>
      </c>
      <c r="X197" s="18" t="str">
        <f>UKG!BC197</f>
        <v>Default</v>
      </c>
      <c r="Z197" s="18" t="str">
        <f>IFERROR(VLOOKUP(UKG!BA197,'UKG Company Map'!B:G,8,FALSE),"Custom 5 Not Matched")</f>
        <v>Custom 5 Not Matched</v>
      </c>
      <c r="AP197" s="18" t="str">
        <f>IFERROR(VLOOKUP(UKG!BA197,'UKG Company Map'!B:G,4,FALSE),"Custom 21 Exp Group Not Matched")</f>
        <v>0077</v>
      </c>
      <c r="BG197" s="77" t="str">
        <f>UKG!AZ197</f>
        <v>205383</v>
      </c>
      <c r="BK197" s="18" t="s">
        <v>1421</v>
      </c>
      <c r="BL197" s="18" t="s">
        <v>1421</v>
      </c>
      <c r="BU197" s="18" t="str">
        <f>UKG!BL197</f>
        <v>N</v>
      </c>
      <c r="BV197" s="18" t="str">
        <f>UKG!BL197</f>
        <v>N</v>
      </c>
      <c r="CE197" s="18" t="s">
        <v>1421</v>
      </c>
    </row>
    <row r="198" spans="1:83" ht="16" hidden="1" thickBot="1" x14ac:dyDescent="0.25">
      <c r="A198" s="39" t="s">
        <v>1420</v>
      </c>
      <c r="B198" s="77" t="str">
        <f>UKG!BO198</f>
        <v>MIKAEL</v>
      </c>
      <c r="D198" s="77" t="str">
        <f>UKG!BN198</f>
        <v>KARLSSON</v>
      </c>
      <c r="E198" s="77" t="str">
        <f>UKG!D198</f>
        <v>205184</v>
      </c>
      <c r="F198" s="77" t="str">
        <f t="shared" si="3"/>
        <v>E205184@onebarnes.com.new.uat</v>
      </c>
      <c r="G198" s="18" t="s">
        <v>1427</v>
      </c>
      <c r="H198" s="77" t="str">
        <f>UKG!AQ198</f>
        <v>E205184@onebarnes.com</v>
      </c>
      <c r="I198" s="18" t="str">
        <f>IFERROR(VLOOKUP(J198,'Language Map'!M:O,3,FALSE),"en_US")</f>
        <v>sv_SE</v>
      </c>
      <c r="J198" s="77" t="str">
        <f>UKG!BF198</f>
        <v>SE</v>
      </c>
      <c r="L198" s="77" t="str">
        <f>IFERROR(VLOOKUP(UKG!BA198,'UKG Company Map'!B:G,7,FALSE),"Ledger Code Not Matched")</f>
        <v>Ledger Code Not Matched</v>
      </c>
      <c r="M198" s="18" t="str">
        <f>UKG!BH198</f>
        <v>SEK</v>
      </c>
      <c r="O198" s="18" t="str">
        <f>UKG!BJ198</f>
        <v>Y</v>
      </c>
      <c r="P198" s="18" t="str">
        <f>IFERROR(VLOOKUP(UKG!BA198,'UKG Company Map'!B:E,2,FALSE),"Org Unit 1 Not Mapped")</f>
        <v>0077</v>
      </c>
      <c r="Q198" s="77" t="str">
        <f>UKG!BB198</f>
        <v>0000</v>
      </c>
      <c r="W198" s="77" t="str">
        <f>UKG!Q198</f>
        <v>H0005</v>
      </c>
      <c r="X198" s="18" t="str">
        <f>UKG!BC198</f>
        <v>Default</v>
      </c>
      <c r="Z198" s="18" t="str">
        <f>IFERROR(VLOOKUP(UKG!BA198,'UKG Company Map'!B:G,8,FALSE),"Custom 5 Not Matched")</f>
        <v>Custom 5 Not Matched</v>
      </c>
      <c r="AP198" s="18" t="str">
        <f>IFERROR(VLOOKUP(UKG!BA198,'UKG Company Map'!B:G,4,FALSE),"Custom 21 Exp Group Not Matched")</f>
        <v>0077</v>
      </c>
      <c r="BG198" s="77" t="str">
        <f>UKG!AZ198</f>
        <v>212110</v>
      </c>
      <c r="BK198" s="18" t="s">
        <v>1421</v>
      </c>
      <c r="BL198" s="18" t="s">
        <v>1421</v>
      </c>
      <c r="BU198" s="18" t="str">
        <f>UKG!BL198</f>
        <v>N</v>
      </c>
      <c r="BV198" s="18" t="str">
        <f>UKG!BL198</f>
        <v>N</v>
      </c>
      <c r="CE198" s="18" t="s">
        <v>1421</v>
      </c>
    </row>
    <row r="199" spans="1:83" ht="16" hidden="1" thickBot="1" x14ac:dyDescent="0.25">
      <c r="A199" s="39" t="s">
        <v>1420</v>
      </c>
      <c r="B199" s="77" t="str">
        <f>UKG!BO199</f>
        <v>NIKLAS</v>
      </c>
      <c r="D199" s="77" t="str">
        <f>UKG!BN199</f>
        <v>KARLSSON</v>
      </c>
      <c r="E199" s="77" t="str">
        <f>UKG!D199</f>
        <v>205133</v>
      </c>
      <c r="F199" s="77" t="str">
        <f t="shared" si="3"/>
        <v>E205133@onebarnes.com.new.uat</v>
      </c>
      <c r="G199" s="18" t="s">
        <v>1427</v>
      </c>
      <c r="H199" s="77" t="str">
        <f>UKG!AQ199</f>
        <v>E205133@onebarnes.com</v>
      </c>
      <c r="I199" s="18" t="str">
        <f>IFERROR(VLOOKUP(J199,'Language Map'!M:O,3,FALSE),"en_US")</f>
        <v>sv_SE</v>
      </c>
      <c r="J199" s="77" t="str">
        <f>UKG!BF199</f>
        <v>SE</v>
      </c>
      <c r="L199" s="77" t="str">
        <f>IFERROR(VLOOKUP(UKG!BA199,'UKG Company Map'!B:G,7,FALSE),"Ledger Code Not Matched")</f>
        <v>Ledger Code Not Matched</v>
      </c>
      <c r="M199" s="18" t="str">
        <f>UKG!BH199</f>
        <v>SEK</v>
      </c>
      <c r="O199" s="18" t="str">
        <f>UKG!BJ199</f>
        <v>Y</v>
      </c>
      <c r="P199" s="18" t="str">
        <f>IFERROR(VLOOKUP(UKG!BA199,'UKG Company Map'!B:E,2,FALSE),"Org Unit 1 Not Mapped")</f>
        <v>0077</v>
      </c>
      <c r="Q199" s="77" t="str">
        <f>UKG!BB199</f>
        <v>0000</v>
      </c>
      <c r="W199" s="77" t="str">
        <f>UKG!Q199</f>
        <v>S06</v>
      </c>
      <c r="X199" s="18" t="str">
        <f>UKG!BC199</f>
        <v>Default</v>
      </c>
      <c r="Z199" s="18" t="str">
        <f>IFERROR(VLOOKUP(UKG!BA199,'UKG Company Map'!B:G,8,FALSE),"Custom 5 Not Matched")</f>
        <v>Custom 5 Not Matched</v>
      </c>
      <c r="AP199" s="18" t="str">
        <f>IFERROR(VLOOKUP(UKG!BA199,'UKG Company Map'!B:G,4,FALSE),"Custom 21 Exp Group Not Matched")</f>
        <v>0077</v>
      </c>
      <c r="BG199" s="77" t="str">
        <f>UKG!AZ199</f>
        <v>205380</v>
      </c>
      <c r="BK199" s="18" t="s">
        <v>1421</v>
      </c>
      <c r="BL199" s="18" t="s">
        <v>1421</v>
      </c>
      <c r="BU199" s="18" t="str">
        <f>UKG!BL199</f>
        <v>N</v>
      </c>
      <c r="BV199" s="18" t="str">
        <f>UKG!BL199</f>
        <v>N</v>
      </c>
      <c r="CE199" s="18" t="s">
        <v>1421</v>
      </c>
    </row>
    <row r="200" spans="1:83" ht="16" hidden="1" thickBot="1" x14ac:dyDescent="0.25">
      <c r="A200" s="39" t="s">
        <v>1420</v>
      </c>
      <c r="B200" s="77" t="str">
        <f>UKG!BO200</f>
        <v>STEPHAN</v>
      </c>
      <c r="D200" s="77" t="str">
        <f>UKG!BN200</f>
        <v>KARLSSON</v>
      </c>
      <c r="E200" s="77" t="str">
        <f>UKG!D200</f>
        <v>205352</v>
      </c>
      <c r="F200" s="77" t="str">
        <f t="shared" si="3"/>
        <v>E205532@onebarnes.com.new.uat</v>
      </c>
      <c r="G200" s="18" t="s">
        <v>1427</v>
      </c>
      <c r="H200" s="77" t="str">
        <f>UKG!AQ200</f>
        <v>E205532@onebarnes.com</v>
      </c>
      <c r="I200" s="18" t="str">
        <f>IFERROR(VLOOKUP(J200,'Language Map'!M:O,3,FALSE),"en_US")</f>
        <v>sv_SE</v>
      </c>
      <c r="J200" s="77" t="str">
        <f>UKG!BF200</f>
        <v>SE</v>
      </c>
      <c r="L200" s="77" t="str">
        <f>IFERROR(VLOOKUP(UKG!BA200,'UKG Company Map'!B:G,7,FALSE),"Ledger Code Not Matched")</f>
        <v>Ledger Code Not Matched</v>
      </c>
      <c r="M200" s="18" t="str">
        <f>UKG!BH200</f>
        <v>SEK</v>
      </c>
      <c r="O200" s="18" t="str">
        <f>UKG!BJ200</f>
        <v>Y</v>
      </c>
      <c r="P200" s="18" t="str">
        <f>IFERROR(VLOOKUP(UKG!BA200,'UKG Company Map'!B:E,2,FALSE),"Org Unit 1 Not Mapped")</f>
        <v>0077</v>
      </c>
      <c r="Q200" s="77" t="str">
        <f>UKG!BB200</f>
        <v>0000</v>
      </c>
      <c r="W200" s="77" t="str">
        <f>UKG!Q200</f>
        <v>H0004</v>
      </c>
      <c r="X200" s="18" t="str">
        <f>UKG!BC200</f>
        <v>Default</v>
      </c>
      <c r="Z200" s="18" t="str">
        <f>IFERROR(VLOOKUP(UKG!BA200,'UKG Company Map'!B:G,8,FALSE),"Custom 5 Not Matched")</f>
        <v>Custom 5 Not Matched</v>
      </c>
      <c r="AP200" s="18" t="str">
        <f>IFERROR(VLOOKUP(UKG!BA200,'UKG Company Map'!B:G,4,FALSE),"Custom 21 Exp Group Not Matched")</f>
        <v>0077</v>
      </c>
      <c r="BG200" s="77" t="str">
        <f>UKG!AZ200</f>
        <v>205116</v>
      </c>
      <c r="BK200" s="18" t="s">
        <v>1421</v>
      </c>
      <c r="BL200" s="18" t="s">
        <v>1421</v>
      </c>
      <c r="BU200" s="18" t="str">
        <f>UKG!BL200</f>
        <v>N</v>
      </c>
      <c r="BV200" s="18" t="str">
        <f>UKG!BL200</f>
        <v>N</v>
      </c>
      <c r="CE200" s="18" t="s">
        <v>1421</v>
      </c>
    </row>
    <row r="201" spans="1:83" ht="16" hidden="1" thickBot="1" x14ac:dyDescent="0.25">
      <c r="A201" s="39" t="s">
        <v>1420</v>
      </c>
      <c r="B201" s="77" t="str">
        <f>UKG!BO201</f>
        <v>KEIJO</v>
      </c>
      <c r="D201" s="77" t="str">
        <f>UKG!BN201</f>
        <v>KARPPINEN</v>
      </c>
      <c r="E201" s="77" t="str">
        <f>UKG!D201</f>
        <v>205291</v>
      </c>
      <c r="F201" s="77" t="str">
        <f t="shared" si="3"/>
        <v>E205291@onebarnes.com.new.uat</v>
      </c>
      <c r="G201" s="18" t="s">
        <v>1427</v>
      </c>
      <c r="H201" s="77" t="str">
        <f>UKG!AQ201</f>
        <v>E205291@onebarnes.com</v>
      </c>
      <c r="I201" s="18" t="str">
        <f>IFERROR(VLOOKUP(J201,'Language Map'!M:O,3,FALSE),"en_US")</f>
        <v>sv_SE</v>
      </c>
      <c r="J201" s="77" t="str">
        <f>UKG!BF201</f>
        <v>SE</v>
      </c>
      <c r="L201" s="77" t="str">
        <f>IFERROR(VLOOKUP(UKG!BA201,'UKG Company Map'!B:G,7,FALSE),"Ledger Code Not Matched")</f>
        <v>Ledger Code Not Matched</v>
      </c>
      <c r="M201" s="18" t="str">
        <f>UKG!BH201</f>
        <v>SEK</v>
      </c>
      <c r="O201" s="18" t="str">
        <f>UKG!BJ201</f>
        <v>Y</v>
      </c>
      <c r="P201" s="18" t="str">
        <f>IFERROR(VLOOKUP(UKG!BA201,'UKG Company Map'!B:E,2,FALSE),"Org Unit 1 Not Mapped")</f>
        <v>0077</v>
      </c>
      <c r="Q201" s="77" t="str">
        <f>UKG!BB201</f>
        <v>0000</v>
      </c>
      <c r="W201" s="77" t="str">
        <f>UKG!Q201</f>
        <v>H0005</v>
      </c>
      <c r="X201" s="18" t="str">
        <f>UKG!BC201</f>
        <v>Default</v>
      </c>
      <c r="Z201" s="18" t="str">
        <f>IFERROR(VLOOKUP(UKG!BA201,'UKG Company Map'!B:G,8,FALSE),"Custom 5 Not Matched")</f>
        <v>Custom 5 Not Matched</v>
      </c>
      <c r="AP201" s="18" t="str">
        <f>IFERROR(VLOOKUP(UKG!BA201,'UKG Company Map'!B:G,4,FALSE),"Custom 21 Exp Group Not Matched")</f>
        <v>0077</v>
      </c>
      <c r="BG201" s="77" t="str">
        <f>UKG!AZ201</f>
        <v>205377</v>
      </c>
      <c r="BK201" s="18" t="s">
        <v>1421</v>
      </c>
      <c r="BL201" s="18" t="s">
        <v>1421</v>
      </c>
      <c r="BU201" s="18" t="str">
        <f>UKG!BL201</f>
        <v>N</v>
      </c>
      <c r="BV201" s="18" t="str">
        <f>UKG!BL201</f>
        <v>N</v>
      </c>
      <c r="CE201" s="18" t="s">
        <v>1421</v>
      </c>
    </row>
    <row r="202" spans="1:83" ht="16" hidden="1" thickBot="1" x14ac:dyDescent="0.25">
      <c r="A202" s="39" t="s">
        <v>1420</v>
      </c>
      <c r="B202" s="77" t="str">
        <f>UKG!BO202</f>
        <v>ERNIS</v>
      </c>
      <c r="D202" s="77" t="str">
        <f>UKG!BN202</f>
        <v>KARTAL</v>
      </c>
      <c r="E202" s="77" t="str">
        <f>UKG!D202</f>
        <v>205218</v>
      </c>
      <c r="F202" s="77" t="str">
        <f t="shared" si="3"/>
        <v>E205218@onebarnes.com.new.uat</v>
      </c>
      <c r="G202" s="18" t="s">
        <v>1427</v>
      </c>
      <c r="H202" s="77" t="str">
        <f>UKG!AQ202</f>
        <v>E205218@onebarnes.com</v>
      </c>
      <c r="I202" s="18" t="str">
        <f>IFERROR(VLOOKUP(J202,'Language Map'!M:O,3,FALSE),"en_US")</f>
        <v>sv_SE</v>
      </c>
      <c r="J202" s="77" t="str">
        <f>UKG!BF202</f>
        <v>SE</v>
      </c>
      <c r="L202" s="77" t="str">
        <f>IFERROR(VLOOKUP(UKG!BA202,'UKG Company Map'!B:G,7,FALSE),"Ledger Code Not Matched")</f>
        <v>Ledger Code Not Matched</v>
      </c>
      <c r="M202" s="18" t="str">
        <f>UKG!BH202</f>
        <v>SEK</v>
      </c>
      <c r="O202" s="18" t="str">
        <f>UKG!BJ202</f>
        <v>Y</v>
      </c>
      <c r="P202" s="18" t="str">
        <f>IFERROR(VLOOKUP(UKG!BA202,'UKG Company Map'!B:E,2,FALSE),"Org Unit 1 Not Mapped")</f>
        <v>0077</v>
      </c>
      <c r="Q202" s="77" t="str">
        <f>UKG!BB202</f>
        <v>0000</v>
      </c>
      <c r="W202" s="77" t="str">
        <f>UKG!Q202</f>
        <v>H0008</v>
      </c>
      <c r="X202" s="18" t="str">
        <f>UKG!BC202</f>
        <v>Default</v>
      </c>
      <c r="Z202" s="18" t="str">
        <f>IFERROR(VLOOKUP(UKG!BA202,'UKG Company Map'!B:G,8,FALSE),"Custom 5 Not Matched")</f>
        <v>Custom 5 Not Matched</v>
      </c>
      <c r="AP202" s="18" t="str">
        <f>IFERROR(VLOOKUP(UKG!BA202,'UKG Company Map'!B:G,4,FALSE),"Custom 21 Exp Group Not Matched")</f>
        <v>0077</v>
      </c>
      <c r="BG202" s="77" t="str">
        <f>UKG!AZ202</f>
        <v>205384</v>
      </c>
      <c r="BK202" s="18" t="s">
        <v>1421</v>
      </c>
      <c r="BL202" s="18" t="s">
        <v>1421</v>
      </c>
      <c r="BU202" s="18" t="str">
        <f>UKG!BL202</f>
        <v>N</v>
      </c>
      <c r="BV202" s="18" t="str">
        <f>UKG!BL202</f>
        <v>N</v>
      </c>
      <c r="CE202" s="18" t="s">
        <v>1421</v>
      </c>
    </row>
    <row r="203" spans="1:83" ht="16" hidden="1" thickBot="1" x14ac:dyDescent="0.25">
      <c r="A203" s="39" t="s">
        <v>1420</v>
      </c>
      <c r="B203" s="77" t="str">
        <f>UKG!BO203</f>
        <v>ALEXANDER</v>
      </c>
      <c r="D203" s="77" t="str">
        <f>UKG!BN203</f>
        <v>KEMPE GYLLENSTEN</v>
      </c>
      <c r="E203" s="77" t="str">
        <f>UKG!D203</f>
        <v>205199</v>
      </c>
      <c r="F203" s="77" t="str">
        <f t="shared" si="3"/>
        <v>E205199@onebarnes.com.new.uat</v>
      </c>
      <c r="G203" s="18" t="s">
        <v>1427</v>
      </c>
      <c r="H203" s="77" t="str">
        <f>UKG!AQ203</f>
        <v>E205199@onebarnes.com</v>
      </c>
      <c r="I203" s="18" t="str">
        <f>IFERROR(VLOOKUP(J203,'Language Map'!M:O,3,FALSE),"en_US")</f>
        <v>sv_SE</v>
      </c>
      <c r="J203" s="77" t="str">
        <f>UKG!BF203</f>
        <v>SE</v>
      </c>
      <c r="L203" s="77" t="str">
        <f>IFERROR(VLOOKUP(UKG!BA203,'UKG Company Map'!B:G,7,FALSE),"Ledger Code Not Matched")</f>
        <v>Ledger Code Not Matched</v>
      </c>
      <c r="M203" s="18" t="str">
        <f>UKG!BH203</f>
        <v>SEK</v>
      </c>
      <c r="O203" s="18" t="str">
        <f>UKG!BJ203</f>
        <v>Y</v>
      </c>
      <c r="P203" s="18" t="str">
        <f>IFERROR(VLOOKUP(UKG!BA203,'UKG Company Map'!B:E,2,FALSE),"Org Unit 1 Not Mapped")</f>
        <v>0077</v>
      </c>
      <c r="Q203" s="77" t="str">
        <f>UKG!BB203</f>
        <v>0000</v>
      </c>
      <c r="W203" s="77" t="str">
        <f>UKG!Q203</f>
        <v>H0005</v>
      </c>
      <c r="X203" s="18" t="str">
        <f>UKG!BC203</f>
        <v>Default</v>
      </c>
      <c r="Z203" s="18" t="str">
        <f>IFERROR(VLOOKUP(UKG!BA203,'UKG Company Map'!B:G,8,FALSE),"Custom 5 Not Matched")</f>
        <v>Custom 5 Not Matched</v>
      </c>
      <c r="AP203" s="18" t="str">
        <f>IFERROR(VLOOKUP(UKG!BA203,'UKG Company Map'!B:G,4,FALSE),"Custom 21 Exp Group Not Matched")</f>
        <v>0077</v>
      </c>
      <c r="BG203" s="77" t="str">
        <f>UKG!AZ203</f>
        <v>212110</v>
      </c>
      <c r="BK203" s="18" t="s">
        <v>1421</v>
      </c>
      <c r="BL203" s="18" t="s">
        <v>1421</v>
      </c>
      <c r="BU203" s="18" t="str">
        <f>UKG!BL203</f>
        <v>N</v>
      </c>
      <c r="BV203" s="18" t="str">
        <f>UKG!BL203</f>
        <v>N</v>
      </c>
      <c r="CE203" s="18" t="s">
        <v>1421</v>
      </c>
    </row>
    <row r="204" spans="1:83" ht="16" hidden="1" thickBot="1" x14ac:dyDescent="0.25">
      <c r="A204" s="39" t="s">
        <v>1420</v>
      </c>
      <c r="B204" s="77" t="str">
        <f>UKG!BO204</f>
        <v>ANETTE</v>
      </c>
      <c r="D204" s="77" t="str">
        <f>UKG!BN204</f>
        <v>KLASSON</v>
      </c>
      <c r="E204" s="77" t="str">
        <f>UKG!D204</f>
        <v>205217</v>
      </c>
      <c r="F204" s="77" t="str">
        <f t="shared" si="3"/>
        <v>E205217@onebarnes.com.new.uat</v>
      </c>
      <c r="G204" s="18" t="s">
        <v>1427</v>
      </c>
      <c r="H204" s="77" t="str">
        <f>UKG!AQ204</f>
        <v>E205217@onebarnes.com</v>
      </c>
      <c r="I204" s="18" t="str">
        <f>IFERROR(VLOOKUP(J204,'Language Map'!M:O,3,FALSE),"en_US")</f>
        <v>sv_SE</v>
      </c>
      <c r="J204" s="77" t="str">
        <f>UKG!BF204</f>
        <v>SE</v>
      </c>
      <c r="L204" s="77" t="str">
        <f>IFERROR(VLOOKUP(UKG!BA204,'UKG Company Map'!B:G,7,FALSE),"Ledger Code Not Matched")</f>
        <v>Ledger Code Not Matched</v>
      </c>
      <c r="M204" s="18" t="str">
        <f>UKG!BH204</f>
        <v>SEK</v>
      </c>
      <c r="O204" s="18" t="str">
        <f>UKG!BJ204</f>
        <v>Y</v>
      </c>
      <c r="P204" s="18" t="str">
        <f>IFERROR(VLOOKUP(UKG!BA204,'UKG Company Map'!B:E,2,FALSE),"Org Unit 1 Not Mapped")</f>
        <v>0077</v>
      </c>
      <c r="Q204" s="77" t="str">
        <f>UKG!BB204</f>
        <v>0000</v>
      </c>
      <c r="W204" s="77" t="str">
        <f>UKG!Q204</f>
        <v>H0005</v>
      </c>
      <c r="X204" s="18" t="str">
        <f>UKG!BC204</f>
        <v>Default</v>
      </c>
      <c r="Z204" s="18" t="str">
        <f>IFERROR(VLOOKUP(UKG!BA204,'UKG Company Map'!B:G,8,FALSE),"Custom 5 Not Matched")</f>
        <v>Custom 5 Not Matched</v>
      </c>
      <c r="AP204" s="18" t="str">
        <f>IFERROR(VLOOKUP(UKG!BA204,'UKG Company Map'!B:G,4,FALSE),"Custom 21 Exp Group Not Matched")</f>
        <v>0077</v>
      </c>
      <c r="BG204" s="77" t="str">
        <f>UKG!AZ204</f>
        <v>212110</v>
      </c>
      <c r="BK204" s="18" t="s">
        <v>1421</v>
      </c>
      <c r="BL204" s="18" t="s">
        <v>1421</v>
      </c>
      <c r="BU204" s="18" t="str">
        <f>UKG!BL204</f>
        <v>N</v>
      </c>
      <c r="BV204" s="18" t="str">
        <f>UKG!BL204</f>
        <v>N</v>
      </c>
      <c r="CE204" s="18" t="s">
        <v>1421</v>
      </c>
    </row>
    <row r="205" spans="1:83" ht="16" hidden="1" thickBot="1" x14ac:dyDescent="0.25">
      <c r="A205" s="39" t="s">
        <v>1420</v>
      </c>
      <c r="B205" s="77" t="str">
        <f>UKG!BO205</f>
        <v>HÅKAN</v>
      </c>
      <c r="D205" s="77" t="str">
        <f>UKG!BN205</f>
        <v>KLASSON</v>
      </c>
      <c r="E205" s="77" t="str">
        <f>UKG!D205</f>
        <v>205196</v>
      </c>
      <c r="F205" s="77" t="str">
        <f t="shared" si="3"/>
        <v>E205196@onebarnes.com.new.uat</v>
      </c>
      <c r="G205" s="18" t="s">
        <v>1427</v>
      </c>
      <c r="H205" s="77" t="str">
        <f>UKG!AQ205</f>
        <v>E205196@onebarnes.com</v>
      </c>
      <c r="I205" s="18" t="str">
        <f>IFERROR(VLOOKUP(J205,'Language Map'!M:O,3,FALSE),"en_US")</f>
        <v>sv_SE</v>
      </c>
      <c r="J205" s="77" t="str">
        <f>UKG!BF205</f>
        <v>SE</v>
      </c>
      <c r="L205" s="77" t="str">
        <f>IFERROR(VLOOKUP(UKG!BA205,'UKG Company Map'!B:G,7,FALSE),"Ledger Code Not Matched")</f>
        <v>Ledger Code Not Matched</v>
      </c>
      <c r="M205" s="18" t="str">
        <f>UKG!BH205</f>
        <v>SEK</v>
      </c>
      <c r="O205" s="18" t="str">
        <f>UKG!BJ205</f>
        <v>Y</v>
      </c>
      <c r="P205" s="18" t="str">
        <f>IFERROR(VLOOKUP(UKG!BA205,'UKG Company Map'!B:E,2,FALSE),"Org Unit 1 Not Mapped")</f>
        <v>0077</v>
      </c>
      <c r="Q205" s="77" t="str">
        <f>UKG!BB205</f>
        <v>0000</v>
      </c>
      <c r="W205" s="77" t="str">
        <f>UKG!Q205</f>
        <v>H0005</v>
      </c>
      <c r="X205" s="18" t="str">
        <f>UKG!BC205</f>
        <v>Default</v>
      </c>
      <c r="Z205" s="18" t="str">
        <f>IFERROR(VLOOKUP(UKG!BA205,'UKG Company Map'!B:G,8,FALSE),"Custom 5 Not Matched")</f>
        <v>Custom 5 Not Matched</v>
      </c>
      <c r="AP205" s="18" t="str">
        <f>IFERROR(VLOOKUP(UKG!BA205,'UKG Company Map'!B:G,4,FALSE),"Custom 21 Exp Group Not Matched")</f>
        <v>0077</v>
      </c>
      <c r="BG205" s="77" t="str">
        <f>UKG!AZ205</f>
        <v>212110</v>
      </c>
      <c r="BK205" s="18" t="s">
        <v>1421</v>
      </c>
      <c r="BL205" s="18" t="s">
        <v>1421</v>
      </c>
      <c r="BU205" s="18" t="str">
        <f>UKG!BL205</f>
        <v>N</v>
      </c>
      <c r="BV205" s="18" t="str">
        <f>UKG!BL205</f>
        <v>N</v>
      </c>
      <c r="CE205" s="18" t="s">
        <v>1421</v>
      </c>
    </row>
    <row r="206" spans="1:83" ht="16" hidden="1" thickBot="1" x14ac:dyDescent="0.25">
      <c r="A206" s="39" t="s">
        <v>1420</v>
      </c>
      <c r="B206" s="77" t="str">
        <f>UKG!BO206</f>
        <v>JONNY</v>
      </c>
      <c r="D206" s="77" t="str">
        <f>UKG!BN206</f>
        <v>KULLANDER</v>
      </c>
      <c r="E206" s="77" t="str">
        <f>UKG!D206</f>
        <v>205160</v>
      </c>
      <c r="F206" s="77" t="str">
        <f t="shared" si="3"/>
        <v>E205160@onebarnes.com.new.uat</v>
      </c>
      <c r="G206" s="18" t="s">
        <v>1427</v>
      </c>
      <c r="H206" s="77" t="str">
        <f>UKG!AQ206</f>
        <v>E205160@onebarnes.com</v>
      </c>
      <c r="I206" s="18" t="str">
        <f>IFERROR(VLOOKUP(J206,'Language Map'!M:O,3,FALSE),"en_US")</f>
        <v>sv_SE</v>
      </c>
      <c r="J206" s="77" t="str">
        <f>UKG!BF206</f>
        <v>SE</v>
      </c>
      <c r="L206" s="77" t="str">
        <f>IFERROR(VLOOKUP(UKG!BA206,'UKG Company Map'!B:G,7,FALSE),"Ledger Code Not Matched")</f>
        <v>Ledger Code Not Matched</v>
      </c>
      <c r="M206" s="18" t="str">
        <f>UKG!BH206</f>
        <v>SEK</v>
      </c>
      <c r="O206" s="18" t="str">
        <f>UKG!BJ206</f>
        <v>Y</v>
      </c>
      <c r="P206" s="18" t="str">
        <f>IFERROR(VLOOKUP(UKG!BA206,'UKG Company Map'!B:E,2,FALSE),"Org Unit 1 Not Mapped")</f>
        <v>0077</v>
      </c>
      <c r="Q206" s="77" t="str">
        <f>UKG!BB206</f>
        <v>0000</v>
      </c>
      <c r="W206" s="77" t="str">
        <f>UKG!Q206</f>
        <v>H0004</v>
      </c>
      <c r="X206" s="18" t="str">
        <f>UKG!BC206</f>
        <v>Default</v>
      </c>
      <c r="Z206" s="18" t="str">
        <f>IFERROR(VLOOKUP(UKG!BA206,'UKG Company Map'!B:G,8,FALSE),"Custom 5 Not Matched")</f>
        <v>Custom 5 Not Matched</v>
      </c>
      <c r="AP206" s="18" t="str">
        <f>IFERROR(VLOOKUP(UKG!BA206,'UKG Company Map'!B:G,4,FALSE),"Custom 21 Exp Group Not Matched")</f>
        <v>0077</v>
      </c>
      <c r="BG206" s="77" t="str">
        <f>UKG!AZ206</f>
        <v>205116</v>
      </c>
      <c r="BK206" s="18" t="s">
        <v>1421</v>
      </c>
      <c r="BL206" s="18" t="s">
        <v>1421</v>
      </c>
      <c r="BU206" s="18" t="str">
        <f>UKG!BL206</f>
        <v>N</v>
      </c>
      <c r="BV206" s="18" t="str">
        <f>UKG!BL206</f>
        <v>N</v>
      </c>
      <c r="CE206" s="18" t="s">
        <v>1421</v>
      </c>
    </row>
    <row r="207" spans="1:83" ht="16" hidden="1" thickBot="1" x14ac:dyDescent="0.25">
      <c r="A207" s="39" t="s">
        <v>1420</v>
      </c>
      <c r="B207" s="77" t="str">
        <f>UKG!BO207</f>
        <v>ELIN</v>
      </c>
      <c r="D207" s="77" t="str">
        <f>UKG!BN207</f>
        <v>KYLEFJORD</v>
      </c>
      <c r="E207" s="77" t="str">
        <f>UKG!D207</f>
        <v>205266</v>
      </c>
      <c r="F207" s="77" t="str">
        <f t="shared" si="3"/>
        <v>E205266@onebarnes.com.new.uat</v>
      </c>
      <c r="G207" s="18" t="s">
        <v>1427</v>
      </c>
      <c r="H207" s="77" t="str">
        <f>UKG!AQ207</f>
        <v>E205266@onebarnes.com</v>
      </c>
      <c r="I207" s="18" t="str">
        <f>IFERROR(VLOOKUP(J207,'Language Map'!M:O,3,FALSE),"en_US")</f>
        <v>sv_SE</v>
      </c>
      <c r="J207" s="77" t="str">
        <f>UKG!BF207</f>
        <v>SE</v>
      </c>
      <c r="L207" s="77" t="str">
        <f>IFERROR(VLOOKUP(UKG!BA207,'UKG Company Map'!B:G,7,FALSE),"Ledger Code Not Matched")</f>
        <v>Ledger Code Not Matched</v>
      </c>
      <c r="M207" s="18" t="str">
        <f>UKG!BH207</f>
        <v>SEK</v>
      </c>
      <c r="O207" s="18" t="str">
        <f>UKG!BJ207</f>
        <v>Y</v>
      </c>
      <c r="P207" s="18" t="str">
        <f>IFERROR(VLOOKUP(UKG!BA207,'UKG Company Map'!B:E,2,FALSE),"Org Unit 1 Not Mapped")</f>
        <v>0077</v>
      </c>
      <c r="Q207" s="77" t="str">
        <f>UKG!BB207</f>
        <v>0000</v>
      </c>
      <c r="W207" s="77" t="str">
        <f>UKG!Q207</f>
        <v>H0005</v>
      </c>
      <c r="X207" s="18" t="str">
        <f>UKG!BC207</f>
        <v>Default</v>
      </c>
      <c r="Z207" s="18" t="str">
        <f>IFERROR(VLOOKUP(UKG!BA207,'UKG Company Map'!B:G,8,FALSE),"Custom 5 Not Matched")</f>
        <v>Custom 5 Not Matched</v>
      </c>
      <c r="AP207" s="18" t="str">
        <f>IFERROR(VLOOKUP(UKG!BA207,'UKG Company Map'!B:G,4,FALSE),"Custom 21 Exp Group Not Matched")</f>
        <v>0077</v>
      </c>
      <c r="BG207" s="77" t="str">
        <f>UKG!AZ207</f>
        <v>205315</v>
      </c>
      <c r="BK207" s="18" t="s">
        <v>1421</v>
      </c>
      <c r="BL207" s="18" t="s">
        <v>1421</v>
      </c>
      <c r="BU207" s="18" t="str">
        <f>UKG!BL207</f>
        <v>N</v>
      </c>
      <c r="BV207" s="18" t="str">
        <f>UKG!BL207</f>
        <v>N</v>
      </c>
      <c r="CE207" s="18" t="s">
        <v>1421</v>
      </c>
    </row>
    <row r="208" spans="1:83" ht="16" hidden="1" thickBot="1" x14ac:dyDescent="0.25">
      <c r="A208" s="39" t="s">
        <v>1420</v>
      </c>
      <c r="B208" s="77" t="str">
        <f>UKG!BO208</f>
        <v>KENNETH</v>
      </c>
      <c r="D208" s="77" t="str">
        <f>UKG!BN208</f>
        <v>LAMBERG</v>
      </c>
      <c r="E208" s="77" t="str">
        <f>UKG!D208</f>
        <v>205355</v>
      </c>
      <c r="F208" s="77" t="str">
        <f t="shared" si="3"/>
        <v>E205355@onebarnes.com.new.uat</v>
      </c>
      <c r="G208" s="18" t="s">
        <v>1427</v>
      </c>
      <c r="H208" s="77" t="str">
        <f>UKG!AQ208</f>
        <v>E205355@onebarnes.com</v>
      </c>
      <c r="I208" s="18" t="str">
        <f>IFERROR(VLOOKUP(J208,'Language Map'!M:O,3,FALSE),"en_US")</f>
        <v>sv_SE</v>
      </c>
      <c r="J208" s="77" t="str">
        <f>UKG!BF208</f>
        <v>SE</v>
      </c>
      <c r="L208" s="77" t="str">
        <f>IFERROR(VLOOKUP(UKG!BA208,'UKG Company Map'!B:G,7,FALSE),"Ledger Code Not Matched")</f>
        <v>Ledger Code Not Matched</v>
      </c>
      <c r="M208" s="18" t="str">
        <f>UKG!BH208</f>
        <v>SEK</v>
      </c>
      <c r="O208" s="18" t="str">
        <f>UKG!BJ208</f>
        <v>Y</v>
      </c>
      <c r="P208" s="18" t="str">
        <f>IFERROR(VLOOKUP(UKG!BA208,'UKG Company Map'!B:E,2,FALSE),"Org Unit 1 Not Mapped")</f>
        <v>0077</v>
      </c>
      <c r="Q208" s="77" t="str">
        <f>UKG!BB208</f>
        <v>0000</v>
      </c>
      <c r="W208" s="77" t="str">
        <f>UKG!Q208</f>
        <v>H0004</v>
      </c>
      <c r="X208" s="18" t="str">
        <f>UKG!BC208</f>
        <v>Default</v>
      </c>
      <c r="Z208" s="18" t="str">
        <f>IFERROR(VLOOKUP(UKG!BA208,'UKG Company Map'!B:G,8,FALSE),"Custom 5 Not Matched")</f>
        <v>Custom 5 Not Matched</v>
      </c>
      <c r="AP208" s="18" t="str">
        <f>IFERROR(VLOOKUP(UKG!BA208,'UKG Company Map'!B:G,4,FALSE),"Custom 21 Exp Group Not Matched")</f>
        <v>0077</v>
      </c>
      <c r="BG208" s="77" t="str">
        <f>UKG!AZ208</f>
        <v>205116</v>
      </c>
      <c r="BK208" s="18" t="s">
        <v>1421</v>
      </c>
      <c r="BL208" s="18" t="s">
        <v>1421</v>
      </c>
      <c r="BU208" s="18" t="str">
        <f>UKG!BL208</f>
        <v>N</v>
      </c>
      <c r="BV208" s="18" t="str">
        <f>UKG!BL208</f>
        <v>N</v>
      </c>
      <c r="CE208" s="18" t="s">
        <v>1421</v>
      </c>
    </row>
    <row r="209" spans="1:83" ht="16" hidden="1" thickBot="1" x14ac:dyDescent="0.25">
      <c r="A209" s="39" t="s">
        <v>1420</v>
      </c>
      <c r="B209" s="77" t="str">
        <f>UKG!BO209</f>
        <v>ANDREAS</v>
      </c>
      <c r="D209" s="77" t="str">
        <f>UKG!BN209</f>
        <v>LINDER</v>
      </c>
      <c r="E209" s="77" t="str">
        <f>UKG!D209</f>
        <v>205112</v>
      </c>
      <c r="F209" s="77" t="str">
        <f t="shared" si="3"/>
        <v>ALinder@onebarnes.com.new.uat</v>
      </c>
      <c r="G209" s="18" t="s">
        <v>1427</v>
      </c>
      <c r="H209" s="77" t="str">
        <f>UKG!AQ209</f>
        <v>ALinder@onebarnes.com</v>
      </c>
      <c r="I209" s="18" t="str">
        <f>IFERROR(VLOOKUP(J209,'Language Map'!M:O,3,FALSE),"en_US")</f>
        <v>sv_SE</v>
      </c>
      <c r="J209" s="77" t="str">
        <f>UKG!BF209</f>
        <v>SE</v>
      </c>
      <c r="L209" s="77" t="str">
        <f>IFERROR(VLOOKUP(UKG!BA209,'UKG Company Map'!B:G,7,FALSE),"Ledger Code Not Matched")</f>
        <v>Ledger Code Not Matched</v>
      </c>
      <c r="M209" s="18" t="str">
        <f>UKG!BH209</f>
        <v>SEK</v>
      </c>
      <c r="O209" s="18" t="str">
        <f>UKG!BJ209</f>
        <v>Y</v>
      </c>
      <c r="P209" s="18" t="str">
        <f>IFERROR(VLOOKUP(UKG!BA209,'UKG Company Map'!B:E,2,FALSE),"Org Unit 1 Not Mapped")</f>
        <v>0077</v>
      </c>
      <c r="Q209" s="77" t="str">
        <f>UKG!BB209</f>
        <v>0000</v>
      </c>
      <c r="W209" s="77" t="str">
        <f>UKG!Q209</f>
        <v>H0008</v>
      </c>
      <c r="X209" s="18" t="str">
        <f>UKG!BC209</f>
        <v>Default</v>
      </c>
      <c r="Z209" s="18" t="str">
        <f>IFERROR(VLOOKUP(UKG!BA209,'UKG Company Map'!B:G,8,FALSE),"Custom 5 Not Matched")</f>
        <v>Custom 5 Not Matched</v>
      </c>
      <c r="AP209" s="18" t="str">
        <f>IFERROR(VLOOKUP(UKG!BA209,'UKG Company Map'!B:G,4,FALSE),"Custom 21 Exp Group Not Matched")</f>
        <v>0077</v>
      </c>
      <c r="BG209" s="77" t="str">
        <f>UKG!AZ209</f>
        <v>205384</v>
      </c>
      <c r="BK209" s="18" t="s">
        <v>1421</v>
      </c>
      <c r="BL209" s="18" t="s">
        <v>1421</v>
      </c>
      <c r="BU209" s="18" t="str">
        <f>UKG!BL209</f>
        <v>N</v>
      </c>
      <c r="BV209" s="18" t="str">
        <f>UKG!BL209</f>
        <v>N</v>
      </c>
      <c r="CE209" s="18" t="s">
        <v>1421</v>
      </c>
    </row>
    <row r="210" spans="1:83" ht="16" hidden="1" thickBot="1" x14ac:dyDescent="0.25">
      <c r="A210" s="39" t="s">
        <v>1420</v>
      </c>
      <c r="B210" s="77" t="str">
        <f>UKG!BO210</f>
        <v>EMANUEL</v>
      </c>
      <c r="D210" s="77" t="str">
        <f>UKG!BN210</f>
        <v>LINDQVIST</v>
      </c>
      <c r="E210" s="77" t="str">
        <f>UKG!D210</f>
        <v>205337</v>
      </c>
      <c r="F210" s="77" t="str">
        <f t="shared" si="3"/>
        <v>ELindqvist@onebarnes.com.new.uat</v>
      </c>
      <c r="G210" s="18" t="s">
        <v>1427</v>
      </c>
      <c r="H210" s="77" t="str">
        <f>UKG!AQ210</f>
        <v>ELindqvist@onebarnes.com</v>
      </c>
      <c r="I210" s="18" t="str">
        <f>IFERROR(VLOOKUP(J210,'Language Map'!M:O,3,FALSE),"en_US")</f>
        <v>sv_SE</v>
      </c>
      <c r="J210" s="77" t="str">
        <f>UKG!BF210</f>
        <v>SE</v>
      </c>
      <c r="L210" s="77" t="str">
        <f>IFERROR(VLOOKUP(UKG!BA210,'UKG Company Map'!B:G,7,FALSE),"Ledger Code Not Matched")</f>
        <v>Ledger Code Not Matched</v>
      </c>
      <c r="M210" s="18" t="str">
        <f>UKG!BH210</f>
        <v>SEK</v>
      </c>
      <c r="O210" s="18" t="str">
        <f>UKG!BJ210</f>
        <v>Y</v>
      </c>
      <c r="P210" s="18" t="str">
        <f>IFERROR(VLOOKUP(UKG!BA210,'UKG Company Map'!B:E,2,FALSE),"Org Unit 1 Not Mapped")</f>
        <v>0077</v>
      </c>
      <c r="Q210" s="77" t="str">
        <f>UKG!BB210</f>
        <v>0000</v>
      </c>
      <c r="W210" s="77" t="str">
        <f>UKG!Q210</f>
        <v>H0005</v>
      </c>
      <c r="X210" s="18" t="str">
        <f>UKG!BC210</f>
        <v>Default</v>
      </c>
      <c r="Z210" s="18" t="str">
        <f>IFERROR(VLOOKUP(UKG!BA210,'UKG Company Map'!B:G,8,FALSE),"Custom 5 Not Matched")</f>
        <v>Custom 5 Not Matched</v>
      </c>
      <c r="AP210" s="18" t="str">
        <f>IFERROR(VLOOKUP(UKG!BA210,'UKG Company Map'!B:G,4,FALSE),"Custom 21 Exp Group Not Matched")</f>
        <v>0077</v>
      </c>
      <c r="BG210" s="77" t="str">
        <f>UKG!AZ210</f>
        <v>211474</v>
      </c>
      <c r="BK210" s="18" t="s">
        <v>1421</v>
      </c>
      <c r="BL210" s="18" t="s">
        <v>1421</v>
      </c>
      <c r="BU210" s="18" t="str">
        <f>UKG!BL210</f>
        <v>N</v>
      </c>
      <c r="BV210" s="18" t="str">
        <f>UKG!BL210</f>
        <v>N</v>
      </c>
      <c r="CE210" s="18" t="s">
        <v>1421</v>
      </c>
    </row>
    <row r="211" spans="1:83" ht="16" hidden="1" thickBot="1" x14ac:dyDescent="0.25">
      <c r="A211" s="39" t="s">
        <v>1420</v>
      </c>
      <c r="B211" s="77" t="str">
        <f>UKG!BO211</f>
        <v>ANDERS</v>
      </c>
      <c r="D211" s="77" t="str">
        <f>UKG!BN211</f>
        <v>LINDSTRÖM</v>
      </c>
      <c r="E211" s="77" t="str">
        <f>UKG!D211</f>
        <v>205339</v>
      </c>
      <c r="F211" s="77" t="str">
        <f t="shared" si="3"/>
        <v>E205339@onebarnes.com.new.uat</v>
      </c>
      <c r="G211" s="18" t="s">
        <v>1427</v>
      </c>
      <c r="H211" s="77" t="str">
        <f>UKG!AQ211</f>
        <v>E205339@onebarnes.com</v>
      </c>
      <c r="I211" s="18" t="str">
        <f>IFERROR(VLOOKUP(J211,'Language Map'!M:O,3,FALSE),"en_US")</f>
        <v>sv_SE</v>
      </c>
      <c r="J211" s="77" t="str">
        <f>UKG!BF211</f>
        <v>SE</v>
      </c>
      <c r="L211" s="77" t="str">
        <f>IFERROR(VLOOKUP(UKG!BA211,'UKG Company Map'!B:G,7,FALSE),"Ledger Code Not Matched")</f>
        <v>Ledger Code Not Matched</v>
      </c>
      <c r="M211" s="18" t="str">
        <f>UKG!BH211</f>
        <v>SEK</v>
      </c>
      <c r="O211" s="18" t="str">
        <f>UKG!BJ211</f>
        <v>Y</v>
      </c>
      <c r="P211" s="18" t="str">
        <f>IFERROR(VLOOKUP(UKG!BA211,'UKG Company Map'!B:E,2,FALSE),"Org Unit 1 Not Mapped")</f>
        <v>0077</v>
      </c>
      <c r="Q211" s="77" t="str">
        <f>UKG!BB211</f>
        <v>0000</v>
      </c>
      <c r="W211" s="77" t="str">
        <f>UKG!Q211</f>
        <v>H0004</v>
      </c>
      <c r="X211" s="18" t="str">
        <f>UKG!BC211</f>
        <v>Default</v>
      </c>
      <c r="Z211" s="18" t="str">
        <f>IFERROR(VLOOKUP(UKG!BA211,'UKG Company Map'!B:G,8,FALSE),"Custom 5 Not Matched")</f>
        <v>Custom 5 Not Matched</v>
      </c>
      <c r="AP211" s="18" t="str">
        <f>IFERROR(VLOOKUP(UKG!BA211,'UKG Company Map'!B:G,4,FALSE),"Custom 21 Exp Group Not Matched")</f>
        <v>0077</v>
      </c>
      <c r="BG211" s="77" t="str">
        <f>UKG!AZ211</f>
        <v>205116</v>
      </c>
      <c r="BK211" s="18" t="s">
        <v>1421</v>
      </c>
      <c r="BL211" s="18" t="s">
        <v>1421</v>
      </c>
      <c r="BU211" s="18" t="str">
        <f>UKG!BL211</f>
        <v>N</v>
      </c>
      <c r="BV211" s="18" t="str">
        <f>UKG!BL211</f>
        <v>N</v>
      </c>
      <c r="CE211" s="18" t="s">
        <v>1421</v>
      </c>
    </row>
    <row r="212" spans="1:83" ht="16" hidden="1" thickBot="1" x14ac:dyDescent="0.25">
      <c r="A212" s="39" t="s">
        <v>1420</v>
      </c>
      <c r="B212" s="77" t="str">
        <f>UKG!BO212</f>
        <v>JOHAN</v>
      </c>
      <c r="D212" s="77" t="str">
        <f>UKG!BN212</f>
        <v>LINDSTRÖM</v>
      </c>
      <c r="E212" s="77" t="str">
        <f>UKG!D212</f>
        <v>205207</v>
      </c>
      <c r="F212" s="77" t="str">
        <f t="shared" si="3"/>
        <v>E205207@onebarnes.com.new.uat</v>
      </c>
      <c r="G212" s="18" t="s">
        <v>1427</v>
      </c>
      <c r="H212" s="77" t="str">
        <f>UKG!AQ212</f>
        <v>E205207@onebarnes.com</v>
      </c>
      <c r="I212" s="18" t="str">
        <f>IFERROR(VLOOKUP(J212,'Language Map'!M:O,3,FALSE),"en_US")</f>
        <v>sv_SE</v>
      </c>
      <c r="J212" s="77" t="str">
        <f>UKG!BF212</f>
        <v>SE</v>
      </c>
      <c r="L212" s="77" t="str">
        <f>IFERROR(VLOOKUP(UKG!BA212,'UKG Company Map'!B:G,7,FALSE),"Ledger Code Not Matched")</f>
        <v>Ledger Code Not Matched</v>
      </c>
      <c r="M212" s="18" t="str">
        <f>UKG!BH212</f>
        <v>SEK</v>
      </c>
      <c r="O212" s="18" t="str">
        <f>UKG!BJ212</f>
        <v>Y</v>
      </c>
      <c r="P212" s="18" t="str">
        <f>IFERROR(VLOOKUP(UKG!BA212,'UKG Company Map'!B:E,2,FALSE),"Org Unit 1 Not Mapped")</f>
        <v>0077</v>
      </c>
      <c r="Q212" s="77" t="str">
        <f>UKG!BB212</f>
        <v>0000</v>
      </c>
      <c r="W212" s="77" t="str">
        <f>UKG!Q212</f>
        <v>H0005</v>
      </c>
      <c r="X212" s="18" t="str">
        <f>UKG!BC212</f>
        <v>Default</v>
      </c>
      <c r="Z212" s="18" t="str">
        <f>IFERROR(VLOOKUP(UKG!BA212,'UKG Company Map'!B:G,8,FALSE),"Custom 5 Not Matched")</f>
        <v>Custom 5 Not Matched</v>
      </c>
      <c r="AP212" s="18" t="str">
        <f>IFERROR(VLOOKUP(UKG!BA212,'UKG Company Map'!B:G,4,FALSE),"Custom 21 Exp Group Not Matched")</f>
        <v>0077</v>
      </c>
      <c r="BG212" s="77" t="str">
        <f>UKG!AZ212</f>
        <v>212110</v>
      </c>
      <c r="BK212" s="18" t="s">
        <v>1421</v>
      </c>
      <c r="BL212" s="18" t="s">
        <v>1421</v>
      </c>
      <c r="BU212" s="18" t="str">
        <f>UKG!BL212</f>
        <v>N</v>
      </c>
      <c r="BV212" s="18" t="str">
        <f>UKG!BL212</f>
        <v>N</v>
      </c>
      <c r="CE212" s="18" t="s">
        <v>1421</v>
      </c>
    </row>
    <row r="213" spans="1:83" ht="16" hidden="1" thickBot="1" x14ac:dyDescent="0.25">
      <c r="A213" s="39" t="s">
        <v>1420</v>
      </c>
      <c r="B213" s="77" t="str">
        <f>UKG!BO213</f>
        <v>ANGELIKA</v>
      </c>
      <c r="D213" s="77" t="str">
        <f>UKG!BN213</f>
        <v>LÖVGREN</v>
      </c>
      <c r="E213" s="77" t="str">
        <f>UKG!D213</f>
        <v>205284</v>
      </c>
      <c r="F213" s="77" t="str">
        <f t="shared" si="3"/>
        <v>E205284@onebarnes.com.new.uat</v>
      </c>
      <c r="G213" s="18" t="s">
        <v>1427</v>
      </c>
      <c r="H213" s="77" t="str">
        <f>UKG!AQ213</f>
        <v>E205284@onebarnes.com</v>
      </c>
      <c r="I213" s="18" t="str">
        <f>IFERROR(VLOOKUP(J213,'Language Map'!M:O,3,FALSE),"en_US")</f>
        <v>sv_SE</v>
      </c>
      <c r="J213" s="77" t="str">
        <f>UKG!BF213</f>
        <v>SE</v>
      </c>
      <c r="L213" s="77" t="str">
        <f>IFERROR(VLOOKUP(UKG!BA213,'UKG Company Map'!B:G,7,FALSE),"Ledger Code Not Matched")</f>
        <v>Ledger Code Not Matched</v>
      </c>
      <c r="M213" s="18" t="str">
        <f>UKG!BH213</f>
        <v>SEK</v>
      </c>
      <c r="O213" s="18" t="str">
        <f>UKG!BJ213</f>
        <v>Y</v>
      </c>
      <c r="P213" s="18" t="str">
        <f>IFERROR(VLOOKUP(UKG!BA213,'UKG Company Map'!B:E,2,FALSE),"Org Unit 1 Not Mapped")</f>
        <v>0077</v>
      </c>
      <c r="Q213" s="77" t="str">
        <f>UKG!BB213</f>
        <v>0000</v>
      </c>
      <c r="W213" s="77" t="str">
        <f>UKG!Q213</f>
        <v>H0005</v>
      </c>
      <c r="X213" s="18" t="str">
        <f>UKG!BC213</f>
        <v>Default</v>
      </c>
      <c r="Z213" s="18" t="str">
        <f>IFERROR(VLOOKUP(UKG!BA213,'UKG Company Map'!B:G,8,FALSE),"Custom 5 Not Matched")</f>
        <v>Custom 5 Not Matched</v>
      </c>
      <c r="AP213" s="18" t="str">
        <f>IFERROR(VLOOKUP(UKG!BA213,'UKG Company Map'!B:G,4,FALSE),"Custom 21 Exp Group Not Matched")</f>
        <v>0077</v>
      </c>
      <c r="BG213" s="77" t="str">
        <f>UKG!AZ213</f>
        <v>205315</v>
      </c>
      <c r="BK213" s="18" t="s">
        <v>1421</v>
      </c>
      <c r="BL213" s="18" t="s">
        <v>1421</v>
      </c>
      <c r="BU213" s="18" t="str">
        <f>UKG!BL213</f>
        <v>N</v>
      </c>
      <c r="BV213" s="18" t="str">
        <f>UKG!BL213</f>
        <v>N</v>
      </c>
      <c r="CE213" s="18" t="s">
        <v>1421</v>
      </c>
    </row>
    <row r="214" spans="1:83" ht="16" hidden="1" thickBot="1" x14ac:dyDescent="0.25">
      <c r="A214" s="39" t="s">
        <v>1420</v>
      </c>
      <c r="B214" s="77" t="str">
        <f>UKG!BO214</f>
        <v>NENAD</v>
      </c>
      <c r="D214" s="77" t="str">
        <f>UKG!BN214</f>
        <v>LUKIC</v>
      </c>
      <c r="E214" s="77" t="str">
        <f>UKG!D214</f>
        <v>205236</v>
      </c>
      <c r="F214" s="77" t="str">
        <f t="shared" ref="F214:F277" si="4">H214&amp;".new.uat"</f>
        <v>E205236@onebarnes.com.new.uat</v>
      </c>
      <c r="G214" s="18" t="s">
        <v>1427</v>
      </c>
      <c r="H214" s="77" t="str">
        <f>UKG!AQ214</f>
        <v>E205236@onebarnes.com</v>
      </c>
      <c r="I214" s="18" t="str">
        <f>IFERROR(VLOOKUP(J214,'Language Map'!M:O,3,FALSE),"en_US")</f>
        <v>sv_SE</v>
      </c>
      <c r="J214" s="77" t="str">
        <f>UKG!BF214</f>
        <v>SE</v>
      </c>
      <c r="L214" s="77" t="str">
        <f>IFERROR(VLOOKUP(UKG!BA214,'UKG Company Map'!B:G,7,FALSE),"Ledger Code Not Matched")</f>
        <v>Ledger Code Not Matched</v>
      </c>
      <c r="M214" s="18" t="str">
        <f>UKG!BH214</f>
        <v>SEK</v>
      </c>
      <c r="O214" s="18" t="str">
        <f>UKG!BJ214</f>
        <v>Y</v>
      </c>
      <c r="P214" s="18" t="str">
        <f>IFERROR(VLOOKUP(UKG!BA214,'UKG Company Map'!B:E,2,FALSE),"Org Unit 1 Not Mapped")</f>
        <v>0077</v>
      </c>
      <c r="Q214" s="77" t="str">
        <f>UKG!BB214</f>
        <v>0000</v>
      </c>
      <c r="W214" s="77" t="str">
        <f>UKG!Q214</f>
        <v>H0005</v>
      </c>
      <c r="X214" s="18" t="str">
        <f>UKG!BC214</f>
        <v>Default</v>
      </c>
      <c r="Z214" s="18" t="str">
        <f>IFERROR(VLOOKUP(UKG!BA214,'UKG Company Map'!B:G,8,FALSE),"Custom 5 Not Matched")</f>
        <v>Custom 5 Not Matched</v>
      </c>
      <c r="AP214" s="18" t="str">
        <f>IFERROR(VLOOKUP(UKG!BA214,'UKG Company Map'!B:G,4,FALSE),"Custom 21 Exp Group Not Matched")</f>
        <v>0077</v>
      </c>
      <c r="BG214" s="77" t="str">
        <f>UKG!AZ214</f>
        <v>212110</v>
      </c>
      <c r="BK214" s="18" t="s">
        <v>1421</v>
      </c>
      <c r="BL214" s="18" t="s">
        <v>1421</v>
      </c>
      <c r="BU214" s="18" t="str">
        <f>UKG!BL214</f>
        <v>N</v>
      </c>
      <c r="BV214" s="18" t="str">
        <f>UKG!BL214</f>
        <v>N</v>
      </c>
      <c r="CE214" s="18" t="s">
        <v>1421</v>
      </c>
    </row>
    <row r="215" spans="1:83" ht="16" hidden="1" thickBot="1" x14ac:dyDescent="0.25">
      <c r="A215" s="39" t="s">
        <v>1420</v>
      </c>
      <c r="B215" s="77" t="str">
        <f>UKG!BO215</f>
        <v>PER</v>
      </c>
      <c r="D215" s="77" t="str">
        <f>UKG!BN215</f>
        <v>MALMSJÖ</v>
      </c>
      <c r="E215" s="77" t="str">
        <f>UKG!D215</f>
        <v>205141</v>
      </c>
      <c r="F215" s="77" t="str">
        <f t="shared" si="4"/>
        <v>E205141@onebarnes.com.new.uat</v>
      </c>
      <c r="G215" s="18" t="s">
        <v>1427</v>
      </c>
      <c r="H215" s="77" t="str">
        <f>UKG!AQ215</f>
        <v>E205141@onebarnes.com</v>
      </c>
      <c r="I215" s="18" t="str">
        <f>IFERROR(VLOOKUP(J215,'Language Map'!M:O,3,FALSE),"en_US")</f>
        <v>sv_SE</v>
      </c>
      <c r="J215" s="77" t="str">
        <f>UKG!BF215</f>
        <v>SE</v>
      </c>
      <c r="L215" s="77" t="str">
        <f>IFERROR(VLOOKUP(UKG!BA215,'UKG Company Map'!B:G,7,FALSE),"Ledger Code Not Matched")</f>
        <v>Ledger Code Not Matched</v>
      </c>
      <c r="M215" s="18" t="str">
        <f>UKG!BH215</f>
        <v>SEK</v>
      </c>
      <c r="O215" s="18" t="str">
        <f>UKG!BJ215</f>
        <v>Y</v>
      </c>
      <c r="P215" s="18" t="str">
        <f>IFERROR(VLOOKUP(UKG!BA215,'UKG Company Map'!B:E,2,FALSE),"Org Unit 1 Not Mapped")</f>
        <v>0077</v>
      </c>
      <c r="Q215" s="77" t="str">
        <f>UKG!BB215</f>
        <v>0000</v>
      </c>
      <c r="W215" s="77" t="str">
        <f>UKG!Q215</f>
        <v>H0004</v>
      </c>
      <c r="X215" s="18" t="str">
        <f>UKG!BC215</f>
        <v>Default</v>
      </c>
      <c r="Z215" s="18" t="str">
        <f>IFERROR(VLOOKUP(UKG!BA215,'UKG Company Map'!B:G,8,FALSE),"Custom 5 Not Matched")</f>
        <v>Custom 5 Not Matched</v>
      </c>
      <c r="AP215" s="18" t="str">
        <f>IFERROR(VLOOKUP(UKG!BA215,'UKG Company Map'!B:G,4,FALSE),"Custom 21 Exp Group Not Matched")</f>
        <v>0077</v>
      </c>
      <c r="BG215" s="77" t="str">
        <f>UKG!AZ215</f>
        <v>205383</v>
      </c>
      <c r="BK215" s="18" t="s">
        <v>1421</v>
      </c>
      <c r="BL215" s="18" t="s">
        <v>1421</v>
      </c>
      <c r="BU215" s="18" t="str">
        <f>UKG!BL215</f>
        <v>N</v>
      </c>
      <c r="BV215" s="18" t="str">
        <f>UKG!BL215</f>
        <v>N</v>
      </c>
      <c r="CE215" s="18" t="s">
        <v>1421</v>
      </c>
    </row>
    <row r="216" spans="1:83" ht="16" hidden="1" thickBot="1" x14ac:dyDescent="0.25">
      <c r="A216" s="39" t="s">
        <v>1420</v>
      </c>
      <c r="B216" s="77" t="str">
        <f>UKG!BO216</f>
        <v>HOSEIN</v>
      </c>
      <c r="D216" s="77" t="str">
        <f>UKG!BN216</f>
        <v>MANSOURIAN</v>
      </c>
      <c r="E216" s="77" t="str">
        <f>UKG!D216</f>
        <v>205283</v>
      </c>
      <c r="F216" s="77" t="str">
        <f t="shared" si="4"/>
        <v>E205283@onebarnes.com.new.uat</v>
      </c>
      <c r="G216" s="18" t="s">
        <v>1427</v>
      </c>
      <c r="H216" s="77" t="str">
        <f>UKG!AQ216</f>
        <v>E205283@onebarnes.com</v>
      </c>
      <c r="I216" s="18" t="str">
        <f>IFERROR(VLOOKUP(J216,'Language Map'!M:O,3,FALSE),"en_US")</f>
        <v>sv_SE</v>
      </c>
      <c r="J216" s="77" t="str">
        <f>UKG!BF216</f>
        <v>SE</v>
      </c>
      <c r="L216" s="77" t="str">
        <f>IFERROR(VLOOKUP(UKG!BA216,'UKG Company Map'!B:G,7,FALSE),"Ledger Code Not Matched")</f>
        <v>Ledger Code Not Matched</v>
      </c>
      <c r="M216" s="18" t="str">
        <f>UKG!BH216</f>
        <v>SEK</v>
      </c>
      <c r="O216" s="18" t="str">
        <f>UKG!BJ216</f>
        <v>Y</v>
      </c>
      <c r="P216" s="18" t="str">
        <f>IFERROR(VLOOKUP(UKG!BA216,'UKG Company Map'!B:E,2,FALSE),"Org Unit 1 Not Mapped")</f>
        <v>0077</v>
      </c>
      <c r="Q216" s="77" t="str">
        <f>UKG!BB216</f>
        <v>0000</v>
      </c>
      <c r="W216" s="77" t="str">
        <f>UKG!Q216</f>
        <v>H0005</v>
      </c>
      <c r="X216" s="18" t="str">
        <f>UKG!BC216</f>
        <v>Default</v>
      </c>
      <c r="Z216" s="18" t="str">
        <f>IFERROR(VLOOKUP(UKG!BA216,'UKG Company Map'!B:G,8,FALSE),"Custom 5 Not Matched")</f>
        <v>Custom 5 Not Matched</v>
      </c>
      <c r="AP216" s="18" t="str">
        <f>IFERROR(VLOOKUP(UKG!BA216,'UKG Company Map'!B:G,4,FALSE),"Custom 21 Exp Group Not Matched")</f>
        <v>0077</v>
      </c>
      <c r="BG216" s="77" t="str">
        <f>UKG!AZ216</f>
        <v>212110</v>
      </c>
      <c r="BK216" s="18" t="s">
        <v>1421</v>
      </c>
      <c r="BL216" s="18" t="s">
        <v>1421</v>
      </c>
      <c r="BU216" s="18" t="str">
        <f>UKG!BL216</f>
        <v>N</v>
      </c>
      <c r="BV216" s="18" t="str">
        <f>UKG!BL216</f>
        <v>N</v>
      </c>
      <c r="CE216" s="18" t="s">
        <v>1421</v>
      </c>
    </row>
    <row r="217" spans="1:83" ht="16" hidden="1" thickBot="1" x14ac:dyDescent="0.25">
      <c r="A217" s="39" t="s">
        <v>1420</v>
      </c>
      <c r="B217" s="77" t="str">
        <f>UKG!BO217</f>
        <v>RIFET</v>
      </c>
      <c r="D217" s="77" t="str">
        <f>UKG!BN217</f>
        <v>MASLIC</v>
      </c>
      <c r="E217" s="77" t="str">
        <f>UKG!D217</f>
        <v>205192</v>
      </c>
      <c r="F217" s="77" t="str">
        <f t="shared" si="4"/>
        <v>E205192@onebarnes.com.new.uat</v>
      </c>
      <c r="G217" s="18" t="s">
        <v>1427</v>
      </c>
      <c r="H217" s="77" t="str">
        <f>UKG!AQ217</f>
        <v>E205192@onebarnes.com</v>
      </c>
      <c r="I217" s="18" t="str">
        <f>IFERROR(VLOOKUP(J217,'Language Map'!M:O,3,FALSE),"en_US")</f>
        <v>sv_SE</v>
      </c>
      <c r="J217" s="77" t="str">
        <f>UKG!BF217</f>
        <v>SE</v>
      </c>
      <c r="L217" s="77" t="str">
        <f>IFERROR(VLOOKUP(UKG!BA217,'UKG Company Map'!B:G,7,FALSE),"Ledger Code Not Matched")</f>
        <v>Ledger Code Not Matched</v>
      </c>
      <c r="M217" s="18" t="str">
        <f>UKG!BH217</f>
        <v>SEK</v>
      </c>
      <c r="O217" s="18" t="str">
        <f>UKG!BJ217</f>
        <v>Y</v>
      </c>
      <c r="P217" s="18" t="str">
        <f>IFERROR(VLOOKUP(UKG!BA217,'UKG Company Map'!B:E,2,FALSE),"Org Unit 1 Not Mapped")</f>
        <v>0077</v>
      </c>
      <c r="Q217" s="77" t="str">
        <f>UKG!BB217</f>
        <v>0000</v>
      </c>
      <c r="W217" s="77" t="str">
        <f>UKG!Q217</f>
        <v>H0005</v>
      </c>
      <c r="X217" s="18" t="str">
        <f>UKG!BC217</f>
        <v>Default</v>
      </c>
      <c r="Z217" s="18" t="str">
        <f>IFERROR(VLOOKUP(UKG!BA217,'UKG Company Map'!B:G,8,FALSE),"Custom 5 Not Matched")</f>
        <v>Custom 5 Not Matched</v>
      </c>
      <c r="AP217" s="18" t="str">
        <f>IFERROR(VLOOKUP(UKG!BA217,'UKG Company Map'!B:G,4,FALSE),"Custom 21 Exp Group Not Matched")</f>
        <v>0077</v>
      </c>
      <c r="BG217" s="77" t="str">
        <f>UKG!AZ217</f>
        <v>205315</v>
      </c>
      <c r="BK217" s="18" t="s">
        <v>1421</v>
      </c>
      <c r="BL217" s="18" t="s">
        <v>1421</v>
      </c>
      <c r="BU217" s="18" t="str">
        <f>UKG!BL217</f>
        <v>N</v>
      </c>
      <c r="BV217" s="18" t="str">
        <f>UKG!BL217</f>
        <v>N</v>
      </c>
      <c r="CE217" s="18" t="s">
        <v>1421</v>
      </c>
    </row>
    <row r="218" spans="1:83" ht="16" hidden="1" thickBot="1" x14ac:dyDescent="0.25">
      <c r="A218" s="39" t="s">
        <v>1420</v>
      </c>
      <c r="B218" s="77" t="str">
        <f>UKG!BO218</f>
        <v>JACOB</v>
      </c>
      <c r="D218" s="77" t="str">
        <f>UKG!BN218</f>
        <v>MATTSSON</v>
      </c>
      <c r="E218" s="77" t="str">
        <f>UKG!D218</f>
        <v>205113</v>
      </c>
      <c r="F218" s="77" t="str">
        <f t="shared" si="4"/>
        <v>E205113@onebarnes.com.new.uat</v>
      </c>
      <c r="G218" s="18" t="s">
        <v>1427</v>
      </c>
      <c r="H218" s="77" t="str">
        <f>UKG!AQ218</f>
        <v>E205113@onebarnes.com</v>
      </c>
      <c r="I218" s="18" t="str">
        <f>IFERROR(VLOOKUP(J218,'Language Map'!M:O,3,FALSE),"en_US")</f>
        <v>sv_SE</v>
      </c>
      <c r="J218" s="77" t="str">
        <f>UKG!BF218</f>
        <v>SE</v>
      </c>
      <c r="L218" s="77" t="str">
        <f>IFERROR(VLOOKUP(UKG!BA218,'UKG Company Map'!B:G,7,FALSE),"Ledger Code Not Matched")</f>
        <v>Ledger Code Not Matched</v>
      </c>
      <c r="M218" s="18" t="str">
        <f>UKG!BH218</f>
        <v>SEK</v>
      </c>
      <c r="O218" s="18" t="str">
        <f>UKG!BJ218</f>
        <v>Y</v>
      </c>
      <c r="P218" s="18" t="str">
        <f>IFERROR(VLOOKUP(UKG!BA218,'UKG Company Map'!B:E,2,FALSE),"Org Unit 1 Not Mapped")</f>
        <v>0077</v>
      </c>
      <c r="Q218" s="77" t="str">
        <f>UKG!BB218</f>
        <v>0000</v>
      </c>
      <c r="W218" s="77" t="str">
        <f>UKG!Q218</f>
        <v>H0000</v>
      </c>
      <c r="X218" s="18" t="str">
        <f>UKG!BC218</f>
        <v>Default</v>
      </c>
      <c r="Z218" s="18" t="str">
        <f>IFERROR(VLOOKUP(UKG!BA218,'UKG Company Map'!B:G,8,FALSE),"Custom 5 Not Matched")</f>
        <v>Custom 5 Not Matched</v>
      </c>
      <c r="AP218" s="18" t="str">
        <f>IFERROR(VLOOKUP(UKG!BA218,'UKG Company Map'!B:G,4,FALSE),"Custom 21 Exp Group Not Matched")</f>
        <v>0077</v>
      </c>
      <c r="BG218" s="77" t="str">
        <f>UKG!AZ218</f>
        <v>211474</v>
      </c>
      <c r="BK218" s="18" t="s">
        <v>1421</v>
      </c>
      <c r="BL218" s="18" t="s">
        <v>1421</v>
      </c>
      <c r="BU218" s="18" t="str">
        <f>UKG!BL218</f>
        <v>N</v>
      </c>
      <c r="BV218" s="18" t="str">
        <f>UKG!BL218</f>
        <v>N</v>
      </c>
      <c r="CE218" s="18" t="s">
        <v>1421</v>
      </c>
    </row>
    <row r="219" spans="1:83" ht="16" hidden="1" thickBot="1" x14ac:dyDescent="0.25">
      <c r="A219" s="39" t="s">
        <v>1420</v>
      </c>
      <c r="B219" s="77" t="str">
        <f>UKG!BO219</f>
        <v>HAJRIJA</v>
      </c>
      <c r="D219" s="77" t="str">
        <f>UKG!BN219</f>
        <v>MEHDIC</v>
      </c>
      <c r="E219" s="77" t="str">
        <f>UKG!D219</f>
        <v>205146</v>
      </c>
      <c r="F219" s="77" t="str">
        <f t="shared" si="4"/>
        <v>E205146@onebarnes.com.new.uat</v>
      </c>
      <c r="G219" s="18" t="s">
        <v>1427</v>
      </c>
      <c r="H219" s="77" t="str">
        <f>UKG!AQ219</f>
        <v>E205146@onebarnes.com</v>
      </c>
      <c r="I219" s="18" t="str">
        <f>IFERROR(VLOOKUP(J219,'Language Map'!M:O,3,FALSE),"en_US")</f>
        <v>sv_SE</v>
      </c>
      <c r="J219" s="77" t="str">
        <f>UKG!BF219</f>
        <v>SE</v>
      </c>
      <c r="L219" s="77" t="str">
        <f>IFERROR(VLOOKUP(UKG!BA219,'UKG Company Map'!B:G,7,FALSE),"Ledger Code Not Matched")</f>
        <v>Ledger Code Not Matched</v>
      </c>
      <c r="M219" s="18" t="str">
        <f>UKG!BH219</f>
        <v>SEK</v>
      </c>
      <c r="O219" s="18" t="str">
        <f>UKG!BJ219</f>
        <v>Y</v>
      </c>
      <c r="P219" s="18" t="str">
        <f>IFERROR(VLOOKUP(UKG!BA219,'UKG Company Map'!B:E,2,FALSE),"Org Unit 1 Not Mapped")</f>
        <v>0077</v>
      </c>
      <c r="Q219" s="77" t="str">
        <f>UKG!BB219</f>
        <v>0000</v>
      </c>
      <c r="W219" s="77" t="str">
        <f>UKG!Q219</f>
        <v>H0004</v>
      </c>
      <c r="X219" s="18" t="str">
        <f>UKG!BC219</f>
        <v>Default</v>
      </c>
      <c r="Z219" s="18" t="str">
        <f>IFERROR(VLOOKUP(UKG!BA219,'UKG Company Map'!B:G,8,FALSE),"Custom 5 Not Matched")</f>
        <v>Custom 5 Not Matched</v>
      </c>
      <c r="AP219" s="18" t="str">
        <f>IFERROR(VLOOKUP(UKG!BA219,'UKG Company Map'!B:G,4,FALSE),"Custom 21 Exp Group Not Matched")</f>
        <v>0077</v>
      </c>
      <c r="BG219" s="77" t="str">
        <f>UKG!AZ219</f>
        <v>205383</v>
      </c>
      <c r="BK219" s="18" t="s">
        <v>1421</v>
      </c>
      <c r="BL219" s="18" t="s">
        <v>1421</v>
      </c>
      <c r="BU219" s="18" t="str">
        <f>UKG!BL219</f>
        <v>N</v>
      </c>
      <c r="BV219" s="18" t="str">
        <f>UKG!BL219</f>
        <v>N</v>
      </c>
      <c r="CE219" s="18" t="s">
        <v>1421</v>
      </c>
    </row>
    <row r="220" spans="1:83" ht="16" hidden="1" thickBot="1" x14ac:dyDescent="0.25">
      <c r="A220" s="39" t="s">
        <v>1420</v>
      </c>
      <c r="B220" s="77" t="str">
        <f>UKG!BO220</f>
        <v>JASMIN</v>
      </c>
      <c r="D220" s="77" t="str">
        <f>UKG!BN220</f>
        <v>MEHDIC</v>
      </c>
      <c r="E220" s="77" t="str">
        <f>UKG!D220</f>
        <v>205222</v>
      </c>
      <c r="F220" s="77" t="str">
        <f t="shared" si="4"/>
        <v>E205222@onebarnes.com.new.uat</v>
      </c>
      <c r="G220" s="18" t="s">
        <v>1427</v>
      </c>
      <c r="H220" s="77" t="str">
        <f>UKG!AQ220</f>
        <v>E205222@onebarnes.com</v>
      </c>
      <c r="I220" s="18" t="str">
        <f>IFERROR(VLOOKUP(J220,'Language Map'!M:O,3,FALSE),"en_US")</f>
        <v>sv_SE</v>
      </c>
      <c r="J220" s="77" t="str">
        <f>UKG!BF220</f>
        <v>SE</v>
      </c>
      <c r="L220" s="77" t="str">
        <f>IFERROR(VLOOKUP(UKG!BA220,'UKG Company Map'!B:G,7,FALSE),"Ledger Code Not Matched")</f>
        <v>Ledger Code Not Matched</v>
      </c>
      <c r="M220" s="18" t="str">
        <f>UKG!BH220</f>
        <v>SEK</v>
      </c>
      <c r="O220" s="18" t="str">
        <f>UKG!BJ220</f>
        <v>Y</v>
      </c>
      <c r="P220" s="18" t="str">
        <f>IFERROR(VLOOKUP(UKG!BA220,'UKG Company Map'!B:E,2,FALSE),"Org Unit 1 Not Mapped")</f>
        <v>0077</v>
      </c>
      <c r="Q220" s="77" t="str">
        <f>UKG!BB220</f>
        <v>0000</v>
      </c>
      <c r="W220" s="77" t="str">
        <f>UKG!Q220</f>
        <v>H0005</v>
      </c>
      <c r="X220" s="18" t="str">
        <f>UKG!BC220</f>
        <v>Default</v>
      </c>
      <c r="Z220" s="18" t="str">
        <f>IFERROR(VLOOKUP(UKG!BA220,'UKG Company Map'!B:G,8,FALSE),"Custom 5 Not Matched")</f>
        <v>Custom 5 Not Matched</v>
      </c>
      <c r="AP220" s="18" t="str">
        <f>IFERROR(VLOOKUP(UKG!BA220,'UKG Company Map'!B:G,4,FALSE),"Custom 21 Exp Group Not Matched")</f>
        <v>0077</v>
      </c>
      <c r="BG220" s="77" t="str">
        <f>UKG!AZ220</f>
        <v>205315</v>
      </c>
      <c r="BK220" s="18" t="s">
        <v>1421</v>
      </c>
      <c r="BL220" s="18" t="s">
        <v>1421</v>
      </c>
      <c r="BU220" s="18" t="str">
        <f>UKG!BL220</f>
        <v>N</v>
      </c>
      <c r="BV220" s="18" t="str">
        <f>UKG!BL220</f>
        <v>N</v>
      </c>
      <c r="CE220" s="18" t="s">
        <v>1421</v>
      </c>
    </row>
    <row r="221" spans="1:83" ht="16" hidden="1" thickBot="1" x14ac:dyDescent="0.25">
      <c r="A221" s="39" t="s">
        <v>1420</v>
      </c>
      <c r="B221" s="77" t="str">
        <f>UKG!BO221</f>
        <v>MARKO</v>
      </c>
      <c r="D221" s="77" t="str">
        <f>UKG!BN221</f>
        <v>MILJAK</v>
      </c>
      <c r="E221" s="77" t="str">
        <f>UKG!D221</f>
        <v>205193</v>
      </c>
      <c r="F221" s="77" t="str">
        <f t="shared" si="4"/>
        <v>E205193@onebarnes.com.new.uat</v>
      </c>
      <c r="G221" s="18" t="s">
        <v>1427</v>
      </c>
      <c r="H221" s="77" t="str">
        <f>UKG!AQ221</f>
        <v>E205193@onebarnes.com</v>
      </c>
      <c r="I221" s="18" t="str">
        <f>IFERROR(VLOOKUP(J221,'Language Map'!M:O,3,FALSE),"en_US")</f>
        <v>sv_SE</v>
      </c>
      <c r="J221" s="77" t="str">
        <f>UKG!BF221</f>
        <v>SE</v>
      </c>
      <c r="L221" s="77" t="str">
        <f>IFERROR(VLOOKUP(UKG!BA221,'UKG Company Map'!B:G,7,FALSE),"Ledger Code Not Matched")</f>
        <v>Ledger Code Not Matched</v>
      </c>
      <c r="M221" s="18" t="str">
        <f>UKG!BH221</f>
        <v>SEK</v>
      </c>
      <c r="O221" s="18" t="str">
        <f>UKG!BJ221</f>
        <v>Y</v>
      </c>
      <c r="P221" s="18" t="str">
        <f>IFERROR(VLOOKUP(UKG!BA221,'UKG Company Map'!B:E,2,FALSE),"Org Unit 1 Not Mapped")</f>
        <v>0077</v>
      </c>
      <c r="Q221" s="77" t="str">
        <f>UKG!BB221</f>
        <v>0000</v>
      </c>
      <c r="W221" s="77" t="str">
        <f>UKG!Q221</f>
        <v>H0005</v>
      </c>
      <c r="X221" s="18" t="str">
        <f>UKG!BC221</f>
        <v>Default</v>
      </c>
      <c r="Z221" s="18" t="str">
        <f>IFERROR(VLOOKUP(UKG!BA221,'UKG Company Map'!B:G,8,FALSE),"Custom 5 Not Matched")</f>
        <v>Custom 5 Not Matched</v>
      </c>
      <c r="AP221" s="18" t="str">
        <f>IFERROR(VLOOKUP(UKG!BA221,'UKG Company Map'!B:G,4,FALSE),"Custom 21 Exp Group Not Matched")</f>
        <v>0077</v>
      </c>
      <c r="BG221" s="77" t="str">
        <f>UKG!AZ221</f>
        <v>212110</v>
      </c>
      <c r="BK221" s="18" t="s">
        <v>1421</v>
      </c>
      <c r="BL221" s="18" t="s">
        <v>1421</v>
      </c>
      <c r="BU221" s="18" t="str">
        <f>UKG!BL221</f>
        <v>N</v>
      </c>
      <c r="BV221" s="18" t="str">
        <f>UKG!BL221</f>
        <v>N</v>
      </c>
      <c r="CE221" s="18" t="s">
        <v>1421</v>
      </c>
    </row>
    <row r="222" spans="1:83" ht="16" hidden="1" thickBot="1" x14ac:dyDescent="0.25">
      <c r="A222" s="39" t="s">
        <v>1420</v>
      </c>
      <c r="B222" s="77" t="str">
        <f>UKG!BO222</f>
        <v>DRAGAN</v>
      </c>
      <c r="D222" s="77" t="str">
        <f>UKG!BN222</f>
        <v>MILOSEVIC</v>
      </c>
      <c r="E222" s="77" t="str">
        <f>UKG!D222</f>
        <v>205288</v>
      </c>
      <c r="F222" s="77" t="str">
        <f t="shared" si="4"/>
        <v>E205288@onebarnes.com.new.uat</v>
      </c>
      <c r="G222" s="18" t="s">
        <v>1427</v>
      </c>
      <c r="H222" s="77" t="str">
        <f>UKG!AQ222</f>
        <v>E205288@onebarnes.com</v>
      </c>
      <c r="I222" s="18" t="str">
        <f>IFERROR(VLOOKUP(J222,'Language Map'!M:O,3,FALSE),"en_US")</f>
        <v>sv_SE</v>
      </c>
      <c r="J222" s="77" t="str">
        <f>UKG!BF222</f>
        <v>SE</v>
      </c>
      <c r="L222" s="77" t="str">
        <f>IFERROR(VLOOKUP(UKG!BA222,'UKG Company Map'!B:G,7,FALSE),"Ledger Code Not Matched")</f>
        <v>Ledger Code Not Matched</v>
      </c>
      <c r="M222" s="18" t="str">
        <f>UKG!BH222</f>
        <v>SEK</v>
      </c>
      <c r="O222" s="18" t="str">
        <f>UKG!BJ222</f>
        <v>Y</v>
      </c>
      <c r="P222" s="18" t="str">
        <f>IFERROR(VLOOKUP(UKG!BA222,'UKG Company Map'!B:E,2,FALSE),"Org Unit 1 Not Mapped")</f>
        <v>0077</v>
      </c>
      <c r="Q222" s="77" t="str">
        <f>UKG!BB222</f>
        <v>0000</v>
      </c>
      <c r="W222" s="77" t="str">
        <f>UKG!Q222</f>
        <v>H0005</v>
      </c>
      <c r="X222" s="18" t="str">
        <f>UKG!BC222</f>
        <v>Default</v>
      </c>
      <c r="Z222" s="18" t="str">
        <f>IFERROR(VLOOKUP(UKG!BA222,'UKG Company Map'!B:G,8,FALSE),"Custom 5 Not Matched")</f>
        <v>Custom 5 Not Matched</v>
      </c>
      <c r="AP222" s="18" t="str">
        <f>IFERROR(VLOOKUP(UKG!BA222,'UKG Company Map'!B:G,4,FALSE),"Custom 21 Exp Group Not Matched")</f>
        <v>0077</v>
      </c>
      <c r="BG222" s="77" t="str">
        <f>UKG!AZ222</f>
        <v>205315</v>
      </c>
      <c r="BK222" s="18" t="s">
        <v>1421</v>
      </c>
      <c r="BL222" s="18" t="s">
        <v>1421</v>
      </c>
      <c r="BU222" s="18" t="str">
        <f>UKG!BL222</f>
        <v>N</v>
      </c>
      <c r="BV222" s="18" t="str">
        <f>UKG!BL222</f>
        <v>N</v>
      </c>
      <c r="CE222" s="18" t="s">
        <v>1421</v>
      </c>
    </row>
    <row r="223" spans="1:83" ht="16" hidden="1" thickBot="1" x14ac:dyDescent="0.25">
      <c r="A223" s="39" t="s">
        <v>1420</v>
      </c>
      <c r="B223" s="77" t="str">
        <f>UKG!BO223</f>
        <v>JOHAN</v>
      </c>
      <c r="D223" s="77" t="str">
        <f>UKG!BN223</f>
        <v>MONELL</v>
      </c>
      <c r="E223" s="77" t="str">
        <f>UKG!D223</f>
        <v>205188</v>
      </c>
      <c r="F223" s="77" t="str">
        <f t="shared" si="4"/>
        <v>E205188@onebarnes.com.new.uat</v>
      </c>
      <c r="G223" s="18" t="s">
        <v>1427</v>
      </c>
      <c r="H223" s="77" t="str">
        <f>UKG!AQ223</f>
        <v>E205188@onebarnes.com</v>
      </c>
      <c r="I223" s="18" t="str">
        <f>IFERROR(VLOOKUP(J223,'Language Map'!M:O,3,FALSE),"en_US")</f>
        <v>sv_SE</v>
      </c>
      <c r="J223" s="77" t="str">
        <f>UKG!BF223</f>
        <v>SE</v>
      </c>
      <c r="L223" s="77" t="str">
        <f>IFERROR(VLOOKUP(UKG!BA223,'UKG Company Map'!B:G,7,FALSE),"Ledger Code Not Matched")</f>
        <v>Ledger Code Not Matched</v>
      </c>
      <c r="M223" s="18" t="str">
        <f>UKG!BH223</f>
        <v>SEK</v>
      </c>
      <c r="O223" s="18" t="str">
        <f>UKG!BJ223</f>
        <v>Y</v>
      </c>
      <c r="P223" s="18" t="str">
        <f>IFERROR(VLOOKUP(UKG!BA223,'UKG Company Map'!B:E,2,FALSE),"Org Unit 1 Not Mapped")</f>
        <v>0077</v>
      </c>
      <c r="Q223" s="77" t="str">
        <f>UKG!BB223</f>
        <v>0000</v>
      </c>
      <c r="W223" s="77" t="str">
        <f>UKG!Q223</f>
        <v>H0005</v>
      </c>
      <c r="X223" s="18" t="str">
        <f>UKG!BC223</f>
        <v>Default</v>
      </c>
      <c r="Z223" s="18" t="str">
        <f>IFERROR(VLOOKUP(UKG!BA223,'UKG Company Map'!B:G,8,FALSE),"Custom 5 Not Matched")</f>
        <v>Custom 5 Not Matched</v>
      </c>
      <c r="AP223" s="18" t="str">
        <f>IFERROR(VLOOKUP(UKG!BA223,'UKG Company Map'!B:G,4,FALSE),"Custom 21 Exp Group Not Matched")</f>
        <v>0077</v>
      </c>
      <c r="BG223" s="77" t="str">
        <f>UKG!AZ223</f>
        <v>212110</v>
      </c>
      <c r="BK223" s="18" t="s">
        <v>1421</v>
      </c>
      <c r="BL223" s="18" t="s">
        <v>1421</v>
      </c>
      <c r="BU223" s="18" t="str">
        <f>UKG!BL223</f>
        <v>N</v>
      </c>
      <c r="BV223" s="18" t="str">
        <f>UKG!BL223</f>
        <v>N</v>
      </c>
      <c r="CE223" s="18" t="s">
        <v>1421</v>
      </c>
    </row>
    <row r="224" spans="1:83" ht="16" hidden="1" thickBot="1" x14ac:dyDescent="0.25">
      <c r="A224" s="39" t="s">
        <v>1420</v>
      </c>
      <c r="B224" s="77" t="str">
        <f>UKG!BO224</f>
        <v>ANDREAS</v>
      </c>
      <c r="D224" s="77" t="str">
        <f>UKG!BN224</f>
        <v>NILSSON</v>
      </c>
      <c r="E224" s="77" t="str">
        <f>UKG!D224</f>
        <v>205127</v>
      </c>
      <c r="F224" s="77" t="str">
        <f t="shared" si="4"/>
        <v>ANilsson@onebarnes.com.new.uat</v>
      </c>
      <c r="G224" s="18" t="s">
        <v>1427</v>
      </c>
      <c r="H224" s="77" t="str">
        <f>UKG!AQ224</f>
        <v>ANilsson@onebarnes.com</v>
      </c>
      <c r="I224" s="18" t="str">
        <f>IFERROR(VLOOKUP(J224,'Language Map'!M:O,3,FALSE),"en_US")</f>
        <v>sv_SE</v>
      </c>
      <c r="J224" s="77" t="str">
        <f>UKG!BF224</f>
        <v>SE</v>
      </c>
      <c r="L224" s="77" t="str">
        <f>IFERROR(VLOOKUP(UKG!BA224,'UKG Company Map'!B:G,7,FALSE),"Ledger Code Not Matched")</f>
        <v>Ledger Code Not Matched</v>
      </c>
      <c r="M224" s="18" t="str">
        <f>UKG!BH224</f>
        <v>SEK</v>
      </c>
      <c r="O224" s="18" t="str">
        <f>UKG!BJ224</f>
        <v>Y</v>
      </c>
      <c r="P224" s="18" t="str">
        <f>IFERROR(VLOOKUP(UKG!BA224,'UKG Company Map'!B:E,2,FALSE),"Org Unit 1 Not Mapped")</f>
        <v>0077</v>
      </c>
      <c r="Q224" s="77" t="str">
        <f>UKG!BB224</f>
        <v>0000</v>
      </c>
      <c r="W224" s="77" t="str">
        <f>UKG!Q224</f>
        <v>H0009</v>
      </c>
      <c r="X224" s="18" t="str">
        <f>UKG!BC224</f>
        <v>Default</v>
      </c>
      <c r="Z224" s="18" t="str">
        <f>IFERROR(VLOOKUP(UKG!BA224,'UKG Company Map'!B:G,8,FALSE),"Custom 5 Not Matched")</f>
        <v>Custom 5 Not Matched</v>
      </c>
      <c r="AP224" s="18" t="str">
        <f>IFERROR(VLOOKUP(UKG!BA224,'UKG Company Map'!B:G,4,FALSE),"Custom 21 Exp Group Not Matched")</f>
        <v>0077</v>
      </c>
      <c r="BG224" s="77" t="str">
        <f>UKG!AZ224</f>
        <v>205380</v>
      </c>
      <c r="BK224" s="18" t="s">
        <v>1421</v>
      </c>
      <c r="BL224" s="18" t="s">
        <v>1421</v>
      </c>
      <c r="BU224" s="18" t="str">
        <f>UKG!BL224</f>
        <v>N</v>
      </c>
      <c r="BV224" s="18" t="str">
        <f>UKG!BL224</f>
        <v>N</v>
      </c>
      <c r="CE224" s="18" t="s">
        <v>1421</v>
      </c>
    </row>
    <row r="225" spans="1:83" ht="16" hidden="1" thickBot="1" x14ac:dyDescent="0.25">
      <c r="A225" s="39" t="s">
        <v>1420</v>
      </c>
      <c r="B225" s="77" t="str">
        <f>UKG!BO225</f>
        <v>GOTTFRID</v>
      </c>
      <c r="D225" s="77" t="str">
        <f>UKG!BN225</f>
        <v>NILSSON</v>
      </c>
      <c r="E225" s="77" t="str">
        <f>UKG!D225</f>
        <v>205219</v>
      </c>
      <c r="F225" s="77" t="str">
        <f t="shared" si="4"/>
        <v>E205219@onebarnes.com.new.uat</v>
      </c>
      <c r="G225" s="18" t="s">
        <v>1427</v>
      </c>
      <c r="H225" s="77" t="str">
        <f>UKG!AQ225</f>
        <v>E205219@onebarnes.com</v>
      </c>
      <c r="I225" s="18" t="str">
        <f>IFERROR(VLOOKUP(J225,'Language Map'!M:O,3,FALSE),"en_US")</f>
        <v>sv_SE</v>
      </c>
      <c r="J225" s="77" t="str">
        <f>UKG!BF225</f>
        <v>SE</v>
      </c>
      <c r="L225" s="77" t="str">
        <f>IFERROR(VLOOKUP(UKG!BA225,'UKG Company Map'!B:G,7,FALSE),"Ledger Code Not Matched")</f>
        <v>Ledger Code Not Matched</v>
      </c>
      <c r="M225" s="18" t="str">
        <f>UKG!BH225</f>
        <v>SEK</v>
      </c>
      <c r="O225" s="18" t="str">
        <f>UKG!BJ225</f>
        <v>Y</v>
      </c>
      <c r="P225" s="18" t="str">
        <f>IFERROR(VLOOKUP(UKG!BA225,'UKG Company Map'!B:E,2,FALSE),"Org Unit 1 Not Mapped")</f>
        <v>0077</v>
      </c>
      <c r="Q225" s="77" t="str">
        <f>UKG!BB225</f>
        <v>0000</v>
      </c>
      <c r="W225" s="77" t="str">
        <f>UKG!Q225</f>
        <v>H0005</v>
      </c>
      <c r="X225" s="18" t="str">
        <f>UKG!BC225</f>
        <v>Default</v>
      </c>
      <c r="Z225" s="18" t="str">
        <f>IFERROR(VLOOKUP(UKG!BA225,'UKG Company Map'!B:G,8,FALSE),"Custom 5 Not Matched")</f>
        <v>Custom 5 Not Matched</v>
      </c>
      <c r="AP225" s="18" t="str">
        <f>IFERROR(VLOOKUP(UKG!BA225,'UKG Company Map'!B:G,4,FALSE),"Custom 21 Exp Group Not Matched")</f>
        <v>0077</v>
      </c>
      <c r="BG225" s="77" t="str">
        <f>UKG!AZ225</f>
        <v>212110</v>
      </c>
      <c r="BK225" s="18" t="s">
        <v>1421</v>
      </c>
      <c r="BL225" s="18" t="s">
        <v>1421</v>
      </c>
      <c r="BU225" s="18" t="str">
        <f>UKG!BL225</f>
        <v>N</v>
      </c>
      <c r="BV225" s="18" t="str">
        <f>UKG!BL225</f>
        <v>N</v>
      </c>
      <c r="CE225" s="18" t="s">
        <v>1421</v>
      </c>
    </row>
    <row r="226" spans="1:83" ht="16" hidden="1" thickBot="1" x14ac:dyDescent="0.25">
      <c r="A226" s="39" t="s">
        <v>1420</v>
      </c>
      <c r="B226" s="77" t="str">
        <f>UKG!BO226</f>
        <v>SANDRA</v>
      </c>
      <c r="D226" s="77" t="str">
        <f>UKG!BN226</f>
        <v>NILSSON</v>
      </c>
      <c r="E226" s="77" t="str">
        <f>UKG!D226</f>
        <v>205136</v>
      </c>
      <c r="F226" s="77" t="str">
        <f t="shared" si="4"/>
        <v>E205136@onebarnes.com.new.uat</v>
      </c>
      <c r="G226" s="18" t="s">
        <v>1427</v>
      </c>
      <c r="H226" s="77" t="str">
        <f>UKG!AQ226</f>
        <v>E205136@onebarnes.com</v>
      </c>
      <c r="I226" s="18" t="str">
        <f>IFERROR(VLOOKUP(J226,'Language Map'!M:O,3,FALSE),"en_US")</f>
        <v>sv_SE</v>
      </c>
      <c r="J226" s="77" t="str">
        <f>UKG!BF226</f>
        <v>SE</v>
      </c>
      <c r="L226" s="77" t="str">
        <f>IFERROR(VLOOKUP(UKG!BA226,'UKG Company Map'!B:G,7,FALSE),"Ledger Code Not Matched")</f>
        <v>Ledger Code Not Matched</v>
      </c>
      <c r="M226" s="18" t="str">
        <f>UKG!BH226</f>
        <v>SEK</v>
      </c>
      <c r="O226" s="18" t="str">
        <f>UKG!BJ226</f>
        <v>Y</v>
      </c>
      <c r="P226" s="18" t="str">
        <f>IFERROR(VLOOKUP(UKG!BA226,'UKG Company Map'!B:E,2,FALSE),"Org Unit 1 Not Mapped")</f>
        <v>0077</v>
      </c>
      <c r="Q226" s="77" t="str">
        <f>UKG!BB226</f>
        <v>0000</v>
      </c>
      <c r="W226" s="77" t="str">
        <f>UKG!Q226</f>
        <v>H0004</v>
      </c>
      <c r="X226" s="18" t="str">
        <f>UKG!BC226</f>
        <v>Default</v>
      </c>
      <c r="Z226" s="18" t="str">
        <f>IFERROR(VLOOKUP(UKG!BA226,'UKG Company Map'!B:G,8,FALSE),"Custom 5 Not Matched")</f>
        <v>Custom 5 Not Matched</v>
      </c>
      <c r="AP226" s="18" t="str">
        <f>IFERROR(VLOOKUP(UKG!BA226,'UKG Company Map'!B:G,4,FALSE),"Custom 21 Exp Group Not Matched")</f>
        <v>0077</v>
      </c>
      <c r="BG226" s="77" t="str">
        <f>UKG!AZ226</f>
        <v>205116</v>
      </c>
      <c r="BK226" s="18" t="s">
        <v>1421</v>
      </c>
      <c r="BL226" s="18" t="s">
        <v>1421</v>
      </c>
      <c r="BU226" s="18" t="str">
        <f>UKG!BL226</f>
        <v>N</v>
      </c>
      <c r="BV226" s="18" t="str">
        <f>UKG!BL226</f>
        <v>N</v>
      </c>
      <c r="CE226" s="18" t="s">
        <v>1421</v>
      </c>
    </row>
    <row r="227" spans="1:83" ht="16" hidden="1" thickBot="1" x14ac:dyDescent="0.25">
      <c r="A227" s="39" t="s">
        <v>1420</v>
      </c>
      <c r="B227" s="77" t="str">
        <f>UKG!BO227</f>
        <v>CHRISTOPHER</v>
      </c>
      <c r="D227" s="77" t="str">
        <f>UKG!BN227</f>
        <v>NORLING</v>
      </c>
      <c r="E227" s="77" t="str">
        <f>UKG!D227</f>
        <v>207176</v>
      </c>
      <c r="F227" s="77" t="str">
        <f t="shared" si="4"/>
        <v>E205176@onebarnes.com.new.uat</v>
      </c>
      <c r="G227" s="18" t="s">
        <v>1427</v>
      </c>
      <c r="H227" s="77" t="str">
        <f>UKG!AQ227</f>
        <v>E205176@onebarnes.com</v>
      </c>
      <c r="I227" s="18" t="str">
        <f>IFERROR(VLOOKUP(J227,'Language Map'!M:O,3,FALSE),"en_US")</f>
        <v>sv_SE</v>
      </c>
      <c r="J227" s="77" t="str">
        <f>UKG!BF227</f>
        <v>SE</v>
      </c>
      <c r="L227" s="77" t="str">
        <f>IFERROR(VLOOKUP(UKG!BA227,'UKG Company Map'!B:G,7,FALSE),"Ledger Code Not Matched")</f>
        <v>Ledger Code Not Matched</v>
      </c>
      <c r="M227" s="18" t="str">
        <f>UKG!BH227</f>
        <v>SEK</v>
      </c>
      <c r="O227" s="18" t="str">
        <f>UKG!BJ227</f>
        <v>Y</v>
      </c>
      <c r="P227" s="18" t="str">
        <f>IFERROR(VLOOKUP(UKG!BA227,'UKG Company Map'!B:E,2,FALSE),"Org Unit 1 Not Mapped")</f>
        <v>0077</v>
      </c>
      <c r="Q227" s="77" t="str">
        <f>UKG!BB227</f>
        <v>0000</v>
      </c>
      <c r="W227" s="77" t="str">
        <f>UKG!Q227</f>
        <v>H0009</v>
      </c>
      <c r="X227" s="18" t="str">
        <f>UKG!BC227</f>
        <v>Default</v>
      </c>
      <c r="Z227" s="18" t="str">
        <f>IFERROR(VLOOKUP(UKG!BA227,'UKG Company Map'!B:G,8,FALSE),"Custom 5 Not Matched")</f>
        <v>Custom 5 Not Matched</v>
      </c>
      <c r="AP227" s="18" t="str">
        <f>IFERROR(VLOOKUP(UKG!BA227,'UKG Company Map'!B:G,4,FALSE),"Custom 21 Exp Group Not Matched")</f>
        <v>0077</v>
      </c>
      <c r="BG227" s="77" t="str">
        <f>UKG!AZ227</f>
        <v>205383</v>
      </c>
      <c r="BK227" s="18" t="s">
        <v>1421</v>
      </c>
      <c r="BL227" s="18" t="s">
        <v>1421</v>
      </c>
      <c r="BU227" s="18" t="str">
        <f>UKG!BL227</f>
        <v>N</v>
      </c>
      <c r="BV227" s="18" t="str">
        <f>UKG!BL227</f>
        <v>N</v>
      </c>
      <c r="CE227" s="18" t="s">
        <v>1421</v>
      </c>
    </row>
    <row r="228" spans="1:83" ht="16" hidden="1" thickBot="1" x14ac:dyDescent="0.25">
      <c r="A228" s="39" t="s">
        <v>1420</v>
      </c>
      <c r="B228" s="77" t="str">
        <f>UKG!BO228</f>
        <v>JON</v>
      </c>
      <c r="D228" s="77" t="str">
        <f>UKG!BN228</f>
        <v>ODHAMMER</v>
      </c>
      <c r="E228" s="77" t="str">
        <f>UKG!D228</f>
        <v>205278</v>
      </c>
      <c r="F228" s="77" t="str">
        <f t="shared" si="4"/>
        <v>E205278@onebarnes.com.new.uat</v>
      </c>
      <c r="G228" s="18" t="s">
        <v>1427</v>
      </c>
      <c r="H228" s="77" t="str">
        <f>UKG!AQ228</f>
        <v>E205278@onebarnes.com</v>
      </c>
      <c r="I228" s="18" t="str">
        <f>IFERROR(VLOOKUP(J228,'Language Map'!M:O,3,FALSE),"en_US")</f>
        <v>sv_SE</v>
      </c>
      <c r="J228" s="77" t="str">
        <f>UKG!BF228</f>
        <v>SE</v>
      </c>
      <c r="L228" s="77" t="str">
        <f>IFERROR(VLOOKUP(UKG!BA228,'UKG Company Map'!B:G,7,FALSE),"Ledger Code Not Matched")</f>
        <v>Ledger Code Not Matched</v>
      </c>
      <c r="M228" s="18" t="str">
        <f>UKG!BH228</f>
        <v>SEK</v>
      </c>
      <c r="O228" s="18" t="str">
        <f>UKG!BJ228</f>
        <v>Y</v>
      </c>
      <c r="P228" s="18" t="str">
        <f>IFERROR(VLOOKUP(UKG!BA228,'UKG Company Map'!B:E,2,FALSE),"Org Unit 1 Not Mapped")</f>
        <v>0077</v>
      </c>
      <c r="Q228" s="77" t="str">
        <f>UKG!BB228</f>
        <v>0000</v>
      </c>
      <c r="W228" s="77" t="str">
        <f>UKG!Q228</f>
        <v>H0005</v>
      </c>
      <c r="X228" s="18" t="str">
        <f>UKG!BC228</f>
        <v>Default</v>
      </c>
      <c r="Z228" s="18" t="str">
        <f>IFERROR(VLOOKUP(UKG!BA228,'UKG Company Map'!B:G,8,FALSE),"Custom 5 Not Matched")</f>
        <v>Custom 5 Not Matched</v>
      </c>
      <c r="AP228" s="18" t="str">
        <f>IFERROR(VLOOKUP(UKG!BA228,'UKG Company Map'!B:G,4,FALSE),"Custom 21 Exp Group Not Matched")</f>
        <v>0077</v>
      </c>
      <c r="BG228" s="77" t="str">
        <f>UKG!AZ228</f>
        <v>205315</v>
      </c>
      <c r="BK228" s="18" t="s">
        <v>1421</v>
      </c>
      <c r="BL228" s="18" t="s">
        <v>1421</v>
      </c>
      <c r="BU228" s="18" t="str">
        <f>UKG!BL228</f>
        <v>N</v>
      </c>
      <c r="BV228" s="18" t="str">
        <f>UKG!BL228</f>
        <v>N</v>
      </c>
      <c r="CE228" s="18" t="s">
        <v>1421</v>
      </c>
    </row>
    <row r="229" spans="1:83" ht="16" hidden="1" thickBot="1" x14ac:dyDescent="0.25">
      <c r="A229" s="39" t="s">
        <v>1420</v>
      </c>
      <c r="B229" s="77" t="str">
        <f>UKG!BO229</f>
        <v>MUSA</v>
      </c>
      <c r="D229" s="77" t="str">
        <f>UKG!BN229</f>
        <v>ODZAK</v>
      </c>
      <c r="E229" s="77" t="str">
        <f>UKG!D229</f>
        <v>205235</v>
      </c>
      <c r="F229" s="77" t="str">
        <f t="shared" si="4"/>
        <v>E205235@onebarnes.com.new.uat</v>
      </c>
      <c r="G229" s="18" t="s">
        <v>1427</v>
      </c>
      <c r="H229" s="77" t="str">
        <f>UKG!AQ229</f>
        <v>E205235@onebarnes.com</v>
      </c>
      <c r="I229" s="18" t="str">
        <f>IFERROR(VLOOKUP(J229,'Language Map'!M:O,3,FALSE),"en_US")</f>
        <v>sv_SE</v>
      </c>
      <c r="J229" s="77" t="str">
        <f>UKG!BF229</f>
        <v>SE</v>
      </c>
      <c r="L229" s="77" t="str">
        <f>IFERROR(VLOOKUP(UKG!BA229,'UKG Company Map'!B:G,7,FALSE),"Ledger Code Not Matched")</f>
        <v>Ledger Code Not Matched</v>
      </c>
      <c r="M229" s="18" t="str">
        <f>UKG!BH229</f>
        <v>SEK</v>
      </c>
      <c r="O229" s="18" t="str">
        <f>UKG!BJ229</f>
        <v>Y</v>
      </c>
      <c r="P229" s="18" t="str">
        <f>IFERROR(VLOOKUP(UKG!BA229,'UKG Company Map'!B:E,2,FALSE),"Org Unit 1 Not Mapped")</f>
        <v>0077</v>
      </c>
      <c r="Q229" s="77" t="str">
        <f>UKG!BB229</f>
        <v>0000</v>
      </c>
      <c r="W229" s="77" t="str">
        <f>UKG!Q229</f>
        <v>H0005</v>
      </c>
      <c r="X229" s="18" t="str">
        <f>UKG!BC229</f>
        <v>Default</v>
      </c>
      <c r="Z229" s="18" t="str">
        <f>IFERROR(VLOOKUP(UKG!BA229,'UKG Company Map'!B:G,8,FALSE),"Custom 5 Not Matched")</f>
        <v>Custom 5 Not Matched</v>
      </c>
      <c r="AP229" s="18" t="str">
        <f>IFERROR(VLOOKUP(UKG!BA229,'UKG Company Map'!B:G,4,FALSE),"Custom 21 Exp Group Not Matched")</f>
        <v>0077</v>
      </c>
      <c r="BG229" s="77" t="str">
        <f>UKG!AZ229</f>
        <v>205315</v>
      </c>
      <c r="BK229" s="18" t="s">
        <v>1421</v>
      </c>
      <c r="BL229" s="18" t="s">
        <v>1421</v>
      </c>
      <c r="BU229" s="18" t="str">
        <f>UKG!BL229</f>
        <v>N</v>
      </c>
      <c r="BV229" s="18" t="str">
        <f>UKG!BL229</f>
        <v>N</v>
      </c>
      <c r="CE229" s="18" t="s">
        <v>1421</v>
      </c>
    </row>
    <row r="230" spans="1:83" ht="16" hidden="1" thickBot="1" x14ac:dyDescent="0.25">
      <c r="A230" s="39" t="s">
        <v>1420</v>
      </c>
      <c r="B230" s="77" t="str">
        <f>UKG!BO230</f>
        <v>AMANDA</v>
      </c>
      <c r="D230" s="77" t="str">
        <f>UKG!BN230</f>
        <v>OHLSON</v>
      </c>
      <c r="E230" s="77" t="str">
        <f>UKG!D230</f>
        <v>205161</v>
      </c>
      <c r="F230" s="77" t="str">
        <f t="shared" si="4"/>
        <v>E205161@onebarnes.com.new.uat</v>
      </c>
      <c r="G230" s="18" t="s">
        <v>1427</v>
      </c>
      <c r="H230" s="77" t="str">
        <f>UKG!AQ230</f>
        <v>E205161@onebarnes.com</v>
      </c>
      <c r="I230" s="18" t="str">
        <f>IFERROR(VLOOKUP(J230,'Language Map'!M:O,3,FALSE),"en_US")</f>
        <v>sv_SE</v>
      </c>
      <c r="J230" s="77" t="str">
        <f>UKG!BF230</f>
        <v>SE</v>
      </c>
      <c r="L230" s="77" t="str">
        <f>IFERROR(VLOOKUP(UKG!BA230,'UKG Company Map'!B:G,7,FALSE),"Ledger Code Not Matched")</f>
        <v>Ledger Code Not Matched</v>
      </c>
      <c r="M230" s="18" t="str">
        <f>UKG!BH230</f>
        <v>SEK</v>
      </c>
      <c r="O230" s="18" t="str">
        <f>UKG!BJ230</f>
        <v>Y</v>
      </c>
      <c r="P230" s="18" t="str">
        <f>IFERROR(VLOOKUP(UKG!BA230,'UKG Company Map'!B:E,2,FALSE),"Org Unit 1 Not Mapped")</f>
        <v>0077</v>
      </c>
      <c r="Q230" s="77" t="str">
        <f>UKG!BB230</f>
        <v>0000</v>
      </c>
      <c r="W230" s="77" t="str">
        <f>UKG!Q230</f>
        <v>H0004</v>
      </c>
      <c r="X230" s="18" t="str">
        <f>UKG!BC230</f>
        <v>Default</v>
      </c>
      <c r="Z230" s="18" t="str">
        <f>IFERROR(VLOOKUP(UKG!BA230,'UKG Company Map'!B:G,8,FALSE),"Custom 5 Not Matched")</f>
        <v>Custom 5 Not Matched</v>
      </c>
      <c r="AP230" s="18" t="str">
        <f>IFERROR(VLOOKUP(UKG!BA230,'UKG Company Map'!B:G,4,FALSE),"Custom 21 Exp Group Not Matched")</f>
        <v>0077</v>
      </c>
      <c r="BG230" s="77" t="str">
        <f>UKG!AZ230</f>
        <v>205116</v>
      </c>
      <c r="BK230" s="18" t="s">
        <v>1421</v>
      </c>
      <c r="BL230" s="18" t="s">
        <v>1421</v>
      </c>
      <c r="BU230" s="18" t="str">
        <f>UKG!BL230</f>
        <v>N</v>
      </c>
      <c r="BV230" s="18" t="str">
        <f>UKG!BL230</f>
        <v>N</v>
      </c>
      <c r="CE230" s="18" t="s">
        <v>1421</v>
      </c>
    </row>
    <row r="231" spans="1:83" ht="16" hidden="1" thickBot="1" x14ac:dyDescent="0.25">
      <c r="A231" s="39" t="s">
        <v>1420</v>
      </c>
      <c r="B231" s="77" t="str">
        <f>UKG!BO231</f>
        <v>TOBIAS</v>
      </c>
      <c r="D231" s="77" t="str">
        <f>UKG!BN231</f>
        <v>OLESEN</v>
      </c>
      <c r="E231" s="77" t="str">
        <f>UKG!D231</f>
        <v>205210</v>
      </c>
      <c r="F231" s="77" t="str">
        <f t="shared" si="4"/>
        <v>E205210@onebarnes.com.new.uat</v>
      </c>
      <c r="G231" s="18" t="s">
        <v>1427</v>
      </c>
      <c r="H231" s="77" t="str">
        <f>UKG!AQ231</f>
        <v>E205210@onebarnes.com</v>
      </c>
      <c r="I231" s="18" t="str">
        <f>IFERROR(VLOOKUP(J231,'Language Map'!M:O,3,FALSE),"en_US")</f>
        <v>sv_SE</v>
      </c>
      <c r="J231" s="77" t="str">
        <f>UKG!BF231</f>
        <v>SE</v>
      </c>
      <c r="L231" s="77" t="str">
        <f>IFERROR(VLOOKUP(UKG!BA231,'UKG Company Map'!B:G,7,FALSE),"Ledger Code Not Matched")</f>
        <v>Ledger Code Not Matched</v>
      </c>
      <c r="M231" s="18" t="str">
        <f>UKG!BH231</f>
        <v>SEK</v>
      </c>
      <c r="O231" s="18" t="str">
        <f>UKG!BJ231</f>
        <v>Y</v>
      </c>
      <c r="P231" s="18" t="str">
        <f>IFERROR(VLOOKUP(UKG!BA231,'UKG Company Map'!B:E,2,FALSE),"Org Unit 1 Not Mapped")</f>
        <v>0077</v>
      </c>
      <c r="Q231" s="77" t="str">
        <f>UKG!BB231</f>
        <v>0000</v>
      </c>
      <c r="W231" s="77" t="str">
        <f>UKG!Q231</f>
        <v>H0005</v>
      </c>
      <c r="X231" s="18" t="str">
        <f>UKG!BC231</f>
        <v>Default</v>
      </c>
      <c r="Z231" s="18" t="str">
        <f>IFERROR(VLOOKUP(UKG!BA231,'UKG Company Map'!B:G,8,FALSE),"Custom 5 Not Matched")</f>
        <v>Custom 5 Not Matched</v>
      </c>
      <c r="AP231" s="18" t="str">
        <f>IFERROR(VLOOKUP(UKG!BA231,'UKG Company Map'!B:G,4,FALSE),"Custom 21 Exp Group Not Matched")</f>
        <v>0077</v>
      </c>
      <c r="BG231" s="77" t="str">
        <f>UKG!AZ231</f>
        <v>205315</v>
      </c>
      <c r="BK231" s="18" t="s">
        <v>1421</v>
      </c>
      <c r="BL231" s="18" t="s">
        <v>1421</v>
      </c>
      <c r="BU231" s="18" t="str">
        <f>UKG!BL231</f>
        <v>N</v>
      </c>
      <c r="BV231" s="18" t="str">
        <f>UKG!BL231</f>
        <v>N</v>
      </c>
      <c r="CE231" s="18" t="s">
        <v>1421</v>
      </c>
    </row>
    <row r="232" spans="1:83" ht="16" hidden="1" thickBot="1" x14ac:dyDescent="0.25">
      <c r="A232" s="39" t="s">
        <v>1420</v>
      </c>
      <c r="B232" s="77" t="str">
        <f>UKG!BO232</f>
        <v>DAVID</v>
      </c>
      <c r="D232" s="77" t="str">
        <f>UKG!BN232</f>
        <v>OLGUS</v>
      </c>
      <c r="E232" s="77" t="str">
        <f>UKG!D232</f>
        <v>205248</v>
      </c>
      <c r="F232" s="77" t="str">
        <f t="shared" si="4"/>
        <v>E205248@onebarnes.com.new.uat</v>
      </c>
      <c r="G232" s="18" t="s">
        <v>1427</v>
      </c>
      <c r="H232" s="77" t="str">
        <f>UKG!AQ232</f>
        <v>E205248@onebarnes.com</v>
      </c>
      <c r="I232" s="18" t="str">
        <f>IFERROR(VLOOKUP(J232,'Language Map'!M:O,3,FALSE),"en_US")</f>
        <v>sv_SE</v>
      </c>
      <c r="J232" s="77" t="str">
        <f>UKG!BF232</f>
        <v>SE</v>
      </c>
      <c r="L232" s="77" t="str">
        <f>IFERROR(VLOOKUP(UKG!BA232,'UKG Company Map'!B:G,7,FALSE),"Ledger Code Not Matched")</f>
        <v>Ledger Code Not Matched</v>
      </c>
      <c r="M232" s="18" t="str">
        <f>UKG!BH232</f>
        <v>SEK</v>
      </c>
      <c r="O232" s="18" t="str">
        <f>UKG!BJ232</f>
        <v>Y</v>
      </c>
      <c r="P232" s="18" t="str">
        <f>IFERROR(VLOOKUP(UKG!BA232,'UKG Company Map'!B:E,2,FALSE),"Org Unit 1 Not Mapped")</f>
        <v>0077</v>
      </c>
      <c r="Q232" s="77" t="str">
        <f>UKG!BB232</f>
        <v>0000</v>
      </c>
      <c r="W232" s="77" t="str">
        <f>UKG!Q232</f>
        <v>H0005</v>
      </c>
      <c r="X232" s="18" t="str">
        <f>UKG!BC232</f>
        <v>Default</v>
      </c>
      <c r="Z232" s="18" t="str">
        <f>IFERROR(VLOOKUP(UKG!BA232,'UKG Company Map'!B:G,8,FALSE),"Custom 5 Not Matched")</f>
        <v>Custom 5 Not Matched</v>
      </c>
      <c r="AP232" s="18" t="str">
        <f>IFERROR(VLOOKUP(UKG!BA232,'UKG Company Map'!B:G,4,FALSE),"Custom 21 Exp Group Not Matched")</f>
        <v>0077</v>
      </c>
      <c r="BG232" s="77" t="str">
        <f>UKG!AZ232</f>
        <v>205315</v>
      </c>
      <c r="BK232" s="18" t="s">
        <v>1421</v>
      </c>
      <c r="BL232" s="18" t="s">
        <v>1421</v>
      </c>
      <c r="BU232" s="18" t="str">
        <f>UKG!BL232</f>
        <v>N</v>
      </c>
      <c r="BV232" s="18" t="str">
        <f>UKG!BL232</f>
        <v>N</v>
      </c>
      <c r="CE232" s="18" t="s">
        <v>1421</v>
      </c>
    </row>
    <row r="233" spans="1:83" ht="16" hidden="1" thickBot="1" x14ac:dyDescent="0.25">
      <c r="A233" s="39" t="s">
        <v>1420</v>
      </c>
      <c r="B233" s="77" t="str">
        <f>UKG!BO233</f>
        <v>MARCUS</v>
      </c>
      <c r="D233" s="77" t="str">
        <f>UKG!BN233</f>
        <v>OSOLA</v>
      </c>
      <c r="E233" s="77" t="str">
        <f>UKG!D233</f>
        <v>205176</v>
      </c>
      <c r="F233" s="77" t="str">
        <f t="shared" si="4"/>
        <v>MOsola@onebarnes.com.new.uat</v>
      </c>
      <c r="G233" s="18" t="s">
        <v>1427</v>
      </c>
      <c r="H233" s="77" t="str">
        <f>UKG!AQ233</f>
        <v>MOsola@onebarnes.com</v>
      </c>
      <c r="I233" s="18" t="str">
        <f>IFERROR(VLOOKUP(J233,'Language Map'!M:O,3,FALSE),"en_US")</f>
        <v>sv_SE</v>
      </c>
      <c r="J233" s="77" t="str">
        <f>UKG!BF233</f>
        <v>SE</v>
      </c>
      <c r="L233" s="77" t="str">
        <f>IFERROR(VLOOKUP(UKG!BA233,'UKG Company Map'!B:G,7,FALSE),"Ledger Code Not Matched")</f>
        <v>Ledger Code Not Matched</v>
      </c>
      <c r="M233" s="18" t="str">
        <f>UKG!BH233</f>
        <v>SEK</v>
      </c>
      <c r="O233" s="18" t="str">
        <f>UKG!BJ233</f>
        <v>Y</v>
      </c>
      <c r="P233" s="18" t="str">
        <f>IFERROR(VLOOKUP(UKG!BA233,'UKG Company Map'!B:E,2,FALSE),"Org Unit 1 Not Mapped")</f>
        <v>0077</v>
      </c>
      <c r="Q233" s="77" t="str">
        <f>UKG!BB233</f>
        <v>0000</v>
      </c>
      <c r="W233" s="77" t="str">
        <f>UKG!Q233</f>
        <v>H0007</v>
      </c>
      <c r="X233" s="18" t="str">
        <f>UKG!BC233</f>
        <v>Default</v>
      </c>
      <c r="Z233" s="18" t="str">
        <f>IFERROR(VLOOKUP(UKG!BA233,'UKG Company Map'!B:G,8,FALSE),"Custom 5 Not Matched")</f>
        <v>Custom 5 Not Matched</v>
      </c>
      <c r="AP233" s="18" t="str">
        <f>IFERROR(VLOOKUP(UKG!BA233,'UKG Company Map'!B:G,4,FALSE),"Custom 21 Exp Group Not Matched")</f>
        <v>0077</v>
      </c>
      <c r="BG233" s="77" t="str">
        <f>UKG!AZ233</f>
        <v>213460</v>
      </c>
      <c r="BK233" s="18" t="s">
        <v>1421</v>
      </c>
      <c r="BL233" s="18" t="s">
        <v>1421</v>
      </c>
      <c r="BU233" s="18" t="str">
        <f>UKG!BL233</f>
        <v>N</v>
      </c>
      <c r="BV233" s="18" t="str">
        <f>UKG!BL233</f>
        <v>N</v>
      </c>
      <c r="CE233" s="18" t="s">
        <v>1421</v>
      </c>
    </row>
    <row r="234" spans="1:83" ht="16" hidden="1" thickBot="1" x14ac:dyDescent="0.25">
      <c r="A234" s="39" t="s">
        <v>1420</v>
      </c>
      <c r="B234" s="77" t="str">
        <f>UKG!BO234</f>
        <v>DANIEL</v>
      </c>
      <c r="D234" s="77" t="str">
        <f>UKG!BN234</f>
        <v>ÖST</v>
      </c>
      <c r="E234" s="77" t="str">
        <f>UKG!D234</f>
        <v>205306</v>
      </c>
      <c r="F234" s="77" t="str">
        <f t="shared" si="4"/>
        <v>DOst@onebarnes.com.new.uat</v>
      </c>
      <c r="G234" s="18" t="s">
        <v>1427</v>
      </c>
      <c r="H234" s="77" t="str">
        <f>UKG!AQ234</f>
        <v>DOst@onebarnes.com</v>
      </c>
      <c r="I234" s="18" t="str">
        <f>IFERROR(VLOOKUP(J234,'Language Map'!M:O,3,FALSE),"en_US")</f>
        <v>sv_SE</v>
      </c>
      <c r="J234" s="77" t="str">
        <f>UKG!BF234</f>
        <v>SE</v>
      </c>
      <c r="L234" s="77" t="str">
        <f>IFERROR(VLOOKUP(UKG!BA234,'UKG Company Map'!B:G,7,FALSE),"Ledger Code Not Matched")</f>
        <v>Ledger Code Not Matched</v>
      </c>
      <c r="M234" s="18" t="str">
        <f>UKG!BH234</f>
        <v>SEK</v>
      </c>
      <c r="O234" s="18" t="str">
        <f>UKG!BJ234</f>
        <v>Y</v>
      </c>
      <c r="P234" s="18" t="str">
        <f>IFERROR(VLOOKUP(UKG!BA234,'UKG Company Map'!B:E,2,FALSE),"Org Unit 1 Not Mapped")</f>
        <v>0077</v>
      </c>
      <c r="Q234" s="77" t="str">
        <f>UKG!BB234</f>
        <v>0000</v>
      </c>
      <c r="W234" s="77" t="str">
        <f>UKG!Q234</f>
        <v>H0008</v>
      </c>
      <c r="X234" s="18" t="str">
        <f>UKG!BC234</f>
        <v>Default</v>
      </c>
      <c r="Z234" s="18" t="str">
        <f>IFERROR(VLOOKUP(UKG!BA234,'UKG Company Map'!B:G,8,FALSE),"Custom 5 Not Matched")</f>
        <v>Custom 5 Not Matched</v>
      </c>
      <c r="AP234" s="18" t="str">
        <f>IFERROR(VLOOKUP(UKG!BA234,'UKG Company Map'!B:G,4,FALSE),"Custom 21 Exp Group Not Matched")</f>
        <v>0077</v>
      </c>
      <c r="BG234" s="77" t="str">
        <f>UKG!AZ234</f>
        <v>205384</v>
      </c>
      <c r="BK234" s="18" t="s">
        <v>1421</v>
      </c>
      <c r="BL234" s="18" t="s">
        <v>1421</v>
      </c>
      <c r="BU234" s="18" t="str">
        <f>UKG!BL234</f>
        <v>N</v>
      </c>
      <c r="BV234" s="18" t="str">
        <f>UKG!BL234</f>
        <v>N</v>
      </c>
      <c r="CE234" s="18" t="s">
        <v>1421</v>
      </c>
    </row>
    <row r="235" spans="1:83" ht="16" hidden="1" thickBot="1" x14ac:dyDescent="0.25">
      <c r="A235" s="39" t="s">
        <v>1420</v>
      </c>
      <c r="B235" s="77" t="str">
        <f>UKG!BO235</f>
        <v>ALEXANDRA</v>
      </c>
      <c r="D235" s="77" t="str">
        <f>UKG!BN235</f>
        <v>OTTOSSON</v>
      </c>
      <c r="E235" s="77" t="str">
        <f>UKG!D235</f>
        <v>205171</v>
      </c>
      <c r="F235" s="77" t="str">
        <f t="shared" si="4"/>
        <v>E205171@onebarnes.com.new.uat</v>
      </c>
      <c r="G235" s="18" t="s">
        <v>1427</v>
      </c>
      <c r="H235" s="77" t="str">
        <f>UKG!AQ235</f>
        <v>E205171@onebarnes.com</v>
      </c>
      <c r="I235" s="18" t="str">
        <f>IFERROR(VLOOKUP(J235,'Language Map'!M:O,3,FALSE),"en_US")</f>
        <v>sv_SE</v>
      </c>
      <c r="J235" s="77" t="str">
        <f>UKG!BF235</f>
        <v>SE</v>
      </c>
      <c r="L235" s="77" t="str">
        <f>IFERROR(VLOOKUP(UKG!BA235,'UKG Company Map'!B:G,7,FALSE),"Ledger Code Not Matched")</f>
        <v>Ledger Code Not Matched</v>
      </c>
      <c r="M235" s="18" t="str">
        <f>UKG!BH235</f>
        <v>SEK</v>
      </c>
      <c r="O235" s="18" t="str">
        <f>UKG!BJ235</f>
        <v>Y</v>
      </c>
      <c r="P235" s="18" t="str">
        <f>IFERROR(VLOOKUP(UKG!BA235,'UKG Company Map'!B:E,2,FALSE),"Org Unit 1 Not Mapped")</f>
        <v>0077</v>
      </c>
      <c r="Q235" s="77" t="str">
        <f>UKG!BB235</f>
        <v>0000</v>
      </c>
      <c r="W235" s="77" t="str">
        <f>UKG!Q235</f>
        <v>H0004</v>
      </c>
      <c r="X235" s="18" t="str">
        <f>UKG!BC235</f>
        <v>Default</v>
      </c>
      <c r="Z235" s="18" t="str">
        <f>IFERROR(VLOOKUP(UKG!BA235,'UKG Company Map'!B:G,8,FALSE),"Custom 5 Not Matched")</f>
        <v>Custom 5 Not Matched</v>
      </c>
      <c r="AP235" s="18" t="str">
        <f>IFERROR(VLOOKUP(UKG!BA235,'UKG Company Map'!B:G,4,FALSE),"Custom 21 Exp Group Not Matched")</f>
        <v>0077</v>
      </c>
      <c r="BG235" s="77" t="str">
        <f>UKG!AZ235</f>
        <v>205383</v>
      </c>
      <c r="BK235" s="18" t="s">
        <v>1421</v>
      </c>
      <c r="BL235" s="18" t="s">
        <v>1421</v>
      </c>
      <c r="BU235" s="18" t="str">
        <f>UKG!BL235</f>
        <v>N</v>
      </c>
      <c r="BV235" s="18" t="str">
        <f>UKG!BL235</f>
        <v>N</v>
      </c>
      <c r="CE235" s="18" t="s">
        <v>1421</v>
      </c>
    </row>
    <row r="236" spans="1:83" ht="16" hidden="1" thickBot="1" x14ac:dyDescent="0.25">
      <c r="A236" s="39" t="s">
        <v>1420</v>
      </c>
      <c r="B236" s="77" t="str">
        <f>UKG!BO236</f>
        <v>ROBIN</v>
      </c>
      <c r="D236" s="77" t="str">
        <f>UKG!BN236</f>
        <v>OTTOSSON</v>
      </c>
      <c r="E236" s="77" t="str">
        <f>UKG!D236</f>
        <v>205270</v>
      </c>
      <c r="F236" s="77" t="str">
        <f t="shared" si="4"/>
        <v>robin.ottosson@kaller.com.new.uat</v>
      </c>
      <c r="G236" s="18" t="s">
        <v>1427</v>
      </c>
      <c r="H236" s="77" t="str">
        <f>UKG!AQ236</f>
        <v>robin.ottosson@kaller.com</v>
      </c>
      <c r="I236" s="18" t="str">
        <f>IFERROR(VLOOKUP(J236,'Language Map'!M:O,3,FALSE),"en_US")</f>
        <v>sv_SE</v>
      </c>
      <c r="J236" s="77" t="str">
        <f>UKG!BF236</f>
        <v>SE</v>
      </c>
      <c r="L236" s="77" t="str">
        <f>IFERROR(VLOOKUP(UKG!BA236,'UKG Company Map'!B:G,7,FALSE),"Ledger Code Not Matched")</f>
        <v>Ledger Code Not Matched</v>
      </c>
      <c r="M236" s="18" t="str">
        <f>UKG!BH236</f>
        <v>SEK</v>
      </c>
      <c r="O236" s="18" t="str">
        <f>UKG!BJ236</f>
        <v>Y</v>
      </c>
      <c r="P236" s="18" t="str">
        <f>IFERROR(VLOOKUP(UKG!BA236,'UKG Company Map'!B:E,2,FALSE),"Org Unit 1 Not Mapped")</f>
        <v>0077</v>
      </c>
      <c r="Q236" s="77" t="str">
        <f>UKG!BB236</f>
        <v>0000</v>
      </c>
      <c r="W236" s="77" t="str">
        <f>UKG!Q236</f>
        <v>H0004</v>
      </c>
      <c r="X236" s="18" t="str">
        <f>UKG!BC236</f>
        <v>Default</v>
      </c>
      <c r="Z236" s="18" t="str">
        <f>IFERROR(VLOOKUP(UKG!BA236,'UKG Company Map'!B:G,8,FALSE),"Custom 5 Not Matched")</f>
        <v>Custom 5 Not Matched</v>
      </c>
      <c r="AP236" s="18" t="str">
        <f>IFERROR(VLOOKUP(UKG!BA236,'UKG Company Map'!B:G,4,FALSE),"Custom 21 Exp Group Not Matched")</f>
        <v>0077</v>
      </c>
      <c r="BG236" s="77" t="str">
        <f>UKG!AZ236</f>
        <v>205380</v>
      </c>
      <c r="BK236" s="18" t="s">
        <v>1421</v>
      </c>
      <c r="BL236" s="18" t="s">
        <v>1421</v>
      </c>
      <c r="BU236" s="18" t="str">
        <f>UKG!BL236</f>
        <v>N</v>
      </c>
      <c r="BV236" s="18" t="str">
        <f>UKG!BL236</f>
        <v>N</v>
      </c>
      <c r="CE236" s="18" t="s">
        <v>1421</v>
      </c>
    </row>
    <row r="237" spans="1:83" ht="16" hidden="1" thickBot="1" x14ac:dyDescent="0.25">
      <c r="A237" s="39" t="s">
        <v>1420</v>
      </c>
      <c r="B237" s="77" t="str">
        <f>UKG!BO237</f>
        <v>MARTIN</v>
      </c>
      <c r="D237" s="77" t="str">
        <f>UKG!BN237</f>
        <v>PERSSON</v>
      </c>
      <c r="E237" s="77" t="str">
        <f>UKG!D237</f>
        <v>205221</v>
      </c>
      <c r="F237" s="77" t="str">
        <f t="shared" si="4"/>
        <v>E205221@onebarnes.com.new.uat</v>
      </c>
      <c r="G237" s="18" t="s">
        <v>1427</v>
      </c>
      <c r="H237" s="77" t="str">
        <f>UKG!AQ237</f>
        <v>E205221@onebarnes.com</v>
      </c>
      <c r="I237" s="18" t="str">
        <f>IFERROR(VLOOKUP(J237,'Language Map'!M:O,3,FALSE),"en_US")</f>
        <v>sv_SE</v>
      </c>
      <c r="J237" s="77" t="str">
        <f>UKG!BF237</f>
        <v>SE</v>
      </c>
      <c r="L237" s="77" t="str">
        <f>IFERROR(VLOOKUP(UKG!BA237,'UKG Company Map'!B:G,7,FALSE),"Ledger Code Not Matched")</f>
        <v>Ledger Code Not Matched</v>
      </c>
      <c r="M237" s="18" t="str">
        <f>UKG!BH237</f>
        <v>SEK</v>
      </c>
      <c r="O237" s="18" t="str">
        <f>UKG!BJ237</f>
        <v>Y</v>
      </c>
      <c r="P237" s="18" t="str">
        <f>IFERROR(VLOOKUP(UKG!BA237,'UKG Company Map'!B:E,2,FALSE),"Org Unit 1 Not Mapped")</f>
        <v>0077</v>
      </c>
      <c r="Q237" s="77" t="str">
        <f>UKG!BB237</f>
        <v>0000</v>
      </c>
      <c r="W237" s="77" t="str">
        <f>UKG!Q237</f>
        <v>H0005</v>
      </c>
      <c r="X237" s="18" t="str">
        <f>UKG!BC237</f>
        <v>Default</v>
      </c>
      <c r="Z237" s="18" t="str">
        <f>IFERROR(VLOOKUP(UKG!BA237,'UKG Company Map'!B:G,8,FALSE),"Custom 5 Not Matched")</f>
        <v>Custom 5 Not Matched</v>
      </c>
      <c r="AP237" s="18" t="str">
        <f>IFERROR(VLOOKUP(UKG!BA237,'UKG Company Map'!B:G,4,FALSE),"Custom 21 Exp Group Not Matched")</f>
        <v>0077</v>
      </c>
      <c r="BG237" s="77" t="str">
        <f>UKG!AZ237</f>
        <v>205315</v>
      </c>
      <c r="BK237" s="18" t="s">
        <v>1421</v>
      </c>
      <c r="BL237" s="18" t="s">
        <v>1421</v>
      </c>
      <c r="BU237" s="18" t="str">
        <f>UKG!BL237</f>
        <v>N</v>
      </c>
      <c r="BV237" s="18" t="str">
        <f>UKG!BL237</f>
        <v>N</v>
      </c>
      <c r="CE237" s="18" t="s">
        <v>1421</v>
      </c>
    </row>
    <row r="238" spans="1:83" ht="16" hidden="1" thickBot="1" x14ac:dyDescent="0.25">
      <c r="A238" s="39" t="s">
        <v>1420</v>
      </c>
      <c r="B238" s="77" t="str">
        <f>UKG!BO238</f>
        <v>LENA</v>
      </c>
      <c r="D238" s="77" t="str">
        <f>UKG!BN238</f>
        <v>PETTERSSON</v>
      </c>
      <c r="E238" s="77" t="str">
        <f>UKG!D238</f>
        <v>205155</v>
      </c>
      <c r="F238" s="77" t="str">
        <f t="shared" si="4"/>
        <v>E205155@onebarnes.com.new.uat</v>
      </c>
      <c r="G238" s="18" t="s">
        <v>1427</v>
      </c>
      <c r="H238" s="77" t="str">
        <f>UKG!AQ238</f>
        <v>E205155@onebarnes.com</v>
      </c>
      <c r="I238" s="18" t="str">
        <f>IFERROR(VLOOKUP(J238,'Language Map'!M:O,3,FALSE),"en_US")</f>
        <v>sv_SE</v>
      </c>
      <c r="J238" s="77" t="str">
        <f>UKG!BF238</f>
        <v>SE</v>
      </c>
      <c r="L238" s="77" t="str">
        <f>IFERROR(VLOOKUP(UKG!BA238,'UKG Company Map'!B:G,7,FALSE),"Ledger Code Not Matched")</f>
        <v>Ledger Code Not Matched</v>
      </c>
      <c r="M238" s="18" t="str">
        <f>UKG!BH238</f>
        <v>SEK</v>
      </c>
      <c r="O238" s="18" t="str">
        <f>UKG!BJ238</f>
        <v>Y</v>
      </c>
      <c r="P238" s="18" t="str">
        <f>IFERROR(VLOOKUP(UKG!BA238,'UKG Company Map'!B:E,2,FALSE),"Org Unit 1 Not Mapped")</f>
        <v>0077</v>
      </c>
      <c r="Q238" s="77" t="str">
        <f>UKG!BB238</f>
        <v>0000</v>
      </c>
      <c r="W238" s="77" t="str">
        <f>UKG!Q238</f>
        <v>H0004</v>
      </c>
      <c r="X238" s="18" t="str">
        <f>UKG!BC238</f>
        <v>Default</v>
      </c>
      <c r="Z238" s="18" t="str">
        <f>IFERROR(VLOOKUP(UKG!BA238,'UKG Company Map'!B:G,8,FALSE),"Custom 5 Not Matched")</f>
        <v>Custom 5 Not Matched</v>
      </c>
      <c r="AP238" s="18" t="str">
        <f>IFERROR(VLOOKUP(UKG!BA238,'UKG Company Map'!B:G,4,FALSE),"Custom 21 Exp Group Not Matched")</f>
        <v>0077</v>
      </c>
      <c r="BG238" s="77" t="str">
        <f>UKG!AZ238</f>
        <v>205116</v>
      </c>
      <c r="BK238" s="18" t="s">
        <v>1421</v>
      </c>
      <c r="BL238" s="18" t="s">
        <v>1421</v>
      </c>
      <c r="BU238" s="18" t="str">
        <f>UKG!BL238</f>
        <v>N</v>
      </c>
      <c r="BV238" s="18" t="str">
        <f>UKG!BL238</f>
        <v>N</v>
      </c>
      <c r="CE238" s="18" t="s">
        <v>1421</v>
      </c>
    </row>
    <row r="239" spans="1:83" ht="16" hidden="1" thickBot="1" x14ac:dyDescent="0.25">
      <c r="A239" s="39" t="s">
        <v>1420</v>
      </c>
      <c r="B239" s="77" t="str">
        <f>UKG!BO239</f>
        <v>ILIJA</v>
      </c>
      <c r="D239" s="77" t="str">
        <f>UKG!BN239</f>
        <v>PILIPOVIC</v>
      </c>
      <c r="E239" s="77" t="str">
        <f>UKG!D239</f>
        <v>205247</v>
      </c>
      <c r="F239" s="77" t="str">
        <f t="shared" si="4"/>
        <v>E205247@onebarnes.com.new.uat</v>
      </c>
      <c r="G239" s="18" t="s">
        <v>1427</v>
      </c>
      <c r="H239" s="77" t="str">
        <f>UKG!AQ239</f>
        <v>E205247@onebarnes.com</v>
      </c>
      <c r="I239" s="18" t="str">
        <f>IFERROR(VLOOKUP(J239,'Language Map'!M:O,3,FALSE),"en_US")</f>
        <v>sv_SE</v>
      </c>
      <c r="J239" s="77" t="str">
        <f>UKG!BF239</f>
        <v>SE</v>
      </c>
      <c r="L239" s="77" t="str">
        <f>IFERROR(VLOOKUP(UKG!BA239,'UKG Company Map'!B:G,7,FALSE),"Ledger Code Not Matched")</f>
        <v>Ledger Code Not Matched</v>
      </c>
      <c r="M239" s="18" t="str">
        <f>UKG!BH239</f>
        <v>SEK</v>
      </c>
      <c r="O239" s="18" t="str">
        <f>UKG!BJ239</f>
        <v>Y</v>
      </c>
      <c r="P239" s="18" t="str">
        <f>IFERROR(VLOOKUP(UKG!BA239,'UKG Company Map'!B:E,2,FALSE),"Org Unit 1 Not Mapped")</f>
        <v>0077</v>
      </c>
      <c r="Q239" s="77" t="str">
        <f>UKG!BB239</f>
        <v>0000</v>
      </c>
      <c r="W239" s="77" t="str">
        <f>UKG!Q239</f>
        <v>H0005</v>
      </c>
      <c r="X239" s="18" t="str">
        <f>UKG!BC239</f>
        <v>Default</v>
      </c>
      <c r="Z239" s="18" t="str">
        <f>IFERROR(VLOOKUP(UKG!BA239,'UKG Company Map'!B:G,8,FALSE),"Custom 5 Not Matched")</f>
        <v>Custom 5 Not Matched</v>
      </c>
      <c r="AP239" s="18" t="str">
        <f>IFERROR(VLOOKUP(UKG!BA239,'UKG Company Map'!B:G,4,FALSE),"Custom 21 Exp Group Not Matched")</f>
        <v>0077</v>
      </c>
      <c r="BG239" s="77" t="str">
        <f>UKG!AZ239</f>
        <v>212110</v>
      </c>
      <c r="BK239" s="18" t="s">
        <v>1421</v>
      </c>
      <c r="BL239" s="18" t="s">
        <v>1421</v>
      </c>
      <c r="BU239" s="18" t="str">
        <f>UKG!BL239</f>
        <v>N</v>
      </c>
      <c r="BV239" s="18" t="str">
        <f>UKG!BL239</f>
        <v>N</v>
      </c>
      <c r="CE239" s="18" t="s">
        <v>1421</v>
      </c>
    </row>
    <row r="240" spans="1:83" ht="16" hidden="1" thickBot="1" x14ac:dyDescent="0.25">
      <c r="A240" s="39" t="s">
        <v>1420</v>
      </c>
      <c r="B240" s="77" t="str">
        <f>UKG!BO240</f>
        <v>JAKOV</v>
      </c>
      <c r="D240" s="77" t="str">
        <f>UKG!BN240</f>
        <v>PILIPOVIC</v>
      </c>
      <c r="E240" s="77" t="str">
        <f>UKG!D240</f>
        <v>205246</v>
      </c>
      <c r="F240" s="77" t="str">
        <f t="shared" si="4"/>
        <v>E205246@onebarnes.com.new.uat</v>
      </c>
      <c r="G240" s="18" t="s">
        <v>1427</v>
      </c>
      <c r="H240" s="77" t="str">
        <f>UKG!AQ240</f>
        <v>E205246@onebarnes.com</v>
      </c>
      <c r="I240" s="18" t="str">
        <f>IFERROR(VLOOKUP(J240,'Language Map'!M:O,3,FALSE),"en_US")</f>
        <v>sv_SE</v>
      </c>
      <c r="J240" s="77" t="str">
        <f>UKG!BF240</f>
        <v>SE</v>
      </c>
      <c r="L240" s="77" t="str">
        <f>IFERROR(VLOOKUP(UKG!BA240,'UKG Company Map'!B:G,7,FALSE),"Ledger Code Not Matched")</f>
        <v>Ledger Code Not Matched</v>
      </c>
      <c r="M240" s="18" t="str">
        <f>UKG!BH240</f>
        <v>SEK</v>
      </c>
      <c r="O240" s="18" t="str">
        <f>UKG!BJ240</f>
        <v>Y</v>
      </c>
      <c r="P240" s="18" t="str">
        <f>IFERROR(VLOOKUP(UKG!BA240,'UKG Company Map'!B:E,2,FALSE),"Org Unit 1 Not Mapped")</f>
        <v>0077</v>
      </c>
      <c r="Q240" s="77" t="str">
        <f>UKG!BB240</f>
        <v>0000</v>
      </c>
      <c r="W240" s="77" t="str">
        <f>UKG!Q240</f>
        <v>H0005</v>
      </c>
      <c r="X240" s="18" t="str">
        <f>UKG!BC240</f>
        <v>Default</v>
      </c>
      <c r="Z240" s="18" t="str">
        <f>IFERROR(VLOOKUP(UKG!BA240,'UKG Company Map'!B:G,8,FALSE),"Custom 5 Not Matched")</f>
        <v>Custom 5 Not Matched</v>
      </c>
      <c r="AP240" s="18" t="str">
        <f>IFERROR(VLOOKUP(UKG!BA240,'UKG Company Map'!B:G,4,FALSE),"Custom 21 Exp Group Not Matched")</f>
        <v>0077</v>
      </c>
      <c r="BG240" s="77" t="str">
        <f>UKG!AZ240</f>
        <v>205383</v>
      </c>
      <c r="BK240" s="18" t="s">
        <v>1421</v>
      </c>
      <c r="BL240" s="18" t="s">
        <v>1421</v>
      </c>
      <c r="BU240" s="18" t="str">
        <f>UKG!BL240</f>
        <v>N</v>
      </c>
      <c r="BV240" s="18" t="str">
        <f>UKG!BL240</f>
        <v>N</v>
      </c>
      <c r="CE240" s="18" t="s">
        <v>1421</v>
      </c>
    </row>
    <row r="241" spans="1:83" ht="16" hidden="1" thickBot="1" x14ac:dyDescent="0.25">
      <c r="A241" s="39" t="s">
        <v>1420</v>
      </c>
      <c r="B241" s="77" t="str">
        <f>UKG!BO241</f>
        <v>SAMIR</v>
      </c>
      <c r="D241" s="77" t="str">
        <f>UKG!BN241</f>
        <v>POLJAK</v>
      </c>
      <c r="E241" s="77" t="str">
        <f>UKG!D241</f>
        <v>205182</v>
      </c>
      <c r="F241" s="77" t="str">
        <f t="shared" si="4"/>
        <v>E205182@onebarnes.com.new.uat</v>
      </c>
      <c r="G241" s="18" t="s">
        <v>1427</v>
      </c>
      <c r="H241" s="77" t="str">
        <f>UKG!AQ241</f>
        <v>E205182@onebarnes.com</v>
      </c>
      <c r="I241" s="18" t="str">
        <f>IFERROR(VLOOKUP(J241,'Language Map'!M:O,3,FALSE),"en_US")</f>
        <v>sv_SE</v>
      </c>
      <c r="J241" s="77" t="str">
        <f>UKG!BF241</f>
        <v>SE</v>
      </c>
      <c r="L241" s="77" t="str">
        <f>IFERROR(VLOOKUP(UKG!BA241,'UKG Company Map'!B:G,7,FALSE),"Ledger Code Not Matched")</f>
        <v>Ledger Code Not Matched</v>
      </c>
      <c r="M241" s="18" t="str">
        <f>UKG!BH241</f>
        <v>SEK</v>
      </c>
      <c r="O241" s="18" t="str">
        <f>UKG!BJ241</f>
        <v>Y</v>
      </c>
      <c r="P241" s="18" t="str">
        <f>IFERROR(VLOOKUP(UKG!BA241,'UKG Company Map'!B:E,2,FALSE),"Org Unit 1 Not Mapped")</f>
        <v>0077</v>
      </c>
      <c r="Q241" s="77" t="str">
        <f>UKG!BB241</f>
        <v>0000</v>
      </c>
      <c r="W241" s="77" t="str">
        <f>UKG!Q241</f>
        <v>H0005</v>
      </c>
      <c r="X241" s="18" t="str">
        <f>UKG!BC241</f>
        <v>Default</v>
      </c>
      <c r="Z241" s="18" t="str">
        <f>IFERROR(VLOOKUP(UKG!BA241,'UKG Company Map'!B:G,8,FALSE),"Custom 5 Not Matched")</f>
        <v>Custom 5 Not Matched</v>
      </c>
      <c r="AP241" s="18" t="str">
        <f>IFERROR(VLOOKUP(UKG!BA241,'UKG Company Map'!B:G,4,FALSE),"Custom 21 Exp Group Not Matched")</f>
        <v>0077</v>
      </c>
      <c r="BG241" s="77" t="str">
        <f>UKG!AZ241</f>
        <v>205315</v>
      </c>
      <c r="BK241" s="18" t="s">
        <v>1421</v>
      </c>
      <c r="BL241" s="18" t="s">
        <v>1421</v>
      </c>
      <c r="BU241" s="18" t="str">
        <f>UKG!BL241</f>
        <v>N</v>
      </c>
      <c r="BV241" s="18" t="str">
        <f>UKG!BL241</f>
        <v>N</v>
      </c>
      <c r="CE241" s="18" t="s">
        <v>1421</v>
      </c>
    </row>
    <row r="242" spans="1:83" ht="16" hidden="1" thickBot="1" x14ac:dyDescent="0.25">
      <c r="A242" s="39" t="s">
        <v>1420</v>
      </c>
      <c r="B242" s="77" t="str">
        <f>UKG!BO242</f>
        <v>THOMAS</v>
      </c>
      <c r="D242" s="77" t="str">
        <f>UKG!BN242</f>
        <v>POSCH</v>
      </c>
      <c r="E242" s="77" t="str">
        <f>UKG!D242</f>
        <v>205126</v>
      </c>
      <c r="F242" s="77" t="str">
        <f t="shared" si="4"/>
        <v>E205126@onebarnes.com.new.uat</v>
      </c>
      <c r="G242" s="18" t="s">
        <v>1427</v>
      </c>
      <c r="H242" s="77" t="str">
        <f>UKG!AQ242</f>
        <v>E205126@onebarnes.com</v>
      </c>
      <c r="I242" s="18" t="str">
        <f>IFERROR(VLOOKUP(J242,'Language Map'!M:O,3,FALSE),"en_US")</f>
        <v>sv_SE</v>
      </c>
      <c r="J242" s="77" t="str">
        <f>UKG!BF242</f>
        <v>SE</v>
      </c>
      <c r="L242" s="77" t="str">
        <f>IFERROR(VLOOKUP(UKG!BA242,'UKG Company Map'!B:G,7,FALSE),"Ledger Code Not Matched")</f>
        <v>Ledger Code Not Matched</v>
      </c>
      <c r="M242" s="18" t="str">
        <f>UKG!BH242</f>
        <v>SEK</v>
      </c>
      <c r="O242" s="18" t="str">
        <f>UKG!BJ242</f>
        <v>Y</v>
      </c>
      <c r="P242" s="18" t="str">
        <f>IFERROR(VLOOKUP(UKG!BA242,'UKG Company Map'!B:E,2,FALSE),"Org Unit 1 Not Mapped")</f>
        <v>0077</v>
      </c>
      <c r="Q242" s="77" t="str">
        <f>UKG!BB242</f>
        <v>0000</v>
      </c>
      <c r="W242" s="77" t="str">
        <f>UKG!Q242</f>
        <v>H0004</v>
      </c>
      <c r="X242" s="18" t="str">
        <f>UKG!BC242</f>
        <v>Default</v>
      </c>
      <c r="Z242" s="18" t="str">
        <f>IFERROR(VLOOKUP(UKG!BA242,'UKG Company Map'!B:G,8,FALSE),"Custom 5 Not Matched")</f>
        <v>Custom 5 Not Matched</v>
      </c>
      <c r="AP242" s="18" t="str">
        <f>IFERROR(VLOOKUP(UKG!BA242,'UKG Company Map'!B:G,4,FALSE),"Custom 21 Exp Group Not Matched")</f>
        <v>0077</v>
      </c>
      <c r="BG242" s="77" t="str">
        <f>UKG!AZ242</f>
        <v>205383</v>
      </c>
      <c r="BK242" s="18" t="s">
        <v>1421</v>
      </c>
      <c r="BL242" s="18" t="s">
        <v>1421</v>
      </c>
      <c r="BU242" s="18" t="str">
        <f>UKG!BL242</f>
        <v>N</v>
      </c>
      <c r="BV242" s="18" t="str">
        <f>UKG!BL242</f>
        <v>N</v>
      </c>
      <c r="CE242" s="18" t="s">
        <v>1421</v>
      </c>
    </row>
    <row r="243" spans="1:83" ht="16" hidden="1" thickBot="1" x14ac:dyDescent="0.25">
      <c r="A243" s="39" t="s">
        <v>1420</v>
      </c>
      <c r="B243" s="77" t="str">
        <f>UKG!BO243</f>
        <v>CHARLIE</v>
      </c>
      <c r="D243" s="77" t="str">
        <f>UKG!BN243</f>
        <v>RINGSTRÖM</v>
      </c>
      <c r="E243" s="77" t="str">
        <f>UKG!D243</f>
        <v>205203</v>
      </c>
      <c r="F243" s="77" t="str">
        <f t="shared" si="4"/>
        <v>E205203@onebarnes.com.new.uat</v>
      </c>
      <c r="G243" s="18" t="s">
        <v>1427</v>
      </c>
      <c r="H243" s="77" t="str">
        <f>UKG!AQ243</f>
        <v>E205203@onebarnes.com</v>
      </c>
      <c r="I243" s="18" t="str">
        <f>IFERROR(VLOOKUP(J243,'Language Map'!M:O,3,FALSE),"en_US")</f>
        <v>sv_SE</v>
      </c>
      <c r="J243" s="77" t="str">
        <f>UKG!BF243</f>
        <v>SE</v>
      </c>
      <c r="L243" s="77" t="str">
        <f>IFERROR(VLOOKUP(UKG!BA243,'UKG Company Map'!B:G,7,FALSE),"Ledger Code Not Matched")</f>
        <v>Ledger Code Not Matched</v>
      </c>
      <c r="M243" s="18" t="str">
        <f>UKG!BH243</f>
        <v>SEK</v>
      </c>
      <c r="O243" s="18" t="str">
        <f>UKG!BJ243</f>
        <v>Y</v>
      </c>
      <c r="P243" s="18" t="str">
        <f>IFERROR(VLOOKUP(UKG!BA243,'UKG Company Map'!B:E,2,FALSE),"Org Unit 1 Not Mapped")</f>
        <v>0077</v>
      </c>
      <c r="Q243" s="77" t="str">
        <f>UKG!BB243</f>
        <v>0000</v>
      </c>
      <c r="W243" s="77" t="str">
        <f>UKG!Q243</f>
        <v>H0005</v>
      </c>
      <c r="X243" s="18" t="str">
        <f>UKG!BC243</f>
        <v>Default</v>
      </c>
      <c r="Z243" s="18" t="str">
        <f>IFERROR(VLOOKUP(UKG!BA243,'UKG Company Map'!B:G,8,FALSE),"Custom 5 Not Matched")</f>
        <v>Custom 5 Not Matched</v>
      </c>
      <c r="AP243" s="18" t="str">
        <f>IFERROR(VLOOKUP(UKG!BA243,'UKG Company Map'!B:G,4,FALSE),"Custom 21 Exp Group Not Matched")</f>
        <v>0077</v>
      </c>
      <c r="BG243" s="77" t="str">
        <f>UKG!AZ243</f>
        <v>205315</v>
      </c>
      <c r="BK243" s="18" t="s">
        <v>1421</v>
      </c>
      <c r="BL243" s="18" t="s">
        <v>1421</v>
      </c>
      <c r="BU243" s="18" t="str">
        <f>UKG!BL243</f>
        <v>N</v>
      </c>
      <c r="BV243" s="18" t="str">
        <f>UKG!BL243</f>
        <v>N</v>
      </c>
      <c r="CE243" s="18" t="s">
        <v>1421</v>
      </c>
    </row>
    <row r="244" spans="1:83" ht="16" hidden="1" thickBot="1" x14ac:dyDescent="0.25">
      <c r="A244" s="39" t="s">
        <v>1420</v>
      </c>
      <c r="B244" s="77" t="str">
        <f>UKG!BO244</f>
        <v>KARINA</v>
      </c>
      <c r="D244" s="77" t="str">
        <f>UKG!BN244</f>
        <v>RITHELL</v>
      </c>
      <c r="E244" s="77" t="str">
        <f>UKG!D244</f>
        <v>205351</v>
      </c>
      <c r="F244" s="77" t="str">
        <f t="shared" si="4"/>
        <v>E205351@onebarnes.com.new.uat</v>
      </c>
      <c r="G244" s="18" t="s">
        <v>1427</v>
      </c>
      <c r="H244" s="77" t="str">
        <f>UKG!AQ244</f>
        <v>E205351@onebarnes.com</v>
      </c>
      <c r="I244" s="18" t="str">
        <f>IFERROR(VLOOKUP(J244,'Language Map'!M:O,3,FALSE),"en_US")</f>
        <v>sv_SE</v>
      </c>
      <c r="J244" s="77" t="str">
        <f>UKG!BF244</f>
        <v>SE</v>
      </c>
      <c r="L244" s="77" t="str">
        <f>IFERROR(VLOOKUP(UKG!BA244,'UKG Company Map'!B:G,7,FALSE),"Ledger Code Not Matched")</f>
        <v>Ledger Code Not Matched</v>
      </c>
      <c r="M244" s="18" t="str">
        <f>UKG!BH244</f>
        <v>SEK</v>
      </c>
      <c r="O244" s="18" t="str">
        <f>UKG!BJ244</f>
        <v>Y</v>
      </c>
      <c r="P244" s="18" t="str">
        <f>IFERROR(VLOOKUP(UKG!BA244,'UKG Company Map'!B:E,2,FALSE),"Org Unit 1 Not Mapped")</f>
        <v>0077</v>
      </c>
      <c r="Q244" s="77" t="str">
        <f>UKG!BB244</f>
        <v>0000</v>
      </c>
      <c r="W244" s="77" t="str">
        <f>UKG!Q244</f>
        <v>H0004</v>
      </c>
      <c r="X244" s="18" t="str">
        <f>UKG!BC244</f>
        <v>Default</v>
      </c>
      <c r="Z244" s="18" t="str">
        <f>IFERROR(VLOOKUP(UKG!BA244,'UKG Company Map'!B:G,8,FALSE),"Custom 5 Not Matched")</f>
        <v>Custom 5 Not Matched</v>
      </c>
      <c r="AP244" s="18" t="str">
        <f>IFERROR(VLOOKUP(UKG!BA244,'UKG Company Map'!B:G,4,FALSE),"Custom 21 Exp Group Not Matched")</f>
        <v>0077</v>
      </c>
      <c r="BG244" s="77" t="str">
        <f>UKG!AZ244</f>
        <v>205116</v>
      </c>
      <c r="BK244" s="18" t="s">
        <v>1421</v>
      </c>
      <c r="BL244" s="18" t="s">
        <v>1421</v>
      </c>
      <c r="BU244" s="18" t="str">
        <f>UKG!BL244</f>
        <v>N</v>
      </c>
      <c r="BV244" s="18" t="str">
        <f>UKG!BL244</f>
        <v>N</v>
      </c>
      <c r="CE244" s="18" t="s">
        <v>1421</v>
      </c>
    </row>
    <row r="245" spans="1:83" ht="16" hidden="1" thickBot="1" x14ac:dyDescent="0.25">
      <c r="A245" s="39" t="s">
        <v>1420</v>
      </c>
      <c r="B245" s="77" t="str">
        <f>UKG!BO245</f>
        <v>MATS</v>
      </c>
      <c r="D245" s="77" t="str">
        <f>UKG!BN245</f>
        <v>RITHELL</v>
      </c>
      <c r="E245" s="77" t="str">
        <f>UKG!D245</f>
        <v>205353</v>
      </c>
      <c r="F245" s="77" t="str">
        <f t="shared" si="4"/>
        <v>E205353@onebarnes.com.new.uat</v>
      </c>
      <c r="G245" s="18" t="s">
        <v>1427</v>
      </c>
      <c r="H245" s="77" t="str">
        <f>UKG!AQ245</f>
        <v>E205353@onebarnes.com</v>
      </c>
      <c r="I245" s="18" t="str">
        <f>IFERROR(VLOOKUP(J245,'Language Map'!M:O,3,FALSE),"en_US")</f>
        <v>sv_SE</v>
      </c>
      <c r="J245" s="77" t="str">
        <f>UKG!BF245</f>
        <v>SE</v>
      </c>
      <c r="L245" s="77" t="str">
        <f>IFERROR(VLOOKUP(UKG!BA245,'UKG Company Map'!B:G,7,FALSE),"Ledger Code Not Matched")</f>
        <v>Ledger Code Not Matched</v>
      </c>
      <c r="M245" s="18" t="str">
        <f>UKG!BH245</f>
        <v>SEK</v>
      </c>
      <c r="O245" s="18" t="str">
        <f>UKG!BJ245</f>
        <v>Y</v>
      </c>
      <c r="P245" s="18" t="str">
        <f>IFERROR(VLOOKUP(UKG!BA245,'UKG Company Map'!B:E,2,FALSE),"Org Unit 1 Not Mapped")</f>
        <v>0077</v>
      </c>
      <c r="Q245" s="77" t="str">
        <f>UKG!BB245</f>
        <v>0000</v>
      </c>
      <c r="W245" s="77" t="str">
        <f>UKG!Q245</f>
        <v>H0004</v>
      </c>
      <c r="X245" s="18" t="str">
        <f>UKG!BC245</f>
        <v>Default</v>
      </c>
      <c r="Z245" s="18" t="str">
        <f>IFERROR(VLOOKUP(UKG!BA245,'UKG Company Map'!B:G,8,FALSE),"Custom 5 Not Matched")</f>
        <v>Custom 5 Not Matched</v>
      </c>
      <c r="AP245" s="18" t="str">
        <f>IFERROR(VLOOKUP(UKG!BA245,'UKG Company Map'!B:G,4,FALSE),"Custom 21 Exp Group Not Matched")</f>
        <v>0077</v>
      </c>
      <c r="BG245" s="77" t="str">
        <f>UKG!AZ245</f>
        <v>205116</v>
      </c>
      <c r="BK245" s="18" t="s">
        <v>1421</v>
      </c>
      <c r="BL245" s="18" t="s">
        <v>1421</v>
      </c>
      <c r="BU245" s="18" t="str">
        <f>UKG!BL245</f>
        <v>N</v>
      </c>
      <c r="BV245" s="18" t="str">
        <f>UKG!BL245</f>
        <v>N</v>
      </c>
      <c r="CE245" s="18" t="s">
        <v>1421</v>
      </c>
    </row>
    <row r="246" spans="1:83" ht="16" hidden="1" thickBot="1" x14ac:dyDescent="0.25">
      <c r="A246" s="39" t="s">
        <v>1420</v>
      </c>
      <c r="B246" s="77" t="str">
        <f>UKG!BO246</f>
        <v>CAMILLA</v>
      </c>
      <c r="D246" s="77" t="str">
        <f>UKG!BN246</f>
        <v>ROHDIN</v>
      </c>
      <c r="E246" s="77" t="str">
        <f>UKG!D246</f>
        <v>205279</v>
      </c>
      <c r="F246" s="77" t="str">
        <f t="shared" si="4"/>
        <v>E205279@onebarnes.com.new.uat</v>
      </c>
      <c r="G246" s="18" t="s">
        <v>1427</v>
      </c>
      <c r="H246" s="77" t="str">
        <f>UKG!AQ246</f>
        <v>E205279@onebarnes.com</v>
      </c>
      <c r="I246" s="18" t="str">
        <f>IFERROR(VLOOKUP(J246,'Language Map'!M:O,3,FALSE),"en_US")</f>
        <v>sv_SE</v>
      </c>
      <c r="J246" s="77" t="str">
        <f>UKG!BF246</f>
        <v>SE</v>
      </c>
      <c r="L246" s="77" t="str">
        <f>IFERROR(VLOOKUP(UKG!BA246,'UKG Company Map'!B:G,7,FALSE),"Ledger Code Not Matched")</f>
        <v>Ledger Code Not Matched</v>
      </c>
      <c r="M246" s="18" t="str">
        <f>UKG!BH246</f>
        <v>SEK</v>
      </c>
      <c r="O246" s="18" t="str">
        <f>UKG!BJ246</f>
        <v>Y</v>
      </c>
      <c r="P246" s="18" t="str">
        <f>IFERROR(VLOOKUP(UKG!BA246,'UKG Company Map'!B:E,2,FALSE),"Org Unit 1 Not Mapped")</f>
        <v>0077</v>
      </c>
      <c r="Q246" s="77" t="str">
        <f>UKG!BB246</f>
        <v>0000</v>
      </c>
      <c r="W246" s="77" t="str">
        <f>UKG!Q246</f>
        <v>H0004</v>
      </c>
      <c r="X246" s="18" t="str">
        <f>UKG!BC246</f>
        <v>Default</v>
      </c>
      <c r="Z246" s="18" t="str">
        <f>IFERROR(VLOOKUP(UKG!BA246,'UKG Company Map'!B:G,8,FALSE),"Custom 5 Not Matched")</f>
        <v>Custom 5 Not Matched</v>
      </c>
      <c r="AP246" s="18" t="str">
        <f>IFERROR(VLOOKUP(UKG!BA246,'UKG Company Map'!B:G,4,FALSE),"Custom 21 Exp Group Not Matched")</f>
        <v>0077</v>
      </c>
      <c r="BG246" s="77" t="str">
        <f>UKG!AZ246</f>
        <v>205383</v>
      </c>
      <c r="BK246" s="18" t="s">
        <v>1421</v>
      </c>
      <c r="BL246" s="18" t="s">
        <v>1421</v>
      </c>
      <c r="BU246" s="18" t="str">
        <f>UKG!BL246</f>
        <v>N</v>
      </c>
      <c r="BV246" s="18" t="str">
        <f>UKG!BL246</f>
        <v>N</v>
      </c>
      <c r="CE246" s="18" t="s">
        <v>1421</v>
      </c>
    </row>
    <row r="247" spans="1:83" ht="16" hidden="1" thickBot="1" x14ac:dyDescent="0.25">
      <c r="A247" s="39" t="s">
        <v>1420</v>
      </c>
      <c r="B247" s="77" t="str">
        <f>UKG!BO247</f>
        <v>KAJSA</v>
      </c>
      <c r="D247" s="77" t="str">
        <f>UKG!BN247</f>
        <v>RUNN</v>
      </c>
      <c r="E247" s="77" t="str">
        <f>UKG!D247</f>
        <v>205162</v>
      </c>
      <c r="F247" s="77" t="str">
        <f t="shared" si="4"/>
        <v>E205162@onebarnes.com.new.uat</v>
      </c>
      <c r="G247" s="18" t="s">
        <v>1427</v>
      </c>
      <c r="H247" s="77" t="str">
        <f>UKG!AQ247</f>
        <v>E205162@onebarnes.com</v>
      </c>
      <c r="I247" s="18" t="str">
        <f>IFERROR(VLOOKUP(J247,'Language Map'!M:O,3,FALSE),"en_US")</f>
        <v>sv_SE</v>
      </c>
      <c r="J247" s="77" t="str">
        <f>UKG!BF247</f>
        <v>SE</v>
      </c>
      <c r="L247" s="77" t="str">
        <f>IFERROR(VLOOKUP(UKG!BA247,'UKG Company Map'!B:G,7,FALSE),"Ledger Code Not Matched")</f>
        <v>Ledger Code Not Matched</v>
      </c>
      <c r="M247" s="18" t="str">
        <f>UKG!BH247</f>
        <v>SEK</v>
      </c>
      <c r="O247" s="18" t="str">
        <f>UKG!BJ247</f>
        <v>Y</v>
      </c>
      <c r="P247" s="18" t="str">
        <f>IFERROR(VLOOKUP(UKG!BA247,'UKG Company Map'!B:E,2,FALSE),"Org Unit 1 Not Mapped")</f>
        <v>0077</v>
      </c>
      <c r="Q247" s="77" t="str">
        <f>UKG!BB247</f>
        <v>0000</v>
      </c>
      <c r="W247" s="77" t="str">
        <f>UKG!Q247</f>
        <v>H0004</v>
      </c>
      <c r="X247" s="18" t="str">
        <f>UKG!BC247</f>
        <v>Default</v>
      </c>
      <c r="Z247" s="18" t="str">
        <f>IFERROR(VLOOKUP(UKG!BA247,'UKG Company Map'!B:G,8,FALSE),"Custom 5 Not Matched")</f>
        <v>Custom 5 Not Matched</v>
      </c>
      <c r="AP247" s="18" t="str">
        <f>IFERROR(VLOOKUP(UKG!BA247,'UKG Company Map'!B:G,4,FALSE),"Custom 21 Exp Group Not Matched")</f>
        <v>0077</v>
      </c>
      <c r="BG247" s="77" t="str">
        <f>UKG!AZ247</f>
        <v>205383</v>
      </c>
      <c r="BK247" s="18" t="s">
        <v>1421</v>
      </c>
      <c r="BL247" s="18" t="s">
        <v>1421</v>
      </c>
      <c r="BU247" s="18" t="str">
        <f>UKG!BL247</f>
        <v>N</v>
      </c>
      <c r="BV247" s="18" t="str">
        <f>UKG!BL247</f>
        <v>N</v>
      </c>
      <c r="CE247" s="18" t="s">
        <v>1421</v>
      </c>
    </row>
    <row r="248" spans="1:83" ht="16" hidden="1" thickBot="1" x14ac:dyDescent="0.25">
      <c r="A248" s="39" t="s">
        <v>1420</v>
      </c>
      <c r="B248" s="77" t="str">
        <f>UKG!BO248</f>
        <v>PATRICK</v>
      </c>
      <c r="D248" s="77" t="str">
        <f>UKG!BN248</f>
        <v>SABELSTRÖM</v>
      </c>
      <c r="E248" s="77" t="str">
        <f>UKG!D248</f>
        <v>205317</v>
      </c>
      <c r="F248" s="77" t="str">
        <f t="shared" si="4"/>
        <v>E205317@onebarnes.com.new.uat</v>
      </c>
      <c r="G248" s="18" t="s">
        <v>1427</v>
      </c>
      <c r="H248" s="77" t="str">
        <f>UKG!AQ248</f>
        <v>E205317@onebarnes.com</v>
      </c>
      <c r="I248" s="18" t="str">
        <f>IFERROR(VLOOKUP(J248,'Language Map'!M:O,3,FALSE),"en_US")</f>
        <v>sv_SE</v>
      </c>
      <c r="J248" s="77" t="str">
        <f>UKG!BF248</f>
        <v>SE</v>
      </c>
      <c r="L248" s="77" t="str">
        <f>IFERROR(VLOOKUP(UKG!BA248,'UKG Company Map'!B:G,7,FALSE),"Ledger Code Not Matched")</f>
        <v>Ledger Code Not Matched</v>
      </c>
      <c r="M248" s="18" t="str">
        <f>UKG!BH248</f>
        <v>SEK</v>
      </c>
      <c r="O248" s="18" t="str">
        <f>UKG!BJ248</f>
        <v>Y</v>
      </c>
      <c r="P248" s="18" t="str">
        <f>IFERROR(VLOOKUP(UKG!BA248,'UKG Company Map'!B:E,2,FALSE),"Org Unit 1 Not Mapped")</f>
        <v>0077</v>
      </c>
      <c r="Q248" s="77" t="str">
        <f>UKG!BB248</f>
        <v>0000</v>
      </c>
      <c r="W248" s="77" t="str">
        <f>UKG!Q248</f>
        <v>H0005</v>
      </c>
      <c r="X248" s="18" t="str">
        <f>UKG!BC248</f>
        <v>Default</v>
      </c>
      <c r="Z248" s="18" t="str">
        <f>IFERROR(VLOOKUP(UKG!BA248,'UKG Company Map'!B:G,8,FALSE),"Custom 5 Not Matched")</f>
        <v>Custom 5 Not Matched</v>
      </c>
      <c r="AP248" s="18" t="str">
        <f>IFERROR(VLOOKUP(UKG!BA248,'UKG Company Map'!B:G,4,FALSE),"Custom 21 Exp Group Not Matched")</f>
        <v>0077</v>
      </c>
      <c r="BG248" s="77" t="str">
        <f>UKG!AZ248</f>
        <v>212110</v>
      </c>
      <c r="BK248" s="18" t="s">
        <v>1421</v>
      </c>
      <c r="BL248" s="18" t="s">
        <v>1421</v>
      </c>
      <c r="BU248" s="18" t="str">
        <f>UKG!BL248</f>
        <v>N</v>
      </c>
      <c r="BV248" s="18" t="str">
        <f>UKG!BL248</f>
        <v>N</v>
      </c>
      <c r="CE248" s="18" t="s">
        <v>1421</v>
      </c>
    </row>
    <row r="249" spans="1:83" ht="16" hidden="1" thickBot="1" x14ac:dyDescent="0.25">
      <c r="A249" s="39" t="s">
        <v>1420</v>
      </c>
      <c r="B249" s="77" t="str">
        <f>UKG!BO249</f>
        <v>RICHARD</v>
      </c>
      <c r="D249" s="77" t="str">
        <f>UKG!BN249</f>
        <v>SABELSTRÖM</v>
      </c>
      <c r="E249" s="77" t="str">
        <f>UKG!D249</f>
        <v>205231</v>
      </c>
      <c r="F249" s="77" t="str">
        <f t="shared" si="4"/>
        <v>E205231@onebarnes.com.new.uat</v>
      </c>
      <c r="G249" s="18" t="s">
        <v>1427</v>
      </c>
      <c r="H249" s="77" t="str">
        <f>UKG!AQ249</f>
        <v>E205231@onebarnes.com</v>
      </c>
      <c r="I249" s="18" t="str">
        <f>IFERROR(VLOOKUP(J249,'Language Map'!M:O,3,FALSE),"en_US")</f>
        <v>sv_SE</v>
      </c>
      <c r="J249" s="77" t="str">
        <f>UKG!BF249</f>
        <v>SE</v>
      </c>
      <c r="L249" s="77" t="str">
        <f>IFERROR(VLOOKUP(UKG!BA249,'UKG Company Map'!B:G,7,FALSE),"Ledger Code Not Matched")</f>
        <v>Ledger Code Not Matched</v>
      </c>
      <c r="M249" s="18" t="str">
        <f>UKG!BH249</f>
        <v>SEK</v>
      </c>
      <c r="O249" s="18" t="str">
        <f>UKG!BJ249</f>
        <v>Y</v>
      </c>
      <c r="P249" s="18" t="str">
        <f>IFERROR(VLOOKUP(UKG!BA249,'UKG Company Map'!B:E,2,FALSE),"Org Unit 1 Not Mapped")</f>
        <v>0077</v>
      </c>
      <c r="Q249" s="77" t="str">
        <f>UKG!BB249</f>
        <v>0000</v>
      </c>
      <c r="W249" s="77" t="str">
        <f>UKG!Q249</f>
        <v>H0008</v>
      </c>
      <c r="X249" s="18" t="str">
        <f>UKG!BC249</f>
        <v>Default</v>
      </c>
      <c r="Z249" s="18" t="str">
        <f>IFERROR(VLOOKUP(UKG!BA249,'UKG Company Map'!B:G,8,FALSE),"Custom 5 Not Matched")</f>
        <v>Custom 5 Not Matched</v>
      </c>
      <c r="AP249" s="18" t="str">
        <f>IFERROR(VLOOKUP(UKG!BA249,'UKG Company Map'!B:G,4,FALSE),"Custom 21 Exp Group Not Matched")</f>
        <v>0077</v>
      </c>
      <c r="BG249" s="77" t="str">
        <f>UKG!AZ249</f>
        <v>205384</v>
      </c>
      <c r="BK249" s="18" t="s">
        <v>1421</v>
      </c>
      <c r="BL249" s="18" t="s">
        <v>1421</v>
      </c>
      <c r="BU249" s="18" t="str">
        <f>UKG!BL249</f>
        <v>N</v>
      </c>
      <c r="BV249" s="18" t="str">
        <f>UKG!BL249</f>
        <v>N</v>
      </c>
      <c r="CE249" s="18" t="s">
        <v>1421</v>
      </c>
    </row>
    <row r="250" spans="1:83" ht="16" hidden="1" thickBot="1" x14ac:dyDescent="0.25">
      <c r="A250" s="39" t="s">
        <v>1420</v>
      </c>
      <c r="B250" s="77" t="str">
        <f>UKG!BO250</f>
        <v>MOHAMMAD</v>
      </c>
      <c r="D250" s="77" t="str">
        <f>UKG!BN250</f>
        <v>SAID ALHALABI</v>
      </c>
      <c r="E250" s="77" t="str">
        <f>UKG!D250</f>
        <v>205327</v>
      </c>
      <c r="F250" s="77" t="str">
        <f t="shared" si="4"/>
        <v>E205327@onebarnes.com.new.uat</v>
      </c>
      <c r="G250" s="18" t="s">
        <v>1427</v>
      </c>
      <c r="H250" s="77" t="str">
        <f>UKG!AQ250</f>
        <v>E205327@onebarnes.com</v>
      </c>
      <c r="I250" s="18" t="str">
        <f>IFERROR(VLOOKUP(J250,'Language Map'!M:O,3,FALSE),"en_US")</f>
        <v>sv_SE</v>
      </c>
      <c r="J250" s="77" t="str">
        <f>UKG!BF250</f>
        <v>SE</v>
      </c>
      <c r="L250" s="77" t="str">
        <f>IFERROR(VLOOKUP(UKG!BA250,'UKG Company Map'!B:G,7,FALSE),"Ledger Code Not Matched")</f>
        <v>Ledger Code Not Matched</v>
      </c>
      <c r="M250" s="18" t="str">
        <f>UKG!BH250</f>
        <v>SEK</v>
      </c>
      <c r="O250" s="18" t="str">
        <f>UKG!BJ250</f>
        <v>Y</v>
      </c>
      <c r="P250" s="18" t="str">
        <f>IFERROR(VLOOKUP(UKG!BA250,'UKG Company Map'!B:E,2,FALSE),"Org Unit 1 Not Mapped")</f>
        <v>0077</v>
      </c>
      <c r="Q250" s="77" t="str">
        <f>UKG!BB250</f>
        <v>0000</v>
      </c>
      <c r="W250" s="77" t="str">
        <f>UKG!Q250</f>
        <v>H0005</v>
      </c>
      <c r="X250" s="18" t="str">
        <f>UKG!BC250</f>
        <v>Default</v>
      </c>
      <c r="Z250" s="18" t="str">
        <f>IFERROR(VLOOKUP(UKG!BA250,'UKG Company Map'!B:G,8,FALSE),"Custom 5 Not Matched")</f>
        <v>Custom 5 Not Matched</v>
      </c>
      <c r="AP250" s="18" t="str">
        <f>IFERROR(VLOOKUP(UKG!BA250,'UKG Company Map'!B:G,4,FALSE),"Custom 21 Exp Group Not Matched")</f>
        <v>0077</v>
      </c>
      <c r="BG250" s="77" t="str">
        <f>UKG!AZ250</f>
        <v>205315</v>
      </c>
      <c r="BK250" s="18" t="s">
        <v>1421</v>
      </c>
      <c r="BL250" s="18" t="s">
        <v>1421</v>
      </c>
      <c r="BU250" s="18" t="str">
        <f>UKG!BL250</f>
        <v>N</v>
      </c>
      <c r="BV250" s="18" t="str">
        <f>UKG!BL250</f>
        <v>N</v>
      </c>
      <c r="CE250" s="18" t="s">
        <v>1421</v>
      </c>
    </row>
    <row r="251" spans="1:83" ht="16" hidden="1" thickBot="1" x14ac:dyDescent="0.25">
      <c r="A251" s="39" t="s">
        <v>1420</v>
      </c>
      <c r="B251" s="77" t="str">
        <f>UKG!BO251</f>
        <v>KATARINA</v>
      </c>
      <c r="D251" s="77" t="str">
        <f>UKG!BN251</f>
        <v>SALMA</v>
      </c>
      <c r="E251" s="77" t="str">
        <f>UKG!D251</f>
        <v>205152</v>
      </c>
      <c r="F251" s="77" t="str">
        <f t="shared" si="4"/>
        <v>E205152@onebarnes.com.new.uat</v>
      </c>
      <c r="G251" s="18" t="s">
        <v>1427</v>
      </c>
      <c r="H251" s="77" t="str">
        <f>UKG!AQ251</f>
        <v>E205152@onebarnes.com</v>
      </c>
      <c r="I251" s="18" t="str">
        <f>IFERROR(VLOOKUP(J251,'Language Map'!M:O,3,FALSE),"en_US")</f>
        <v>sv_SE</v>
      </c>
      <c r="J251" s="77" t="str">
        <f>UKG!BF251</f>
        <v>SE</v>
      </c>
      <c r="L251" s="77" t="str">
        <f>IFERROR(VLOOKUP(UKG!BA251,'UKG Company Map'!B:G,7,FALSE),"Ledger Code Not Matched")</f>
        <v>Ledger Code Not Matched</v>
      </c>
      <c r="M251" s="18" t="str">
        <f>UKG!BH251</f>
        <v>SEK</v>
      </c>
      <c r="O251" s="18" t="str">
        <f>UKG!BJ251</f>
        <v>Y</v>
      </c>
      <c r="P251" s="18" t="str">
        <f>IFERROR(VLOOKUP(UKG!BA251,'UKG Company Map'!B:E,2,FALSE),"Org Unit 1 Not Mapped")</f>
        <v>0077</v>
      </c>
      <c r="Q251" s="77" t="str">
        <f>UKG!BB251</f>
        <v>0000</v>
      </c>
      <c r="W251" s="77" t="str">
        <f>UKG!Q251</f>
        <v>H0004</v>
      </c>
      <c r="X251" s="18" t="str">
        <f>UKG!BC251</f>
        <v>Default</v>
      </c>
      <c r="Z251" s="18" t="str">
        <f>IFERROR(VLOOKUP(UKG!BA251,'UKG Company Map'!B:G,8,FALSE),"Custom 5 Not Matched")</f>
        <v>Custom 5 Not Matched</v>
      </c>
      <c r="AP251" s="18" t="str">
        <f>IFERROR(VLOOKUP(UKG!BA251,'UKG Company Map'!B:G,4,FALSE),"Custom 21 Exp Group Not Matched")</f>
        <v>0077</v>
      </c>
      <c r="BG251" s="77" t="str">
        <f>UKG!AZ251</f>
        <v>205383</v>
      </c>
      <c r="BK251" s="18" t="s">
        <v>1421</v>
      </c>
      <c r="BL251" s="18" t="s">
        <v>1421</v>
      </c>
      <c r="BU251" s="18" t="str">
        <f>UKG!BL251</f>
        <v>N</v>
      </c>
      <c r="BV251" s="18" t="str">
        <f>UKG!BL251</f>
        <v>N</v>
      </c>
      <c r="CE251" s="18" t="s">
        <v>1421</v>
      </c>
    </row>
    <row r="252" spans="1:83" ht="16" hidden="1" thickBot="1" x14ac:dyDescent="0.25">
      <c r="A252" s="39" t="s">
        <v>1420</v>
      </c>
      <c r="B252" s="77" t="str">
        <f>UKG!BO252</f>
        <v>RUDOLF</v>
      </c>
      <c r="D252" s="77" t="str">
        <f>UKG!BN252</f>
        <v>SALMA</v>
      </c>
      <c r="E252" s="77" t="str">
        <f>UKG!D252</f>
        <v>205296</v>
      </c>
      <c r="F252" s="77" t="str">
        <f t="shared" si="4"/>
        <v>E205296@onebarnes.com.new.uat</v>
      </c>
      <c r="G252" s="18" t="s">
        <v>1427</v>
      </c>
      <c r="H252" s="77" t="str">
        <f>UKG!AQ252</f>
        <v>E205296@onebarnes.com</v>
      </c>
      <c r="I252" s="18" t="str">
        <f>IFERROR(VLOOKUP(J252,'Language Map'!M:O,3,FALSE),"en_US")</f>
        <v>sv_SE</v>
      </c>
      <c r="J252" s="77" t="str">
        <f>UKG!BF252</f>
        <v>SE</v>
      </c>
      <c r="L252" s="77" t="str">
        <f>IFERROR(VLOOKUP(UKG!BA252,'UKG Company Map'!B:G,7,FALSE),"Ledger Code Not Matched")</f>
        <v>Ledger Code Not Matched</v>
      </c>
      <c r="M252" s="18" t="str">
        <f>UKG!BH252</f>
        <v>SEK</v>
      </c>
      <c r="O252" s="18" t="str">
        <f>UKG!BJ252</f>
        <v>Y</v>
      </c>
      <c r="P252" s="18" t="str">
        <f>IFERROR(VLOOKUP(UKG!BA252,'UKG Company Map'!B:E,2,FALSE),"Org Unit 1 Not Mapped")</f>
        <v>0077</v>
      </c>
      <c r="Q252" s="77" t="str">
        <f>UKG!BB252</f>
        <v>0000</v>
      </c>
      <c r="W252" s="77" t="str">
        <f>UKG!Q252</f>
        <v>H0005</v>
      </c>
      <c r="X252" s="18" t="str">
        <f>UKG!BC252</f>
        <v>Default</v>
      </c>
      <c r="Z252" s="18" t="str">
        <f>IFERROR(VLOOKUP(UKG!BA252,'UKG Company Map'!B:G,8,FALSE),"Custom 5 Not Matched")</f>
        <v>Custom 5 Not Matched</v>
      </c>
      <c r="AP252" s="18" t="str">
        <f>IFERROR(VLOOKUP(UKG!BA252,'UKG Company Map'!B:G,4,FALSE),"Custom 21 Exp Group Not Matched")</f>
        <v>0077</v>
      </c>
      <c r="BG252" s="77" t="str">
        <f>UKG!AZ252</f>
        <v>212110</v>
      </c>
      <c r="BK252" s="18" t="s">
        <v>1421</v>
      </c>
      <c r="BL252" s="18" t="s">
        <v>1421</v>
      </c>
      <c r="BU252" s="18" t="str">
        <f>UKG!BL252</f>
        <v>N</v>
      </c>
      <c r="BV252" s="18" t="str">
        <f>UKG!BL252</f>
        <v>N</v>
      </c>
      <c r="CE252" s="18" t="s">
        <v>1421</v>
      </c>
    </row>
    <row r="253" spans="1:83" ht="16" hidden="1" thickBot="1" x14ac:dyDescent="0.25">
      <c r="A253" s="39" t="s">
        <v>1420</v>
      </c>
      <c r="B253" s="77" t="str">
        <f>UKG!BO253</f>
        <v>LOTTA</v>
      </c>
      <c r="D253" s="77" t="str">
        <f>UKG!BN253</f>
        <v>SAMUELSSON</v>
      </c>
      <c r="E253" s="77" t="str">
        <f>UKG!D253</f>
        <v>205173</v>
      </c>
      <c r="F253" s="77" t="str">
        <f t="shared" si="4"/>
        <v>E205173@onebarnes.com.new.uat</v>
      </c>
      <c r="G253" s="18" t="s">
        <v>1427</v>
      </c>
      <c r="H253" s="77" t="str">
        <f>UKG!AQ253</f>
        <v>E205173@onebarnes.com</v>
      </c>
      <c r="I253" s="18" t="str">
        <f>IFERROR(VLOOKUP(J253,'Language Map'!M:O,3,FALSE),"en_US")</f>
        <v>sv_SE</v>
      </c>
      <c r="J253" s="77" t="str">
        <f>UKG!BF253</f>
        <v>SE</v>
      </c>
      <c r="L253" s="77" t="str">
        <f>IFERROR(VLOOKUP(UKG!BA253,'UKG Company Map'!B:G,7,FALSE),"Ledger Code Not Matched")</f>
        <v>Ledger Code Not Matched</v>
      </c>
      <c r="M253" s="18" t="str">
        <f>UKG!BH253</f>
        <v>SEK</v>
      </c>
      <c r="O253" s="18" t="str">
        <f>UKG!BJ253</f>
        <v>Y</v>
      </c>
      <c r="P253" s="18" t="str">
        <f>IFERROR(VLOOKUP(UKG!BA253,'UKG Company Map'!B:E,2,FALSE),"Org Unit 1 Not Mapped")</f>
        <v>0077</v>
      </c>
      <c r="Q253" s="77" t="str">
        <f>UKG!BB253</f>
        <v>0000</v>
      </c>
      <c r="W253" s="77" t="str">
        <f>UKG!Q253</f>
        <v>H0004</v>
      </c>
      <c r="X253" s="18" t="str">
        <f>UKG!BC253</f>
        <v>Default</v>
      </c>
      <c r="Z253" s="18" t="str">
        <f>IFERROR(VLOOKUP(UKG!BA253,'UKG Company Map'!B:G,8,FALSE),"Custom 5 Not Matched")</f>
        <v>Custom 5 Not Matched</v>
      </c>
      <c r="AP253" s="18" t="str">
        <f>IFERROR(VLOOKUP(UKG!BA253,'UKG Company Map'!B:G,4,FALSE),"Custom 21 Exp Group Not Matched")</f>
        <v>0077</v>
      </c>
      <c r="BG253" s="77" t="str">
        <f>UKG!AZ253</f>
        <v>205383</v>
      </c>
      <c r="BK253" s="18" t="s">
        <v>1421</v>
      </c>
      <c r="BL253" s="18" t="s">
        <v>1421</v>
      </c>
      <c r="BU253" s="18" t="str">
        <f>UKG!BL253</f>
        <v>N</v>
      </c>
      <c r="BV253" s="18" t="str">
        <f>UKG!BL253</f>
        <v>N</v>
      </c>
      <c r="CE253" s="18" t="s">
        <v>1421</v>
      </c>
    </row>
    <row r="254" spans="1:83" ht="16" hidden="1" thickBot="1" x14ac:dyDescent="0.25">
      <c r="A254" s="39" t="s">
        <v>1420</v>
      </c>
      <c r="B254" s="77" t="str">
        <f>UKG!BO254</f>
        <v>ROGER</v>
      </c>
      <c r="D254" s="77" t="str">
        <f>UKG!BN254</f>
        <v>SANNEGÅRD</v>
      </c>
      <c r="E254" s="77" t="str">
        <f>UKG!D254</f>
        <v>205195</v>
      </c>
      <c r="F254" s="77" t="str">
        <f t="shared" si="4"/>
        <v>E205195@onebarnes.com.new.uat</v>
      </c>
      <c r="G254" s="18" t="s">
        <v>1427</v>
      </c>
      <c r="H254" s="77" t="str">
        <f>UKG!AQ254</f>
        <v>E205195@onebarnes.com</v>
      </c>
      <c r="I254" s="18" t="str">
        <f>IFERROR(VLOOKUP(J254,'Language Map'!M:O,3,FALSE),"en_US")</f>
        <v>sv_SE</v>
      </c>
      <c r="J254" s="77" t="str">
        <f>UKG!BF254</f>
        <v>SE</v>
      </c>
      <c r="L254" s="77" t="str">
        <f>IFERROR(VLOOKUP(UKG!BA254,'UKG Company Map'!B:G,7,FALSE),"Ledger Code Not Matched")</f>
        <v>Ledger Code Not Matched</v>
      </c>
      <c r="M254" s="18" t="str">
        <f>UKG!BH254</f>
        <v>SEK</v>
      </c>
      <c r="O254" s="18" t="str">
        <f>UKG!BJ254</f>
        <v>Y</v>
      </c>
      <c r="P254" s="18" t="str">
        <f>IFERROR(VLOOKUP(UKG!BA254,'UKG Company Map'!B:E,2,FALSE),"Org Unit 1 Not Mapped")</f>
        <v>0077</v>
      </c>
      <c r="Q254" s="77" t="str">
        <f>UKG!BB254</f>
        <v>0000</v>
      </c>
      <c r="W254" s="77" t="str">
        <f>UKG!Q254</f>
        <v>H0005</v>
      </c>
      <c r="X254" s="18" t="str">
        <f>UKG!BC254</f>
        <v>Default</v>
      </c>
      <c r="Z254" s="18" t="str">
        <f>IFERROR(VLOOKUP(UKG!BA254,'UKG Company Map'!B:G,8,FALSE),"Custom 5 Not Matched")</f>
        <v>Custom 5 Not Matched</v>
      </c>
      <c r="AP254" s="18" t="str">
        <f>IFERROR(VLOOKUP(UKG!BA254,'UKG Company Map'!B:G,4,FALSE),"Custom 21 Exp Group Not Matched")</f>
        <v>0077</v>
      </c>
      <c r="BG254" s="77" t="str">
        <f>UKG!AZ254</f>
        <v>205315</v>
      </c>
      <c r="BK254" s="18" t="s">
        <v>1421</v>
      </c>
      <c r="BL254" s="18" t="s">
        <v>1421</v>
      </c>
      <c r="BU254" s="18" t="str">
        <f>UKG!BL254</f>
        <v>N</v>
      </c>
      <c r="BV254" s="18" t="str">
        <f>UKG!BL254</f>
        <v>N</v>
      </c>
      <c r="CE254" s="18" t="s">
        <v>1421</v>
      </c>
    </row>
    <row r="255" spans="1:83" ht="16" hidden="1" thickBot="1" x14ac:dyDescent="0.25">
      <c r="A255" s="39" t="s">
        <v>1420</v>
      </c>
      <c r="B255" s="77" t="str">
        <f>UKG!BO255</f>
        <v>PETER</v>
      </c>
      <c r="D255" s="77" t="str">
        <f>UKG!BN255</f>
        <v>SCHILDT</v>
      </c>
      <c r="E255" s="77" t="str">
        <f>UKG!D255</f>
        <v>205181</v>
      </c>
      <c r="F255" s="77" t="str">
        <f t="shared" si="4"/>
        <v>E205181@onebarnes.com.new.uat</v>
      </c>
      <c r="G255" s="18" t="s">
        <v>1427</v>
      </c>
      <c r="H255" s="77" t="str">
        <f>UKG!AQ255</f>
        <v>E205181@onebarnes.com</v>
      </c>
      <c r="I255" s="18" t="str">
        <f>IFERROR(VLOOKUP(J255,'Language Map'!M:O,3,FALSE),"en_US")</f>
        <v>sv_SE</v>
      </c>
      <c r="J255" s="77" t="str">
        <f>UKG!BF255</f>
        <v>SE</v>
      </c>
      <c r="L255" s="77" t="str">
        <f>IFERROR(VLOOKUP(UKG!BA255,'UKG Company Map'!B:G,7,FALSE),"Ledger Code Not Matched")</f>
        <v>Ledger Code Not Matched</v>
      </c>
      <c r="M255" s="18" t="str">
        <f>UKG!BH255</f>
        <v>SEK</v>
      </c>
      <c r="O255" s="18" t="str">
        <f>UKG!BJ255</f>
        <v>Y</v>
      </c>
      <c r="P255" s="18" t="str">
        <f>IFERROR(VLOOKUP(UKG!BA255,'UKG Company Map'!B:E,2,FALSE),"Org Unit 1 Not Mapped")</f>
        <v>0077</v>
      </c>
      <c r="Q255" s="77" t="str">
        <f>UKG!BB255</f>
        <v>0000</v>
      </c>
      <c r="W255" s="77" t="str">
        <f>UKG!Q255</f>
        <v>H0004</v>
      </c>
      <c r="X255" s="18" t="str">
        <f>UKG!BC255</f>
        <v>Default</v>
      </c>
      <c r="Z255" s="18" t="str">
        <f>IFERROR(VLOOKUP(UKG!BA255,'UKG Company Map'!B:G,8,FALSE),"Custom 5 Not Matched")</f>
        <v>Custom 5 Not Matched</v>
      </c>
      <c r="AP255" s="18" t="str">
        <f>IFERROR(VLOOKUP(UKG!BA255,'UKG Company Map'!B:G,4,FALSE),"Custom 21 Exp Group Not Matched")</f>
        <v>0077</v>
      </c>
      <c r="BG255" s="77" t="str">
        <f>UKG!AZ255</f>
        <v>205383</v>
      </c>
      <c r="BK255" s="18" t="s">
        <v>1421</v>
      </c>
      <c r="BL255" s="18" t="s">
        <v>1421</v>
      </c>
      <c r="BU255" s="18" t="str">
        <f>UKG!BL255</f>
        <v>N</v>
      </c>
      <c r="BV255" s="18" t="str">
        <f>UKG!BL255</f>
        <v>N</v>
      </c>
      <c r="CE255" s="18" t="s">
        <v>1421</v>
      </c>
    </row>
    <row r="256" spans="1:83" ht="16" hidden="1" thickBot="1" x14ac:dyDescent="0.25">
      <c r="A256" s="39" t="s">
        <v>1420</v>
      </c>
      <c r="B256" s="77" t="str">
        <f>UKG!BO256</f>
        <v>FREDRIK</v>
      </c>
      <c r="D256" s="77" t="str">
        <f>UKG!BN256</f>
        <v>SELINDER</v>
      </c>
      <c r="E256" s="77" t="str">
        <f>UKG!D256</f>
        <v>205340</v>
      </c>
      <c r="F256" s="77" t="str">
        <f t="shared" si="4"/>
        <v>E205340@onebarnes.com.new.uat</v>
      </c>
      <c r="G256" s="18" t="s">
        <v>1427</v>
      </c>
      <c r="H256" s="77" t="str">
        <f>UKG!AQ256</f>
        <v>E205340@onebarnes.com</v>
      </c>
      <c r="I256" s="18" t="str">
        <f>IFERROR(VLOOKUP(J256,'Language Map'!M:O,3,FALSE),"en_US")</f>
        <v>sv_SE</v>
      </c>
      <c r="J256" s="77" t="str">
        <f>UKG!BF256</f>
        <v>SE</v>
      </c>
      <c r="L256" s="77" t="str">
        <f>IFERROR(VLOOKUP(UKG!BA256,'UKG Company Map'!B:G,7,FALSE),"Ledger Code Not Matched")</f>
        <v>Ledger Code Not Matched</v>
      </c>
      <c r="M256" s="18" t="str">
        <f>UKG!BH256</f>
        <v>SEK</v>
      </c>
      <c r="O256" s="18" t="str">
        <f>UKG!BJ256</f>
        <v>Y</v>
      </c>
      <c r="P256" s="18" t="str">
        <f>IFERROR(VLOOKUP(UKG!BA256,'UKG Company Map'!B:E,2,FALSE),"Org Unit 1 Not Mapped")</f>
        <v>0077</v>
      </c>
      <c r="Q256" s="77" t="str">
        <f>UKG!BB256</f>
        <v>0000</v>
      </c>
      <c r="W256" s="77" t="str">
        <f>UKG!Q256</f>
        <v>H0004</v>
      </c>
      <c r="X256" s="18" t="str">
        <f>UKG!BC256</f>
        <v>Default</v>
      </c>
      <c r="Z256" s="18" t="str">
        <f>IFERROR(VLOOKUP(UKG!BA256,'UKG Company Map'!B:G,8,FALSE),"Custom 5 Not Matched")</f>
        <v>Custom 5 Not Matched</v>
      </c>
      <c r="AP256" s="18" t="str">
        <f>IFERROR(VLOOKUP(UKG!BA256,'UKG Company Map'!B:G,4,FALSE),"Custom 21 Exp Group Not Matched")</f>
        <v>0077</v>
      </c>
      <c r="BG256" s="77" t="str">
        <f>UKG!AZ256</f>
        <v>205116</v>
      </c>
      <c r="BK256" s="18" t="s">
        <v>1421</v>
      </c>
      <c r="BL256" s="18" t="s">
        <v>1421</v>
      </c>
      <c r="BU256" s="18" t="str">
        <f>UKG!BL256</f>
        <v>N</v>
      </c>
      <c r="BV256" s="18" t="str">
        <f>UKG!BL256</f>
        <v>N</v>
      </c>
      <c r="CE256" s="18" t="s">
        <v>1421</v>
      </c>
    </row>
    <row r="257" spans="1:83" ht="16" hidden="1" thickBot="1" x14ac:dyDescent="0.25">
      <c r="A257" s="39" t="s">
        <v>1420</v>
      </c>
      <c r="B257" s="77" t="str">
        <f>UKG!BO257</f>
        <v>MIKAEL</v>
      </c>
      <c r="D257" s="77" t="str">
        <f>UKG!BN257</f>
        <v>SJÖSTEDT</v>
      </c>
      <c r="E257" s="77" t="str">
        <f>UKG!D257</f>
        <v>205140</v>
      </c>
      <c r="F257" s="77" t="str">
        <f t="shared" si="4"/>
        <v>E205140@onebarnes.com.new.uat</v>
      </c>
      <c r="G257" s="18" t="s">
        <v>1427</v>
      </c>
      <c r="H257" s="77" t="str">
        <f>UKG!AQ257</f>
        <v>E205140@onebarnes.com</v>
      </c>
      <c r="I257" s="18" t="str">
        <f>IFERROR(VLOOKUP(J257,'Language Map'!M:O,3,FALSE),"en_US")</f>
        <v>sv_SE</v>
      </c>
      <c r="J257" s="77" t="str">
        <f>UKG!BF257</f>
        <v>SE</v>
      </c>
      <c r="L257" s="77" t="str">
        <f>IFERROR(VLOOKUP(UKG!BA257,'UKG Company Map'!B:G,7,FALSE),"Ledger Code Not Matched")</f>
        <v>Ledger Code Not Matched</v>
      </c>
      <c r="M257" s="18" t="str">
        <f>UKG!BH257</f>
        <v>SEK</v>
      </c>
      <c r="O257" s="18" t="str">
        <f>UKG!BJ257</f>
        <v>Y</v>
      </c>
      <c r="P257" s="18" t="str">
        <f>IFERROR(VLOOKUP(UKG!BA257,'UKG Company Map'!B:E,2,FALSE),"Org Unit 1 Not Mapped")</f>
        <v>0077</v>
      </c>
      <c r="Q257" s="77" t="str">
        <f>UKG!BB257</f>
        <v>0000</v>
      </c>
      <c r="W257" s="77" t="str">
        <f>UKG!Q257</f>
        <v>H0004</v>
      </c>
      <c r="X257" s="18" t="str">
        <f>UKG!BC257</f>
        <v>Default</v>
      </c>
      <c r="Z257" s="18" t="str">
        <f>IFERROR(VLOOKUP(UKG!BA257,'UKG Company Map'!B:G,8,FALSE),"Custom 5 Not Matched")</f>
        <v>Custom 5 Not Matched</v>
      </c>
      <c r="AP257" s="18" t="str">
        <f>IFERROR(VLOOKUP(UKG!BA257,'UKG Company Map'!B:G,4,FALSE),"Custom 21 Exp Group Not Matched")</f>
        <v>0077</v>
      </c>
      <c r="BG257" s="77" t="str">
        <f>UKG!AZ257</f>
        <v>205383</v>
      </c>
      <c r="BK257" s="18" t="s">
        <v>1421</v>
      </c>
      <c r="BL257" s="18" t="s">
        <v>1421</v>
      </c>
      <c r="BU257" s="18" t="str">
        <f>UKG!BL257</f>
        <v>N</v>
      </c>
      <c r="BV257" s="18" t="str">
        <f>UKG!BL257</f>
        <v>N</v>
      </c>
      <c r="CE257" s="18" t="s">
        <v>1421</v>
      </c>
    </row>
    <row r="258" spans="1:83" ht="16" hidden="1" thickBot="1" x14ac:dyDescent="0.25">
      <c r="A258" s="39" t="s">
        <v>1420</v>
      </c>
      <c r="B258" s="77" t="str">
        <f>UKG!BO258</f>
        <v>ANDREAS</v>
      </c>
      <c r="D258" s="77" t="str">
        <f>UKG!BN258</f>
        <v>SORTODDEN</v>
      </c>
      <c r="E258" s="77" t="str">
        <f>UKG!D258</f>
        <v>205300</v>
      </c>
      <c r="F258" s="77" t="str">
        <f t="shared" si="4"/>
        <v>E205300@onebarnes.com.new.uat</v>
      </c>
      <c r="G258" s="18" t="s">
        <v>1427</v>
      </c>
      <c r="H258" s="77" t="str">
        <f>UKG!AQ258</f>
        <v>E205300@onebarnes.com</v>
      </c>
      <c r="I258" s="18" t="str">
        <f>IFERROR(VLOOKUP(J258,'Language Map'!M:O,3,FALSE),"en_US")</f>
        <v>sv_SE</v>
      </c>
      <c r="J258" s="77" t="str">
        <f>UKG!BF258</f>
        <v>SE</v>
      </c>
      <c r="L258" s="77" t="str">
        <f>IFERROR(VLOOKUP(UKG!BA258,'UKG Company Map'!B:G,7,FALSE),"Ledger Code Not Matched")</f>
        <v>Ledger Code Not Matched</v>
      </c>
      <c r="M258" s="18" t="str">
        <f>UKG!BH258</f>
        <v>SEK</v>
      </c>
      <c r="O258" s="18" t="str">
        <f>UKG!BJ258</f>
        <v>Y</v>
      </c>
      <c r="P258" s="18" t="str">
        <f>IFERROR(VLOOKUP(UKG!BA258,'UKG Company Map'!B:E,2,FALSE),"Org Unit 1 Not Mapped")</f>
        <v>0077</v>
      </c>
      <c r="Q258" s="77" t="str">
        <f>UKG!BB258</f>
        <v>0000</v>
      </c>
      <c r="W258" s="77" t="str">
        <f>UKG!Q258</f>
        <v>H0005</v>
      </c>
      <c r="X258" s="18" t="str">
        <f>UKG!BC258</f>
        <v>Default</v>
      </c>
      <c r="Z258" s="18" t="str">
        <f>IFERROR(VLOOKUP(UKG!BA258,'UKG Company Map'!B:G,8,FALSE),"Custom 5 Not Matched")</f>
        <v>Custom 5 Not Matched</v>
      </c>
      <c r="AP258" s="18" t="str">
        <f>IFERROR(VLOOKUP(UKG!BA258,'UKG Company Map'!B:G,4,FALSE),"Custom 21 Exp Group Not Matched")</f>
        <v>0077</v>
      </c>
      <c r="BG258" s="77" t="str">
        <f>UKG!AZ258</f>
        <v>213066</v>
      </c>
      <c r="BK258" s="18" t="s">
        <v>1421</v>
      </c>
      <c r="BL258" s="18" t="s">
        <v>1421</v>
      </c>
      <c r="BU258" s="18" t="str">
        <f>UKG!BL258</f>
        <v>N</v>
      </c>
      <c r="BV258" s="18" t="str">
        <f>UKG!BL258</f>
        <v>N</v>
      </c>
      <c r="CE258" s="18" t="s">
        <v>1421</v>
      </c>
    </row>
    <row r="259" spans="1:83" ht="16" hidden="1" thickBot="1" x14ac:dyDescent="0.25">
      <c r="A259" s="39" t="s">
        <v>1420</v>
      </c>
      <c r="B259" s="77" t="str">
        <f>UKG!BO259</f>
        <v>MICHAEL</v>
      </c>
      <c r="D259" s="77" t="str">
        <f>UKG!BN259</f>
        <v>SPARV</v>
      </c>
      <c r="E259" s="77" t="str">
        <f>UKG!D259</f>
        <v>205345</v>
      </c>
      <c r="F259" s="77" t="str">
        <f t="shared" si="4"/>
        <v>E205345@onebarnes.com.new.uat</v>
      </c>
      <c r="G259" s="18" t="s">
        <v>1427</v>
      </c>
      <c r="H259" s="77" t="str">
        <f>UKG!AQ259</f>
        <v>E205345@onebarnes.com</v>
      </c>
      <c r="I259" s="18" t="str">
        <f>IFERROR(VLOOKUP(J259,'Language Map'!M:O,3,FALSE),"en_US")</f>
        <v>sv_SE</v>
      </c>
      <c r="J259" s="77" t="str">
        <f>UKG!BF259</f>
        <v>SE</v>
      </c>
      <c r="L259" s="77" t="str">
        <f>IFERROR(VLOOKUP(UKG!BA259,'UKG Company Map'!B:G,7,FALSE),"Ledger Code Not Matched")</f>
        <v>Ledger Code Not Matched</v>
      </c>
      <c r="M259" s="18" t="str">
        <f>UKG!BH259</f>
        <v>SEK</v>
      </c>
      <c r="O259" s="18" t="str">
        <f>UKG!BJ259</f>
        <v>Y</v>
      </c>
      <c r="P259" s="18" t="str">
        <f>IFERROR(VLOOKUP(UKG!BA259,'UKG Company Map'!B:E,2,FALSE),"Org Unit 1 Not Mapped")</f>
        <v>0077</v>
      </c>
      <c r="Q259" s="77" t="str">
        <f>UKG!BB259</f>
        <v>0000</v>
      </c>
      <c r="W259" s="77" t="str">
        <f>UKG!Q259</f>
        <v>H0004</v>
      </c>
      <c r="X259" s="18" t="str">
        <f>UKG!BC259</f>
        <v>Default</v>
      </c>
      <c r="Z259" s="18" t="str">
        <f>IFERROR(VLOOKUP(UKG!BA259,'UKG Company Map'!B:G,8,FALSE),"Custom 5 Not Matched")</f>
        <v>Custom 5 Not Matched</v>
      </c>
      <c r="AP259" s="18" t="str">
        <f>IFERROR(VLOOKUP(UKG!BA259,'UKG Company Map'!B:G,4,FALSE),"Custom 21 Exp Group Not Matched")</f>
        <v>0077</v>
      </c>
      <c r="BG259" s="77" t="str">
        <f>UKG!AZ259</f>
        <v>205116</v>
      </c>
      <c r="BK259" s="18" t="s">
        <v>1421</v>
      </c>
      <c r="BL259" s="18" t="s">
        <v>1421</v>
      </c>
      <c r="BU259" s="18" t="str">
        <f>UKG!BL259</f>
        <v>N</v>
      </c>
      <c r="BV259" s="18" t="str">
        <f>UKG!BL259</f>
        <v>N</v>
      </c>
      <c r="CE259" s="18" t="s">
        <v>1421</v>
      </c>
    </row>
    <row r="260" spans="1:83" ht="16" hidden="1" thickBot="1" x14ac:dyDescent="0.25">
      <c r="A260" s="39" t="s">
        <v>1420</v>
      </c>
      <c r="B260" s="77" t="str">
        <f>UKG!BO260</f>
        <v>IDA</v>
      </c>
      <c r="D260" s="77" t="str">
        <f>UKG!BN260</f>
        <v>STRÖM</v>
      </c>
      <c r="E260" s="77" t="str">
        <f>UKG!D260</f>
        <v>205209</v>
      </c>
      <c r="F260" s="77" t="str">
        <f t="shared" si="4"/>
        <v>E205209@onebarnes.com.new.uat</v>
      </c>
      <c r="G260" s="18" t="s">
        <v>1427</v>
      </c>
      <c r="H260" s="77" t="str">
        <f>UKG!AQ260</f>
        <v>E205209@onebarnes.com</v>
      </c>
      <c r="I260" s="18" t="str">
        <f>IFERROR(VLOOKUP(J260,'Language Map'!M:O,3,FALSE),"en_US")</f>
        <v>sv_SE</v>
      </c>
      <c r="J260" s="77" t="str">
        <f>UKG!BF260</f>
        <v>SE</v>
      </c>
      <c r="L260" s="77" t="str">
        <f>IFERROR(VLOOKUP(UKG!BA260,'UKG Company Map'!B:G,7,FALSE),"Ledger Code Not Matched")</f>
        <v>Ledger Code Not Matched</v>
      </c>
      <c r="M260" s="18" t="str">
        <f>UKG!BH260</f>
        <v>SEK</v>
      </c>
      <c r="O260" s="18" t="str">
        <f>UKG!BJ260</f>
        <v>Y</v>
      </c>
      <c r="P260" s="18" t="str">
        <f>IFERROR(VLOOKUP(UKG!BA260,'UKG Company Map'!B:E,2,FALSE),"Org Unit 1 Not Mapped")</f>
        <v>0077</v>
      </c>
      <c r="Q260" s="77" t="str">
        <f>UKG!BB260</f>
        <v>0000</v>
      </c>
      <c r="W260" s="77" t="str">
        <f>UKG!Q260</f>
        <v>H0005</v>
      </c>
      <c r="X260" s="18" t="str">
        <f>UKG!BC260</f>
        <v>Default</v>
      </c>
      <c r="Z260" s="18" t="str">
        <f>IFERROR(VLOOKUP(UKG!BA260,'UKG Company Map'!B:G,8,FALSE),"Custom 5 Not Matched")</f>
        <v>Custom 5 Not Matched</v>
      </c>
      <c r="AP260" s="18" t="str">
        <f>IFERROR(VLOOKUP(UKG!BA260,'UKG Company Map'!B:G,4,FALSE),"Custom 21 Exp Group Not Matched")</f>
        <v>0077</v>
      </c>
      <c r="BG260" s="77" t="str">
        <f>UKG!AZ260</f>
        <v>205315</v>
      </c>
      <c r="BK260" s="18" t="s">
        <v>1421</v>
      </c>
      <c r="BL260" s="18" t="s">
        <v>1421</v>
      </c>
      <c r="BU260" s="18" t="str">
        <f>UKG!BL260</f>
        <v>N</v>
      </c>
      <c r="BV260" s="18" t="str">
        <f>UKG!BL260</f>
        <v>N</v>
      </c>
      <c r="CE260" s="18" t="s">
        <v>1421</v>
      </c>
    </row>
    <row r="261" spans="1:83" ht="16" hidden="1" thickBot="1" x14ac:dyDescent="0.25">
      <c r="A261" s="39" t="s">
        <v>1420</v>
      </c>
      <c r="B261" s="77" t="str">
        <f>UKG!BO261</f>
        <v>SEBASTIAN</v>
      </c>
      <c r="D261" s="77" t="str">
        <f>UKG!BN261</f>
        <v>SVENLER</v>
      </c>
      <c r="E261" s="77" t="str">
        <f>UKG!D261</f>
        <v>207732</v>
      </c>
      <c r="F261" s="77" t="str">
        <f t="shared" si="4"/>
        <v>sebastian.svenler@kaller.com.new.uat</v>
      </c>
      <c r="G261" s="18" t="s">
        <v>1427</v>
      </c>
      <c r="H261" s="77" t="str">
        <f>UKG!AQ261</f>
        <v>sebastian.svenler@kaller.com</v>
      </c>
      <c r="I261" s="18" t="str">
        <f>IFERROR(VLOOKUP(J261,'Language Map'!M:O,3,FALSE),"en_US")</f>
        <v>sv_SE</v>
      </c>
      <c r="J261" s="77" t="str">
        <f>UKG!BF261</f>
        <v>SE</v>
      </c>
      <c r="L261" s="77" t="str">
        <f>IFERROR(VLOOKUP(UKG!BA261,'UKG Company Map'!B:G,7,FALSE),"Ledger Code Not Matched")</f>
        <v>Ledger Code Not Matched</v>
      </c>
      <c r="M261" s="18" t="str">
        <f>UKG!BH261</f>
        <v>SEK</v>
      </c>
      <c r="O261" s="18" t="str">
        <f>UKG!BJ261</f>
        <v>Y</v>
      </c>
      <c r="P261" s="18" t="str">
        <f>IFERROR(VLOOKUP(UKG!BA261,'UKG Company Map'!B:E,2,FALSE),"Org Unit 1 Not Mapped")</f>
        <v>0077</v>
      </c>
      <c r="Q261" s="77" t="str">
        <f>UKG!BB261</f>
        <v>0000</v>
      </c>
      <c r="W261" s="77" t="str">
        <f>UKG!Q261</f>
        <v>H0009</v>
      </c>
      <c r="X261" s="18" t="str">
        <f>UKG!BC261</f>
        <v>Default</v>
      </c>
      <c r="Z261" s="18" t="str">
        <f>IFERROR(VLOOKUP(UKG!BA261,'UKG Company Map'!B:G,8,FALSE),"Custom 5 Not Matched")</f>
        <v>Custom 5 Not Matched</v>
      </c>
      <c r="AP261" s="18" t="str">
        <f>IFERROR(VLOOKUP(UKG!BA261,'UKG Company Map'!B:G,4,FALSE),"Custom 21 Exp Group Not Matched")</f>
        <v>0077</v>
      </c>
      <c r="BG261" s="77" t="str">
        <f>UKG!AZ261</f>
        <v>205380</v>
      </c>
      <c r="BK261" s="18" t="s">
        <v>1421</v>
      </c>
      <c r="BL261" s="18" t="s">
        <v>1421</v>
      </c>
      <c r="BU261" s="18" t="str">
        <f>UKG!BL261</f>
        <v>N</v>
      </c>
      <c r="BV261" s="18" t="str">
        <f>UKG!BL261</f>
        <v>N</v>
      </c>
      <c r="CE261" s="18" t="s">
        <v>1421</v>
      </c>
    </row>
    <row r="262" spans="1:83" ht="16" hidden="1" thickBot="1" x14ac:dyDescent="0.25">
      <c r="A262" s="39" t="s">
        <v>1420</v>
      </c>
      <c r="B262" s="77" t="str">
        <f>UKG!BO262</f>
        <v>ANDREAS</v>
      </c>
      <c r="D262" s="77" t="str">
        <f>UKG!BN262</f>
        <v>SVENSSON</v>
      </c>
      <c r="E262" s="77" t="str">
        <f>UKG!D262</f>
        <v>205124</v>
      </c>
      <c r="F262" s="77" t="str">
        <f t="shared" si="4"/>
        <v>ASvensson@onebarnes.com.new.uat</v>
      </c>
      <c r="G262" s="18" t="s">
        <v>1427</v>
      </c>
      <c r="H262" s="77" t="str">
        <f>UKG!AQ262</f>
        <v>ASvensson@onebarnes.com</v>
      </c>
      <c r="I262" s="18" t="str">
        <f>IFERROR(VLOOKUP(J262,'Language Map'!M:O,3,FALSE),"en_US")</f>
        <v>sv_SE</v>
      </c>
      <c r="J262" s="77" t="str">
        <f>UKG!BF262</f>
        <v>SE</v>
      </c>
      <c r="L262" s="77" t="str">
        <f>IFERROR(VLOOKUP(UKG!BA262,'UKG Company Map'!B:G,7,FALSE),"Ledger Code Not Matched")</f>
        <v>Ledger Code Not Matched</v>
      </c>
      <c r="M262" s="18" t="str">
        <f>UKG!BH262</f>
        <v>SEK</v>
      </c>
      <c r="O262" s="18" t="str">
        <f>UKG!BJ262</f>
        <v>Y</v>
      </c>
      <c r="P262" s="18" t="str">
        <f>IFERROR(VLOOKUP(UKG!BA262,'UKG Company Map'!B:E,2,FALSE),"Org Unit 1 Not Mapped")</f>
        <v>0077</v>
      </c>
      <c r="Q262" s="77" t="str">
        <f>UKG!BB262</f>
        <v>0000</v>
      </c>
      <c r="W262" s="77" t="str">
        <f>UKG!Q262</f>
        <v>H0009</v>
      </c>
      <c r="X262" s="18" t="str">
        <f>UKG!BC262</f>
        <v>Default</v>
      </c>
      <c r="Z262" s="18" t="str">
        <f>IFERROR(VLOOKUP(UKG!BA262,'UKG Company Map'!B:G,8,FALSE),"Custom 5 Not Matched")</f>
        <v>Custom 5 Not Matched</v>
      </c>
      <c r="AP262" s="18" t="str">
        <f>IFERROR(VLOOKUP(UKG!BA262,'UKG Company Map'!B:G,4,FALSE),"Custom 21 Exp Group Not Matched")</f>
        <v>0077</v>
      </c>
      <c r="BG262" s="77" t="str">
        <f>UKG!AZ262</f>
        <v>205380</v>
      </c>
      <c r="BK262" s="18" t="s">
        <v>1421</v>
      </c>
      <c r="BL262" s="18" t="s">
        <v>1421</v>
      </c>
      <c r="BU262" s="18" t="str">
        <f>UKG!BL262</f>
        <v>N</v>
      </c>
      <c r="BV262" s="18" t="str">
        <f>UKG!BL262</f>
        <v>N</v>
      </c>
      <c r="CE262" s="18" t="s">
        <v>1421</v>
      </c>
    </row>
    <row r="263" spans="1:83" ht="16" hidden="1" thickBot="1" x14ac:dyDescent="0.25">
      <c r="A263" s="39" t="s">
        <v>1420</v>
      </c>
      <c r="B263" s="77" t="str">
        <f>UKG!BO263</f>
        <v>KEVIN</v>
      </c>
      <c r="D263" s="77" t="str">
        <f>UKG!BN263</f>
        <v>SVENSSON</v>
      </c>
      <c r="E263" s="77" t="str">
        <f>UKG!D263</f>
        <v>205308</v>
      </c>
      <c r="F263" s="77" t="str">
        <f t="shared" si="4"/>
        <v>E205308@onebarnes.com.new.uat</v>
      </c>
      <c r="G263" s="18" t="s">
        <v>1427</v>
      </c>
      <c r="H263" s="77" t="str">
        <f>UKG!AQ263</f>
        <v>E205308@onebarnes.com</v>
      </c>
      <c r="I263" s="18" t="str">
        <f>IFERROR(VLOOKUP(J263,'Language Map'!M:O,3,FALSE),"en_US")</f>
        <v>sv_SE</v>
      </c>
      <c r="J263" s="77" t="str">
        <f>UKG!BF263</f>
        <v>SE</v>
      </c>
      <c r="L263" s="77" t="str">
        <f>IFERROR(VLOOKUP(UKG!BA263,'UKG Company Map'!B:G,7,FALSE),"Ledger Code Not Matched")</f>
        <v>Ledger Code Not Matched</v>
      </c>
      <c r="M263" s="18" t="str">
        <f>UKG!BH263</f>
        <v>SEK</v>
      </c>
      <c r="O263" s="18" t="str">
        <f>UKG!BJ263</f>
        <v>Y</v>
      </c>
      <c r="P263" s="18" t="str">
        <f>IFERROR(VLOOKUP(UKG!BA263,'UKG Company Map'!B:E,2,FALSE),"Org Unit 1 Not Mapped")</f>
        <v>0077</v>
      </c>
      <c r="Q263" s="77" t="str">
        <f>UKG!BB263</f>
        <v>0000</v>
      </c>
      <c r="W263" s="77" t="str">
        <f>UKG!Q263</f>
        <v>H0005</v>
      </c>
      <c r="X263" s="18" t="str">
        <f>UKG!BC263</f>
        <v>Default</v>
      </c>
      <c r="Z263" s="18" t="str">
        <f>IFERROR(VLOOKUP(UKG!BA263,'UKG Company Map'!B:G,8,FALSE),"Custom 5 Not Matched")</f>
        <v>Custom 5 Not Matched</v>
      </c>
      <c r="AP263" s="18" t="str">
        <f>IFERROR(VLOOKUP(UKG!BA263,'UKG Company Map'!B:G,4,FALSE),"Custom 21 Exp Group Not Matched")</f>
        <v>0077</v>
      </c>
      <c r="BG263" s="77" t="str">
        <f>UKG!AZ263</f>
        <v>205315</v>
      </c>
      <c r="BK263" s="18" t="s">
        <v>1421</v>
      </c>
      <c r="BL263" s="18" t="s">
        <v>1421</v>
      </c>
      <c r="BU263" s="18" t="str">
        <f>UKG!BL263</f>
        <v>N</v>
      </c>
      <c r="BV263" s="18" t="str">
        <f>UKG!BL263</f>
        <v>N</v>
      </c>
      <c r="CE263" s="18" t="s">
        <v>1421</v>
      </c>
    </row>
    <row r="264" spans="1:83" ht="16" hidden="1" thickBot="1" x14ac:dyDescent="0.25">
      <c r="A264" s="39" t="s">
        <v>1420</v>
      </c>
      <c r="B264" s="77" t="str">
        <f>UKG!BO264</f>
        <v>MIHHAIL</v>
      </c>
      <c r="D264" s="77" t="str">
        <f>UKG!BN264</f>
        <v>SVENSSON</v>
      </c>
      <c r="E264" s="77" t="str">
        <f>UKG!D264</f>
        <v>205185</v>
      </c>
      <c r="F264" s="77" t="str">
        <f t="shared" si="4"/>
        <v>E205185@onebarnes.com.new.uat</v>
      </c>
      <c r="G264" s="18" t="s">
        <v>1427</v>
      </c>
      <c r="H264" s="77" t="str">
        <f>UKG!AQ264</f>
        <v>E205185@onebarnes.com</v>
      </c>
      <c r="I264" s="18" t="str">
        <f>IFERROR(VLOOKUP(J264,'Language Map'!M:O,3,FALSE),"en_US")</f>
        <v>sv_SE</v>
      </c>
      <c r="J264" s="77" t="str">
        <f>UKG!BF264</f>
        <v>SE</v>
      </c>
      <c r="L264" s="77" t="str">
        <f>IFERROR(VLOOKUP(UKG!BA264,'UKG Company Map'!B:G,7,FALSE),"Ledger Code Not Matched")</f>
        <v>Ledger Code Not Matched</v>
      </c>
      <c r="M264" s="18" t="str">
        <f>UKG!BH264</f>
        <v>SEK</v>
      </c>
      <c r="O264" s="18" t="str">
        <f>UKG!BJ264</f>
        <v>Y</v>
      </c>
      <c r="P264" s="18" t="str">
        <f>IFERROR(VLOOKUP(UKG!BA264,'UKG Company Map'!B:E,2,FALSE),"Org Unit 1 Not Mapped")</f>
        <v>0077</v>
      </c>
      <c r="Q264" s="77" t="str">
        <f>UKG!BB264</f>
        <v>0000</v>
      </c>
      <c r="W264" s="77" t="str">
        <f>UKG!Q264</f>
        <v>H0005</v>
      </c>
      <c r="X264" s="18" t="str">
        <f>UKG!BC264</f>
        <v>Default</v>
      </c>
      <c r="Z264" s="18" t="str">
        <f>IFERROR(VLOOKUP(UKG!BA264,'UKG Company Map'!B:G,8,FALSE),"Custom 5 Not Matched")</f>
        <v>Custom 5 Not Matched</v>
      </c>
      <c r="AP264" s="18" t="str">
        <f>IFERROR(VLOOKUP(UKG!BA264,'UKG Company Map'!B:G,4,FALSE),"Custom 21 Exp Group Not Matched")</f>
        <v>0077</v>
      </c>
      <c r="BG264" s="77" t="str">
        <f>UKG!AZ264</f>
        <v>205315</v>
      </c>
      <c r="BK264" s="18" t="s">
        <v>1421</v>
      </c>
      <c r="BL264" s="18" t="s">
        <v>1421</v>
      </c>
      <c r="BU264" s="18" t="str">
        <f>UKG!BL264</f>
        <v>N</v>
      </c>
      <c r="BV264" s="18" t="str">
        <f>UKG!BL264</f>
        <v>N</v>
      </c>
      <c r="CE264" s="18" t="s">
        <v>1421</v>
      </c>
    </row>
    <row r="265" spans="1:83" ht="16" hidden="1" thickBot="1" x14ac:dyDescent="0.25">
      <c r="A265" s="39" t="s">
        <v>1420</v>
      </c>
      <c r="B265" s="77" t="str">
        <f>UKG!BO265</f>
        <v>NIHAD</v>
      </c>
      <c r="D265" s="77" t="str">
        <f>UKG!BN265</f>
        <v>SVRAKA</v>
      </c>
      <c r="E265" s="77" t="str">
        <f>UKG!D265</f>
        <v>205206</v>
      </c>
      <c r="F265" s="77" t="str">
        <f t="shared" si="4"/>
        <v>E205206@onebarnes.com.new.uat</v>
      </c>
      <c r="G265" s="18" t="s">
        <v>1427</v>
      </c>
      <c r="H265" s="77" t="str">
        <f>UKG!AQ265</f>
        <v>E205206@onebarnes.com</v>
      </c>
      <c r="I265" s="18" t="str">
        <f>IFERROR(VLOOKUP(J265,'Language Map'!M:O,3,FALSE),"en_US")</f>
        <v>sv_SE</v>
      </c>
      <c r="J265" s="77" t="str">
        <f>UKG!BF265</f>
        <v>SE</v>
      </c>
      <c r="L265" s="77" t="str">
        <f>IFERROR(VLOOKUP(UKG!BA265,'UKG Company Map'!B:G,7,FALSE),"Ledger Code Not Matched")</f>
        <v>Ledger Code Not Matched</v>
      </c>
      <c r="M265" s="18" t="str">
        <f>UKG!BH265</f>
        <v>SEK</v>
      </c>
      <c r="O265" s="18" t="str">
        <f>UKG!BJ265</f>
        <v>Y</v>
      </c>
      <c r="P265" s="18" t="str">
        <f>IFERROR(VLOOKUP(UKG!BA265,'UKG Company Map'!B:E,2,FALSE),"Org Unit 1 Not Mapped")</f>
        <v>0077</v>
      </c>
      <c r="Q265" s="77" t="str">
        <f>UKG!BB265</f>
        <v>0000</v>
      </c>
      <c r="W265" s="77" t="str">
        <f>UKG!Q265</f>
        <v>H0005</v>
      </c>
      <c r="X265" s="18" t="str">
        <f>UKG!BC265</f>
        <v>Default</v>
      </c>
      <c r="Z265" s="18" t="str">
        <f>IFERROR(VLOOKUP(UKG!BA265,'UKG Company Map'!B:G,8,FALSE),"Custom 5 Not Matched")</f>
        <v>Custom 5 Not Matched</v>
      </c>
      <c r="AP265" s="18" t="str">
        <f>IFERROR(VLOOKUP(UKG!BA265,'UKG Company Map'!B:G,4,FALSE),"Custom 21 Exp Group Not Matched")</f>
        <v>0077</v>
      </c>
      <c r="BG265" s="77" t="str">
        <f>UKG!AZ265</f>
        <v>205315</v>
      </c>
      <c r="BK265" s="18" t="s">
        <v>1421</v>
      </c>
      <c r="BL265" s="18" t="s">
        <v>1421</v>
      </c>
      <c r="BU265" s="18" t="str">
        <f>UKG!BL265</f>
        <v>N</v>
      </c>
      <c r="BV265" s="18" t="str">
        <f>UKG!BL265</f>
        <v>N</v>
      </c>
      <c r="CE265" s="18" t="s">
        <v>1421</v>
      </c>
    </row>
    <row r="266" spans="1:83" ht="16" hidden="1" thickBot="1" x14ac:dyDescent="0.25">
      <c r="A266" s="39" t="s">
        <v>1420</v>
      </c>
      <c r="B266" s="77" t="str">
        <f>UKG!BO266</f>
        <v>OSKAR</v>
      </c>
      <c r="D266" s="77" t="str">
        <f>UKG!BN266</f>
        <v>TÖRNVALL</v>
      </c>
      <c r="E266" s="77" t="str">
        <f>UKG!D266</f>
        <v>205324</v>
      </c>
      <c r="F266" s="77" t="str">
        <f t="shared" si="4"/>
        <v>E205324@onebarnes.com.new.uat</v>
      </c>
      <c r="G266" s="18" t="s">
        <v>1427</v>
      </c>
      <c r="H266" s="77" t="str">
        <f>UKG!AQ266</f>
        <v>E205324@onebarnes.com</v>
      </c>
      <c r="I266" s="18" t="str">
        <f>IFERROR(VLOOKUP(J266,'Language Map'!M:O,3,FALSE),"en_US")</f>
        <v>sv_SE</v>
      </c>
      <c r="J266" s="77" t="str">
        <f>UKG!BF266</f>
        <v>SE</v>
      </c>
      <c r="L266" s="77" t="str">
        <f>IFERROR(VLOOKUP(UKG!BA266,'UKG Company Map'!B:G,7,FALSE),"Ledger Code Not Matched")</f>
        <v>Ledger Code Not Matched</v>
      </c>
      <c r="M266" s="18" t="str">
        <f>UKG!BH266</f>
        <v>SEK</v>
      </c>
      <c r="O266" s="18" t="str">
        <f>UKG!BJ266</f>
        <v>Y</v>
      </c>
      <c r="P266" s="18" t="str">
        <f>IFERROR(VLOOKUP(UKG!BA266,'UKG Company Map'!B:E,2,FALSE),"Org Unit 1 Not Mapped")</f>
        <v>0077</v>
      </c>
      <c r="Q266" s="77" t="str">
        <f>UKG!BB266</f>
        <v>0000</v>
      </c>
      <c r="W266" s="77" t="str">
        <f>UKG!Q266</f>
        <v>H0005</v>
      </c>
      <c r="X266" s="18" t="str">
        <f>UKG!BC266</f>
        <v>Default</v>
      </c>
      <c r="Z266" s="18" t="str">
        <f>IFERROR(VLOOKUP(UKG!BA266,'UKG Company Map'!B:G,8,FALSE),"Custom 5 Not Matched")</f>
        <v>Custom 5 Not Matched</v>
      </c>
      <c r="AP266" s="18" t="str">
        <f>IFERROR(VLOOKUP(UKG!BA266,'UKG Company Map'!B:G,4,FALSE),"Custom 21 Exp Group Not Matched")</f>
        <v>0077</v>
      </c>
      <c r="BG266" s="77" t="str">
        <f>UKG!AZ266</f>
        <v>205315</v>
      </c>
      <c r="BK266" s="18" t="s">
        <v>1421</v>
      </c>
      <c r="BL266" s="18" t="s">
        <v>1421</v>
      </c>
      <c r="BU266" s="18" t="str">
        <f>UKG!BL266</f>
        <v>N</v>
      </c>
      <c r="BV266" s="18" t="str">
        <f>UKG!BL266</f>
        <v>N</v>
      </c>
      <c r="CE266" s="18" t="s">
        <v>1421</v>
      </c>
    </row>
    <row r="267" spans="1:83" ht="16" hidden="1" thickBot="1" x14ac:dyDescent="0.25">
      <c r="A267" s="39" t="s">
        <v>1420</v>
      </c>
      <c r="B267" s="77" t="str">
        <f>UKG!BO267</f>
        <v>ANDREAS</v>
      </c>
      <c r="D267" s="77" t="str">
        <f>UKG!BN267</f>
        <v>WAHLBERG</v>
      </c>
      <c r="E267" s="77" t="str">
        <f>UKG!D267</f>
        <v>205343</v>
      </c>
      <c r="F267" s="77" t="str">
        <f t="shared" si="4"/>
        <v>E205343@onebarnes.com.new.uat</v>
      </c>
      <c r="G267" s="18" t="s">
        <v>1427</v>
      </c>
      <c r="H267" s="77" t="str">
        <f>UKG!AQ267</f>
        <v>E205343@onebarnes.com</v>
      </c>
      <c r="I267" s="18" t="str">
        <f>IFERROR(VLOOKUP(J267,'Language Map'!M:O,3,FALSE),"en_US")</f>
        <v>sv_SE</v>
      </c>
      <c r="J267" s="77" t="str">
        <f>UKG!BF267</f>
        <v>SE</v>
      </c>
      <c r="L267" s="77" t="str">
        <f>IFERROR(VLOOKUP(UKG!BA267,'UKG Company Map'!B:G,7,FALSE),"Ledger Code Not Matched")</f>
        <v>Ledger Code Not Matched</v>
      </c>
      <c r="M267" s="18" t="str">
        <f>UKG!BH267</f>
        <v>SEK</v>
      </c>
      <c r="O267" s="18" t="str">
        <f>UKG!BJ267</f>
        <v>Y</v>
      </c>
      <c r="P267" s="18" t="str">
        <f>IFERROR(VLOOKUP(UKG!BA267,'UKG Company Map'!B:E,2,FALSE),"Org Unit 1 Not Mapped")</f>
        <v>0077</v>
      </c>
      <c r="Q267" s="77" t="str">
        <f>UKG!BB267</f>
        <v>0000</v>
      </c>
      <c r="W267" s="77" t="str">
        <f>UKG!Q267</f>
        <v>H0004</v>
      </c>
      <c r="X267" s="18" t="str">
        <f>UKG!BC267</f>
        <v>Default</v>
      </c>
      <c r="Z267" s="18" t="str">
        <f>IFERROR(VLOOKUP(UKG!BA267,'UKG Company Map'!B:G,8,FALSE),"Custom 5 Not Matched")</f>
        <v>Custom 5 Not Matched</v>
      </c>
      <c r="AP267" s="18" t="str">
        <f>IFERROR(VLOOKUP(UKG!BA267,'UKG Company Map'!B:G,4,FALSE),"Custom 21 Exp Group Not Matched")</f>
        <v>0077</v>
      </c>
      <c r="BG267" s="77" t="str">
        <f>UKG!AZ267</f>
        <v>205116</v>
      </c>
      <c r="BK267" s="18" t="s">
        <v>1421</v>
      </c>
      <c r="BL267" s="18" t="s">
        <v>1421</v>
      </c>
      <c r="BU267" s="18" t="str">
        <f>UKG!BL267</f>
        <v>N</v>
      </c>
      <c r="BV267" s="18" t="str">
        <f>UKG!BL267</f>
        <v>N</v>
      </c>
      <c r="CE267" s="18" t="s">
        <v>1421</v>
      </c>
    </row>
    <row r="268" spans="1:83" ht="16" hidden="1" thickBot="1" x14ac:dyDescent="0.25">
      <c r="A268" s="39" t="s">
        <v>1420</v>
      </c>
      <c r="B268" s="77" t="str">
        <f>UKG!BO268</f>
        <v>PER</v>
      </c>
      <c r="D268" s="77" t="str">
        <f>UKG!BN268</f>
        <v>WENDEL</v>
      </c>
      <c r="E268" s="77" t="str">
        <f>UKG!D268</f>
        <v>205131</v>
      </c>
      <c r="F268" s="77" t="str">
        <f t="shared" si="4"/>
        <v>E205131@onebarnes.com.new.uat</v>
      </c>
      <c r="G268" s="18" t="s">
        <v>1427</v>
      </c>
      <c r="H268" s="77" t="str">
        <f>UKG!AQ268</f>
        <v>E205131@onebarnes.com</v>
      </c>
      <c r="I268" s="18" t="str">
        <f>IFERROR(VLOOKUP(J268,'Language Map'!M:O,3,FALSE),"en_US")</f>
        <v>sv_SE</v>
      </c>
      <c r="J268" s="77" t="str">
        <f>UKG!BF268</f>
        <v>SE</v>
      </c>
      <c r="L268" s="77" t="str">
        <f>IFERROR(VLOOKUP(UKG!BA268,'UKG Company Map'!B:G,7,FALSE),"Ledger Code Not Matched")</f>
        <v>Ledger Code Not Matched</v>
      </c>
      <c r="M268" s="18" t="str">
        <f>UKG!BH268</f>
        <v>SEK</v>
      </c>
      <c r="O268" s="18" t="str">
        <f>UKG!BJ268</f>
        <v>Y</v>
      </c>
      <c r="P268" s="18" t="str">
        <f>IFERROR(VLOOKUP(UKG!BA268,'UKG Company Map'!B:E,2,FALSE),"Org Unit 1 Not Mapped")</f>
        <v>0077</v>
      </c>
      <c r="Q268" s="77" t="str">
        <f>UKG!BB268</f>
        <v>0000</v>
      </c>
      <c r="W268" s="77" t="str">
        <f>UKG!Q268</f>
        <v>H0004</v>
      </c>
      <c r="X268" s="18" t="str">
        <f>UKG!BC268</f>
        <v>Default</v>
      </c>
      <c r="Z268" s="18" t="str">
        <f>IFERROR(VLOOKUP(UKG!BA268,'UKG Company Map'!B:G,8,FALSE),"Custom 5 Not Matched")</f>
        <v>Custom 5 Not Matched</v>
      </c>
      <c r="AP268" s="18" t="str">
        <f>IFERROR(VLOOKUP(UKG!BA268,'UKG Company Map'!B:G,4,FALSE),"Custom 21 Exp Group Not Matched")</f>
        <v>0077</v>
      </c>
      <c r="BG268" s="77" t="str">
        <f>UKG!AZ268</f>
        <v>205383</v>
      </c>
      <c r="BK268" s="18" t="s">
        <v>1421</v>
      </c>
      <c r="BL268" s="18" t="s">
        <v>1421</v>
      </c>
      <c r="BU268" s="18" t="str">
        <f>UKG!BL268</f>
        <v>N</v>
      </c>
      <c r="BV268" s="18" t="str">
        <f>UKG!BL268</f>
        <v>N</v>
      </c>
      <c r="CE268" s="18" t="s">
        <v>1421</v>
      </c>
    </row>
    <row r="269" spans="1:83" ht="16" hidden="1" thickBot="1" x14ac:dyDescent="0.25">
      <c r="A269" s="39" t="s">
        <v>1420</v>
      </c>
      <c r="B269" s="77" t="str">
        <f>UKG!BO269</f>
        <v>SOFIE</v>
      </c>
      <c r="D269" s="77" t="str">
        <f>UKG!BN269</f>
        <v>WIBERG</v>
      </c>
      <c r="E269" s="77" t="str">
        <f>UKG!D269</f>
        <v>205187</v>
      </c>
      <c r="F269" s="77" t="str">
        <f t="shared" si="4"/>
        <v>E205187@onebarnes.com.new.uat</v>
      </c>
      <c r="G269" s="18" t="s">
        <v>1427</v>
      </c>
      <c r="H269" s="77" t="str">
        <f>UKG!AQ269</f>
        <v>E205187@onebarnes.com</v>
      </c>
      <c r="I269" s="18" t="str">
        <f>IFERROR(VLOOKUP(J269,'Language Map'!M:O,3,FALSE),"en_US")</f>
        <v>sv_SE</v>
      </c>
      <c r="J269" s="77" t="str">
        <f>UKG!BF269</f>
        <v>SE</v>
      </c>
      <c r="L269" s="77" t="str">
        <f>IFERROR(VLOOKUP(UKG!BA269,'UKG Company Map'!B:G,7,FALSE),"Ledger Code Not Matched")</f>
        <v>Ledger Code Not Matched</v>
      </c>
      <c r="M269" s="18" t="str">
        <f>UKG!BH269</f>
        <v>SEK</v>
      </c>
      <c r="O269" s="18" t="str">
        <f>UKG!BJ269</f>
        <v>Y</v>
      </c>
      <c r="P269" s="18" t="str">
        <f>IFERROR(VLOOKUP(UKG!BA269,'UKG Company Map'!B:E,2,FALSE),"Org Unit 1 Not Mapped")</f>
        <v>0077</v>
      </c>
      <c r="Q269" s="77" t="str">
        <f>UKG!BB269</f>
        <v>0000</v>
      </c>
      <c r="W269" s="77" t="str">
        <f>UKG!Q269</f>
        <v>H0005</v>
      </c>
      <c r="X269" s="18" t="str">
        <f>UKG!BC269</f>
        <v>Default</v>
      </c>
      <c r="Z269" s="18" t="str">
        <f>IFERROR(VLOOKUP(UKG!BA269,'UKG Company Map'!B:G,8,FALSE),"Custom 5 Not Matched")</f>
        <v>Custom 5 Not Matched</v>
      </c>
      <c r="AP269" s="18" t="str">
        <f>IFERROR(VLOOKUP(UKG!BA269,'UKG Company Map'!B:G,4,FALSE),"Custom 21 Exp Group Not Matched")</f>
        <v>0077</v>
      </c>
      <c r="BG269" s="77" t="str">
        <f>UKG!AZ269</f>
        <v>205315</v>
      </c>
      <c r="BK269" s="18" t="s">
        <v>1421</v>
      </c>
      <c r="BL269" s="18" t="s">
        <v>1421</v>
      </c>
      <c r="BU269" s="18" t="str">
        <f>UKG!BL269</f>
        <v>N</v>
      </c>
      <c r="BV269" s="18" t="str">
        <f>UKG!BL269</f>
        <v>N</v>
      </c>
      <c r="CE269" s="18" t="s">
        <v>1421</v>
      </c>
    </row>
    <row r="270" spans="1:83" ht="16" hidden="1" thickBot="1" x14ac:dyDescent="0.25">
      <c r="A270" s="39" t="s">
        <v>1420</v>
      </c>
      <c r="B270" s="77" t="str">
        <f>UKG!BO270</f>
        <v>KAROLINA</v>
      </c>
      <c r="D270" s="77" t="str">
        <f>UKG!BN270</f>
        <v>WIDING</v>
      </c>
      <c r="E270" s="77" t="str">
        <f>UKG!D270</f>
        <v>205178</v>
      </c>
      <c r="F270" s="77" t="str">
        <f t="shared" si="4"/>
        <v>E205178@onebarnes.com.new.uat</v>
      </c>
      <c r="G270" s="18" t="s">
        <v>1427</v>
      </c>
      <c r="H270" s="77" t="str">
        <f>UKG!AQ270</f>
        <v>E205178@onebarnes.com</v>
      </c>
      <c r="I270" s="18" t="str">
        <f>IFERROR(VLOOKUP(J270,'Language Map'!M:O,3,FALSE),"en_US")</f>
        <v>sv_SE</v>
      </c>
      <c r="J270" s="77" t="str">
        <f>UKG!BF270</f>
        <v>SE</v>
      </c>
      <c r="L270" s="77" t="str">
        <f>IFERROR(VLOOKUP(UKG!BA270,'UKG Company Map'!B:G,7,FALSE),"Ledger Code Not Matched")</f>
        <v>Ledger Code Not Matched</v>
      </c>
      <c r="M270" s="18" t="str">
        <f>UKG!BH270</f>
        <v>SEK</v>
      </c>
      <c r="O270" s="18" t="str">
        <f>UKG!BJ270</f>
        <v>Y</v>
      </c>
      <c r="P270" s="18" t="str">
        <f>IFERROR(VLOOKUP(UKG!BA270,'UKG Company Map'!B:E,2,FALSE),"Org Unit 1 Not Mapped")</f>
        <v>0077</v>
      </c>
      <c r="Q270" s="77" t="str">
        <f>UKG!BB270</f>
        <v>0000</v>
      </c>
      <c r="W270" s="77" t="str">
        <f>UKG!Q270</f>
        <v>H0004</v>
      </c>
      <c r="X270" s="18" t="str">
        <f>UKG!BC270</f>
        <v>Default</v>
      </c>
      <c r="Z270" s="18" t="str">
        <f>IFERROR(VLOOKUP(UKG!BA270,'UKG Company Map'!B:G,8,FALSE),"Custom 5 Not Matched")</f>
        <v>Custom 5 Not Matched</v>
      </c>
      <c r="AP270" s="18" t="str">
        <f>IFERROR(VLOOKUP(UKG!BA270,'UKG Company Map'!B:G,4,FALSE),"Custom 21 Exp Group Not Matched")</f>
        <v>0077</v>
      </c>
      <c r="BG270" s="77" t="str">
        <f>UKG!AZ270</f>
        <v>205383</v>
      </c>
      <c r="BK270" s="18" t="s">
        <v>1421</v>
      </c>
      <c r="BL270" s="18" t="s">
        <v>1421</v>
      </c>
      <c r="BU270" s="18" t="str">
        <f>UKG!BL270</f>
        <v>N</v>
      </c>
      <c r="BV270" s="18" t="str">
        <f>UKG!BL270</f>
        <v>N</v>
      </c>
      <c r="CE270" s="18" t="s">
        <v>1421</v>
      </c>
    </row>
    <row r="271" spans="1:83" ht="16" hidden="1" thickBot="1" x14ac:dyDescent="0.25">
      <c r="A271" s="39" t="s">
        <v>1420</v>
      </c>
      <c r="B271" s="77" t="str">
        <f>UKG!BO271</f>
        <v>THOMAS</v>
      </c>
      <c r="D271" s="77" t="str">
        <f>UKG!BN271</f>
        <v>WIGSTRAND</v>
      </c>
      <c r="E271" s="77" t="str">
        <f>UKG!D271</f>
        <v>205326</v>
      </c>
      <c r="F271" s="77" t="str">
        <f t="shared" si="4"/>
        <v>E205326@onebarnes.com.new.uat</v>
      </c>
      <c r="G271" s="18" t="s">
        <v>1427</v>
      </c>
      <c r="H271" s="77" t="str">
        <f>UKG!AQ271</f>
        <v>E205326@onebarnes.com</v>
      </c>
      <c r="I271" s="18" t="str">
        <f>IFERROR(VLOOKUP(J271,'Language Map'!M:O,3,FALSE),"en_US")</f>
        <v>sv_SE</v>
      </c>
      <c r="J271" s="77" t="str">
        <f>UKG!BF271</f>
        <v>SE</v>
      </c>
      <c r="L271" s="77" t="str">
        <f>IFERROR(VLOOKUP(UKG!BA271,'UKG Company Map'!B:G,7,FALSE),"Ledger Code Not Matched")</f>
        <v>Ledger Code Not Matched</v>
      </c>
      <c r="M271" s="18" t="str">
        <f>UKG!BH271</f>
        <v>SEK</v>
      </c>
      <c r="O271" s="18" t="str">
        <f>UKG!BJ271</f>
        <v>Y</v>
      </c>
      <c r="P271" s="18" t="str">
        <f>IFERROR(VLOOKUP(UKG!BA271,'UKG Company Map'!B:E,2,FALSE),"Org Unit 1 Not Mapped")</f>
        <v>0077</v>
      </c>
      <c r="Q271" s="77" t="str">
        <f>UKG!BB271</f>
        <v>0000</v>
      </c>
      <c r="W271" s="77" t="str">
        <f>UKG!Q271</f>
        <v>H0005</v>
      </c>
      <c r="X271" s="18" t="str">
        <f>UKG!BC271</f>
        <v>Default</v>
      </c>
      <c r="Z271" s="18" t="str">
        <f>IFERROR(VLOOKUP(UKG!BA271,'UKG Company Map'!B:G,8,FALSE),"Custom 5 Not Matched")</f>
        <v>Custom 5 Not Matched</v>
      </c>
      <c r="AP271" s="18" t="str">
        <f>IFERROR(VLOOKUP(UKG!BA271,'UKG Company Map'!B:G,4,FALSE),"Custom 21 Exp Group Not Matched")</f>
        <v>0077</v>
      </c>
      <c r="BG271" s="77" t="str">
        <f>UKG!AZ271</f>
        <v>205315</v>
      </c>
      <c r="BK271" s="18" t="s">
        <v>1421</v>
      </c>
      <c r="BL271" s="18" t="s">
        <v>1421</v>
      </c>
      <c r="BU271" s="18" t="str">
        <f>UKG!BL271</f>
        <v>N</v>
      </c>
      <c r="BV271" s="18" t="str">
        <f>UKG!BL271</f>
        <v>N</v>
      </c>
      <c r="CE271" s="18" t="s">
        <v>1421</v>
      </c>
    </row>
    <row r="272" spans="1:83" ht="16" hidden="1" thickBot="1" x14ac:dyDescent="0.25">
      <c r="A272" s="39" t="s">
        <v>1420</v>
      </c>
      <c r="B272" s="77" t="str">
        <f>UKG!BO272</f>
        <v>PETER</v>
      </c>
      <c r="D272" s="77" t="str">
        <f>UKG!BN272</f>
        <v>WRIGELL</v>
      </c>
      <c r="E272" s="77" t="str">
        <f>UKG!D272</f>
        <v>205166</v>
      </c>
      <c r="F272" s="77" t="str">
        <f t="shared" si="4"/>
        <v>E205166@onebarnes.com.new.uat</v>
      </c>
      <c r="G272" s="18" t="s">
        <v>1427</v>
      </c>
      <c r="H272" s="77" t="str">
        <f>UKG!AQ272</f>
        <v>E205166@onebarnes.com</v>
      </c>
      <c r="I272" s="18" t="str">
        <f>IFERROR(VLOOKUP(J272,'Language Map'!M:O,3,FALSE),"en_US")</f>
        <v>sv_SE</v>
      </c>
      <c r="J272" s="77" t="str">
        <f>UKG!BF272</f>
        <v>SE</v>
      </c>
      <c r="L272" s="77" t="str">
        <f>IFERROR(VLOOKUP(UKG!BA272,'UKG Company Map'!B:G,7,FALSE),"Ledger Code Not Matched")</f>
        <v>Ledger Code Not Matched</v>
      </c>
      <c r="M272" s="18" t="str">
        <f>UKG!BH272</f>
        <v>SEK</v>
      </c>
      <c r="O272" s="18" t="str">
        <f>UKG!BJ272</f>
        <v>Y</v>
      </c>
      <c r="P272" s="18" t="str">
        <f>IFERROR(VLOOKUP(UKG!BA272,'UKG Company Map'!B:E,2,FALSE),"Org Unit 1 Not Mapped")</f>
        <v>0077</v>
      </c>
      <c r="Q272" s="77" t="str">
        <f>UKG!BB272</f>
        <v>0000</v>
      </c>
      <c r="W272" s="77" t="str">
        <f>UKG!Q272</f>
        <v>H0004</v>
      </c>
      <c r="X272" s="18" t="str">
        <f>UKG!BC272</f>
        <v>Default</v>
      </c>
      <c r="Z272" s="18" t="str">
        <f>IFERROR(VLOOKUP(UKG!BA272,'UKG Company Map'!B:G,8,FALSE),"Custom 5 Not Matched")</f>
        <v>Custom 5 Not Matched</v>
      </c>
      <c r="AP272" s="18" t="str">
        <f>IFERROR(VLOOKUP(UKG!BA272,'UKG Company Map'!B:G,4,FALSE),"Custom 21 Exp Group Not Matched")</f>
        <v>0077</v>
      </c>
      <c r="BG272" s="77" t="str">
        <f>UKG!AZ272</f>
        <v>205383</v>
      </c>
      <c r="BK272" s="18" t="s">
        <v>1421</v>
      </c>
      <c r="BL272" s="18" t="s">
        <v>1421</v>
      </c>
      <c r="BU272" s="18" t="str">
        <f>UKG!BL272</f>
        <v>N</v>
      </c>
      <c r="BV272" s="18" t="str">
        <f>UKG!BL272</f>
        <v>N</v>
      </c>
      <c r="CE272" s="18" t="s">
        <v>1421</v>
      </c>
    </row>
    <row r="273" spans="1:83" ht="16" hidden="1" thickBot="1" x14ac:dyDescent="0.25">
      <c r="A273" s="39" t="s">
        <v>1420</v>
      </c>
      <c r="B273" s="77" t="str">
        <f>UKG!BO273</f>
        <v>NILS</v>
      </c>
      <c r="D273" s="77" t="str">
        <f>UKG!BN273</f>
        <v>YDRESTRAND</v>
      </c>
      <c r="E273" s="77" t="str">
        <f>UKG!D273</f>
        <v>207210</v>
      </c>
      <c r="F273" s="77" t="str">
        <f t="shared" si="4"/>
        <v>E207210@onebarnes.com.new.uat</v>
      </c>
      <c r="G273" s="18" t="s">
        <v>1427</v>
      </c>
      <c r="H273" s="77" t="str">
        <f>UKG!AQ273</f>
        <v>E207210@onebarnes.com</v>
      </c>
      <c r="I273" s="18" t="str">
        <f>IFERROR(VLOOKUP(J273,'Language Map'!M:O,3,FALSE),"en_US")</f>
        <v>sv_SE</v>
      </c>
      <c r="J273" s="77" t="str">
        <f>UKG!BF273</f>
        <v>SE</v>
      </c>
      <c r="L273" s="77" t="str">
        <f>IFERROR(VLOOKUP(UKG!BA273,'UKG Company Map'!B:G,7,FALSE),"Ledger Code Not Matched")</f>
        <v>Ledger Code Not Matched</v>
      </c>
      <c r="M273" s="18" t="str">
        <f>UKG!BH273</f>
        <v>SEK</v>
      </c>
      <c r="O273" s="18" t="str">
        <f>UKG!BJ273</f>
        <v>Y</v>
      </c>
      <c r="P273" s="18" t="str">
        <f>IFERROR(VLOOKUP(UKG!BA273,'UKG Company Map'!B:E,2,FALSE),"Org Unit 1 Not Mapped")</f>
        <v>0077</v>
      </c>
      <c r="Q273" s="77" t="str">
        <f>UKG!BB273</f>
        <v>0000</v>
      </c>
      <c r="W273" s="77" t="str">
        <f>UKG!Q273</f>
        <v>H0004</v>
      </c>
      <c r="X273" s="18" t="str">
        <f>UKG!BC273</f>
        <v>Default</v>
      </c>
      <c r="Z273" s="18" t="str">
        <f>IFERROR(VLOOKUP(UKG!BA273,'UKG Company Map'!B:G,8,FALSE),"Custom 5 Not Matched")</f>
        <v>Custom 5 Not Matched</v>
      </c>
      <c r="AP273" s="18" t="str">
        <f>IFERROR(VLOOKUP(UKG!BA273,'UKG Company Map'!B:G,4,FALSE),"Custom 21 Exp Group Not Matched")</f>
        <v>0077</v>
      </c>
      <c r="BG273" s="77" t="str">
        <f>UKG!AZ273</f>
        <v>205116</v>
      </c>
      <c r="BK273" s="18" t="s">
        <v>1421</v>
      </c>
      <c r="BL273" s="18" t="s">
        <v>1421</v>
      </c>
      <c r="BU273" s="18" t="str">
        <f>UKG!BL273</f>
        <v>N</v>
      </c>
      <c r="BV273" s="18" t="str">
        <f>UKG!BL273</f>
        <v>N</v>
      </c>
      <c r="CE273" s="18" t="s">
        <v>1421</v>
      </c>
    </row>
    <row r="274" spans="1:83" ht="16" hidden="1" thickBot="1" x14ac:dyDescent="0.25">
      <c r="A274" s="39" t="s">
        <v>1420</v>
      </c>
      <c r="B274" s="77" t="str">
        <f>UKG!BO274</f>
        <v>MARIA</v>
      </c>
      <c r="D274" s="77" t="str">
        <f>UKG!BN274</f>
        <v>ZIEBINSKA AL BAKUZ</v>
      </c>
      <c r="E274" s="77" t="str">
        <f>UKG!D274</f>
        <v>205260</v>
      </c>
      <c r="F274" s="77" t="str">
        <f t="shared" si="4"/>
        <v>E205260@onebarnes.com.new.uat</v>
      </c>
      <c r="G274" s="18" t="s">
        <v>1427</v>
      </c>
      <c r="H274" s="77" t="str">
        <f>UKG!AQ274</f>
        <v>E205260@onebarnes.com</v>
      </c>
      <c r="I274" s="18" t="str">
        <f>IFERROR(VLOOKUP(J274,'Language Map'!M:O,3,FALSE),"en_US")</f>
        <v>sv_SE</v>
      </c>
      <c r="J274" s="77" t="str">
        <f>UKG!BF274</f>
        <v>SE</v>
      </c>
      <c r="L274" s="77" t="str">
        <f>IFERROR(VLOOKUP(UKG!BA274,'UKG Company Map'!B:G,7,FALSE),"Ledger Code Not Matched")</f>
        <v>Ledger Code Not Matched</v>
      </c>
      <c r="M274" s="18" t="str">
        <f>UKG!BH274</f>
        <v>SEK</v>
      </c>
      <c r="O274" s="18" t="str">
        <f>UKG!BJ274</f>
        <v>Y</v>
      </c>
      <c r="P274" s="18" t="str">
        <f>IFERROR(VLOOKUP(UKG!BA274,'UKG Company Map'!B:E,2,FALSE),"Org Unit 1 Not Mapped")</f>
        <v>0077</v>
      </c>
      <c r="Q274" s="77" t="str">
        <f>UKG!BB274</f>
        <v>0000</v>
      </c>
      <c r="W274" s="77" t="str">
        <f>UKG!Q274</f>
        <v>H0005</v>
      </c>
      <c r="X274" s="18" t="str">
        <f>UKG!BC274</f>
        <v>Default</v>
      </c>
      <c r="Z274" s="18" t="str">
        <f>IFERROR(VLOOKUP(UKG!BA274,'UKG Company Map'!B:G,8,FALSE),"Custom 5 Not Matched")</f>
        <v>Custom 5 Not Matched</v>
      </c>
      <c r="AP274" s="18" t="str">
        <f>IFERROR(VLOOKUP(UKG!BA274,'UKG Company Map'!B:G,4,FALSE),"Custom 21 Exp Group Not Matched")</f>
        <v>0077</v>
      </c>
      <c r="BG274" s="77" t="str">
        <f>UKG!AZ274</f>
        <v>212110</v>
      </c>
      <c r="BK274" s="18" t="s">
        <v>1421</v>
      </c>
      <c r="BL274" s="18" t="s">
        <v>1421</v>
      </c>
      <c r="BU274" s="18" t="str">
        <f>UKG!BL274</f>
        <v>N</v>
      </c>
      <c r="BV274" s="18" t="str">
        <f>UKG!BL274</f>
        <v>N</v>
      </c>
      <c r="CE274" s="18" t="s">
        <v>1421</v>
      </c>
    </row>
    <row r="275" spans="1:83" ht="16" hidden="1" thickBot="1" x14ac:dyDescent="0.25">
      <c r="A275" s="39" t="s">
        <v>1420</v>
      </c>
      <c r="B275" s="77" t="str">
        <f>UKG!BO275</f>
        <v>AHMED SAID</v>
      </c>
      <c r="D275" s="77" t="str">
        <f>UKG!BN275</f>
        <v>ABDULMAJID</v>
      </c>
      <c r="E275" s="77" t="str">
        <f>UKG!D275</f>
        <v>205079</v>
      </c>
      <c r="F275" s="77" t="str">
        <f t="shared" si="4"/>
        <v>ahmed.abdulmajid@kaller.com.new.uat</v>
      </c>
      <c r="G275" s="18" t="s">
        <v>1427</v>
      </c>
      <c r="H275" s="77" t="str">
        <f>UKG!AQ275</f>
        <v>ahmed.abdulmajid@kaller.com</v>
      </c>
      <c r="I275" s="18" t="str">
        <f>IFERROR(VLOOKUP(J275,'Language Map'!M:O,3,FALSE),"en_US")</f>
        <v>sv_SE</v>
      </c>
      <c r="J275" s="77" t="str">
        <f>UKG!BF275</f>
        <v>SE</v>
      </c>
      <c r="L275" s="77" t="str">
        <f>IFERROR(VLOOKUP(UKG!BA275,'UKG Company Map'!B:G,7,FALSE),"Ledger Code Not Matched")</f>
        <v>Ledger Code Not Matched</v>
      </c>
      <c r="M275" s="18" t="str">
        <f>UKG!BH275</f>
        <v>SEK</v>
      </c>
      <c r="O275" s="18" t="str">
        <f>UKG!BJ275</f>
        <v>Y</v>
      </c>
      <c r="P275" s="18" t="str">
        <f>IFERROR(VLOOKUP(UKG!BA275,'UKG Company Map'!B:E,2,FALSE),"Org Unit 1 Not Mapped")</f>
        <v>0077</v>
      </c>
      <c r="Q275" s="77" t="str">
        <f>UKG!BB275</f>
        <v>0000</v>
      </c>
      <c r="W275" s="77" t="str">
        <f>UKG!Q275</f>
        <v>S12</v>
      </c>
      <c r="X275" s="18" t="str">
        <f>UKG!BC275</f>
        <v>Default</v>
      </c>
      <c r="Z275" s="18" t="str">
        <f>IFERROR(VLOOKUP(UKG!BA275,'UKG Company Map'!B:G,8,FALSE),"Custom 5 Not Matched")</f>
        <v>Custom 5 Not Matched</v>
      </c>
      <c r="AP275" s="18" t="str">
        <f>IFERROR(VLOOKUP(UKG!BA275,'UKG Company Map'!B:G,4,FALSE),"Custom 21 Exp Group Not Matched")</f>
        <v>0077</v>
      </c>
      <c r="BG275" s="77" t="str">
        <f>UKG!AZ275</f>
        <v>211600</v>
      </c>
      <c r="BK275" s="18" t="s">
        <v>1421</v>
      </c>
      <c r="BL275" s="18" t="s">
        <v>1421</v>
      </c>
      <c r="BU275" s="18" t="str">
        <f>UKG!BL275</f>
        <v>N</v>
      </c>
      <c r="BV275" s="18" t="str">
        <f>UKG!BL275</f>
        <v>N</v>
      </c>
      <c r="CE275" s="18" t="s">
        <v>1421</v>
      </c>
    </row>
    <row r="276" spans="1:83" ht="16" hidden="1" thickBot="1" x14ac:dyDescent="0.25">
      <c r="A276" s="39" t="s">
        <v>1420</v>
      </c>
      <c r="B276" s="77" t="str">
        <f>UKG!BO276</f>
        <v>Emil</v>
      </c>
      <c r="D276" s="77" t="str">
        <f>UKG!BN276</f>
        <v>Adell</v>
      </c>
      <c r="E276" s="77" t="str">
        <f>UKG!D276</f>
        <v>211650</v>
      </c>
      <c r="F276" s="77" t="str">
        <f t="shared" si="4"/>
        <v>eadell@onebarnes.com.new.uat</v>
      </c>
      <c r="G276" s="18" t="s">
        <v>1427</v>
      </c>
      <c r="H276" s="77" t="str">
        <f>UKG!AQ276</f>
        <v>eadell@onebarnes.com</v>
      </c>
      <c r="I276" s="18" t="str">
        <f>IFERROR(VLOOKUP(J276,'Language Map'!M:O,3,FALSE),"en_US")</f>
        <v>sv_SE</v>
      </c>
      <c r="J276" s="77" t="str">
        <f>UKG!BF276</f>
        <v>SE</v>
      </c>
      <c r="L276" s="77" t="str">
        <f>IFERROR(VLOOKUP(UKG!BA276,'UKG Company Map'!B:G,7,FALSE),"Ledger Code Not Matched")</f>
        <v>Ledger Code Not Matched</v>
      </c>
      <c r="M276" s="18" t="str">
        <f>UKG!BH276</f>
        <v>SEK</v>
      </c>
      <c r="O276" s="18" t="str">
        <f>UKG!BJ276</f>
        <v>Y</v>
      </c>
      <c r="P276" s="18" t="str">
        <f>IFERROR(VLOOKUP(UKG!BA276,'UKG Company Map'!B:E,2,FALSE),"Org Unit 1 Not Mapped")</f>
        <v>0077</v>
      </c>
      <c r="Q276" s="77" t="str">
        <f>UKG!BB276</f>
        <v>0000</v>
      </c>
      <c r="W276" s="77" t="str">
        <f>UKG!Q276</f>
        <v>S13</v>
      </c>
      <c r="X276" s="18" t="str">
        <f>UKG!BC276</f>
        <v>Default</v>
      </c>
      <c r="Z276" s="18" t="str">
        <f>IFERROR(VLOOKUP(UKG!BA276,'UKG Company Map'!B:G,8,FALSE),"Custom 5 Not Matched")</f>
        <v>Custom 5 Not Matched</v>
      </c>
      <c r="AP276" s="18" t="str">
        <f>IFERROR(VLOOKUP(UKG!BA276,'UKG Company Map'!B:G,4,FALSE),"Custom 21 Exp Group Not Matched")</f>
        <v>0077</v>
      </c>
      <c r="BG276" s="77" t="str">
        <f>UKG!AZ276</f>
        <v>213066</v>
      </c>
      <c r="BK276" s="18" t="s">
        <v>1421</v>
      </c>
      <c r="BL276" s="18" t="s">
        <v>1421</v>
      </c>
      <c r="BU276" s="18" t="str">
        <f>UKG!BL276</f>
        <v>N</v>
      </c>
      <c r="BV276" s="18" t="str">
        <f>UKG!BL276</f>
        <v>N</v>
      </c>
      <c r="CE276" s="18" t="s">
        <v>1421</v>
      </c>
    </row>
    <row r="277" spans="1:83" ht="16" hidden="1" thickBot="1" x14ac:dyDescent="0.25">
      <c r="A277" s="39" t="s">
        <v>1420</v>
      </c>
      <c r="B277" s="77" t="str">
        <f>UKG!BO277</f>
        <v>KARIN</v>
      </c>
      <c r="D277" s="77" t="str">
        <f>UKG!BN277</f>
        <v>AHLM</v>
      </c>
      <c r="E277" s="77" t="str">
        <f>UKG!D277</f>
        <v>205371</v>
      </c>
      <c r="F277" s="77" t="str">
        <f t="shared" si="4"/>
        <v>karin.ahlm@kaller.com.new.uat</v>
      </c>
      <c r="G277" s="18" t="s">
        <v>1427</v>
      </c>
      <c r="H277" s="77" t="str">
        <f>UKG!AQ277</f>
        <v>karin.ahlm@kaller.com</v>
      </c>
      <c r="I277" s="18" t="str">
        <f>IFERROR(VLOOKUP(J277,'Language Map'!M:O,3,FALSE),"en_US")</f>
        <v>sv_SE</v>
      </c>
      <c r="J277" s="77" t="str">
        <f>UKG!BF277</f>
        <v>SE</v>
      </c>
      <c r="L277" s="77" t="str">
        <f>IFERROR(VLOOKUP(UKG!BA277,'UKG Company Map'!B:G,7,FALSE),"Ledger Code Not Matched")</f>
        <v>Ledger Code Not Matched</v>
      </c>
      <c r="M277" s="18" t="str">
        <f>UKG!BH277</f>
        <v>SEK</v>
      </c>
      <c r="O277" s="18" t="str">
        <f>UKG!BJ277</f>
        <v>Y</v>
      </c>
      <c r="P277" s="18" t="str">
        <f>IFERROR(VLOOKUP(UKG!BA277,'UKG Company Map'!B:E,2,FALSE),"Org Unit 1 Not Mapped")</f>
        <v>0077</v>
      </c>
      <c r="Q277" s="77" t="str">
        <f>UKG!BB277</f>
        <v>0000</v>
      </c>
      <c r="W277" s="77" t="str">
        <f>UKG!Q277</f>
        <v>S18</v>
      </c>
      <c r="X277" s="18" t="str">
        <f>UKG!BC277</f>
        <v>Default</v>
      </c>
      <c r="Z277" s="18" t="str">
        <f>IFERROR(VLOOKUP(UKG!BA277,'UKG Company Map'!B:G,8,FALSE),"Custom 5 Not Matched")</f>
        <v>Custom 5 Not Matched</v>
      </c>
      <c r="AP277" s="18" t="str">
        <f>IFERROR(VLOOKUP(UKG!BA277,'UKG Company Map'!B:G,4,FALSE),"Custom 21 Exp Group Not Matched")</f>
        <v>0077</v>
      </c>
      <c r="BG277" s="77" t="str">
        <f>UKG!AZ277</f>
        <v>210868</v>
      </c>
      <c r="BK277" s="18" t="s">
        <v>1421</v>
      </c>
      <c r="BL277" s="18" t="s">
        <v>1421</v>
      </c>
      <c r="BU277" s="18" t="str">
        <f>UKG!BL277</f>
        <v>N</v>
      </c>
      <c r="BV277" s="18" t="str">
        <f>UKG!BL277</f>
        <v>N</v>
      </c>
      <c r="CE277" s="18" t="s">
        <v>1421</v>
      </c>
    </row>
    <row r="278" spans="1:83" ht="16" hidden="1" thickBot="1" x14ac:dyDescent="0.25">
      <c r="A278" s="39" t="s">
        <v>1420</v>
      </c>
      <c r="B278" s="77" t="str">
        <f>UKG!BO278</f>
        <v>Sebastian</v>
      </c>
      <c r="D278" s="77" t="str">
        <f>UKG!BN278</f>
        <v>Akdogan</v>
      </c>
      <c r="E278" s="77" t="str">
        <f>UKG!D278</f>
        <v>212113</v>
      </c>
      <c r="F278" s="77" t="str">
        <f t="shared" ref="F278:F341" si="5">H278&amp;".new.uat"</f>
        <v>sakdogan@onebarnes.com.new.uat</v>
      </c>
      <c r="G278" s="18" t="s">
        <v>1427</v>
      </c>
      <c r="H278" s="77" t="str">
        <f>UKG!AQ278</f>
        <v>sakdogan@onebarnes.com</v>
      </c>
      <c r="I278" s="18" t="str">
        <f>IFERROR(VLOOKUP(J278,'Language Map'!M:O,3,FALSE),"en_US")</f>
        <v>sv_SE</v>
      </c>
      <c r="J278" s="77" t="str">
        <f>UKG!BF278</f>
        <v>SE</v>
      </c>
      <c r="L278" s="77" t="str">
        <f>IFERROR(VLOOKUP(UKG!BA278,'UKG Company Map'!B:G,7,FALSE),"Ledger Code Not Matched")</f>
        <v>Ledger Code Not Matched</v>
      </c>
      <c r="M278" s="18" t="str">
        <f>UKG!BH278</f>
        <v>SEK</v>
      </c>
      <c r="O278" s="18" t="str">
        <f>UKG!BJ278</f>
        <v>Y</v>
      </c>
      <c r="P278" s="18" t="str">
        <f>IFERROR(VLOOKUP(UKG!BA278,'UKG Company Map'!B:E,2,FALSE),"Org Unit 1 Not Mapped")</f>
        <v>0077</v>
      </c>
      <c r="Q278" s="77" t="str">
        <f>UKG!BB278</f>
        <v>0000</v>
      </c>
      <c r="W278" s="77" t="str">
        <f>UKG!Q278</f>
        <v>S10</v>
      </c>
      <c r="X278" s="18" t="str">
        <f>UKG!BC278</f>
        <v>Default</v>
      </c>
      <c r="Z278" s="18" t="str">
        <f>IFERROR(VLOOKUP(UKG!BA278,'UKG Company Map'!B:G,8,FALSE),"Custom 5 Not Matched")</f>
        <v>Custom 5 Not Matched</v>
      </c>
      <c r="AP278" s="18" t="str">
        <f>IFERROR(VLOOKUP(UKG!BA278,'UKG Company Map'!B:G,4,FALSE),"Custom 21 Exp Group Not Matched")</f>
        <v>0077</v>
      </c>
      <c r="BG278" s="77" t="str">
        <f>UKG!AZ278</f>
        <v>211600</v>
      </c>
      <c r="BK278" s="18" t="s">
        <v>1421</v>
      </c>
      <c r="BL278" s="18" t="s">
        <v>1421</v>
      </c>
      <c r="BU278" s="18" t="str">
        <f>UKG!BL278</f>
        <v>N</v>
      </c>
      <c r="BV278" s="18" t="str">
        <f>UKG!BL278</f>
        <v>N</v>
      </c>
      <c r="CE278" s="18" t="s">
        <v>1421</v>
      </c>
    </row>
    <row r="279" spans="1:83" ht="16" hidden="1" thickBot="1" x14ac:dyDescent="0.25">
      <c r="A279" s="39" t="s">
        <v>1420</v>
      </c>
      <c r="B279" s="77" t="str">
        <f>UKG!BO279</f>
        <v>FREDRIK</v>
      </c>
      <c r="D279" s="77" t="str">
        <f>UKG!BN279</f>
        <v>ALLVIN</v>
      </c>
      <c r="E279" s="77" t="str">
        <f>UKG!D279</f>
        <v>205384</v>
      </c>
      <c r="F279" s="77" t="str">
        <f t="shared" si="5"/>
        <v>FAllvin@onebarnes.com.new.uat</v>
      </c>
      <c r="G279" s="18" t="s">
        <v>1427</v>
      </c>
      <c r="H279" s="77" t="str">
        <f>UKG!AQ279</f>
        <v>FAllvin@onebarnes.com</v>
      </c>
      <c r="I279" s="18" t="str">
        <f>IFERROR(VLOOKUP(J279,'Language Map'!M:O,3,FALSE),"en_US")</f>
        <v>sv_SE</v>
      </c>
      <c r="J279" s="77" t="str">
        <f>UKG!BF279</f>
        <v>SE</v>
      </c>
      <c r="L279" s="77" t="str">
        <f>IFERROR(VLOOKUP(UKG!BA279,'UKG Company Map'!B:G,7,FALSE),"Ledger Code Not Matched")</f>
        <v>Ledger Code Not Matched</v>
      </c>
      <c r="M279" s="18" t="str">
        <f>UKG!BH279</f>
        <v>SEK</v>
      </c>
      <c r="O279" s="18" t="str">
        <f>UKG!BJ279</f>
        <v>Y</v>
      </c>
      <c r="P279" s="18" t="str">
        <f>IFERROR(VLOOKUP(UKG!BA279,'UKG Company Map'!B:E,2,FALSE),"Org Unit 1 Not Mapped")</f>
        <v>0077</v>
      </c>
      <c r="Q279" s="77" t="str">
        <f>UKG!BB279</f>
        <v>0000</v>
      </c>
      <c r="W279" s="77" t="str">
        <f>UKG!Q279</f>
        <v>S15</v>
      </c>
      <c r="X279" s="18" t="str">
        <f>UKG!BC279</f>
        <v>Default</v>
      </c>
      <c r="Z279" s="18" t="str">
        <f>IFERROR(VLOOKUP(UKG!BA279,'UKG Company Map'!B:G,8,FALSE),"Custom 5 Not Matched")</f>
        <v>Custom 5 Not Matched</v>
      </c>
      <c r="AP279" s="18" t="str">
        <f>IFERROR(VLOOKUP(UKG!BA279,'UKG Company Map'!B:G,4,FALSE),"Custom 21 Exp Group Not Matched")</f>
        <v>0077</v>
      </c>
      <c r="BG279" s="77" t="str">
        <f>UKG!AZ279</f>
        <v>213066</v>
      </c>
      <c r="BK279" s="18" t="s">
        <v>1421</v>
      </c>
      <c r="BL279" s="18" t="s">
        <v>1421</v>
      </c>
      <c r="BU279" s="18" t="str">
        <f>UKG!BL279</f>
        <v>N</v>
      </c>
      <c r="BV279" s="18" t="str">
        <f>UKG!BL279</f>
        <v>N</v>
      </c>
      <c r="CE279" s="18" t="s">
        <v>1421</v>
      </c>
    </row>
    <row r="280" spans="1:83" ht="16" hidden="1" thickBot="1" x14ac:dyDescent="0.25">
      <c r="A280" s="39" t="s">
        <v>1420</v>
      </c>
      <c r="B280" s="77" t="str">
        <f>UKG!BO280</f>
        <v>Felix</v>
      </c>
      <c r="D280" s="77" t="str">
        <f>UKG!BN280</f>
        <v>Anderberg</v>
      </c>
      <c r="E280" s="77" t="str">
        <f>UKG!D280</f>
        <v>212112</v>
      </c>
      <c r="F280" s="77" t="str">
        <f t="shared" si="5"/>
        <v>fanderberg@onebarnes.com.new.uat</v>
      </c>
      <c r="G280" s="18" t="s">
        <v>1427</v>
      </c>
      <c r="H280" s="77" t="str">
        <f>UKG!AQ280</f>
        <v>fanderberg@onebarnes.com</v>
      </c>
      <c r="I280" s="18" t="str">
        <f>IFERROR(VLOOKUP(J280,'Language Map'!M:O,3,FALSE),"en_US")</f>
        <v>sv_SE</v>
      </c>
      <c r="J280" s="77" t="str">
        <f>UKG!BF280</f>
        <v>SE</v>
      </c>
      <c r="L280" s="77" t="str">
        <f>IFERROR(VLOOKUP(UKG!BA280,'UKG Company Map'!B:G,7,FALSE),"Ledger Code Not Matched")</f>
        <v>Ledger Code Not Matched</v>
      </c>
      <c r="M280" s="18" t="str">
        <f>UKG!BH280</f>
        <v>SEK</v>
      </c>
      <c r="O280" s="18" t="str">
        <f>UKG!BJ280</f>
        <v>Y</v>
      </c>
      <c r="P280" s="18" t="str">
        <f>IFERROR(VLOOKUP(UKG!BA280,'UKG Company Map'!B:E,2,FALSE),"Org Unit 1 Not Mapped")</f>
        <v>0077</v>
      </c>
      <c r="Q280" s="77" t="str">
        <f>UKG!BB280</f>
        <v>0000</v>
      </c>
      <c r="W280" s="77" t="str">
        <f>UKG!Q280</f>
        <v>S10</v>
      </c>
      <c r="X280" s="18" t="str">
        <f>UKG!BC280</f>
        <v>Default</v>
      </c>
      <c r="Z280" s="18" t="str">
        <f>IFERROR(VLOOKUP(UKG!BA280,'UKG Company Map'!B:G,8,FALSE),"Custom 5 Not Matched")</f>
        <v>Custom 5 Not Matched</v>
      </c>
      <c r="AP280" s="18" t="str">
        <f>IFERROR(VLOOKUP(UKG!BA280,'UKG Company Map'!B:G,4,FALSE),"Custom 21 Exp Group Not Matched")</f>
        <v>0077</v>
      </c>
      <c r="BG280" s="77" t="str">
        <f>UKG!AZ280</f>
        <v>211600</v>
      </c>
      <c r="BK280" s="18" t="s">
        <v>1421</v>
      </c>
      <c r="BL280" s="18" t="s">
        <v>1421</v>
      </c>
      <c r="BU280" s="18" t="str">
        <f>UKG!BL280</f>
        <v>N</v>
      </c>
      <c r="BV280" s="18" t="str">
        <f>UKG!BL280</f>
        <v>N</v>
      </c>
      <c r="CE280" s="18" t="s">
        <v>1421</v>
      </c>
    </row>
    <row r="281" spans="1:83" ht="16" hidden="1" thickBot="1" x14ac:dyDescent="0.25">
      <c r="A281" s="39" t="s">
        <v>1420</v>
      </c>
      <c r="B281" s="77" t="str">
        <f>UKG!BO281</f>
        <v>FREDRIK</v>
      </c>
      <c r="D281" s="77" t="str">
        <f>UKG!BN281</f>
        <v>ANDERSSON</v>
      </c>
      <c r="E281" s="77" t="str">
        <f>UKG!D281</f>
        <v>205056</v>
      </c>
      <c r="F281" s="77" t="str">
        <f t="shared" si="5"/>
        <v>fredrik.andersson@kaller.com.new.uat</v>
      </c>
      <c r="G281" s="18" t="s">
        <v>1427</v>
      </c>
      <c r="H281" s="77" t="str">
        <f>UKG!AQ281</f>
        <v>fredrik.andersson@kaller.com</v>
      </c>
      <c r="I281" s="18" t="str">
        <f>IFERROR(VLOOKUP(J281,'Language Map'!M:O,3,FALSE),"en_US")</f>
        <v>sv_SE</v>
      </c>
      <c r="J281" s="77" t="str">
        <f>UKG!BF281</f>
        <v>SE</v>
      </c>
      <c r="L281" s="77" t="str">
        <f>IFERROR(VLOOKUP(UKG!BA281,'UKG Company Map'!B:G,7,FALSE),"Ledger Code Not Matched")</f>
        <v>Ledger Code Not Matched</v>
      </c>
      <c r="M281" s="18" t="str">
        <f>UKG!BH281</f>
        <v>SEK</v>
      </c>
      <c r="O281" s="18" t="str">
        <f>UKG!BJ281</f>
        <v>Y</v>
      </c>
      <c r="P281" s="18" t="str">
        <f>IFERROR(VLOOKUP(UKG!BA281,'UKG Company Map'!B:E,2,FALSE),"Org Unit 1 Not Mapped")</f>
        <v>0077</v>
      </c>
      <c r="Q281" s="77" t="str">
        <f>UKG!BB281</f>
        <v>0000</v>
      </c>
      <c r="W281" s="77" t="str">
        <f>UKG!Q281</f>
        <v>S14</v>
      </c>
      <c r="X281" s="18" t="str">
        <f>UKG!BC281</f>
        <v>Default</v>
      </c>
      <c r="Z281" s="18" t="str">
        <f>IFERROR(VLOOKUP(UKG!BA281,'UKG Company Map'!B:G,8,FALSE),"Custom 5 Not Matched")</f>
        <v>Custom 5 Not Matched</v>
      </c>
      <c r="AP281" s="18" t="str">
        <f>IFERROR(VLOOKUP(UKG!BA281,'UKG Company Map'!B:G,4,FALSE),"Custom 21 Exp Group Not Matched")</f>
        <v>0077</v>
      </c>
      <c r="BG281" s="77" t="str">
        <f>UKG!AZ281</f>
        <v>210868</v>
      </c>
      <c r="BK281" s="18" t="s">
        <v>1421</v>
      </c>
      <c r="BL281" s="18" t="s">
        <v>1421</v>
      </c>
      <c r="BU281" s="18" t="str">
        <f>UKG!BL281</f>
        <v>N</v>
      </c>
      <c r="BV281" s="18" t="str">
        <f>UKG!BL281</f>
        <v>N</v>
      </c>
      <c r="CE281" s="18" t="s">
        <v>1421</v>
      </c>
    </row>
    <row r="282" spans="1:83" ht="16" hidden="1" thickBot="1" x14ac:dyDescent="0.25">
      <c r="A282" s="39" t="s">
        <v>1420</v>
      </c>
      <c r="B282" s="77" t="str">
        <f>UKG!BO282</f>
        <v>HÅKAN</v>
      </c>
      <c r="D282" s="77" t="str">
        <f>UKG!BN282</f>
        <v>ANDERSSON</v>
      </c>
      <c r="E282" s="77" t="str">
        <f>UKG!D282</f>
        <v>205358</v>
      </c>
      <c r="F282" s="77" t="str">
        <f t="shared" si="5"/>
        <v>handersson@onebarnes.com.new.uat</v>
      </c>
      <c r="G282" s="18" t="s">
        <v>1427</v>
      </c>
      <c r="H282" s="77" t="str">
        <f>UKG!AQ282</f>
        <v>handersson@onebarnes.com</v>
      </c>
      <c r="I282" s="18" t="str">
        <f>IFERROR(VLOOKUP(J282,'Language Map'!M:O,3,FALSE),"en_US")</f>
        <v>sv_SE</v>
      </c>
      <c r="J282" s="77" t="str">
        <f>UKG!BF282</f>
        <v>SE</v>
      </c>
      <c r="L282" s="77" t="str">
        <f>IFERROR(VLOOKUP(UKG!BA282,'UKG Company Map'!B:G,7,FALSE),"Ledger Code Not Matched")</f>
        <v>Ledger Code Not Matched</v>
      </c>
      <c r="M282" s="18" t="str">
        <f>UKG!BH282</f>
        <v>SEK</v>
      </c>
      <c r="O282" s="18" t="str">
        <f>UKG!BJ282</f>
        <v>Y</v>
      </c>
      <c r="P282" s="18" t="str">
        <f>IFERROR(VLOOKUP(UKG!BA282,'UKG Company Map'!B:E,2,FALSE),"Org Unit 1 Not Mapped")</f>
        <v>0077</v>
      </c>
      <c r="Q282" s="77" t="str">
        <f>UKG!BB282</f>
        <v>0000</v>
      </c>
      <c r="W282" s="77" t="str">
        <f>UKG!Q282</f>
        <v>S11</v>
      </c>
      <c r="X282" s="18" t="str">
        <f>UKG!BC282</f>
        <v>Default</v>
      </c>
      <c r="Z282" s="18" t="str">
        <f>IFERROR(VLOOKUP(UKG!BA282,'UKG Company Map'!B:G,8,FALSE),"Custom 5 Not Matched")</f>
        <v>Custom 5 Not Matched</v>
      </c>
      <c r="AP282" s="18" t="str">
        <f>IFERROR(VLOOKUP(UKG!BA282,'UKG Company Map'!B:G,4,FALSE),"Custom 21 Exp Group Not Matched")</f>
        <v>0077</v>
      </c>
      <c r="BG282" s="77" t="str">
        <f>UKG!AZ282</f>
        <v>207199</v>
      </c>
      <c r="BK282" s="18" t="s">
        <v>1421</v>
      </c>
      <c r="BL282" s="18" t="s">
        <v>1421</v>
      </c>
      <c r="BU282" s="18" t="str">
        <f>UKG!BL282</f>
        <v>N</v>
      </c>
      <c r="BV282" s="18" t="str">
        <f>UKG!BL282</f>
        <v>N</v>
      </c>
      <c r="CE282" s="18" t="s">
        <v>1421</v>
      </c>
    </row>
    <row r="283" spans="1:83" ht="16" hidden="1" thickBot="1" x14ac:dyDescent="0.25">
      <c r="A283" s="39" t="s">
        <v>1420</v>
      </c>
      <c r="B283" s="77" t="str">
        <f>UKG!BO283</f>
        <v>RASMUS</v>
      </c>
      <c r="D283" s="77" t="str">
        <f>UKG!BN283</f>
        <v>ARBENÄS</v>
      </c>
      <c r="E283" s="77" t="str">
        <f>UKG!D283</f>
        <v>205058</v>
      </c>
      <c r="F283" s="77" t="str">
        <f t="shared" si="5"/>
        <v>rasmus.arbenas@kaller.com.new.uat</v>
      </c>
      <c r="G283" s="18" t="s">
        <v>1427</v>
      </c>
      <c r="H283" s="77" t="str">
        <f>UKG!AQ283</f>
        <v>rasmus.arbenas@kaller.com</v>
      </c>
      <c r="I283" s="18" t="str">
        <f>IFERROR(VLOOKUP(J283,'Language Map'!M:O,3,FALSE),"en_US")</f>
        <v>sv_SE</v>
      </c>
      <c r="J283" s="77" t="str">
        <f>UKG!BF283</f>
        <v>SE</v>
      </c>
      <c r="L283" s="77" t="str">
        <f>IFERROR(VLOOKUP(UKG!BA283,'UKG Company Map'!B:G,7,FALSE),"Ledger Code Not Matched")</f>
        <v>Ledger Code Not Matched</v>
      </c>
      <c r="M283" s="18" t="str">
        <f>UKG!BH283</f>
        <v>SEK</v>
      </c>
      <c r="O283" s="18" t="str">
        <f>UKG!BJ283</f>
        <v>Y</v>
      </c>
      <c r="P283" s="18" t="str">
        <f>IFERROR(VLOOKUP(UKG!BA283,'UKG Company Map'!B:E,2,FALSE),"Org Unit 1 Not Mapped")</f>
        <v>0077</v>
      </c>
      <c r="Q283" s="77" t="str">
        <f>UKG!BB283</f>
        <v>0000</v>
      </c>
      <c r="W283" s="77" t="str">
        <f>UKG!Q283</f>
        <v>S15</v>
      </c>
      <c r="X283" s="18" t="str">
        <f>UKG!BC283</f>
        <v>Default</v>
      </c>
      <c r="Z283" s="18" t="str">
        <f>IFERROR(VLOOKUP(UKG!BA283,'UKG Company Map'!B:G,8,FALSE),"Custom 5 Not Matched")</f>
        <v>Custom 5 Not Matched</v>
      </c>
      <c r="AP283" s="18" t="str">
        <f>IFERROR(VLOOKUP(UKG!BA283,'UKG Company Map'!B:G,4,FALSE),"Custom 21 Exp Group Not Matched")</f>
        <v>0077</v>
      </c>
      <c r="BG283" s="77" t="str">
        <f>UKG!AZ283</f>
        <v>205389</v>
      </c>
      <c r="BK283" s="18" t="s">
        <v>1421</v>
      </c>
      <c r="BL283" s="18" t="s">
        <v>1421</v>
      </c>
      <c r="BU283" s="18" t="str">
        <f>UKG!BL283</f>
        <v>N</v>
      </c>
      <c r="BV283" s="18" t="str">
        <f>UKG!BL283</f>
        <v>N</v>
      </c>
      <c r="CE283" s="18" t="s">
        <v>1421</v>
      </c>
    </row>
    <row r="284" spans="1:83" ht="16" hidden="1" thickBot="1" x14ac:dyDescent="0.25">
      <c r="A284" s="39" t="s">
        <v>1420</v>
      </c>
      <c r="B284" s="77" t="str">
        <f>UKG!BO284</f>
        <v>Beatriz</v>
      </c>
      <c r="D284" s="77" t="str">
        <f>UKG!BN284</f>
        <v>Barros</v>
      </c>
      <c r="E284" s="77" t="str">
        <f>UKG!D284</f>
        <v>210212</v>
      </c>
      <c r="F284" s="77" t="str">
        <f t="shared" si="5"/>
        <v>bbarros@onebarnes.com.new.uat</v>
      </c>
      <c r="G284" s="18" t="s">
        <v>1427</v>
      </c>
      <c r="H284" s="77" t="str">
        <f>UKG!AQ284</f>
        <v>bbarros@onebarnes.com</v>
      </c>
      <c r="I284" s="18" t="str">
        <f>IFERROR(VLOOKUP(J284,'Language Map'!M:O,3,FALSE),"en_US")</f>
        <v>sv_SE</v>
      </c>
      <c r="J284" s="77" t="str">
        <f>UKG!BF284</f>
        <v>SE</v>
      </c>
      <c r="L284" s="77" t="str">
        <f>IFERROR(VLOOKUP(UKG!BA284,'UKG Company Map'!B:G,7,FALSE),"Ledger Code Not Matched")</f>
        <v>Ledger Code Not Matched</v>
      </c>
      <c r="M284" s="18" t="str">
        <f>UKG!BH284</f>
        <v>SEK</v>
      </c>
      <c r="O284" s="18" t="str">
        <f>UKG!BJ284</f>
        <v>Y</v>
      </c>
      <c r="P284" s="18" t="str">
        <f>IFERROR(VLOOKUP(UKG!BA284,'UKG Company Map'!B:E,2,FALSE),"Org Unit 1 Not Mapped")</f>
        <v>0077</v>
      </c>
      <c r="Q284" s="77" t="str">
        <f>UKG!BB284</f>
        <v>0000</v>
      </c>
      <c r="W284" s="77" t="str">
        <f>UKG!Q284</f>
        <v>S15</v>
      </c>
      <c r="X284" s="18" t="str">
        <f>UKG!BC284</f>
        <v>Default</v>
      </c>
      <c r="Z284" s="18" t="str">
        <f>IFERROR(VLOOKUP(UKG!BA284,'UKG Company Map'!B:G,8,FALSE),"Custom 5 Not Matched")</f>
        <v>Custom 5 Not Matched</v>
      </c>
      <c r="AP284" s="18" t="str">
        <f>IFERROR(VLOOKUP(UKG!BA284,'UKG Company Map'!B:G,4,FALSE),"Custom 21 Exp Group Not Matched")</f>
        <v>0077</v>
      </c>
      <c r="BG284" s="77" t="str">
        <f>UKG!AZ284</f>
        <v>211474</v>
      </c>
      <c r="BK284" s="18" t="s">
        <v>1421</v>
      </c>
      <c r="BL284" s="18" t="s">
        <v>1421</v>
      </c>
      <c r="BU284" s="18" t="str">
        <f>UKG!BL284</f>
        <v>N</v>
      </c>
      <c r="BV284" s="18" t="str">
        <f>UKG!BL284</f>
        <v>N</v>
      </c>
      <c r="CE284" s="18" t="s">
        <v>1421</v>
      </c>
    </row>
    <row r="285" spans="1:83" ht="16" hidden="1" thickBot="1" x14ac:dyDescent="0.25">
      <c r="A285" s="39" t="s">
        <v>1420</v>
      </c>
      <c r="B285" s="77" t="str">
        <f>UKG!BO285</f>
        <v>THOMAS</v>
      </c>
      <c r="D285" s="77" t="str">
        <f>UKG!BN285</f>
        <v>BERGQVIST</v>
      </c>
      <c r="E285" s="77" t="str">
        <f>UKG!D285</f>
        <v>205082</v>
      </c>
      <c r="F285" s="77" t="str">
        <f t="shared" si="5"/>
        <v>TBergqvist@onebarnes.com.new.uat</v>
      </c>
      <c r="G285" s="18" t="s">
        <v>1427</v>
      </c>
      <c r="H285" s="77" t="str">
        <f>UKG!AQ285</f>
        <v>TBergqvist@onebarnes.com</v>
      </c>
      <c r="I285" s="18" t="str">
        <f>IFERROR(VLOOKUP(J285,'Language Map'!M:O,3,FALSE),"en_US")</f>
        <v>sv_SE</v>
      </c>
      <c r="J285" s="77" t="str">
        <f>UKG!BF285</f>
        <v>SE</v>
      </c>
      <c r="L285" s="77" t="str">
        <f>IFERROR(VLOOKUP(UKG!BA285,'UKG Company Map'!B:G,7,FALSE),"Ledger Code Not Matched")</f>
        <v>Ledger Code Not Matched</v>
      </c>
      <c r="M285" s="18" t="str">
        <f>UKG!BH285</f>
        <v>SEK</v>
      </c>
      <c r="O285" s="18" t="str">
        <f>UKG!BJ285</f>
        <v>Y</v>
      </c>
      <c r="P285" s="18" t="str">
        <f>IFERROR(VLOOKUP(UKG!BA285,'UKG Company Map'!B:E,2,FALSE),"Org Unit 1 Not Mapped")</f>
        <v>0077</v>
      </c>
      <c r="Q285" s="77" t="str">
        <f>UKG!BB285</f>
        <v>0000</v>
      </c>
      <c r="W285" s="77" t="str">
        <f>UKG!Q285</f>
        <v>S12</v>
      </c>
      <c r="X285" s="18" t="str">
        <f>UKG!BC285</f>
        <v>Default</v>
      </c>
      <c r="Z285" s="18" t="str">
        <f>IFERROR(VLOOKUP(UKG!BA285,'UKG Company Map'!B:G,8,FALSE),"Custom 5 Not Matched")</f>
        <v>Custom 5 Not Matched</v>
      </c>
      <c r="AP285" s="18" t="str">
        <f>IFERROR(VLOOKUP(UKG!BA285,'UKG Company Map'!B:G,4,FALSE),"Custom 21 Exp Group Not Matched")</f>
        <v>0077</v>
      </c>
      <c r="BG285" s="77" t="str">
        <f>UKG!AZ285</f>
        <v>211600</v>
      </c>
      <c r="BK285" s="18" t="s">
        <v>1421</v>
      </c>
      <c r="BL285" s="18" t="s">
        <v>1421</v>
      </c>
      <c r="BU285" s="18" t="str">
        <f>UKG!BL285</f>
        <v>N</v>
      </c>
      <c r="BV285" s="18" t="str">
        <f>UKG!BL285</f>
        <v>N</v>
      </c>
      <c r="CE285" s="18" t="s">
        <v>1421</v>
      </c>
    </row>
    <row r="286" spans="1:83" ht="16" hidden="1" thickBot="1" x14ac:dyDescent="0.25">
      <c r="A286" s="39" t="s">
        <v>1420</v>
      </c>
      <c r="B286" s="77" t="str">
        <f>UKG!BO286</f>
        <v>Fredrik</v>
      </c>
      <c r="D286" s="77" t="str">
        <f>UKG!BN286</f>
        <v>Borg</v>
      </c>
      <c r="E286" s="77" t="str">
        <f>UKG!D286</f>
        <v>211600</v>
      </c>
      <c r="F286" s="77" t="str">
        <f t="shared" si="5"/>
        <v>fborg@onebarnes.com.new.uat</v>
      </c>
      <c r="G286" s="18" t="s">
        <v>1427</v>
      </c>
      <c r="H286" s="77" t="str">
        <f>UKG!AQ286</f>
        <v>fborg@onebarnes.com</v>
      </c>
      <c r="I286" s="18" t="str">
        <f>IFERROR(VLOOKUP(J286,'Language Map'!M:O,3,FALSE),"en_US")</f>
        <v>sv_SE</v>
      </c>
      <c r="J286" s="77" t="str">
        <f>UKG!BF286</f>
        <v>SE</v>
      </c>
      <c r="L286" s="77" t="str">
        <f>IFERROR(VLOOKUP(UKG!BA286,'UKG Company Map'!B:G,7,FALSE),"Ledger Code Not Matched")</f>
        <v>Ledger Code Not Matched</v>
      </c>
      <c r="M286" s="18" t="str">
        <f>UKG!BH286</f>
        <v>SEK</v>
      </c>
      <c r="O286" s="18" t="str">
        <f>UKG!BJ286</f>
        <v>Y</v>
      </c>
      <c r="P286" s="18" t="str">
        <f>IFERROR(VLOOKUP(UKG!BA286,'UKG Company Map'!B:E,2,FALSE),"Org Unit 1 Not Mapped")</f>
        <v>0077</v>
      </c>
      <c r="Q286" s="77" t="str">
        <f>UKG!BB286</f>
        <v>0000</v>
      </c>
      <c r="W286" s="77" t="str">
        <f>UKG!Q286</f>
        <v>S15</v>
      </c>
      <c r="X286" s="18" t="str">
        <f>UKG!BC286</f>
        <v>Default</v>
      </c>
      <c r="Z286" s="18" t="str">
        <f>IFERROR(VLOOKUP(UKG!BA286,'UKG Company Map'!B:G,8,FALSE),"Custom 5 Not Matched")</f>
        <v>Custom 5 Not Matched</v>
      </c>
      <c r="AP286" s="18" t="str">
        <f>IFERROR(VLOOKUP(UKG!BA286,'UKG Company Map'!B:G,4,FALSE),"Custom 21 Exp Group Not Matched")</f>
        <v>0077</v>
      </c>
      <c r="BG286" s="77" t="str">
        <f>UKG!AZ286</f>
        <v>211474</v>
      </c>
      <c r="BK286" s="18" t="s">
        <v>1421</v>
      </c>
      <c r="BL286" s="18" t="s">
        <v>1421</v>
      </c>
      <c r="BU286" s="18" t="str">
        <f>UKG!BL286</f>
        <v>N</v>
      </c>
      <c r="BV286" s="18" t="str">
        <f>UKG!BL286</f>
        <v>N</v>
      </c>
      <c r="CE286" s="18" t="s">
        <v>1421</v>
      </c>
    </row>
    <row r="287" spans="1:83" ht="16" hidden="1" thickBot="1" x14ac:dyDescent="0.25">
      <c r="A287" s="39" t="s">
        <v>1420</v>
      </c>
      <c r="B287" s="77" t="str">
        <f>UKG!BO287</f>
        <v>KENNY</v>
      </c>
      <c r="D287" s="77" t="str">
        <f>UKG!BN287</f>
        <v>BORG</v>
      </c>
      <c r="E287" s="77" t="str">
        <f>UKG!D287</f>
        <v>205154</v>
      </c>
      <c r="F287" s="77" t="str">
        <f t="shared" si="5"/>
        <v>KBorg@onebarnes.com.new.uat</v>
      </c>
      <c r="G287" s="18" t="s">
        <v>1427</v>
      </c>
      <c r="H287" s="77" t="str">
        <f>UKG!AQ287</f>
        <v>KBorg@onebarnes.com</v>
      </c>
      <c r="I287" s="18" t="str">
        <f>IFERROR(VLOOKUP(J287,'Language Map'!M:O,3,FALSE),"en_US")</f>
        <v>sv_SE</v>
      </c>
      <c r="J287" s="77" t="str">
        <f>UKG!BF287</f>
        <v>SE</v>
      </c>
      <c r="L287" s="77" t="str">
        <f>IFERROR(VLOOKUP(UKG!BA287,'UKG Company Map'!B:G,7,FALSE),"Ledger Code Not Matched")</f>
        <v>Ledger Code Not Matched</v>
      </c>
      <c r="M287" s="18" t="str">
        <f>UKG!BH287</f>
        <v>SEK</v>
      </c>
      <c r="O287" s="18" t="str">
        <f>UKG!BJ287</f>
        <v>Y</v>
      </c>
      <c r="P287" s="18" t="str">
        <f>IFERROR(VLOOKUP(UKG!BA287,'UKG Company Map'!B:E,2,FALSE),"Org Unit 1 Not Mapped")</f>
        <v>0077</v>
      </c>
      <c r="Q287" s="77" t="str">
        <f>UKG!BB287</f>
        <v>0000</v>
      </c>
      <c r="W287" s="77" t="str">
        <f>UKG!Q287</f>
        <v>S12</v>
      </c>
      <c r="X287" s="18" t="str">
        <f>UKG!BC287</f>
        <v>Default</v>
      </c>
      <c r="Z287" s="18" t="str">
        <f>IFERROR(VLOOKUP(UKG!BA287,'UKG Company Map'!B:G,8,FALSE),"Custom 5 Not Matched")</f>
        <v>Custom 5 Not Matched</v>
      </c>
      <c r="AP287" s="18" t="str">
        <f>IFERROR(VLOOKUP(UKG!BA287,'UKG Company Map'!B:G,4,FALSE),"Custom 21 Exp Group Not Matched")</f>
        <v>0077</v>
      </c>
      <c r="BG287" s="77" t="str">
        <f>UKG!AZ287</f>
        <v>213066</v>
      </c>
      <c r="BK287" s="18" t="s">
        <v>1421</v>
      </c>
      <c r="BL287" s="18" t="s">
        <v>1421</v>
      </c>
      <c r="BU287" s="18" t="str">
        <f>UKG!BL287</f>
        <v>N</v>
      </c>
      <c r="BV287" s="18" t="str">
        <f>UKG!BL287</f>
        <v>N</v>
      </c>
      <c r="CE287" s="18" t="s">
        <v>1421</v>
      </c>
    </row>
    <row r="288" spans="1:83" ht="16" hidden="1" thickBot="1" x14ac:dyDescent="0.25">
      <c r="A288" s="39" t="s">
        <v>1420</v>
      </c>
      <c r="B288" s="77" t="str">
        <f>UKG!BO288</f>
        <v>Erik</v>
      </c>
      <c r="D288" s="77" t="str">
        <f>UKG!BN288</f>
        <v>Boström</v>
      </c>
      <c r="E288" s="77" t="str">
        <f>UKG!D288</f>
        <v>212111</v>
      </c>
      <c r="F288" s="77" t="str">
        <f t="shared" si="5"/>
        <v>ebostrom@onebarnes.com.new.uat</v>
      </c>
      <c r="G288" s="18" t="s">
        <v>1427</v>
      </c>
      <c r="H288" s="77" t="str">
        <f>UKG!AQ288</f>
        <v>ebostrom@onebarnes.com</v>
      </c>
      <c r="I288" s="18" t="str">
        <f>IFERROR(VLOOKUP(J288,'Language Map'!M:O,3,FALSE),"en_US")</f>
        <v>sv_SE</v>
      </c>
      <c r="J288" s="77" t="str">
        <f>UKG!BF288</f>
        <v>SE</v>
      </c>
      <c r="L288" s="77" t="str">
        <f>IFERROR(VLOOKUP(UKG!BA288,'UKG Company Map'!B:G,7,FALSE),"Ledger Code Not Matched")</f>
        <v>Ledger Code Not Matched</v>
      </c>
      <c r="M288" s="18" t="str">
        <f>UKG!BH288</f>
        <v>SEK</v>
      </c>
      <c r="O288" s="18" t="str">
        <f>UKG!BJ288</f>
        <v>Y</v>
      </c>
      <c r="P288" s="18" t="str">
        <f>IFERROR(VLOOKUP(UKG!BA288,'UKG Company Map'!B:E,2,FALSE),"Org Unit 1 Not Mapped")</f>
        <v>0077</v>
      </c>
      <c r="Q288" s="77" t="str">
        <f>UKG!BB288</f>
        <v>0000</v>
      </c>
      <c r="W288" s="77" t="str">
        <f>UKG!Q288</f>
        <v>S10</v>
      </c>
      <c r="X288" s="18" t="str">
        <f>UKG!BC288</f>
        <v>Default</v>
      </c>
      <c r="Z288" s="18" t="str">
        <f>IFERROR(VLOOKUP(UKG!BA288,'UKG Company Map'!B:G,8,FALSE),"Custom 5 Not Matched")</f>
        <v>Custom 5 Not Matched</v>
      </c>
      <c r="AP288" s="18" t="str">
        <f>IFERROR(VLOOKUP(UKG!BA288,'UKG Company Map'!B:G,4,FALSE),"Custom 21 Exp Group Not Matched")</f>
        <v>0077</v>
      </c>
      <c r="BG288" s="77" t="str">
        <f>UKG!AZ288</f>
        <v>205368</v>
      </c>
      <c r="BK288" s="18" t="s">
        <v>1421</v>
      </c>
      <c r="BL288" s="18" t="s">
        <v>1421</v>
      </c>
      <c r="BU288" s="18" t="str">
        <f>UKG!BL288</f>
        <v>N</v>
      </c>
      <c r="BV288" s="18" t="str">
        <f>UKG!BL288</f>
        <v>N</v>
      </c>
      <c r="CE288" s="18" t="s">
        <v>1421</v>
      </c>
    </row>
    <row r="289" spans="1:83" ht="16" hidden="1" thickBot="1" x14ac:dyDescent="0.25">
      <c r="A289" s="39" t="s">
        <v>1420</v>
      </c>
      <c r="B289" s="77" t="str">
        <f>UKG!BO289</f>
        <v>STEFAN</v>
      </c>
      <c r="D289" s="77" t="str">
        <f>UKG!BN289</f>
        <v>CARLBORG</v>
      </c>
      <c r="E289" s="77" t="str">
        <f>UKG!D289</f>
        <v>205368</v>
      </c>
      <c r="F289" s="77" t="str">
        <f t="shared" si="5"/>
        <v>SCarlborg@onebarnes.com.new.uat</v>
      </c>
      <c r="G289" s="18" t="s">
        <v>1427</v>
      </c>
      <c r="H289" s="77" t="str">
        <f>UKG!AQ289</f>
        <v>SCarlborg@onebarnes.com</v>
      </c>
      <c r="I289" s="18" t="str">
        <f>IFERROR(VLOOKUP(J289,'Language Map'!M:O,3,FALSE),"en_US")</f>
        <v>sv_SE</v>
      </c>
      <c r="J289" s="77" t="str">
        <f>UKG!BF289</f>
        <v>SE</v>
      </c>
      <c r="L289" s="77" t="str">
        <f>IFERROR(VLOOKUP(UKG!BA289,'UKG Company Map'!B:G,7,FALSE),"Ledger Code Not Matched")</f>
        <v>Ledger Code Not Matched</v>
      </c>
      <c r="M289" s="18" t="str">
        <f>UKG!BH289</f>
        <v>SEK</v>
      </c>
      <c r="O289" s="18" t="str">
        <f>UKG!BJ289</f>
        <v>Y</v>
      </c>
      <c r="P289" s="18" t="str">
        <f>IFERROR(VLOOKUP(UKG!BA289,'UKG Company Map'!B:E,2,FALSE),"Org Unit 1 Not Mapped")</f>
        <v>0077</v>
      </c>
      <c r="Q289" s="77" t="str">
        <f>UKG!BB289</f>
        <v>0000</v>
      </c>
      <c r="W289" s="77" t="str">
        <f>UKG!Q289</f>
        <v>S15</v>
      </c>
      <c r="X289" s="18" t="str">
        <f>UKG!BC289</f>
        <v>Default</v>
      </c>
      <c r="Z289" s="18" t="str">
        <f>IFERROR(VLOOKUP(UKG!BA289,'UKG Company Map'!B:G,8,FALSE),"Custom 5 Not Matched")</f>
        <v>Custom 5 Not Matched</v>
      </c>
      <c r="AP289" s="18" t="str">
        <f>IFERROR(VLOOKUP(UKG!BA289,'UKG Company Map'!B:G,4,FALSE),"Custom 21 Exp Group Not Matched")</f>
        <v>0077</v>
      </c>
      <c r="BG289" s="77" t="str">
        <f>UKG!AZ289</f>
        <v>211474</v>
      </c>
      <c r="BK289" s="18" t="s">
        <v>1421</v>
      </c>
      <c r="BL289" s="18" t="s">
        <v>1421</v>
      </c>
      <c r="BU289" s="18" t="str">
        <f>UKG!BL289</f>
        <v>N</v>
      </c>
      <c r="BV289" s="18" t="str">
        <f>UKG!BL289</f>
        <v>N</v>
      </c>
      <c r="CE289" s="18" t="s">
        <v>1421</v>
      </c>
    </row>
    <row r="290" spans="1:83" ht="16" hidden="1" thickBot="1" x14ac:dyDescent="0.25">
      <c r="A290" s="39" t="s">
        <v>1420</v>
      </c>
      <c r="B290" s="77" t="str">
        <f>UKG!BO290</f>
        <v>MARCUS</v>
      </c>
      <c r="D290" s="77" t="str">
        <f>UKG!BN290</f>
        <v>CRONHOLM</v>
      </c>
      <c r="E290" s="77" t="str">
        <f>UKG!D290</f>
        <v>205080</v>
      </c>
      <c r="F290" s="77" t="str">
        <f t="shared" si="5"/>
        <v>MCronholm@onebarnes.com.new.uat</v>
      </c>
      <c r="G290" s="18" t="s">
        <v>1427</v>
      </c>
      <c r="H290" s="77" t="str">
        <f>UKG!AQ290</f>
        <v>MCronholm@onebarnes.com</v>
      </c>
      <c r="I290" s="18" t="str">
        <f>IFERROR(VLOOKUP(J290,'Language Map'!M:O,3,FALSE),"en_US")</f>
        <v>sv_SE</v>
      </c>
      <c r="J290" s="77" t="str">
        <f>UKG!BF290</f>
        <v>SE</v>
      </c>
      <c r="L290" s="77" t="str">
        <f>IFERROR(VLOOKUP(UKG!BA290,'UKG Company Map'!B:G,7,FALSE),"Ledger Code Not Matched")</f>
        <v>Ledger Code Not Matched</v>
      </c>
      <c r="M290" s="18" t="str">
        <f>UKG!BH290</f>
        <v>SEK</v>
      </c>
      <c r="O290" s="18" t="str">
        <f>UKG!BJ290</f>
        <v>Y</v>
      </c>
      <c r="P290" s="18" t="str">
        <f>IFERROR(VLOOKUP(UKG!BA290,'UKG Company Map'!B:E,2,FALSE),"Org Unit 1 Not Mapped")</f>
        <v>0077</v>
      </c>
      <c r="Q290" s="77" t="str">
        <f>UKG!BB290</f>
        <v>0000</v>
      </c>
      <c r="W290" s="77" t="str">
        <f>UKG!Q290</f>
        <v>S12</v>
      </c>
      <c r="X290" s="18" t="str">
        <f>UKG!BC290</f>
        <v>Default</v>
      </c>
      <c r="Z290" s="18" t="str">
        <f>IFERROR(VLOOKUP(UKG!BA290,'UKG Company Map'!B:G,8,FALSE),"Custom 5 Not Matched")</f>
        <v>Custom 5 Not Matched</v>
      </c>
      <c r="AP290" s="18" t="str">
        <f>IFERROR(VLOOKUP(UKG!BA290,'UKG Company Map'!B:G,4,FALSE),"Custom 21 Exp Group Not Matched")</f>
        <v>0077</v>
      </c>
      <c r="BG290" s="77" t="str">
        <f>UKG!AZ290</f>
        <v>205368</v>
      </c>
      <c r="BK290" s="18" t="s">
        <v>1421</v>
      </c>
      <c r="BL290" s="18" t="s">
        <v>1421</v>
      </c>
      <c r="BU290" s="18" t="str">
        <f>UKG!BL290</f>
        <v>N</v>
      </c>
      <c r="BV290" s="18" t="str">
        <f>UKG!BL290</f>
        <v>N</v>
      </c>
      <c r="CE290" s="18" t="s">
        <v>1421</v>
      </c>
    </row>
    <row r="291" spans="1:83" ht="16" hidden="1" thickBot="1" x14ac:dyDescent="0.25">
      <c r="A291" s="39" t="s">
        <v>1420</v>
      </c>
      <c r="B291" s="77" t="str">
        <f>UKG!BO291</f>
        <v>ERIK</v>
      </c>
      <c r="D291" s="77" t="str">
        <f>UKG!BN291</f>
        <v>DAHLBERG</v>
      </c>
      <c r="E291" s="77" t="str">
        <f>UKG!D291</f>
        <v>205078</v>
      </c>
      <c r="F291" s="77" t="str">
        <f t="shared" si="5"/>
        <v>EDahlberg@onebarnes.com.new.uat</v>
      </c>
      <c r="G291" s="18" t="s">
        <v>1427</v>
      </c>
      <c r="H291" s="77" t="str">
        <f>UKG!AQ291</f>
        <v>EDahlberg@onebarnes.com</v>
      </c>
      <c r="I291" s="18" t="str">
        <f>IFERROR(VLOOKUP(J291,'Language Map'!M:O,3,FALSE),"en_US")</f>
        <v>sv_SE</v>
      </c>
      <c r="J291" s="77" t="str">
        <f>UKG!BF291</f>
        <v>SE</v>
      </c>
      <c r="L291" s="77" t="str">
        <f>IFERROR(VLOOKUP(UKG!BA291,'UKG Company Map'!B:G,7,FALSE),"Ledger Code Not Matched")</f>
        <v>Ledger Code Not Matched</v>
      </c>
      <c r="M291" s="18" t="str">
        <f>UKG!BH291</f>
        <v>SEK</v>
      </c>
      <c r="O291" s="18" t="str">
        <f>UKG!BJ291</f>
        <v>Y</v>
      </c>
      <c r="P291" s="18" t="str">
        <f>IFERROR(VLOOKUP(UKG!BA291,'UKG Company Map'!B:E,2,FALSE),"Org Unit 1 Not Mapped")</f>
        <v>0077</v>
      </c>
      <c r="Q291" s="77" t="str">
        <f>UKG!BB291</f>
        <v>0000</v>
      </c>
      <c r="W291" s="77" t="str">
        <f>UKG!Q291</f>
        <v>S12</v>
      </c>
      <c r="X291" s="18" t="str">
        <f>UKG!BC291</f>
        <v>Default</v>
      </c>
      <c r="Z291" s="18" t="str">
        <f>IFERROR(VLOOKUP(UKG!BA291,'UKG Company Map'!B:G,8,FALSE),"Custom 5 Not Matched")</f>
        <v>Custom 5 Not Matched</v>
      </c>
      <c r="AP291" s="18" t="str">
        <f>IFERROR(VLOOKUP(UKG!BA291,'UKG Company Map'!B:G,4,FALSE),"Custom 21 Exp Group Not Matched")</f>
        <v>0077</v>
      </c>
      <c r="BG291" s="77" t="str">
        <f>UKG!AZ291</f>
        <v>211600</v>
      </c>
      <c r="BK291" s="18" t="s">
        <v>1421</v>
      </c>
      <c r="BL291" s="18" t="s">
        <v>1421</v>
      </c>
      <c r="BU291" s="18" t="str">
        <f>UKG!BL291</f>
        <v>N</v>
      </c>
      <c r="BV291" s="18" t="str">
        <f>UKG!BL291</f>
        <v>N</v>
      </c>
      <c r="CE291" s="18" t="s">
        <v>1421</v>
      </c>
    </row>
    <row r="292" spans="1:83" ht="16" hidden="1" thickBot="1" x14ac:dyDescent="0.25">
      <c r="A292" s="39" t="s">
        <v>1420</v>
      </c>
      <c r="B292" s="77" t="str">
        <f>UKG!BO292</f>
        <v>TIM</v>
      </c>
      <c r="D292" s="77" t="str">
        <f>UKG!BN292</f>
        <v>DAY</v>
      </c>
      <c r="E292" s="77" t="str">
        <f>UKG!D292</f>
        <v>205072</v>
      </c>
      <c r="F292" s="77" t="str">
        <f t="shared" si="5"/>
        <v>tday@onebarnes.com.new.uat</v>
      </c>
      <c r="G292" s="18" t="s">
        <v>1427</v>
      </c>
      <c r="H292" s="77" t="str">
        <f>UKG!AQ292</f>
        <v>tday@onebarnes.com</v>
      </c>
      <c r="I292" s="18" t="str">
        <f>IFERROR(VLOOKUP(J292,'Language Map'!M:O,3,FALSE),"en_US")</f>
        <v>sv_SE</v>
      </c>
      <c r="J292" s="77" t="str">
        <f>UKG!BF292</f>
        <v>SE</v>
      </c>
      <c r="L292" s="77" t="str">
        <f>IFERROR(VLOOKUP(UKG!BA292,'UKG Company Map'!B:G,7,FALSE),"Ledger Code Not Matched")</f>
        <v>Ledger Code Not Matched</v>
      </c>
      <c r="M292" s="18" t="str">
        <f>UKG!BH292</f>
        <v>SEK</v>
      </c>
      <c r="O292" s="18" t="str">
        <f>UKG!BJ292</f>
        <v>Y</v>
      </c>
      <c r="P292" s="18" t="str">
        <f>IFERROR(VLOOKUP(UKG!BA292,'UKG Company Map'!B:E,2,FALSE),"Org Unit 1 Not Mapped")</f>
        <v>0077</v>
      </c>
      <c r="Q292" s="77" t="str">
        <f>UKG!BB292</f>
        <v>0000</v>
      </c>
      <c r="W292" s="77" t="str">
        <f>UKG!Q292</f>
        <v>S12</v>
      </c>
      <c r="X292" s="18" t="str">
        <f>UKG!BC292</f>
        <v>Default</v>
      </c>
      <c r="Z292" s="18" t="str">
        <f>IFERROR(VLOOKUP(UKG!BA292,'UKG Company Map'!B:G,8,FALSE),"Custom 5 Not Matched")</f>
        <v>Custom 5 Not Matched</v>
      </c>
      <c r="AP292" s="18" t="str">
        <f>IFERROR(VLOOKUP(UKG!BA292,'UKG Company Map'!B:G,4,FALSE),"Custom 21 Exp Group Not Matched")</f>
        <v>0077</v>
      </c>
      <c r="BG292" s="77" t="str">
        <f>UKG!AZ292</f>
        <v>211600</v>
      </c>
      <c r="BK292" s="18" t="s">
        <v>1421</v>
      </c>
      <c r="BL292" s="18" t="s">
        <v>1421</v>
      </c>
      <c r="BU292" s="18" t="str">
        <f>UKG!BL292</f>
        <v>N</v>
      </c>
      <c r="BV292" s="18" t="str">
        <f>UKG!BL292</f>
        <v>N</v>
      </c>
      <c r="CE292" s="18" t="s">
        <v>1421</v>
      </c>
    </row>
    <row r="293" spans="1:83" ht="16" hidden="1" thickBot="1" x14ac:dyDescent="0.25">
      <c r="A293" s="39" t="s">
        <v>1420</v>
      </c>
      <c r="B293" s="77" t="str">
        <f>UKG!BO293</f>
        <v>CHRISTER</v>
      </c>
      <c r="D293" s="77" t="str">
        <f>UKG!BN293</f>
        <v>DUFMATS</v>
      </c>
      <c r="E293" s="77" t="str">
        <f>UKG!D293</f>
        <v>205392</v>
      </c>
      <c r="F293" s="77" t="str">
        <f t="shared" si="5"/>
        <v>CDufmats@onebarnes.com.new.uat</v>
      </c>
      <c r="G293" s="18" t="s">
        <v>1427</v>
      </c>
      <c r="H293" s="77" t="str">
        <f>UKG!AQ293</f>
        <v>CDufmats@onebarnes.com</v>
      </c>
      <c r="I293" s="18" t="str">
        <f>IFERROR(VLOOKUP(J293,'Language Map'!M:O,3,FALSE),"en_US")</f>
        <v>sv_SE</v>
      </c>
      <c r="J293" s="77" t="str">
        <f>UKG!BF293</f>
        <v>SE</v>
      </c>
      <c r="L293" s="77" t="str">
        <f>IFERROR(VLOOKUP(UKG!BA293,'UKG Company Map'!B:G,7,FALSE),"Ledger Code Not Matched")</f>
        <v>Ledger Code Not Matched</v>
      </c>
      <c r="M293" s="18" t="str">
        <f>UKG!BH293</f>
        <v>SEK</v>
      </c>
      <c r="O293" s="18" t="str">
        <f>UKG!BJ293</f>
        <v>Y</v>
      </c>
      <c r="P293" s="18" t="str">
        <f>IFERROR(VLOOKUP(UKG!BA293,'UKG Company Map'!B:E,2,FALSE),"Org Unit 1 Not Mapped")</f>
        <v>0077</v>
      </c>
      <c r="Q293" s="77" t="str">
        <f>UKG!BB293</f>
        <v>0000</v>
      </c>
      <c r="W293" s="77" t="str">
        <f>UKG!Q293</f>
        <v>S13</v>
      </c>
      <c r="X293" s="18" t="str">
        <f>UKG!BC293</f>
        <v>Default</v>
      </c>
      <c r="Z293" s="18" t="str">
        <f>IFERROR(VLOOKUP(UKG!BA293,'UKG Company Map'!B:G,8,FALSE),"Custom 5 Not Matched")</f>
        <v>Custom 5 Not Matched</v>
      </c>
      <c r="AP293" s="18" t="str">
        <f>IFERROR(VLOOKUP(UKG!BA293,'UKG Company Map'!B:G,4,FALSE),"Custom 21 Exp Group Not Matched")</f>
        <v>0077</v>
      </c>
      <c r="BG293" s="77" t="str">
        <f>UKG!AZ293</f>
        <v>213460</v>
      </c>
      <c r="BK293" s="18" t="s">
        <v>1421</v>
      </c>
      <c r="BL293" s="18" t="s">
        <v>1421</v>
      </c>
      <c r="BU293" s="18" t="str">
        <f>UKG!BL293</f>
        <v>N</v>
      </c>
      <c r="BV293" s="18" t="str">
        <f>UKG!BL293</f>
        <v>N</v>
      </c>
      <c r="CE293" s="18" t="s">
        <v>1421</v>
      </c>
    </row>
    <row r="294" spans="1:83" ht="16" hidden="1" thickBot="1" x14ac:dyDescent="0.25">
      <c r="A294" s="39" t="s">
        <v>1420</v>
      </c>
      <c r="B294" s="77" t="str">
        <f>UKG!BO294</f>
        <v>ANNELIE</v>
      </c>
      <c r="D294" s="77" t="str">
        <f>UKG!BN294</f>
        <v>EKEBLAD</v>
      </c>
      <c r="E294" s="77" t="str">
        <f>UKG!D294</f>
        <v>210310</v>
      </c>
      <c r="F294" s="77" t="str">
        <f t="shared" si="5"/>
        <v>aekeblad@onebarnes.com.new.uat</v>
      </c>
      <c r="G294" s="18" t="s">
        <v>1427</v>
      </c>
      <c r="H294" s="77" t="str">
        <f>UKG!AQ294</f>
        <v>aekeblad@onebarnes.com</v>
      </c>
      <c r="I294" s="18" t="str">
        <f>IFERROR(VLOOKUP(J294,'Language Map'!M:O,3,FALSE),"en_US")</f>
        <v>sv_SE</v>
      </c>
      <c r="J294" s="77" t="str">
        <f>UKG!BF294</f>
        <v>SE</v>
      </c>
      <c r="L294" s="77" t="str">
        <f>IFERROR(VLOOKUP(UKG!BA294,'UKG Company Map'!B:G,7,FALSE),"Ledger Code Not Matched")</f>
        <v>Ledger Code Not Matched</v>
      </c>
      <c r="M294" s="18" t="str">
        <f>UKG!BH294</f>
        <v>SEK</v>
      </c>
      <c r="O294" s="18" t="str">
        <f>UKG!BJ294</f>
        <v>Y</v>
      </c>
      <c r="P294" s="18" t="str">
        <f>IFERROR(VLOOKUP(UKG!BA294,'UKG Company Map'!B:E,2,FALSE),"Org Unit 1 Not Mapped")</f>
        <v>0077</v>
      </c>
      <c r="Q294" s="77" t="str">
        <f>UKG!BB294</f>
        <v>0000</v>
      </c>
      <c r="W294" s="77" t="str">
        <f>UKG!Q294</f>
        <v>S13</v>
      </c>
      <c r="X294" s="18" t="str">
        <f>UKG!BC294</f>
        <v>Default</v>
      </c>
      <c r="Z294" s="18" t="str">
        <f>IFERROR(VLOOKUP(UKG!BA294,'UKG Company Map'!B:G,8,FALSE),"Custom 5 Not Matched")</f>
        <v>Custom 5 Not Matched</v>
      </c>
      <c r="AP294" s="18" t="str">
        <f>IFERROR(VLOOKUP(UKG!BA294,'UKG Company Map'!B:G,4,FALSE),"Custom 21 Exp Group Not Matched")</f>
        <v>0077</v>
      </c>
      <c r="BG294" s="77" t="str">
        <f>UKG!AZ294</f>
        <v>211910</v>
      </c>
      <c r="BK294" s="18" t="s">
        <v>1421</v>
      </c>
      <c r="BL294" s="18" t="s">
        <v>1421</v>
      </c>
      <c r="BU294" s="18" t="str">
        <f>UKG!BL294</f>
        <v>N</v>
      </c>
      <c r="BV294" s="18" t="str">
        <f>UKG!BL294</f>
        <v>N</v>
      </c>
      <c r="CE294" s="18" t="s">
        <v>1421</v>
      </c>
    </row>
    <row r="295" spans="1:83" ht="16" hidden="1" thickBot="1" x14ac:dyDescent="0.25">
      <c r="A295" s="39" t="s">
        <v>1420</v>
      </c>
      <c r="B295" s="77" t="str">
        <f>UKG!BO295</f>
        <v>MATTIAS</v>
      </c>
      <c r="D295" s="77" t="str">
        <f>UKG!BN295</f>
        <v>ENGSÉN</v>
      </c>
      <c r="E295" s="77" t="str">
        <f>UKG!D295</f>
        <v>205084</v>
      </c>
      <c r="F295" s="77" t="str">
        <f t="shared" si="5"/>
        <v>mengsen@onebarnes.com.new.uat</v>
      </c>
      <c r="G295" s="18" t="s">
        <v>1427</v>
      </c>
      <c r="H295" s="77" t="str">
        <f>UKG!AQ295</f>
        <v>mengsen@onebarnes.com</v>
      </c>
      <c r="I295" s="18" t="str">
        <f>IFERROR(VLOOKUP(J295,'Language Map'!M:O,3,FALSE),"en_US")</f>
        <v>sv_SE</v>
      </c>
      <c r="J295" s="77" t="str">
        <f>UKG!BF295</f>
        <v>SE</v>
      </c>
      <c r="L295" s="77" t="str">
        <f>IFERROR(VLOOKUP(UKG!BA295,'UKG Company Map'!B:G,7,FALSE),"Ledger Code Not Matched")</f>
        <v>Ledger Code Not Matched</v>
      </c>
      <c r="M295" s="18" t="str">
        <f>UKG!BH295</f>
        <v>SEK</v>
      </c>
      <c r="O295" s="18" t="str">
        <f>UKG!BJ295</f>
        <v>Y</v>
      </c>
      <c r="P295" s="18" t="str">
        <f>IFERROR(VLOOKUP(UKG!BA295,'UKG Company Map'!B:E,2,FALSE),"Org Unit 1 Not Mapped")</f>
        <v>0077</v>
      </c>
      <c r="Q295" s="77" t="str">
        <f>UKG!BB295</f>
        <v>0000</v>
      </c>
      <c r="W295" s="77" t="str">
        <f>UKG!Q295</f>
        <v>S12</v>
      </c>
      <c r="X295" s="18" t="str">
        <f>UKG!BC295</f>
        <v>Default</v>
      </c>
      <c r="Z295" s="18" t="str">
        <f>IFERROR(VLOOKUP(UKG!BA295,'UKG Company Map'!B:G,8,FALSE),"Custom 5 Not Matched")</f>
        <v>Custom 5 Not Matched</v>
      </c>
      <c r="AP295" s="18" t="str">
        <f>IFERROR(VLOOKUP(UKG!BA295,'UKG Company Map'!B:G,4,FALSE),"Custom 21 Exp Group Not Matched")</f>
        <v>0077</v>
      </c>
      <c r="BG295" s="77" t="str">
        <f>UKG!AZ295</f>
        <v>205368</v>
      </c>
      <c r="BK295" s="18" t="s">
        <v>1421</v>
      </c>
      <c r="BL295" s="18" t="s">
        <v>1421</v>
      </c>
      <c r="BU295" s="18" t="str">
        <f>UKG!BL295</f>
        <v>N</v>
      </c>
      <c r="BV295" s="18" t="str">
        <f>UKG!BL295</f>
        <v>N</v>
      </c>
      <c r="CE295" s="18" t="s">
        <v>1421</v>
      </c>
    </row>
    <row r="296" spans="1:83" ht="16" hidden="1" thickBot="1" x14ac:dyDescent="0.25">
      <c r="A296" s="39" t="s">
        <v>1420</v>
      </c>
      <c r="B296" s="77" t="str">
        <f>UKG!BO296</f>
        <v>TORGNY</v>
      </c>
      <c r="D296" s="77" t="str">
        <f>UKG!BN296</f>
        <v>ENSTRÖM</v>
      </c>
      <c r="E296" s="77" t="str">
        <f>UKG!D296</f>
        <v>205375</v>
      </c>
      <c r="F296" s="77" t="str">
        <f t="shared" si="5"/>
        <v>tenstrom@onebarnes.com.new.uat</v>
      </c>
      <c r="G296" s="18" t="s">
        <v>1427</v>
      </c>
      <c r="H296" s="77" t="str">
        <f>UKG!AQ296</f>
        <v>tenstrom@onebarnes.com</v>
      </c>
      <c r="I296" s="18" t="str">
        <f>IFERROR(VLOOKUP(J296,'Language Map'!M:O,3,FALSE),"en_US")</f>
        <v>sv_SE</v>
      </c>
      <c r="J296" s="77" t="str">
        <f>UKG!BF296</f>
        <v>SE</v>
      </c>
      <c r="L296" s="77" t="str">
        <f>IFERROR(VLOOKUP(UKG!BA296,'UKG Company Map'!B:G,7,FALSE),"Ledger Code Not Matched")</f>
        <v>Ledger Code Not Matched</v>
      </c>
      <c r="M296" s="18" t="str">
        <f>UKG!BH296</f>
        <v>SEK</v>
      </c>
      <c r="O296" s="18" t="str">
        <f>UKG!BJ296</f>
        <v>Y</v>
      </c>
      <c r="P296" s="18" t="str">
        <f>IFERROR(VLOOKUP(UKG!BA296,'UKG Company Map'!B:E,2,FALSE),"Org Unit 1 Not Mapped")</f>
        <v>0077</v>
      </c>
      <c r="Q296" s="77" t="str">
        <f>UKG!BB296</f>
        <v>0000</v>
      </c>
      <c r="W296" s="77" t="str">
        <f>UKG!Q296</f>
        <v>S16</v>
      </c>
      <c r="X296" s="18" t="str">
        <f>UKG!BC296</f>
        <v>Default</v>
      </c>
      <c r="Z296" s="18" t="str">
        <f>IFERROR(VLOOKUP(UKG!BA296,'UKG Company Map'!B:G,8,FALSE),"Custom 5 Not Matched")</f>
        <v>Custom 5 Not Matched</v>
      </c>
      <c r="AP296" s="18" t="str">
        <f>IFERROR(VLOOKUP(UKG!BA296,'UKG Company Map'!B:G,4,FALSE),"Custom 21 Exp Group Not Matched")</f>
        <v>0077</v>
      </c>
      <c r="BG296" s="77" t="str">
        <f>UKG!AZ296</f>
        <v>205389</v>
      </c>
      <c r="BK296" s="18" t="s">
        <v>1421</v>
      </c>
      <c r="BL296" s="18" t="s">
        <v>1421</v>
      </c>
      <c r="BU296" s="18" t="str">
        <f>UKG!BL296</f>
        <v>N</v>
      </c>
      <c r="BV296" s="18" t="str">
        <f>UKG!BL296</f>
        <v>N</v>
      </c>
      <c r="CE296" s="18" t="s">
        <v>1421</v>
      </c>
    </row>
    <row r="297" spans="1:83" ht="16" hidden="1" thickBot="1" x14ac:dyDescent="0.25">
      <c r="A297" s="39" t="s">
        <v>1420</v>
      </c>
      <c r="B297" s="77" t="str">
        <f>UKG!BO297</f>
        <v>ANDREA</v>
      </c>
      <c r="D297" s="77" t="str">
        <f>UKG!BN297</f>
        <v>FIENE</v>
      </c>
      <c r="E297" s="77" t="str">
        <f>UKG!D297</f>
        <v>205067</v>
      </c>
      <c r="F297" s="77" t="str">
        <f t="shared" si="5"/>
        <v>afiene@onebarnes.com.new.uat</v>
      </c>
      <c r="G297" s="18" t="s">
        <v>1427</v>
      </c>
      <c r="H297" s="77" t="str">
        <f>UKG!AQ297</f>
        <v>afiene@onebarnes.com</v>
      </c>
      <c r="I297" s="18" t="str">
        <f>IFERROR(VLOOKUP(J297,'Language Map'!M:O,3,FALSE),"en_US")</f>
        <v>sv_SE</v>
      </c>
      <c r="J297" s="77" t="str">
        <f>UKG!BF297</f>
        <v>SE</v>
      </c>
      <c r="L297" s="77" t="str">
        <f>IFERROR(VLOOKUP(UKG!BA297,'UKG Company Map'!B:G,7,FALSE),"Ledger Code Not Matched")</f>
        <v>Ledger Code Not Matched</v>
      </c>
      <c r="M297" s="18" t="str">
        <f>UKG!BH297</f>
        <v>SEK</v>
      </c>
      <c r="O297" s="18" t="str">
        <f>UKG!BJ297</f>
        <v>N</v>
      </c>
      <c r="P297" s="18" t="str">
        <f>IFERROR(VLOOKUP(UKG!BA297,'UKG Company Map'!B:E,2,FALSE),"Org Unit 1 Not Mapped")</f>
        <v>0077</v>
      </c>
      <c r="Q297" s="77" t="str">
        <f>UKG!BB297</f>
        <v>0000</v>
      </c>
      <c r="W297" s="77" t="str">
        <f>UKG!Q297</f>
        <v>S20</v>
      </c>
      <c r="X297" s="18" t="str">
        <f>UKG!BC297</f>
        <v>Grade 20</v>
      </c>
      <c r="Z297" s="18" t="str">
        <f>IFERROR(VLOOKUP(UKG!BA297,'UKG Company Map'!B:G,8,FALSE),"Custom 5 Not Matched")</f>
        <v>Custom 5 Not Matched</v>
      </c>
      <c r="AP297" s="18" t="str">
        <f>IFERROR(VLOOKUP(UKG!BA297,'UKG Company Map'!B:G,4,FALSE),"Custom 21 Exp Group Not Matched")</f>
        <v>0077</v>
      </c>
      <c r="BG297" s="77" t="str">
        <f>UKG!AZ297</f>
        <v>207709</v>
      </c>
      <c r="BK297" s="18" t="s">
        <v>1421</v>
      </c>
      <c r="BL297" s="18" t="s">
        <v>1421</v>
      </c>
      <c r="BU297" s="18" t="str">
        <f>UKG!BL297</f>
        <v>N</v>
      </c>
      <c r="BV297" s="18" t="str">
        <f>UKG!BL297</f>
        <v>N</v>
      </c>
      <c r="CE297" s="18" t="s">
        <v>1421</v>
      </c>
    </row>
    <row r="298" spans="1:83" ht="16" hidden="1" thickBot="1" x14ac:dyDescent="0.25">
      <c r="A298" s="39" t="s">
        <v>1420</v>
      </c>
      <c r="B298" s="77" t="str">
        <f>UKG!BO298</f>
        <v>JIM</v>
      </c>
      <c r="D298" s="77" t="str">
        <f>UKG!BN298</f>
        <v>FREDIN</v>
      </c>
      <c r="E298" s="77" t="str">
        <f>UKG!D298</f>
        <v>205083</v>
      </c>
      <c r="F298" s="77" t="str">
        <f t="shared" si="5"/>
        <v>JFredin@onebarnes.com.new.uat</v>
      </c>
      <c r="G298" s="18" t="s">
        <v>1427</v>
      </c>
      <c r="H298" s="77" t="str">
        <f>UKG!AQ298</f>
        <v>JFredin@onebarnes.com</v>
      </c>
      <c r="I298" s="18" t="str">
        <f>IFERROR(VLOOKUP(J298,'Language Map'!M:O,3,FALSE),"en_US")</f>
        <v>sv_SE</v>
      </c>
      <c r="J298" s="77" t="str">
        <f>UKG!BF298</f>
        <v>SE</v>
      </c>
      <c r="L298" s="77" t="str">
        <f>IFERROR(VLOOKUP(UKG!BA298,'UKG Company Map'!B:G,7,FALSE),"Ledger Code Not Matched")</f>
        <v>Ledger Code Not Matched</v>
      </c>
      <c r="M298" s="18" t="str">
        <f>UKG!BH298</f>
        <v>SEK</v>
      </c>
      <c r="O298" s="18" t="str">
        <f>UKG!BJ298</f>
        <v>Y</v>
      </c>
      <c r="P298" s="18" t="str">
        <f>IFERROR(VLOOKUP(UKG!BA298,'UKG Company Map'!B:E,2,FALSE),"Org Unit 1 Not Mapped")</f>
        <v>0077</v>
      </c>
      <c r="Q298" s="77" t="str">
        <f>UKG!BB298</f>
        <v>0000</v>
      </c>
      <c r="W298" s="77" t="str">
        <f>UKG!Q298</f>
        <v>S14</v>
      </c>
      <c r="X298" s="18" t="str">
        <f>UKG!BC298</f>
        <v>Default</v>
      </c>
      <c r="Z298" s="18" t="str">
        <f>IFERROR(VLOOKUP(UKG!BA298,'UKG Company Map'!B:G,8,FALSE),"Custom 5 Not Matched")</f>
        <v>Custom 5 Not Matched</v>
      </c>
      <c r="AP298" s="18" t="str">
        <f>IFERROR(VLOOKUP(UKG!BA298,'UKG Company Map'!B:G,4,FALSE),"Custom 21 Exp Group Not Matched")</f>
        <v>0077</v>
      </c>
      <c r="BG298" s="77" t="str">
        <f>UKG!AZ298</f>
        <v>205373</v>
      </c>
      <c r="BK298" s="18" t="s">
        <v>1421</v>
      </c>
      <c r="BL298" s="18" t="s">
        <v>1421</v>
      </c>
      <c r="BU298" s="18" t="str">
        <f>UKG!BL298</f>
        <v>N</v>
      </c>
      <c r="BV298" s="18" t="str">
        <f>UKG!BL298</f>
        <v>N</v>
      </c>
      <c r="CE298" s="18" t="s">
        <v>1421</v>
      </c>
    </row>
    <row r="299" spans="1:83" ht="16" hidden="1" thickBot="1" x14ac:dyDescent="0.25">
      <c r="A299" s="39" t="s">
        <v>1420</v>
      </c>
      <c r="B299" s="77" t="str">
        <f>UKG!BO299</f>
        <v>FREDRIK</v>
      </c>
      <c r="D299" s="77" t="str">
        <f>UKG!BN299</f>
        <v>FRITZ</v>
      </c>
      <c r="E299" s="77" t="str">
        <f>UKG!D299</f>
        <v>205383</v>
      </c>
      <c r="F299" s="77" t="str">
        <f t="shared" si="5"/>
        <v>FFritz@onebarnes.com.new.uat</v>
      </c>
      <c r="G299" s="18" t="s">
        <v>1427</v>
      </c>
      <c r="H299" s="77" t="str">
        <f>UKG!AQ299</f>
        <v>FFritz@onebarnes.com</v>
      </c>
      <c r="I299" s="18" t="str">
        <f>IFERROR(VLOOKUP(J299,'Language Map'!M:O,3,FALSE),"en_US")</f>
        <v>sv_SE</v>
      </c>
      <c r="J299" s="77" t="str">
        <f>UKG!BF299</f>
        <v>SE</v>
      </c>
      <c r="L299" s="77" t="str">
        <f>IFERROR(VLOOKUP(UKG!BA299,'UKG Company Map'!B:G,7,FALSE),"Ledger Code Not Matched")</f>
        <v>Ledger Code Not Matched</v>
      </c>
      <c r="M299" s="18" t="str">
        <f>UKG!BH299</f>
        <v>SEK</v>
      </c>
      <c r="O299" s="18" t="str">
        <f>UKG!BJ299</f>
        <v>Y</v>
      </c>
      <c r="P299" s="18" t="str">
        <f>IFERROR(VLOOKUP(UKG!BA299,'UKG Company Map'!B:E,2,FALSE),"Org Unit 1 Not Mapped")</f>
        <v>0077</v>
      </c>
      <c r="Q299" s="77" t="str">
        <f>UKG!BB299</f>
        <v>0000</v>
      </c>
      <c r="W299" s="77" t="str">
        <f>UKG!Q299</f>
        <v>H0000</v>
      </c>
      <c r="X299" s="18" t="str">
        <f>UKG!BC299</f>
        <v>Default</v>
      </c>
      <c r="Z299" s="18" t="str">
        <f>IFERROR(VLOOKUP(UKG!BA299,'UKG Company Map'!B:G,8,FALSE),"Custom 5 Not Matched")</f>
        <v>Custom 5 Not Matched</v>
      </c>
      <c r="AP299" s="18" t="str">
        <f>IFERROR(VLOOKUP(UKG!BA299,'UKG Company Map'!B:G,4,FALSE),"Custom 21 Exp Group Not Matched")</f>
        <v>0077</v>
      </c>
      <c r="BG299" s="77" t="str">
        <f>UKG!AZ299</f>
        <v>205377</v>
      </c>
      <c r="BK299" s="18" t="s">
        <v>1421</v>
      </c>
      <c r="BL299" s="18" t="s">
        <v>1421</v>
      </c>
      <c r="BU299" s="18" t="str">
        <f>UKG!BL299</f>
        <v>N</v>
      </c>
      <c r="BV299" s="18" t="str">
        <f>UKG!BL299</f>
        <v>N</v>
      </c>
      <c r="CE299" s="18" t="s">
        <v>1421</v>
      </c>
    </row>
    <row r="300" spans="1:83" ht="16" hidden="1" thickBot="1" x14ac:dyDescent="0.25">
      <c r="A300" s="39" t="s">
        <v>1420</v>
      </c>
      <c r="B300" s="77" t="str">
        <f>UKG!BO300</f>
        <v>NIKLAS</v>
      </c>
      <c r="D300" s="77" t="str">
        <f>UKG!BN300</f>
        <v>GODENÄS</v>
      </c>
      <c r="E300" s="77" t="str">
        <f>UKG!D300</f>
        <v>205403</v>
      </c>
      <c r="F300" s="77" t="str">
        <f t="shared" si="5"/>
        <v>ngodenas@onebarnes.com.new.uat</v>
      </c>
      <c r="G300" s="18" t="s">
        <v>1427</v>
      </c>
      <c r="H300" s="77" t="str">
        <f>UKG!AQ300</f>
        <v>ngodenas@onebarnes.com</v>
      </c>
      <c r="I300" s="18" t="str">
        <f>IFERROR(VLOOKUP(J300,'Language Map'!M:O,3,FALSE),"en_US")</f>
        <v>sv_SE</v>
      </c>
      <c r="J300" s="77" t="str">
        <f>UKG!BF300</f>
        <v>SE</v>
      </c>
      <c r="L300" s="77" t="str">
        <f>IFERROR(VLOOKUP(UKG!BA300,'UKG Company Map'!B:G,7,FALSE),"Ledger Code Not Matched")</f>
        <v>Ledger Code Not Matched</v>
      </c>
      <c r="M300" s="18" t="str">
        <f>UKG!BH300</f>
        <v>SEK</v>
      </c>
      <c r="O300" s="18" t="str">
        <f>UKG!BJ300</f>
        <v>Y</v>
      </c>
      <c r="P300" s="18" t="str">
        <f>IFERROR(VLOOKUP(UKG!BA300,'UKG Company Map'!B:E,2,FALSE),"Org Unit 1 Not Mapped")</f>
        <v>0077</v>
      </c>
      <c r="Q300" s="77" t="str">
        <f>UKG!BB300</f>
        <v>0000</v>
      </c>
      <c r="W300" s="77" t="str">
        <f>UKG!Q300</f>
        <v>S11</v>
      </c>
      <c r="X300" s="18" t="str">
        <f>UKG!BC300</f>
        <v>Default</v>
      </c>
      <c r="Z300" s="18" t="str">
        <f>IFERROR(VLOOKUP(UKG!BA300,'UKG Company Map'!B:G,8,FALSE),"Custom 5 Not Matched")</f>
        <v>Custom 5 Not Matched</v>
      </c>
      <c r="AP300" s="18" t="str">
        <f>IFERROR(VLOOKUP(UKG!BA300,'UKG Company Map'!B:G,4,FALSE),"Custom 21 Exp Group Not Matched")</f>
        <v>0077</v>
      </c>
      <c r="BG300" s="77" t="str">
        <f>UKG!AZ300</f>
        <v>205408</v>
      </c>
      <c r="BK300" s="18" t="s">
        <v>1421</v>
      </c>
      <c r="BL300" s="18" t="s">
        <v>1421</v>
      </c>
      <c r="BU300" s="18" t="str">
        <f>UKG!BL300</f>
        <v>N</v>
      </c>
      <c r="BV300" s="18" t="str">
        <f>UKG!BL300</f>
        <v>N</v>
      </c>
      <c r="CE300" s="18" t="s">
        <v>1421</v>
      </c>
    </row>
    <row r="301" spans="1:83" ht="16" hidden="1" thickBot="1" x14ac:dyDescent="0.25">
      <c r="A301" s="39" t="s">
        <v>1420</v>
      </c>
      <c r="B301" s="77" t="str">
        <f>UKG!BO301</f>
        <v>JAN</v>
      </c>
      <c r="D301" s="77" t="str">
        <f>UKG!BN301</f>
        <v>GÖRANSSON</v>
      </c>
      <c r="E301" s="77" t="str">
        <f>UKG!D301</f>
        <v>205379</v>
      </c>
      <c r="F301" s="77" t="str">
        <f t="shared" si="5"/>
        <v>jgoransson@onebarnes.com.new.uat</v>
      </c>
      <c r="G301" s="18" t="s">
        <v>1427</v>
      </c>
      <c r="H301" s="77" t="str">
        <f>UKG!AQ301</f>
        <v>jgoransson@onebarnes.com</v>
      </c>
      <c r="I301" s="18" t="str">
        <f>IFERROR(VLOOKUP(J301,'Language Map'!M:O,3,FALSE),"en_US")</f>
        <v>sv_SE</v>
      </c>
      <c r="J301" s="77" t="str">
        <f>UKG!BF301</f>
        <v>SE</v>
      </c>
      <c r="L301" s="77" t="str">
        <f>IFERROR(VLOOKUP(UKG!BA301,'UKG Company Map'!B:G,7,FALSE),"Ledger Code Not Matched")</f>
        <v>Ledger Code Not Matched</v>
      </c>
      <c r="M301" s="18" t="str">
        <f>UKG!BH301</f>
        <v>SEK</v>
      </c>
      <c r="O301" s="18" t="str">
        <f>UKG!BJ301</f>
        <v>Y</v>
      </c>
      <c r="P301" s="18" t="str">
        <f>IFERROR(VLOOKUP(UKG!BA301,'UKG Company Map'!B:E,2,FALSE),"Org Unit 1 Not Mapped")</f>
        <v>0077</v>
      </c>
      <c r="Q301" s="77" t="str">
        <f>UKG!BB301</f>
        <v>0000</v>
      </c>
      <c r="W301" s="77" t="str">
        <f>UKG!Q301</f>
        <v>S07</v>
      </c>
      <c r="X301" s="18" t="str">
        <f>UKG!BC301</f>
        <v>Default</v>
      </c>
      <c r="Z301" s="18" t="str">
        <f>IFERROR(VLOOKUP(UKG!BA301,'UKG Company Map'!B:G,8,FALSE),"Custom 5 Not Matched")</f>
        <v>Custom 5 Not Matched</v>
      </c>
      <c r="AP301" s="18" t="str">
        <f>IFERROR(VLOOKUP(UKG!BA301,'UKG Company Map'!B:G,4,FALSE),"Custom 21 Exp Group Not Matched")</f>
        <v>0077</v>
      </c>
      <c r="BG301" s="77" t="str">
        <f>UKG!AZ301</f>
        <v>205095</v>
      </c>
      <c r="BK301" s="18" t="s">
        <v>1421</v>
      </c>
      <c r="BL301" s="18" t="s">
        <v>1421</v>
      </c>
      <c r="BU301" s="18" t="str">
        <f>UKG!BL301</f>
        <v>N</v>
      </c>
      <c r="BV301" s="18" t="str">
        <f>UKG!BL301</f>
        <v>N</v>
      </c>
      <c r="CE301" s="18" t="s">
        <v>1421</v>
      </c>
    </row>
    <row r="302" spans="1:83" ht="16" hidden="1" thickBot="1" x14ac:dyDescent="0.25">
      <c r="A302" s="39" t="s">
        <v>1420</v>
      </c>
      <c r="B302" s="77" t="str">
        <f>UKG!BO302</f>
        <v>FREDRIK</v>
      </c>
      <c r="D302" s="77" t="str">
        <f>UKG!BN302</f>
        <v>GUNNSTAM</v>
      </c>
      <c r="E302" s="77" t="str">
        <f>UKG!D302</f>
        <v>205095</v>
      </c>
      <c r="F302" s="77" t="str">
        <f t="shared" si="5"/>
        <v>FGunnstam@onebarnes.com.new.uat</v>
      </c>
      <c r="G302" s="18" t="s">
        <v>1427</v>
      </c>
      <c r="H302" s="77" t="str">
        <f>UKG!AQ302</f>
        <v>FGunnstam@onebarnes.com</v>
      </c>
      <c r="I302" s="18" t="str">
        <f>IFERROR(VLOOKUP(J302,'Language Map'!M:O,3,FALSE),"en_US")</f>
        <v>sv_SE</v>
      </c>
      <c r="J302" s="77" t="str">
        <f>UKG!BF302</f>
        <v>SE</v>
      </c>
      <c r="L302" s="77" t="str">
        <f>IFERROR(VLOOKUP(UKG!BA302,'UKG Company Map'!B:G,7,FALSE),"Ledger Code Not Matched")</f>
        <v>Ledger Code Not Matched</v>
      </c>
      <c r="M302" s="18" t="str">
        <f>UKG!BH302</f>
        <v>SEK</v>
      </c>
      <c r="O302" s="18" t="str">
        <f>UKG!BJ302</f>
        <v>Y</v>
      </c>
      <c r="P302" s="18" t="str">
        <f>IFERROR(VLOOKUP(UKG!BA302,'UKG Company Map'!B:E,2,FALSE),"Org Unit 1 Not Mapped")</f>
        <v>0077</v>
      </c>
      <c r="Q302" s="77" t="str">
        <f>UKG!BB302</f>
        <v>0000</v>
      </c>
      <c r="W302" s="77" t="str">
        <f>UKG!Q302</f>
        <v>S16</v>
      </c>
      <c r="X302" s="18" t="str">
        <f>UKG!BC302</f>
        <v>Default</v>
      </c>
      <c r="Z302" s="18" t="str">
        <f>IFERROR(VLOOKUP(UKG!BA302,'UKG Company Map'!B:G,8,FALSE),"Custom 5 Not Matched")</f>
        <v>Custom 5 Not Matched</v>
      </c>
      <c r="AP302" s="18" t="str">
        <f>IFERROR(VLOOKUP(UKG!BA302,'UKG Company Map'!B:G,4,FALSE),"Custom 21 Exp Group Not Matched")</f>
        <v>0077</v>
      </c>
      <c r="BG302" s="77" t="str">
        <f>UKG!AZ302</f>
        <v>205058</v>
      </c>
      <c r="BK302" s="18" t="s">
        <v>1421</v>
      </c>
      <c r="BL302" s="18" t="s">
        <v>1421</v>
      </c>
      <c r="BU302" s="18" t="str">
        <f>UKG!BL302</f>
        <v>N</v>
      </c>
      <c r="BV302" s="18" t="str">
        <f>UKG!BL302</f>
        <v>N</v>
      </c>
      <c r="CE302" s="18" t="s">
        <v>1421</v>
      </c>
    </row>
    <row r="303" spans="1:83" ht="16" hidden="1" thickBot="1" x14ac:dyDescent="0.25">
      <c r="A303" s="39" t="s">
        <v>1420</v>
      </c>
      <c r="B303" s="77" t="str">
        <f>UKG!BO303</f>
        <v>JOHAN</v>
      </c>
      <c r="D303" s="77" t="str">
        <f>UKG!BN303</f>
        <v>GUSTAFSON</v>
      </c>
      <c r="E303" s="77" t="str">
        <f>UKG!D303</f>
        <v>205088</v>
      </c>
      <c r="F303" s="77" t="str">
        <f t="shared" si="5"/>
        <v>JGustafson@onebarnes.com.new.uat</v>
      </c>
      <c r="G303" s="18" t="s">
        <v>1427</v>
      </c>
      <c r="H303" s="77" t="str">
        <f>UKG!AQ303</f>
        <v>JGustafson@onebarnes.com</v>
      </c>
      <c r="I303" s="18" t="str">
        <f>IFERROR(VLOOKUP(J303,'Language Map'!M:O,3,FALSE),"en_US")</f>
        <v>sv_SE</v>
      </c>
      <c r="J303" s="77" t="str">
        <f>UKG!BF303</f>
        <v>SE</v>
      </c>
      <c r="L303" s="77" t="str">
        <f>IFERROR(VLOOKUP(UKG!BA303,'UKG Company Map'!B:G,7,FALSE),"Ledger Code Not Matched")</f>
        <v>Ledger Code Not Matched</v>
      </c>
      <c r="M303" s="18" t="str">
        <f>UKG!BH303</f>
        <v>SEK</v>
      </c>
      <c r="O303" s="18" t="str">
        <f>UKG!BJ303</f>
        <v>Y</v>
      </c>
      <c r="P303" s="18" t="str">
        <f>IFERROR(VLOOKUP(UKG!BA303,'UKG Company Map'!B:E,2,FALSE),"Org Unit 1 Not Mapped")</f>
        <v>0077</v>
      </c>
      <c r="Q303" s="77" t="str">
        <f>UKG!BB303</f>
        <v>0000</v>
      </c>
      <c r="W303" s="77" t="str">
        <f>UKG!Q303</f>
        <v>S12</v>
      </c>
      <c r="X303" s="18" t="str">
        <f>UKG!BC303</f>
        <v>Default</v>
      </c>
      <c r="Z303" s="18" t="str">
        <f>IFERROR(VLOOKUP(UKG!BA303,'UKG Company Map'!B:G,8,FALSE),"Custom 5 Not Matched")</f>
        <v>Custom 5 Not Matched</v>
      </c>
      <c r="AP303" s="18" t="str">
        <f>IFERROR(VLOOKUP(UKG!BA303,'UKG Company Map'!B:G,4,FALSE),"Custom 21 Exp Group Not Matched")</f>
        <v>0077</v>
      </c>
      <c r="BG303" s="77" t="str">
        <f>UKG!AZ303</f>
        <v>213066</v>
      </c>
      <c r="BK303" s="18" t="s">
        <v>1421</v>
      </c>
      <c r="BL303" s="18" t="s">
        <v>1421</v>
      </c>
      <c r="BU303" s="18" t="str">
        <f>UKG!BL303</f>
        <v>N</v>
      </c>
      <c r="BV303" s="18" t="str">
        <f>UKG!BL303</f>
        <v>N</v>
      </c>
      <c r="CE303" s="18" t="s">
        <v>1421</v>
      </c>
    </row>
    <row r="304" spans="1:83" ht="16" hidden="1" thickBot="1" x14ac:dyDescent="0.25">
      <c r="A304" s="39" t="s">
        <v>1420</v>
      </c>
      <c r="B304" s="77" t="str">
        <f>UKG!BO304</f>
        <v>CARINA</v>
      </c>
      <c r="D304" s="77" t="str">
        <f>UKG!BN304</f>
        <v>GUSTAFSSON</v>
      </c>
      <c r="E304" s="77" t="str">
        <f>UKG!D304</f>
        <v>205061</v>
      </c>
      <c r="F304" s="77" t="str">
        <f t="shared" si="5"/>
        <v>CGustafsson@onebarnes.com.new.uat</v>
      </c>
      <c r="G304" s="18" t="s">
        <v>1427</v>
      </c>
      <c r="H304" s="77" t="str">
        <f>UKG!AQ304</f>
        <v>CGustafsson@onebarnes.com</v>
      </c>
      <c r="I304" s="18" t="str">
        <f>IFERROR(VLOOKUP(J304,'Language Map'!M:O,3,FALSE),"en_US")</f>
        <v>sv_SE</v>
      </c>
      <c r="J304" s="77" t="str">
        <f>UKG!BF304</f>
        <v>SE</v>
      </c>
      <c r="L304" s="77" t="str">
        <f>IFERROR(VLOOKUP(UKG!BA304,'UKG Company Map'!B:G,7,FALSE),"Ledger Code Not Matched")</f>
        <v>Ledger Code Not Matched</v>
      </c>
      <c r="M304" s="18" t="str">
        <f>UKG!BH304</f>
        <v>SEK</v>
      </c>
      <c r="O304" s="18" t="str">
        <f>UKG!BJ304</f>
        <v>Y</v>
      </c>
      <c r="P304" s="18" t="str">
        <f>IFERROR(VLOOKUP(UKG!BA304,'UKG Company Map'!B:E,2,FALSE),"Org Unit 1 Not Mapped")</f>
        <v>0077</v>
      </c>
      <c r="Q304" s="77" t="str">
        <f>UKG!BB304</f>
        <v>0000</v>
      </c>
      <c r="W304" s="77" t="str">
        <f>UKG!Q304</f>
        <v>S07</v>
      </c>
      <c r="X304" s="18" t="str">
        <f>UKG!BC304</f>
        <v>Default</v>
      </c>
      <c r="Z304" s="18" t="str">
        <f>IFERROR(VLOOKUP(UKG!BA304,'UKG Company Map'!B:G,8,FALSE),"Custom 5 Not Matched")</f>
        <v>Custom 5 Not Matched</v>
      </c>
      <c r="AP304" s="18" t="str">
        <f>IFERROR(VLOOKUP(UKG!BA304,'UKG Company Map'!B:G,4,FALSE),"Custom 21 Exp Group Not Matched")</f>
        <v>0077</v>
      </c>
      <c r="BG304" s="77" t="str">
        <f>UKG!AZ304</f>
        <v>205065</v>
      </c>
      <c r="BK304" s="18" t="s">
        <v>1421</v>
      </c>
      <c r="BL304" s="18" t="s">
        <v>1421</v>
      </c>
      <c r="BU304" s="18" t="str">
        <f>UKG!BL304</f>
        <v>N</v>
      </c>
      <c r="BV304" s="18" t="str">
        <f>UKG!BL304</f>
        <v>N</v>
      </c>
      <c r="CE304" s="18" t="s">
        <v>1421</v>
      </c>
    </row>
    <row r="305" spans="1:83" ht="16" hidden="1" thickBot="1" x14ac:dyDescent="0.25">
      <c r="A305" s="39" t="s">
        <v>1420</v>
      </c>
      <c r="B305" s="77" t="str">
        <f>UKG!BO305</f>
        <v>PATRIC</v>
      </c>
      <c r="D305" s="77" t="str">
        <f>UKG!BN305</f>
        <v>HELLQVIST</v>
      </c>
      <c r="E305" s="77" t="str">
        <f>UKG!D305</f>
        <v>205055</v>
      </c>
      <c r="F305" s="77" t="str">
        <f t="shared" si="5"/>
        <v>patric.hellqvist@kaller.com.new.uat</v>
      </c>
      <c r="G305" s="18" t="s">
        <v>1427</v>
      </c>
      <c r="H305" s="77" t="str">
        <f>UKG!AQ305</f>
        <v>patric.hellqvist@kaller.com</v>
      </c>
      <c r="I305" s="18" t="str">
        <f>IFERROR(VLOOKUP(J305,'Language Map'!M:O,3,FALSE),"en_US")</f>
        <v>sv_SE</v>
      </c>
      <c r="J305" s="77" t="str">
        <f>UKG!BF305</f>
        <v>SE</v>
      </c>
      <c r="L305" s="77" t="str">
        <f>IFERROR(VLOOKUP(UKG!BA305,'UKG Company Map'!B:G,7,FALSE),"Ledger Code Not Matched")</f>
        <v>Ledger Code Not Matched</v>
      </c>
      <c r="M305" s="18" t="str">
        <f>UKG!BH305</f>
        <v>SEK</v>
      </c>
      <c r="O305" s="18" t="str">
        <f>UKG!BJ305</f>
        <v>Y</v>
      </c>
      <c r="P305" s="18" t="str">
        <f>IFERROR(VLOOKUP(UKG!BA305,'UKG Company Map'!B:E,2,FALSE),"Org Unit 1 Not Mapped")</f>
        <v>0077</v>
      </c>
      <c r="Q305" s="77" t="str">
        <f>UKG!BB305</f>
        <v>0000</v>
      </c>
      <c r="W305" s="77" t="str">
        <f>UKG!Q305</f>
        <v>S06</v>
      </c>
      <c r="X305" s="18" t="str">
        <f>UKG!BC305</f>
        <v>Default</v>
      </c>
      <c r="Z305" s="18" t="str">
        <f>IFERROR(VLOOKUP(UKG!BA305,'UKG Company Map'!B:G,8,FALSE),"Custom 5 Not Matched")</f>
        <v>Custom 5 Not Matched</v>
      </c>
      <c r="AP305" s="18" t="str">
        <f>IFERROR(VLOOKUP(UKG!BA305,'UKG Company Map'!B:G,4,FALSE),"Custom 21 Exp Group Not Matched")</f>
        <v>0077</v>
      </c>
      <c r="BG305" s="77" t="str">
        <f>UKG!AZ305</f>
        <v>205058</v>
      </c>
      <c r="BK305" s="18" t="s">
        <v>1421</v>
      </c>
      <c r="BL305" s="18" t="s">
        <v>1421</v>
      </c>
      <c r="BU305" s="18" t="str">
        <f>UKG!BL305</f>
        <v>N</v>
      </c>
      <c r="BV305" s="18" t="str">
        <f>UKG!BL305</f>
        <v>N</v>
      </c>
      <c r="CE305" s="18" t="s">
        <v>1421</v>
      </c>
    </row>
    <row r="306" spans="1:83" ht="16" hidden="1" thickBot="1" x14ac:dyDescent="0.25">
      <c r="A306" s="39" t="s">
        <v>1420</v>
      </c>
      <c r="B306" s="77" t="str">
        <f>UKG!BO306</f>
        <v>ERIKA</v>
      </c>
      <c r="D306" s="77" t="str">
        <f>UKG!BN306</f>
        <v>HELMERSSON-ÅKHE</v>
      </c>
      <c r="E306" s="77" t="str">
        <f>UKG!D306</f>
        <v>205068</v>
      </c>
      <c r="F306" s="77" t="str">
        <f t="shared" si="5"/>
        <v>erika.helmersson-akhe@kaller.com.new.uat</v>
      </c>
      <c r="G306" s="18" t="s">
        <v>1427</v>
      </c>
      <c r="H306" s="77" t="str">
        <f>UKG!AQ306</f>
        <v>erika.helmersson-akhe@kaller.com</v>
      </c>
      <c r="I306" s="18" t="str">
        <f>IFERROR(VLOOKUP(J306,'Language Map'!M:O,3,FALSE),"en_US")</f>
        <v>sv_SE</v>
      </c>
      <c r="J306" s="77" t="str">
        <f>UKG!BF306</f>
        <v>SE</v>
      </c>
      <c r="L306" s="77" t="str">
        <f>IFERROR(VLOOKUP(UKG!BA306,'UKG Company Map'!B:G,7,FALSE),"Ledger Code Not Matched")</f>
        <v>Ledger Code Not Matched</v>
      </c>
      <c r="M306" s="18" t="str">
        <f>UKG!BH306</f>
        <v>SEK</v>
      </c>
      <c r="O306" s="18" t="str">
        <f>UKG!BJ306</f>
        <v>Y</v>
      </c>
      <c r="P306" s="18" t="str">
        <f>IFERROR(VLOOKUP(UKG!BA306,'UKG Company Map'!B:E,2,FALSE),"Org Unit 1 Not Mapped")</f>
        <v>0077</v>
      </c>
      <c r="Q306" s="77" t="str">
        <f>UKG!BB306</f>
        <v>0000</v>
      </c>
      <c r="W306" s="77" t="str">
        <f>UKG!Q306</f>
        <v>S06</v>
      </c>
      <c r="X306" s="18" t="str">
        <f>UKG!BC306</f>
        <v>Default</v>
      </c>
      <c r="Z306" s="18" t="str">
        <f>IFERROR(VLOOKUP(UKG!BA306,'UKG Company Map'!B:G,8,FALSE),"Custom 5 Not Matched")</f>
        <v>Custom 5 Not Matched</v>
      </c>
      <c r="AP306" s="18" t="str">
        <f>IFERROR(VLOOKUP(UKG!BA306,'UKG Company Map'!B:G,4,FALSE),"Custom 21 Exp Group Not Matched")</f>
        <v>0077</v>
      </c>
      <c r="BG306" s="77" t="str">
        <f>UKG!AZ306</f>
        <v>205058</v>
      </c>
      <c r="BK306" s="18" t="s">
        <v>1421</v>
      </c>
      <c r="BL306" s="18" t="s">
        <v>1421</v>
      </c>
      <c r="BU306" s="18" t="str">
        <f>UKG!BL306</f>
        <v>N</v>
      </c>
      <c r="BV306" s="18" t="str">
        <f>UKG!BL306</f>
        <v>N</v>
      </c>
      <c r="CE306" s="18" t="s">
        <v>1421</v>
      </c>
    </row>
    <row r="307" spans="1:83" ht="16" hidden="1" thickBot="1" x14ac:dyDescent="0.25">
      <c r="A307" s="39" t="s">
        <v>1420</v>
      </c>
      <c r="B307" s="77" t="str">
        <f>UKG!BO307</f>
        <v>Emil</v>
      </c>
      <c r="D307" s="77" t="str">
        <f>UKG!BN307</f>
        <v>Jidskog</v>
      </c>
      <c r="E307" s="77" t="str">
        <f>UKG!D307</f>
        <v>212947</v>
      </c>
      <c r="F307" s="77" t="str">
        <f t="shared" si="5"/>
        <v>ejidskog@onebarnes.com.new.uat</v>
      </c>
      <c r="G307" s="18" t="s">
        <v>1427</v>
      </c>
      <c r="H307" s="77" t="str">
        <f>UKG!AQ307</f>
        <v>ejidskog@onebarnes.com</v>
      </c>
      <c r="I307" s="18" t="str">
        <f>IFERROR(VLOOKUP(J307,'Language Map'!M:O,3,FALSE),"en_US")</f>
        <v>sv_SE</v>
      </c>
      <c r="J307" s="77" t="str">
        <f>UKG!BF307</f>
        <v>SE</v>
      </c>
      <c r="L307" s="77" t="str">
        <f>IFERROR(VLOOKUP(UKG!BA307,'UKG Company Map'!B:G,7,FALSE),"Ledger Code Not Matched")</f>
        <v>Ledger Code Not Matched</v>
      </c>
      <c r="M307" s="18" t="str">
        <f>UKG!BH307</f>
        <v>SEK</v>
      </c>
      <c r="O307" s="18" t="str">
        <f>UKG!BJ307</f>
        <v>Y</v>
      </c>
      <c r="P307" s="18" t="str">
        <f>IFERROR(VLOOKUP(UKG!BA307,'UKG Company Map'!B:E,2,FALSE),"Org Unit 1 Not Mapped")</f>
        <v>0077</v>
      </c>
      <c r="Q307" s="77" t="str">
        <f>UKG!BB307</f>
        <v>0000</v>
      </c>
      <c r="W307" s="77" t="str">
        <f>UKG!Q307</f>
        <v>S14</v>
      </c>
      <c r="X307" s="18" t="str">
        <f>UKG!BC307</f>
        <v>Default</v>
      </c>
      <c r="Z307" s="18" t="str">
        <f>IFERROR(VLOOKUP(UKG!BA307,'UKG Company Map'!B:G,8,FALSE),"Custom 5 Not Matched")</f>
        <v>Custom 5 Not Matched</v>
      </c>
      <c r="AP307" s="18" t="str">
        <f>IFERROR(VLOOKUP(UKG!BA307,'UKG Company Map'!B:G,4,FALSE),"Custom 21 Exp Group Not Matched")</f>
        <v>0077</v>
      </c>
      <c r="BG307" s="77" t="str">
        <f>UKG!AZ307</f>
        <v>205373</v>
      </c>
      <c r="BK307" s="18" t="s">
        <v>1421</v>
      </c>
      <c r="BL307" s="18" t="s">
        <v>1421</v>
      </c>
      <c r="BU307" s="18" t="str">
        <f>UKG!BL307</f>
        <v>N</v>
      </c>
      <c r="BV307" s="18" t="str">
        <f>UKG!BL307</f>
        <v>N</v>
      </c>
      <c r="CE307" s="18" t="s">
        <v>1421</v>
      </c>
    </row>
    <row r="308" spans="1:83" ht="16" hidden="1" thickBot="1" x14ac:dyDescent="0.25">
      <c r="A308" s="39" t="s">
        <v>1420</v>
      </c>
      <c r="B308" s="77" t="str">
        <f>UKG!BO308</f>
        <v>MÅRTEN</v>
      </c>
      <c r="D308" s="77" t="str">
        <f>UKG!BN308</f>
        <v>JOHANSSON</v>
      </c>
      <c r="E308" s="77" t="str">
        <f>UKG!D308</f>
        <v>205073</v>
      </c>
      <c r="F308" s="77" t="str">
        <f t="shared" si="5"/>
        <v>MJohansson@onebarnes.com.new.uat</v>
      </c>
      <c r="G308" s="18" t="s">
        <v>1427</v>
      </c>
      <c r="H308" s="77" t="str">
        <f>UKG!AQ308</f>
        <v>MJohansson@onebarnes.com</v>
      </c>
      <c r="I308" s="18" t="str">
        <f>IFERROR(VLOOKUP(J308,'Language Map'!M:O,3,FALSE),"en_US")</f>
        <v>sv_SE</v>
      </c>
      <c r="J308" s="77" t="str">
        <f>UKG!BF308</f>
        <v>SE</v>
      </c>
      <c r="L308" s="77" t="str">
        <f>IFERROR(VLOOKUP(UKG!BA308,'UKG Company Map'!B:G,7,FALSE),"Ledger Code Not Matched")</f>
        <v>Ledger Code Not Matched</v>
      </c>
      <c r="M308" s="18" t="str">
        <f>UKG!BH308</f>
        <v>SEK</v>
      </c>
      <c r="O308" s="18" t="str">
        <f>UKG!BJ308</f>
        <v>Y</v>
      </c>
      <c r="P308" s="18" t="str">
        <f>IFERROR(VLOOKUP(UKG!BA308,'UKG Company Map'!B:E,2,FALSE),"Org Unit 1 Not Mapped")</f>
        <v>0077</v>
      </c>
      <c r="Q308" s="77" t="str">
        <f>UKG!BB308</f>
        <v>0000</v>
      </c>
      <c r="W308" s="77" t="str">
        <f>UKG!Q308</f>
        <v>S14</v>
      </c>
      <c r="X308" s="18" t="str">
        <f>UKG!BC308</f>
        <v>Default</v>
      </c>
      <c r="Z308" s="18" t="str">
        <f>IFERROR(VLOOKUP(UKG!BA308,'UKG Company Map'!B:G,8,FALSE),"Custom 5 Not Matched")</f>
        <v>Custom 5 Not Matched</v>
      </c>
      <c r="AP308" s="18" t="str">
        <f>IFERROR(VLOOKUP(UKG!BA308,'UKG Company Map'!B:G,4,FALSE),"Custom 21 Exp Group Not Matched")</f>
        <v>0077</v>
      </c>
      <c r="BG308" s="77" t="str">
        <f>UKG!AZ308</f>
        <v>205368</v>
      </c>
      <c r="BK308" s="18" t="s">
        <v>1421</v>
      </c>
      <c r="BL308" s="18" t="s">
        <v>1421</v>
      </c>
      <c r="BU308" s="18" t="str">
        <f>UKG!BL308</f>
        <v>N</v>
      </c>
      <c r="BV308" s="18" t="str">
        <f>UKG!BL308</f>
        <v>N</v>
      </c>
      <c r="CE308" s="18" t="s">
        <v>1421</v>
      </c>
    </row>
    <row r="309" spans="1:83" ht="16" hidden="1" thickBot="1" x14ac:dyDescent="0.25">
      <c r="A309" s="39" t="s">
        <v>1420</v>
      </c>
      <c r="B309" s="77" t="str">
        <f>UKG!BO309</f>
        <v>LUDWIG</v>
      </c>
      <c r="D309" s="77" t="str">
        <f>UKG!BN309</f>
        <v>JOHNSSON</v>
      </c>
      <c r="E309" s="77" t="str">
        <f>UKG!D309</f>
        <v>205086</v>
      </c>
      <c r="F309" s="77" t="str">
        <f t="shared" si="5"/>
        <v>LJohnsson@onebarnes.com.new.uat</v>
      </c>
      <c r="G309" s="18" t="s">
        <v>1427</v>
      </c>
      <c r="H309" s="77" t="str">
        <f>UKG!AQ309</f>
        <v>LJohnsson@onebarnes.com</v>
      </c>
      <c r="I309" s="18" t="str">
        <f>IFERROR(VLOOKUP(J309,'Language Map'!M:O,3,FALSE),"en_US")</f>
        <v>sv_SE</v>
      </c>
      <c r="J309" s="77" t="str">
        <f>UKG!BF309</f>
        <v>SE</v>
      </c>
      <c r="L309" s="77" t="str">
        <f>IFERROR(VLOOKUP(UKG!BA309,'UKG Company Map'!B:G,7,FALSE),"Ledger Code Not Matched")</f>
        <v>Ledger Code Not Matched</v>
      </c>
      <c r="M309" s="18" t="str">
        <f>UKG!BH309</f>
        <v>SEK</v>
      </c>
      <c r="O309" s="18" t="str">
        <f>UKG!BJ309</f>
        <v>Y</v>
      </c>
      <c r="P309" s="18" t="str">
        <f>IFERROR(VLOOKUP(UKG!BA309,'UKG Company Map'!B:E,2,FALSE),"Org Unit 1 Not Mapped")</f>
        <v>0077</v>
      </c>
      <c r="Q309" s="77" t="str">
        <f>UKG!BB309</f>
        <v>0000</v>
      </c>
      <c r="W309" s="77" t="str">
        <f>UKG!Q309</f>
        <v>S14</v>
      </c>
      <c r="X309" s="18" t="str">
        <f>UKG!BC309</f>
        <v>Default</v>
      </c>
      <c r="Z309" s="18" t="str">
        <f>IFERROR(VLOOKUP(UKG!BA309,'UKG Company Map'!B:G,8,FALSE),"Custom 5 Not Matched")</f>
        <v>Custom 5 Not Matched</v>
      </c>
      <c r="AP309" s="18" t="str">
        <f>IFERROR(VLOOKUP(UKG!BA309,'UKG Company Map'!B:G,4,FALSE),"Custom 21 Exp Group Not Matched")</f>
        <v>0077</v>
      </c>
      <c r="BG309" s="77" t="str">
        <f>UKG!AZ309</f>
        <v>213066</v>
      </c>
      <c r="BK309" s="18" t="s">
        <v>1421</v>
      </c>
      <c r="BL309" s="18" t="s">
        <v>1421</v>
      </c>
      <c r="BU309" s="18" t="str">
        <f>UKG!BL309</f>
        <v>N</v>
      </c>
      <c r="BV309" s="18" t="str">
        <f>UKG!BL309</f>
        <v>N</v>
      </c>
      <c r="CE309" s="18" t="s">
        <v>1421</v>
      </c>
    </row>
    <row r="310" spans="1:83" ht="16" hidden="1" thickBot="1" x14ac:dyDescent="0.25">
      <c r="A310" s="39" t="s">
        <v>1420</v>
      </c>
      <c r="B310" s="77" t="str">
        <f>UKG!BO310</f>
        <v>ANDERS</v>
      </c>
      <c r="D310" s="77" t="str">
        <f>UKG!BN310</f>
        <v>KÄLLKVIST</v>
      </c>
      <c r="E310" s="77" t="str">
        <f>UKG!D310</f>
        <v>205372</v>
      </c>
      <c r="F310" s="77" t="str">
        <f t="shared" si="5"/>
        <v>akallkvist@onebarnes.com.new.uat</v>
      </c>
      <c r="G310" s="18" t="s">
        <v>1427</v>
      </c>
      <c r="H310" s="77" t="str">
        <f>UKG!AQ310</f>
        <v>akallkvist@onebarnes.com</v>
      </c>
      <c r="I310" s="18" t="str">
        <f>IFERROR(VLOOKUP(J310,'Language Map'!M:O,3,FALSE),"en_US")</f>
        <v>sv_SE</v>
      </c>
      <c r="J310" s="77" t="str">
        <f>UKG!BF310</f>
        <v>SE</v>
      </c>
      <c r="L310" s="77" t="str">
        <f>IFERROR(VLOOKUP(UKG!BA310,'UKG Company Map'!B:G,7,FALSE),"Ledger Code Not Matched")</f>
        <v>Ledger Code Not Matched</v>
      </c>
      <c r="M310" s="18" t="str">
        <f>UKG!BH310</f>
        <v>SEK</v>
      </c>
      <c r="O310" s="18" t="str">
        <f>UKG!BJ310</f>
        <v>Y</v>
      </c>
      <c r="P310" s="18" t="str">
        <f>IFERROR(VLOOKUP(UKG!BA310,'UKG Company Map'!B:E,2,FALSE),"Org Unit 1 Not Mapped")</f>
        <v>0077</v>
      </c>
      <c r="Q310" s="77" t="str">
        <f>UKG!BB310</f>
        <v>0000</v>
      </c>
      <c r="W310" s="77" t="str">
        <f>UKG!Q310</f>
        <v>S14</v>
      </c>
      <c r="X310" s="18" t="str">
        <f>UKG!BC310</f>
        <v>Default</v>
      </c>
      <c r="Z310" s="18" t="str">
        <f>IFERROR(VLOOKUP(UKG!BA310,'UKG Company Map'!B:G,8,FALSE),"Custom 5 Not Matched")</f>
        <v>Custom 5 Not Matched</v>
      </c>
      <c r="AP310" s="18" t="str">
        <f>IFERROR(VLOOKUP(UKG!BA310,'UKG Company Map'!B:G,4,FALSE),"Custom 21 Exp Group Not Matched")</f>
        <v>0077</v>
      </c>
      <c r="BG310" s="77" t="str">
        <f>UKG!AZ310</f>
        <v>213066</v>
      </c>
      <c r="BK310" s="18" t="s">
        <v>1421</v>
      </c>
      <c r="BL310" s="18" t="s">
        <v>1421</v>
      </c>
      <c r="BU310" s="18" t="str">
        <f>UKG!BL310</f>
        <v>N</v>
      </c>
      <c r="BV310" s="18" t="str">
        <f>UKG!BL310</f>
        <v>N</v>
      </c>
      <c r="CE310" s="18" t="s">
        <v>1421</v>
      </c>
    </row>
    <row r="311" spans="1:83" ht="16" hidden="1" thickBot="1" x14ac:dyDescent="0.25">
      <c r="A311" s="39" t="s">
        <v>1420</v>
      </c>
      <c r="B311" s="77" t="str">
        <f>UKG!BO311</f>
        <v>LISA</v>
      </c>
      <c r="D311" s="77" t="str">
        <f>UKG!BN311</f>
        <v>KARLSSON</v>
      </c>
      <c r="E311" s="77" t="str">
        <f>UKG!D311</f>
        <v>205059</v>
      </c>
      <c r="F311" s="77" t="str">
        <f t="shared" si="5"/>
        <v>LKarlsson@onebarnes.com.new.uat</v>
      </c>
      <c r="G311" s="18" t="s">
        <v>1427</v>
      </c>
      <c r="H311" s="77" t="str">
        <f>UKG!AQ311</f>
        <v>LKarlsson@onebarnes.com</v>
      </c>
      <c r="I311" s="18" t="str">
        <f>IFERROR(VLOOKUP(J311,'Language Map'!M:O,3,FALSE),"en_US")</f>
        <v>sv_SE</v>
      </c>
      <c r="J311" s="77" t="str">
        <f>UKG!BF311</f>
        <v>SE</v>
      </c>
      <c r="L311" s="77" t="str">
        <f>IFERROR(VLOOKUP(UKG!BA311,'UKG Company Map'!B:G,7,FALSE),"Ledger Code Not Matched")</f>
        <v>Ledger Code Not Matched</v>
      </c>
      <c r="M311" s="18" t="str">
        <f>UKG!BH311</f>
        <v>SEK</v>
      </c>
      <c r="O311" s="18" t="str">
        <f>UKG!BJ311</f>
        <v>Y</v>
      </c>
      <c r="P311" s="18" t="str">
        <f>IFERROR(VLOOKUP(UKG!BA311,'UKG Company Map'!B:E,2,FALSE),"Org Unit 1 Not Mapped")</f>
        <v>0077</v>
      </c>
      <c r="Q311" s="77" t="str">
        <f>UKG!BB311</f>
        <v>0000</v>
      </c>
      <c r="W311" s="77" t="str">
        <f>UKG!Q311</f>
        <v>S05</v>
      </c>
      <c r="X311" s="18" t="str">
        <f>UKG!BC311</f>
        <v>Default</v>
      </c>
      <c r="Z311" s="18" t="str">
        <f>IFERROR(VLOOKUP(UKG!BA311,'UKG Company Map'!B:G,8,FALSE),"Custom 5 Not Matched")</f>
        <v>Custom 5 Not Matched</v>
      </c>
      <c r="AP311" s="18" t="str">
        <f>IFERROR(VLOOKUP(UKG!BA311,'UKG Company Map'!B:G,4,FALSE),"Custom 21 Exp Group Not Matched")</f>
        <v>0077</v>
      </c>
      <c r="BG311" s="77" t="str">
        <f>UKG!AZ311</f>
        <v>205058</v>
      </c>
      <c r="BK311" s="18" t="s">
        <v>1421</v>
      </c>
      <c r="BL311" s="18" t="s">
        <v>1421</v>
      </c>
      <c r="BU311" s="18" t="str">
        <f>UKG!BL311</f>
        <v>N</v>
      </c>
      <c r="BV311" s="18" t="str">
        <f>UKG!BL311</f>
        <v>N</v>
      </c>
      <c r="CE311" s="18" t="s">
        <v>1421</v>
      </c>
    </row>
    <row r="312" spans="1:83" ht="16" hidden="1" thickBot="1" x14ac:dyDescent="0.25">
      <c r="A312" s="39" t="s">
        <v>1420</v>
      </c>
      <c r="B312" s="77" t="str">
        <f>UKG!BO312</f>
        <v>JONAS</v>
      </c>
      <c r="D312" s="77" t="str">
        <f>UKG!BN312</f>
        <v>LÄGERUD</v>
      </c>
      <c r="E312" s="77" t="str">
        <f>UKG!D312</f>
        <v>205103</v>
      </c>
      <c r="F312" s="77" t="str">
        <f t="shared" si="5"/>
        <v>JLagerud@onebarnes.com.new.uat</v>
      </c>
      <c r="G312" s="18" t="s">
        <v>1427</v>
      </c>
      <c r="H312" s="77" t="str">
        <f>UKG!AQ312</f>
        <v>JLagerud@onebarnes.com</v>
      </c>
      <c r="I312" s="18" t="str">
        <f>IFERROR(VLOOKUP(J312,'Language Map'!M:O,3,FALSE),"en_US")</f>
        <v>sv_SE</v>
      </c>
      <c r="J312" s="77" t="str">
        <f>UKG!BF312</f>
        <v>SE</v>
      </c>
      <c r="L312" s="77" t="str">
        <f>IFERROR(VLOOKUP(UKG!BA312,'UKG Company Map'!B:G,7,FALSE),"Ledger Code Not Matched")</f>
        <v>Ledger Code Not Matched</v>
      </c>
      <c r="M312" s="18" t="str">
        <f>UKG!BH312</f>
        <v>SEK</v>
      </c>
      <c r="O312" s="18" t="str">
        <f>UKG!BJ312</f>
        <v>Y</v>
      </c>
      <c r="P312" s="18" t="str">
        <f>IFERROR(VLOOKUP(UKG!BA312,'UKG Company Map'!B:E,2,FALSE),"Org Unit 1 Not Mapped")</f>
        <v>0077</v>
      </c>
      <c r="Q312" s="77" t="str">
        <f>UKG!BB312</f>
        <v>0000</v>
      </c>
      <c r="W312" s="77" t="str">
        <f>UKG!Q312</f>
        <v>S06</v>
      </c>
      <c r="X312" s="18" t="str">
        <f>UKG!BC312</f>
        <v>Default</v>
      </c>
      <c r="Z312" s="18" t="str">
        <f>IFERROR(VLOOKUP(UKG!BA312,'UKG Company Map'!B:G,8,FALSE),"Custom 5 Not Matched")</f>
        <v>Custom 5 Not Matched</v>
      </c>
      <c r="AP312" s="18" t="str">
        <f>IFERROR(VLOOKUP(UKG!BA312,'UKG Company Map'!B:G,4,FALSE),"Custom 21 Exp Group Not Matched")</f>
        <v>0077</v>
      </c>
      <c r="BG312" s="77" t="str">
        <f>UKG!AZ312</f>
        <v>205058</v>
      </c>
      <c r="BK312" s="18" t="s">
        <v>1421</v>
      </c>
      <c r="BL312" s="18" t="s">
        <v>1421</v>
      </c>
      <c r="BU312" s="18" t="str">
        <f>UKG!BL312</f>
        <v>N</v>
      </c>
      <c r="BV312" s="18" t="str">
        <f>UKG!BL312</f>
        <v>N</v>
      </c>
      <c r="CE312" s="18" t="s">
        <v>1421</v>
      </c>
    </row>
    <row r="313" spans="1:83" ht="16" hidden="1" thickBot="1" x14ac:dyDescent="0.25">
      <c r="A313" s="39" t="s">
        <v>1420</v>
      </c>
      <c r="B313" s="77" t="str">
        <f>UKG!BO313</f>
        <v>MARKUS</v>
      </c>
      <c r="D313" s="77" t="str">
        <f>UKG!BN313</f>
        <v>LENNARTSSON</v>
      </c>
      <c r="E313" s="77" t="str">
        <f>UKG!D313</f>
        <v>205376</v>
      </c>
      <c r="F313" s="77" t="str">
        <f t="shared" si="5"/>
        <v>MLennartsson@onebarnes.com.new.uat</v>
      </c>
      <c r="G313" s="18" t="s">
        <v>1427</v>
      </c>
      <c r="H313" s="77" t="str">
        <f>UKG!AQ313</f>
        <v>MLennartsson@onebarnes.com</v>
      </c>
      <c r="I313" s="18" t="str">
        <f>IFERROR(VLOOKUP(J313,'Language Map'!M:O,3,FALSE),"en_US")</f>
        <v>sv_SE</v>
      </c>
      <c r="J313" s="77" t="str">
        <f>UKG!BF313</f>
        <v>SE</v>
      </c>
      <c r="L313" s="77" t="str">
        <f>IFERROR(VLOOKUP(UKG!BA313,'UKG Company Map'!B:G,7,FALSE),"Ledger Code Not Matched")</f>
        <v>Ledger Code Not Matched</v>
      </c>
      <c r="M313" s="18" t="str">
        <f>UKG!BH313</f>
        <v>SEK</v>
      </c>
      <c r="O313" s="18" t="str">
        <f>UKG!BJ313</f>
        <v>Y</v>
      </c>
      <c r="P313" s="18" t="str">
        <f>IFERROR(VLOOKUP(UKG!BA313,'UKG Company Map'!B:E,2,FALSE),"Org Unit 1 Not Mapped")</f>
        <v>0077</v>
      </c>
      <c r="Q313" s="77" t="str">
        <f>UKG!BB313</f>
        <v>0000</v>
      </c>
      <c r="W313" s="77" t="str">
        <f>UKG!Q313</f>
        <v>S14</v>
      </c>
      <c r="X313" s="18" t="str">
        <f>UKG!BC313</f>
        <v>Default</v>
      </c>
      <c r="Z313" s="18" t="str">
        <f>IFERROR(VLOOKUP(UKG!BA313,'UKG Company Map'!B:G,8,FALSE),"Custom 5 Not Matched")</f>
        <v>Custom 5 Not Matched</v>
      </c>
      <c r="AP313" s="18" t="str">
        <f>IFERROR(VLOOKUP(UKG!BA313,'UKG Company Map'!B:G,4,FALSE),"Custom 21 Exp Group Not Matched")</f>
        <v>0077</v>
      </c>
      <c r="BG313" s="77" t="str">
        <f>UKG!AZ313</f>
        <v>211474</v>
      </c>
      <c r="BK313" s="18" t="s">
        <v>1421</v>
      </c>
      <c r="BL313" s="18" t="s">
        <v>1421</v>
      </c>
      <c r="BU313" s="18" t="str">
        <f>UKG!BL313</f>
        <v>N</v>
      </c>
      <c r="BV313" s="18" t="str">
        <f>UKG!BL313</f>
        <v>N</v>
      </c>
      <c r="CE313" s="18" t="s">
        <v>1421</v>
      </c>
    </row>
    <row r="314" spans="1:83" ht="16" hidden="1" thickBot="1" x14ac:dyDescent="0.25">
      <c r="A314" s="39" t="s">
        <v>1420</v>
      </c>
      <c r="B314" s="77" t="str">
        <f>UKG!BO314</f>
        <v>Daria</v>
      </c>
      <c r="D314" s="77" t="str">
        <f>UKG!BN314</f>
        <v>Lewandowska</v>
      </c>
      <c r="E314" s="77" t="str">
        <f>UKG!D314</f>
        <v>210833</v>
      </c>
      <c r="F314" s="77" t="str">
        <f t="shared" si="5"/>
        <v>dlewandowska@onebarnes.com.new.uat</v>
      </c>
      <c r="G314" s="18" t="s">
        <v>1427</v>
      </c>
      <c r="H314" s="77" t="str">
        <f>UKG!AQ314</f>
        <v>dlewandowska@onebarnes.com</v>
      </c>
      <c r="I314" s="18" t="str">
        <f>IFERROR(VLOOKUP(J314,'Language Map'!M:O,3,FALSE),"en_US")</f>
        <v>sv_SE</v>
      </c>
      <c r="J314" s="77" t="str">
        <f>UKG!BF314</f>
        <v>SE</v>
      </c>
      <c r="L314" s="77" t="str">
        <f>IFERROR(VLOOKUP(UKG!BA314,'UKG Company Map'!B:G,7,FALSE),"Ledger Code Not Matched")</f>
        <v>Ledger Code Not Matched</v>
      </c>
      <c r="M314" s="18" t="str">
        <f>UKG!BH314</f>
        <v>SEK</v>
      </c>
      <c r="O314" s="18" t="str">
        <f>UKG!BJ314</f>
        <v>Y</v>
      </c>
      <c r="P314" s="18" t="str">
        <f>IFERROR(VLOOKUP(UKG!BA314,'UKG Company Map'!B:E,2,FALSE),"Org Unit 1 Not Mapped")</f>
        <v>0077</v>
      </c>
      <c r="Q314" s="77" t="str">
        <f>UKG!BB314</f>
        <v>0000</v>
      </c>
      <c r="W314" s="77" t="str">
        <f>UKG!Q314</f>
        <v>S12</v>
      </c>
      <c r="X314" s="18" t="str">
        <f>UKG!BC314</f>
        <v>Default</v>
      </c>
      <c r="Z314" s="18" t="str">
        <f>IFERROR(VLOOKUP(UKG!BA314,'UKG Company Map'!B:G,8,FALSE),"Custom 5 Not Matched")</f>
        <v>Custom 5 Not Matched</v>
      </c>
      <c r="AP314" s="18" t="str">
        <f>IFERROR(VLOOKUP(UKG!BA314,'UKG Company Map'!B:G,4,FALSE),"Custom 21 Exp Group Not Matched")</f>
        <v>0077</v>
      </c>
      <c r="BG314" s="77" t="str">
        <f>UKG!AZ314</f>
        <v>211766</v>
      </c>
      <c r="BK314" s="18" t="s">
        <v>1421</v>
      </c>
      <c r="BL314" s="18" t="s">
        <v>1421</v>
      </c>
      <c r="BU314" s="18" t="str">
        <f>UKG!BL314</f>
        <v>N</v>
      </c>
      <c r="BV314" s="18" t="str">
        <f>UKG!BL314</f>
        <v>N</v>
      </c>
      <c r="CE314" s="18" t="s">
        <v>1421</v>
      </c>
    </row>
    <row r="315" spans="1:83" ht="16" hidden="1" thickBot="1" x14ac:dyDescent="0.25">
      <c r="A315" s="39" t="s">
        <v>1420</v>
      </c>
      <c r="B315" s="77" t="str">
        <f>UKG!BO315</f>
        <v>PETER</v>
      </c>
      <c r="D315" s="77" t="str">
        <f>UKG!BN315</f>
        <v>LÖÖKE</v>
      </c>
      <c r="E315" s="77" t="str">
        <f>UKG!D315</f>
        <v>205087</v>
      </c>
      <c r="F315" s="77" t="str">
        <f t="shared" si="5"/>
        <v>plooke@onebarnes.com.new.uat</v>
      </c>
      <c r="G315" s="18" t="s">
        <v>1427</v>
      </c>
      <c r="H315" s="77" t="str">
        <f>UKG!AQ315</f>
        <v>plooke@onebarnes.com</v>
      </c>
      <c r="I315" s="18" t="str">
        <f>IFERROR(VLOOKUP(J315,'Language Map'!M:O,3,FALSE),"en_US")</f>
        <v>sv_SE</v>
      </c>
      <c r="J315" s="77" t="str">
        <f>UKG!BF315</f>
        <v>SE</v>
      </c>
      <c r="L315" s="77" t="str">
        <f>IFERROR(VLOOKUP(UKG!BA315,'UKG Company Map'!B:G,7,FALSE),"Ledger Code Not Matched")</f>
        <v>Ledger Code Not Matched</v>
      </c>
      <c r="M315" s="18" t="str">
        <f>UKG!BH315</f>
        <v>SEK</v>
      </c>
      <c r="O315" s="18" t="str">
        <f>UKG!BJ315</f>
        <v>Y</v>
      </c>
      <c r="P315" s="18" t="str">
        <f>IFERROR(VLOOKUP(UKG!BA315,'UKG Company Map'!B:E,2,FALSE),"Org Unit 1 Not Mapped")</f>
        <v>0077</v>
      </c>
      <c r="Q315" s="77" t="str">
        <f>UKG!BB315</f>
        <v>0000</v>
      </c>
      <c r="W315" s="77" t="str">
        <f>UKG!Q315</f>
        <v>S15</v>
      </c>
      <c r="X315" s="18" t="str">
        <f>UKG!BC315</f>
        <v>Default</v>
      </c>
      <c r="Z315" s="18" t="str">
        <f>IFERROR(VLOOKUP(UKG!BA315,'UKG Company Map'!B:G,8,FALSE),"Custom 5 Not Matched")</f>
        <v>Custom 5 Not Matched</v>
      </c>
      <c r="AP315" s="18" t="str">
        <f>IFERROR(VLOOKUP(UKG!BA315,'UKG Company Map'!B:G,4,FALSE),"Custom 21 Exp Group Not Matched")</f>
        <v>0077</v>
      </c>
      <c r="BG315" s="77" t="str">
        <f>UKG!AZ315</f>
        <v>213066</v>
      </c>
      <c r="BK315" s="18" t="s">
        <v>1421</v>
      </c>
      <c r="BL315" s="18" t="s">
        <v>1421</v>
      </c>
      <c r="BU315" s="18" t="str">
        <f>UKG!BL315</f>
        <v>N</v>
      </c>
      <c r="BV315" s="18" t="str">
        <f>UKG!BL315</f>
        <v>N</v>
      </c>
      <c r="CE315" s="18" t="s">
        <v>1421</v>
      </c>
    </row>
    <row r="316" spans="1:83" ht="16" hidden="1" thickBot="1" x14ac:dyDescent="0.25">
      <c r="A316" s="39" t="s">
        <v>1420</v>
      </c>
      <c r="B316" s="77" t="str">
        <f>UKG!BO316</f>
        <v>THOMAS</v>
      </c>
      <c r="D316" s="77" t="str">
        <f>UKG!BN316</f>
        <v>LÖÖKE</v>
      </c>
      <c r="E316" s="77" t="str">
        <f>UKG!D316</f>
        <v>205380</v>
      </c>
      <c r="F316" s="77" t="str">
        <f t="shared" si="5"/>
        <v>tlooke@onebarnes.com.new.uat</v>
      </c>
      <c r="G316" s="18" t="s">
        <v>1427</v>
      </c>
      <c r="H316" s="77" t="str">
        <f>UKG!AQ316</f>
        <v>tlooke@onebarnes.com</v>
      </c>
      <c r="I316" s="18" t="str">
        <f>IFERROR(VLOOKUP(J316,'Language Map'!M:O,3,FALSE),"en_US")</f>
        <v>sv_SE</v>
      </c>
      <c r="J316" s="77" t="str">
        <f>UKG!BF316</f>
        <v>SE</v>
      </c>
      <c r="L316" s="77" t="str">
        <f>IFERROR(VLOOKUP(UKG!BA316,'UKG Company Map'!B:G,7,FALSE),"Ledger Code Not Matched")</f>
        <v>Ledger Code Not Matched</v>
      </c>
      <c r="M316" s="18" t="str">
        <f>UKG!BH316</f>
        <v>SEK</v>
      </c>
      <c r="O316" s="18" t="str">
        <f>UKG!BJ316</f>
        <v>Y</v>
      </c>
      <c r="P316" s="18" t="str">
        <f>IFERROR(VLOOKUP(UKG!BA316,'UKG Company Map'!B:E,2,FALSE),"Org Unit 1 Not Mapped")</f>
        <v>0077</v>
      </c>
      <c r="Q316" s="77" t="str">
        <f>UKG!BB316</f>
        <v>0000</v>
      </c>
      <c r="W316" s="77" t="str">
        <f>UKG!Q316</f>
        <v>S06</v>
      </c>
      <c r="X316" s="18" t="str">
        <f>UKG!BC316</f>
        <v>Default</v>
      </c>
      <c r="Z316" s="18" t="str">
        <f>IFERROR(VLOOKUP(UKG!BA316,'UKG Company Map'!B:G,8,FALSE),"Custom 5 Not Matched")</f>
        <v>Custom 5 Not Matched</v>
      </c>
      <c r="AP316" s="18" t="str">
        <f>IFERROR(VLOOKUP(UKG!BA316,'UKG Company Map'!B:G,4,FALSE),"Custom 21 Exp Group Not Matched")</f>
        <v>0077</v>
      </c>
      <c r="BG316" s="77" t="str">
        <f>UKG!AZ316</f>
        <v>205058</v>
      </c>
      <c r="BK316" s="18" t="s">
        <v>1421</v>
      </c>
      <c r="BL316" s="18" t="s">
        <v>1421</v>
      </c>
      <c r="BU316" s="18" t="str">
        <f>UKG!BL316</f>
        <v>N</v>
      </c>
      <c r="BV316" s="18" t="str">
        <f>UKG!BL316</f>
        <v>N</v>
      </c>
      <c r="CE316" s="18" t="s">
        <v>1421</v>
      </c>
    </row>
    <row r="317" spans="1:83" ht="16" hidden="1" thickBot="1" x14ac:dyDescent="0.25">
      <c r="A317" s="39" t="s">
        <v>1420</v>
      </c>
      <c r="B317" s="77" t="str">
        <f>UKG!BO317</f>
        <v>PETRA</v>
      </c>
      <c r="D317" s="77" t="str">
        <f>UKG!BN317</f>
        <v>MAGNUSSON</v>
      </c>
      <c r="E317" s="77" t="str">
        <f>UKG!D317</f>
        <v>205065</v>
      </c>
      <c r="F317" s="77" t="str">
        <f t="shared" si="5"/>
        <v>PMagnusson@onebarnes.com.new.uat</v>
      </c>
      <c r="G317" s="18" t="s">
        <v>1427</v>
      </c>
      <c r="H317" s="77" t="str">
        <f>UKG!AQ317</f>
        <v>PMagnusson@onebarnes.com</v>
      </c>
      <c r="I317" s="18" t="str">
        <f>IFERROR(VLOOKUP(J317,'Language Map'!M:O,3,FALSE),"en_US")</f>
        <v>sv_SE</v>
      </c>
      <c r="J317" s="77" t="str">
        <f>UKG!BF317</f>
        <v>SE</v>
      </c>
      <c r="L317" s="77" t="str">
        <f>IFERROR(VLOOKUP(UKG!BA317,'UKG Company Map'!B:G,7,FALSE),"Ledger Code Not Matched")</f>
        <v>Ledger Code Not Matched</v>
      </c>
      <c r="M317" s="18" t="str">
        <f>UKG!BH317</f>
        <v>SEK</v>
      </c>
      <c r="O317" s="18" t="str">
        <f>UKG!BJ317</f>
        <v>Y</v>
      </c>
      <c r="P317" s="18" t="str">
        <f>IFERROR(VLOOKUP(UKG!BA317,'UKG Company Map'!B:E,2,FALSE),"Org Unit 1 Not Mapped")</f>
        <v>0077</v>
      </c>
      <c r="Q317" s="77" t="str">
        <f>UKG!BB317</f>
        <v>0000</v>
      </c>
      <c r="W317" s="77" t="str">
        <f>UKG!Q317</f>
        <v>S13</v>
      </c>
      <c r="X317" s="18" t="str">
        <f>UKG!BC317</f>
        <v>Default</v>
      </c>
      <c r="Z317" s="18" t="str">
        <f>IFERROR(VLOOKUP(UKG!BA317,'UKG Company Map'!B:G,8,FALSE),"Custom 5 Not Matched")</f>
        <v>Custom 5 Not Matched</v>
      </c>
      <c r="AP317" s="18" t="str">
        <f>IFERROR(VLOOKUP(UKG!BA317,'UKG Company Map'!B:G,4,FALSE),"Custom 21 Exp Group Not Matched")</f>
        <v>0077</v>
      </c>
      <c r="BG317" s="77" t="str">
        <f>UKG!AZ317</f>
        <v>213453</v>
      </c>
      <c r="BK317" s="18" t="s">
        <v>1421</v>
      </c>
      <c r="BL317" s="18" t="s">
        <v>1421</v>
      </c>
      <c r="BU317" s="18" t="str">
        <f>UKG!BL317</f>
        <v>N</v>
      </c>
      <c r="BV317" s="18" t="str">
        <f>UKG!BL317</f>
        <v>N</v>
      </c>
      <c r="CE317" s="18" t="s">
        <v>1421</v>
      </c>
    </row>
    <row r="318" spans="1:83" ht="16" hidden="1" thickBot="1" x14ac:dyDescent="0.25">
      <c r="A318" s="39" t="s">
        <v>1420</v>
      </c>
      <c r="B318" s="77" t="str">
        <f>UKG!BO318</f>
        <v>CHRISTER</v>
      </c>
      <c r="D318" s="77" t="str">
        <f>UKG!BN318</f>
        <v>MÅLQUIST</v>
      </c>
      <c r="E318" s="77" t="str">
        <f>UKG!D318</f>
        <v>207448</v>
      </c>
      <c r="F318" s="77" t="str">
        <f t="shared" si="5"/>
        <v>cmalquist@onebarnes.com.new.uat</v>
      </c>
      <c r="G318" s="18" t="s">
        <v>1427</v>
      </c>
      <c r="H318" s="77" t="str">
        <f>UKG!AQ318</f>
        <v>cmalquist@onebarnes.com</v>
      </c>
      <c r="I318" s="18" t="str">
        <f>IFERROR(VLOOKUP(J318,'Language Map'!M:O,3,FALSE),"en_US")</f>
        <v>sv_SE</v>
      </c>
      <c r="J318" s="77" t="str">
        <f>UKG!BF318</f>
        <v>SE</v>
      </c>
      <c r="L318" s="77" t="str">
        <f>IFERROR(VLOOKUP(UKG!BA318,'UKG Company Map'!B:G,7,FALSE),"Ledger Code Not Matched")</f>
        <v>Ledger Code Not Matched</v>
      </c>
      <c r="M318" s="18" t="str">
        <f>UKG!BH318</f>
        <v>SEK</v>
      </c>
      <c r="O318" s="18" t="str">
        <f>UKG!BJ318</f>
        <v>Y</v>
      </c>
      <c r="P318" s="18" t="str">
        <f>IFERROR(VLOOKUP(UKG!BA318,'UKG Company Map'!B:E,2,FALSE),"Org Unit 1 Not Mapped")</f>
        <v>0077</v>
      </c>
      <c r="Q318" s="77" t="str">
        <f>UKG!BB318</f>
        <v>0000</v>
      </c>
      <c r="W318" s="77" t="str">
        <f>UKG!Q318</f>
        <v>S13</v>
      </c>
      <c r="X318" s="18" t="str">
        <f>UKG!BC318</f>
        <v>Default</v>
      </c>
      <c r="Z318" s="18" t="str">
        <f>IFERROR(VLOOKUP(UKG!BA318,'UKG Company Map'!B:G,8,FALSE),"Custom 5 Not Matched")</f>
        <v>Custom 5 Not Matched</v>
      </c>
      <c r="AP318" s="18" t="str">
        <f>IFERROR(VLOOKUP(UKG!BA318,'UKG Company Map'!B:G,4,FALSE),"Custom 21 Exp Group Not Matched")</f>
        <v>0077</v>
      </c>
      <c r="BG318" s="77" t="str">
        <f>UKG!AZ318</f>
        <v>213066</v>
      </c>
      <c r="BK318" s="18" t="s">
        <v>1421</v>
      </c>
      <c r="BL318" s="18" t="s">
        <v>1421</v>
      </c>
      <c r="BU318" s="18" t="str">
        <f>UKG!BL318</f>
        <v>N</v>
      </c>
      <c r="BV318" s="18" t="str">
        <f>UKG!BL318</f>
        <v>N</v>
      </c>
      <c r="CE318" s="18" t="s">
        <v>1421</v>
      </c>
    </row>
    <row r="319" spans="1:83" ht="16" hidden="1" thickBot="1" x14ac:dyDescent="0.25">
      <c r="A319" s="39" t="s">
        <v>1420</v>
      </c>
      <c r="B319" s="77" t="str">
        <f>UKG!BO319</f>
        <v>Ludvig</v>
      </c>
      <c r="D319" s="77" t="str">
        <f>UKG!BN319</f>
        <v>Milton</v>
      </c>
      <c r="E319" s="77" t="str">
        <f>UKG!D319</f>
        <v>211649</v>
      </c>
      <c r="F319" s="77" t="str">
        <f t="shared" si="5"/>
        <v>lmilton@onebarnes.com.new.uat</v>
      </c>
      <c r="G319" s="18" t="s">
        <v>1427</v>
      </c>
      <c r="H319" s="77" t="str">
        <f>UKG!AQ319</f>
        <v>lmilton@onebarnes.com</v>
      </c>
      <c r="I319" s="18" t="str">
        <f>IFERROR(VLOOKUP(J319,'Language Map'!M:O,3,FALSE),"en_US")</f>
        <v>sv_SE</v>
      </c>
      <c r="J319" s="77" t="str">
        <f>UKG!BF319</f>
        <v>SE</v>
      </c>
      <c r="L319" s="77" t="str">
        <f>IFERROR(VLOOKUP(UKG!BA319,'UKG Company Map'!B:G,7,FALSE),"Ledger Code Not Matched")</f>
        <v>Ledger Code Not Matched</v>
      </c>
      <c r="M319" s="18" t="str">
        <f>UKG!BH319</f>
        <v>SEK</v>
      </c>
      <c r="O319" s="18" t="str">
        <f>UKG!BJ319</f>
        <v>Y</v>
      </c>
      <c r="P319" s="18" t="str">
        <f>IFERROR(VLOOKUP(UKG!BA319,'UKG Company Map'!B:E,2,FALSE),"Org Unit 1 Not Mapped")</f>
        <v>0077</v>
      </c>
      <c r="Q319" s="77" t="str">
        <f>UKG!BB319</f>
        <v>0000</v>
      </c>
      <c r="W319" s="77" t="str">
        <f>UKG!Q319</f>
        <v>S10</v>
      </c>
      <c r="X319" s="18" t="str">
        <f>UKG!BC319</f>
        <v>Default</v>
      </c>
      <c r="Z319" s="18" t="str">
        <f>IFERROR(VLOOKUP(UKG!BA319,'UKG Company Map'!B:G,8,FALSE),"Custom 5 Not Matched")</f>
        <v>Custom 5 Not Matched</v>
      </c>
      <c r="AP319" s="18" t="str">
        <f>IFERROR(VLOOKUP(UKG!BA319,'UKG Company Map'!B:G,4,FALSE),"Custom 21 Exp Group Not Matched")</f>
        <v>0077</v>
      </c>
      <c r="BG319" s="77" t="str">
        <f>UKG!AZ319</f>
        <v>211600</v>
      </c>
      <c r="BK319" s="18" t="s">
        <v>1421</v>
      </c>
      <c r="BL319" s="18" t="s">
        <v>1421</v>
      </c>
      <c r="BU319" s="18" t="str">
        <f>UKG!BL319</f>
        <v>N</v>
      </c>
      <c r="BV319" s="18" t="str">
        <f>UKG!BL319</f>
        <v>N</v>
      </c>
      <c r="CE319" s="18" t="s">
        <v>1421</v>
      </c>
    </row>
    <row r="320" spans="1:83" ht="16" hidden="1" thickBot="1" x14ac:dyDescent="0.25">
      <c r="A320" s="39" t="s">
        <v>1420</v>
      </c>
      <c r="B320" s="77" t="str">
        <f>UKG!BO320</f>
        <v>Nate</v>
      </c>
      <c r="D320" s="77" t="str">
        <f>UKG!BN320</f>
        <v>Moline</v>
      </c>
      <c r="E320" s="77" t="str">
        <f>UKG!D320</f>
        <v>206694</v>
      </c>
      <c r="F320" s="77" t="str">
        <f t="shared" si="5"/>
        <v>nate.moline@kaller.com.new.uat</v>
      </c>
      <c r="G320" s="18" t="s">
        <v>1427</v>
      </c>
      <c r="H320" s="77" t="str">
        <f>UKG!AQ320</f>
        <v>nate.moline@kaller.com</v>
      </c>
      <c r="I320" s="18" t="str">
        <f>IFERROR(VLOOKUP(J320,'Language Map'!M:O,3,FALSE),"en_US")</f>
        <v>sv_SE</v>
      </c>
      <c r="J320" s="77" t="str">
        <f>UKG!BF320</f>
        <v>SE</v>
      </c>
      <c r="L320" s="77" t="str">
        <f>IFERROR(VLOOKUP(UKG!BA320,'UKG Company Map'!B:G,7,FALSE),"Ledger Code Not Matched")</f>
        <v>Ledger Code Not Matched</v>
      </c>
      <c r="M320" s="18" t="str">
        <f>UKG!BH320</f>
        <v>SEK</v>
      </c>
      <c r="O320" s="18" t="str">
        <f>UKG!BJ320</f>
        <v>Y</v>
      </c>
      <c r="P320" s="18" t="str">
        <f>IFERROR(VLOOKUP(UKG!BA320,'UKG Company Map'!B:E,2,FALSE),"Org Unit 1 Not Mapped")</f>
        <v>0077</v>
      </c>
      <c r="Q320" s="77" t="str">
        <f>UKG!BB320</f>
        <v>0000</v>
      </c>
      <c r="W320" s="77" t="str">
        <f>UKG!Q320</f>
        <v>S16</v>
      </c>
      <c r="X320" s="18" t="str">
        <f>UKG!BC320</f>
        <v>Default</v>
      </c>
      <c r="Z320" s="18" t="str">
        <f>IFERROR(VLOOKUP(UKG!BA320,'UKG Company Map'!B:G,8,FALSE),"Custom 5 Not Matched")</f>
        <v>Custom 5 Not Matched</v>
      </c>
      <c r="AP320" s="18" t="str">
        <f>IFERROR(VLOOKUP(UKG!BA320,'UKG Company Map'!B:G,4,FALSE),"Custom 21 Exp Group Not Matched")</f>
        <v>0077</v>
      </c>
      <c r="BG320" s="77" t="str">
        <f>UKG!AZ320</f>
        <v>211766</v>
      </c>
      <c r="BK320" s="18" t="s">
        <v>1421</v>
      </c>
      <c r="BL320" s="18" t="s">
        <v>1421</v>
      </c>
      <c r="BU320" s="18" t="str">
        <f>UKG!BL320</f>
        <v>N</v>
      </c>
      <c r="BV320" s="18" t="str">
        <f>UKG!BL320</f>
        <v>N</v>
      </c>
      <c r="CE320" s="18" t="s">
        <v>1421</v>
      </c>
    </row>
    <row r="321" spans="1:83" ht="16" hidden="1" thickBot="1" x14ac:dyDescent="0.25">
      <c r="A321" s="39" t="s">
        <v>1420</v>
      </c>
      <c r="B321" s="77" t="str">
        <f>UKG!BO321</f>
        <v>PETER</v>
      </c>
      <c r="D321" s="77" t="str">
        <f>UKG!BN321</f>
        <v>NILSAGÅRD</v>
      </c>
      <c r="E321" s="77" t="str">
        <f>UKG!D321</f>
        <v>207184</v>
      </c>
      <c r="F321" s="77" t="str">
        <f t="shared" si="5"/>
        <v>pnilsagard@onebarnes.com.new.uat</v>
      </c>
      <c r="G321" s="18" t="s">
        <v>1427</v>
      </c>
      <c r="H321" s="77" t="str">
        <f>UKG!AQ321</f>
        <v>pnilsagard@onebarnes.com</v>
      </c>
      <c r="I321" s="18" t="str">
        <f>IFERROR(VLOOKUP(J321,'Language Map'!M:O,3,FALSE),"en_US")</f>
        <v>sv_SE</v>
      </c>
      <c r="J321" s="77" t="str">
        <f>UKG!BF321</f>
        <v>SE</v>
      </c>
      <c r="L321" s="77" t="str">
        <f>IFERROR(VLOOKUP(UKG!BA321,'UKG Company Map'!B:G,7,FALSE),"Ledger Code Not Matched")</f>
        <v>Ledger Code Not Matched</v>
      </c>
      <c r="M321" s="18" t="str">
        <f>UKG!BH321</f>
        <v>SEK</v>
      </c>
      <c r="O321" s="18" t="str">
        <f>UKG!BJ321</f>
        <v>Y</v>
      </c>
      <c r="P321" s="18" t="str">
        <f>IFERROR(VLOOKUP(UKG!BA321,'UKG Company Map'!B:E,2,FALSE),"Org Unit 1 Not Mapped")</f>
        <v>0077</v>
      </c>
      <c r="Q321" s="77" t="str">
        <f>UKG!BB321</f>
        <v>0000</v>
      </c>
      <c r="W321" s="77" t="str">
        <f>UKG!Q321</f>
        <v>S09</v>
      </c>
      <c r="X321" s="18" t="str">
        <f>UKG!BC321</f>
        <v>Default</v>
      </c>
      <c r="Z321" s="18" t="str">
        <f>IFERROR(VLOOKUP(UKG!BA321,'UKG Company Map'!B:G,8,FALSE),"Custom 5 Not Matched")</f>
        <v>Custom 5 Not Matched</v>
      </c>
      <c r="AP321" s="18" t="str">
        <f>IFERROR(VLOOKUP(UKG!BA321,'UKG Company Map'!B:G,4,FALSE),"Custom 21 Exp Group Not Matched")</f>
        <v>0077</v>
      </c>
      <c r="BG321" s="77" t="str">
        <f>UKG!AZ321</f>
        <v>205058</v>
      </c>
      <c r="BK321" s="18" t="s">
        <v>1421</v>
      </c>
      <c r="BL321" s="18" t="s">
        <v>1421</v>
      </c>
      <c r="BU321" s="18" t="str">
        <f>UKG!BL321</f>
        <v>N</v>
      </c>
      <c r="BV321" s="18" t="str">
        <f>UKG!BL321</f>
        <v>N</v>
      </c>
      <c r="CE321" s="18" t="s">
        <v>1421</v>
      </c>
    </row>
    <row r="322" spans="1:83" ht="16" hidden="1" thickBot="1" x14ac:dyDescent="0.25">
      <c r="A322" s="39" t="s">
        <v>1420</v>
      </c>
      <c r="B322" s="77" t="str">
        <f>UKG!BO322</f>
        <v>PER</v>
      </c>
      <c r="D322" s="77" t="str">
        <f>UKG!BN322</f>
        <v>NORDVALL</v>
      </c>
      <c r="E322" s="77" t="str">
        <f>UKG!D322</f>
        <v>205070</v>
      </c>
      <c r="F322" s="77" t="str">
        <f t="shared" si="5"/>
        <v>per.nordvall@kaller.com.new.uat</v>
      </c>
      <c r="G322" s="18" t="s">
        <v>1427</v>
      </c>
      <c r="H322" s="77" t="str">
        <f>UKG!AQ322</f>
        <v>per.nordvall@kaller.com</v>
      </c>
      <c r="I322" s="18" t="str">
        <f>IFERROR(VLOOKUP(J322,'Language Map'!M:O,3,FALSE),"en_US")</f>
        <v>sv_SE</v>
      </c>
      <c r="J322" s="77" t="str">
        <f>UKG!BF322</f>
        <v>SE</v>
      </c>
      <c r="L322" s="77" t="str">
        <f>IFERROR(VLOOKUP(UKG!BA322,'UKG Company Map'!B:G,7,FALSE),"Ledger Code Not Matched")</f>
        <v>Ledger Code Not Matched</v>
      </c>
      <c r="M322" s="18" t="str">
        <f>UKG!BH322</f>
        <v>SEK</v>
      </c>
      <c r="O322" s="18" t="str">
        <f>UKG!BJ322</f>
        <v>Y</v>
      </c>
      <c r="P322" s="18" t="str">
        <f>IFERROR(VLOOKUP(UKG!BA322,'UKG Company Map'!B:E,2,FALSE),"Org Unit 1 Not Mapped")</f>
        <v>0077</v>
      </c>
      <c r="Q322" s="77" t="str">
        <f>UKG!BB322</f>
        <v>0000</v>
      </c>
      <c r="W322" s="77" t="str">
        <f>UKG!Q322</f>
        <v>S12</v>
      </c>
      <c r="X322" s="18" t="str">
        <f>UKG!BC322</f>
        <v>Default</v>
      </c>
      <c r="Z322" s="18" t="str">
        <f>IFERROR(VLOOKUP(UKG!BA322,'UKG Company Map'!B:G,8,FALSE),"Custom 5 Not Matched")</f>
        <v>Custom 5 Not Matched</v>
      </c>
      <c r="AP322" s="18" t="str">
        <f>IFERROR(VLOOKUP(UKG!BA322,'UKG Company Map'!B:G,4,FALSE),"Custom 21 Exp Group Not Matched")</f>
        <v>0077</v>
      </c>
      <c r="BG322" s="77" t="str">
        <f>UKG!AZ322</f>
        <v>205368</v>
      </c>
      <c r="BK322" s="18" t="s">
        <v>1421</v>
      </c>
      <c r="BL322" s="18" t="s">
        <v>1421</v>
      </c>
      <c r="BU322" s="18" t="str">
        <f>UKG!BL322</f>
        <v>N</v>
      </c>
      <c r="BV322" s="18" t="str">
        <f>UKG!BL322</f>
        <v>N</v>
      </c>
      <c r="CE322" s="18" t="s">
        <v>1421</v>
      </c>
    </row>
    <row r="323" spans="1:83" ht="16" hidden="1" thickBot="1" x14ac:dyDescent="0.25">
      <c r="A323" s="39" t="s">
        <v>1420</v>
      </c>
      <c r="B323" s="77" t="str">
        <f>UKG!BO323</f>
        <v>MAGNUS</v>
      </c>
      <c r="D323" s="77" t="str">
        <f>UKG!BN323</f>
        <v>ÖBERG</v>
      </c>
      <c r="E323" s="77" t="str">
        <f>UKG!D323</f>
        <v>205386</v>
      </c>
      <c r="F323" s="77" t="str">
        <f t="shared" si="5"/>
        <v>moberg@onebarnes.com.new.uat</v>
      </c>
      <c r="G323" s="18" t="s">
        <v>1427</v>
      </c>
      <c r="H323" s="77" t="str">
        <f>UKG!AQ323</f>
        <v>moberg@onebarnes.com</v>
      </c>
      <c r="I323" s="18" t="str">
        <f>IFERROR(VLOOKUP(J323,'Language Map'!M:O,3,FALSE),"en_US")</f>
        <v>sv_SE</v>
      </c>
      <c r="J323" s="77" t="str">
        <f>UKG!BF323</f>
        <v>SE</v>
      </c>
      <c r="L323" s="77" t="str">
        <f>IFERROR(VLOOKUP(UKG!BA323,'UKG Company Map'!B:G,7,FALSE),"Ledger Code Not Matched")</f>
        <v>Ledger Code Not Matched</v>
      </c>
      <c r="M323" s="18" t="str">
        <f>UKG!BH323</f>
        <v>SEK</v>
      </c>
      <c r="O323" s="18" t="str">
        <f>UKG!BJ323</f>
        <v>Y</v>
      </c>
      <c r="P323" s="18" t="str">
        <f>IFERROR(VLOOKUP(UKG!BA323,'UKG Company Map'!B:E,2,FALSE),"Org Unit 1 Not Mapped")</f>
        <v>0077</v>
      </c>
      <c r="Q323" s="77" t="str">
        <f>UKG!BB323</f>
        <v>0000</v>
      </c>
      <c r="W323" s="77" t="str">
        <f>UKG!Q323</f>
        <v>S13</v>
      </c>
      <c r="X323" s="18" t="str">
        <f>UKG!BC323</f>
        <v>Default</v>
      </c>
      <c r="Z323" s="18" t="str">
        <f>IFERROR(VLOOKUP(UKG!BA323,'UKG Company Map'!B:G,8,FALSE),"Custom 5 Not Matched")</f>
        <v>Custom 5 Not Matched</v>
      </c>
      <c r="AP323" s="18" t="str">
        <f>IFERROR(VLOOKUP(UKG!BA323,'UKG Company Map'!B:G,4,FALSE),"Custom 21 Exp Group Not Matched")</f>
        <v>0077</v>
      </c>
      <c r="BG323" s="77" t="str">
        <f>UKG!AZ323</f>
        <v>205375</v>
      </c>
      <c r="BK323" s="18" t="s">
        <v>1421</v>
      </c>
      <c r="BL323" s="18" t="s">
        <v>1421</v>
      </c>
      <c r="BU323" s="18" t="str">
        <f>UKG!BL323</f>
        <v>N</v>
      </c>
      <c r="BV323" s="18" t="str">
        <f>UKG!BL323</f>
        <v>N</v>
      </c>
      <c r="CE323" s="18" t="s">
        <v>1421</v>
      </c>
    </row>
    <row r="324" spans="1:83" ht="16" hidden="1" thickBot="1" x14ac:dyDescent="0.25">
      <c r="A324" s="39" t="s">
        <v>1420</v>
      </c>
      <c r="B324" s="77" t="str">
        <f>UKG!BO324</f>
        <v>ALEXANDER</v>
      </c>
      <c r="D324" s="77" t="str">
        <f>UKG!BN324</f>
        <v>OTTOSSON</v>
      </c>
      <c r="E324" s="77" t="str">
        <f>UKG!D324</f>
        <v>205348</v>
      </c>
      <c r="F324" s="77" t="str">
        <f t="shared" si="5"/>
        <v>alexander.ottosson@kaller.com.new.uat</v>
      </c>
      <c r="G324" s="18" t="s">
        <v>1427</v>
      </c>
      <c r="H324" s="77" t="str">
        <f>UKG!AQ324</f>
        <v>alexander.ottosson@kaller.com</v>
      </c>
      <c r="I324" s="18" t="str">
        <f>IFERROR(VLOOKUP(J324,'Language Map'!M:O,3,FALSE),"en_US")</f>
        <v>sv_SE</v>
      </c>
      <c r="J324" s="77" t="str">
        <f>UKG!BF324</f>
        <v>SE</v>
      </c>
      <c r="L324" s="77" t="str">
        <f>IFERROR(VLOOKUP(UKG!BA324,'UKG Company Map'!B:G,7,FALSE),"Ledger Code Not Matched")</f>
        <v>Ledger Code Not Matched</v>
      </c>
      <c r="M324" s="18" t="str">
        <f>UKG!BH324</f>
        <v>SEK</v>
      </c>
      <c r="O324" s="18" t="str">
        <f>UKG!BJ324</f>
        <v>Y</v>
      </c>
      <c r="P324" s="18" t="str">
        <f>IFERROR(VLOOKUP(UKG!BA324,'UKG Company Map'!B:E,2,FALSE),"Org Unit 1 Not Mapped")</f>
        <v>0077</v>
      </c>
      <c r="Q324" s="77" t="str">
        <f>UKG!BB324</f>
        <v>0000</v>
      </c>
      <c r="W324" s="77" t="str">
        <f>UKG!Q324</f>
        <v>S14</v>
      </c>
      <c r="X324" s="18" t="str">
        <f>UKG!BC324</f>
        <v>Default</v>
      </c>
      <c r="Z324" s="18" t="str">
        <f>IFERROR(VLOOKUP(UKG!BA324,'UKG Company Map'!B:G,8,FALSE),"Custom 5 Not Matched")</f>
        <v>Custom 5 Not Matched</v>
      </c>
      <c r="AP324" s="18" t="str">
        <f>IFERROR(VLOOKUP(UKG!BA324,'UKG Company Map'!B:G,4,FALSE),"Custom 21 Exp Group Not Matched")</f>
        <v>0077</v>
      </c>
      <c r="BG324" s="77" t="str">
        <f>UKG!AZ324</f>
        <v>205373</v>
      </c>
      <c r="BK324" s="18" t="s">
        <v>1421</v>
      </c>
      <c r="BL324" s="18" t="s">
        <v>1421</v>
      </c>
      <c r="BU324" s="18" t="str">
        <f>UKG!BL324</f>
        <v>N</v>
      </c>
      <c r="BV324" s="18" t="str">
        <f>UKG!BL324</f>
        <v>N</v>
      </c>
      <c r="CE324" s="18" t="s">
        <v>1421</v>
      </c>
    </row>
    <row r="325" spans="1:83" ht="16" hidden="1" thickBot="1" x14ac:dyDescent="0.25">
      <c r="A325" s="39" t="s">
        <v>1420</v>
      </c>
      <c r="B325" s="77" t="str">
        <f>UKG!BO325</f>
        <v>CHRISTOFFER</v>
      </c>
      <c r="D325" s="77" t="str">
        <f>UKG!BN325</f>
        <v>OTTOSSON</v>
      </c>
      <c r="E325" s="77" t="str">
        <f>UKG!D325</f>
        <v>205357</v>
      </c>
      <c r="F325" s="77" t="str">
        <f t="shared" si="5"/>
        <v>christoffer.ottosson@kaller.com.new.uat</v>
      </c>
      <c r="G325" s="18" t="s">
        <v>1427</v>
      </c>
      <c r="H325" s="77" t="str">
        <f>UKG!AQ325</f>
        <v>christoffer.ottosson@kaller.com</v>
      </c>
      <c r="I325" s="18" t="str">
        <f>IFERROR(VLOOKUP(J325,'Language Map'!M:O,3,FALSE),"en_US")</f>
        <v>sv_SE</v>
      </c>
      <c r="J325" s="77" t="str">
        <f>UKG!BF325</f>
        <v>SE</v>
      </c>
      <c r="L325" s="77" t="str">
        <f>IFERROR(VLOOKUP(UKG!BA325,'UKG Company Map'!B:G,7,FALSE),"Ledger Code Not Matched")</f>
        <v>Ledger Code Not Matched</v>
      </c>
      <c r="M325" s="18" t="str">
        <f>UKG!BH325</f>
        <v>SEK</v>
      </c>
      <c r="O325" s="18" t="str">
        <f>UKG!BJ325</f>
        <v>Y</v>
      </c>
      <c r="P325" s="18" t="str">
        <f>IFERROR(VLOOKUP(UKG!BA325,'UKG Company Map'!B:E,2,FALSE),"Org Unit 1 Not Mapped")</f>
        <v>0077</v>
      </c>
      <c r="Q325" s="77" t="str">
        <f>UKG!BB325</f>
        <v>0000</v>
      </c>
      <c r="W325" s="77" t="str">
        <f>UKG!Q325</f>
        <v>S11</v>
      </c>
      <c r="X325" s="18" t="str">
        <f>UKG!BC325</f>
        <v>Default</v>
      </c>
      <c r="Z325" s="18" t="str">
        <f>IFERROR(VLOOKUP(UKG!BA325,'UKG Company Map'!B:G,8,FALSE),"Custom 5 Not Matched")</f>
        <v>Custom 5 Not Matched</v>
      </c>
      <c r="AP325" s="18" t="str">
        <f>IFERROR(VLOOKUP(UKG!BA325,'UKG Company Map'!B:G,4,FALSE),"Custom 21 Exp Group Not Matched")</f>
        <v>0077</v>
      </c>
      <c r="BG325" s="77" t="str">
        <f>UKG!AZ325</f>
        <v>207199</v>
      </c>
      <c r="BK325" s="18" t="s">
        <v>1421</v>
      </c>
      <c r="BL325" s="18" t="s">
        <v>1421</v>
      </c>
      <c r="BU325" s="18" t="str">
        <f>UKG!BL325</f>
        <v>N</v>
      </c>
      <c r="BV325" s="18" t="str">
        <f>UKG!BL325</f>
        <v>N</v>
      </c>
      <c r="CE325" s="18" t="s">
        <v>1421</v>
      </c>
    </row>
    <row r="326" spans="1:83" ht="16" hidden="1" thickBot="1" x14ac:dyDescent="0.25">
      <c r="A326" s="39" t="s">
        <v>1420</v>
      </c>
      <c r="B326" s="77" t="str">
        <f>UKG!BO326</f>
        <v>ULF</v>
      </c>
      <c r="D326" s="77" t="str">
        <f>UKG!BN326</f>
        <v>OTTOSSON</v>
      </c>
      <c r="E326" s="77" t="str">
        <f>UKG!D326</f>
        <v>205390</v>
      </c>
      <c r="F326" s="77" t="str">
        <f t="shared" si="5"/>
        <v>UOttosson@onebarnes.com.new.uat</v>
      </c>
      <c r="G326" s="18" t="s">
        <v>1427</v>
      </c>
      <c r="H326" s="77" t="str">
        <f>UKG!AQ326</f>
        <v>UOttosson@onebarnes.com</v>
      </c>
      <c r="I326" s="18" t="str">
        <f>IFERROR(VLOOKUP(J326,'Language Map'!M:O,3,FALSE),"en_US")</f>
        <v>sv_SE</v>
      </c>
      <c r="J326" s="77" t="str">
        <f>UKG!BF326</f>
        <v>SE</v>
      </c>
      <c r="L326" s="77" t="str">
        <f>IFERROR(VLOOKUP(UKG!BA326,'UKG Company Map'!B:G,7,FALSE),"Ledger Code Not Matched")</f>
        <v>Ledger Code Not Matched</v>
      </c>
      <c r="M326" s="18" t="str">
        <f>UKG!BH326</f>
        <v>SEK</v>
      </c>
      <c r="O326" s="18" t="str">
        <f>UKG!BJ326</f>
        <v>Y</v>
      </c>
      <c r="P326" s="18" t="str">
        <f>IFERROR(VLOOKUP(UKG!BA326,'UKG Company Map'!B:E,2,FALSE),"Org Unit 1 Not Mapped")</f>
        <v>0077</v>
      </c>
      <c r="Q326" s="77" t="str">
        <f>UKG!BB326</f>
        <v>0000</v>
      </c>
      <c r="W326" s="77" t="str">
        <f>UKG!Q326</f>
        <v>S10</v>
      </c>
      <c r="X326" s="18" t="str">
        <f>UKG!BC326</f>
        <v>Default</v>
      </c>
      <c r="Z326" s="18" t="str">
        <f>IFERROR(VLOOKUP(UKG!BA326,'UKG Company Map'!B:G,8,FALSE),"Custom 5 Not Matched")</f>
        <v>Custom 5 Not Matched</v>
      </c>
      <c r="AP326" s="18" t="str">
        <f>IFERROR(VLOOKUP(UKG!BA326,'UKG Company Map'!B:G,4,FALSE),"Custom 21 Exp Group Not Matched")</f>
        <v>0077</v>
      </c>
      <c r="BG326" s="77" t="str">
        <f>UKG!AZ326</f>
        <v>211474</v>
      </c>
      <c r="BK326" s="18" t="s">
        <v>1421</v>
      </c>
      <c r="BL326" s="18" t="s">
        <v>1421</v>
      </c>
      <c r="BU326" s="18" t="str">
        <f>UKG!BL326</f>
        <v>N</v>
      </c>
      <c r="BV326" s="18" t="str">
        <f>UKG!BL326</f>
        <v>N</v>
      </c>
      <c r="CE326" s="18" t="s">
        <v>1421</v>
      </c>
    </row>
    <row r="327" spans="1:83" ht="16" hidden="1" thickBot="1" x14ac:dyDescent="0.25">
      <c r="A327" s="39" t="s">
        <v>1420</v>
      </c>
      <c r="B327" s="77" t="str">
        <f>UKG!BO327</f>
        <v>BEMIR</v>
      </c>
      <c r="D327" s="77" t="str">
        <f>UKG!BN327</f>
        <v>PASALIC</v>
      </c>
      <c r="E327" s="77" t="str">
        <f>UKG!D327</f>
        <v>205363</v>
      </c>
      <c r="F327" s="77" t="str">
        <f t="shared" si="5"/>
        <v>bemir.pasalic@kaller.com.new.uat</v>
      </c>
      <c r="G327" s="18" t="s">
        <v>1427</v>
      </c>
      <c r="H327" s="77" t="str">
        <f>UKG!AQ327</f>
        <v>bemir.pasalic@kaller.com</v>
      </c>
      <c r="I327" s="18" t="str">
        <f>IFERROR(VLOOKUP(J327,'Language Map'!M:O,3,FALSE),"en_US")</f>
        <v>sv_SE</v>
      </c>
      <c r="J327" s="77" t="str">
        <f>UKG!BF327</f>
        <v>SE</v>
      </c>
      <c r="L327" s="77" t="str">
        <f>IFERROR(VLOOKUP(UKG!BA327,'UKG Company Map'!B:G,7,FALSE),"Ledger Code Not Matched")</f>
        <v>Ledger Code Not Matched</v>
      </c>
      <c r="M327" s="18" t="str">
        <f>UKG!BH327</f>
        <v>SEK</v>
      </c>
      <c r="O327" s="18" t="str">
        <f>UKG!BJ327</f>
        <v>N</v>
      </c>
      <c r="P327" s="18" t="str">
        <f>IFERROR(VLOOKUP(UKG!BA327,'UKG Company Map'!B:E,2,FALSE),"Org Unit 1 Not Mapped")</f>
        <v>0077</v>
      </c>
      <c r="Q327" s="77" t="str">
        <f>UKG!BB327</f>
        <v>0000</v>
      </c>
      <c r="W327" s="77" t="str">
        <f>UKG!Q327</f>
        <v>S16</v>
      </c>
      <c r="X327" s="18" t="str">
        <f>UKG!BC327</f>
        <v>Default</v>
      </c>
      <c r="Z327" s="18" t="str">
        <f>IFERROR(VLOOKUP(UKG!BA327,'UKG Company Map'!B:G,8,FALSE),"Custom 5 Not Matched")</f>
        <v>Custom 5 Not Matched</v>
      </c>
      <c r="AP327" s="18" t="str">
        <f>IFERROR(VLOOKUP(UKG!BA327,'UKG Company Map'!B:G,4,FALSE),"Custom 21 Exp Group Not Matched")</f>
        <v>0077</v>
      </c>
      <c r="BG327" s="77" t="str">
        <f>UKG!AZ327</f>
        <v>207199</v>
      </c>
      <c r="BK327" s="18" t="s">
        <v>1421</v>
      </c>
      <c r="BL327" s="18" t="s">
        <v>1421</v>
      </c>
      <c r="BU327" s="18" t="str">
        <f>UKG!BL327</f>
        <v>N</v>
      </c>
      <c r="BV327" s="18" t="str">
        <f>UKG!BL327</f>
        <v>N</v>
      </c>
      <c r="CE327" s="18" t="s">
        <v>1421</v>
      </c>
    </row>
    <row r="328" spans="1:83" ht="16" hidden="1" thickBot="1" x14ac:dyDescent="0.25">
      <c r="A328" s="39" t="s">
        <v>1420</v>
      </c>
      <c r="B328" s="77" t="str">
        <f>UKG!BO328</f>
        <v>HANNA</v>
      </c>
      <c r="D328" s="77" t="str">
        <f>UKG!BN328</f>
        <v>PERSSON</v>
      </c>
      <c r="E328" s="77" t="str">
        <f>UKG!D328</f>
        <v>205405</v>
      </c>
      <c r="F328" s="77" t="str">
        <f t="shared" si="5"/>
        <v>HPersson@onebarnes.com.new.uat</v>
      </c>
      <c r="G328" s="18" t="s">
        <v>1427</v>
      </c>
      <c r="H328" s="77" t="str">
        <f>UKG!AQ328</f>
        <v>HPersson@onebarnes.com</v>
      </c>
      <c r="I328" s="18" t="str">
        <f>IFERROR(VLOOKUP(J328,'Language Map'!M:O,3,FALSE),"en_US")</f>
        <v>sv_SE</v>
      </c>
      <c r="J328" s="77" t="str">
        <f>UKG!BF328</f>
        <v>SE</v>
      </c>
      <c r="L328" s="77" t="str">
        <f>IFERROR(VLOOKUP(UKG!BA328,'UKG Company Map'!B:G,7,FALSE),"Ledger Code Not Matched")</f>
        <v>Ledger Code Not Matched</v>
      </c>
      <c r="M328" s="18" t="str">
        <f>UKG!BH328</f>
        <v>SEK</v>
      </c>
      <c r="O328" s="18" t="str">
        <f>UKG!BJ328</f>
        <v>Y</v>
      </c>
      <c r="P328" s="18" t="str">
        <f>IFERROR(VLOOKUP(UKG!BA328,'UKG Company Map'!B:E,2,FALSE),"Org Unit 1 Not Mapped")</f>
        <v>0077</v>
      </c>
      <c r="Q328" s="77" t="str">
        <f>UKG!BB328</f>
        <v>0000</v>
      </c>
      <c r="W328" s="77" t="str">
        <f>UKG!Q328</f>
        <v>S10</v>
      </c>
      <c r="X328" s="18" t="str">
        <f>UKG!BC328</f>
        <v>Default</v>
      </c>
      <c r="Z328" s="18" t="str">
        <f>IFERROR(VLOOKUP(UKG!BA328,'UKG Company Map'!B:G,8,FALSE),"Custom 5 Not Matched")</f>
        <v>Custom 5 Not Matched</v>
      </c>
      <c r="AP328" s="18" t="str">
        <f>IFERROR(VLOOKUP(UKG!BA328,'UKG Company Map'!B:G,4,FALSE),"Custom 21 Exp Group Not Matched")</f>
        <v>0077</v>
      </c>
      <c r="BG328" s="77" t="str">
        <f>UKG!AZ328</f>
        <v>205408</v>
      </c>
      <c r="BK328" s="18" t="s">
        <v>1421</v>
      </c>
      <c r="BL328" s="18" t="s">
        <v>1421</v>
      </c>
      <c r="BU328" s="18" t="str">
        <f>UKG!BL328</f>
        <v>N</v>
      </c>
      <c r="BV328" s="18" t="str">
        <f>UKG!BL328</f>
        <v>N</v>
      </c>
      <c r="CE328" s="18" t="s">
        <v>1421</v>
      </c>
    </row>
    <row r="329" spans="1:83" ht="16" hidden="1" thickBot="1" x14ac:dyDescent="0.25">
      <c r="A329" s="39" t="s">
        <v>1420</v>
      </c>
      <c r="B329" s="77" t="str">
        <f>UKG!BO329</f>
        <v>JIMMIE</v>
      </c>
      <c r="D329" s="77" t="str">
        <f>UKG!BN329</f>
        <v>PERSSON</v>
      </c>
      <c r="E329" s="77" t="str">
        <f>UKG!D329</f>
        <v>205373</v>
      </c>
      <c r="F329" s="77" t="str">
        <f t="shared" si="5"/>
        <v>jimmie.persson@kaller.com.new.uat</v>
      </c>
      <c r="G329" s="18" t="s">
        <v>1427</v>
      </c>
      <c r="H329" s="77" t="str">
        <f>UKG!AQ329</f>
        <v>jimmie.persson@kaller.com</v>
      </c>
      <c r="I329" s="18" t="str">
        <f>IFERROR(VLOOKUP(J329,'Language Map'!M:O,3,FALSE),"en_US")</f>
        <v>sv_SE</v>
      </c>
      <c r="J329" s="77" t="str">
        <f>UKG!BF329</f>
        <v>SE</v>
      </c>
      <c r="L329" s="77" t="str">
        <f>IFERROR(VLOOKUP(UKG!BA329,'UKG Company Map'!B:G,7,FALSE),"Ledger Code Not Matched")</f>
        <v>Ledger Code Not Matched</v>
      </c>
      <c r="M329" s="18" t="str">
        <f>UKG!BH329</f>
        <v>SEK</v>
      </c>
      <c r="O329" s="18" t="str">
        <f>UKG!BJ329</f>
        <v>Y</v>
      </c>
      <c r="P329" s="18" t="str">
        <f>IFERROR(VLOOKUP(UKG!BA329,'UKG Company Map'!B:E,2,FALSE),"Org Unit 1 Not Mapped")</f>
        <v>0077</v>
      </c>
      <c r="Q329" s="77" t="str">
        <f>UKG!BB329</f>
        <v>0000</v>
      </c>
      <c r="W329" s="77" t="str">
        <f>UKG!Q329</f>
        <v>S19</v>
      </c>
      <c r="X329" s="18" t="str">
        <f>UKG!BC329</f>
        <v>Default</v>
      </c>
      <c r="Z329" s="18" t="str">
        <f>IFERROR(VLOOKUP(UKG!BA329,'UKG Company Map'!B:G,8,FALSE),"Custom 5 Not Matched")</f>
        <v>Custom 5 Not Matched</v>
      </c>
      <c r="AP329" s="18" t="str">
        <f>IFERROR(VLOOKUP(UKG!BA329,'UKG Company Map'!B:G,4,FALSE),"Custom 21 Exp Group Not Matched")</f>
        <v>0077</v>
      </c>
      <c r="BG329" s="77" t="str">
        <f>UKG!AZ329</f>
        <v>207709</v>
      </c>
      <c r="BK329" s="18" t="s">
        <v>1421</v>
      </c>
      <c r="BL329" s="18" t="s">
        <v>1421</v>
      </c>
      <c r="BU329" s="18" t="str">
        <f>UKG!BL329</f>
        <v>N</v>
      </c>
      <c r="BV329" s="18" t="str">
        <f>UKG!BL329</f>
        <v>N</v>
      </c>
      <c r="CE329" s="18" t="s">
        <v>1421</v>
      </c>
    </row>
    <row r="330" spans="1:83" ht="16" hidden="1" thickBot="1" x14ac:dyDescent="0.25">
      <c r="A330" s="39" t="s">
        <v>1420</v>
      </c>
      <c r="B330" s="77" t="str">
        <f>UKG!BO330</f>
        <v>CHRISTER</v>
      </c>
      <c r="D330" s="77" t="str">
        <f>UKG!BN330</f>
        <v>RING</v>
      </c>
      <c r="E330" s="77" t="str">
        <f>UKG!D330</f>
        <v>205407</v>
      </c>
      <c r="F330" s="77" t="str">
        <f t="shared" si="5"/>
        <v>CRing@onebarnes.com.new.uat</v>
      </c>
      <c r="G330" s="18" t="s">
        <v>1427</v>
      </c>
      <c r="H330" s="77" t="str">
        <f>UKG!AQ330</f>
        <v>CRing@onebarnes.com</v>
      </c>
      <c r="I330" s="18" t="str">
        <f>IFERROR(VLOOKUP(J330,'Language Map'!M:O,3,FALSE),"en_US")</f>
        <v>sv_SE</v>
      </c>
      <c r="J330" s="77" t="str">
        <f>UKG!BF330</f>
        <v>SE</v>
      </c>
      <c r="L330" s="77" t="str">
        <f>IFERROR(VLOOKUP(UKG!BA330,'UKG Company Map'!B:G,7,FALSE),"Ledger Code Not Matched")</f>
        <v>Ledger Code Not Matched</v>
      </c>
      <c r="M330" s="18" t="str">
        <f>UKG!BH330</f>
        <v>SEK</v>
      </c>
      <c r="O330" s="18" t="str">
        <f>UKG!BJ330</f>
        <v>Y</v>
      </c>
      <c r="P330" s="18" t="str">
        <f>IFERROR(VLOOKUP(UKG!BA330,'UKG Company Map'!B:E,2,FALSE),"Org Unit 1 Not Mapped")</f>
        <v>0077</v>
      </c>
      <c r="Q330" s="77" t="str">
        <f>UKG!BB330</f>
        <v>0000</v>
      </c>
      <c r="W330" s="77" t="str">
        <f>UKG!Q330</f>
        <v>S11</v>
      </c>
      <c r="X330" s="18" t="str">
        <f>UKG!BC330</f>
        <v>Default</v>
      </c>
      <c r="Z330" s="18" t="str">
        <f>IFERROR(VLOOKUP(UKG!BA330,'UKG Company Map'!B:G,8,FALSE),"Custom 5 Not Matched")</f>
        <v>Custom 5 Not Matched</v>
      </c>
      <c r="AP330" s="18" t="str">
        <f>IFERROR(VLOOKUP(UKG!BA330,'UKG Company Map'!B:G,4,FALSE),"Custom 21 Exp Group Not Matched")</f>
        <v>0077</v>
      </c>
      <c r="BG330" s="77" t="str">
        <f>UKG!AZ330</f>
        <v>205408</v>
      </c>
      <c r="BK330" s="18" t="s">
        <v>1421</v>
      </c>
      <c r="BL330" s="18" t="s">
        <v>1421</v>
      </c>
      <c r="BU330" s="18" t="str">
        <f>UKG!BL330</f>
        <v>N</v>
      </c>
      <c r="BV330" s="18" t="str">
        <f>UKG!BL330</f>
        <v>N</v>
      </c>
      <c r="CE330" s="18" t="s">
        <v>1421</v>
      </c>
    </row>
    <row r="331" spans="1:83" ht="16" hidden="1" thickBot="1" x14ac:dyDescent="0.25">
      <c r="A331" s="39" t="s">
        <v>1420</v>
      </c>
      <c r="B331" s="77" t="str">
        <f>UKG!BO331</f>
        <v>ALEXANDER</v>
      </c>
      <c r="D331" s="77" t="str">
        <f>UKG!BN331</f>
        <v>ROSÉN</v>
      </c>
      <c r="E331" s="77" t="str">
        <f>UKG!D331</f>
        <v>205233</v>
      </c>
      <c r="F331" s="77" t="str">
        <f t="shared" si="5"/>
        <v>arosen@onebarnes.com.new.uat</v>
      </c>
      <c r="G331" s="18" t="s">
        <v>1427</v>
      </c>
      <c r="H331" s="77" t="str">
        <f>UKG!AQ331</f>
        <v>arosen@onebarnes.com</v>
      </c>
      <c r="I331" s="18" t="str">
        <f>IFERROR(VLOOKUP(J331,'Language Map'!M:O,3,FALSE),"en_US")</f>
        <v>sv_SE</v>
      </c>
      <c r="J331" s="77" t="str">
        <f>UKG!BF331</f>
        <v>SE</v>
      </c>
      <c r="L331" s="77" t="str">
        <f>IFERROR(VLOOKUP(UKG!BA331,'UKG Company Map'!B:G,7,FALSE),"Ledger Code Not Matched")</f>
        <v>Ledger Code Not Matched</v>
      </c>
      <c r="M331" s="18" t="str">
        <f>UKG!BH331</f>
        <v>SEK</v>
      </c>
      <c r="O331" s="18" t="str">
        <f>UKG!BJ331</f>
        <v>Y</v>
      </c>
      <c r="P331" s="18" t="str">
        <f>IFERROR(VLOOKUP(UKG!BA331,'UKG Company Map'!B:E,2,FALSE),"Org Unit 1 Not Mapped")</f>
        <v>0077</v>
      </c>
      <c r="Q331" s="77" t="str">
        <f>UKG!BB331</f>
        <v>0000</v>
      </c>
      <c r="W331" s="77" t="str">
        <f>UKG!Q331</f>
        <v>S10</v>
      </c>
      <c r="X331" s="18" t="str">
        <f>UKG!BC331</f>
        <v>Default</v>
      </c>
      <c r="Z331" s="18" t="str">
        <f>IFERROR(VLOOKUP(UKG!BA331,'UKG Company Map'!B:G,8,FALSE),"Custom 5 Not Matched")</f>
        <v>Custom 5 Not Matched</v>
      </c>
      <c r="AP331" s="18" t="str">
        <f>IFERROR(VLOOKUP(UKG!BA331,'UKG Company Map'!B:G,4,FALSE),"Custom 21 Exp Group Not Matched")</f>
        <v>0077</v>
      </c>
      <c r="BG331" s="77" t="str">
        <f>UKG!AZ331</f>
        <v>211600</v>
      </c>
      <c r="BK331" s="18" t="s">
        <v>1421</v>
      </c>
      <c r="BL331" s="18" t="s">
        <v>1421</v>
      </c>
      <c r="BU331" s="18" t="str">
        <f>UKG!BL331</f>
        <v>N</v>
      </c>
      <c r="BV331" s="18" t="str">
        <f>UKG!BL331</f>
        <v>N</v>
      </c>
      <c r="CE331" s="18" t="s">
        <v>1421</v>
      </c>
    </row>
    <row r="332" spans="1:83" ht="16" hidden="1" thickBot="1" x14ac:dyDescent="0.25">
      <c r="A332" s="39" t="s">
        <v>1420</v>
      </c>
      <c r="B332" s="77" t="str">
        <f>UKG!BO332</f>
        <v>BILL</v>
      </c>
      <c r="D332" s="77" t="str">
        <f>UKG!BN332</f>
        <v>ROSÉN</v>
      </c>
      <c r="E332" s="77" t="str">
        <f>UKG!D332</f>
        <v>205060</v>
      </c>
      <c r="F332" s="77" t="str">
        <f t="shared" si="5"/>
        <v>brosen@onebarnes.com.new.uat</v>
      </c>
      <c r="G332" s="18" t="s">
        <v>1427</v>
      </c>
      <c r="H332" s="77" t="str">
        <f>UKG!AQ332</f>
        <v>brosen@onebarnes.com</v>
      </c>
      <c r="I332" s="18" t="str">
        <f>IFERROR(VLOOKUP(J332,'Language Map'!M:O,3,FALSE),"en_US")</f>
        <v>sv_SE</v>
      </c>
      <c r="J332" s="77" t="str">
        <f>UKG!BF332</f>
        <v>SE</v>
      </c>
      <c r="L332" s="77" t="str">
        <f>IFERROR(VLOOKUP(UKG!BA332,'UKG Company Map'!B:G,7,FALSE),"Ledger Code Not Matched")</f>
        <v>Ledger Code Not Matched</v>
      </c>
      <c r="M332" s="18" t="str">
        <f>UKG!BH332</f>
        <v>SEK</v>
      </c>
      <c r="O332" s="18" t="str">
        <f>UKG!BJ332</f>
        <v>Y</v>
      </c>
      <c r="P332" s="18" t="str">
        <f>IFERROR(VLOOKUP(UKG!BA332,'UKG Company Map'!B:E,2,FALSE),"Org Unit 1 Not Mapped")</f>
        <v>0077</v>
      </c>
      <c r="Q332" s="77" t="str">
        <f>UKG!BB332</f>
        <v>0000</v>
      </c>
      <c r="W332" s="77" t="str">
        <f>UKG!Q332</f>
        <v>S11</v>
      </c>
      <c r="X332" s="18" t="str">
        <f>UKG!BC332</f>
        <v>Default</v>
      </c>
      <c r="Z332" s="18" t="str">
        <f>IFERROR(VLOOKUP(UKG!BA332,'UKG Company Map'!B:G,8,FALSE),"Custom 5 Not Matched")</f>
        <v>Custom 5 Not Matched</v>
      </c>
      <c r="AP332" s="18" t="str">
        <f>IFERROR(VLOOKUP(UKG!BA332,'UKG Company Map'!B:G,4,FALSE),"Custom 21 Exp Group Not Matched")</f>
        <v>0077</v>
      </c>
      <c r="BG332" s="77" t="str">
        <f>UKG!AZ332</f>
        <v>211910</v>
      </c>
      <c r="BK332" s="18" t="s">
        <v>1421</v>
      </c>
      <c r="BL332" s="18" t="s">
        <v>1421</v>
      </c>
      <c r="BU332" s="18" t="str">
        <f>UKG!BL332</f>
        <v>N</v>
      </c>
      <c r="BV332" s="18" t="str">
        <f>UKG!BL332</f>
        <v>N</v>
      </c>
      <c r="CE332" s="18" t="s">
        <v>1421</v>
      </c>
    </row>
    <row r="333" spans="1:83" ht="16" hidden="1" thickBot="1" x14ac:dyDescent="0.25">
      <c r="A333" s="39" t="s">
        <v>1420</v>
      </c>
      <c r="B333" s="77" t="str">
        <f>UKG!BO333</f>
        <v>ELISABETH</v>
      </c>
      <c r="D333" s="77" t="str">
        <f>UKG!BN333</f>
        <v>ROSÉN</v>
      </c>
      <c r="E333" s="77" t="str">
        <f>UKG!D333</f>
        <v>205057</v>
      </c>
      <c r="F333" s="77" t="str">
        <f t="shared" si="5"/>
        <v>elisabeth.rosen@kaller.com.new.uat</v>
      </c>
      <c r="G333" s="18" t="s">
        <v>1427</v>
      </c>
      <c r="H333" s="77" t="str">
        <f>UKG!AQ333</f>
        <v>elisabeth.rosen@kaller.com</v>
      </c>
      <c r="I333" s="18" t="str">
        <f>IFERROR(VLOOKUP(J333,'Language Map'!M:O,3,FALSE),"en_US")</f>
        <v>sv_SE</v>
      </c>
      <c r="J333" s="77" t="str">
        <f>UKG!BF333</f>
        <v>SE</v>
      </c>
      <c r="L333" s="77" t="str">
        <f>IFERROR(VLOOKUP(UKG!BA333,'UKG Company Map'!B:G,7,FALSE),"Ledger Code Not Matched")</f>
        <v>Ledger Code Not Matched</v>
      </c>
      <c r="M333" s="18" t="str">
        <f>UKG!BH333</f>
        <v>SEK</v>
      </c>
      <c r="O333" s="18" t="str">
        <f>UKG!BJ333</f>
        <v>Y</v>
      </c>
      <c r="P333" s="18" t="str">
        <f>IFERROR(VLOOKUP(UKG!BA333,'UKG Company Map'!B:E,2,FALSE),"Org Unit 1 Not Mapped")</f>
        <v>0077</v>
      </c>
      <c r="Q333" s="77" t="str">
        <f>UKG!BB333</f>
        <v>0000</v>
      </c>
      <c r="W333" s="77" t="str">
        <f>UKG!Q333</f>
        <v>S10</v>
      </c>
      <c r="X333" s="18" t="str">
        <f>UKG!BC333</f>
        <v>Default</v>
      </c>
      <c r="Z333" s="18" t="str">
        <f>IFERROR(VLOOKUP(UKG!BA333,'UKG Company Map'!B:G,8,FALSE),"Custom 5 Not Matched")</f>
        <v>Custom 5 Not Matched</v>
      </c>
      <c r="AP333" s="18" t="str">
        <f>IFERROR(VLOOKUP(UKG!BA333,'UKG Company Map'!B:G,4,FALSE),"Custom 21 Exp Group Not Matched")</f>
        <v>0077</v>
      </c>
      <c r="BG333" s="77" t="str">
        <f>UKG!AZ333</f>
        <v>211601</v>
      </c>
      <c r="BK333" s="18" t="s">
        <v>1421</v>
      </c>
      <c r="BL333" s="18" t="s">
        <v>1421</v>
      </c>
      <c r="BU333" s="18" t="str">
        <f>UKG!BL333</f>
        <v>N</v>
      </c>
      <c r="BV333" s="18" t="str">
        <f>UKG!BL333</f>
        <v>N</v>
      </c>
      <c r="CE333" s="18" t="s">
        <v>1421</v>
      </c>
    </row>
    <row r="334" spans="1:83" ht="16" hidden="1" thickBot="1" x14ac:dyDescent="0.25">
      <c r="A334" s="39" t="s">
        <v>1420</v>
      </c>
      <c r="B334" s="77" t="str">
        <f>UKG!BO334</f>
        <v>Henrik</v>
      </c>
      <c r="D334" s="77" t="str">
        <f>UKG!BN334</f>
        <v>Rudelius</v>
      </c>
      <c r="E334" s="77" t="str">
        <f>UKG!D334</f>
        <v>211474</v>
      </c>
      <c r="F334" s="77" t="str">
        <f t="shared" si="5"/>
        <v>hrudelius@onebarnes.com.new.uat</v>
      </c>
      <c r="G334" s="18" t="s">
        <v>1427</v>
      </c>
      <c r="H334" s="77" t="str">
        <f>UKG!AQ334</f>
        <v>hrudelius@onebarnes.com</v>
      </c>
      <c r="I334" s="18" t="str">
        <f>IFERROR(VLOOKUP(J334,'Language Map'!M:O,3,FALSE),"en_US")</f>
        <v>sv_SE</v>
      </c>
      <c r="J334" s="77" t="str">
        <f>UKG!BF334</f>
        <v>SE</v>
      </c>
      <c r="L334" s="77" t="str">
        <f>IFERROR(VLOOKUP(UKG!BA334,'UKG Company Map'!B:G,7,FALSE),"Ledger Code Not Matched")</f>
        <v>Ledger Code Not Matched</v>
      </c>
      <c r="M334" s="18" t="str">
        <f>UKG!BH334</f>
        <v>SEK</v>
      </c>
      <c r="O334" s="18" t="str">
        <f>UKG!BJ334</f>
        <v>Y</v>
      </c>
      <c r="P334" s="18" t="str">
        <f>IFERROR(VLOOKUP(UKG!BA334,'UKG Company Map'!B:E,2,FALSE),"Org Unit 1 Not Mapped")</f>
        <v>0077</v>
      </c>
      <c r="Q334" s="77" t="str">
        <f>UKG!BB334</f>
        <v>0000</v>
      </c>
      <c r="W334" s="77" t="str">
        <f>UKG!Q334</f>
        <v>S19</v>
      </c>
      <c r="X334" s="18" t="str">
        <f>UKG!BC334</f>
        <v>Default</v>
      </c>
      <c r="Z334" s="18" t="str">
        <f>IFERROR(VLOOKUP(UKG!BA334,'UKG Company Map'!B:G,8,FALSE),"Custom 5 Not Matched")</f>
        <v>Custom 5 Not Matched</v>
      </c>
      <c r="AP334" s="18" t="str">
        <f>IFERROR(VLOOKUP(UKG!BA334,'UKG Company Map'!B:G,4,FALSE),"Custom 21 Exp Group Not Matched")</f>
        <v>0077</v>
      </c>
      <c r="BG334" s="77" t="str">
        <f>UKG!AZ334</f>
        <v>205389</v>
      </c>
      <c r="BK334" s="18" t="s">
        <v>1421</v>
      </c>
      <c r="BL334" s="18" t="s">
        <v>1421</v>
      </c>
      <c r="BU334" s="18" t="str">
        <f>UKG!BL334</f>
        <v>N</v>
      </c>
      <c r="BV334" s="18" t="str">
        <f>UKG!BL334</f>
        <v>N</v>
      </c>
      <c r="CE334" s="18" t="s">
        <v>1421</v>
      </c>
    </row>
    <row r="335" spans="1:83" ht="16" hidden="1" thickBot="1" x14ac:dyDescent="0.25">
      <c r="A335" s="39" t="s">
        <v>1420</v>
      </c>
      <c r="B335" s="77" t="str">
        <f>UKG!BO335</f>
        <v>HENRIK</v>
      </c>
      <c r="D335" s="77" t="str">
        <f>UKG!BN335</f>
        <v>SANFRIDSSON</v>
      </c>
      <c r="E335" s="77" t="str">
        <f>UKG!D335</f>
        <v>205401</v>
      </c>
      <c r="F335" s="77" t="str">
        <f t="shared" si="5"/>
        <v>HSanfridsson@onebarnes.com.new.uat</v>
      </c>
      <c r="G335" s="18" t="s">
        <v>1427</v>
      </c>
      <c r="H335" s="77" t="str">
        <f>UKG!AQ335</f>
        <v>HSanfridsson@onebarnes.com</v>
      </c>
      <c r="I335" s="18" t="str">
        <f>IFERROR(VLOOKUP(J335,'Language Map'!M:O,3,FALSE),"en_US")</f>
        <v>sv_SE</v>
      </c>
      <c r="J335" s="77" t="str">
        <f>UKG!BF335</f>
        <v>SE</v>
      </c>
      <c r="L335" s="77" t="str">
        <f>IFERROR(VLOOKUP(UKG!BA335,'UKG Company Map'!B:G,7,FALSE),"Ledger Code Not Matched")</f>
        <v>Ledger Code Not Matched</v>
      </c>
      <c r="M335" s="18" t="str">
        <f>UKG!BH335</f>
        <v>SEK</v>
      </c>
      <c r="O335" s="18" t="str">
        <f>UKG!BJ335</f>
        <v>Y</v>
      </c>
      <c r="P335" s="18" t="str">
        <f>IFERROR(VLOOKUP(UKG!BA335,'UKG Company Map'!B:E,2,FALSE),"Org Unit 1 Not Mapped")</f>
        <v>0077</v>
      </c>
      <c r="Q335" s="77" t="str">
        <f>UKG!BB335</f>
        <v>0000</v>
      </c>
      <c r="W335" s="77" t="str">
        <f>UKG!Q335</f>
        <v>S07</v>
      </c>
      <c r="X335" s="18" t="str">
        <f>UKG!BC335</f>
        <v>Default</v>
      </c>
      <c r="Z335" s="18" t="str">
        <f>IFERROR(VLOOKUP(UKG!BA335,'UKG Company Map'!B:G,8,FALSE),"Custom 5 Not Matched")</f>
        <v>Custom 5 Not Matched</v>
      </c>
      <c r="AP335" s="18" t="str">
        <f>IFERROR(VLOOKUP(UKG!BA335,'UKG Company Map'!B:G,4,FALSE),"Custom 21 Exp Group Not Matched")</f>
        <v>0077</v>
      </c>
      <c r="BG335" s="77" t="str">
        <f>UKG!AZ335</f>
        <v>205095</v>
      </c>
      <c r="BK335" s="18" t="s">
        <v>1421</v>
      </c>
      <c r="BL335" s="18" t="s">
        <v>1421</v>
      </c>
      <c r="BU335" s="18" t="str">
        <f>UKG!BL335</f>
        <v>N</v>
      </c>
      <c r="BV335" s="18" t="str">
        <f>UKG!BL335</f>
        <v>N</v>
      </c>
      <c r="CE335" s="18" t="s">
        <v>1421</v>
      </c>
    </row>
    <row r="336" spans="1:83" ht="16" hidden="1" thickBot="1" x14ac:dyDescent="0.25">
      <c r="A336" s="39" t="s">
        <v>1420</v>
      </c>
      <c r="B336" s="77" t="str">
        <f>UKG!BO336</f>
        <v>Linda</v>
      </c>
      <c r="D336" s="77" t="str">
        <f>UKG!BN336</f>
        <v>Särbring</v>
      </c>
      <c r="E336" s="77" t="str">
        <f>UKG!D336</f>
        <v>211910</v>
      </c>
      <c r="F336" s="77" t="str">
        <f t="shared" si="5"/>
        <v>lsarbring@onebarnes.com.new.uat</v>
      </c>
      <c r="G336" s="18" t="s">
        <v>1427</v>
      </c>
      <c r="H336" s="77" t="str">
        <f>UKG!AQ336</f>
        <v>lsarbring@onebarnes.com</v>
      </c>
      <c r="I336" s="18" t="str">
        <f>IFERROR(VLOOKUP(J336,'Language Map'!M:O,3,FALSE),"en_US")</f>
        <v>sv_SE</v>
      </c>
      <c r="J336" s="77" t="str">
        <f>UKG!BF336</f>
        <v>SE</v>
      </c>
      <c r="L336" s="77" t="str">
        <f>IFERROR(VLOOKUP(UKG!BA336,'UKG Company Map'!B:G,7,FALSE),"Ledger Code Not Matched")</f>
        <v>Ledger Code Not Matched</v>
      </c>
      <c r="M336" s="18" t="str">
        <f>UKG!BH336</f>
        <v>SEK</v>
      </c>
      <c r="O336" s="18" t="str">
        <f>UKG!BJ336</f>
        <v>Y</v>
      </c>
      <c r="P336" s="18" t="str">
        <f>IFERROR(VLOOKUP(UKG!BA336,'UKG Company Map'!B:E,2,FALSE),"Org Unit 1 Not Mapped")</f>
        <v>0077</v>
      </c>
      <c r="Q336" s="77" t="str">
        <f>UKG!BB336</f>
        <v>0000</v>
      </c>
      <c r="W336" s="77" t="str">
        <f>UKG!Q336</f>
        <v>S17</v>
      </c>
      <c r="X336" s="18" t="str">
        <f>UKG!BC336</f>
        <v>Default</v>
      </c>
      <c r="Z336" s="18" t="str">
        <f>IFERROR(VLOOKUP(UKG!BA336,'UKG Company Map'!B:G,8,FALSE),"Custom 5 Not Matched")</f>
        <v>Custom 5 Not Matched</v>
      </c>
      <c r="AP336" s="18" t="str">
        <f>IFERROR(VLOOKUP(UKG!BA336,'UKG Company Map'!B:G,4,FALSE),"Custom 21 Exp Group Not Matched")</f>
        <v>0077</v>
      </c>
      <c r="BG336" s="77" t="str">
        <f>UKG!AZ336</f>
        <v>203011</v>
      </c>
      <c r="BK336" s="18" t="s">
        <v>1421</v>
      </c>
      <c r="BL336" s="18" t="s">
        <v>1421</v>
      </c>
      <c r="BU336" s="18" t="str">
        <f>UKG!BL336</f>
        <v>N</v>
      </c>
      <c r="BV336" s="18" t="str">
        <f>UKG!BL336</f>
        <v>N</v>
      </c>
      <c r="CE336" s="18" t="s">
        <v>1421</v>
      </c>
    </row>
    <row r="337" spans="1:83" ht="16" hidden="1" thickBot="1" x14ac:dyDescent="0.25">
      <c r="A337" s="39" t="s">
        <v>1420</v>
      </c>
      <c r="B337" s="77" t="str">
        <f>UKG!BO337</f>
        <v>NICLAS</v>
      </c>
      <c r="D337" s="77" t="str">
        <f>UKG!BN337</f>
        <v>SCHMIEDT</v>
      </c>
      <c r="E337" s="77" t="str">
        <f>UKG!D337</f>
        <v>205354</v>
      </c>
      <c r="F337" s="77" t="str">
        <f t="shared" si="5"/>
        <v>NSchmiedt@onebarnes.com.new.uat</v>
      </c>
      <c r="G337" s="18" t="s">
        <v>1427</v>
      </c>
      <c r="H337" s="77" t="str">
        <f>UKG!AQ337</f>
        <v>NSchmiedt@onebarnes.com</v>
      </c>
      <c r="I337" s="18" t="str">
        <f>IFERROR(VLOOKUP(J337,'Language Map'!M:O,3,FALSE),"en_US")</f>
        <v>sv_SE</v>
      </c>
      <c r="J337" s="77" t="str">
        <f>UKG!BF337</f>
        <v>SE</v>
      </c>
      <c r="L337" s="77" t="str">
        <f>IFERROR(VLOOKUP(UKG!BA337,'UKG Company Map'!B:G,7,FALSE),"Ledger Code Not Matched")</f>
        <v>Ledger Code Not Matched</v>
      </c>
      <c r="M337" s="18" t="str">
        <f>UKG!BH337</f>
        <v>SEK</v>
      </c>
      <c r="O337" s="18" t="str">
        <f>UKG!BJ337</f>
        <v>Y</v>
      </c>
      <c r="P337" s="18" t="str">
        <f>IFERROR(VLOOKUP(UKG!BA337,'UKG Company Map'!B:E,2,FALSE),"Org Unit 1 Not Mapped")</f>
        <v>0077</v>
      </c>
      <c r="Q337" s="77" t="str">
        <f>UKG!BB337</f>
        <v>0000</v>
      </c>
      <c r="W337" s="77" t="str">
        <f>UKG!Q337</f>
        <v>S09</v>
      </c>
      <c r="X337" s="18" t="str">
        <f>UKG!BC337</f>
        <v>Default</v>
      </c>
      <c r="Z337" s="18" t="str">
        <f>IFERROR(VLOOKUP(UKG!BA337,'UKG Company Map'!B:G,8,FALSE),"Custom 5 Not Matched")</f>
        <v>Custom 5 Not Matched</v>
      </c>
      <c r="AP337" s="18" t="str">
        <f>IFERROR(VLOOKUP(UKG!BA337,'UKG Company Map'!B:G,4,FALSE),"Custom 21 Exp Group Not Matched")</f>
        <v>0077</v>
      </c>
      <c r="BG337" s="77" t="str">
        <f>UKG!AZ337</f>
        <v>205373</v>
      </c>
      <c r="BK337" s="18" t="s">
        <v>1421</v>
      </c>
      <c r="BL337" s="18" t="s">
        <v>1421</v>
      </c>
      <c r="BU337" s="18" t="str">
        <f>UKG!BL337</f>
        <v>N</v>
      </c>
      <c r="BV337" s="18" t="str">
        <f>UKG!BL337</f>
        <v>N</v>
      </c>
      <c r="CE337" s="18" t="s">
        <v>1421</v>
      </c>
    </row>
    <row r="338" spans="1:83" ht="16" hidden="1" thickBot="1" x14ac:dyDescent="0.25">
      <c r="A338" s="39" t="s">
        <v>1420</v>
      </c>
      <c r="B338" s="77" t="str">
        <f>UKG!BO338</f>
        <v>Robert</v>
      </c>
      <c r="D338" s="77" t="str">
        <f>UKG!BN338</f>
        <v>Schortz</v>
      </c>
      <c r="E338" s="77" t="str">
        <f>UKG!D338</f>
        <v>213174</v>
      </c>
      <c r="F338" s="77" t="str">
        <f t="shared" si="5"/>
        <v>rschortz@onebarnes.com.new.uat</v>
      </c>
      <c r="G338" s="18" t="s">
        <v>1427</v>
      </c>
      <c r="H338" s="77" t="str">
        <f>UKG!AQ338</f>
        <v>rschortz@onebarnes.com</v>
      </c>
      <c r="I338" s="18" t="str">
        <f>IFERROR(VLOOKUP(J338,'Language Map'!M:O,3,FALSE),"en_US")</f>
        <v>sv_SE</v>
      </c>
      <c r="J338" s="77" t="str">
        <f>UKG!BF338</f>
        <v>SE</v>
      </c>
      <c r="L338" s="77" t="str">
        <f>IFERROR(VLOOKUP(UKG!BA338,'UKG Company Map'!B:G,7,FALSE),"Ledger Code Not Matched")</f>
        <v>Ledger Code Not Matched</v>
      </c>
      <c r="M338" s="18" t="str">
        <f>UKG!BH338</f>
        <v>SEK</v>
      </c>
      <c r="O338" s="18" t="str">
        <f>UKG!BJ338</f>
        <v>Y</v>
      </c>
      <c r="P338" s="18" t="str">
        <f>IFERROR(VLOOKUP(UKG!BA338,'UKG Company Map'!B:E,2,FALSE),"Org Unit 1 Not Mapped")</f>
        <v>0077</v>
      </c>
      <c r="Q338" s="112" t="str">
        <f>UKG!BB338</f>
        <v>0000</v>
      </c>
      <c r="W338" s="77" t="str">
        <f>UKG!Q338</f>
        <v>S21</v>
      </c>
      <c r="X338" s="18" t="str">
        <f>UKG!BC338</f>
        <v>Grade 20</v>
      </c>
      <c r="Z338" s="18" t="str">
        <f>IFERROR(VLOOKUP(UKG!BA338,'UKG Company Map'!B:G,8,FALSE),"Custom 5 Not Matched")</f>
        <v>Custom 5 Not Matched</v>
      </c>
      <c r="AP338" s="18" t="str">
        <f>IFERROR(VLOOKUP(UKG!BA338,'UKG Company Map'!B:G,4,FALSE),"Custom 21 Exp Group Not Matched")</f>
        <v>0077</v>
      </c>
      <c r="BG338" s="77" t="str">
        <f>UKG!AZ338</f>
        <v>207709</v>
      </c>
      <c r="BK338" s="18" t="s">
        <v>1421</v>
      </c>
      <c r="BL338" s="18" t="s">
        <v>1421</v>
      </c>
      <c r="BU338" s="18" t="str">
        <f>UKG!BL338</f>
        <v>Y</v>
      </c>
      <c r="BV338" s="18" t="str">
        <f>UKG!BL338</f>
        <v>Y</v>
      </c>
      <c r="CE338" s="18" t="s">
        <v>1421</v>
      </c>
    </row>
    <row r="339" spans="1:83" ht="16" hidden="1" thickBot="1" x14ac:dyDescent="0.25">
      <c r="A339" s="39" t="s">
        <v>1420</v>
      </c>
      <c r="B339" s="77" t="str">
        <f>UKG!BO339</f>
        <v>JONAS</v>
      </c>
      <c r="D339" s="77" t="str">
        <f>UKG!BN339</f>
        <v>SIGURDSSON</v>
      </c>
      <c r="E339" s="77" t="str">
        <f>UKG!D339</f>
        <v>205315</v>
      </c>
      <c r="F339" s="77" t="str">
        <f t="shared" si="5"/>
        <v>jonas.sigurdsson@kaller.com.new.uat</v>
      </c>
      <c r="G339" s="18" t="s">
        <v>1427</v>
      </c>
      <c r="H339" s="77" t="str">
        <f>UKG!AQ339</f>
        <v>jonas.sigurdsson@kaller.com</v>
      </c>
      <c r="I339" s="18" t="str">
        <f>IFERROR(VLOOKUP(J339,'Language Map'!M:O,3,FALSE),"en_US")</f>
        <v>sv_SE</v>
      </c>
      <c r="J339" s="77" t="str">
        <f>UKG!BF339</f>
        <v>SE</v>
      </c>
      <c r="L339" s="77" t="str">
        <f>IFERROR(VLOOKUP(UKG!BA339,'UKG Company Map'!B:G,7,FALSE),"Ledger Code Not Matched")</f>
        <v>Ledger Code Not Matched</v>
      </c>
      <c r="M339" s="18" t="str">
        <f>UKG!BH339</f>
        <v>SEK</v>
      </c>
      <c r="O339" s="18" t="str">
        <f>UKG!BJ339</f>
        <v>Y</v>
      </c>
      <c r="P339" s="18" t="str">
        <f>IFERROR(VLOOKUP(UKG!BA339,'UKG Company Map'!B:E,2,FALSE),"Org Unit 1 Not Mapped")</f>
        <v>0077</v>
      </c>
      <c r="Q339" s="77" t="str">
        <f>UKG!BB339</f>
        <v>0000</v>
      </c>
      <c r="W339" s="77" t="str">
        <f>UKG!Q339</f>
        <v>H0000</v>
      </c>
      <c r="X339" s="18" t="str">
        <f>UKG!BC339</f>
        <v>Default</v>
      </c>
      <c r="Z339" s="18" t="str">
        <f>IFERROR(VLOOKUP(UKG!BA339,'UKG Company Map'!B:G,8,FALSE),"Custom 5 Not Matched")</f>
        <v>Custom 5 Not Matched</v>
      </c>
      <c r="AP339" s="18" t="str">
        <f>IFERROR(VLOOKUP(UKG!BA339,'UKG Company Map'!B:G,4,FALSE),"Custom 21 Exp Group Not Matched")</f>
        <v>0077</v>
      </c>
      <c r="BG339" s="77" t="str">
        <f>UKG!AZ339</f>
        <v>205377</v>
      </c>
      <c r="BK339" s="18" t="s">
        <v>1421</v>
      </c>
      <c r="BL339" s="18" t="s">
        <v>1421</v>
      </c>
      <c r="BU339" s="18" t="str">
        <f>UKG!BL339</f>
        <v>N</v>
      </c>
      <c r="BV339" s="18" t="str">
        <f>UKG!BL339</f>
        <v>N</v>
      </c>
      <c r="CE339" s="18" t="s">
        <v>1421</v>
      </c>
    </row>
    <row r="340" spans="1:83" ht="16" hidden="1" thickBot="1" x14ac:dyDescent="0.25">
      <c r="A340" s="39" t="s">
        <v>1420</v>
      </c>
      <c r="B340" s="77" t="str">
        <f>UKG!BO340</f>
        <v>SYLVIA</v>
      </c>
      <c r="D340" s="77" t="str">
        <f>UKG!BN340</f>
        <v>SILJEHOLM</v>
      </c>
      <c r="E340" s="77" t="str">
        <f>UKG!D340</f>
        <v>205393</v>
      </c>
      <c r="F340" s="77" t="str">
        <f t="shared" si="5"/>
        <v>SSiljeholm@onebarnes.com.new.uat</v>
      </c>
      <c r="G340" s="18" t="s">
        <v>1427</v>
      </c>
      <c r="H340" s="77" t="str">
        <f>UKG!AQ340</f>
        <v>SSiljeholm@onebarnes.com</v>
      </c>
      <c r="I340" s="18" t="str">
        <f>IFERROR(VLOOKUP(J340,'Language Map'!M:O,3,FALSE),"en_US")</f>
        <v>sv_SE</v>
      </c>
      <c r="J340" s="77" t="str">
        <f>UKG!BF340</f>
        <v>SE</v>
      </c>
      <c r="L340" s="77" t="str">
        <f>IFERROR(VLOOKUP(UKG!BA340,'UKG Company Map'!B:G,7,FALSE),"Ledger Code Not Matched")</f>
        <v>Ledger Code Not Matched</v>
      </c>
      <c r="M340" s="18" t="str">
        <f>UKG!BH340</f>
        <v>SEK</v>
      </c>
      <c r="O340" s="18" t="str">
        <f>UKG!BJ340</f>
        <v>Y</v>
      </c>
      <c r="P340" s="18" t="str">
        <f>IFERROR(VLOOKUP(UKG!BA340,'UKG Company Map'!B:E,2,FALSE),"Org Unit 1 Not Mapped")</f>
        <v>0077</v>
      </c>
      <c r="Q340" s="77" t="str">
        <f>UKG!BB340</f>
        <v>0000</v>
      </c>
      <c r="W340" s="77" t="str">
        <f>UKG!Q340</f>
        <v>S15</v>
      </c>
      <c r="X340" s="18" t="str">
        <f>UKG!BC340</f>
        <v>Default</v>
      </c>
      <c r="Z340" s="18" t="str">
        <f>IFERROR(VLOOKUP(UKG!BA340,'UKG Company Map'!B:G,8,FALSE),"Custom 5 Not Matched")</f>
        <v>Custom 5 Not Matched</v>
      </c>
      <c r="AP340" s="18" t="str">
        <f>IFERROR(VLOOKUP(UKG!BA340,'UKG Company Map'!B:G,4,FALSE),"Custom 21 Exp Group Not Matched")</f>
        <v>0077</v>
      </c>
      <c r="BG340" s="77" t="str">
        <f>UKG!AZ340</f>
        <v>213460</v>
      </c>
      <c r="BK340" s="18" t="s">
        <v>1421</v>
      </c>
      <c r="BL340" s="18" t="s">
        <v>1421</v>
      </c>
      <c r="BU340" s="18" t="str">
        <f>UKG!BL340</f>
        <v>N</v>
      </c>
      <c r="BV340" s="18" t="str">
        <f>UKG!BL340</f>
        <v>N</v>
      </c>
      <c r="CE340" s="18" t="s">
        <v>1421</v>
      </c>
    </row>
    <row r="341" spans="1:83" ht="16" hidden="1" thickBot="1" x14ac:dyDescent="0.25">
      <c r="A341" s="39" t="s">
        <v>1420</v>
      </c>
      <c r="B341" s="77" t="str">
        <f>UKG!BO341</f>
        <v>Jonas</v>
      </c>
      <c r="D341" s="77" t="str">
        <f>UKG!BN341</f>
        <v>Sjölund</v>
      </c>
      <c r="E341" s="77" t="str">
        <f>UKG!D341</f>
        <v>213460</v>
      </c>
      <c r="F341" s="77" t="str">
        <f t="shared" si="5"/>
        <v>jsjolund@onebarnes.com.new.uat</v>
      </c>
      <c r="G341" s="18" t="s">
        <v>1427</v>
      </c>
      <c r="H341" s="77" t="str">
        <f>UKG!AQ341</f>
        <v>jsjolund@onebarnes.com</v>
      </c>
      <c r="I341" s="18" t="str">
        <f>IFERROR(VLOOKUP(J341,'Language Map'!M:O,3,FALSE),"en_US")</f>
        <v>sv_SE</v>
      </c>
      <c r="J341" s="77" t="str">
        <f>UKG!BF341</f>
        <v>SE</v>
      </c>
      <c r="L341" s="77" t="str">
        <f>IFERROR(VLOOKUP(UKG!BA341,'UKG Company Map'!B:G,7,FALSE),"Ledger Code Not Matched")</f>
        <v>Ledger Code Not Matched</v>
      </c>
      <c r="M341" s="18" t="str">
        <f>UKG!BH341</f>
        <v>SEK</v>
      </c>
      <c r="O341" s="18" t="str">
        <f>UKG!BJ341</f>
        <v>Y</v>
      </c>
      <c r="P341" s="18" t="str">
        <f>IFERROR(VLOOKUP(UKG!BA341,'UKG Company Map'!B:E,2,FALSE),"Org Unit 1 Not Mapped")</f>
        <v>0077</v>
      </c>
      <c r="Q341" s="77" t="str">
        <f>UKG!BB341</f>
        <v>0000</v>
      </c>
      <c r="W341" s="77" t="str">
        <f>UKG!Q341</f>
        <v>S16</v>
      </c>
      <c r="X341" s="18" t="str">
        <f>UKG!BC341</f>
        <v>Default</v>
      </c>
      <c r="Z341" s="18" t="str">
        <f>IFERROR(VLOOKUP(UKG!BA341,'UKG Company Map'!B:G,8,FALSE),"Custom 5 Not Matched")</f>
        <v>Custom 5 Not Matched</v>
      </c>
      <c r="AP341" s="18" t="str">
        <f>IFERROR(VLOOKUP(UKG!BA341,'UKG Company Map'!B:G,4,FALSE),"Custom 21 Exp Group Not Matched")</f>
        <v>0077</v>
      </c>
      <c r="BG341" s="77" t="str">
        <f>UKG!AZ341</f>
        <v>205389</v>
      </c>
      <c r="BK341" s="18" t="s">
        <v>1421</v>
      </c>
      <c r="BL341" s="18" t="s">
        <v>1421</v>
      </c>
      <c r="BU341" s="18" t="str">
        <f>UKG!BL341</f>
        <v>N</v>
      </c>
      <c r="BV341" s="18" t="str">
        <f>UKG!BL341</f>
        <v>N</v>
      </c>
      <c r="CE341" s="18" t="s">
        <v>1421</v>
      </c>
    </row>
    <row r="342" spans="1:83" ht="16" hidden="1" thickBot="1" x14ac:dyDescent="0.25">
      <c r="A342" s="39" t="s">
        <v>1420</v>
      </c>
      <c r="B342" s="77" t="str">
        <f>UKG!BO342</f>
        <v>IFET</v>
      </c>
      <c r="D342" s="77" t="str">
        <f>UKG!BN342</f>
        <v>SKRIJELJ</v>
      </c>
      <c r="E342" s="77" t="str">
        <f>UKG!D342</f>
        <v>205377</v>
      </c>
      <c r="F342" s="77" t="str">
        <f t="shared" ref="F342:F355" si="6">H342&amp;".new.uat"</f>
        <v>ISkrijelj@onebarnes.com.new.uat</v>
      </c>
      <c r="G342" s="18" t="s">
        <v>1427</v>
      </c>
      <c r="H342" s="77" t="str">
        <f>UKG!AQ342</f>
        <v>ISkrijelj@onebarnes.com</v>
      </c>
      <c r="I342" s="18" t="str">
        <f>IFERROR(VLOOKUP(J342,'Language Map'!M:O,3,FALSE),"en_US")</f>
        <v>sv_SE</v>
      </c>
      <c r="J342" s="77" t="str">
        <f>UKG!BF342</f>
        <v>SE</v>
      </c>
      <c r="L342" s="77" t="str">
        <f>IFERROR(VLOOKUP(UKG!BA342,'UKG Company Map'!B:G,7,FALSE),"Ledger Code Not Matched")</f>
        <v>Ledger Code Not Matched</v>
      </c>
      <c r="M342" s="18" t="str">
        <f>UKG!BH342</f>
        <v>SEK</v>
      </c>
      <c r="O342" s="18" t="str">
        <f>UKG!BJ342</f>
        <v>Y</v>
      </c>
      <c r="P342" s="18" t="str">
        <f>IFERROR(VLOOKUP(UKG!BA342,'UKG Company Map'!B:E,2,FALSE),"Org Unit 1 Not Mapped")</f>
        <v>0077</v>
      </c>
      <c r="Q342" s="77" t="str">
        <f>UKG!BB342</f>
        <v>0000</v>
      </c>
      <c r="W342" s="77" t="str">
        <f>UKG!Q342</f>
        <v>S15</v>
      </c>
      <c r="X342" s="18" t="str">
        <f>UKG!BC342</f>
        <v>Default</v>
      </c>
      <c r="Z342" s="18" t="str">
        <f>IFERROR(VLOOKUP(UKG!BA342,'UKG Company Map'!B:G,8,FALSE),"Custom 5 Not Matched")</f>
        <v>Custom 5 Not Matched</v>
      </c>
      <c r="AP342" s="18" t="str">
        <f>IFERROR(VLOOKUP(UKG!BA342,'UKG Company Map'!B:G,4,FALSE),"Custom 21 Exp Group Not Matched")</f>
        <v>0077</v>
      </c>
      <c r="BG342" s="77" t="str">
        <f>UKG!AZ342</f>
        <v>211474</v>
      </c>
      <c r="BK342" s="18" t="s">
        <v>1421</v>
      </c>
      <c r="BL342" s="18" t="s">
        <v>1421</v>
      </c>
      <c r="BU342" s="18" t="str">
        <f>UKG!BL342</f>
        <v>N</v>
      </c>
      <c r="BV342" s="18" t="str">
        <f>UKG!BL342</f>
        <v>N</v>
      </c>
      <c r="CE342" s="18" t="s">
        <v>1421</v>
      </c>
    </row>
    <row r="343" spans="1:83" ht="16" hidden="1" thickBot="1" x14ac:dyDescent="0.25">
      <c r="A343" s="39" t="s">
        <v>1420</v>
      </c>
      <c r="B343" s="77" t="str">
        <f>UKG!BO343</f>
        <v>Simon</v>
      </c>
      <c r="D343" s="77" t="str">
        <f>UKG!BN343</f>
        <v>Stedt</v>
      </c>
      <c r="E343" s="77" t="str">
        <f>UKG!D343</f>
        <v>213453</v>
      </c>
      <c r="F343" s="77" t="str">
        <f t="shared" si="6"/>
        <v>sstedt@onebarnes.com.new.uat</v>
      </c>
      <c r="G343" s="18" t="s">
        <v>1427</v>
      </c>
      <c r="H343" s="77" t="str">
        <f>UKG!AQ343</f>
        <v>sstedt@onebarnes.com</v>
      </c>
      <c r="I343" s="18" t="str">
        <f>IFERROR(VLOOKUP(J343,'Language Map'!M:O,3,FALSE),"en_US")</f>
        <v>sv_SE</v>
      </c>
      <c r="J343" s="77" t="str">
        <f>UKG!BF343</f>
        <v>SE</v>
      </c>
      <c r="L343" s="77" t="str">
        <f>IFERROR(VLOOKUP(UKG!BA343,'UKG Company Map'!B:G,7,FALSE),"Ledger Code Not Matched")</f>
        <v>Ledger Code Not Matched</v>
      </c>
      <c r="M343" s="18" t="str">
        <f>UKG!BH343</f>
        <v>SEK</v>
      </c>
      <c r="O343" s="18" t="str">
        <f>UKG!BJ343</f>
        <v>Y</v>
      </c>
      <c r="P343" s="18" t="str">
        <f>IFERROR(VLOOKUP(UKG!BA343,'UKG Company Map'!B:E,2,FALSE),"Org Unit 1 Not Mapped")</f>
        <v>0077</v>
      </c>
      <c r="Q343" s="77" t="str">
        <f>UKG!BB343</f>
        <v>0000</v>
      </c>
      <c r="W343" s="77" t="str">
        <f>UKG!Q343</f>
        <v>S17</v>
      </c>
      <c r="X343" s="18" t="str">
        <f>UKG!BC343</f>
        <v>Default</v>
      </c>
      <c r="Z343" s="18" t="str">
        <f>IFERROR(VLOOKUP(UKG!BA343,'UKG Company Map'!B:G,8,FALSE),"Custom 5 Not Matched")</f>
        <v>Custom 5 Not Matched</v>
      </c>
      <c r="AP343" s="18" t="str">
        <f>IFERROR(VLOOKUP(UKG!BA343,'UKG Company Map'!B:G,4,FALSE),"Custom 21 Exp Group Not Matched")</f>
        <v>0077</v>
      </c>
      <c r="BG343" s="77" t="str">
        <f>UKG!AZ343</f>
        <v>213174</v>
      </c>
      <c r="BK343" s="18" t="s">
        <v>1421</v>
      </c>
      <c r="BL343" s="18" t="s">
        <v>1421</v>
      </c>
      <c r="BU343" s="18" t="str">
        <f>UKG!BL343</f>
        <v>N</v>
      </c>
      <c r="BV343" s="18" t="str">
        <f>UKG!BL343</f>
        <v>N</v>
      </c>
      <c r="CE343" s="18" t="s">
        <v>1421</v>
      </c>
    </row>
    <row r="344" spans="1:83" ht="16" hidden="1" thickBot="1" x14ac:dyDescent="0.25">
      <c r="A344" s="39" t="s">
        <v>1420</v>
      </c>
      <c r="B344" s="77" t="str">
        <f>UKG!BO344</f>
        <v>SEBASTIAN</v>
      </c>
      <c r="D344" s="77" t="str">
        <f>UKG!BN344</f>
        <v>STENBERG</v>
      </c>
      <c r="E344" s="77" t="str">
        <f>UKG!D344</f>
        <v>205382</v>
      </c>
      <c r="F344" s="77" t="str">
        <f t="shared" si="6"/>
        <v>SStenberg@onebarnes.com.new.uat</v>
      </c>
      <c r="G344" s="18" t="s">
        <v>1427</v>
      </c>
      <c r="H344" s="77" t="str">
        <f>UKG!AQ344</f>
        <v>SStenberg@onebarnes.com</v>
      </c>
      <c r="I344" s="18" t="str">
        <f>IFERROR(VLOOKUP(J344,'Language Map'!M:O,3,FALSE),"en_US")</f>
        <v>sv_SE</v>
      </c>
      <c r="J344" s="77" t="str">
        <f>UKG!BF344</f>
        <v>SE</v>
      </c>
      <c r="L344" s="77" t="str">
        <f>IFERROR(VLOOKUP(UKG!BA344,'UKG Company Map'!B:G,7,FALSE),"Ledger Code Not Matched")</f>
        <v>Ledger Code Not Matched</v>
      </c>
      <c r="M344" s="18" t="str">
        <f>UKG!BH344</f>
        <v>SEK</v>
      </c>
      <c r="O344" s="18" t="str">
        <f>UKG!BJ344</f>
        <v>Y</v>
      </c>
      <c r="P344" s="18" t="str">
        <f>IFERROR(VLOOKUP(UKG!BA344,'UKG Company Map'!B:E,2,FALSE),"Org Unit 1 Not Mapped")</f>
        <v>0077</v>
      </c>
      <c r="Q344" s="77" t="str">
        <f>UKG!BB344</f>
        <v>0000</v>
      </c>
      <c r="W344" s="77" t="str">
        <f>UKG!Q344</f>
        <v>H0000</v>
      </c>
      <c r="X344" s="18" t="str">
        <f>UKG!BC344</f>
        <v>Default</v>
      </c>
      <c r="Z344" s="18" t="str">
        <f>IFERROR(VLOOKUP(UKG!BA344,'UKG Company Map'!B:G,8,FALSE),"Custom 5 Not Matched")</f>
        <v>Custom 5 Not Matched</v>
      </c>
      <c r="AP344" s="18" t="str">
        <f>IFERROR(VLOOKUP(UKG!BA344,'UKG Company Map'!B:G,4,FALSE),"Custom 21 Exp Group Not Matched")</f>
        <v>0077</v>
      </c>
      <c r="BG344" s="77" t="str">
        <f>UKG!AZ344</f>
        <v>205384</v>
      </c>
      <c r="BK344" s="18" t="s">
        <v>1421</v>
      </c>
      <c r="BL344" s="18" t="s">
        <v>1421</v>
      </c>
      <c r="BU344" s="18" t="str">
        <f>UKG!BL344</f>
        <v>N</v>
      </c>
      <c r="BV344" s="18" t="str">
        <f>UKG!BL344</f>
        <v>N</v>
      </c>
      <c r="CE344" s="18" t="s">
        <v>1421</v>
      </c>
    </row>
    <row r="345" spans="1:83" ht="16" hidden="1" thickBot="1" x14ac:dyDescent="0.25">
      <c r="A345" s="39" t="s">
        <v>1420</v>
      </c>
      <c r="B345" s="77" t="str">
        <f>UKG!BO345</f>
        <v>Graeme</v>
      </c>
      <c r="D345" s="77" t="str">
        <f>UKG!BN345</f>
        <v>Stephenson</v>
      </c>
      <c r="E345" s="77" t="str">
        <f>UKG!D345</f>
        <v>211648</v>
      </c>
      <c r="F345" s="77" t="str">
        <f t="shared" si="6"/>
        <v>gstephenson1@onebarnes.com.new.uat</v>
      </c>
      <c r="G345" s="18" t="s">
        <v>1427</v>
      </c>
      <c r="H345" s="77" t="str">
        <f>UKG!AQ345</f>
        <v>gstephenson1@onebarnes.com</v>
      </c>
      <c r="I345" s="18" t="str">
        <f>IFERROR(VLOOKUP(J345,'Language Map'!M:O,3,FALSE),"en_US")</f>
        <v>sv_SE</v>
      </c>
      <c r="J345" s="77" t="str">
        <f>UKG!BF345</f>
        <v>SE</v>
      </c>
      <c r="L345" s="77" t="str">
        <f>IFERROR(VLOOKUP(UKG!BA345,'UKG Company Map'!B:G,7,FALSE),"Ledger Code Not Matched")</f>
        <v>Ledger Code Not Matched</v>
      </c>
      <c r="M345" s="18" t="str">
        <f>UKG!BH345</f>
        <v>SEK</v>
      </c>
      <c r="O345" s="18" t="str">
        <f>UKG!BJ345</f>
        <v>Y</v>
      </c>
      <c r="P345" s="18" t="str">
        <f>IFERROR(VLOOKUP(UKG!BA345,'UKG Company Map'!B:E,2,FALSE),"Org Unit 1 Not Mapped")</f>
        <v>0077</v>
      </c>
      <c r="Q345" s="77" t="str">
        <f>UKG!BB345</f>
        <v>0000</v>
      </c>
      <c r="W345" s="77" t="str">
        <f>UKG!Q345</f>
        <v>S12</v>
      </c>
      <c r="X345" s="18" t="str">
        <f>UKG!BC345</f>
        <v>Default</v>
      </c>
      <c r="Z345" s="18" t="str">
        <f>IFERROR(VLOOKUP(UKG!BA345,'UKG Company Map'!B:G,8,FALSE),"Custom 5 Not Matched")</f>
        <v>Custom 5 Not Matched</v>
      </c>
      <c r="AP345" s="18" t="str">
        <f>IFERROR(VLOOKUP(UKG!BA345,'UKG Company Map'!B:G,4,FALSE),"Custom 21 Exp Group Not Matched")</f>
        <v>0077</v>
      </c>
      <c r="BG345" s="77" t="str">
        <f>UKG!AZ345</f>
        <v>205368</v>
      </c>
      <c r="BK345" s="18" t="s">
        <v>1421</v>
      </c>
      <c r="BL345" s="18" t="s">
        <v>1421</v>
      </c>
      <c r="BU345" s="18" t="str">
        <f>UKG!BL345</f>
        <v>N</v>
      </c>
      <c r="BV345" s="18" t="str">
        <f>UKG!BL345</f>
        <v>N</v>
      </c>
      <c r="CE345" s="18" t="s">
        <v>1421</v>
      </c>
    </row>
    <row r="346" spans="1:83" ht="16" hidden="1" thickBot="1" x14ac:dyDescent="0.25">
      <c r="A346" s="39" t="s">
        <v>1420</v>
      </c>
      <c r="B346" s="77" t="str">
        <f>UKG!BO346</f>
        <v>PATRIK</v>
      </c>
      <c r="D346" s="77" t="str">
        <f>UKG!BN346</f>
        <v>STOLTZ</v>
      </c>
      <c r="E346" s="77" t="str">
        <f>UKG!D346</f>
        <v>205387</v>
      </c>
      <c r="F346" s="77" t="str">
        <f t="shared" si="6"/>
        <v>PStoltz@onebarnes.com.new.uat</v>
      </c>
      <c r="G346" s="18" t="s">
        <v>1427</v>
      </c>
      <c r="H346" s="77" t="str">
        <f>UKG!AQ346</f>
        <v>PStoltz@onebarnes.com</v>
      </c>
      <c r="I346" s="18" t="str">
        <f>IFERROR(VLOOKUP(J346,'Language Map'!M:O,3,FALSE),"en_US")</f>
        <v>sv_SE</v>
      </c>
      <c r="J346" s="77" t="str">
        <f>UKG!BF346</f>
        <v>SE</v>
      </c>
      <c r="L346" s="77" t="str">
        <f>IFERROR(VLOOKUP(UKG!BA346,'UKG Company Map'!B:G,7,FALSE),"Ledger Code Not Matched")</f>
        <v>Ledger Code Not Matched</v>
      </c>
      <c r="M346" s="18" t="str">
        <f>UKG!BH346</f>
        <v>SEK</v>
      </c>
      <c r="O346" s="18" t="str">
        <f>UKG!BJ346</f>
        <v>Y</v>
      </c>
      <c r="P346" s="18" t="str">
        <f>IFERROR(VLOOKUP(UKG!BA346,'UKG Company Map'!B:E,2,FALSE),"Org Unit 1 Not Mapped")</f>
        <v>0077</v>
      </c>
      <c r="Q346" s="77" t="str">
        <f>UKG!BB346</f>
        <v>0000</v>
      </c>
      <c r="W346" s="77" t="str">
        <f>UKG!Q346</f>
        <v>S14</v>
      </c>
      <c r="X346" s="18" t="str">
        <f>UKG!BC346</f>
        <v>Default</v>
      </c>
      <c r="Z346" s="18" t="str">
        <f>IFERROR(VLOOKUP(UKG!BA346,'UKG Company Map'!B:G,8,FALSE),"Custom 5 Not Matched")</f>
        <v>Custom 5 Not Matched</v>
      </c>
      <c r="AP346" s="18" t="str">
        <f>IFERROR(VLOOKUP(UKG!BA346,'UKG Company Map'!B:G,4,FALSE),"Custom 21 Exp Group Not Matched")</f>
        <v>0077</v>
      </c>
      <c r="BG346" s="77" t="str">
        <f>UKG!AZ346</f>
        <v>205389</v>
      </c>
      <c r="BK346" s="18" t="s">
        <v>1421</v>
      </c>
      <c r="BL346" s="18" t="s">
        <v>1421</v>
      </c>
      <c r="BU346" s="18" t="str">
        <f>UKG!BL346</f>
        <v>N</v>
      </c>
      <c r="BV346" s="18" t="str">
        <f>UKG!BL346</f>
        <v>N</v>
      </c>
      <c r="CE346" s="18" t="s">
        <v>1421</v>
      </c>
    </row>
    <row r="347" spans="1:83" ht="16" hidden="1" thickBot="1" x14ac:dyDescent="0.25">
      <c r="A347" s="39" t="s">
        <v>1420</v>
      </c>
      <c r="B347" s="77" t="str">
        <f>UKG!BO347</f>
        <v>DAVID</v>
      </c>
      <c r="D347" s="77" t="str">
        <f>UKG!BN347</f>
        <v>STRÖMVALL</v>
      </c>
      <c r="E347" s="77" t="str">
        <f>UKG!D347</f>
        <v>205349</v>
      </c>
      <c r="F347" s="77" t="str">
        <f t="shared" si="6"/>
        <v>dstromvall@onebarnes.com.new.uat</v>
      </c>
      <c r="G347" s="18" t="s">
        <v>1427</v>
      </c>
      <c r="H347" s="77" t="str">
        <f>UKG!AQ347</f>
        <v>dstromvall@onebarnes.com</v>
      </c>
      <c r="I347" s="18" t="str">
        <f>IFERROR(VLOOKUP(J347,'Language Map'!M:O,3,FALSE),"en_US")</f>
        <v>sv_SE</v>
      </c>
      <c r="J347" s="77" t="str">
        <f>UKG!BF347</f>
        <v>SE</v>
      </c>
      <c r="L347" s="77" t="str">
        <f>IFERROR(VLOOKUP(UKG!BA347,'UKG Company Map'!B:G,7,FALSE),"Ledger Code Not Matched")</f>
        <v>Ledger Code Not Matched</v>
      </c>
      <c r="M347" s="18" t="str">
        <f>UKG!BH347</f>
        <v>SEK</v>
      </c>
      <c r="O347" s="18" t="str">
        <f>UKG!BJ347</f>
        <v>Y</v>
      </c>
      <c r="P347" s="18" t="str">
        <f>IFERROR(VLOOKUP(UKG!BA347,'UKG Company Map'!B:E,2,FALSE),"Org Unit 1 Not Mapped")</f>
        <v>0077</v>
      </c>
      <c r="Q347" s="77" t="str">
        <f>UKG!BB347</f>
        <v>0000</v>
      </c>
      <c r="W347" s="77" t="str">
        <f>UKG!Q347</f>
        <v>S12</v>
      </c>
      <c r="X347" s="18" t="str">
        <f>UKG!BC347</f>
        <v>Default</v>
      </c>
      <c r="Z347" s="18" t="str">
        <f>IFERROR(VLOOKUP(UKG!BA347,'UKG Company Map'!B:G,8,FALSE),"Custom 5 Not Matched")</f>
        <v>Custom 5 Not Matched</v>
      </c>
      <c r="AP347" s="18" t="str">
        <f>IFERROR(VLOOKUP(UKG!BA347,'UKG Company Map'!B:G,4,FALSE),"Custom 21 Exp Group Not Matched")</f>
        <v>0077</v>
      </c>
      <c r="BG347" s="77" t="str">
        <f>UKG!AZ347</f>
        <v>213066</v>
      </c>
      <c r="BK347" s="18" t="s">
        <v>1421</v>
      </c>
      <c r="BL347" s="18" t="s">
        <v>1421</v>
      </c>
      <c r="BU347" s="18" t="str">
        <f>UKG!BL347</f>
        <v>N</v>
      </c>
      <c r="BV347" s="18" t="str">
        <f>UKG!BL347</f>
        <v>N</v>
      </c>
      <c r="CE347" s="18" t="s">
        <v>1421</v>
      </c>
    </row>
    <row r="348" spans="1:83" ht="16" hidden="1" thickBot="1" x14ac:dyDescent="0.25">
      <c r="A348" s="39" t="s">
        <v>1420</v>
      </c>
      <c r="B348" s="77" t="str">
        <f>UKG!BO348</f>
        <v>CHRISTIAN</v>
      </c>
      <c r="D348" s="77" t="str">
        <f>UKG!BN348</f>
        <v>SVENSSON</v>
      </c>
      <c r="E348" s="77" t="str">
        <f>UKG!D348</f>
        <v>205408</v>
      </c>
      <c r="F348" s="77" t="str">
        <f t="shared" si="6"/>
        <v>CSvensson@onebarnes.com.new.uat</v>
      </c>
      <c r="G348" s="18" t="s">
        <v>1427</v>
      </c>
      <c r="H348" s="77" t="str">
        <f>UKG!AQ348</f>
        <v>CSvensson@onebarnes.com</v>
      </c>
      <c r="I348" s="18" t="str">
        <f>IFERROR(VLOOKUP(J348,'Language Map'!M:O,3,FALSE),"en_US")</f>
        <v>sv_SE</v>
      </c>
      <c r="J348" s="77" t="str">
        <f>UKG!BF348</f>
        <v>SE</v>
      </c>
      <c r="L348" s="77" t="str">
        <f>IFERROR(VLOOKUP(UKG!BA348,'UKG Company Map'!B:G,7,FALSE),"Ledger Code Not Matched")</f>
        <v>Ledger Code Not Matched</v>
      </c>
      <c r="M348" s="18" t="str">
        <f>UKG!BH348</f>
        <v>SEK</v>
      </c>
      <c r="O348" s="18" t="str">
        <f>UKG!BJ348</f>
        <v>Y</v>
      </c>
      <c r="P348" s="18" t="str">
        <f>IFERROR(VLOOKUP(UKG!BA348,'UKG Company Map'!B:E,2,FALSE),"Org Unit 1 Not Mapped")</f>
        <v>0077</v>
      </c>
      <c r="Q348" s="77" t="str">
        <f>UKG!BB348</f>
        <v>0000</v>
      </c>
      <c r="W348" s="77" t="str">
        <f>UKG!Q348</f>
        <v>S15</v>
      </c>
      <c r="X348" s="18" t="str">
        <f>UKG!BC348</f>
        <v>Default</v>
      </c>
      <c r="Z348" s="18" t="str">
        <f>IFERROR(VLOOKUP(UKG!BA348,'UKG Company Map'!B:G,8,FALSE),"Custom 5 Not Matched")</f>
        <v>Custom 5 Not Matched</v>
      </c>
      <c r="AP348" s="18" t="str">
        <f>IFERROR(VLOOKUP(UKG!BA348,'UKG Company Map'!B:G,4,FALSE),"Custom 21 Exp Group Not Matched")</f>
        <v>0077</v>
      </c>
      <c r="BG348" s="77" t="str">
        <f>UKG!AZ348</f>
        <v>211474</v>
      </c>
      <c r="BK348" s="18" t="s">
        <v>1421</v>
      </c>
      <c r="BL348" s="18" t="s">
        <v>1421</v>
      </c>
      <c r="BU348" s="18" t="str">
        <f>UKG!BL348</f>
        <v>N</v>
      </c>
      <c r="BV348" s="18" t="str">
        <f>UKG!BL348</f>
        <v>N</v>
      </c>
      <c r="CE348" s="18" t="s">
        <v>1421</v>
      </c>
    </row>
    <row r="349" spans="1:83" ht="16" hidden="1" thickBot="1" x14ac:dyDescent="0.25">
      <c r="A349" s="39" t="s">
        <v>1420</v>
      </c>
      <c r="B349" s="77" t="str">
        <f>UKG!BO349</f>
        <v>Zack</v>
      </c>
      <c r="D349" s="77" t="str">
        <f>UKG!BN349</f>
        <v>Svensson</v>
      </c>
      <c r="E349" s="77" t="str">
        <f>UKG!D349</f>
        <v>211912</v>
      </c>
      <c r="F349" s="77" t="str">
        <f t="shared" si="6"/>
        <v>zsvensson@onebarnes.com.new.uat</v>
      </c>
      <c r="G349" s="18" t="s">
        <v>1427</v>
      </c>
      <c r="H349" s="77" t="str">
        <f>UKG!AQ349</f>
        <v>zsvensson@onebarnes.com</v>
      </c>
      <c r="I349" s="18" t="str">
        <f>IFERROR(VLOOKUP(J349,'Language Map'!M:O,3,FALSE),"en_US")</f>
        <v>sv_SE</v>
      </c>
      <c r="J349" s="77" t="str">
        <f>UKG!BF349</f>
        <v>SE</v>
      </c>
      <c r="L349" s="77" t="str">
        <f>IFERROR(VLOOKUP(UKG!BA349,'UKG Company Map'!B:G,7,FALSE),"Ledger Code Not Matched")</f>
        <v>Ledger Code Not Matched</v>
      </c>
      <c r="M349" s="18" t="str">
        <f>UKG!BH349</f>
        <v>SEK</v>
      </c>
      <c r="O349" s="18" t="str">
        <f>UKG!BJ349</f>
        <v>Y</v>
      </c>
      <c r="P349" s="18" t="str">
        <f>IFERROR(VLOOKUP(UKG!BA349,'UKG Company Map'!B:E,2,FALSE),"Org Unit 1 Not Mapped")</f>
        <v>0077</v>
      </c>
      <c r="Q349" s="77" t="str">
        <f>UKG!BB349</f>
        <v>0000</v>
      </c>
      <c r="W349" s="77" t="str">
        <f>UKG!Q349</f>
        <v>S12</v>
      </c>
      <c r="X349" s="18" t="str">
        <f>UKG!BC349</f>
        <v>Default</v>
      </c>
      <c r="Z349" s="18" t="str">
        <f>IFERROR(VLOOKUP(UKG!BA349,'UKG Company Map'!B:G,8,FALSE),"Custom 5 Not Matched")</f>
        <v>Custom 5 Not Matched</v>
      </c>
      <c r="AP349" s="18" t="str">
        <f>IFERROR(VLOOKUP(UKG!BA349,'UKG Company Map'!B:G,4,FALSE),"Custom 21 Exp Group Not Matched")</f>
        <v>0077</v>
      </c>
      <c r="BG349" s="77" t="str">
        <f>UKG!AZ349</f>
        <v>213066</v>
      </c>
      <c r="BK349" s="18" t="s">
        <v>1421</v>
      </c>
      <c r="BL349" s="18" t="s">
        <v>1421</v>
      </c>
      <c r="BU349" s="18" t="str">
        <f>UKG!BL349</f>
        <v>N</v>
      </c>
      <c r="BV349" s="18" t="str">
        <f>UKG!BL349</f>
        <v>N</v>
      </c>
      <c r="CE349" s="18" t="s">
        <v>1421</v>
      </c>
    </row>
    <row r="350" spans="1:83" ht="16" hidden="1" thickBot="1" x14ac:dyDescent="0.25">
      <c r="A350" s="39" t="s">
        <v>1420</v>
      </c>
      <c r="B350" s="77" t="str">
        <f>UKG!BO350</f>
        <v>ANN-SOFIE</v>
      </c>
      <c r="D350" s="77" t="str">
        <f>UKG!BN350</f>
        <v>TINGVALL</v>
      </c>
      <c r="E350" s="77" t="str">
        <f>UKG!D350</f>
        <v>205404</v>
      </c>
      <c r="F350" s="77" t="str">
        <f t="shared" si="6"/>
        <v>atingvall@onebarnes.com.new.uat</v>
      </c>
      <c r="G350" s="18" t="s">
        <v>1427</v>
      </c>
      <c r="H350" s="77" t="str">
        <f>UKG!AQ350</f>
        <v>atingvall@onebarnes.com</v>
      </c>
      <c r="I350" s="18" t="str">
        <f>IFERROR(VLOOKUP(J350,'Language Map'!M:O,3,FALSE),"en_US")</f>
        <v>sv_SE</v>
      </c>
      <c r="J350" s="77" t="str">
        <f>UKG!BF350</f>
        <v>SE</v>
      </c>
      <c r="L350" s="77" t="str">
        <f>IFERROR(VLOOKUP(UKG!BA350,'UKG Company Map'!B:G,7,FALSE),"Ledger Code Not Matched")</f>
        <v>Ledger Code Not Matched</v>
      </c>
      <c r="M350" s="18" t="str">
        <f>UKG!BH350</f>
        <v>SEK</v>
      </c>
      <c r="O350" s="18" t="str">
        <f>UKG!BJ350</f>
        <v>Y</v>
      </c>
      <c r="P350" s="18" t="str">
        <f>IFERROR(VLOOKUP(UKG!BA350,'UKG Company Map'!B:E,2,FALSE),"Org Unit 1 Not Mapped")</f>
        <v>0077</v>
      </c>
      <c r="Q350" s="77" t="str">
        <f>UKG!BB350</f>
        <v>0000</v>
      </c>
      <c r="W350" s="77" t="str">
        <f>UKG!Q350</f>
        <v>S10</v>
      </c>
      <c r="X350" s="18" t="str">
        <f>UKG!BC350</f>
        <v>Default</v>
      </c>
      <c r="Z350" s="18" t="str">
        <f>IFERROR(VLOOKUP(UKG!BA350,'UKG Company Map'!B:G,8,FALSE),"Custom 5 Not Matched")</f>
        <v>Custom 5 Not Matched</v>
      </c>
      <c r="AP350" s="18" t="str">
        <f>IFERROR(VLOOKUP(UKG!BA350,'UKG Company Map'!B:G,4,FALSE),"Custom 21 Exp Group Not Matched")</f>
        <v>0077</v>
      </c>
      <c r="BG350" s="77" t="str">
        <f>UKG!AZ350</f>
        <v>205408</v>
      </c>
      <c r="BK350" s="18" t="s">
        <v>1421</v>
      </c>
      <c r="BL350" s="18" t="s">
        <v>1421</v>
      </c>
      <c r="BU350" s="18" t="str">
        <f>UKG!BL350</f>
        <v>N</v>
      </c>
      <c r="BV350" s="18" t="str">
        <f>UKG!BL350</f>
        <v>N</v>
      </c>
      <c r="CE350" s="18" t="s">
        <v>1421</v>
      </c>
    </row>
    <row r="351" spans="1:83" ht="16" hidden="1" thickBot="1" x14ac:dyDescent="0.25">
      <c r="A351" s="39" t="s">
        <v>1420</v>
      </c>
      <c r="B351" s="77" t="str">
        <f>UKG!BO351</f>
        <v>JAN</v>
      </c>
      <c r="D351" s="77" t="str">
        <f>UKG!BN351</f>
        <v>TINGVALL</v>
      </c>
      <c r="E351" s="77" t="str">
        <f>UKG!D351</f>
        <v>205395</v>
      </c>
      <c r="F351" s="77" t="str">
        <f t="shared" si="6"/>
        <v>jtingvall@onebarnes.com.new.uat</v>
      </c>
      <c r="G351" s="18" t="s">
        <v>1427</v>
      </c>
      <c r="H351" s="77" t="str">
        <f>UKG!AQ351</f>
        <v>jtingvall@onebarnes.com</v>
      </c>
      <c r="I351" s="18" t="str">
        <f>IFERROR(VLOOKUP(J351,'Language Map'!M:O,3,FALSE),"en_US")</f>
        <v>sv_SE</v>
      </c>
      <c r="J351" s="77" t="str">
        <f>UKG!BF351</f>
        <v>SE</v>
      </c>
      <c r="L351" s="77" t="str">
        <f>IFERROR(VLOOKUP(UKG!BA351,'UKG Company Map'!B:G,7,FALSE),"Ledger Code Not Matched")</f>
        <v>Ledger Code Not Matched</v>
      </c>
      <c r="M351" s="18" t="str">
        <f>UKG!BH351</f>
        <v>SEK</v>
      </c>
      <c r="O351" s="18" t="str">
        <f>UKG!BJ351</f>
        <v>Y</v>
      </c>
      <c r="P351" s="18" t="str">
        <f>IFERROR(VLOOKUP(UKG!BA351,'UKG Company Map'!B:E,2,FALSE),"Org Unit 1 Not Mapped")</f>
        <v>0077</v>
      </c>
      <c r="Q351" s="77" t="str">
        <f>UKG!BB351</f>
        <v>0000</v>
      </c>
      <c r="W351" s="77" t="str">
        <f>UKG!Q351</f>
        <v>S22</v>
      </c>
      <c r="X351" s="18" t="str">
        <f>UKG!BC351</f>
        <v>Grade 20</v>
      </c>
      <c r="Z351" s="18" t="str">
        <f>IFERROR(VLOOKUP(UKG!BA351,'UKG Company Map'!B:G,8,FALSE),"Custom 5 Not Matched")</f>
        <v>Custom 5 Not Matched</v>
      </c>
      <c r="AP351" s="18" t="str">
        <f>IFERROR(VLOOKUP(UKG!BA351,'UKG Company Map'!B:G,4,FALSE),"Custom 21 Exp Group Not Matched")</f>
        <v>0077</v>
      </c>
      <c r="BG351" s="77" t="str">
        <f>UKG!AZ351</f>
        <v>207709</v>
      </c>
      <c r="BK351" s="18" t="s">
        <v>1421</v>
      </c>
      <c r="BL351" s="18" t="s">
        <v>1421</v>
      </c>
      <c r="BU351" s="18" t="str">
        <f>UKG!BL351</f>
        <v>N</v>
      </c>
      <c r="BV351" s="18" t="str">
        <f>UKG!BL351</f>
        <v>N</v>
      </c>
      <c r="CE351" s="18" t="s">
        <v>1421</v>
      </c>
    </row>
    <row r="352" spans="1:83" ht="16" hidden="1" thickBot="1" x14ac:dyDescent="0.25">
      <c r="A352" s="39" t="s">
        <v>1420</v>
      </c>
      <c r="B352" s="77" t="str">
        <f>UKG!BO352</f>
        <v>STINA</v>
      </c>
      <c r="D352" s="77" t="str">
        <f>UKG!BN352</f>
        <v>TINGVALL</v>
      </c>
      <c r="E352" s="77" t="str">
        <f>UKG!D352</f>
        <v>207205</v>
      </c>
      <c r="F352" s="77" t="str">
        <f t="shared" si="6"/>
        <v>stingvall@onebarnes.com.new.uat</v>
      </c>
      <c r="G352" s="18" t="s">
        <v>1427</v>
      </c>
      <c r="H352" s="77" t="str">
        <f>UKG!AQ352</f>
        <v>stingvall@onebarnes.com</v>
      </c>
      <c r="I352" s="18" t="str">
        <f>IFERROR(VLOOKUP(J352,'Language Map'!M:O,3,FALSE),"en_US")</f>
        <v>sv_SE</v>
      </c>
      <c r="J352" s="77" t="str">
        <f>UKG!BF352</f>
        <v>SE</v>
      </c>
      <c r="L352" s="77" t="str">
        <f>IFERROR(VLOOKUP(UKG!BA352,'UKG Company Map'!B:G,7,FALSE),"Ledger Code Not Matched")</f>
        <v>Ledger Code Not Matched</v>
      </c>
      <c r="M352" s="18" t="str">
        <f>UKG!BH352</f>
        <v>SEK</v>
      </c>
      <c r="O352" s="18" t="str">
        <f>UKG!BJ352</f>
        <v>Y</v>
      </c>
      <c r="P352" s="18" t="str">
        <f>IFERROR(VLOOKUP(UKG!BA352,'UKG Company Map'!B:E,2,FALSE),"Org Unit 1 Not Mapped")</f>
        <v>0077</v>
      </c>
      <c r="Q352" s="77" t="str">
        <f>UKG!BB352</f>
        <v>0000</v>
      </c>
      <c r="W352" s="77" t="str">
        <f>UKG!Q352</f>
        <v>S11</v>
      </c>
      <c r="X352" s="18" t="str">
        <f>UKG!BC352</f>
        <v>Default</v>
      </c>
      <c r="Z352" s="18" t="str">
        <f>IFERROR(VLOOKUP(UKG!BA352,'UKG Company Map'!B:G,8,FALSE),"Custom 5 Not Matched")</f>
        <v>Custom 5 Not Matched</v>
      </c>
      <c r="AP352" s="18" t="str">
        <f>IFERROR(VLOOKUP(UKG!BA352,'UKG Company Map'!B:G,4,FALSE),"Custom 21 Exp Group Not Matched")</f>
        <v>0077</v>
      </c>
      <c r="BG352" s="77" t="str">
        <f>UKG!AZ352</f>
        <v>205065</v>
      </c>
      <c r="BK352" s="18" t="s">
        <v>1421</v>
      </c>
      <c r="BL352" s="18" t="s">
        <v>1421</v>
      </c>
      <c r="BU352" s="18" t="str">
        <f>UKG!BL352</f>
        <v>N</v>
      </c>
      <c r="BV352" s="18" t="str">
        <f>UKG!BL352</f>
        <v>N</v>
      </c>
      <c r="CE352" s="18" t="s">
        <v>1421</v>
      </c>
    </row>
    <row r="353" spans="1:83" ht="16" hidden="1" thickBot="1" x14ac:dyDescent="0.25">
      <c r="A353" s="39" t="s">
        <v>1420</v>
      </c>
      <c r="B353" s="77" t="str">
        <f>UKG!BO353</f>
        <v>JOHAN</v>
      </c>
      <c r="D353" s="77" t="str">
        <f>UKG!BN353</f>
        <v>TÖRNVALL</v>
      </c>
      <c r="E353" s="77" t="str">
        <f>UKG!D353</f>
        <v>205097</v>
      </c>
      <c r="F353" s="77" t="str">
        <f t="shared" si="6"/>
        <v>JTornvall@onebarnes.com.new.uat</v>
      </c>
      <c r="G353" s="18" t="s">
        <v>1427</v>
      </c>
      <c r="H353" s="77" t="str">
        <f>UKG!AQ353</f>
        <v>JTornvall@onebarnes.com</v>
      </c>
      <c r="I353" s="18" t="str">
        <f>IFERROR(VLOOKUP(J353,'Language Map'!M:O,3,FALSE),"en_US")</f>
        <v>sv_SE</v>
      </c>
      <c r="J353" s="77" t="str">
        <f>UKG!BF353</f>
        <v>SE</v>
      </c>
      <c r="L353" s="77" t="str">
        <f>IFERROR(VLOOKUP(UKG!BA353,'UKG Company Map'!B:G,7,FALSE),"Ledger Code Not Matched")</f>
        <v>Ledger Code Not Matched</v>
      </c>
      <c r="M353" s="18" t="str">
        <f>UKG!BH353</f>
        <v>SEK</v>
      </c>
      <c r="O353" s="18" t="str">
        <f>UKG!BJ353</f>
        <v>Y</v>
      </c>
      <c r="P353" s="18" t="str">
        <f>IFERROR(VLOOKUP(UKG!BA353,'UKG Company Map'!B:E,2,FALSE),"Org Unit 1 Not Mapped")</f>
        <v>0077</v>
      </c>
      <c r="Q353" s="77" t="str">
        <f>UKG!BB353</f>
        <v>0000</v>
      </c>
      <c r="W353" s="77" t="str">
        <f>UKG!Q353</f>
        <v>S12</v>
      </c>
      <c r="X353" s="18" t="str">
        <f>UKG!BC353</f>
        <v>Default</v>
      </c>
      <c r="Z353" s="18" t="str">
        <f>IFERROR(VLOOKUP(UKG!BA353,'UKG Company Map'!B:G,8,FALSE),"Custom 5 Not Matched")</f>
        <v>Custom 5 Not Matched</v>
      </c>
      <c r="AP353" s="18" t="str">
        <f>IFERROR(VLOOKUP(UKG!BA353,'UKG Company Map'!B:G,4,FALSE),"Custom 21 Exp Group Not Matched")</f>
        <v>0077</v>
      </c>
      <c r="BG353" s="77" t="str">
        <f>UKG!AZ353</f>
        <v>213066</v>
      </c>
      <c r="BK353" s="18" t="s">
        <v>1421</v>
      </c>
      <c r="BL353" s="18" t="s">
        <v>1421</v>
      </c>
      <c r="BU353" s="18" t="str">
        <f>UKG!BL353</f>
        <v>N</v>
      </c>
      <c r="BV353" s="18" t="str">
        <f>UKG!BL353</f>
        <v>N</v>
      </c>
      <c r="CE353" s="18" t="s">
        <v>1421</v>
      </c>
    </row>
    <row r="354" spans="1:83" ht="16" hidden="1" thickBot="1" x14ac:dyDescent="0.25">
      <c r="A354" s="39" t="s">
        <v>1420</v>
      </c>
      <c r="B354" s="77" t="str">
        <f>UKG!BO354</f>
        <v>PETTER</v>
      </c>
      <c r="D354" s="77" t="str">
        <f>UKG!BN354</f>
        <v>VENNBERG</v>
      </c>
      <c r="E354" s="77" t="str">
        <f>UKG!D354</f>
        <v>205402</v>
      </c>
      <c r="F354" s="77" t="str">
        <f t="shared" si="6"/>
        <v>PVennberg@onebarnes.com.new.uat</v>
      </c>
      <c r="G354" s="18" t="s">
        <v>1427</v>
      </c>
      <c r="H354" s="77" t="str">
        <f>UKG!AQ354</f>
        <v>PVennberg@onebarnes.com</v>
      </c>
      <c r="I354" s="18" t="str">
        <f>IFERROR(VLOOKUP(J354,'Language Map'!M:O,3,FALSE),"en_US")</f>
        <v>sv_SE</v>
      </c>
      <c r="J354" s="77" t="str">
        <f>UKG!BF354</f>
        <v>SE</v>
      </c>
      <c r="L354" s="77" t="str">
        <f>IFERROR(VLOOKUP(UKG!BA354,'UKG Company Map'!B:G,7,FALSE),"Ledger Code Not Matched")</f>
        <v>Ledger Code Not Matched</v>
      </c>
      <c r="M354" s="18" t="str">
        <f>UKG!BH354</f>
        <v>SEK</v>
      </c>
      <c r="O354" s="18" t="str">
        <f>UKG!BJ354</f>
        <v>Y</v>
      </c>
      <c r="P354" s="18" t="str">
        <f>IFERROR(VLOOKUP(UKG!BA354,'UKG Company Map'!B:E,2,FALSE),"Org Unit 1 Not Mapped")</f>
        <v>0077</v>
      </c>
      <c r="Q354" s="77" t="str">
        <f>UKG!BB354</f>
        <v>0000</v>
      </c>
      <c r="W354" s="77" t="str">
        <f>UKG!Q354</f>
        <v>S11</v>
      </c>
      <c r="X354" s="18" t="str">
        <f>UKG!BC354</f>
        <v>Default</v>
      </c>
      <c r="Z354" s="18" t="str">
        <f>IFERROR(VLOOKUP(UKG!BA354,'UKG Company Map'!B:G,8,FALSE),"Custom 5 Not Matched")</f>
        <v>Custom 5 Not Matched</v>
      </c>
      <c r="AP354" s="18" t="str">
        <f>IFERROR(VLOOKUP(UKG!BA354,'UKG Company Map'!B:G,4,FALSE),"Custom 21 Exp Group Not Matched")</f>
        <v>0077</v>
      </c>
      <c r="BG354" s="77" t="str">
        <f>UKG!AZ354</f>
        <v>205408</v>
      </c>
      <c r="BK354" s="18" t="s">
        <v>1421</v>
      </c>
      <c r="BL354" s="18" t="s">
        <v>1421</v>
      </c>
      <c r="BU354" s="18" t="str">
        <f>UKG!BL354</f>
        <v>N</v>
      </c>
      <c r="BV354" s="18" t="str">
        <f>UKG!BL354</f>
        <v>N</v>
      </c>
      <c r="CE354" s="18" t="s">
        <v>1421</v>
      </c>
    </row>
    <row r="355" spans="1:83" ht="16" hidden="1" thickBot="1" x14ac:dyDescent="0.25">
      <c r="A355" s="39" t="s">
        <v>1420</v>
      </c>
      <c r="B355" s="77" t="str">
        <f>UKG!BO355</f>
        <v>PATRIK</v>
      </c>
      <c r="D355" s="77" t="str">
        <f>UKG!BN355</f>
        <v>WAHRBY</v>
      </c>
      <c r="E355" s="77" t="str">
        <f>UKG!D355</f>
        <v>205091</v>
      </c>
      <c r="F355" s="77" t="str">
        <f t="shared" si="6"/>
        <v>PWahrby@onebarnes.com.new.uat</v>
      </c>
      <c r="G355" s="18" t="s">
        <v>1427</v>
      </c>
      <c r="H355" s="77" t="str">
        <f>UKG!AQ355</f>
        <v>PWahrby@onebarnes.com</v>
      </c>
      <c r="I355" s="18" t="str">
        <f>IFERROR(VLOOKUP(J355,'Language Map'!M:O,3,FALSE),"en_US")</f>
        <v>sv_SE</v>
      </c>
      <c r="J355" s="77" t="str">
        <f>UKG!BF355</f>
        <v>SE</v>
      </c>
      <c r="L355" s="77" t="str">
        <f>IFERROR(VLOOKUP(UKG!BA355,'UKG Company Map'!B:G,7,FALSE),"Ledger Code Not Matched")</f>
        <v>Ledger Code Not Matched</v>
      </c>
      <c r="M355" s="18" t="str">
        <f>UKG!BH355</f>
        <v>SEK</v>
      </c>
      <c r="O355" s="18" t="str">
        <f>UKG!BJ355</f>
        <v>Y</v>
      </c>
      <c r="P355" s="18" t="str">
        <f>IFERROR(VLOOKUP(UKG!BA355,'UKG Company Map'!B:E,2,FALSE),"Org Unit 1 Not Mapped")</f>
        <v>0077</v>
      </c>
      <c r="Q355" s="77" t="str">
        <f>UKG!BB355</f>
        <v>0000</v>
      </c>
      <c r="W355" s="77" t="str">
        <f>UKG!Q355</f>
        <v>S12</v>
      </c>
      <c r="X355" s="18" t="str">
        <f>UKG!BC355</f>
        <v>Default</v>
      </c>
      <c r="Z355" s="18" t="str">
        <f>IFERROR(VLOOKUP(UKG!BA355,'UKG Company Map'!B:G,8,FALSE),"Custom 5 Not Matched")</f>
        <v>Custom 5 Not Matched</v>
      </c>
      <c r="AP355" s="18" t="str">
        <f>IFERROR(VLOOKUP(UKG!BA355,'UKG Company Map'!B:G,4,FALSE),"Custom 21 Exp Group Not Matched")</f>
        <v>0077</v>
      </c>
      <c r="BG355" s="77" t="str">
        <f>UKG!AZ355</f>
        <v>213066</v>
      </c>
      <c r="BK355" s="18" t="s">
        <v>1421</v>
      </c>
      <c r="BL355" s="18" t="s">
        <v>1421</v>
      </c>
      <c r="BU355" s="18" t="str">
        <f>UKG!BL355</f>
        <v>N</v>
      </c>
      <c r="BV355" s="18" t="str">
        <f>UKG!BL355</f>
        <v>N</v>
      </c>
      <c r="CE355" s="18" t="s">
        <v>1421</v>
      </c>
    </row>
    <row r="356" spans="1:83" ht="16" hidden="1" thickBot="1" x14ac:dyDescent="0.25">
      <c r="A356" s="39" t="s">
        <v>1420</v>
      </c>
      <c r="B356" s="77" t="str">
        <f>UKG!BO356</f>
        <v>JENNY</v>
      </c>
      <c r="D356" s="77" t="str">
        <f>UKG!BN356</f>
        <v>WÄNNSTRÖM</v>
      </c>
      <c r="E356" s="77" t="str">
        <f>UKG!D356</f>
        <v>205389</v>
      </c>
      <c r="F356" s="77" t="str">
        <f t="shared" ref="F356" si="7">H356&amp;".new.uat"</f>
        <v>jwannstrom1@onebarnes.com.new.uat</v>
      </c>
      <c r="G356" s="18" t="s">
        <v>1427</v>
      </c>
      <c r="H356" s="77" t="str">
        <f>UKG!AQ356</f>
        <v>jwannstrom1@onebarnes.com</v>
      </c>
      <c r="I356" s="18" t="str">
        <f>IFERROR(VLOOKUP(J356,'Language Map'!M:O,3,FALSE),"en_US")</f>
        <v>sv_SE</v>
      </c>
      <c r="J356" s="77" t="str">
        <f>UKG!BF356</f>
        <v>SE</v>
      </c>
      <c r="L356" s="77" t="str">
        <f>IFERROR(VLOOKUP(UKG!BA356,'UKG Company Map'!B:G,7,FALSE),"Ledger Code Not Matched")</f>
        <v>Ledger Code Not Matched</v>
      </c>
      <c r="M356" s="18" t="str">
        <f>UKG!BH356</f>
        <v>SEK</v>
      </c>
      <c r="O356" s="18" t="str">
        <f>UKG!BJ356</f>
        <v>Y</v>
      </c>
      <c r="P356" s="18" t="str">
        <f>IFERROR(VLOOKUP(UKG!BA356,'UKG Company Map'!B:E,2,FALSE),"Org Unit 1 Not Mapped")</f>
        <v>0077</v>
      </c>
      <c r="Q356" s="77" t="str">
        <f>UKG!BB356</f>
        <v>0000</v>
      </c>
      <c r="W356" s="77" t="str">
        <f>UKG!Q356</f>
        <v>S20</v>
      </c>
      <c r="X356" s="18" t="str">
        <f>UKG!BC356</f>
        <v>Grade 20</v>
      </c>
      <c r="Z356" s="18" t="str">
        <f>IFERROR(VLOOKUP(UKG!BA356,'UKG Company Map'!B:G,8,FALSE),"Custom 5 Not Matched")</f>
        <v>Custom 5 Not Matched</v>
      </c>
      <c r="AP356" s="18" t="str">
        <f>IFERROR(VLOOKUP(UKG!BA356,'UKG Company Map'!B:G,4,FALSE),"Custom 21 Exp Group Not Matched")</f>
        <v>0077</v>
      </c>
      <c r="BG356" s="77" t="str">
        <f>UKG!AZ356</f>
        <v>207709</v>
      </c>
      <c r="BK356" s="18" t="s">
        <v>1421</v>
      </c>
      <c r="BL356" s="18" t="s">
        <v>1421</v>
      </c>
      <c r="BU356" s="18" t="str">
        <f>UKG!BL356</f>
        <v>N</v>
      </c>
      <c r="BV356" s="18" t="str">
        <f>UKG!BL356</f>
        <v>N</v>
      </c>
      <c r="CE356" s="18" t="s">
        <v>1421</v>
      </c>
    </row>
    <row r="357" spans="1:83" ht="16" hidden="1" thickBot="1" x14ac:dyDescent="0.25">
      <c r="A357" s="39" t="s">
        <v>1420</v>
      </c>
      <c r="B357" s="77" t="str">
        <f>UKG!BO357</f>
        <v>Martin</v>
      </c>
      <c r="D357" s="77" t="str">
        <f>UKG!BN357</f>
        <v>Weerman</v>
      </c>
      <c r="E357" s="77" t="str">
        <f>UKG!D357</f>
        <v>212110</v>
      </c>
      <c r="F357" s="77" t="str">
        <f t="shared" ref="F357:F362" si="8">H357&amp;".new.uat"</f>
        <v>mweerman@onebarnes.com.new.uat</v>
      </c>
      <c r="G357" s="18" t="s">
        <v>3757</v>
      </c>
      <c r="H357" s="77" t="str">
        <f>UKG!AQ357</f>
        <v>mweerman@onebarnes.com</v>
      </c>
      <c r="I357" s="18" t="str">
        <f>IFERROR(VLOOKUP(J357,'Language Map'!M:O,3,FALSE),"en_US")</f>
        <v>sv_SE</v>
      </c>
      <c r="J357" s="77" t="str">
        <f>UKG!BF357</f>
        <v>SE</v>
      </c>
      <c r="L357" s="77" t="str">
        <f>IFERROR(VLOOKUP(UKG!BA357,'UKG Company Map'!B:G,7,FALSE),"Ledger Code Not Matched")</f>
        <v>Ledger Code Not Matched</v>
      </c>
      <c r="M357" s="18" t="str">
        <f>UKG!BH357</f>
        <v>SEK</v>
      </c>
      <c r="O357" s="18" t="str">
        <f>UKG!BJ357</f>
        <v>Y</v>
      </c>
      <c r="P357" s="18" t="str">
        <f>IFERROR(VLOOKUP(UKG!BA357,'UKG Company Map'!B:E,2,FALSE),"Org Unit 1 Not Mapped")</f>
        <v>0077</v>
      </c>
      <c r="Q357" s="77" t="str">
        <f>UKG!BB357</f>
        <v>0000</v>
      </c>
      <c r="W357" s="77" t="str">
        <f>UKG!Q357</f>
        <v>H0000</v>
      </c>
      <c r="X357" s="18" t="str">
        <f>UKG!BC357</f>
        <v>Default</v>
      </c>
      <c r="Z357" s="18" t="str">
        <f>IFERROR(VLOOKUP(UKG!BA357,'UKG Company Map'!B:G,8,FALSE),"Custom 5 Not Matched")</f>
        <v>Custom 5 Not Matched</v>
      </c>
      <c r="AP357" s="18" t="str">
        <f>IFERROR(VLOOKUP(UKG!BA357,'UKG Company Map'!B:G,4,FALSE),"Custom 21 Exp Group Not Matched")</f>
        <v>0077</v>
      </c>
      <c r="BG357" s="77" t="str">
        <f>UKG!AZ357</f>
        <v>205377</v>
      </c>
      <c r="BK357" s="18" t="s">
        <v>1421</v>
      </c>
      <c r="BL357" s="18" t="s">
        <v>1421</v>
      </c>
      <c r="BU357" s="18" t="str">
        <f>UKG!BL357</f>
        <v>N</v>
      </c>
      <c r="BV357" s="18" t="str">
        <f>UKG!BL357</f>
        <v>N</v>
      </c>
      <c r="CE357" s="18" t="s">
        <v>1421</v>
      </c>
    </row>
    <row r="358" spans="1:83" ht="16" hidden="1" thickBot="1" x14ac:dyDescent="0.25">
      <c r="A358" s="39" t="s">
        <v>1420</v>
      </c>
      <c r="B358" s="77" t="str">
        <f>UKG!BO358</f>
        <v>ELIN</v>
      </c>
      <c r="D358" s="77" t="str">
        <f>UKG!BN358</f>
        <v>WIESLANDER</v>
      </c>
      <c r="E358" s="77" t="str">
        <f>UKG!D358</f>
        <v>210633</v>
      </c>
      <c r="F358" s="77" t="str">
        <f t="shared" si="8"/>
        <v>ewieslander@onebarnes.com.new.uat</v>
      </c>
      <c r="G358" s="18" t="s">
        <v>3758</v>
      </c>
      <c r="H358" s="77" t="str">
        <f>UKG!AQ358</f>
        <v>ewieslander@onebarnes.com</v>
      </c>
      <c r="I358" s="18" t="str">
        <f>IFERROR(VLOOKUP(J358,'Language Map'!M:O,3,FALSE),"en_US")</f>
        <v>sv_SE</v>
      </c>
      <c r="J358" s="77" t="str">
        <f>UKG!BF358</f>
        <v>SE</v>
      </c>
      <c r="L358" s="77" t="str">
        <f>IFERROR(VLOOKUP(UKG!BA358,'UKG Company Map'!B:G,7,FALSE),"Ledger Code Not Matched")</f>
        <v>Ledger Code Not Matched</v>
      </c>
      <c r="M358" s="18" t="str">
        <f>UKG!BH358</f>
        <v>SEK</v>
      </c>
      <c r="O358" s="18" t="str">
        <f>UKG!BJ358</f>
        <v>Y</v>
      </c>
      <c r="P358" s="18" t="str">
        <f>IFERROR(VLOOKUP(UKG!BA358,'UKG Company Map'!B:E,2,FALSE),"Org Unit 1 Not Mapped")</f>
        <v>0077</v>
      </c>
      <c r="Q358" s="77" t="str">
        <f>UKG!BB358</f>
        <v>0000</v>
      </c>
      <c r="W358" s="77" t="str">
        <f>UKG!Q358</f>
        <v>S12</v>
      </c>
      <c r="X358" s="18" t="str">
        <f>UKG!BC358</f>
        <v>Default</v>
      </c>
      <c r="Z358" s="18" t="str">
        <f>IFERROR(VLOOKUP(UKG!BA358,'UKG Company Map'!B:G,8,FALSE),"Custom 5 Not Matched")</f>
        <v>Custom 5 Not Matched</v>
      </c>
      <c r="AP358" s="18" t="str">
        <f>IFERROR(VLOOKUP(UKG!BA358,'UKG Company Map'!B:G,4,FALSE),"Custom 21 Exp Group Not Matched")</f>
        <v>0077</v>
      </c>
      <c r="BG358" s="77" t="str">
        <f>UKG!AZ358</f>
        <v>211600</v>
      </c>
      <c r="BK358" s="18" t="s">
        <v>1421</v>
      </c>
      <c r="BL358" s="18" t="s">
        <v>1421</v>
      </c>
      <c r="BU358" s="18" t="str">
        <f>UKG!BL358</f>
        <v>N</v>
      </c>
      <c r="BV358" s="18" t="str">
        <f>UKG!BL358</f>
        <v>N</v>
      </c>
      <c r="CE358" s="18" t="s">
        <v>1421</v>
      </c>
    </row>
    <row r="359" spans="1:83" ht="16" hidden="1" thickBot="1" x14ac:dyDescent="0.25">
      <c r="A359" s="39" t="s">
        <v>1420</v>
      </c>
      <c r="B359" s="77" t="str">
        <f>UKG!BO359</f>
        <v>KJELL</v>
      </c>
      <c r="D359" s="77" t="str">
        <f>UKG!BN359</f>
        <v>WIKTORSSON</v>
      </c>
      <c r="E359" s="77" t="str">
        <f>UKG!D359</f>
        <v>205116</v>
      </c>
      <c r="F359" s="77" t="str">
        <f t="shared" si="8"/>
        <v>KWiktorsson@onebarnes.com.new.uat</v>
      </c>
      <c r="G359" s="18" t="s">
        <v>3759</v>
      </c>
      <c r="H359" s="77" t="str">
        <f>UKG!AQ359</f>
        <v>KWiktorsson@onebarnes.com</v>
      </c>
      <c r="I359" s="18" t="str">
        <f>IFERROR(VLOOKUP(J359,'Language Map'!M:O,3,FALSE),"en_US")</f>
        <v>sv_SE</v>
      </c>
      <c r="J359" s="77" t="str">
        <f>UKG!BF359</f>
        <v>SE</v>
      </c>
      <c r="L359" s="77" t="str">
        <f>IFERROR(VLOOKUP(UKG!BA359,'UKG Company Map'!B:G,7,FALSE),"Ledger Code Not Matched")</f>
        <v>Ledger Code Not Matched</v>
      </c>
      <c r="M359" s="18" t="str">
        <f>UKG!BH359</f>
        <v>SEK</v>
      </c>
      <c r="O359" s="18" t="str">
        <f>UKG!BJ359</f>
        <v>Y</v>
      </c>
      <c r="P359" s="18" t="str">
        <f>IFERROR(VLOOKUP(UKG!BA359,'UKG Company Map'!B:E,2,FALSE),"Org Unit 1 Not Mapped")</f>
        <v>0077</v>
      </c>
      <c r="Q359" s="77" t="str">
        <f>UKG!BB359</f>
        <v>0000</v>
      </c>
      <c r="W359" s="77" t="str">
        <f>UKG!Q359</f>
        <v>H0000</v>
      </c>
      <c r="X359" s="18" t="str">
        <f>UKG!BC359</f>
        <v>Default</v>
      </c>
      <c r="Z359" s="18" t="str">
        <f>IFERROR(VLOOKUP(UKG!BA359,'UKG Company Map'!B:G,8,FALSE),"Custom 5 Not Matched")</f>
        <v>Custom 5 Not Matched</v>
      </c>
      <c r="AP359" s="18" t="str">
        <f>IFERROR(VLOOKUP(UKG!BA359,'UKG Company Map'!B:G,4,FALSE),"Custom 21 Exp Group Not Matched")</f>
        <v>0077</v>
      </c>
      <c r="BG359" s="77" t="str">
        <f>UKG!AZ359</f>
        <v>205377</v>
      </c>
      <c r="BK359" s="18" t="s">
        <v>1421</v>
      </c>
      <c r="BL359" s="18" t="s">
        <v>1421</v>
      </c>
      <c r="BU359" s="18" t="str">
        <f>UKG!BL359</f>
        <v>N</v>
      </c>
      <c r="BV359" s="18" t="str">
        <f>UKG!BL359</f>
        <v>N</v>
      </c>
      <c r="CE359" s="18" t="s">
        <v>1421</v>
      </c>
    </row>
    <row r="360" spans="1:83" ht="16" hidden="1" thickBot="1" x14ac:dyDescent="0.25">
      <c r="A360" s="39" t="s">
        <v>1420</v>
      </c>
      <c r="B360" s="77" t="str">
        <f>UKG!BO360</f>
        <v>PÄR</v>
      </c>
      <c r="D360" s="77" t="str">
        <f>UKG!BN360</f>
        <v>WINDBORG</v>
      </c>
      <c r="E360" s="77" t="str">
        <f>UKG!D360</f>
        <v>207562</v>
      </c>
      <c r="F360" s="77" t="str">
        <f t="shared" si="8"/>
        <v>PWindborg@onebarnes.com.new.uat</v>
      </c>
      <c r="G360" s="18" t="s">
        <v>3760</v>
      </c>
      <c r="H360" s="77" t="str">
        <f>UKG!AQ360</f>
        <v>PWindborg@onebarnes.com</v>
      </c>
      <c r="I360" s="18" t="str">
        <f>IFERROR(VLOOKUP(J360,'Language Map'!M:O,3,FALSE),"en_US")</f>
        <v>sv_SE</v>
      </c>
      <c r="J360" s="77" t="str">
        <f>UKG!BF360</f>
        <v>SE</v>
      </c>
      <c r="L360" s="77" t="str">
        <f>IFERROR(VLOOKUP(UKG!BA360,'UKG Company Map'!B:G,7,FALSE),"Ledger Code Not Matched")</f>
        <v>Ledger Code Not Matched</v>
      </c>
      <c r="M360" s="18" t="str">
        <f>UKG!BH360</f>
        <v>SEK</v>
      </c>
      <c r="O360" s="18" t="str">
        <f>UKG!BJ360</f>
        <v>Y</v>
      </c>
      <c r="P360" s="18" t="str">
        <f>IFERROR(VLOOKUP(UKG!BA360,'UKG Company Map'!B:E,2,FALSE),"Org Unit 1 Not Mapped")</f>
        <v>0077</v>
      </c>
      <c r="Q360" s="77" t="str">
        <f>UKG!BB360</f>
        <v>0000</v>
      </c>
      <c r="W360" s="77" t="str">
        <f>UKG!Q360</f>
        <v>S12</v>
      </c>
      <c r="X360" s="18" t="str">
        <f>UKG!BC360</f>
        <v>Default</v>
      </c>
      <c r="Z360" s="18" t="str">
        <f>IFERROR(VLOOKUP(UKG!BA360,'UKG Company Map'!B:G,8,FALSE),"Custom 5 Not Matched")</f>
        <v>Custom 5 Not Matched</v>
      </c>
      <c r="AP360" s="18" t="str">
        <f>IFERROR(VLOOKUP(UKG!BA360,'UKG Company Map'!B:G,4,FALSE),"Custom 21 Exp Group Not Matched")</f>
        <v>0077</v>
      </c>
      <c r="BG360" s="77" t="str">
        <f>UKG!AZ360</f>
        <v>211600</v>
      </c>
      <c r="BK360" s="18" t="s">
        <v>1421</v>
      </c>
      <c r="BL360" s="18" t="s">
        <v>1421</v>
      </c>
      <c r="BU360" s="18" t="str">
        <f>UKG!BL360</f>
        <v>N</v>
      </c>
      <c r="BV360" s="18" t="str">
        <f>UKG!BL360</f>
        <v>N</v>
      </c>
      <c r="CE360" s="18" t="s">
        <v>1421</v>
      </c>
    </row>
    <row r="361" spans="1:83" ht="16" hidden="1" thickBot="1" x14ac:dyDescent="0.25">
      <c r="A361" s="39" t="s">
        <v>1420</v>
      </c>
      <c r="B361" s="77" t="str">
        <f>UKG!BO361</f>
        <v>Teng</v>
      </c>
      <c r="D361" s="77" t="str">
        <f>UKG!BN361</f>
        <v>Li Lim</v>
      </c>
      <c r="E361" s="77" t="str">
        <f>UKG!D361</f>
        <v>206256</v>
      </c>
      <c r="F361" s="77" t="str">
        <f t="shared" si="8"/>
        <v>elim@raymondasia.com.new.uat</v>
      </c>
      <c r="G361" s="18" t="s">
        <v>3761</v>
      </c>
      <c r="H361" s="77" t="str">
        <f>UKG!AQ361</f>
        <v>elim@raymondasia.com</v>
      </c>
      <c r="I361" s="18" t="str">
        <f>IFERROR(VLOOKUP(J361,'Language Map'!M:O,3,FALSE),"en_US")</f>
        <v>en_US</v>
      </c>
      <c r="J361" s="77" t="str">
        <f>UKG!BF361</f>
        <v>SG</v>
      </c>
      <c r="L361" s="77" t="str">
        <f>IFERROR(VLOOKUP(UKG!BA361,'UKG Company Map'!B:G,7,FALSE),"Ledger Code Not Matched")</f>
        <v>Ledger Code Not Matched</v>
      </c>
      <c r="M361" s="18" t="str">
        <f>UKG!BH361</f>
        <v>SGD</v>
      </c>
      <c r="O361" s="18" t="str">
        <f>UKG!BJ361</f>
        <v>Y</v>
      </c>
      <c r="P361" s="18" t="str">
        <f>IFERROR(VLOOKUP(UKG!BA361,'UKG Company Map'!B:E,2,FALSE),"Org Unit 1 Not Mapped")</f>
        <v>0057</v>
      </c>
      <c r="Q361" s="77" t="str">
        <f>UKG!BB361</f>
        <v>0012</v>
      </c>
      <c r="W361" s="77" t="str">
        <f>UKG!Q361</f>
        <v>S11</v>
      </c>
      <c r="X361" s="18" t="str">
        <f>UKG!BC361</f>
        <v>Default</v>
      </c>
      <c r="Z361" s="18" t="str">
        <f>IFERROR(VLOOKUP(UKG!BA361,'UKG Company Map'!B:G,8,FALSE),"Custom 5 Not Matched")</f>
        <v>Custom 5 Not Matched</v>
      </c>
      <c r="AP361" s="18" t="str">
        <f>IFERROR(VLOOKUP(UKG!BA361,'UKG Company Map'!B:G,4,FALSE),"Custom 21 Exp Group Not Matched")</f>
        <v>0057</v>
      </c>
      <c r="BG361" s="77" t="str">
        <f>UKG!AZ361</f>
        <v>207588</v>
      </c>
      <c r="BK361" s="18" t="s">
        <v>1421</v>
      </c>
      <c r="BL361" s="18" t="s">
        <v>1421</v>
      </c>
      <c r="BU361" s="18" t="str">
        <f>UKG!BL361</f>
        <v>N</v>
      </c>
      <c r="BV361" s="18" t="str">
        <f>UKG!BL361</f>
        <v>N</v>
      </c>
      <c r="CE361" s="18" t="s">
        <v>1421</v>
      </c>
    </row>
    <row r="362" spans="1:83" ht="16" hidden="1" thickBot="1" x14ac:dyDescent="0.25">
      <c r="A362" s="39" t="s">
        <v>1420</v>
      </c>
      <c r="B362" s="77" t="str">
        <f>UKG!BO362</f>
        <v>Wei Zhang</v>
      </c>
      <c r="D362" s="77" t="str">
        <f>UKG!BN362</f>
        <v>Wong</v>
      </c>
      <c r="E362" s="77" t="str">
        <f>UKG!D362</f>
        <v>211599</v>
      </c>
      <c r="F362" s="77" t="str">
        <f t="shared" si="8"/>
        <v>wwong@onebarnes.com.new.uat</v>
      </c>
      <c r="G362" s="18" t="s">
        <v>3762</v>
      </c>
      <c r="H362" s="77" t="str">
        <f>UKG!AQ362</f>
        <v>wwong@onebarnes.com</v>
      </c>
      <c r="I362" s="18" t="str">
        <f>IFERROR(VLOOKUP(J362,'Language Map'!M:O,3,FALSE),"en_US")</f>
        <v>en_US</v>
      </c>
      <c r="J362" s="77" t="str">
        <f>UKG!BF362</f>
        <v>SG</v>
      </c>
      <c r="L362" s="77" t="str">
        <f>IFERROR(VLOOKUP(UKG!BA362,'UKG Company Map'!B:G,7,FALSE),"Ledger Code Not Matched")</f>
        <v>Ledger Code Not Matched</v>
      </c>
      <c r="M362" s="18" t="str">
        <f>UKG!BH362</f>
        <v>SGD</v>
      </c>
      <c r="O362" s="18" t="str">
        <f>UKG!BJ362</f>
        <v>Y</v>
      </c>
      <c r="P362" s="18" t="str">
        <f>IFERROR(VLOOKUP(UKG!BA362,'UKG Company Map'!B:E,2,FALSE),"Org Unit 1 Not Mapped")</f>
        <v>0057</v>
      </c>
      <c r="Q362" s="77" t="str">
        <f>UKG!BB362</f>
        <v>0012</v>
      </c>
      <c r="W362" s="77" t="str">
        <f>UKG!Q362</f>
        <v>S15</v>
      </c>
      <c r="X362" s="18" t="str">
        <f>UKG!BC362</f>
        <v>Default</v>
      </c>
      <c r="Z362" s="18" t="str">
        <f>IFERROR(VLOOKUP(UKG!BA362,'UKG Company Map'!B:G,8,FALSE),"Custom 5 Not Matched")</f>
        <v>Custom 5 Not Matched</v>
      </c>
      <c r="AP362" s="18" t="str">
        <f>IFERROR(VLOOKUP(UKG!BA362,'UKG Company Map'!B:G,4,FALSE),"Custom 21 Exp Group Not Matched")</f>
        <v>0057</v>
      </c>
      <c r="BG362" s="77" t="str">
        <f>UKG!AZ362</f>
        <v>207588</v>
      </c>
      <c r="BK362" s="18" t="s">
        <v>1421</v>
      </c>
      <c r="BL362" s="18" t="s">
        <v>1421</v>
      </c>
      <c r="BU362" s="18" t="str">
        <f>UKG!BL362</f>
        <v>N</v>
      </c>
      <c r="BV362" s="18" t="str">
        <f>UKG!BL362</f>
        <v>N</v>
      </c>
      <c r="CE362" s="18" t="s">
        <v>1421</v>
      </c>
    </row>
    <row r="363" spans="1:83" ht="16" hidden="1" thickBot="1" x14ac:dyDescent="0.25">
      <c r="A363" s="39" t="s">
        <v>1420</v>
      </c>
      <c r="B363" s="77" t="str">
        <f>UKG!BO363</f>
        <v>Josefine</v>
      </c>
      <c r="D363" s="77" t="str">
        <f>UKG!BN363</f>
        <v>Hedborg</v>
      </c>
      <c r="E363" s="77" t="str">
        <f>UKG!D363</f>
        <v>213066</v>
      </c>
      <c r="F363" s="77" t="str">
        <f t="shared" ref="F363" si="9">H363&amp;".new.uat"</f>
        <v>jhedborg@onebarnes.com.new.uat</v>
      </c>
      <c r="G363" s="18" t="s">
        <v>3771</v>
      </c>
      <c r="H363" s="77" t="str">
        <f>UKG!AQ363</f>
        <v>jhedborg@onebarnes.com</v>
      </c>
      <c r="I363" s="18" t="str">
        <f>IFERROR(VLOOKUP(J363,'Language Map'!M:O,3,FALSE),"en_US")</f>
        <v>sv_SE</v>
      </c>
      <c r="J363" s="77" t="str">
        <f>UKG!BF363</f>
        <v>SE</v>
      </c>
      <c r="L363" s="77" t="str">
        <f>IFERROR(VLOOKUP(UKG!BA363,'UKG Company Map'!B:G,7,FALSE),"Ledger Code Not Matched")</f>
        <v>Ledger Code Not Matched</v>
      </c>
      <c r="M363" s="18" t="str">
        <f>UKG!BH363</f>
        <v>SEK</v>
      </c>
      <c r="O363" s="18" t="str">
        <f>UKG!BJ363</f>
        <v>Y</v>
      </c>
      <c r="P363" s="18" t="str">
        <f>IFERROR(VLOOKUP(UKG!BA363,'UKG Company Map'!B:E,2,FALSE),"Org Unit 1 Not Mapped")</f>
        <v>0077</v>
      </c>
      <c r="Q363" s="77" t="str">
        <f>UKG!BB363</f>
        <v>0000</v>
      </c>
      <c r="W363" s="77" t="str">
        <f>UKG!Q363</f>
        <v>S19</v>
      </c>
      <c r="X363" s="18" t="str">
        <f>UKG!BC363</f>
        <v>Default</v>
      </c>
      <c r="Z363" s="18" t="str">
        <f>IFERROR(VLOOKUP(UKG!BA363,'UKG Company Map'!B:G,8,FALSE),"Custom 5 Not Matched")</f>
        <v>Custom 5 Not Matched</v>
      </c>
      <c r="AP363" s="18" t="str">
        <f>IFERROR(VLOOKUP(UKG!BA363,'UKG Company Map'!B:G,4,FALSE),"Custom 21 Exp Group Not Matched")</f>
        <v>0077</v>
      </c>
      <c r="BG363" s="77" t="str">
        <f>UKG!AZ363</f>
        <v>211474</v>
      </c>
      <c r="BK363" s="18" t="s">
        <v>1421</v>
      </c>
      <c r="BL363" s="18" t="s">
        <v>1421</v>
      </c>
      <c r="BU363" s="18" t="str">
        <f>UKG!BL363</f>
        <v>N</v>
      </c>
      <c r="BV363" s="18" t="str">
        <f>UKG!BL363</f>
        <v>N</v>
      </c>
      <c r="CE363" s="18" t="s">
        <v>1421</v>
      </c>
    </row>
  </sheetData>
  <autoFilter ref="A1:EG363" xr:uid="{B14815EF-85EC-BD42-BDD1-D611623FC7EB}">
    <filterColumn colId="4">
      <filters>
        <filter val="210868"/>
      </filters>
    </filterColumn>
  </autoFilter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7"/>
  <sheetViews>
    <sheetView workbookViewId="0">
      <selection activeCell="C5" sqref="C5:D5"/>
    </sheetView>
  </sheetViews>
  <sheetFormatPr baseColWidth="10" defaultRowHeight="15" x14ac:dyDescent="0.2"/>
  <cols>
    <col min="1" max="16384" width="10.83203125" style="18"/>
  </cols>
  <sheetData>
    <row r="1" spans="1:35" x14ac:dyDescent="0.2">
      <c r="A1" s="78" t="s">
        <v>1433</v>
      </c>
    </row>
    <row r="2" spans="1:35" x14ac:dyDescent="0.2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 x14ac:dyDescent="0.2">
      <c r="A3" s="70" t="s">
        <v>1502</v>
      </c>
      <c r="B3" s="70" t="s">
        <v>1435</v>
      </c>
      <c r="C3" s="70" t="s">
        <v>1503</v>
      </c>
      <c r="D3" s="70" t="s">
        <v>1504</v>
      </c>
      <c r="E3" s="72" t="s">
        <v>1505</v>
      </c>
      <c r="F3" s="72" t="s">
        <v>1506</v>
      </c>
      <c r="G3" s="72" t="s">
        <v>1507</v>
      </c>
      <c r="H3" s="72" t="s">
        <v>1508</v>
      </c>
      <c r="I3" s="70" t="s">
        <v>1509</v>
      </c>
      <c r="J3" s="70" t="s">
        <v>1510</v>
      </c>
      <c r="K3" s="72" t="s">
        <v>1511</v>
      </c>
      <c r="L3" s="72" t="s">
        <v>1512</v>
      </c>
      <c r="M3" s="72" t="s">
        <v>1495</v>
      </c>
      <c r="N3" s="72" t="s">
        <v>1496</v>
      </c>
      <c r="O3" s="72" t="s">
        <v>1497</v>
      </c>
      <c r="P3" s="72" t="s">
        <v>1513</v>
      </c>
      <c r="Q3" s="72" t="s">
        <v>1514</v>
      </c>
      <c r="R3" s="70" t="s">
        <v>1515</v>
      </c>
      <c r="S3" s="70" t="s">
        <v>1516</v>
      </c>
      <c r="T3" s="72" t="s">
        <v>1517</v>
      </c>
      <c r="U3" s="72" t="s">
        <v>1518</v>
      </c>
      <c r="V3" s="72" t="s">
        <v>1519</v>
      </c>
      <c r="W3" s="72" t="s">
        <v>1520</v>
      </c>
      <c r="X3" s="72" t="s">
        <v>1521</v>
      </c>
      <c r="Y3" s="72" t="s">
        <v>1522</v>
      </c>
      <c r="Z3" s="72" t="s">
        <v>1523</v>
      </c>
      <c r="AA3" s="72" t="s">
        <v>1524</v>
      </c>
      <c r="AB3" s="72" t="s">
        <v>1525</v>
      </c>
      <c r="AC3" s="72" t="s">
        <v>1526</v>
      </c>
      <c r="AD3" s="72" t="s">
        <v>1527</v>
      </c>
      <c r="AE3" s="72" t="s">
        <v>1166</v>
      </c>
      <c r="AF3" s="72" t="s">
        <v>1167</v>
      </c>
      <c r="AG3" s="72" t="s">
        <v>1168</v>
      </c>
      <c r="AH3" s="72" t="s">
        <v>1169</v>
      </c>
      <c r="AI3" s="72" t="s">
        <v>1170</v>
      </c>
    </row>
    <row r="4" spans="1:35" ht="16" x14ac:dyDescent="0.2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 x14ac:dyDescent="0.25">
      <c r="A5" s="39" t="s">
        <v>1528</v>
      </c>
      <c r="B5" s="77" t="str">
        <f>UKG!D2</f>
        <v>206238</v>
      </c>
      <c r="C5" s="18" t="str">
        <f>UKG!BL2</f>
        <v>N</v>
      </c>
      <c r="D5" s="18" t="str">
        <f>UKG!BL2</f>
        <v>N</v>
      </c>
      <c r="H5" s="18" t="str">
        <f>UKG!BL2</f>
        <v>N</v>
      </c>
      <c r="I5" s="18" t="str">
        <f>UKG!BL2</f>
        <v>N</v>
      </c>
      <c r="J5" s="18" t="str">
        <f>UKG!BL2</f>
        <v>N</v>
      </c>
      <c r="R5" s="18" t="str">
        <f>UKG!AZ2</f>
        <v>203007</v>
      </c>
      <c r="S5" s="18" t="str">
        <f>UKG!AZ2</f>
        <v>203007</v>
      </c>
      <c r="AC5" s="18" t="str">
        <f>UKG!BL2</f>
        <v>N</v>
      </c>
      <c r="AD5" s="18" t="s">
        <v>1201</v>
      </c>
    </row>
    <row r="6" spans="1:35" ht="16" thickBot="1" x14ac:dyDescent="0.25">
      <c r="A6" s="39" t="s">
        <v>1528</v>
      </c>
      <c r="B6" s="77" t="str">
        <f>UKG!D3</f>
        <v>206241</v>
      </c>
      <c r="C6" s="18" t="str">
        <f>UKG!BL3</f>
        <v>N</v>
      </c>
      <c r="D6" s="18" t="str">
        <f>UKG!BL3</f>
        <v>N</v>
      </c>
      <c r="H6" s="18" t="str">
        <f>UKG!BL3</f>
        <v>N</v>
      </c>
      <c r="I6" s="18" t="str">
        <f>UKG!BL3</f>
        <v>N</v>
      </c>
      <c r="J6" s="18" t="str">
        <f>UKG!BL3</f>
        <v>N</v>
      </c>
      <c r="R6" s="18" t="str">
        <f>UKG!AZ3</f>
        <v>212699</v>
      </c>
      <c r="S6" s="18" t="str">
        <f>UKG!AZ3</f>
        <v>212699</v>
      </c>
      <c r="AC6" s="18" t="str">
        <f>UKG!BL3</f>
        <v>N</v>
      </c>
      <c r="AD6" s="18" t="s">
        <v>1201</v>
      </c>
    </row>
    <row r="7" spans="1:35" ht="16" thickBot="1" x14ac:dyDescent="0.25">
      <c r="A7" s="39" t="s">
        <v>1528</v>
      </c>
      <c r="B7" s="77" t="str">
        <f>UKG!D4</f>
        <v>206239</v>
      </c>
      <c r="C7" s="18" t="str">
        <f>UKG!BL4</f>
        <v>N</v>
      </c>
      <c r="D7" s="18" t="str">
        <f>UKG!BL4</f>
        <v>N</v>
      </c>
      <c r="H7" s="18" t="str">
        <f>UKG!BL4</f>
        <v>N</v>
      </c>
      <c r="I7" s="18" t="str">
        <f>UKG!BL4</f>
        <v>N</v>
      </c>
      <c r="J7" s="18" t="str">
        <f>UKG!BL4</f>
        <v>N</v>
      </c>
      <c r="R7" s="18" t="str">
        <f>UKG!AZ4</f>
        <v>207588</v>
      </c>
      <c r="S7" s="18" t="str">
        <f>UKG!AZ4</f>
        <v>207588</v>
      </c>
      <c r="AC7" s="18" t="str">
        <f>UKG!BL4</f>
        <v>N</v>
      </c>
      <c r="AD7" s="18" t="s">
        <v>1201</v>
      </c>
    </row>
    <row r="8" spans="1:35" ht="16" thickBot="1" x14ac:dyDescent="0.25">
      <c r="A8" s="39" t="s">
        <v>1528</v>
      </c>
      <c r="B8" s="77" t="str">
        <f>UKG!D5</f>
        <v>206240</v>
      </c>
      <c r="C8" s="18" t="str">
        <f>UKG!BL5</f>
        <v>N</v>
      </c>
      <c r="D8" s="18" t="str">
        <f>UKG!BL5</f>
        <v>N</v>
      </c>
      <c r="H8" s="18" t="str">
        <f>UKG!BL5</f>
        <v>N</v>
      </c>
      <c r="I8" s="18" t="str">
        <f>UKG!BL5</f>
        <v>N</v>
      </c>
      <c r="J8" s="18" t="str">
        <f>UKG!BL5</f>
        <v>N</v>
      </c>
      <c r="R8" s="18" t="str">
        <f>UKG!AZ5</f>
        <v>206241</v>
      </c>
      <c r="S8" s="18" t="str">
        <f>UKG!AZ5</f>
        <v>206241</v>
      </c>
      <c r="AC8" s="18" t="str">
        <f>UKG!BL5</f>
        <v>N</v>
      </c>
      <c r="AD8" s="18" t="s">
        <v>1201</v>
      </c>
    </row>
    <row r="9" spans="1:35" ht="16" thickBot="1" x14ac:dyDescent="0.25">
      <c r="A9" s="39" t="s">
        <v>1528</v>
      </c>
      <c r="B9" s="77" t="str">
        <f>UKG!D6</f>
        <v>206237</v>
      </c>
      <c r="C9" s="18" t="str">
        <f>UKG!BL6</f>
        <v>N</v>
      </c>
      <c r="D9" s="18" t="str">
        <f>UKG!BL6</f>
        <v>N</v>
      </c>
      <c r="H9" s="18" t="str">
        <f>UKG!BL6</f>
        <v>N</v>
      </c>
      <c r="I9" s="18" t="str">
        <f>UKG!BL6</f>
        <v>N</v>
      </c>
      <c r="J9" s="18" t="str">
        <f>UKG!BL6</f>
        <v>N</v>
      </c>
      <c r="R9" s="18" t="str">
        <f>UKG!AZ6</f>
        <v>206241</v>
      </c>
      <c r="S9" s="18" t="str">
        <f>UKG!AZ6</f>
        <v>206241</v>
      </c>
      <c r="AC9" s="18" t="str">
        <f>UKG!BL6</f>
        <v>N</v>
      </c>
      <c r="AD9" s="18" t="s">
        <v>1201</v>
      </c>
    </row>
    <row r="10" spans="1:35" ht="16" thickBot="1" x14ac:dyDescent="0.25">
      <c r="A10" s="39" t="s">
        <v>1528</v>
      </c>
      <c r="B10" s="77" t="str">
        <f>UKG!D7</f>
        <v>206236</v>
      </c>
      <c r="C10" s="18" t="str">
        <f>UKG!BL7</f>
        <v>N</v>
      </c>
      <c r="D10" s="18" t="str">
        <f>UKG!BL7</f>
        <v>N</v>
      </c>
      <c r="H10" s="18" t="str">
        <f>UKG!BL7</f>
        <v>N</v>
      </c>
      <c r="I10" s="18" t="str">
        <f>UKG!BL7</f>
        <v>N</v>
      </c>
      <c r="J10" s="18" t="str">
        <f>UKG!BL7</f>
        <v>N</v>
      </c>
      <c r="R10" s="18" t="str">
        <f>UKG!AZ7</f>
        <v>206241</v>
      </c>
      <c r="S10" s="18" t="str">
        <f>UKG!AZ7</f>
        <v>206241</v>
      </c>
      <c r="AC10" s="18" t="str">
        <f>UKG!BL7</f>
        <v>N</v>
      </c>
      <c r="AD10" s="18" t="s">
        <v>1201</v>
      </c>
    </row>
    <row r="11" spans="1:35" ht="16" thickBot="1" x14ac:dyDescent="0.25">
      <c r="A11" s="39" t="s">
        <v>1528</v>
      </c>
      <c r="B11" s="77" t="str">
        <f>UKG!D8</f>
        <v>204862</v>
      </c>
      <c r="C11" s="18" t="str">
        <f>UKG!BL8</f>
        <v>N</v>
      </c>
      <c r="D11" s="18" t="str">
        <f>UKG!BL8</f>
        <v>N</v>
      </c>
      <c r="H11" s="18" t="str">
        <f>UKG!BL8</f>
        <v>N</v>
      </c>
      <c r="I11" s="18" t="str">
        <f>UKG!BL8</f>
        <v>N</v>
      </c>
      <c r="J11" s="18" t="str">
        <f>UKG!BL8</f>
        <v>N</v>
      </c>
      <c r="R11" s="18" t="str">
        <f>UKG!AZ8</f>
        <v>204859</v>
      </c>
      <c r="S11" s="18" t="str">
        <f>UKG!AZ8</f>
        <v>204859</v>
      </c>
      <c r="AC11" s="18" t="str">
        <f>UKG!BL8</f>
        <v>N</v>
      </c>
      <c r="AD11" s="18" t="s">
        <v>1201</v>
      </c>
    </row>
    <row r="12" spans="1:35" ht="16" thickBot="1" x14ac:dyDescent="0.25">
      <c r="A12" s="39" t="s">
        <v>1528</v>
      </c>
      <c r="B12" s="77" t="str">
        <f>UKG!D9</f>
        <v>204869</v>
      </c>
      <c r="C12" s="18" t="str">
        <f>UKG!BL9</f>
        <v>N</v>
      </c>
      <c r="D12" s="18" t="str">
        <f>UKG!BL9</f>
        <v>N</v>
      </c>
      <c r="H12" s="18" t="str">
        <f>UKG!BL9</f>
        <v>N</v>
      </c>
      <c r="I12" s="18" t="str">
        <f>UKG!BL9</f>
        <v>N</v>
      </c>
      <c r="J12" s="18" t="str">
        <f>UKG!BL9</f>
        <v>N</v>
      </c>
      <c r="R12" s="18" t="str">
        <f>UKG!AZ9</f>
        <v>204854</v>
      </c>
      <c r="S12" s="18" t="str">
        <f>UKG!AZ9</f>
        <v>204854</v>
      </c>
      <c r="AC12" s="18" t="str">
        <f>UKG!BL9</f>
        <v>N</v>
      </c>
      <c r="AD12" s="18" t="s">
        <v>1201</v>
      </c>
    </row>
    <row r="13" spans="1:35" ht="16" thickBot="1" x14ac:dyDescent="0.25">
      <c r="A13" s="39" t="s">
        <v>1528</v>
      </c>
      <c r="B13" s="77" t="str">
        <f>UKG!D10</f>
        <v>207493</v>
      </c>
      <c r="C13" s="18" t="str">
        <f>UKG!BL10</f>
        <v>N</v>
      </c>
      <c r="D13" s="18" t="str">
        <f>UKG!BL10</f>
        <v>N</v>
      </c>
      <c r="H13" s="18" t="str">
        <f>UKG!BL10</f>
        <v>N</v>
      </c>
      <c r="I13" s="18" t="str">
        <f>UKG!BL10</f>
        <v>N</v>
      </c>
      <c r="J13" s="18" t="str">
        <f>UKG!BL10</f>
        <v>N</v>
      </c>
      <c r="R13" s="18" t="str">
        <f>UKG!AZ10</f>
        <v>204379</v>
      </c>
      <c r="S13" s="18" t="str">
        <f>UKG!AZ10</f>
        <v>204379</v>
      </c>
      <c r="AC13" s="18" t="str">
        <f>UKG!BL10</f>
        <v>N</v>
      </c>
      <c r="AD13" s="18" t="s">
        <v>1201</v>
      </c>
    </row>
    <row r="14" spans="1:35" ht="16" thickBot="1" x14ac:dyDescent="0.25">
      <c r="A14" s="39" t="s">
        <v>1528</v>
      </c>
      <c r="B14" s="77" t="str">
        <f>UKG!D11</f>
        <v>204856</v>
      </c>
      <c r="C14" s="18" t="str">
        <f>UKG!BL11</f>
        <v>N</v>
      </c>
      <c r="D14" s="18" t="str">
        <f>UKG!BL11</f>
        <v>N</v>
      </c>
      <c r="H14" s="18" t="str">
        <f>UKG!BL11</f>
        <v>N</v>
      </c>
      <c r="I14" s="18" t="str">
        <f>UKG!BL11</f>
        <v>N</v>
      </c>
      <c r="J14" s="18" t="str">
        <f>UKG!BL11</f>
        <v>N</v>
      </c>
      <c r="R14" s="18" t="str">
        <f>UKG!AZ11</f>
        <v>204854</v>
      </c>
      <c r="S14" s="18" t="str">
        <f>UKG!AZ11</f>
        <v>204854</v>
      </c>
      <c r="AC14" s="18" t="str">
        <f>UKG!BL11</f>
        <v>N</v>
      </c>
      <c r="AD14" s="18" t="s">
        <v>1201</v>
      </c>
    </row>
    <row r="15" spans="1:35" ht="16" thickBot="1" x14ac:dyDescent="0.25">
      <c r="A15" s="39" t="s">
        <v>1528</v>
      </c>
      <c r="B15" s="77" t="str">
        <f>UKG!D12</f>
        <v>204877</v>
      </c>
      <c r="C15" s="18" t="str">
        <f>UKG!BL12</f>
        <v>N</v>
      </c>
      <c r="D15" s="18" t="str">
        <f>UKG!BL12</f>
        <v>N</v>
      </c>
      <c r="H15" s="18" t="str">
        <f>UKG!BL12</f>
        <v>N</v>
      </c>
      <c r="I15" s="18" t="str">
        <f>UKG!BL12</f>
        <v>N</v>
      </c>
      <c r="J15" s="18" t="str">
        <f>UKG!BL12</f>
        <v>N</v>
      </c>
      <c r="R15" s="18" t="str">
        <f>UKG!AZ12</f>
        <v>204856</v>
      </c>
      <c r="S15" s="18" t="str">
        <f>UKG!AZ12</f>
        <v>204856</v>
      </c>
      <c r="AC15" s="18" t="str">
        <f>UKG!BL12</f>
        <v>N</v>
      </c>
      <c r="AD15" s="18" t="s">
        <v>1201</v>
      </c>
    </row>
    <row r="16" spans="1:35" ht="16" thickBot="1" x14ac:dyDescent="0.25">
      <c r="A16" s="39" t="s">
        <v>1528</v>
      </c>
      <c r="B16" s="77" t="str">
        <f>UKG!D13</f>
        <v>204853</v>
      </c>
      <c r="C16" s="18" t="str">
        <f>UKG!BL13</f>
        <v>N</v>
      </c>
      <c r="D16" s="18" t="str">
        <f>UKG!BL13</f>
        <v>N</v>
      </c>
      <c r="H16" s="18" t="str">
        <f>UKG!BL13</f>
        <v>N</v>
      </c>
      <c r="I16" s="18" t="str">
        <f>UKG!BL13</f>
        <v>N</v>
      </c>
      <c r="J16" s="18" t="str">
        <f>UKG!BL13</f>
        <v>N</v>
      </c>
      <c r="R16" s="18" t="str">
        <f>UKG!AZ13</f>
        <v>205389</v>
      </c>
      <c r="S16" s="18" t="str">
        <f>UKG!AZ13</f>
        <v>205389</v>
      </c>
      <c r="AC16" s="18" t="str">
        <f>UKG!BL13</f>
        <v>N</v>
      </c>
      <c r="AD16" s="18" t="s">
        <v>1201</v>
      </c>
    </row>
    <row r="17" spans="1:30" ht="16" thickBot="1" x14ac:dyDescent="0.25">
      <c r="A17" s="39" t="s">
        <v>1528</v>
      </c>
      <c r="B17" s="77" t="str">
        <f>UKG!D14</f>
        <v>204382</v>
      </c>
      <c r="C17" s="18" t="str">
        <f>UKG!BL14</f>
        <v>N</v>
      </c>
      <c r="D17" s="18" t="str">
        <f>UKG!BL14</f>
        <v>N</v>
      </c>
      <c r="H17" s="18" t="str">
        <f>UKG!BL14</f>
        <v>N</v>
      </c>
      <c r="I17" s="18" t="str">
        <f>UKG!BL14</f>
        <v>N</v>
      </c>
      <c r="J17" s="18" t="str">
        <f>UKG!BL14</f>
        <v>N</v>
      </c>
      <c r="R17" s="18" t="str">
        <f>UKG!AZ14</f>
        <v>204380</v>
      </c>
      <c r="S17" s="18" t="str">
        <f>UKG!AZ14</f>
        <v>204380</v>
      </c>
      <c r="AC17" s="18" t="str">
        <f>UKG!BL14</f>
        <v>N</v>
      </c>
      <c r="AD17" s="18" t="s">
        <v>1201</v>
      </c>
    </row>
    <row r="18" spans="1:30" ht="16" thickBot="1" x14ac:dyDescent="0.25">
      <c r="A18" s="39" t="s">
        <v>1528</v>
      </c>
      <c r="B18" s="77" t="str">
        <f>UKG!D15</f>
        <v>204381</v>
      </c>
      <c r="C18" s="18" t="str">
        <f>UKG!BL15</f>
        <v>N</v>
      </c>
      <c r="D18" s="18" t="str">
        <f>UKG!BL15</f>
        <v>N</v>
      </c>
      <c r="H18" s="18" t="str">
        <f>UKG!BL15</f>
        <v>N</v>
      </c>
      <c r="I18" s="18" t="str">
        <f>UKG!BL15</f>
        <v>N</v>
      </c>
      <c r="J18" s="18" t="str">
        <f>UKG!BL15</f>
        <v>N</v>
      </c>
      <c r="R18" s="18" t="str">
        <f>UKG!AZ15</f>
        <v>204380</v>
      </c>
      <c r="S18" s="18" t="str">
        <f>UKG!AZ15</f>
        <v>204380</v>
      </c>
      <c r="AC18" s="18" t="str">
        <f>UKG!BL15</f>
        <v>N</v>
      </c>
      <c r="AD18" s="18" t="s">
        <v>1201</v>
      </c>
    </row>
    <row r="19" spans="1:30" ht="16" thickBot="1" x14ac:dyDescent="0.25">
      <c r="A19" s="39" t="s">
        <v>1528</v>
      </c>
      <c r="B19" s="77" t="str">
        <f>UKG!D16</f>
        <v>204378</v>
      </c>
      <c r="C19" s="18" t="str">
        <f>UKG!BL16</f>
        <v>N</v>
      </c>
      <c r="D19" s="18" t="str">
        <f>UKG!BL16</f>
        <v>N</v>
      </c>
      <c r="H19" s="18" t="str">
        <f>UKG!BL16</f>
        <v>N</v>
      </c>
      <c r="I19" s="18" t="str">
        <f>UKG!BL16</f>
        <v>N</v>
      </c>
      <c r="J19" s="18" t="str">
        <f>UKG!BL16</f>
        <v>N</v>
      </c>
      <c r="R19" s="18" t="str">
        <f>UKG!AZ16</f>
        <v>204380</v>
      </c>
      <c r="S19" s="18" t="str">
        <f>UKG!AZ16</f>
        <v>204380</v>
      </c>
      <c r="AC19" s="18" t="str">
        <f>UKG!BL16</f>
        <v>N</v>
      </c>
      <c r="AD19" s="18" t="s">
        <v>1201</v>
      </c>
    </row>
    <row r="20" spans="1:30" ht="16" thickBot="1" x14ac:dyDescent="0.25">
      <c r="A20" s="39" t="s">
        <v>1528</v>
      </c>
      <c r="B20" s="77" t="str">
        <f>UKG!D17</f>
        <v>206559</v>
      </c>
      <c r="C20" s="18" t="str">
        <f>UKG!BL17</f>
        <v>N</v>
      </c>
      <c r="D20" s="18" t="str">
        <f>UKG!BL17</f>
        <v>N</v>
      </c>
      <c r="H20" s="18" t="str">
        <f>UKG!BL17</f>
        <v>N</v>
      </c>
      <c r="I20" s="18" t="str">
        <f>UKG!BL17</f>
        <v>N</v>
      </c>
      <c r="J20" s="18" t="str">
        <f>UKG!BL17</f>
        <v>N</v>
      </c>
      <c r="R20" s="18" t="str">
        <f>UKG!AZ17</f>
        <v>204853</v>
      </c>
      <c r="S20" s="18" t="str">
        <f>UKG!AZ17</f>
        <v>204853</v>
      </c>
      <c r="AC20" s="18" t="str">
        <f>UKG!BL17</f>
        <v>N</v>
      </c>
      <c r="AD20" s="18" t="s">
        <v>1201</v>
      </c>
    </row>
    <row r="21" spans="1:30" ht="16" thickBot="1" x14ac:dyDescent="0.25">
      <c r="A21" s="39" t="s">
        <v>1528</v>
      </c>
      <c r="B21" s="77" t="str">
        <f>UKG!D18</f>
        <v>207492</v>
      </c>
      <c r="C21" s="18" t="str">
        <f>UKG!BL18</f>
        <v>N</v>
      </c>
      <c r="D21" s="18" t="str">
        <f>UKG!BL18</f>
        <v>N</v>
      </c>
      <c r="H21" s="18" t="str">
        <f>UKG!BL18</f>
        <v>N</v>
      </c>
      <c r="I21" s="18" t="str">
        <f>UKG!BL18</f>
        <v>N</v>
      </c>
      <c r="J21" s="18" t="str">
        <f>UKG!BL18</f>
        <v>N</v>
      </c>
      <c r="R21" s="18" t="str">
        <f>UKG!AZ18</f>
        <v>204379</v>
      </c>
      <c r="S21" s="18" t="str">
        <f>UKG!AZ18</f>
        <v>204379</v>
      </c>
      <c r="AC21" s="18" t="str">
        <f>UKG!BL18</f>
        <v>N</v>
      </c>
      <c r="AD21" s="18" t="s">
        <v>1201</v>
      </c>
    </row>
    <row r="22" spans="1:30" ht="16" thickBot="1" x14ac:dyDescent="0.25">
      <c r="A22" s="39" t="s">
        <v>1528</v>
      </c>
      <c r="B22" s="77" t="str">
        <f>UKG!D19</f>
        <v>204854</v>
      </c>
      <c r="C22" s="18" t="str">
        <f>UKG!BL19</f>
        <v>N</v>
      </c>
      <c r="D22" s="18" t="str">
        <f>UKG!BL19</f>
        <v>N</v>
      </c>
      <c r="H22" s="18" t="str">
        <f>UKG!BL19</f>
        <v>N</v>
      </c>
      <c r="I22" s="18" t="str">
        <f>UKG!BL19</f>
        <v>N</v>
      </c>
      <c r="J22" s="18" t="str">
        <f>UKG!BL19</f>
        <v>N</v>
      </c>
      <c r="R22" s="18" t="str">
        <f>UKG!AZ19</f>
        <v>204853</v>
      </c>
      <c r="S22" s="18" t="str">
        <f>UKG!AZ19</f>
        <v>204853</v>
      </c>
      <c r="AC22" s="18" t="str">
        <f>UKG!BL19</f>
        <v>N</v>
      </c>
      <c r="AD22" s="18" t="s">
        <v>1201</v>
      </c>
    </row>
    <row r="23" spans="1:30" ht="16" thickBot="1" x14ac:dyDescent="0.25">
      <c r="A23" s="39" t="s">
        <v>1528</v>
      </c>
      <c r="B23" s="77" t="str">
        <f>UKG!D20</f>
        <v>204855</v>
      </c>
      <c r="C23" s="18" t="str">
        <f>UKG!BL20</f>
        <v>N</v>
      </c>
      <c r="D23" s="18" t="str">
        <f>UKG!BL20</f>
        <v>N</v>
      </c>
      <c r="H23" s="18" t="str">
        <f>UKG!BL20</f>
        <v>N</v>
      </c>
      <c r="I23" s="18" t="str">
        <f>UKG!BL20</f>
        <v>N</v>
      </c>
      <c r="J23" s="18" t="str">
        <f>UKG!BL20</f>
        <v>N</v>
      </c>
      <c r="R23" s="18" t="str">
        <f>UKG!AZ20</f>
        <v>204853</v>
      </c>
      <c r="S23" s="18" t="str">
        <f>UKG!AZ20</f>
        <v>204853</v>
      </c>
      <c r="AC23" s="18" t="str">
        <f>UKG!BL20</f>
        <v>N</v>
      </c>
      <c r="AD23" s="18" t="s">
        <v>1201</v>
      </c>
    </row>
    <row r="24" spans="1:30" ht="16" thickBot="1" x14ac:dyDescent="0.25">
      <c r="A24" s="39" t="s">
        <v>1528</v>
      </c>
      <c r="B24" s="77" t="str">
        <f>UKG!D21</f>
        <v>204380</v>
      </c>
      <c r="C24" s="18" t="str">
        <f>UKG!BL21</f>
        <v>N</v>
      </c>
      <c r="D24" s="18" t="str">
        <f>UKG!BL21</f>
        <v>N</v>
      </c>
      <c r="H24" s="18" t="str">
        <f>UKG!BL21</f>
        <v>N</v>
      </c>
      <c r="I24" s="18" t="str">
        <f>UKG!BL21</f>
        <v>N</v>
      </c>
      <c r="J24" s="18" t="str">
        <f>UKG!BL21</f>
        <v>N</v>
      </c>
      <c r="R24" s="18" t="str">
        <f>UKG!AZ21</f>
        <v>204855</v>
      </c>
      <c r="S24" s="18" t="str">
        <f>UKG!AZ21</f>
        <v>204855</v>
      </c>
      <c r="AC24" s="18" t="str">
        <f>UKG!BL21</f>
        <v>N</v>
      </c>
      <c r="AD24" s="18" t="s">
        <v>1201</v>
      </c>
    </row>
    <row r="25" spans="1:30" ht="16" thickBot="1" x14ac:dyDescent="0.25">
      <c r="A25" s="39" t="s">
        <v>1528</v>
      </c>
      <c r="B25" s="77" t="str">
        <f>UKG!D22</f>
        <v>204857</v>
      </c>
      <c r="C25" s="18" t="str">
        <f>UKG!BL22</f>
        <v>N</v>
      </c>
      <c r="D25" s="18" t="str">
        <f>UKG!BL22</f>
        <v>N</v>
      </c>
      <c r="H25" s="18" t="str">
        <f>UKG!BL22</f>
        <v>N</v>
      </c>
      <c r="I25" s="18" t="str">
        <f>UKG!BL22</f>
        <v>N</v>
      </c>
      <c r="J25" s="18" t="str">
        <f>UKG!BL22</f>
        <v>N</v>
      </c>
      <c r="R25" s="18" t="str">
        <f>UKG!AZ22</f>
        <v>204854</v>
      </c>
      <c r="S25" s="18" t="str">
        <f>UKG!AZ22</f>
        <v>204854</v>
      </c>
      <c r="AC25" s="18" t="str">
        <f>UKG!BL22</f>
        <v>N</v>
      </c>
      <c r="AD25" s="18" t="s">
        <v>1201</v>
      </c>
    </row>
    <row r="26" spans="1:30" ht="16" thickBot="1" x14ac:dyDescent="0.25">
      <c r="A26" s="39" t="s">
        <v>1528</v>
      </c>
      <c r="B26" s="77" t="str">
        <f>UKG!D23</f>
        <v>204861</v>
      </c>
      <c r="C26" s="18" t="str">
        <f>UKG!BL23</f>
        <v>N</v>
      </c>
      <c r="D26" s="18" t="str">
        <f>UKG!BL23</f>
        <v>N</v>
      </c>
      <c r="H26" s="18" t="str">
        <f>UKG!BL23</f>
        <v>N</v>
      </c>
      <c r="I26" s="18" t="str">
        <f>UKG!BL23</f>
        <v>N</v>
      </c>
      <c r="J26" s="18" t="str">
        <f>UKG!BL23</f>
        <v>N</v>
      </c>
      <c r="R26" s="18" t="str">
        <f>UKG!AZ23</f>
        <v>204859</v>
      </c>
      <c r="S26" s="18" t="str">
        <f>UKG!AZ23</f>
        <v>204859</v>
      </c>
      <c r="AC26" s="18" t="str">
        <f>UKG!BL23</f>
        <v>N</v>
      </c>
      <c r="AD26" s="18" t="s">
        <v>1201</v>
      </c>
    </row>
    <row r="27" spans="1:30" ht="16" thickBot="1" x14ac:dyDescent="0.25">
      <c r="A27" s="39" t="s">
        <v>1528</v>
      </c>
      <c r="B27" s="77" t="str">
        <f>UKG!D24</f>
        <v>204858</v>
      </c>
      <c r="C27" s="18" t="str">
        <f>UKG!BL24</f>
        <v>N</v>
      </c>
      <c r="D27" s="18" t="str">
        <f>UKG!BL24</f>
        <v>N</v>
      </c>
      <c r="H27" s="18" t="str">
        <f>UKG!BL24</f>
        <v>N</v>
      </c>
      <c r="I27" s="18" t="str">
        <f>UKG!BL24</f>
        <v>N</v>
      </c>
      <c r="J27" s="18" t="str">
        <f>UKG!BL24</f>
        <v>N</v>
      </c>
      <c r="R27" s="18" t="str">
        <f>UKG!AZ24</f>
        <v>204853</v>
      </c>
      <c r="S27" s="18" t="str">
        <f>UKG!AZ24</f>
        <v>204853</v>
      </c>
      <c r="AC27" s="18" t="str">
        <f>UKG!BL24</f>
        <v>N</v>
      </c>
      <c r="AD27" s="18" t="s">
        <v>1201</v>
      </c>
    </row>
    <row r="28" spans="1:30" ht="16" thickBot="1" x14ac:dyDescent="0.25">
      <c r="A28" s="39" t="s">
        <v>1528</v>
      </c>
      <c r="B28" s="77" t="str">
        <f>UKG!D25</f>
        <v>204379</v>
      </c>
      <c r="C28" s="18" t="str">
        <f>UKG!BL25</f>
        <v>N</v>
      </c>
      <c r="D28" s="18" t="str">
        <f>UKG!BL25</f>
        <v>N</v>
      </c>
      <c r="H28" s="18" t="str">
        <f>UKG!BL25</f>
        <v>N</v>
      </c>
      <c r="I28" s="18" t="str">
        <f>UKG!BL25</f>
        <v>N</v>
      </c>
      <c r="J28" s="18" t="str">
        <f>UKG!BL25</f>
        <v>N</v>
      </c>
      <c r="R28" s="18" t="str">
        <f>UKG!AZ25</f>
        <v>204855</v>
      </c>
      <c r="S28" s="18" t="str">
        <f>UKG!AZ25</f>
        <v>204855</v>
      </c>
      <c r="AC28" s="18" t="str">
        <f>UKG!BL25</f>
        <v>N</v>
      </c>
      <c r="AD28" s="18" t="s">
        <v>1201</v>
      </c>
    </row>
    <row r="29" spans="1:30" ht="16" thickBot="1" x14ac:dyDescent="0.25">
      <c r="A29" s="39" t="s">
        <v>1528</v>
      </c>
      <c r="B29" s="77" t="str">
        <f>UKG!D26</f>
        <v>204859</v>
      </c>
      <c r="C29" s="18" t="str">
        <f>UKG!BL26</f>
        <v>N</v>
      </c>
      <c r="D29" s="18" t="str">
        <f>UKG!BL26</f>
        <v>N</v>
      </c>
      <c r="H29" s="18" t="str">
        <f>UKG!BL26</f>
        <v>N</v>
      </c>
      <c r="I29" s="18" t="str">
        <f>UKG!BL26</f>
        <v>N</v>
      </c>
      <c r="J29" s="18" t="str">
        <f>UKG!BL26</f>
        <v>N</v>
      </c>
      <c r="R29" s="18" t="str">
        <f>UKG!AZ26</f>
        <v>213174</v>
      </c>
      <c r="S29" s="18" t="str">
        <f>UKG!AZ26</f>
        <v>213174</v>
      </c>
      <c r="AC29" s="18" t="str">
        <f>UKG!BL26</f>
        <v>N</v>
      </c>
      <c r="AD29" s="18" t="s">
        <v>1201</v>
      </c>
    </row>
    <row r="30" spans="1:30" ht="16" thickBot="1" x14ac:dyDescent="0.25">
      <c r="A30" s="39" t="s">
        <v>1528</v>
      </c>
      <c r="B30" s="77" t="str">
        <f>UKG!D27</f>
        <v>204383</v>
      </c>
      <c r="C30" s="18" t="str">
        <f>UKG!BL27</f>
        <v>N</v>
      </c>
      <c r="D30" s="18" t="str">
        <f>UKG!BL27</f>
        <v>N</v>
      </c>
      <c r="H30" s="18" t="str">
        <f>UKG!BL27</f>
        <v>N</v>
      </c>
      <c r="I30" s="18" t="str">
        <f>UKG!BL27</f>
        <v>N</v>
      </c>
      <c r="J30" s="18" t="str">
        <f>UKG!BL27</f>
        <v>N</v>
      </c>
      <c r="R30" s="18" t="str">
        <f>UKG!AZ27</f>
        <v>204379</v>
      </c>
      <c r="S30" s="18" t="str">
        <f>UKG!AZ27</f>
        <v>204379</v>
      </c>
      <c r="AC30" s="18" t="str">
        <f>UKG!BL27</f>
        <v>N</v>
      </c>
      <c r="AD30" s="18" t="s">
        <v>1201</v>
      </c>
    </row>
    <row r="31" spans="1:30" ht="16" thickBot="1" x14ac:dyDescent="0.25">
      <c r="A31" s="39" t="s">
        <v>1528</v>
      </c>
      <c r="B31" s="77" t="str">
        <f>UKG!D28</f>
        <v>204860</v>
      </c>
      <c r="C31" s="18" t="str">
        <f>UKG!BL28</f>
        <v>N</v>
      </c>
      <c r="D31" s="18" t="str">
        <f>UKG!BL28</f>
        <v>N</v>
      </c>
      <c r="H31" s="18" t="str">
        <f>UKG!BL28</f>
        <v>N</v>
      </c>
      <c r="I31" s="18" t="str">
        <f>UKG!BL28</f>
        <v>N</v>
      </c>
      <c r="J31" s="18" t="str">
        <f>UKG!BL28</f>
        <v>N</v>
      </c>
      <c r="R31" s="18" t="str">
        <f>UKG!AZ28</f>
        <v>204859</v>
      </c>
      <c r="S31" s="18" t="str">
        <f>UKG!AZ28</f>
        <v>204859</v>
      </c>
      <c r="AC31" s="18" t="str">
        <f>UKG!BL28</f>
        <v>N</v>
      </c>
      <c r="AD31" s="18" t="s">
        <v>1201</v>
      </c>
    </row>
    <row r="32" spans="1:30" ht="16" thickBot="1" x14ac:dyDescent="0.25">
      <c r="A32" s="39" t="s">
        <v>1528</v>
      </c>
      <c r="B32" s="77" t="str">
        <f>UKG!D29</f>
        <v>207199</v>
      </c>
      <c r="C32" s="18" t="str">
        <f>UKG!BL29</f>
        <v>Y</v>
      </c>
      <c r="D32" s="18" t="str">
        <f>UKG!BL29</f>
        <v>Y</v>
      </c>
      <c r="H32" s="18" t="str">
        <f>UKG!BL29</f>
        <v>Y</v>
      </c>
      <c r="I32" s="18" t="str">
        <f>UKG!BL29</f>
        <v>Y</v>
      </c>
      <c r="J32" s="18" t="str">
        <f>UKG!BL29</f>
        <v>Y</v>
      </c>
      <c r="R32" s="18" t="str">
        <f>UKG!AZ29</f>
        <v>207709</v>
      </c>
      <c r="S32" s="18" t="str">
        <f>UKG!AZ29</f>
        <v>207709</v>
      </c>
      <c r="AC32" s="18" t="str">
        <f>UKG!BL29</f>
        <v>Y</v>
      </c>
      <c r="AD32" s="18" t="s">
        <v>1201</v>
      </c>
    </row>
    <row r="33" spans="1:30" ht="16" thickBot="1" x14ac:dyDescent="0.25">
      <c r="A33" s="39" t="s">
        <v>1528</v>
      </c>
      <c r="B33" s="77" t="str">
        <f>UKG!D30</f>
        <v>203967</v>
      </c>
      <c r="C33" s="18" t="str">
        <f>UKG!BL30</f>
        <v>N</v>
      </c>
      <c r="D33" s="18" t="str">
        <f>UKG!BL30</f>
        <v>N</v>
      </c>
      <c r="H33" s="18" t="str">
        <f>UKG!BL30</f>
        <v>N</v>
      </c>
      <c r="I33" s="18" t="str">
        <f>UKG!BL30</f>
        <v>N</v>
      </c>
      <c r="J33" s="18" t="str">
        <f>UKG!BL30</f>
        <v>N</v>
      </c>
      <c r="R33" s="18" t="str">
        <f>UKG!AZ30</f>
        <v>207199</v>
      </c>
      <c r="S33" s="18" t="str">
        <f>UKG!AZ30</f>
        <v>207199</v>
      </c>
      <c r="AC33" s="18" t="str">
        <f>UKG!BL30</f>
        <v>N</v>
      </c>
      <c r="AD33" s="18" t="s">
        <v>1201</v>
      </c>
    </row>
    <row r="34" spans="1:30" ht="16" thickBot="1" x14ac:dyDescent="0.25">
      <c r="A34" s="39" t="s">
        <v>1528</v>
      </c>
      <c r="B34" s="77" t="str">
        <f>UKG!D31</f>
        <v>210703</v>
      </c>
      <c r="C34" s="18" t="str">
        <f>UKG!BL31</f>
        <v>N</v>
      </c>
      <c r="D34" s="18" t="str">
        <f>UKG!BL31</f>
        <v>N</v>
      </c>
      <c r="H34" s="18" t="str">
        <f>UKG!BL31</f>
        <v>N</v>
      </c>
      <c r="I34" s="18" t="str">
        <f>UKG!BL31</f>
        <v>N</v>
      </c>
      <c r="J34" s="18" t="str">
        <f>UKG!BL31</f>
        <v>N</v>
      </c>
      <c r="R34" s="18">
        <f>UKG!AZ31</f>
        <v>0</v>
      </c>
      <c r="S34" s="18">
        <f>UKG!AZ31</f>
        <v>0</v>
      </c>
      <c r="AC34" s="18" t="str">
        <f>UKG!BL31</f>
        <v>N</v>
      </c>
      <c r="AD34" s="18" t="s">
        <v>1201</v>
      </c>
    </row>
    <row r="35" spans="1:30" ht="16" thickBot="1" x14ac:dyDescent="0.25">
      <c r="A35" s="39" t="s">
        <v>1528</v>
      </c>
      <c r="B35" s="77" t="str">
        <f>UKG!D32</f>
        <v>211634</v>
      </c>
      <c r="C35" s="18" t="str">
        <f>UKG!BL32</f>
        <v>N</v>
      </c>
      <c r="D35" s="18" t="str">
        <f>UKG!BL32</f>
        <v>N</v>
      </c>
      <c r="H35" s="18" t="str">
        <f>UKG!BL32</f>
        <v>N</v>
      </c>
      <c r="I35" s="18" t="str">
        <f>UKG!BL32</f>
        <v>N</v>
      </c>
      <c r="J35" s="18" t="str">
        <f>UKG!BL32</f>
        <v>N</v>
      </c>
      <c r="R35" s="18" t="str">
        <f>UKG!AZ32</f>
        <v>210868</v>
      </c>
      <c r="S35" s="18" t="str">
        <f>UKG!AZ32</f>
        <v>210868</v>
      </c>
      <c r="AC35" s="18" t="str">
        <f>UKG!BL32</f>
        <v>N</v>
      </c>
      <c r="AD35" s="18" t="s">
        <v>1201</v>
      </c>
    </row>
    <row r="36" spans="1:30" ht="16" thickBot="1" x14ac:dyDescent="0.25">
      <c r="A36" s="39" t="s">
        <v>1528</v>
      </c>
      <c r="B36" s="77" t="str">
        <f>UKG!D33</f>
        <v>212910</v>
      </c>
      <c r="C36" s="18" t="str">
        <f>UKG!BL33</f>
        <v>N</v>
      </c>
      <c r="D36" s="18" t="str">
        <f>UKG!BL33</f>
        <v>N</v>
      </c>
      <c r="H36" s="18" t="str">
        <f>UKG!BL33</f>
        <v>N</v>
      </c>
      <c r="I36" s="18" t="str">
        <f>UKG!BL33</f>
        <v>N</v>
      </c>
      <c r="J36" s="18" t="str">
        <f>UKG!BL33</f>
        <v>N</v>
      </c>
      <c r="R36" s="18" t="str">
        <f>UKG!AZ33</f>
        <v>207709</v>
      </c>
      <c r="S36" s="18" t="str">
        <f>UKG!AZ33</f>
        <v>207709</v>
      </c>
      <c r="AC36" s="18" t="str">
        <f>UKG!BL33</f>
        <v>N</v>
      </c>
      <c r="AD36" s="18" t="s">
        <v>1201</v>
      </c>
    </row>
    <row r="37" spans="1:30" ht="16" thickBot="1" x14ac:dyDescent="0.25">
      <c r="A37" s="39" t="s">
        <v>1528</v>
      </c>
      <c r="B37" s="77" t="str">
        <f>UKG!D34</f>
        <v>207758</v>
      </c>
      <c r="C37" s="18" t="str">
        <f>UKG!BL34</f>
        <v>N</v>
      </c>
      <c r="D37" s="18" t="str">
        <f>UKG!BL34</f>
        <v>N</v>
      </c>
      <c r="H37" s="18" t="str">
        <f>UKG!BL34</f>
        <v>N</v>
      </c>
      <c r="I37" s="18" t="str">
        <f>UKG!BL34</f>
        <v>N</v>
      </c>
      <c r="J37" s="18" t="str">
        <f>UKG!BL34</f>
        <v>N</v>
      </c>
      <c r="R37" s="18" t="str">
        <f>UKG!AZ34</f>
        <v>206250</v>
      </c>
      <c r="S37" s="18" t="str">
        <f>UKG!AZ34</f>
        <v>206250</v>
      </c>
      <c r="AC37" s="18" t="str">
        <f>UKG!BL34</f>
        <v>N</v>
      </c>
      <c r="AD37" s="18" t="s">
        <v>1201</v>
      </c>
    </row>
    <row r="38" spans="1:30" ht="16" thickBot="1" x14ac:dyDescent="0.25">
      <c r="A38" s="39" t="s">
        <v>1528</v>
      </c>
      <c r="B38" s="77" t="str">
        <f>UKG!D35</f>
        <v>206251</v>
      </c>
      <c r="C38" s="18" t="str">
        <f>UKG!BL35</f>
        <v>N</v>
      </c>
      <c r="D38" s="18" t="str">
        <f>UKG!BL35</f>
        <v>N</v>
      </c>
      <c r="H38" s="18" t="str">
        <f>UKG!BL35</f>
        <v>N</v>
      </c>
      <c r="I38" s="18" t="str">
        <f>UKG!BL35</f>
        <v>N</v>
      </c>
      <c r="J38" s="18" t="str">
        <f>UKG!BL35</f>
        <v>N</v>
      </c>
      <c r="R38" s="18" t="str">
        <f>UKG!AZ35</f>
        <v>206248</v>
      </c>
      <c r="S38" s="18" t="str">
        <f>UKG!AZ35</f>
        <v>206248</v>
      </c>
      <c r="AC38" s="18" t="str">
        <f>UKG!BL35</f>
        <v>N</v>
      </c>
      <c r="AD38" s="18" t="s">
        <v>1201</v>
      </c>
    </row>
    <row r="39" spans="1:30" ht="16" thickBot="1" x14ac:dyDescent="0.25">
      <c r="A39" s="39" t="s">
        <v>1528</v>
      </c>
      <c r="B39" s="77" t="str">
        <f>UKG!D36</f>
        <v>209279</v>
      </c>
      <c r="C39" s="18" t="str">
        <f>UKG!BL36</f>
        <v>N</v>
      </c>
      <c r="D39" s="18" t="str">
        <f>UKG!BL36</f>
        <v>N</v>
      </c>
      <c r="H39" s="18" t="str">
        <f>UKG!BL36</f>
        <v>N</v>
      </c>
      <c r="I39" s="18" t="str">
        <f>UKG!BL36</f>
        <v>N</v>
      </c>
      <c r="J39" s="18" t="str">
        <f>UKG!BL36</f>
        <v>N</v>
      </c>
      <c r="R39" s="18" t="str">
        <f>UKG!AZ36</f>
        <v>206250</v>
      </c>
      <c r="S39" s="18" t="str">
        <f>UKG!AZ36</f>
        <v>206250</v>
      </c>
      <c r="AC39" s="18" t="str">
        <f>UKG!BL36</f>
        <v>N</v>
      </c>
      <c r="AD39" s="18" t="s">
        <v>1201</v>
      </c>
    </row>
    <row r="40" spans="1:30" ht="16" thickBot="1" x14ac:dyDescent="0.25">
      <c r="A40" s="39" t="s">
        <v>1528</v>
      </c>
      <c r="B40" s="77" t="str">
        <f>UKG!D37</f>
        <v>206249</v>
      </c>
      <c r="C40" s="18" t="str">
        <f>UKG!BL37</f>
        <v>N</v>
      </c>
      <c r="D40" s="18" t="str">
        <f>UKG!BL37</f>
        <v>N</v>
      </c>
      <c r="H40" s="18" t="str">
        <f>UKG!BL37</f>
        <v>N</v>
      </c>
      <c r="I40" s="18" t="str">
        <f>UKG!BL37</f>
        <v>N</v>
      </c>
      <c r="J40" s="18" t="str">
        <f>UKG!BL37</f>
        <v>N</v>
      </c>
      <c r="R40" s="18" t="str">
        <f>UKG!AZ37</f>
        <v>206250</v>
      </c>
      <c r="S40" s="18" t="str">
        <f>UKG!AZ37</f>
        <v>206250</v>
      </c>
      <c r="AC40" s="18" t="str">
        <f>UKG!BL37</f>
        <v>N</v>
      </c>
      <c r="AD40" s="18" t="s">
        <v>1201</v>
      </c>
    </row>
    <row r="41" spans="1:30" ht="16" thickBot="1" x14ac:dyDescent="0.25">
      <c r="A41" s="39" t="s">
        <v>1528</v>
      </c>
      <c r="B41" s="77" t="str">
        <f>UKG!D38</f>
        <v>209577</v>
      </c>
      <c r="C41" s="18" t="str">
        <f>UKG!BL38</f>
        <v>N</v>
      </c>
      <c r="D41" s="18" t="str">
        <f>UKG!BL38</f>
        <v>N</v>
      </c>
      <c r="H41" s="18" t="str">
        <f>UKG!BL38</f>
        <v>N</v>
      </c>
      <c r="I41" s="18" t="str">
        <f>UKG!BL38</f>
        <v>N</v>
      </c>
      <c r="J41" s="18" t="str">
        <f>UKG!BL38</f>
        <v>N</v>
      </c>
      <c r="R41" s="18" t="str">
        <f>UKG!AZ38</f>
        <v>206250</v>
      </c>
      <c r="S41" s="18" t="str">
        <f>UKG!AZ38</f>
        <v>206250</v>
      </c>
      <c r="AC41" s="18" t="str">
        <f>UKG!BL38</f>
        <v>N</v>
      </c>
      <c r="AD41" s="18" t="s">
        <v>1201</v>
      </c>
    </row>
    <row r="42" spans="1:30" ht="16" thickBot="1" x14ac:dyDescent="0.25">
      <c r="A42" s="39" t="s">
        <v>1528</v>
      </c>
      <c r="B42" s="77" t="str">
        <f>UKG!D39</f>
        <v>206247</v>
      </c>
      <c r="C42" s="18" t="str">
        <f>UKG!BL39</f>
        <v>N</v>
      </c>
      <c r="D42" s="18" t="str">
        <f>UKG!BL39</f>
        <v>N</v>
      </c>
      <c r="H42" s="18" t="str">
        <f>UKG!BL39</f>
        <v>N</v>
      </c>
      <c r="I42" s="18" t="str">
        <f>UKG!BL39</f>
        <v>N</v>
      </c>
      <c r="J42" s="18" t="str">
        <f>UKG!BL39</f>
        <v>N</v>
      </c>
      <c r="R42" s="18" t="str">
        <f>UKG!AZ39</f>
        <v>207588</v>
      </c>
      <c r="S42" s="18" t="str">
        <f>UKG!AZ39</f>
        <v>207588</v>
      </c>
      <c r="AC42" s="18" t="str">
        <f>UKG!BL39</f>
        <v>N</v>
      </c>
      <c r="AD42" s="18" t="s">
        <v>1201</v>
      </c>
    </row>
    <row r="43" spans="1:30" ht="16" thickBot="1" x14ac:dyDescent="0.25">
      <c r="A43" s="39" t="s">
        <v>1528</v>
      </c>
      <c r="B43" s="77" t="str">
        <f>UKG!D40</f>
        <v>213448</v>
      </c>
      <c r="C43" s="18" t="str">
        <f>UKG!BL40</f>
        <v>N</v>
      </c>
      <c r="D43" s="18" t="str">
        <f>UKG!BL40</f>
        <v>N</v>
      </c>
      <c r="H43" s="18" t="str">
        <f>UKG!BL40</f>
        <v>N</v>
      </c>
      <c r="I43" s="18" t="str">
        <f>UKG!BL40</f>
        <v>N</v>
      </c>
      <c r="J43" s="18" t="str">
        <f>UKG!BL40</f>
        <v>N</v>
      </c>
      <c r="R43" s="18" t="str">
        <f>UKG!AZ40</f>
        <v>206247</v>
      </c>
      <c r="S43" s="18" t="str">
        <f>UKG!AZ40</f>
        <v>206247</v>
      </c>
      <c r="AC43" s="18" t="str">
        <f>UKG!BL40</f>
        <v>N</v>
      </c>
      <c r="AD43" s="18" t="s">
        <v>1201</v>
      </c>
    </row>
    <row r="44" spans="1:30" ht="16" thickBot="1" x14ac:dyDescent="0.25">
      <c r="A44" s="39" t="s">
        <v>1528</v>
      </c>
      <c r="B44" s="77" t="str">
        <f>UKG!D41</f>
        <v>206248</v>
      </c>
      <c r="C44" s="18" t="str">
        <f>UKG!BL41</f>
        <v>N</v>
      </c>
      <c r="D44" s="18" t="str">
        <f>UKG!BL41</f>
        <v>N</v>
      </c>
      <c r="H44" s="18" t="str">
        <f>UKG!BL41</f>
        <v>N</v>
      </c>
      <c r="I44" s="18" t="str">
        <f>UKG!BL41</f>
        <v>N</v>
      </c>
      <c r="J44" s="18" t="str">
        <f>UKG!BL41</f>
        <v>N</v>
      </c>
      <c r="R44" s="18" t="str">
        <f>UKG!AZ41</f>
        <v>206250</v>
      </c>
      <c r="S44" s="18" t="str">
        <f>UKG!AZ41</f>
        <v>206250</v>
      </c>
      <c r="AC44" s="18" t="str">
        <f>UKG!BL41</f>
        <v>N</v>
      </c>
      <c r="AD44" s="18" t="s">
        <v>1201</v>
      </c>
    </row>
    <row r="45" spans="1:30" ht="16" thickBot="1" x14ac:dyDescent="0.25">
      <c r="A45" s="39" t="s">
        <v>1528</v>
      </c>
      <c r="B45" s="77" t="str">
        <f>UKG!D42</f>
        <v>206250</v>
      </c>
      <c r="C45" s="18" t="str">
        <f>UKG!BL42</f>
        <v>N</v>
      </c>
      <c r="D45" s="18" t="str">
        <f>UKG!BL42</f>
        <v>N</v>
      </c>
      <c r="H45" s="18" t="str">
        <f>UKG!BL42</f>
        <v>N</v>
      </c>
      <c r="I45" s="18" t="str">
        <f>UKG!BL42</f>
        <v>N</v>
      </c>
      <c r="J45" s="18" t="str">
        <f>UKG!BL42</f>
        <v>N</v>
      </c>
      <c r="R45" s="18" t="str">
        <f>UKG!AZ42</f>
        <v>205389</v>
      </c>
      <c r="S45" s="18" t="str">
        <f>UKG!AZ42</f>
        <v>205389</v>
      </c>
      <c r="AC45" s="18" t="str">
        <f>UKG!BL42</f>
        <v>N</v>
      </c>
      <c r="AD45" s="18" t="s">
        <v>1201</v>
      </c>
    </row>
    <row r="46" spans="1:30" ht="16" thickBot="1" x14ac:dyDescent="0.25">
      <c r="A46" s="39" t="s">
        <v>1528</v>
      </c>
      <c r="B46" s="77" t="str">
        <f>UKG!D43</f>
        <v>209086</v>
      </c>
      <c r="C46" s="18" t="str">
        <f>UKG!BL43</f>
        <v>N</v>
      </c>
      <c r="D46" s="18" t="str">
        <f>UKG!BL43</f>
        <v>N</v>
      </c>
      <c r="H46" s="18" t="str">
        <f>UKG!BL43</f>
        <v>N</v>
      </c>
      <c r="I46" s="18" t="str">
        <f>UKG!BL43</f>
        <v>N</v>
      </c>
      <c r="J46" s="18" t="str">
        <f>UKG!BL43</f>
        <v>N</v>
      </c>
      <c r="R46" s="18" t="str">
        <f>UKG!AZ43</f>
        <v>211601</v>
      </c>
      <c r="S46" s="18" t="str">
        <f>UKG!AZ43</f>
        <v>211601</v>
      </c>
      <c r="AC46" s="18" t="str">
        <f>UKG!BL43</f>
        <v>N</v>
      </c>
      <c r="AD46" s="18" t="s">
        <v>1201</v>
      </c>
    </row>
    <row r="47" spans="1:30" ht="16" thickBot="1" x14ac:dyDescent="0.25">
      <c r="A47" s="39" t="s">
        <v>1528</v>
      </c>
      <c r="B47" s="77" t="str">
        <f>UKG!D44</f>
        <v>211490</v>
      </c>
      <c r="C47" s="18" t="str">
        <f>UKG!BL44</f>
        <v>N</v>
      </c>
      <c r="D47" s="18" t="str">
        <f>UKG!BL44</f>
        <v>N</v>
      </c>
      <c r="H47" s="18" t="str">
        <f>UKG!BL44</f>
        <v>N</v>
      </c>
      <c r="I47" s="18" t="str">
        <f>UKG!BL44</f>
        <v>N</v>
      </c>
      <c r="J47" s="18" t="str">
        <f>UKG!BL44</f>
        <v>N</v>
      </c>
      <c r="R47" s="18" t="str">
        <f>UKG!AZ44</f>
        <v>206250</v>
      </c>
      <c r="S47" s="18" t="str">
        <f>UKG!AZ44</f>
        <v>206250</v>
      </c>
      <c r="AC47" s="18" t="str">
        <f>UKG!BL44</f>
        <v>N</v>
      </c>
      <c r="AD47" s="18" t="s">
        <v>1201</v>
      </c>
    </row>
    <row r="48" spans="1:30" ht="16" thickBot="1" x14ac:dyDescent="0.25">
      <c r="A48" s="39" t="s">
        <v>1528</v>
      </c>
      <c r="B48" s="77" t="str">
        <f>UKG!D45</f>
        <v>203011</v>
      </c>
      <c r="C48" s="18" t="str">
        <f>UKG!BL45</f>
        <v>N</v>
      </c>
      <c r="D48" s="18" t="str">
        <f>UKG!BL45</f>
        <v>N</v>
      </c>
      <c r="H48" s="18" t="str">
        <f>UKG!BL45</f>
        <v>N</v>
      </c>
      <c r="I48" s="18" t="str">
        <f>UKG!BL45</f>
        <v>N</v>
      </c>
      <c r="J48" s="18" t="str">
        <f>UKG!BL45</f>
        <v>N</v>
      </c>
      <c r="R48" s="18" t="str">
        <f>UKG!AZ45</f>
        <v>207709</v>
      </c>
      <c r="S48" s="18" t="str">
        <f>UKG!AZ45</f>
        <v>207709</v>
      </c>
      <c r="AC48" s="18" t="str">
        <f>UKG!BL45</f>
        <v>N</v>
      </c>
      <c r="AD48" s="18" t="s">
        <v>1201</v>
      </c>
    </row>
    <row r="49" spans="1:30" ht="16" thickBot="1" x14ac:dyDescent="0.25">
      <c r="A49" s="39" t="s">
        <v>1528</v>
      </c>
      <c r="B49" s="77" t="str">
        <f>UKG!D46</f>
        <v>210867</v>
      </c>
      <c r="C49" s="18" t="str">
        <f>UKG!BL46</f>
        <v>N</v>
      </c>
      <c r="D49" s="18" t="str">
        <f>UKG!BL46</f>
        <v>N</v>
      </c>
      <c r="H49" s="18" t="str">
        <f>UKG!BL46</f>
        <v>N</v>
      </c>
      <c r="I49" s="18" t="str">
        <f>UKG!BL46</f>
        <v>N</v>
      </c>
      <c r="J49" s="18" t="str">
        <f>UKG!BL46</f>
        <v>N</v>
      </c>
      <c r="R49" s="18" t="str">
        <f>UKG!AZ46</f>
        <v>206247</v>
      </c>
      <c r="S49" s="18" t="str">
        <f>UKG!AZ46</f>
        <v>206247</v>
      </c>
      <c r="AC49" s="18" t="str">
        <f>UKG!BL46</f>
        <v>N</v>
      </c>
      <c r="AD49" s="18" t="s">
        <v>1201</v>
      </c>
    </row>
    <row r="50" spans="1:30" ht="16" thickBot="1" x14ac:dyDescent="0.25">
      <c r="A50" s="39" t="s">
        <v>1528</v>
      </c>
      <c r="B50" s="77" t="str">
        <f>UKG!D47</f>
        <v>203017</v>
      </c>
      <c r="C50" s="18" t="str">
        <f>UKG!BL47</f>
        <v>N</v>
      </c>
      <c r="D50" s="18" t="str">
        <f>UKG!BL47</f>
        <v>N</v>
      </c>
      <c r="H50" s="18" t="str">
        <f>UKG!BL47</f>
        <v>N</v>
      </c>
      <c r="I50" s="18" t="str">
        <f>UKG!BL47</f>
        <v>N</v>
      </c>
      <c r="J50" s="18" t="str">
        <f>UKG!BL47</f>
        <v>N</v>
      </c>
      <c r="R50" s="18" t="str">
        <f>UKG!AZ47</f>
        <v>203016</v>
      </c>
      <c r="S50" s="18" t="str">
        <f>UKG!AZ47</f>
        <v>203016</v>
      </c>
      <c r="AC50" s="18" t="str">
        <f>UKG!BL47</f>
        <v>N</v>
      </c>
      <c r="AD50" s="18" t="s">
        <v>1201</v>
      </c>
    </row>
    <row r="51" spans="1:30" ht="16" thickBot="1" x14ac:dyDescent="0.25">
      <c r="A51" s="39" t="s">
        <v>1528</v>
      </c>
      <c r="B51" s="77" t="str">
        <f>UKG!D48</f>
        <v>203016</v>
      </c>
      <c r="C51" s="18" t="str">
        <f>UKG!BL48</f>
        <v>N</v>
      </c>
      <c r="D51" s="18" t="str">
        <f>UKG!BL48</f>
        <v>N</v>
      </c>
      <c r="H51" s="18" t="str">
        <f>UKG!BL48</f>
        <v>N</v>
      </c>
      <c r="I51" s="18" t="str">
        <f>UKG!BL48</f>
        <v>N</v>
      </c>
      <c r="J51" s="18" t="str">
        <f>UKG!BL48</f>
        <v>N</v>
      </c>
      <c r="R51" s="18" t="str">
        <f>UKG!AZ48</f>
        <v>205389</v>
      </c>
      <c r="S51" s="18" t="str">
        <f>UKG!AZ48</f>
        <v>205389</v>
      </c>
      <c r="AC51" s="18" t="str">
        <f>UKG!BL48</f>
        <v>N</v>
      </c>
      <c r="AD51" s="18" t="s">
        <v>1201</v>
      </c>
    </row>
    <row r="52" spans="1:30" ht="16" thickBot="1" x14ac:dyDescent="0.25">
      <c r="A52" s="39" t="s">
        <v>1528</v>
      </c>
      <c r="B52" s="77" t="str">
        <f>UKG!D49</f>
        <v>206835</v>
      </c>
      <c r="C52" s="18" t="str">
        <f>UKG!BL49</f>
        <v>N</v>
      </c>
      <c r="D52" s="18" t="str">
        <f>UKG!BL49</f>
        <v>N</v>
      </c>
      <c r="H52" s="18" t="str">
        <f>UKG!BL49</f>
        <v>N</v>
      </c>
      <c r="I52" s="18" t="str">
        <f>UKG!BL49</f>
        <v>N</v>
      </c>
      <c r="J52" s="18" t="str">
        <f>UKG!BL49</f>
        <v>N</v>
      </c>
      <c r="R52" s="18" t="str">
        <f>UKG!AZ49</f>
        <v>203016</v>
      </c>
      <c r="S52" s="18" t="str">
        <f>UKG!AZ49</f>
        <v>203016</v>
      </c>
      <c r="AC52" s="18" t="str">
        <f>UKG!BL49</f>
        <v>N</v>
      </c>
      <c r="AD52" s="18" t="s">
        <v>1201</v>
      </c>
    </row>
    <row r="53" spans="1:30" ht="16" thickBot="1" x14ac:dyDescent="0.25">
      <c r="A53" s="39" t="s">
        <v>1528</v>
      </c>
      <c r="B53" s="77" t="str">
        <f>UKG!D50</f>
        <v>210598</v>
      </c>
      <c r="C53" s="18" t="str">
        <f>UKG!BL50</f>
        <v>N</v>
      </c>
      <c r="D53" s="18" t="str">
        <f>UKG!BL50</f>
        <v>N</v>
      </c>
      <c r="H53" s="18" t="str">
        <f>UKG!BL50</f>
        <v>N</v>
      </c>
      <c r="I53" s="18" t="str">
        <f>UKG!BL50</f>
        <v>N</v>
      </c>
      <c r="J53" s="18" t="str">
        <f>UKG!BL50</f>
        <v>N</v>
      </c>
      <c r="R53" s="18" t="str">
        <f>UKG!AZ50</f>
        <v>211766</v>
      </c>
      <c r="S53" s="18" t="str">
        <f>UKG!AZ50</f>
        <v>211766</v>
      </c>
      <c r="AC53" s="18" t="str">
        <f>UKG!BL50</f>
        <v>N</v>
      </c>
      <c r="AD53" s="18" t="s">
        <v>1201</v>
      </c>
    </row>
    <row r="54" spans="1:30" ht="16" thickBot="1" x14ac:dyDescent="0.25">
      <c r="A54" s="39" t="s">
        <v>1528</v>
      </c>
      <c r="B54" s="77" t="str">
        <f>UKG!D51</f>
        <v>212849</v>
      </c>
      <c r="C54" s="18" t="str">
        <f>UKG!BL51</f>
        <v>N</v>
      </c>
      <c r="D54" s="18" t="str">
        <f>UKG!BL51</f>
        <v>N</v>
      </c>
      <c r="H54" s="18" t="str">
        <f>UKG!BL51</f>
        <v>N</v>
      </c>
      <c r="I54" s="18" t="str">
        <f>UKG!BL51</f>
        <v>N</v>
      </c>
      <c r="J54" s="18" t="str">
        <f>UKG!BL51</f>
        <v>N</v>
      </c>
      <c r="R54" s="18" t="str">
        <f>UKG!AZ51</f>
        <v>206835</v>
      </c>
      <c r="S54" s="18" t="str">
        <f>UKG!AZ51</f>
        <v>206835</v>
      </c>
      <c r="AC54" s="18" t="str">
        <f>UKG!BL51</f>
        <v>N</v>
      </c>
      <c r="AD54" s="18" t="s">
        <v>1201</v>
      </c>
    </row>
    <row r="55" spans="1:30" ht="16" thickBot="1" x14ac:dyDescent="0.25">
      <c r="A55" s="39" t="s">
        <v>1528</v>
      </c>
      <c r="B55" s="77" t="str">
        <f>UKG!D52</f>
        <v>212789</v>
      </c>
      <c r="C55" s="18" t="str">
        <f>UKG!BL52</f>
        <v>N</v>
      </c>
      <c r="D55" s="18" t="str">
        <f>UKG!BL52</f>
        <v>N</v>
      </c>
      <c r="H55" s="18" t="str">
        <f>UKG!BL52</f>
        <v>N</v>
      </c>
      <c r="I55" s="18" t="str">
        <f>UKG!BL52</f>
        <v>N</v>
      </c>
      <c r="J55" s="18" t="str">
        <f>UKG!BL52</f>
        <v>N</v>
      </c>
      <c r="R55" s="18" t="str">
        <f>UKG!AZ52</f>
        <v>203017</v>
      </c>
      <c r="S55" s="18" t="str">
        <f>UKG!AZ52</f>
        <v>203017</v>
      </c>
      <c r="AC55" s="18" t="str">
        <f>UKG!BL52</f>
        <v>N</v>
      </c>
      <c r="AD55" s="18" t="s">
        <v>1201</v>
      </c>
    </row>
    <row r="56" spans="1:30" ht="16" thickBot="1" x14ac:dyDescent="0.25">
      <c r="A56" s="39" t="s">
        <v>1528</v>
      </c>
      <c r="B56" s="77" t="str">
        <f>UKG!D53</f>
        <v>213449</v>
      </c>
      <c r="C56" s="18" t="str">
        <f>UKG!BL53</f>
        <v>N</v>
      </c>
      <c r="D56" s="18" t="str">
        <f>UKG!BL53</f>
        <v>N</v>
      </c>
      <c r="H56" s="18" t="str">
        <f>UKG!BL53</f>
        <v>N</v>
      </c>
      <c r="I56" s="18" t="str">
        <f>UKG!BL53</f>
        <v>N</v>
      </c>
      <c r="J56" s="18" t="str">
        <f>UKG!BL53</f>
        <v>N</v>
      </c>
      <c r="R56" s="18" t="str">
        <f>UKG!AZ53</f>
        <v>206247</v>
      </c>
      <c r="S56" s="18" t="str">
        <f>UKG!AZ53</f>
        <v>206247</v>
      </c>
      <c r="AC56" s="18" t="str">
        <f>UKG!BL53</f>
        <v>N</v>
      </c>
      <c r="AD56" s="18" t="s">
        <v>1201</v>
      </c>
    </row>
    <row r="57" spans="1:30" ht="16" thickBot="1" x14ac:dyDescent="0.25">
      <c r="A57" s="39" t="s">
        <v>1528</v>
      </c>
      <c r="B57" s="77" t="str">
        <f>UKG!D54</f>
        <v>207477</v>
      </c>
      <c r="C57" s="18" t="str">
        <f>UKG!BL54</f>
        <v>N</v>
      </c>
      <c r="D57" s="18" t="str">
        <f>UKG!BL54</f>
        <v>N</v>
      </c>
      <c r="H57" s="18" t="str">
        <f>UKG!BL54</f>
        <v>N</v>
      </c>
      <c r="I57" s="18" t="str">
        <f>UKG!BL54</f>
        <v>N</v>
      </c>
      <c r="J57" s="18" t="str">
        <f>UKG!BL54</f>
        <v>N</v>
      </c>
      <c r="R57" s="18" t="str">
        <f>UKG!AZ54</f>
        <v>203007</v>
      </c>
      <c r="S57" s="18" t="str">
        <f>UKG!AZ54</f>
        <v>203007</v>
      </c>
      <c r="AC57" s="18" t="str">
        <f>UKG!BL54</f>
        <v>N</v>
      </c>
      <c r="AD57" s="18" t="s">
        <v>1201</v>
      </c>
    </row>
    <row r="58" spans="1:30" ht="16" thickBot="1" x14ac:dyDescent="0.25">
      <c r="A58" s="39" t="s">
        <v>1528</v>
      </c>
      <c r="B58" s="77" t="str">
        <f>UKG!D55</f>
        <v>203013</v>
      </c>
      <c r="C58" s="18" t="str">
        <f>UKG!BL55</f>
        <v>N</v>
      </c>
      <c r="D58" s="18" t="str">
        <f>UKG!BL55</f>
        <v>N</v>
      </c>
      <c r="H58" s="18" t="str">
        <f>UKG!BL55</f>
        <v>N</v>
      </c>
      <c r="I58" s="18" t="str">
        <f>UKG!BL55</f>
        <v>N</v>
      </c>
      <c r="J58" s="18" t="str">
        <f>UKG!BL55</f>
        <v>N</v>
      </c>
      <c r="R58" s="18" t="str">
        <f>UKG!AZ55</f>
        <v>203016</v>
      </c>
      <c r="S58" s="18" t="str">
        <f>UKG!AZ55</f>
        <v>203016</v>
      </c>
      <c r="AC58" s="18" t="str">
        <f>UKG!BL55</f>
        <v>N</v>
      </c>
      <c r="AD58" s="18" t="s">
        <v>1201</v>
      </c>
    </row>
    <row r="59" spans="1:30" ht="16" thickBot="1" x14ac:dyDescent="0.25">
      <c r="A59" s="39" t="s">
        <v>1528</v>
      </c>
      <c r="B59" s="77" t="str">
        <f>UKG!D56</f>
        <v>203007</v>
      </c>
      <c r="C59" s="18" t="str">
        <f>UKG!BL56</f>
        <v>N</v>
      </c>
      <c r="D59" s="18" t="str">
        <f>UKG!BL56</f>
        <v>N</v>
      </c>
      <c r="H59" s="18" t="str">
        <f>UKG!BL56</f>
        <v>N</v>
      </c>
      <c r="I59" s="18" t="str">
        <f>UKG!BL56</f>
        <v>N</v>
      </c>
      <c r="J59" s="18" t="str">
        <f>UKG!BL56</f>
        <v>N</v>
      </c>
      <c r="R59" s="18" t="str">
        <f>UKG!AZ56</f>
        <v>213453</v>
      </c>
      <c r="S59" s="18" t="str">
        <f>UKG!AZ56</f>
        <v>213453</v>
      </c>
      <c r="AC59" s="18" t="str">
        <f>UKG!BL56</f>
        <v>N</v>
      </c>
      <c r="AD59" s="18" t="s">
        <v>1201</v>
      </c>
    </row>
    <row r="60" spans="1:30" ht="16" thickBot="1" x14ac:dyDescent="0.25">
      <c r="A60" s="39" t="s">
        <v>1528</v>
      </c>
      <c r="B60" s="77" t="str">
        <f>UKG!D57</f>
        <v>211894</v>
      </c>
      <c r="C60" s="18" t="str">
        <f>UKG!BL57</f>
        <v>N</v>
      </c>
      <c r="D60" s="18" t="str">
        <f>UKG!BL57</f>
        <v>N</v>
      </c>
      <c r="H60" s="18" t="str">
        <f>UKG!BL57</f>
        <v>N</v>
      </c>
      <c r="I60" s="18" t="str">
        <f>UKG!BL57</f>
        <v>N</v>
      </c>
      <c r="J60" s="18" t="str">
        <f>UKG!BL57</f>
        <v>N</v>
      </c>
      <c r="R60" s="18" t="str">
        <f>UKG!AZ57</f>
        <v>206835</v>
      </c>
      <c r="S60" s="18" t="str">
        <f>UKG!AZ57</f>
        <v>206835</v>
      </c>
      <c r="AC60" s="18" t="str">
        <f>UKG!BL57</f>
        <v>N</v>
      </c>
      <c r="AD60" s="18" t="s">
        <v>1201</v>
      </c>
    </row>
    <row r="61" spans="1:30" ht="16" thickBot="1" x14ac:dyDescent="0.25">
      <c r="A61" s="39" t="s">
        <v>1528</v>
      </c>
      <c r="B61" s="77" t="str">
        <f>UKG!D58</f>
        <v>203034</v>
      </c>
      <c r="C61" s="18" t="str">
        <f>UKG!BL58</f>
        <v>N</v>
      </c>
      <c r="D61" s="18" t="str">
        <f>UKG!BL58</f>
        <v>N</v>
      </c>
      <c r="H61" s="18" t="str">
        <f>UKG!BL58</f>
        <v>N</v>
      </c>
      <c r="I61" s="18" t="str">
        <f>UKG!BL58</f>
        <v>N</v>
      </c>
      <c r="J61" s="18" t="str">
        <f>UKG!BL58</f>
        <v>N</v>
      </c>
      <c r="R61" s="18" t="str">
        <f>UKG!AZ58</f>
        <v>212614</v>
      </c>
      <c r="S61" s="18" t="str">
        <f>UKG!AZ58</f>
        <v>212614</v>
      </c>
      <c r="AC61" s="18" t="str">
        <f>UKG!BL58</f>
        <v>N</v>
      </c>
      <c r="AD61" s="18" t="s">
        <v>1201</v>
      </c>
    </row>
    <row r="62" spans="1:30" ht="16" thickBot="1" x14ac:dyDescent="0.25">
      <c r="A62" s="39" t="s">
        <v>1528</v>
      </c>
      <c r="B62" s="77" t="str">
        <f>UKG!D59</f>
        <v>209575</v>
      </c>
      <c r="C62" s="18" t="str">
        <f>UKG!BL59</f>
        <v>N</v>
      </c>
      <c r="D62" s="18" t="str">
        <f>UKG!BL59</f>
        <v>N</v>
      </c>
      <c r="H62" s="18" t="str">
        <f>UKG!BL59</f>
        <v>N</v>
      </c>
      <c r="I62" s="18" t="str">
        <f>UKG!BL59</f>
        <v>N</v>
      </c>
      <c r="J62" s="18" t="str">
        <f>UKG!BL59</f>
        <v>N</v>
      </c>
      <c r="R62" s="18" t="str">
        <f>UKG!AZ59</f>
        <v>212614</v>
      </c>
      <c r="S62" s="18" t="str">
        <f>UKG!AZ59</f>
        <v>212614</v>
      </c>
      <c r="AC62" s="18" t="str">
        <f>UKG!BL59</f>
        <v>N</v>
      </c>
      <c r="AD62" s="18" t="s">
        <v>1201</v>
      </c>
    </row>
    <row r="63" spans="1:30" ht="16" thickBot="1" x14ac:dyDescent="0.25">
      <c r="A63" s="39" t="s">
        <v>1528</v>
      </c>
      <c r="B63" s="77" t="str">
        <f>UKG!D60</f>
        <v>209576</v>
      </c>
      <c r="C63" s="18" t="str">
        <f>UKG!BL60</f>
        <v>N</v>
      </c>
      <c r="D63" s="18" t="str">
        <f>UKG!BL60</f>
        <v>N</v>
      </c>
      <c r="H63" s="18" t="str">
        <f>UKG!BL60</f>
        <v>N</v>
      </c>
      <c r="I63" s="18" t="str">
        <f>UKG!BL60</f>
        <v>N</v>
      </c>
      <c r="J63" s="18" t="str">
        <f>UKG!BL60</f>
        <v>N</v>
      </c>
      <c r="R63" s="18" t="str">
        <f>UKG!AZ60</f>
        <v>212614</v>
      </c>
      <c r="S63" s="18" t="str">
        <f>UKG!AZ60</f>
        <v>212614</v>
      </c>
      <c r="AC63" s="18" t="str">
        <f>UKG!BL60</f>
        <v>N</v>
      </c>
      <c r="AD63" s="18" t="s">
        <v>1201</v>
      </c>
    </row>
    <row r="64" spans="1:30" ht="16" thickBot="1" x14ac:dyDescent="0.25">
      <c r="A64" s="39" t="s">
        <v>1528</v>
      </c>
      <c r="B64" s="77" t="str">
        <f>UKG!D61</f>
        <v>209278</v>
      </c>
      <c r="C64" s="18" t="str">
        <f>UKG!BL61</f>
        <v>N</v>
      </c>
      <c r="D64" s="18" t="str">
        <f>UKG!BL61</f>
        <v>N</v>
      </c>
      <c r="H64" s="18" t="str">
        <f>UKG!BL61</f>
        <v>N</v>
      </c>
      <c r="I64" s="18" t="str">
        <f>UKG!BL61</f>
        <v>N</v>
      </c>
      <c r="J64" s="18" t="str">
        <f>UKG!BL61</f>
        <v>N</v>
      </c>
      <c r="R64" s="18" t="str">
        <f>UKG!AZ61</f>
        <v>203016</v>
      </c>
      <c r="S64" s="18" t="str">
        <f>UKG!AZ61</f>
        <v>203016</v>
      </c>
      <c r="AC64" s="18" t="str">
        <f>UKG!BL61</f>
        <v>N</v>
      </c>
      <c r="AD64" s="18" t="s">
        <v>1201</v>
      </c>
    </row>
    <row r="65" spans="1:30" ht="16" thickBot="1" x14ac:dyDescent="0.25">
      <c r="A65" s="39" t="s">
        <v>1528</v>
      </c>
      <c r="B65" s="77" t="str">
        <f>UKG!D62</f>
        <v>203038</v>
      </c>
      <c r="C65" s="18" t="str">
        <f>UKG!BL62</f>
        <v>N</v>
      </c>
      <c r="D65" s="18" t="str">
        <f>UKG!BL62</f>
        <v>N</v>
      </c>
      <c r="H65" s="18" t="str">
        <f>UKG!BL62</f>
        <v>N</v>
      </c>
      <c r="I65" s="18" t="str">
        <f>UKG!BL62</f>
        <v>N</v>
      </c>
      <c r="J65" s="18" t="str">
        <f>UKG!BL62</f>
        <v>N</v>
      </c>
      <c r="R65" s="18" t="str">
        <f>UKG!AZ62</f>
        <v>203016</v>
      </c>
      <c r="S65" s="18" t="str">
        <f>UKG!AZ62</f>
        <v>203016</v>
      </c>
      <c r="AC65" s="18" t="str">
        <f>UKG!BL62</f>
        <v>N</v>
      </c>
      <c r="AD65" s="18" t="s">
        <v>1201</v>
      </c>
    </row>
    <row r="66" spans="1:30" ht="16" thickBot="1" x14ac:dyDescent="0.25">
      <c r="A66" s="39" t="s">
        <v>1528</v>
      </c>
      <c r="B66" s="77" t="str">
        <f>UKG!D63</f>
        <v>203036</v>
      </c>
      <c r="C66" s="18" t="str">
        <f>UKG!BL63</f>
        <v>Y</v>
      </c>
      <c r="D66" s="18" t="str">
        <f>UKG!BL63</f>
        <v>Y</v>
      </c>
      <c r="H66" s="18" t="str">
        <f>UKG!BL63</f>
        <v>Y</v>
      </c>
      <c r="I66" s="18" t="str">
        <f>UKG!BL63</f>
        <v>Y</v>
      </c>
      <c r="J66" s="18" t="str">
        <f>UKG!BL63</f>
        <v>Y</v>
      </c>
      <c r="R66" s="18" t="str">
        <f>UKG!AZ63</f>
        <v>207199</v>
      </c>
      <c r="S66" s="18" t="str">
        <f>UKG!AZ63</f>
        <v>207199</v>
      </c>
      <c r="AC66" s="18" t="str">
        <f>UKG!BL63</f>
        <v>Y</v>
      </c>
      <c r="AD66" s="18" t="s">
        <v>1201</v>
      </c>
    </row>
    <row r="67" spans="1:30" ht="16" thickBot="1" x14ac:dyDescent="0.25">
      <c r="A67" s="39" t="s">
        <v>1528</v>
      </c>
      <c r="B67" s="77" t="str">
        <f>UKG!D64</f>
        <v>212614</v>
      </c>
      <c r="C67" s="18" t="str">
        <f>UKG!BL64</f>
        <v>N</v>
      </c>
      <c r="D67" s="18" t="str">
        <f>UKG!BL64</f>
        <v>N</v>
      </c>
      <c r="H67" s="18" t="str">
        <f>UKG!BL64</f>
        <v>N</v>
      </c>
      <c r="I67" s="18" t="str">
        <f>UKG!BL64</f>
        <v>N</v>
      </c>
      <c r="J67" s="18" t="str">
        <f>UKG!BL64</f>
        <v>N</v>
      </c>
      <c r="R67" s="18" t="str">
        <f>UKG!AZ64</f>
        <v>203016</v>
      </c>
      <c r="S67" s="18" t="str">
        <f>UKG!AZ64</f>
        <v>203016</v>
      </c>
      <c r="AC67" s="18" t="str">
        <f>UKG!BL64</f>
        <v>N</v>
      </c>
      <c r="AD67" s="18" t="s">
        <v>1201</v>
      </c>
    </row>
    <row r="68" spans="1:30" ht="16" thickBot="1" x14ac:dyDescent="0.25">
      <c r="A68" s="39" t="s">
        <v>1528</v>
      </c>
      <c r="B68" s="77" t="str">
        <f>UKG!D65</f>
        <v>203042</v>
      </c>
      <c r="C68" s="18" t="str">
        <f>UKG!BL65</f>
        <v>N</v>
      </c>
      <c r="D68" s="18" t="str">
        <f>UKG!BL65</f>
        <v>N</v>
      </c>
      <c r="H68" s="18" t="str">
        <f>UKG!BL65</f>
        <v>N</v>
      </c>
      <c r="I68" s="18" t="str">
        <f>UKG!BL65</f>
        <v>N</v>
      </c>
      <c r="J68" s="18" t="str">
        <f>UKG!BL65</f>
        <v>N</v>
      </c>
      <c r="R68" s="18" t="str">
        <f>UKG!AZ65</f>
        <v>203016</v>
      </c>
      <c r="S68" s="18" t="str">
        <f>UKG!AZ65</f>
        <v>203016</v>
      </c>
      <c r="AC68" s="18" t="str">
        <f>UKG!BL65</f>
        <v>N</v>
      </c>
      <c r="AD68" s="18" t="s">
        <v>1201</v>
      </c>
    </row>
    <row r="69" spans="1:30" ht="16" thickBot="1" x14ac:dyDescent="0.25">
      <c r="A69" s="39" t="s">
        <v>1528</v>
      </c>
      <c r="B69" s="77" t="str">
        <f>UKG!D66</f>
        <v>207473</v>
      </c>
      <c r="C69" s="18" t="str">
        <f>UKG!BL66</f>
        <v>N</v>
      </c>
      <c r="D69" s="18" t="str">
        <f>UKG!BL66</f>
        <v>N</v>
      </c>
      <c r="H69" s="18" t="str">
        <f>UKG!BL66</f>
        <v>N</v>
      </c>
      <c r="I69" s="18" t="str">
        <f>UKG!BL66</f>
        <v>N</v>
      </c>
      <c r="J69" s="18" t="str">
        <f>UKG!BL66</f>
        <v>N</v>
      </c>
      <c r="R69" s="18" t="str">
        <f>UKG!AZ66</f>
        <v>212226</v>
      </c>
      <c r="S69" s="18" t="str">
        <f>UKG!AZ66</f>
        <v>212226</v>
      </c>
      <c r="AC69" s="18" t="str">
        <f>UKG!BL66</f>
        <v>N</v>
      </c>
      <c r="AD69" s="18" t="s">
        <v>1201</v>
      </c>
    </row>
    <row r="70" spans="1:30" ht="16" thickBot="1" x14ac:dyDescent="0.25">
      <c r="A70" s="39" t="s">
        <v>1528</v>
      </c>
      <c r="B70" s="77" t="str">
        <f>UKG!D67</f>
        <v>212226</v>
      </c>
      <c r="C70" s="18" t="str">
        <f>UKG!BL67</f>
        <v>N</v>
      </c>
      <c r="D70" s="18" t="str">
        <f>UKG!BL67</f>
        <v>N</v>
      </c>
      <c r="H70" s="18" t="str">
        <f>UKG!BL67</f>
        <v>N</v>
      </c>
      <c r="I70" s="18" t="str">
        <f>UKG!BL67</f>
        <v>N</v>
      </c>
      <c r="J70" s="18" t="str">
        <f>UKG!BL67</f>
        <v>N</v>
      </c>
      <c r="R70" s="18" t="str">
        <f>UKG!AZ67</f>
        <v>008750</v>
      </c>
      <c r="S70" s="18" t="str">
        <f>UKG!AZ67</f>
        <v>008750</v>
      </c>
      <c r="AC70" s="18" t="str">
        <f>UKG!BL67</f>
        <v>N</v>
      </c>
      <c r="AD70" s="18" t="s">
        <v>1201</v>
      </c>
    </row>
    <row r="71" spans="1:30" ht="16" thickBot="1" x14ac:dyDescent="0.25">
      <c r="A71" s="39" t="s">
        <v>1528</v>
      </c>
      <c r="B71" s="77" t="str">
        <f>UKG!D68</f>
        <v>203046</v>
      </c>
      <c r="C71" s="18" t="str">
        <f>UKG!BL68</f>
        <v>N</v>
      </c>
      <c r="D71" s="18" t="str">
        <f>UKG!BL68</f>
        <v>N</v>
      </c>
      <c r="H71" s="18" t="str">
        <f>UKG!BL68</f>
        <v>N</v>
      </c>
      <c r="I71" s="18" t="str">
        <f>UKG!BL68</f>
        <v>N</v>
      </c>
      <c r="J71" s="18" t="str">
        <f>UKG!BL68</f>
        <v>N</v>
      </c>
      <c r="R71" s="18" t="str">
        <f>UKG!AZ68</f>
        <v>211766</v>
      </c>
      <c r="S71" s="18" t="str">
        <f>UKG!AZ68</f>
        <v>211766</v>
      </c>
      <c r="AC71" s="18" t="str">
        <f>UKG!BL68</f>
        <v>N</v>
      </c>
      <c r="AD71" s="18" t="s">
        <v>1201</v>
      </c>
    </row>
    <row r="72" spans="1:30" ht="16" thickBot="1" x14ac:dyDescent="0.25">
      <c r="A72" s="39" t="s">
        <v>1528</v>
      </c>
      <c r="B72" s="77" t="str">
        <f>UKG!D69</f>
        <v>210868</v>
      </c>
      <c r="C72" s="18" t="str">
        <f>UKG!BL69</f>
        <v>N</v>
      </c>
      <c r="D72" s="18" t="str">
        <f>UKG!BL69</f>
        <v>N</v>
      </c>
      <c r="H72" s="18" t="str">
        <f>UKG!BL69</f>
        <v>N</v>
      </c>
      <c r="I72" s="18" t="str">
        <f>UKG!BL69</f>
        <v>N</v>
      </c>
      <c r="J72" s="18" t="str">
        <f>UKG!BL69</f>
        <v>N</v>
      </c>
      <c r="R72" s="18" t="str">
        <f>UKG!AZ69</f>
        <v>207709</v>
      </c>
      <c r="S72" s="18" t="str">
        <f>UKG!AZ69</f>
        <v>207709</v>
      </c>
      <c r="AC72" s="18" t="str">
        <f>UKG!BL69</f>
        <v>N</v>
      </c>
      <c r="AD72" s="18" t="s">
        <v>1201</v>
      </c>
    </row>
    <row r="73" spans="1:30" ht="16" thickBot="1" x14ac:dyDescent="0.25">
      <c r="A73" s="39" t="s">
        <v>1528</v>
      </c>
      <c r="B73" s="77" t="str">
        <f>UKG!D70</f>
        <v>212152</v>
      </c>
      <c r="C73" s="18" t="str">
        <f>UKG!BL70</f>
        <v>N</v>
      </c>
      <c r="D73" s="18" t="str">
        <f>UKG!BL70</f>
        <v>N</v>
      </c>
      <c r="H73" s="18" t="str">
        <f>UKG!BL70</f>
        <v>N</v>
      </c>
      <c r="I73" s="18" t="str">
        <f>UKG!BL70</f>
        <v>N</v>
      </c>
      <c r="J73" s="18" t="str">
        <f>UKG!BL70</f>
        <v>N</v>
      </c>
      <c r="R73" s="18" t="str">
        <f>UKG!AZ70</f>
        <v>210868</v>
      </c>
      <c r="S73" s="18" t="str">
        <f>UKG!AZ70</f>
        <v>210868</v>
      </c>
      <c r="AC73" s="18" t="str">
        <f>UKG!BL70</f>
        <v>N</v>
      </c>
      <c r="AD73" s="18" t="s">
        <v>1201</v>
      </c>
    </row>
    <row r="74" spans="1:30" ht="16" thickBot="1" x14ac:dyDescent="0.25">
      <c r="A74" s="39" t="s">
        <v>1528</v>
      </c>
      <c r="B74" s="77" t="str">
        <f>UKG!D71</f>
        <v>209533</v>
      </c>
      <c r="C74" s="18" t="str">
        <f>UKG!BL71</f>
        <v>N</v>
      </c>
      <c r="D74" s="18" t="str">
        <f>UKG!BL71</f>
        <v>N</v>
      </c>
      <c r="H74" s="18" t="str">
        <f>UKG!BL71</f>
        <v>N</v>
      </c>
      <c r="I74" s="18" t="str">
        <f>UKG!BL71</f>
        <v>N</v>
      </c>
      <c r="J74" s="18" t="str">
        <f>UKG!BL71</f>
        <v>N</v>
      </c>
      <c r="R74" s="18" t="str">
        <f>UKG!AZ71</f>
        <v>210868</v>
      </c>
      <c r="S74" s="18" t="str">
        <f>UKG!AZ71</f>
        <v>210868</v>
      </c>
      <c r="AC74" s="18" t="str">
        <f>UKG!BL71</f>
        <v>N</v>
      </c>
      <c r="AD74" s="18" t="s">
        <v>1201</v>
      </c>
    </row>
    <row r="75" spans="1:30" ht="16" thickBot="1" x14ac:dyDescent="0.25">
      <c r="A75" s="39" t="s">
        <v>1528</v>
      </c>
      <c r="B75" s="77" t="str">
        <f>UKG!D72</f>
        <v>209529</v>
      </c>
      <c r="C75" s="18" t="str">
        <f>UKG!BL72</f>
        <v>N</v>
      </c>
      <c r="D75" s="18" t="str">
        <f>UKG!BL72</f>
        <v>N</v>
      </c>
      <c r="H75" s="18" t="str">
        <f>UKG!BL72</f>
        <v>N</v>
      </c>
      <c r="I75" s="18" t="str">
        <f>UKG!BL72</f>
        <v>N</v>
      </c>
      <c r="J75" s="18" t="str">
        <f>UKG!BL72</f>
        <v>N</v>
      </c>
      <c r="R75" s="18" t="str">
        <f>UKG!AZ72</f>
        <v>210868</v>
      </c>
      <c r="S75" s="18" t="str">
        <f>UKG!AZ72</f>
        <v>210868</v>
      </c>
      <c r="AC75" s="18" t="str">
        <f>UKG!BL72</f>
        <v>N</v>
      </c>
      <c r="AD75" s="18" t="s">
        <v>1201</v>
      </c>
    </row>
    <row r="76" spans="1:30" ht="16" thickBot="1" x14ac:dyDescent="0.25">
      <c r="A76" s="39" t="s">
        <v>1528</v>
      </c>
      <c r="B76" s="77" t="str">
        <f>UKG!D73</f>
        <v>209532</v>
      </c>
      <c r="C76" s="18" t="str">
        <f>UKG!BL73</f>
        <v>N</v>
      </c>
      <c r="D76" s="18" t="str">
        <f>UKG!BL73</f>
        <v>N</v>
      </c>
      <c r="H76" s="18" t="str">
        <f>UKG!BL73</f>
        <v>N</v>
      </c>
      <c r="I76" s="18" t="str">
        <f>UKG!BL73</f>
        <v>N</v>
      </c>
      <c r="J76" s="18" t="str">
        <f>UKG!BL73</f>
        <v>N</v>
      </c>
      <c r="R76" s="18" t="str">
        <f>UKG!AZ73</f>
        <v>210868</v>
      </c>
      <c r="S76" s="18" t="str">
        <f>UKG!AZ73</f>
        <v>210868</v>
      </c>
      <c r="AC76" s="18" t="str">
        <f>UKG!BL73</f>
        <v>N</v>
      </c>
      <c r="AD76" s="18" t="s">
        <v>1201</v>
      </c>
    </row>
    <row r="77" spans="1:30" ht="16" thickBot="1" x14ac:dyDescent="0.25">
      <c r="A77" s="39" t="s">
        <v>1528</v>
      </c>
      <c r="B77" s="77" t="str">
        <f>UKG!D74</f>
        <v>213447</v>
      </c>
      <c r="C77" s="18" t="str">
        <f>UKG!BL74</f>
        <v>N</v>
      </c>
      <c r="D77" s="18" t="str">
        <f>UKG!BL74</f>
        <v>N</v>
      </c>
      <c r="H77" s="18" t="str">
        <f>UKG!BL74</f>
        <v>N</v>
      </c>
      <c r="I77" s="18" t="str">
        <f>UKG!BL74</f>
        <v>N</v>
      </c>
      <c r="J77" s="18" t="str">
        <f>UKG!BL74</f>
        <v>N</v>
      </c>
      <c r="R77" s="18" t="str">
        <f>UKG!AZ74</f>
        <v>212910</v>
      </c>
      <c r="S77" s="18" t="str">
        <f>UKG!AZ74</f>
        <v>212910</v>
      </c>
      <c r="AC77" s="18" t="str">
        <f>UKG!BL74</f>
        <v>N</v>
      </c>
      <c r="AD77" s="18" t="s">
        <v>1201</v>
      </c>
    </row>
    <row r="78" spans="1:30" ht="16" thickBot="1" x14ac:dyDescent="0.25">
      <c r="A78" s="39" t="s">
        <v>1528</v>
      </c>
      <c r="B78" s="77" t="str">
        <f>UKG!D75</f>
        <v>206253</v>
      </c>
      <c r="C78" s="18" t="str">
        <f>UKG!BL75</f>
        <v>N</v>
      </c>
      <c r="D78" s="18" t="str">
        <f>UKG!BL75</f>
        <v>N</v>
      </c>
      <c r="H78" s="18" t="str">
        <f>UKG!BL75</f>
        <v>N</v>
      </c>
      <c r="I78" s="18" t="str">
        <f>UKG!BL75</f>
        <v>N</v>
      </c>
      <c r="J78" s="18" t="str">
        <f>UKG!BL75</f>
        <v>N</v>
      </c>
      <c r="R78" s="18" t="str">
        <f>UKG!AZ75</f>
        <v>206252</v>
      </c>
      <c r="S78" s="18" t="str">
        <f>UKG!AZ75</f>
        <v>206252</v>
      </c>
      <c r="AC78" s="18" t="str">
        <f>UKG!BL75</f>
        <v>N</v>
      </c>
      <c r="AD78" s="18" t="s">
        <v>1201</v>
      </c>
    </row>
    <row r="79" spans="1:30" ht="16" thickBot="1" x14ac:dyDescent="0.25">
      <c r="A79" s="39" t="s">
        <v>1528</v>
      </c>
      <c r="B79" s="77" t="str">
        <f>UKG!D76</f>
        <v>206252</v>
      </c>
      <c r="C79" s="18" t="str">
        <f>UKG!BL76</f>
        <v>N</v>
      </c>
      <c r="D79" s="18" t="str">
        <f>UKG!BL76</f>
        <v>N</v>
      </c>
      <c r="H79" s="18" t="str">
        <f>UKG!BL76</f>
        <v>N</v>
      </c>
      <c r="I79" s="18" t="str">
        <f>UKG!BL76</f>
        <v>N</v>
      </c>
      <c r="J79" s="18" t="str">
        <f>UKG!BL76</f>
        <v>N</v>
      </c>
      <c r="R79" s="18" t="str">
        <f>UKG!AZ76</f>
        <v>205373</v>
      </c>
      <c r="S79" s="18" t="str">
        <f>UKG!AZ76</f>
        <v>205373</v>
      </c>
      <c r="AC79" s="18" t="str">
        <f>UKG!BL76</f>
        <v>N</v>
      </c>
      <c r="AD79" s="18" t="s">
        <v>1201</v>
      </c>
    </row>
    <row r="80" spans="1:30" ht="16" thickBot="1" x14ac:dyDescent="0.25">
      <c r="A80" s="39" t="s">
        <v>1528</v>
      </c>
      <c r="B80" s="77" t="str">
        <f>UKG!D77</f>
        <v>211596</v>
      </c>
      <c r="C80" s="18" t="str">
        <f>UKG!BL77</f>
        <v>N</v>
      </c>
      <c r="D80" s="18" t="str">
        <f>UKG!BL77</f>
        <v>N</v>
      </c>
      <c r="H80" s="18" t="str">
        <f>UKG!BL77</f>
        <v>N</v>
      </c>
      <c r="I80" s="18" t="str">
        <f>UKG!BL77</f>
        <v>N</v>
      </c>
      <c r="J80" s="18" t="str">
        <f>UKG!BL77</f>
        <v>N</v>
      </c>
      <c r="R80" s="18" t="str">
        <f>UKG!AZ77</f>
        <v>212047</v>
      </c>
      <c r="S80" s="18" t="str">
        <f>UKG!AZ77</f>
        <v>212047</v>
      </c>
      <c r="AC80" s="18" t="str">
        <f>UKG!BL77</f>
        <v>N</v>
      </c>
      <c r="AD80" s="18" t="s">
        <v>1201</v>
      </c>
    </row>
    <row r="81" spans="1:30" ht="16" thickBot="1" x14ac:dyDescent="0.25">
      <c r="A81" s="39" t="s">
        <v>1528</v>
      </c>
      <c r="B81" s="77" t="str">
        <f>UKG!D78</f>
        <v>212047</v>
      </c>
      <c r="C81" s="18" t="str">
        <f>UKG!BL78</f>
        <v>N</v>
      </c>
      <c r="D81" s="18" t="str">
        <f>UKG!BL78</f>
        <v>N</v>
      </c>
      <c r="H81" s="18" t="str">
        <f>UKG!BL78</f>
        <v>N</v>
      </c>
      <c r="I81" s="18" t="str">
        <f>UKG!BL78</f>
        <v>N</v>
      </c>
      <c r="J81" s="18" t="str">
        <f>UKG!BL78</f>
        <v>N</v>
      </c>
      <c r="R81" s="18">
        <f>UKG!AZ78</f>
        <v>901934</v>
      </c>
      <c r="S81" s="18">
        <f>UKG!AZ78</f>
        <v>901934</v>
      </c>
      <c r="AC81" s="18" t="str">
        <f>UKG!BL78</f>
        <v>N</v>
      </c>
      <c r="AD81" s="18" t="s">
        <v>1201</v>
      </c>
    </row>
    <row r="82" spans="1:30" ht="16" thickBot="1" x14ac:dyDescent="0.25">
      <c r="A82" s="39" t="s">
        <v>1528</v>
      </c>
      <c r="B82" s="77" t="str">
        <f>UKG!D79</f>
        <v>213169</v>
      </c>
      <c r="C82" s="18" t="str">
        <f>UKG!BL79</f>
        <v>N</v>
      </c>
      <c r="D82" s="18" t="str">
        <f>UKG!BL79</f>
        <v>N</v>
      </c>
      <c r="H82" s="18" t="str">
        <f>UKG!BL79</f>
        <v>N</v>
      </c>
      <c r="I82" s="18" t="str">
        <f>UKG!BL79</f>
        <v>N</v>
      </c>
      <c r="J82" s="18" t="str">
        <f>UKG!BL79</f>
        <v>N</v>
      </c>
      <c r="R82" s="18" t="str">
        <f>UKG!AZ79</f>
        <v>212047</v>
      </c>
      <c r="S82" s="18" t="str">
        <f>UKG!AZ79</f>
        <v>212047</v>
      </c>
      <c r="AC82" s="18" t="str">
        <f>UKG!BL79</f>
        <v>N</v>
      </c>
      <c r="AD82" s="18" t="s">
        <v>1201</v>
      </c>
    </row>
    <row r="83" spans="1:30" ht="16" thickBot="1" x14ac:dyDescent="0.25">
      <c r="A83" s="39" t="s">
        <v>1528</v>
      </c>
      <c r="B83" s="77" t="str">
        <f>UKG!D80</f>
        <v>206366</v>
      </c>
      <c r="C83" s="18" t="str">
        <f>UKG!BL80</f>
        <v>N</v>
      </c>
      <c r="D83" s="18" t="str">
        <f>UKG!BL80</f>
        <v>N</v>
      </c>
      <c r="H83" s="18" t="str">
        <f>UKG!BL80</f>
        <v>N</v>
      </c>
      <c r="I83" s="18" t="str">
        <f>UKG!BL80</f>
        <v>N</v>
      </c>
      <c r="J83" s="18" t="str">
        <f>UKG!BL80</f>
        <v>N</v>
      </c>
      <c r="R83" s="18" t="str">
        <f>UKG!AZ80</f>
        <v>212047</v>
      </c>
      <c r="S83" s="18" t="str">
        <f>UKG!AZ80</f>
        <v>212047</v>
      </c>
      <c r="AC83" s="18" t="str">
        <f>UKG!BL80</f>
        <v>N</v>
      </c>
      <c r="AD83" s="18" t="s">
        <v>1201</v>
      </c>
    </row>
    <row r="84" spans="1:30" ht="16" thickBot="1" x14ac:dyDescent="0.25">
      <c r="A84" s="39" t="s">
        <v>1528</v>
      </c>
      <c r="B84" s="77" t="str">
        <f>UKG!D81</f>
        <v>210462</v>
      </c>
      <c r="C84" s="18" t="str">
        <f>UKG!BL81</f>
        <v>N</v>
      </c>
      <c r="D84" s="18" t="str">
        <f>UKG!BL81</f>
        <v>N</v>
      </c>
      <c r="H84" s="18" t="str">
        <f>UKG!BL81</f>
        <v>N</v>
      </c>
      <c r="I84" s="18" t="str">
        <f>UKG!BL81</f>
        <v>N</v>
      </c>
      <c r="J84" s="18" t="str">
        <f>UKG!BL81</f>
        <v>N</v>
      </c>
      <c r="R84" s="18" t="str">
        <f>UKG!AZ81</f>
        <v>212047</v>
      </c>
      <c r="S84" s="18" t="str">
        <f>UKG!AZ81</f>
        <v>212047</v>
      </c>
      <c r="AC84" s="18" t="str">
        <f>UKG!BL81</f>
        <v>N</v>
      </c>
      <c r="AD84" s="18" t="s">
        <v>1201</v>
      </c>
    </row>
    <row r="85" spans="1:30" ht="16" thickBot="1" x14ac:dyDescent="0.25">
      <c r="A85" s="39" t="s">
        <v>1528</v>
      </c>
      <c r="B85" s="77" t="str">
        <f>UKG!D82</f>
        <v>206368</v>
      </c>
      <c r="C85" s="18" t="str">
        <f>UKG!BL82</f>
        <v>N</v>
      </c>
      <c r="D85" s="18" t="str">
        <f>UKG!BL82</f>
        <v>N</v>
      </c>
      <c r="H85" s="18" t="str">
        <f>UKG!BL82</f>
        <v>N</v>
      </c>
      <c r="I85" s="18" t="str">
        <f>UKG!BL82</f>
        <v>N</v>
      </c>
      <c r="J85" s="18" t="str">
        <f>UKG!BL82</f>
        <v>N</v>
      </c>
      <c r="R85" s="18" t="str">
        <f>UKG!AZ82</f>
        <v>901934</v>
      </c>
      <c r="S85" s="18" t="str">
        <f>UKG!AZ82</f>
        <v>901934</v>
      </c>
      <c r="AC85" s="18" t="str">
        <f>UKG!BL82</f>
        <v>N</v>
      </c>
      <c r="AD85" s="18" t="s">
        <v>1201</v>
      </c>
    </row>
    <row r="86" spans="1:30" ht="16" thickBot="1" x14ac:dyDescent="0.25">
      <c r="A86" s="39" t="s">
        <v>1528</v>
      </c>
      <c r="B86" s="77" t="str">
        <f>UKG!D83</f>
        <v>206503</v>
      </c>
      <c r="C86" s="18" t="str">
        <f>UKG!BL83</f>
        <v>N</v>
      </c>
      <c r="D86" s="18" t="str">
        <f>UKG!BL83</f>
        <v>N</v>
      </c>
      <c r="H86" s="18" t="str">
        <f>UKG!BL83</f>
        <v>N</v>
      </c>
      <c r="I86" s="18" t="str">
        <f>UKG!BL83</f>
        <v>N</v>
      </c>
      <c r="J86" s="18" t="str">
        <f>UKG!BL83</f>
        <v>N</v>
      </c>
      <c r="R86" s="18" t="str">
        <f>UKG!AZ83</f>
        <v>205389</v>
      </c>
      <c r="S86" s="18" t="str">
        <f>UKG!AZ83</f>
        <v>205389</v>
      </c>
      <c r="AC86" s="18" t="str">
        <f>UKG!BL83</f>
        <v>N</v>
      </c>
      <c r="AD86" s="18" t="s">
        <v>1201</v>
      </c>
    </row>
    <row r="87" spans="1:30" ht="16" thickBot="1" x14ac:dyDescent="0.25">
      <c r="A87" s="39" t="s">
        <v>1528</v>
      </c>
      <c r="B87" s="77" t="str">
        <f>UKG!D84</f>
        <v>206504</v>
      </c>
      <c r="C87" s="18" t="str">
        <f>UKG!BL84</f>
        <v>N</v>
      </c>
      <c r="D87" s="18" t="str">
        <f>UKG!BL84</f>
        <v>N</v>
      </c>
      <c r="H87" s="18" t="str">
        <f>UKG!BL84</f>
        <v>N</v>
      </c>
      <c r="I87" s="18" t="str">
        <f>UKG!BL84</f>
        <v>N</v>
      </c>
      <c r="J87" s="18" t="str">
        <f>UKG!BL84</f>
        <v>N</v>
      </c>
      <c r="R87" s="18" t="str">
        <f>UKG!AZ84</f>
        <v>206503</v>
      </c>
      <c r="S87" s="18" t="str">
        <f>UKG!AZ84</f>
        <v>206503</v>
      </c>
      <c r="AC87" s="18" t="str">
        <f>UKG!BL84</f>
        <v>N</v>
      </c>
      <c r="AD87" s="18" t="s">
        <v>1201</v>
      </c>
    </row>
    <row r="88" spans="1:30" ht="16" thickBot="1" x14ac:dyDescent="0.25">
      <c r="A88" s="39" t="s">
        <v>1528</v>
      </c>
      <c r="B88" s="77" t="str">
        <f>UKG!D85</f>
        <v>206507</v>
      </c>
      <c r="C88" s="18" t="str">
        <f>UKG!BL85</f>
        <v>N</v>
      </c>
      <c r="D88" s="18" t="str">
        <f>UKG!BL85</f>
        <v>N</v>
      </c>
      <c r="H88" s="18" t="str">
        <f>UKG!BL85</f>
        <v>N</v>
      </c>
      <c r="I88" s="18" t="str">
        <f>UKG!BL85</f>
        <v>N</v>
      </c>
      <c r="J88" s="18" t="str">
        <f>UKG!BL85</f>
        <v>N</v>
      </c>
      <c r="R88" s="18" t="str">
        <f>UKG!AZ85</f>
        <v>206503</v>
      </c>
      <c r="S88" s="18" t="str">
        <f>UKG!AZ85</f>
        <v>206503</v>
      </c>
      <c r="AC88" s="18" t="str">
        <f>UKG!BL85</f>
        <v>N</v>
      </c>
      <c r="AD88" s="18" t="s">
        <v>1201</v>
      </c>
    </row>
    <row r="89" spans="1:30" ht="16" thickBot="1" x14ac:dyDescent="0.25">
      <c r="A89" s="39" t="s">
        <v>1528</v>
      </c>
      <c r="B89" s="77" t="str">
        <f>UKG!D86</f>
        <v>206508</v>
      </c>
      <c r="C89" s="18" t="str">
        <f>UKG!BL86</f>
        <v>N</v>
      </c>
      <c r="D89" s="18" t="str">
        <f>UKG!BL86</f>
        <v>N</v>
      </c>
      <c r="H89" s="18" t="str">
        <f>UKG!BL86</f>
        <v>N</v>
      </c>
      <c r="I89" s="18" t="str">
        <f>UKG!BL86</f>
        <v>N</v>
      </c>
      <c r="J89" s="18" t="str">
        <f>UKG!BL86</f>
        <v>N</v>
      </c>
      <c r="R89" s="18" t="str">
        <f>UKG!AZ86</f>
        <v>206503</v>
      </c>
      <c r="S89" s="18" t="str">
        <f>UKG!AZ86</f>
        <v>206503</v>
      </c>
      <c r="AC89" s="18" t="str">
        <f>UKG!BL86</f>
        <v>N</v>
      </c>
      <c r="AD89" s="18" t="s">
        <v>1201</v>
      </c>
    </row>
    <row r="90" spans="1:30" ht="16" thickBot="1" x14ac:dyDescent="0.25">
      <c r="A90" s="39" t="s">
        <v>1528</v>
      </c>
      <c r="B90" s="77" t="str">
        <f>UKG!D87</f>
        <v>206509</v>
      </c>
      <c r="C90" s="18" t="str">
        <f>UKG!BL87</f>
        <v>N</v>
      </c>
      <c r="D90" s="18" t="str">
        <f>UKG!BL87</f>
        <v>N</v>
      </c>
      <c r="H90" s="18" t="str">
        <f>UKG!BL87</f>
        <v>N</v>
      </c>
      <c r="I90" s="18" t="str">
        <f>UKG!BL87</f>
        <v>N</v>
      </c>
      <c r="J90" s="18" t="str">
        <f>UKG!BL87</f>
        <v>N</v>
      </c>
      <c r="R90" s="18" t="str">
        <f>UKG!AZ87</f>
        <v>206503</v>
      </c>
      <c r="S90" s="18" t="str">
        <f>UKG!AZ87</f>
        <v>206503</v>
      </c>
      <c r="AC90" s="18" t="str">
        <f>UKG!BL87</f>
        <v>N</v>
      </c>
      <c r="AD90" s="18" t="s">
        <v>1201</v>
      </c>
    </row>
    <row r="91" spans="1:30" ht="16" thickBot="1" x14ac:dyDescent="0.25">
      <c r="A91" s="39" t="s">
        <v>1528</v>
      </c>
      <c r="B91" s="77" t="str">
        <f>UKG!D88</f>
        <v>202181</v>
      </c>
      <c r="C91" s="18" t="str">
        <f>UKG!BL88</f>
        <v>N</v>
      </c>
      <c r="D91" s="18" t="str">
        <f>UKG!BL88</f>
        <v>N</v>
      </c>
      <c r="H91" s="18" t="str">
        <f>UKG!BL88</f>
        <v>N</v>
      </c>
      <c r="I91" s="18" t="str">
        <f>UKG!BL88</f>
        <v>N</v>
      </c>
      <c r="J91" s="18" t="str">
        <f>UKG!BL88</f>
        <v>N</v>
      </c>
      <c r="R91" s="18" t="str">
        <f>UKG!AZ88</f>
        <v>202182</v>
      </c>
      <c r="S91" s="18" t="str">
        <f>UKG!AZ88</f>
        <v>202182</v>
      </c>
      <c r="AC91" s="18" t="str">
        <f>UKG!BL88</f>
        <v>N</v>
      </c>
      <c r="AD91" s="18" t="s">
        <v>1201</v>
      </c>
    </row>
    <row r="92" spans="1:30" ht="16" thickBot="1" x14ac:dyDescent="0.25">
      <c r="A92" s="39" t="s">
        <v>1528</v>
      </c>
      <c r="B92" s="77" t="str">
        <f>UKG!D89</f>
        <v>202219</v>
      </c>
      <c r="C92" s="18" t="str">
        <f>UKG!BL89</f>
        <v>N</v>
      </c>
      <c r="D92" s="18" t="str">
        <f>UKG!BL89</f>
        <v>N</v>
      </c>
      <c r="H92" s="18" t="str">
        <f>UKG!BL89</f>
        <v>N</v>
      </c>
      <c r="I92" s="18" t="str">
        <f>UKG!BL89</f>
        <v>N</v>
      </c>
      <c r="J92" s="18" t="str">
        <f>UKG!BL89</f>
        <v>N</v>
      </c>
      <c r="R92" s="18" t="str">
        <f>UKG!AZ89</f>
        <v>202182</v>
      </c>
      <c r="S92" s="18" t="str">
        <f>UKG!AZ89</f>
        <v>202182</v>
      </c>
      <c r="AC92" s="18" t="str">
        <f>UKG!BL89</f>
        <v>N</v>
      </c>
      <c r="AD92" s="18" t="s">
        <v>1201</v>
      </c>
    </row>
    <row r="93" spans="1:30" ht="16" thickBot="1" x14ac:dyDescent="0.25">
      <c r="A93" s="39" t="s">
        <v>1528</v>
      </c>
      <c r="B93" s="77" t="str">
        <f>UKG!D90</f>
        <v>202212</v>
      </c>
      <c r="C93" s="18" t="str">
        <f>UKG!BL90</f>
        <v>N</v>
      </c>
      <c r="D93" s="18" t="str">
        <f>UKG!BL90</f>
        <v>N</v>
      </c>
      <c r="H93" s="18" t="str">
        <f>UKG!BL90</f>
        <v>N</v>
      </c>
      <c r="I93" s="18" t="str">
        <f>UKG!BL90</f>
        <v>N</v>
      </c>
      <c r="J93" s="18" t="str">
        <f>UKG!BL90</f>
        <v>N</v>
      </c>
      <c r="R93" s="18" t="str">
        <f>UKG!AZ90</f>
        <v>202182</v>
      </c>
      <c r="S93" s="18" t="str">
        <f>UKG!AZ90</f>
        <v>202182</v>
      </c>
      <c r="AC93" s="18" t="str">
        <f>UKG!BL90</f>
        <v>N</v>
      </c>
      <c r="AD93" s="18" t="s">
        <v>1201</v>
      </c>
    </row>
    <row r="94" spans="1:30" ht="16" thickBot="1" x14ac:dyDescent="0.25">
      <c r="A94" s="39" t="s">
        <v>1528</v>
      </c>
      <c r="B94" s="77" t="str">
        <f>UKG!D91</f>
        <v>202184</v>
      </c>
      <c r="C94" s="18" t="str">
        <f>UKG!BL91</f>
        <v>N</v>
      </c>
      <c r="D94" s="18" t="str">
        <f>UKG!BL91</f>
        <v>N</v>
      </c>
      <c r="H94" s="18" t="str">
        <f>UKG!BL91</f>
        <v>N</v>
      </c>
      <c r="I94" s="18" t="str">
        <f>UKG!BL91</f>
        <v>N</v>
      </c>
      <c r="J94" s="18" t="str">
        <f>UKG!BL91</f>
        <v>N</v>
      </c>
      <c r="R94" s="18" t="str">
        <f>UKG!AZ91</f>
        <v>202182</v>
      </c>
      <c r="S94" s="18" t="str">
        <f>UKG!AZ91</f>
        <v>202182</v>
      </c>
      <c r="AC94" s="18" t="str">
        <f>UKG!BL91</f>
        <v>N</v>
      </c>
      <c r="AD94" s="18" t="s">
        <v>1201</v>
      </c>
    </row>
    <row r="95" spans="1:30" ht="16" thickBot="1" x14ac:dyDescent="0.25">
      <c r="A95" s="39" t="s">
        <v>1528</v>
      </c>
      <c r="B95" s="77" t="str">
        <f>UKG!D92</f>
        <v>207883</v>
      </c>
      <c r="C95" s="18" t="str">
        <f>UKG!BL92</f>
        <v>N</v>
      </c>
      <c r="D95" s="18" t="str">
        <f>UKG!BL92</f>
        <v>N</v>
      </c>
      <c r="H95" s="18" t="str">
        <f>UKG!BL92</f>
        <v>N</v>
      </c>
      <c r="I95" s="18" t="str">
        <f>UKG!BL92</f>
        <v>N</v>
      </c>
      <c r="J95" s="18" t="str">
        <f>UKG!BL92</f>
        <v>N</v>
      </c>
      <c r="R95" s="18" t="str">
        <f>UKG!AZ92</f>
        <v>202182</v>
      </c>
      <c r="S95" s="18" t="str">
        <f>UKG!AZ92</f>
        <v>202182</v>
      </c>
      <c r="AC95" s="18" t="str">
        <f>UKG!BL92</f>
        <v>N</v>
      </c>
      <c r="AD95" s="18" t="s">
        <v>1201</v>
      </c>
    </row>
    <row r="96" spans="1:30" ht="16" thickBot="1" x14ac:dyDescent="0.25">
      <c r="A96" s="39" t="s">
        <v>1528</v>
      </c>
      <c r="B96" s="77" t="str">
        <f>UKG!D93</f>
        <v>202183</v>
      </c>
      <c r="C96" s="18" t="str">
        <f>UKG!BL93</f>
        <v>N</v>
      </c>
      <c r="D96" s="18" t="str">
        <f>UKG!BL93</f>
        <v>N</v>
      </c>
      <c r="H96" s="18" t="str">
        <f>UKG!BL93</f>
        <v>N</v>
      </c>
      <c r="I96" s="18" t="str">
        <f>UKG!BL93</f>
        <v>N</v>
      </c>
      <c r="J96" s="18" t="str">
        <f>UKG!BL93</f>
        <v>N</v>
      </c>
      <c r="R96" s="18" t="str">
        <f>UKG!AZ93</f>
        <v>202182</v>
      </c>
      <c r="S96" s="18" t="str">
        <f>UKG!AZ93</f>
        <v>202182</v>
      </c>
      <c r="AC96" s="18" t="str">
        <f>UKG!BL93</f>
        <v>N</v>
      </c>
      <c r="AD96" s="18" t="s">
        <v>1201</v>
      </c>
    </row>
    <row r="97" spans="1:30" ht="16" thickBot="1" x14ac:dyDescent="0.25">
      <c r="A97" s="39" t="s">
        <v>1528</v>
      </c>
      <c r="B97" s="77" t="str">
        <f>UKG!D94</f>
        <v>202218</v>
      </c>
      <c r="C97" s="18" t="str">
        <f>UKG!BL94</f>
        <v>N</v>
      </c>
      <c r="D97" s="18" t="str">
        <f>UKG!BL94</f>
        <v>N</v>
      </c>
      <c r="H97" s="18" t="str">
        <f>UKG!BL94</f>
        <v>N</v>
      </c>
      <c r="I97" s="18" t="str">
        <f>UKG!BL94</f>
        <v>N</v>
      </c>
      <c r="J97" s="18" t="str">
        <f>UKG!BL94</f>
        <v>N</v>
      </c>
      <c r="R97" s="18" t="str">
        <f>UKG!AZ94</f>
        <v>008750</v>
      </c>
      <c r="S97" s="18" t="str">
        <f>UKG!AZ94</f>
        <v>008750</v>
      </c>
      <c r="AC97" s="18" t="str">
        <f>UKG!BL94</f>
        <v>N</v>
      </c>
      <c r="AD97" s="18" t="s">
        <v>1201</v>
      </c>
    </row>
    <row r="98" spans="1:30" ht="16" thickBot="1" x14ac:dyDescent="0.25">
      <c r="A98" s="39" t="s">
        <v>1528</v>
      </c>
      <c r="B98" s="77" t="str">
        <f>UKG!D95</f>
        <v>210004</v>
      </c>
      <c r="C98" s="18" t="str">
        <f>UKG!BL95</f>
        <v>N</v>
      </c>
      <c r="D98" s="18" t="str">
        <f>UKG!BL95</f>
        <v>N</v>
      </c>
      <c r="H98" s="18" t="str">
        <f>UKG!BL95</f>
        <v>N</v>
      </c>
      <c r="I98" s="18" t="str">
        <f>UKG!BL95</f>
        <v>N</v>
      </c>
      <c r="J98" s="18" t="str">
        <f>UKG!BL95</f>
        <v>N</v>
      </c>
      <c r="R98" s="18" t="str">
        <f>UKG!AZ95</f>
        <v>202182</v>
      </c>
      <c r="S98" s="18" t="str">
        <f>UKG!AZ95</f>
        <v>202182</v>
      </c>
      <c r="AC98" s="18" t="str">
        <f>UKG!BL95</f>
        <v>N</v>
      </c>
      <c r="AD98" s="18" t="s">
        <v>1201</v>
      </c>
    </row>
    <row r="99" spans="1:30" ht="16" thickBot="1" x14ac:dyDescent="0.25">
      <c r="A99" s="39" t="s">
        <v>1528</v>
      </c>
      <c r="B99" s="77" t="str">
        <f>UKG!D96</f>
        <v>211686</v>
      </c>
      <c r="C99" s="18" t="str">
        <f>UKG!BL96</f>
        <v>N</v>
      </c>
      <c r="D99" s="18" t="str">
        <f>UKG!BL96</f>
        <v>N</v>
      </c>
      <c r="H99" s="18" t="str">
        <f>UKG!BL96</f>
        <v>N</v>
      </c>
      <c r="I99" s="18" t="str">
        <f>UKG!BL96</f>
        <v>N</v>
      </c>
      <c r="J99" s="18" t="str">
        <f>UKG!BL96</f>
        <v>N</v>
      </c>
      <c r="R99" s="18" t="str">
        <f>UKG!AZ96</f>
        <v>202182</v>
      </c>
      <c r="S99" s="18" t="str">
        <f>UKG!AZ96</f>
        <v>202182</v>
      </c>
      <c r="AC99" s="18" t="str">
        <f>UKG!BL96</f>
        <v>N</v>
      </c>
      <c r="AD99" s="18" t="s">
        <v>1201</v>
      </c>
    </row>
    <row r="100" spans="1:30" ht="16" thickBot="1" x14ac:dyDescent="0.25">
      <c r="A100" s="39" t="s">
        <v>1528</v>
      </c>
      <c r="B100" s="77" t="str">
        <f>UKG!D97</f>
        <v>202213</v>
      </c>
      <c r="C100" s="18" t="str">
        <f>UKG!BL97</f>
        <v>N</v>
      </c>
      <c r="D100" s="18" t="str">
        <f>UKG!BL97</f>
        <v>N</v>
      </c>
      <c r="H100" s="18" t="str">
        <f>UKG!BL97</f>
        <v>N</v>
      </c>
      <c r="I100" s="18" t="str">
        <f>UKG!BL97</f>
        <v>N</v>
      </c>
      <c r="J100" s="18" t="str">
        <f>UKG!BL97</f>
        <v>N</v>
      </c>
      <c r="R100" s="18" t="str">
        <f>UKG!AZ97</f>
        <v>202182</v>
      </c>
      <c r="S100" s="18" t="str">
        <f>UKG!AZ97</f>
        <v>202182</v>
      </c>
      <c r="AC100" s="18" t="str">
        <f>UKG!BL97</f>
        <v>N</v>
      </c>
      <c r="AD100" s="18" t="s">
        <v>1201</v>
      </c>
    </row>
    <row r="101" spans="1:30" ht="16" thickBot="1" x14ac:dyDescent="0.25">
      <c r="A101" s="39" t="s">
        <v>1528</v>
      </c>
      <c r="B101" s="77" t="str">
        <f>UKG!D98</f>
        <v>209552</v>
      </c>
      <c r="C101" s="18" t="str">
        <f>UKG!BL98</f>
        <v>N</v>
      </c>
      <c r="D101" s="18" t="str">
        <f>UKG!BL98</f>
        <v>N</v>
      </c>
      <c r="H101" s="18" t="str">
        <f>UKG!BL98</f>
        <v>N</v>
      </c>
      <c r="I101" s="18" t="str">
        <f>UKG!BL98</f>
        <v>N</v>
      </c>
      <c r="J101" s="18" t="str">
        <f>UKG!BL98</f>
        <v>N</v>
      </c>
      <c r="R101" s="18" t="str">
        <f>UKG!AZ98</f>
        <v>202182</v>
      </c>
      <c r="S101" s="18" t="str">
        <f>UKG!AZ98</f>
        <v>202182</v>
      </c>
      <c r="AC101" s="18" t="str">
        <f>UKG!BL98</f>
        <v>N</v>
      </c>
      <c r="AD101" s="18" t="s">
        <v>1201</v>
      </c>
    </row>
    <row r="102" spans="1:30" ht="16" thickBot="1" x14ac:dyDescent="0.25">
      <c r="A102" s="39" t="s">
        <v>1528</v>
      </c>
      <c r="B102" s="77" t="str">
        <f>UKG!D99</f>
        <v>202182</v>
      </c>
      <c r="C102" s="18" t="str">
        <f>UKG!BL99</f>
        <v>N</v>
      </c>
      <c r="D102" s="18" t="str">
        <f>UKG!BL99</f>
        <v>N</v>
      </c>
      <c r="H102" s="18" t="str">
        <f>UKG!BL99</f>
        <v>N</v>
      </c>
      <c r="I102" s="18" t="str">
        <f>UKG!BL99</f>
        <v>N</v>
      </c>
      <c r="J102" s="18" t="str">
        <f>UKG!BL99</f>
        <v>N</v>
      </c>
      <c r="R102" s="18" t="str">
        <f>UKG!AZ99</f>
        <v>213037</v>
      </c>
      <c r="S102" s="18" t="str">
        <f>UKG!AZ99</f>
        <v>213037</v>
      </c>
      <c r="AC102" s="18" t="str">
        <f>UKG!BL99</f>
        <v>N</v>
      </c>
      <c r="AD102" s="18" t="s">
        <v>1201</v>
      </c>
    </row>
    <row r="103" spans="1:30" ht="16" thickBot="1" x14ac:dyDescent="0.25">
      <c r="A103" s="39" t="s">
        <v>1528</v>
      </c>
      <c r="B103" s="77" t="str">
        <f>UKG!D100</f>
        <v>205305</v>
      </c>
      <c r="C103" s="18" t="str">
        <f>UKG!BL100</f>
        <v>N</v>
      </c>
      <c r="D103" s="18" t="str">
        <f>UKG!BL100</f>
        <v>N</v>
      </c>
      <c r="H103" s="18" t="str">
        <f>UKG!BL100</f>
        <v>N</v>
      </c>
      <c r="I103" s="18" t="str">
        <f>UKG!BL100</f>
        <v>N</v>
      </c>
      <c r="J103" s="18" t="str">
        <f>UKG!BL100</f>
        <v>N</v>
      </c>
      <c r="R103" s="18" t="str">
        <f>UKG!AZ100</f>
        <v>212110</v>
      </c>
      <c r="S103" s="18" t="str">
        <f>UKG!AZ100</f>
        <v>212110</v>
      </c>
      <c r="AC103" s="18" t="str">
        <f>UKG!BL100</f>
        <v>N</v>
      </c>
      <c r="AD103" s="18" t="s">
        <v>1201</v>
      </c>
    </row>
    <row r="104" spans="1:30" ht="16" thickBot="1" x14ac:dyDescent="0.25">
      <c r="A104" s="39" t="s">
        <v>1528</v>
      </c>
      <c r="B104" s="77" t="str">
        <f>UKG!D101</f>
        <v>205303</v>
      </c>
      <c r="C104" s="18" t="str">
        <f>UKG!BL101</f>
        <v>N</v>
      </c>
      <c r="D104" s="18" t="str">
        <f>UKG!BL101</f>
        <v>N</v>
      </c>
      <c r="H104" s="18" t="str">
        <f>UKG!BL101</f>
        <v>N</v>
      </c>
      <c r="I104" s="18" t="str">
        <f>UKG!BL101</f>
        <v>N</v>
      </c>
      <c r="J104" s="18" t="str">
        <f>UKG!BL101</f>
        <v>N</v>
      </c>
      <c r="R104" s="18" t="str">
        <f>UKG!AZ101</f>
        <v>205377</v>
      </c>
      <c r="S104" s="18" t="str">
        <f>UKG!AZ101</f>
        <v>205377</v>
      </c>
      <c r="AC104" s="18" t="str">
        <f>UKG!BL101</f>
        <v>N</v>
      </c>
      <c r="AD104" s="18" t="s">
        <v>1201</v>
      </c>
    </row>
    <row r="105" spans="1:30" ht="16" thickBot="1" x14ac:dyDescent="0.25">
      <c r="A105" s="39" t="s">
        <v>1528</v>
      </c>
      <c r="B105" s="77" t="str">
        <f>UKG!D102</f>
        <v>207096</v>
      </c>
      <c r="C105" s="18" t="str">
        <f>UKG!BL102</f>
        <v>N</v>
      </c>
      <c r="D105" s="18" t="str">
        <f>UKG!BL102</f>
        <v>N</v>
      </c>
      <c r="H105" s="18" t="str">
        <f>UKG!BL102</f>
        <v>N</v>
      </c>
      <c r="I105" s="18" t="str">
        <f>UKG!BL102</f>
        <v>N</v>
      </c>
      <c r="J105" s="18" t="str">
        <f>UKG!BL102</f>
        <v>N</v>
      </c>
      <c r="R105" s="18" t="str">
        <f>UKG!AZ102</f>
        <v>205315</v>
      </c>
      <c r="S105" s="18" t="str">
        <f>UKG!AZ102</f>
        <v>205315</v>
      </c>
      <c r="AC105" s="18" t="str">
        <f>UKG!BL102</f>
        <v>N</v>
      </c>
      <c r="AD105" s="18" t="s">
        <v>1201</v>
      </c>
    </row>
    <row r="106" spans="1:30" ht="16" thickBot="1" x14ac:dyDescent="0.25">
      <c r="A106" s="39" t="s">
        <v>1528</v>
      </c>
      <c r="B106" s="77" t="str">
        <f>UKG!D103</f>
        <v>205153</v>
      </c>
      <c r="C106" s="18" t="str">
        <f>UKG!BL103</f>
        <v>N</v>
      </c>
      <c r="D106" s="18" t="str">
        <f>UKG!BL103</f>
        <v>N</v>
      </c>
      <c r="H106" s="18" t="str">
        <f>UKG!BL103</f>
        <v>N</v>
      </c>
      <c r="I106" s="18" t="str">
        <f>UKG!BL103</f>
        <v>N</v>
      </c>
      <c r="J106" s="18" t="str">
        <f>UKG!BL103</f>
        <v>N</v>
      </c>
      <c r="R106" s="18" t="str">
        <f>UKG!AZ103</f>
        <v>205383</v>
      </c>
      <c r="S106" s="18" t="str">
        <f>UKG!AZ103</f>
        <v>205383</v>
      </c>
      <c r="AC106" s="18" t="str">
        <f>UKG!BL103</f>
        <v>N</v>
      </c>
      <c r="AD106" s="18" t="s">
        <v>1201</v>
      </c>
    </row>
    <row r="107" spans="1:30" ht="16" thickBot="1" x14ac:dyDescent="0.25">
      <c r="A107" s="39" t="s">
        <v>1528</v>
      </c>
      <c r="B107" s="77" t="str">
        <f>UKG!D104</f>
        <v>205109</v>
      </c>
      <c r="C107" s="18" t="str">
        <f>UKG!BL104</f>
        <v>N</v>
      </c>
      <c r="D107" s="18" t="str">
        <f>UKG!BL104</f>
        <v>N</v>
      </c>
      <c r="H107" s="18" t="str">
        <f>UKG!BL104</f>
        <v>N</v>
      </c>
      <c r="I107" s="18" t="str">
        <f>UKG!BL104</f>
        <v>N</v>
      </c>
      <c r="J107" s="18" t="str">
        <f>UKG!BL104</f>
        <v>N</v>
      </c>
      <c r="R107" s="18" t="str">
        <f>UKG!AZ104</f>
        <v>205384</v>
      </c>
      <c r="S107" s="18" t="str">
        <f>UKG!AZ104</f>
        <v>205384</v>
      </c>
      <c r="AC107" s="18" t="str">
        <f>UKG!BL104</f>
        <v>N</v>
      </c>
      <c r="AD107" s="18" t="s">
        <v>1201</v>
      </c>
    </row>
    <row r="108" spans="1:30" ht="16" thickBot="1" x14ac:dyDescent="0.25">
      <c r="A108" s="39" t="s">
        <v>1528</v>
      </c>
      <c r="B108" s="77" t="str">
        <f>UKG!D105</f>
        <v>207718</v>
      </c>
      <c r="C108" s="18" t="str">
        <f>UKG!BL105</f>
        <v>N</v>
      </c>
      <c r="D108" s="18" t="str">
        <f>UKG!BL105</f>
        <v>N</v>
      </c>
      <c r="H108" s="18" t="str">
        <f>UKG!BL105</f>
        <v>N</v>
      </c>
      <c r="I108" s="18" t="str">
        <f>UKG!BL105</f>
        <v>N</v>
      </c>
      <c r="J108" s="18" t="str">
        <f>UKG!BL105</f>
        <v>N</v>
      </c>
      <c r="R108" s="18" t="str">
        <f>UKG!AZ105</f>
        <v>205315</v>
      </c>
      <c r="S108" s="18" t="str">
        <f>UKG!AZ105</f>
        <v>205315</v>
      </c>
      <c r="AC108" s="18" t="str">
        <f>UKG!BL105</f>
        <v>N</v>
      </c>
      <c r="AD108" s="18" t="s">
        <v>1201</v>
      </c>
    </row>
    <row r="109" spans="1:30" ht="16" thickBot="1" x14ac:dyDescent="0.25">
      <c r="A109" s="39" t="s">
        <v>1528</v>
      </c>
      <c r="B109" s="77" t="str">
        <f>UKG!D106</f>
        <v>205320</v>
      </c>
      <c r="C109" s="18" t="str">
        <f>UKG!BL106</f>
        <v>N</v>
      </c>
      <c r="D109" s="18" t="str">
        <f>UKG!BL106</f>
        <v>N</v>
      </c>
      <c r="H109" s="18" t="str">
        <f>UKG!BL106</f>
        <v>N</v>
      </c>
      <c r="I109" s="18" t="str">
        <f>UKG!BL106</f>
        <v>N</v>
      </c>
      <c r="J109" s="18" t="str">
        <f>UKG!BL106</f>
        <v>N</v>
      </c>
      <c r="R109" s="18" t="str">
        <f>UKG!AZ106</f>
        <v>205377</v>
      </c>
      <c r="S109" s="18" t="str">
        <f>UKG!AZ106</f>
        <v>205377</v>
      </c>
      <c r="AC109" s="18" t="str">
        <f>UKG!BL106</f>
        <v>N</v>
      </c>
      <c r="AD109" s="18" t="s">
        <v>1201</v>
      </c>
    </row>
    <row r="110" spans="1:30" ht="16" thickBot="1" x14ac:dyDescent="0.25">
      <c r="A110" s="39" t="s">
        <v>1528</v>
      </c>
      <c r="B110" s="77" t="str">
        <f>UKG!D107</f>
        <v>207734</v>
      </c>
      <c r="C110" s="18" t="str">
        <f>UKG!BL107</f>
        <v>N</v>
      </c>
      <c r="D110" s="18" t="str">
        <f>UKG!BL107</f>
        <v>N</v>
      </c>
      <c r="H110" s="18" t="str">
        <f>UKG!BL107</f>
        <v>N</v>
      </c>
      <c r="I110" s="18" t="str">
        <f>UKG!BL107</f>
        <v>N</v>
      </c>
      <c r="J110" s="18" t="str">
        <f>UKG!BL107</f>
        <v>N</v>
      </c>
      <c r="R110" s="18" t="str">
        <f>UKG!AZ107</f>
        <v>205384</v>
      </c>
      <c r="S110" s="18" t="str">
        <f>UKG!AZ107</f>
        <v>205384</v>
      </c>
      <c r="AC110" s="18" t="str">
        <f>UKG!BL107</f>
        <v>N</v>
      </c>
      <c r="AD110" s="18" t="s">
        <v>1201</v>
      </c>
    </row>
    <row r="111" spans="1:30" ht="16" thickBot="1" x14ac:dyDescent="0.25">
      <c r="A111" s="39" t="s">
        <v>1528</v>
      </c>
      <c r="B111" s="77" t="str">
        <f>UKG!D108</f>
        <v>205329</v>
      </c>
      <c r="C111" s="18" t="str">
        <f>UKG!BL108</f>
        <v>N</v>
      </c>
      <c r="D111" s="18" t="str">
        <f>UKG!BL108</f>
        <v>N</v>
      </c>
      <c r="H111" s="18" t="str">
        <f>UKG!BL108</f>
        <v>N</v>
      </c>
      <c r="I111" s="18" t="str">
        <f>UKG!BL108</f>
        <v>N</v>
      </c>
      <c r="J111" s="18" t="str">
        <f>UKG!BL108</f>
        <v>N</v>
      </c>
      <c r="R111" s="18" t="str">
        <f>UKG!AZ108</f>
        <v>205377</v>
      </c>
      <c r="S111" s="18" t="str">
        <f>UKG!AZ108</f>
        <v>205377</v>
      </c>
      <c r="AC111" s="18" t="str">
        <f>UKG!BL108</f>
        <v>N</v>
      </c>
      <c r="AD111" s="18" t="s">
        <v>1201</v>
      </c>
    </row>
    <row r="112" spans="1:30" ht="16" thickBot="1" x14ac:dyDescent="0.25">
      <c r="A112" s="39" t="s">
        <v>1528</v>
      </c>
      <c r="B112" s="77" t="str">
        <f>UKG!D109</f>
        <v>205310</v>
      </c>
      <c r="C112" s="18" t="str">
        <f>UKG!BL109</f>
        <v>N</v>
      </c>
      <c r="D112" s="18" t="str">
        <f>UKG!BL109</f>
        <v>N</v>
      </c>
      <c r="H112" s="18" t="str">
        <f>UKG!BL109</f>
        <v>N</v>
      </c>
      <c r="I112" s="18" t="str">
        <f>UKG!BL109</f>
        <v>N</v>
      </c>
      <c r="J112" s="18" t="str">
        <f>UKG!BL109</f>
        <v>N</v>
      </c>
      <c r="R112" s="18" t="str">
        <f>UKG!AZ109</f>
        <v>205380</v>
      </c>
      <c r="S112" s="18" t="str">
        <f>UKG!AZ109</f>
        <v>205380</v>
      </c>
      <c r="AC112" s="18" t="str">
        <f>UKG!BL109</f>
        <v>N</v>
      </c>
      <c r="AD112" s="18" t="s">
        <v>1201</v>
      </c>
    </row>
    <row r="113" spans="1:30" ht="16" thickBot="1" x14ac:dyDescent="0.25">
      <c r="A113" s="39" t="s">
        <v>1528</v>
      </c>
      <c r="B113" s="77" t="str">
        <f>UKG!D110</f>
        <v>205237</v>
      </c>
      <c r="C113" s="18" t="str">
        <f>UKG!BL110</f>
        <v>N</v>
      </c>
      <c r="D113" s="18" t="str">
        <f>UKG!BL110</f>
        <v>N</v>
      </c>
      <c r="H113" s="18" t="str">
        <f>UKG!BL110</f>
        <v>N</v>
      </c>
      <c r="I113" s="18" t="str">
        <f>UKG!BL110</f>
        <v>N</v>
      </c>
      <c r="J113" s="18" t="str">
        <f>UKG!BL110</f>
        <v>N</v>
      </c>
      <c r="R113" s="18" t="str">
        <f>UKG!AZ110</f>
        <v>205383</v>
      </c>
      <c r="S113" s="18" t="str">
        <f>UKG!AZ110</f>
        <v>205383</v>
      </c>
      <c r="AC113" s="18" t="str">
        <f>UKG!BL110</f>
        <v>N</v>
      </c>
      <c r="AD113" s="18" t="s">
        <v>1201</v>
      </c>
    </row>
    <row r="114" spans="1:30" ht="16" thickBot="1" x14ac:dyDescent="0.25">
      <c r="A114" s="39" t="s">
        <v>1528</v>
      </c>
      <c r="B114" s="77" t="str">
        <f>UKG!D111</f>
        <v>205158</v>
      </c>
      <c r="C114" s="18" t="str">
        <f>UKG!BL111</f>
        <v>N</v>
      </c>
      <c r="D114" s="18" t="str">
        <f>UKG!BL111</f>
        <v>N</v>
      </c>
      <c r="H114" s="18" t="str">
        <f>UKG!BL111</f>
        <v>N</v>
      </c>
      <c r="I114" s="18" t="str">
        <f>UKG!BL111</f>
        <v>N</v>
      </c>
      <c r="J114" s="18" t="str">
        <f>UKG!BL111</f>
        <v>N</v>
      </c>
      <c r="R114" s="18" t="str">
        <f>UKG!AZ111</f>
        <v>205383</v>
      </c>
      <c r="S114" s="18" t="str">
        <f>UKG!AZ111</f>
        <v>205383</v>
      </c>
      <c r="AC114" s="18" t="str">
        <f>UKG!BL111</f>
        <v>N</v>
      </c>
      <c r="AD114" s="18" t="s">
        <v>1201</v>
      </c>
    </row>
    <row r="115" spans="1:30" ht="16" thickBot="1" x14ac:dyDescent="0.25">
      <c r="A115" s="39" t="s">
        <v>1528</v>
      </c>
      <c r="B115" s="77" t="str">
        <f>UKG!D112</f>
        <v>205142</v>
      </c>
      <c r="C115" s="18" t="str">
        <f>UKG!BL112</f>
        <v>N</v>
      </c>
      <c r="D115" s="18" t="str">
        <f>UKG!BL112</f>
        <v>N</v>
      </c>
      <c r="H115" s="18" t="str">
        <f>UKG!BL112</f>
        <v>N</v>
      </c>
      <c r="I115" s="18" t="str">
        <f>UKG!BL112</f>
        <v>N</v>
      </c>
      <c r="J115" s="18" t="str">
        <f>UKG!BL112</f>
        <v>N</v>
      </c>
      <c r="R115" s="18" t="str">
        <f>UKG!AZ112</f>
        <v>205116</v>
      </c>
      <c r="S115" s="18" t="str">
        <f>UKG!AZ112</f>
        <v>205116</v>
      </c>
      <c r="AC115" s="18" t="str">
        <f>UKG!BL112</f>
        <v>N</v>
      </c>
      <c r="AD115" s="18" t="s">
        <v>1201</v>
      </c>
    </row>
    <row r="116" spans="1:30" ht="16" thickBot="1" x14ac:dyDescent="0.25">
      <c r="A116" s="39" t="s">
        <v>1528</v>
      </c>
      <c r="B116" s="77" t="str">
        <f>UKG!D113</f>
        <v>205319</v>
      </c>
      <c r="C116" s="18" t="str">
        <f>UKG!BL113</f>
        <v>N</v>
      </c>
      <c r="D116" s="18" t="str">
        <f>UKG!BL113</f>
        <v>N</v>
      </c>
      <c r="H116" s="18" t="str">
        <f>UKG!BL113</f>
        <v>N</v>
      </c>
      <c r="I116" s="18" t="str">
        <f>UKG!BL113</f>
        <v>N</v>
      </c>
      <c r="J116" s="18" t="str">
        <f>UKG!BL113</f>
        <v>N</v>
      </c>
      <c r="R116" s="18" t="str">
        <f>UKG!AZ113</f>
        <v>205377</v>
      </c>
      <c r="S116" s="18" t="str">
        <f>UKG!AZ113</f>
        <v>205377</v>
      </c>
      <c r="AC116" s="18" t="str">
        <f>UKG!BL113</f>
        <v>N</v>
      </c>
      <c r="AD116" s="18" t="s">
        <v>1201</v>
      </c>
    </row>
    <row r="117" spans="1:30" ht="16" thickBot="1" x14ac:dyDescent="0.25">
      <c r="A117" s="39" t="s">
        <v>1528</v>
      </c>
      <c r="B117" s="77" t="str">
        <f>UKG!D114</f>
        <v>205137</v>
      </c>
      <c r="C117" s="18" t="str">
        <f>UKG!BL114</f>
        <v>N</v>
      </c>
      <c r="D117" s="18" t="str">
        <f>UKG!BL114</f>
        <v>N</v>
      </c>
      <c r="H117" s="18" t="str">
        <f>UKG!BL114</f>
        <v>N</v>
      </c>
      <c r="I117" s="18" t="str">
        <f>UKG!BL114</f>
        <v>N</v>
      </c>
      <c r="J117" s="18" t="str">
        <f>UKG!BL114</f>
        <v>N</v>
      </c>
      <c r="R117" s="18" t="str">
        <f>UKG!AZ114</f>
        <v>205383</v>
      </c>
      <c r="S117" s="18" t="str">
        <f>UKG!AZ114</f>
        <v>205383</v>
      </c>
      <c r="AC117" s="18" t="str">
        <f>UKG!BL114</f>
        <v>N</v>
      </c>
      <c r="AD117" s="18" t="s">
        <v>1201</v>
      </c>
    </row>
    <row r="118" spans="1:30" ht="16" thickBot="1" x14ac:dyDescent="0.25">
      <c r="A118" s="39" t="s">
        <v>1528</v>
      </c>
      <c r="B118" s="77" t="str">
        <f>UKG!D115</f>
        <v>205350</v>
      </c>
      <c r="C118" s="18" t="str">
        <f>UKG!BL115</f>
        <v>N</v>
      </c>
      <c r="D118" s="18" t="str">
        <f>UKG!BL115</f>
        <v>N</v>
      </c>
      <c r="H118" s="18" t="str">
        <f>UKG!BL115</f>
        <v>N</v>
      </c>
      <c r="I118" s="18" t="str">
        <f>UKG!BL115</f>
        <v>N</v>
      </c>
      <c r="J118" s="18" t="str">
        <f>UKG!BL115</f>
        <v>N</v>
      </c>
      <c r="R118" s="18" t="str">
        <f>UKG!AZ115</f>
        <v>205375</v>
      </c>
      <c r="S118" s="18" t="str">
        <f>UKG!AZ115</f>
        <v>205375</v>
      </c>
      <c r="AC118" s="18" t="str">
        <f>UKG!BL115</f>
        <v>N</v>
      </c>
      <c r="AD118" s="18" t="s">
        <v>1201</v>
      </c>
    </row>
    <row r="119" spans="1:30" ht="16" thickBot="1" x14ac:dyDescent="0.25">
      <c r="A119" s="39" t="s">
        <v>1528</v>
      </c>
      <c r="B119" s="77" t="str">
        <f>UKG!D116</f>
        <v>205104</v>
      </c>
      <c r="C119" s="18" t="str">
        <f>UKG!BL116</f>
        <v>N</v>
      </c>
      <c r="D119" s="18" t="str">
        <f>UKG!BL116</f>
        <v>N</v>
      </c>
      <c r="H119" s="18" t="str">
        <f>UKG!BL116</f>
        <v>N</v>
      </c>
      <c r="I119" s="18" t="str">
        <f>UKG!BL116</f>
        <v>N</v>
      </c>
      <c r="J119" s="18" t="str">
        <f>UKG!BL116</f>
        <v>N</v>
      </c>
      <c r="R119" s="18" t="str">
        <f>UKG!AZ116</f>
        <v>213066</v>
      </c>
      <c r="S119" s="18" t="str">
        <f>UKG!AZ116</f>
        <v>213066</v>
      </c>
      <c r="AC119" s="18" t="str">
        <f>UKG!BL116</f>
        <v>N</v>
      </c>
      <c r="AD119" s="18" t="s">
        <v>1201</v>
      </c>
    </row>
    <row r="120" spans="1:30" ht="16" thickBot="1" x14ac:dyDescent="0.25">
      <c r="A120" s="39" t="s">
        <v>1528</v>
      </c>
      <c r="B120" s="77" t="str">
        <f>UKG!D117</f>
        <v>205128</v>
      </c>
      <c r="C120" s="18" t="str">
        <f>UKG!BL117</f>
        <v>N</v>
      </c>
      <c r="D120" s="18" t="str">
        <f>UKG!BL117</f>
        <v>N</v>
      </c>
      <c r="H120" s="18" t="str">
        <f>UKG!BL117</f>
        <v>N</v>
      </c>
      <c r="I120" s="18" t="str">
        <f>UKG!BL117</f>
        <v>N</v>
      </c>
      <c r="J120" s="18" t="str">
        <f>UKG!BL117</f>
        <v>N</v>
      </c>
      <c r="R120" s="18" t="str">
        <f>UKG!AZ117</f>
        <v>205383</v>
      </c>
      <c r="S120" s="18" t="str">
        <f>UKG!AZ117</f>
        <v>205383</v>
      </c>
      <c r="AC120" s="18" t="str">
        <f>UKG!BL117</f>
        <v>N</v>
      </c>
      <c r="AD120" s="18" t="s">
        <v>1201</v>
      </c>
    </row>
    <row r="121" spans="1:30" ht="16" thickBot="1" x14ac:dyDescent="0.25">
      <c r="A121" s="39" t="s">
        <v>1528</v>
      </c>
      <c r="B121" s="77" t="str">
        <f>UKG!D118</f>
        <v>205172</v>
      </c>
      <c r="C121" s="18" t="str">
        <f>UKG!BL118</f>
        <v>N</v>
      </c>
      <c r="D121" s="18" t="str">
        <f>UKG!BL118</f>
        <v>N</v>
      </c>
      <c r="H121" s="18" t="str">
        <f>UKG!BL118</f>
        <v>N</v>
      </c>
      <c r="I121" s="18" t="str">
        <f>UKG!BL118</f>
        <v>N</v>
      </c>
      <c r="J121" s="18" t="str">
        <f>UKG!BL118</f>
        <v>N</v>
      </c>
      <c r="R121" s="18" t="str">
        <f>UKG!AZ118</f>
        <v>205383</v>
      </c>
      <c r="S121" s="18" t="str">
        <f>UKG!AZ118</f>
        <v>205383</v>
      </c>
      <c r="AC121" s="18" t="str">
        <f>UKG!BL118</f>
        <v>N</v>
      </c>
      <c r="AD121" s="18" t="s">
        <v>1201</v>
      </c>
    </row>
    <row r="122" spans="1:30" ht="16" thickBot="1" x14ac:dyDescent="0.25">
      <c r="A122" s="39" t="s">
        <v>1528</v>
      </c>
      <c r="B122" s="77" t="str">
        <f>UKG!D119</f>
        <v>205333</v>
      </c>
      <c r="C122" s="18" t="str">
        <f>UKG!BL119</f>
        <v>N</v>
      </c>
      <c r="D122" s="18" t="str">
        <f>UKG!BL119</f>
        <v>N</v>
      </c>
      <c r="H122" s="18" t="str">
        <f>UKG!BL119</f>
        <v>N</v>
      </c>
      <c r="I122" s="18" t="str">
        <f>UKG!BL119</f>
        <v>N</v>
      </c>
      <c r="J122" s="18" t="str">
        <f>UKG!BL119</f>
        <v>N</v>
      </c>
      <c r="R122" s="18" t="str">
        <f>UKG!AZ119</f>
        <v>205377</v>
      </c>
      <c r="S122" s="18" t="str">
        <f>UKG!AZ119</f>
        <v>205377</v>
      </c>
      <c r="AC122" s="18" t="str">
        <f>UKG!BL119</f>
        <v>N</v>
      </c>
      <c r="AD122" s="18" t="s">
        <v>1201</v>
      </c>
    </row>
    <row r="123" spans="1:30" ht="16" thickBot="1" x14ac:dyDescent="0.25">
      <c r="A123" s="39" t="s">
        <v>1528</v>
      </c>
      <c r="B123" s="77" t="str">
        <f>UKG!D120</f>
        <v>205201</v>
      </c>
      <c r="C123" s="18" t="str">
        <f>UKG!BL120</f>
        <v>N</v>
      </c>
      <c r="D123" s="18" t="str">
        <f>UKG!BL120</f>
        <v>N</v>
      </c>
      <c r="H123" s="18" t="str">
        <f>UKG!BL120</f>
        <v>N</v>
      </c>
      <c r="I123" s="18" t="str">
        <f>UKG!BL120</f>
        <v>N</v>
      </c>
      <c r="J123" s="18" t="str">
        <f>UKG!BL120</f>
        <v>N</v>
      </c>
      <c r="R123" s="18" t="str">
        <f>UKG!AZ120</f>
        <v>205315</v>
      </c>
      <c r="S123" s="18" t="str">
        <f>UKG!AZ120</f>
        <v>205315</v>
      </c>
      <c r="AC123" s="18" t="str">
        <f>UKG!BL120</f>
        <v>N</v>
      </c>
      <c r="AD123" s="18" t="s">
        <v>1201</v>
      </c>
    </row>
    <row r="124" spans="1:30" ht="16" thickBot="1" x14ac:dyDescent="0.25">
      <c r="A124" s="39" t="s">
        <v>1528</v>
      </c>
      <c r="B124" s="77" t="str">
        <f>UKG!D121</f>
        <v>205243</v>
      </c>
      <c r="C124" s="18" t="str">
        <f>UKG!BL121</f>
        <v>N</v>
      </c>
      <c r="D124" s="18" t="str">
        <f>UKG!BL121</f>
        <v>N</v>
      </c>
      <c r="H124" s="18" t="str">
        <f>UKG!BL121</f>
        <v>N</v>
      </c>
      <c r="I124" s="18" t="str">
        <f>UKG!BL121</f>
        <v>N</v>
      </c>
      <c r="J124" s="18" t="str">
        <f>UKG!BL121</f>
        <v>N</v>
      </c>
      <c r="R124" s="18" t="str">
        <f>UKG!AZ121</f>
        <v>205315</v>
      </c>
      <c r="S124" s="18" t="str">
        <f>UKG!AZ121</f>
        <v>205315</v>
      </c>
      <c r="AC124" s="18" t="str">
        <f>UKG!BL121</f>
        <v>N</v>
      </c>
      <c r="AD124" s="18" t="s">
        <v>1201</v>
      </c>
    </row>
    <row r="125" spans="1:30" ht="16" thickBot="1" x14ac:dyDescent="0.25">
      <c r="A125" s="39" t="s">
        <v>1528</v>
      </c>
      <c r="B125" s="77" t="str">
        <f>UKG!D122</f>
        <v>205299</v>
      </c>
      <c r="C125" s="18" t="str">
        <f>UKG!BL122</f>
        <v>N</v>
      </c>
      <c r="D125" s="18" t="str">
        <f>UKG!BL122</f>
        <v>N</v>
      </c>
      <c r="H125" s="18" t="str">
        <f>UKG!BL122</f>
        <v>N</v>
      </c>
      <c r="I125" s="18" t="str">
        <f>UKG!BL122</f>
        <v>N</v>
      </c>
      <c r="J125" s="18" t="str">
        <f>UKG!BL122</f>
        <v>N</v>
      </c>
      <c r="R125" s="18" t="str">
        <f>UKG!AZ122</f>
        <v>212110</v>
      </c>
      <c r="S125" s="18" t="str">
        <f>UKG!AZ122</f>
        <v>212110</v>
      </c>
      <c r="AC125" s="18" t="str">
        <f>UKG!BL122</f>
        <v>N</v>
      </c>
      <c r="AD125" s="18" t="s">
        <v>1201</v>
      </c>
    </row>
    <row r="126" spans="1:30" ht="16" thickBot="1" x14ac:dyDescent="0.25">
      <c r="A126" s="39" t="s">
        <v>1528</v>
      </c>
      <c r="B126" s="77" t="str">
        <f>UKG!D123</f>
        <v>205280</v>
      </c>
      <c r="C126" s="18" t="str">
        <f>UKG!BL123</f>
        <v>N</v>
      </c>
      <c r="D126" s="18" t="str">
        <f>UKG!BL123</f>
        <v>N</v>
      </c>
      <c r="H126" s="18" t="str">
        <f>UKG!BL123</f>
        <v>N</v>
      </c>
      <c r="I126" s="18" t="str">
        <f>UKG!BL123</f>
        <v>N</v>
      </c>
      <c r="J126" s="18" t="str">
        <f>UKG!BL123</f>
        <v>N</v>
      </c>
      <c r="R126" s="18" t="str">
        <f>UKG!AZ123</f>
        <v>212110</v>
      </c>
      <c r="S126" s="18" t="str">
        <f>UKG!AZ123</f>
        <v>212110</v>
      </c>
      <c r="AC126" s="18" t="str">
        <f>UKG!BL123</f>
        <v>N</v>
      </c>
      <c r="AD126" s="18" t="s">
        <v>1201</v>
      </c>
    </row>
    <row r="127" spans="1:30" ht="16" thickBot="1" x14ac:dyDescent="0.25">
      <c r="A127" s="39" t="s">
        <v>1528</v>
      </c>
      <c r="B127" s="77" t="str">
        <f>UKG!D124</f>
        <v>205230</v>
      </c>
      <c r="C127" s="18" t="str">
        <f>UKG!BL124</f>
        <v>N</v>
      </c>
      <c r="D127" s="18" t="str">
        <f>UKG!BL124</f>
        <v>N</v>
      </c>
      <c r="H127" s="18" t="str">
        <f>UKG!BL124</f>
        <v>N</v>
      </c>
      <c r="I127" s="18" t="str">
        <f>UKG!BL124</f>
        <v>N</v>
      </c>
      <c r="J127" s="18" t="str">
        <f>UKG!BL124</f>
        <v>N</v>
      </c>
      <c r="R127" s="18" t="str">
        <f>UKG!AZ124</f>
        <v>205383</v>
      </c>
      <c r="S127" s="18" t="str">
        <f>UKG!AZ124</f>
        <v>205383</v>
      </c>
      <c r="AC127" s="18" t="str">
        <f>UKG!BL124</f>
        <v>N</v>
      </c>
      <c r="AD127" s="18" t="s">
        <v>1201</v>
      </c>
    </row>
    <row r="128" spans="1:30" ht="16" thickBot="1" x14ac:dyDescent="0.25">
      <c r="A128" s="39" t="s">
        <v>1528</v>
      </c>
      <c r="B128" s="77" t="str">
        <f>UKG!D125</f>
        <v>205200</v>
      </c>
      <c r="C128" s="18" t="str">
        <f>UKG!BL125</f>
        <v>N</v>
      </c>
      <c r="D128" s="18" t="str">
        <f>UKG!BL125</f>
        <v>N</v>
      </c>
      <c r="H128" s="18" t="str">
        <f>UKG!BL125</f>
        <v>N</v>
      </c>
      <c r="I128" s="18" t="str">
        <f>UKG!BL125</f>
        <v>N</v>
      </c>
      <c r="J128" s="18" t="str">
        <f>UKG!BL125</f>
        <v>N</v>
      </c>
      <c r="R128" s="18" t="str">
        <f>UKG!AZ125</f>
        <v>205380</v>
      </c>
      <c r="S128" s="18" t="str">
        <f>UKG!AZ125</f>
        <v>205380</v>
      </c>
      <c r="AC128" s="18" t="str">
        <f>UKG!BL125</f>
        <v>N</v>
      </c>
      <c r="AD128" s="18" t="s">
        <v>1201</v>
      </c>
    </row>
    <row r="129" spans="1:30" ht="16" thickBot="1" x14ac:dyDescent="0.25">
      <c r="A129" s="39" t="s">
        <v>1528</v>
      </c>
      <c r="B129" s="77" t="str">
        <f>UKG!D126</f>
        <v>205318</v>
      </c>
      <c r="C129" s="18" t="str">
        <f>UKG!BL126</f>
        <v>N</v>
      </c>
      <c r="D129" s="18" t="str">
        <f>UKG!BL126</f>
        <v>N</v>
      </c>
      <c r="H129" s="18" t="str">
        <f>UKG!BL126</f>
        <v>N</v>
      </c>
      <c r="I129" s="18" t="str">
        <f>UKG!BL126</f>
        <v>N</v>
      </c>
      <c r="J129" s="18" t="str">
        <f>UKG!BL126</f>
        <v>N</v>
      </c>
      <c r="R129" s="18" t="str">
        <f>UKG!AZ126</f>
        <v>205377</v>
      </c>
      <c r="S129" s="18" t="str">
        <f>UKG!AZ126</f>
        <v>205377</v>
      </c>
      <c r="AC129" s="18" t="str">
        <f>UKG!BL126</f>
        <v>N</v>
      </c>
      <c r="AD129" s="18" t="s">
        <v>1201</v>
      </c>
    </row>
    <row r="130" spans="1:30" ht="16" thickBot="1" x14ac:dyDescent="0.25">
      <c r="A130" s="39" t="s">
        <v>1528</v>
      </c>
      <c r="B130" s="77" t="str">
        <f>UKG!D127</f>
        <v>205180</v>
      </c>
      <c r="C130" s="18" t="str">
        <f>UKG!BL127</f>
        <v>N</v>
      </c>
      <c r="D130" s="18" t="str">
        <f>UKG!BL127</f>
        <v>N</v>
      </c>
      <c r="H130" s="18" t="str">
        <f>UKG!BL127</f>
        <v>N</v>
      </c>
      <c r="I130" s="18" t="str">
        <f>UKG!BL127</f>
        <v>N</v>
      </c>
      <c r="J130" s="18" t="str">
        <f>UKG!BL127</f>
        <v>N</v>
      </c>
      <c r="R130" s="18" t="str">
        <f>UKG!AZ127</f>
        <v>205095</v>
      </c>
      <c r="S130" s="18" t="str">
        <f>UKG!AZ127</f>
        <v>205095</v>
      </c>
      <c r="AC130" s="18" t="str">
        <f>UKG!BL127</f>
        <v>N</v>
      </c>
      <c r="AD130" s="18" t="s">
        <v>1201</v>
      </c>
    </row>
    <row r="131" spans="1:30" ht="16" thickBot="1" x14ac:dyDescent="0.25">
      <c r="A131" s="39" t="s">
        <v>1528</v>
      </c>
      <c r="B131" s="77" t="str">
        <f>UKG!D128</f>
        <v>205122</v>
      </c>
      <c r="C131" s="18" t="str">
        <f>UKG!BL128</f>
        <v>N</v>
      </c>
      <c r="D131" s="18" t="str">
        <f>UKG!BL128</f>
        <v>N</v>
      </c>
      <c r="H131" s="18" t="str">
        <f>UKG!BL128</f>
        <v>N</v>
      </c>
      <c r="I131" s="18" t="str">
        <f>UKG!BL128</f>
        <v>N</v>
      </c>
      <c r="J131" s="18" t="str">
        <f>UKG!BL128</f>
        <v>N</v>
      </c>
      <c r="R131" s="18" t="str">
        <f>UKG!AZ128</f>
        <v>205058</v>
      </c>
      <c r="S131" s="18" t="str">
        <f>UKG!AZ128</f>
        <v>205058</v>
      </c>
      <c r="AC131" s="18" t="str">
        <f>UKG!BL128</f>
        <v>N</v>
      </c>
      <c r="AD131" s="18" t="s">
        <v>1201</v>
      </c>
    </row>
    <row r="132" spans="1:30" ht="16" thickBot="1" x14ac:dyDescent="0.25">
      <c r="A132" s="39" t="s">
        <v>1528</v>
      </c>
      <c r="B132" s="77" t="str">
        <f>UKG!D129</f>
        <v>205302</v>
      </c>
      <c r="C132" s="18" t="str">
        <f>UKG!BL129</f>
        <v>N</v>
      </c>
      <c r="D132" s="18" t="str">
        <f>UKG!BL129</f>
        <v>N</v>
      </c>
      <c r="H132" s="18" t="str">
        <f>UKG!BL129</f>
        <v>N</v>
      </c>
      <c r="I132" s="18" t="str">
        <f>UKG!BL129</f>
        <v>N</v>
      </c>
      <c r="J132" s="18" t="str">
        <f>UKG!BL129</f>
        <v>N</v>
      </c>
      <c r="R132" s="18" t="str">
        <f>UKG!AZ129</f>
        <v>205377</v>
      </c>
      <c r="S132" s="18" t="str">
        <f>UKG!AZ129</f>
        <v>205377</v>
      </c>
      <c r="AC132" s="18" t="str">
        <f>UKG!BL129</f>
        <v>N</v>
      </c>
      <c r="AD132" s="18" t="s">
        <v>1201</v>
      </c>
    </row>
    <row r="133" spans="1:30" ht="16" thickBot="1" x14ac:dyDescent="0.25">
      <c r="A133" s="39" t="s">
        <v>1528</v>
      </c>
      <c r="B133" s="77" t="str">
        <f>UKG!D130</f>
        <v>205190</v>
      </c>
      <c r="C133" s="18" t="str">
        <f>UKG!BL130</f>
        <v>N</v>
      </c>
      <c r="D133" s="18" t="str">
        <f>UKG!BL130</f>
        <v>N</v>
      </c>
      <c r="H133" s="18" t="str">
        <f>UKG!BL130</f>
        <v>N</v>
      </c>
      <c r="I133" s="18" t="str">
        <f>UKG!BL130</f>
        <v>N</v>
      </c>
      <c r="J133" s="18" t="str">
        <f>UKG!BL130</f>
        <v>N</v>
      </c>
      <c r="R133" s="18" t="str">
        <f>UKG!AZ130</f>
        <v>212110</v>
      </c>
      <c r="S133" s="18" t="str">
        <f>UKG!AZ130</f>
        <v>212110</v>
      </c>
      <c r="AC133" s="18" t="str">
        <f>UKG!BL130</f>
        <v>N</v>
      </c>
      <c r="AD133" s="18" t="s">
        <v>1201</v>
      </c>
    </row>
    <row r="134" spans="1:30" ht="16" thickBot="1" x14ac:dyDescent="0.25">
      <c r="A134" s="39" t="s">
        <v>1528</v>
      </c>
      <c r="B134" s="77" t="str">
        <f>UKG!D131</f>
        <v>205198</v>
      </c>
      <c r="C134" s="18" t="str">
        <f>UKG!BL131</f>
        <v>N</v>
      </c>
      <c r="D134" s="18" t="str">
        <f>UKG!BL131</f>
        <v>N</v>
      </c>
      <c r="H134" s="18" t="str">
        <f>UKG!BL131</f>
        <v>N</v>
      </c>
      <c r="I134" s="18" t="str">
        <f>UKG!BL131</f>
        <v>N</v>
      </c>
      <c r="J134" s="18" t="str">
        <f>UKG!BL131</f>
        <v>N</v>
      </c>
      <c r="R134" s="18" t="str">
        <f>UKG!AZ131</f>
        <v>205315</v>
      </c>
      <c r="S134" s="18" t="str">
        <f>UKG!AZ131</f>
        <v>205315</v>
      </c>
      <c r="AC134" s="18" t="str">
        <f>UKG!BL131</f>
        <v>N</v>
      </c>
      <c r="AD134" s="18" t="s">
        <v>1201</v>
      </c>
    </row>
    <row r="135" spans="1:30" ht="16" thickBot="1" x14ac:dyDescent="0.25">
      <c r="A135" s="39" t="s">
        <v>1528</v>
      </c>
      <c r="B135" s="77" t="str">
        <f>UKG!D132</f>
        <v>205106</v>
      </c>
      <c r="C135" s="18" t="str">
        <f>UKG!BL132</f>
        <v>N</v>
      </c>
      <c r="D135" s="18" t="str">
        <f>UKG!BL132</f>
        <v>N</v>
      </c>
      <c r="H135" s="18" t="str">
        <f>UKG!BL132</f>
        <v>N</v>
      </c>
      <c r="I135" s="18" t="str">
        <f>UKG!BL132</f>
        <v>N</v>
      </c>
      <c r="J135" s="18" t="str">
        <f>UKG!BL132</f>
        <v>N</v>
      </c>
      <c r="R135" s="18" t="str">
        <f>UKG!AZ132</f>
        <v>213066</v>
      </c>
      <c r="S135" s="18" t="str">
        <f>UKG!AZ132</f>
        <v>213066</v>
      </c>
      <c r="AC135" s="18" t="str">
        <f>UKG!BL132</f>
        <v>N</v>
      </c>
      <c r="AD135" s="18" t="s">
        <v>1201</v>
      </c>
    </row>
    <row r="136" spans="1:30" ht="16" thickBot="1" x14ac:dyDescent="0.25">
      <c r="A136" s="39" t="s">
        <v>1528</v>
      </c>
      <c r="B136" s="77" t="str">
        <f>UKG!D133</f>
        <v>205311</v>
      </c>
      <c r="C136" s="18" t="str">
        <f>UKG!BL133</f>
        <v>N</v>
      </c>
      <c r="D136" s="18" t="str">
        <f>UKG!BL133</f>
        <v>N</v>
      </c>
      <c r="H136" s="18" t="str">
        <f>UKG!BL133</f>
        <v>N</v>
      </c>
      <c r="I136" s="18" t="str">
        <f>UKG!BL133</f>
        <v>N</v>
      </c>
      <c r="J136" s="18" t="str">
        <f>UKG!BL133</f>
        <v>N</v>
      </c>
      <c r="R136" s="18" t="str">
        <f>UKG!AZ133</f>
        <v>212110</v>
      </c>
      <c r="S136" s="18" t="str">
        <f>UKG!AZ133</f>
        <v>212110</v>
      </c>
      <c r="AC136" s="18" t="str">
        <f>UKG!BL133</f>
        <v>N</v>
      </c>
      <c r="AD136" s="18" t="s">
        <v>1201</v>
      </c>
    </row>
    <row r="137" spans="1:30" ht="16" thickBot="1" x14ac:dyDescent="0.25">
      <c r="A137" s="39" t="s">
        <v>1528</v>
      </c>
      <c r="B137" s="77" t="str">
        <f>UKG!D134</f>
        <v>205347</v>
      </c>
      <c r="C137" s="18" t="str">
        <f>UKG!BL134</f>
        <v>N</v>
      </c>
      <c r="D137" s="18" t="str">
        <f>UKG!BL134</f>
        <v>N</v>
      </c>
      <c r="H137" s="18" t="str">
        <f>UKG!BL134</f>
        <v>N</v>
      </c>
      <c r="I137" s="18" t="str">
        <f>UKG!BL134</f>
        <v>N</v>
      </c>
      <c r="J137" s="18" t="str">
        <f>UKG!BL134</f>
        <v>N</v>
      </c>
      <c r="R137" s="18" t="str">
        <f>UKG!AZ134</f>
        <v>205058</v>
      </c>
      <c r="S137" s="18" t="str">
        <f>UKG!AZ134</f>
        <v>205058</v>
      </c>
      <c r="AC137" s="18" t="str">
        <f>UKG!BL134</f>
        <v>N</v>
      </c>
      <c r="AD137" s="18" t="s">
        <v>1201</v>
      </c>
    </row>
    <row r="138" spans="1:30" ht="16" thickBot="1" x14ac:dyDescent="0.25">
      <c r="A138" s="39" t="s">
        <v>1528</v>
      </c>
      <c r="B138" s="77" t="str">
        <f>UKG!D135</f>
        <v>205119</v>
      </c>
      <c r="C138" s="18" t="str">
        <f>UKG!BL135</f>
        <v>N</v>
      </c>
      <c r="D138" s="18" t="str">
        <f>UKG!BL135</f>
        <v>N</v>
      </c>
      <c r="H138" s="18" t="str">
        <f>UKG!BL135</f>
        <v>N</v>
      </c>
      <c r="I138" s="18" t="str">
        <f>UKG!BL135</f>
        <v>N</v>
      </c>
      <c r="J138" s="18" t="str">
        <f>UKG!BL135</f>
        <v>N</v>
      </c>
      <c r="R138" s="18" t="str">
        <f>UKG!AZ135</f>
        <v>205058</v>
      </c>
      <c r="S138" s="18" t="str">
        <f>UKG!AZ135</f>
        <v>205058</v>
      </c>
      <c r="AC138" s="18" t="str">
        <f>UKG!BL135</f>
        <v>N</v>
      </c>
      <c r="AD138" s="18" t="s">
        <v>1201</v>
      </c>
    </row>
    <row r="139" spans="1:30" ht="16" thickBot="1" x14ac:dyDescent="0.25">
      <c r="A139" s="39" t="s">
        <v>1528</v>
      </c>
      <c r="B139" s="77" t="str">
        <f>UKG!D136</f>
        <v>205175</v>
      </c>
      <c r="C139" s="18" t="str">
        <f>UKG!BL136</f>
        <v>N</v>
      </c>
      <c r="D139" s="18" t="str">
        <f>UKG!BL136</f>
        <v>N</v>
      </c>
      <c r="H139" s="18" t="str">
        <f>UKG!BL136</f>
        <v>N</v>
      </c>
      <c r="I139" s="18" t="str">
        <f>UKG!BL136</f>
        <v>N</v>
      </c>
      <c r="J139" s="18" t="str">
        <f>UKG!BL136</f>
        <v>N</v>
      </c>
      <c r="R139" s="18" t="str">
        <f>UKG!AZ136</f>
        <v>205058</v>
      </c>
      <c r="S139" s="18" t="str">
        <f>UKG!AZ136</f>
        <v>205058</v>
      </c>
      <c r="AC139" s="18" t="str">
        <f>UKG!BL136</f>
        <v>N</v>
      </c>
      <c r="AD139" s="18" t="s">
        <v>1201</v>
      </c>
    </row>
    <row r="140" spans="1:30" ht="16" thickBot="1" x14ac:dyDescent="0.25">
      <c r="A140" s="39" t="s">
        <v>1528</v>
      </c>
      <c r="B140" s="77" t="str">
        <f>UKG!D137</f>
        <v>205268</v>
      </c>
      <c r="C140" s="18" t="str">
        <f>UKG!BL137</f>
        <v>N</v>
      </c>
      <c r="D140" s="18" t="str">
        <f>UKG!BL137</f>
        <v>N</v>
      </c>
      <c r="H140" s="18" t="str">
        <f>UKG!BL137</f>
        <v>N</v>
      </c>
      <c r="I140" s="18" t="str">
        <f>UKG!BL137</f>
        <v>N</v>
      </c>
      <c r="J140" s="18" t="str">
        <f>UKG!BL137</f>
        <v>N</v>
      </c>
      <c r="R140" s="18" t="str">
        <f>UKG!AZ137</f>
        <v>213066</v>
      </c>
      <c r="S140" s="18" t="str">
        <f>UKG!AZ137</f>
        <v>213066</v>
      </c>
      <c r="AC140" s="18" t="str">
        <f>UKG!BL137</f>
        <v>N</v>
      </c>
      <c r="AD140" s="18" t="s">
        <v>1201</v>
      </c>
    </row>
    <row r="141" spans="1:30" ht="16" thickBot="1" x14ac:dyDescent="0.25">
      <c r="A141" s="39" t="s">
        <v>1528</v>
      </c>
      <c r="B141" s="77" t="str">
        <f>UKG!D138</f>
        <v>205281</v>
      </c>
      <c r="C141" s="18" t="str">
        <f>UKG!BL138</f>
        <v>N</v>
      </c>
      <c r="D141" s="18" t="str">
        <f>UKG!BL138</f>
        <v>N</v>
      </c>
      <c r="H141" s="18" t="str">
        <f>UKG!BL138</f>
        <v>N</v>
      </c>
      <c r="I141" s="18" t="str">
        <f>UKG!BL138</f>
        <v>N</v>
      </c>
      <c r="J141" s="18" t="str">
        <f>UKG!BL138</f>
        <v>N</v>
      </c>
      <c r="R141" s="18" t="str">
        <f>UKG!AZ138</f>
        <v>213066</v>
      </c>
      <c r="S141" s="18" t="str">
        <f>UKG!AZ138</f>
        <v>213066</v>
      </c>
      <c r="AC141" s="18" t="str">
        <f>UKG!BL138</f>
        <v>N</v>
      </c>
      <c r="AD141" s="18" t="s">
        <v>1201</v>
      </c>
    </row>
    <row r="142" spans="1:30" ht="16" thickBot="1" x14ac:dyDescent="0.25">
      <c r="A142" s="39" t="s">
        <v>1528</v>
      </c>
      <c r="B142" s="77" t="str">
        <f>UKG!D139</f>
        <v>209256</v>
      </c>
      <c r="C142" s="18" t="str">
        <f>UKG!BL139</f>
        <v>N</v>
      </c>
      <c r="D142" s="18" t="str">
        <f>UKG!BL139</f>
        <v>N</v>
      </c>
      <c r="H142" s="18" t="str">
        <f>UKG!BL139</f>
        <v>N</v>
      </c>
      <c r="I142" s="18" t="str">
        <f>UKG!BL139</f>
        <v>N</v>
      </c>
      <c r="J142" s="18" t="str">
        <f>UKG!BL139</f>
        <v>N</v>
      </c>
      <c r="R142" s="18" t="str">
        <f>UKG!AZ139</f>
        <v>205315</v>
      </c>
      <c r="S142" s="18" t="str">
        <f>UKG!AZ139</f>
        <v>205315</v>
      </c>
      <c r="AC142" s="18" t="str">
        <f>UKG!BL139</f>
        <v>N</v>
      </c>
      <c r="AD142" s="18" t="s">
        <v>1201</v>
      </c>
    </row>
    <row r="143" spans="1:30" ht="16" thickBot="1" x14ac:dyDescent="0.25">
      <c r="A143" s="39" t="s">
        <v>1528</v>
      </c>
      <c r="B143" s="77" t="str">
        <f>UKG!D140</f>
        <v>205186</v>
      </c>
      <c r="C143" s="18" t="str">
        <f>UKG!BL140</f>
        <v>N</v>
      </c>
      <c r="D143" s="18" t="str">
        <f>UKG!BL140</f>
        <v>N</v>
      </c>
      <c r="H143" s="18" t="str">
        <f>UKG!BL140</f>
        <v>N</v>
      </c>
      <c r="I143" s="18" t="str">
        <f>UKG!BL140</f>
        <v>N</v>
      </c>
      <c r="J143" s="18" t="str">
        <f>UKG!BL140</f>
        <v>N</v>
      </c>
      <c r="R143" s="18" t="str">
        <f>UKG!AZ140</f>
        <v>212110</v>
      </c>
      <c r="S143" s="18" t="str">
        <f>UKG!AZ140</f>
        <v>212110</v>
      </c>
      <c r="AC143" s="18" t="str">
        <f>UKG!BL140</f>
        <v>N</v>
      </c>
      <c r="AD143" s="18" t="s">
        <v>1201</v>
      </c>
    </row>
    <row r="144" spans="1:30" ht="16" thickBot="1" x14ac:dyDescent="0.25">
      <c r="A144" s="39" t="s">
        <v>1528</v>
      </c>
      <c r="B144" s="77" t="str">
        <f>UKG!D141</f>
        <v>205322</v>
      </c>
      <c r="C144" s="18" t="str">
        <f>UKG!BL141</f>
        <v>N</v>
      </c>
      <c r="D144" s="18" t="str">
        <f>UKG!BL141</f>
        <v>N</v>
      </c>
      <c r="H144" s="18" t="str">
        <f>UKG!BL141</f>
        <v>N</v>
      </c>
      <c r="I144" s="18" t="str">
        <f>UKG!BL141</f>
        <v>N</v>
      </c>
      <c r="J144" s="18" t="str">
        <f>UKG!BL141</f>
        <v>N</v>
      </c>
      <c r="R144" s="18" t="str">
        <f>UKG!AZ141</f>
        <v>205383</v>
      </c>
      <c r="S144" s="18" t="str">
        <f>UKG!AZ141</f>
        <v>205383</v>
      </c>
      <c r="AC144" s="18" t="str">
        <f>UKG!BL141</f>
        <v>N</v>
      </c>
      <c r="AD144" s="18" t="s">
        <v>1201</v>
      </c>
    </row>
    <row r="145" spans="1:30" ht="16" thickBot="1" x14ac:dyDescent="0.25">
      <c r="A145" s="39" t="s">
        <v>1528</v>
      </c>
      <c r="B145" s="77" t="str">
        <f>UKG!D142</f>
        <v>205149</v>
      </c>
      <c r="C145" s="18" t="str">
        <f>UKG!BL142</f>
        <v>N</v>
      </c>
      <c r="D145" s="18" t="str">
        <f>UKG!BL142</f>
        <v>N</v>
      </c>
      <c r="H145" s="18" t="str">
        <f>UKG!BL142</f>
        <v>N</v>
      </c>
      <c r="I145" s="18" t="str">
        <f>UKG!BL142</f>
        <v>N</v>
      </c>
      <c r="J145" s="18" t="str">
        <f>UKG!BL142</f>
        <v>N</v>
      </c>
      <c r="R145" s="18" t="str">
        <f>UKG!AZ142</f>
        <v>205116</v>
      </c>
      <c r="S145" s="18" t="str">
        <f>UKG!AZ142</f>
        <v>205116</v>
      </c>
      <c r="AC145" s="18" t="str">
        <f>UKG!BL142</f>
        <v>N</v>
      </c>
      <c r="AD145" s="18" t="s">
        <v>1201</v>
      </c>
    </row>
    <row r="146" spans="1:30" ht="16" thickBot="1" x14ac:dyDescent="0.25">
      <c r="A146" s="39" t="s">
        <v>1528</v>
      </c>
      <c r="B146" s="77" t="str">
        <f>UKG!D143</f>
        <v>205170</v>
      </c>
      <c r="C146" s="18" t="str">
        <f>UKG!BL143</f>
        <v>N</v>
      </c>
      <c r="D146" s="18" t="str">
        <f>UKG!BL143</f>
        <v>N</v>
      </c>
      <c r="H146" s="18" t="str">
        <f>UKG!BL143</f>
        <v>N</v>
      </c>
      <c r="I146" s="18" t="str">
        <f>UKG!BL143</f>
        <v>N</v>
      </c>
      <c r="J146" s="18" t="str">
        <f>UKG!BL143</f>
        <v>N</v>
      </c>
      <c r="R146" s="18" t="str">
        <f>UKG!AZ143</f>
        <v>205383</v>
      </c>
      <c r="S146" s="18" t="str">
        <f>UKG!AZ143</f>
        <v>205383</v>
      </c>
      <c r="AC146" s="18" t="str">
        <f>UKG!BL143</f>
        <v>N</v>
      </c>
      <c r="AD146" s="18" t="s">
        <v>1201</v>
      </c>
    </row>
    <row r="147" spans="1:30" ht="16" thickBot="1" x14ac:dyDescent="0.25">
      <c r="A147" s="39" t="s">
        <v>1528</v>
      </c>
      <c r="B147" s="77" t="str">
        <f>UKG!D144</f>
        <v>205139</v>
      </c>
      <c r="C147" s="18" t="str">
        <f>UKG!BL144</f>
        <v>N</v>
      </c>
      <c r="D147" s="18" t="str">
        <f>UKG!BL144</f>
        <v>N</v>
      </c>
      <c r="H147" s="18" t="str">
        <f>UKG!BL144</f>
        <v>N</v>
      </c>
      <c r="I147" s="18" t="str">
        <f>UKG!BL144</f>
        <v>N</v>
      </c>
      <c r="J147" s="18" t="str">
        <f>UKG!BL144</f>
        <v>N</v>
      </c>
      <c r="R147" s="18" t="str">
        <f>UKG!AZ144</f>
        <v>205116</v>
      </c>
      <c r="S147" s="18" t="str">
        <f>UKG!AZ144</f>
        <v>205116</v>
      </c>
      <c r="AC147" s="18" t="str">
        <f>UKG!BL144</f>
        <v>N</v>
      </c>
      <c r="AD147" s="18" t="s">
        <v>1201</v>
      </c>
    </row>
    <row r="148" spans="1:30" ht="16" thickBot="1" x14ac:dyDescent="0.25">
      <c r="A148" s="39" t="s">
        <v>1528</v>
      </c>
      <c r="B148" s="77" t="str">
        <f>UKG!D145</f>
        <v>205108</v>
      </c>
      <c r="C148" s="18" t="str">
        <f>UKG!BL145</f>
        <v>N</v>
      </c>
      <c r="D148" s="18" t="str">
        <f>UKG!BL145</f>
        <v>N</v>
      </c>
      <c r="H148" s="18" t="str">
        <f>UKG!BL145</f>
        <v>N</v>
      </c>
      <c r="I148" s="18" t="str">
        <f>UKG!BL145</f>
        <v>N</v>
      </c>
      <c r="J148" s="18" t="str">
        <f>UKG!BL145</f>
        <v>N</v>
      </c>
      <c r="R148" s="18" t="str">
        <f>UKG!AZ145</f>
        <v>213066</v>
      </c>
      <c r="S148" s="18" t="str">
        <f>UKG!AZ145</f>
        <v>213066</v>
      </c>
      <c r="AC148" s="18" t="str">
        <f>UKG!BL145</f>
        <v>N</v>
      </c>
      <c r="AD148" s="18" t="s">
        <v>1201</v>
      </c>
    </row>
    <row r="149" spans="1:30" ht="16" thickBot="1" x14ac:dyDescent="0.25">
      <c r="A149" s="39" t="s">
        <v>1528</v>
      </c>
      <c r="B149" s="77" t="str">
        <f>UKG!D146</f>
        <v>205254</v>
      </c>
      <c r="C149" s="18" t="str">
        <f>UKG!BL146</f>
        <v>N</v>
      </c>
      <c r="D149" s="18" t="str">
        <f>UKG!BL146</f>
        <v>N</v>
      </c>
      <c r="H149" s="18" t="str">
        <f>UKG!BL146</f>
        <v>N</v>
      </c>
      <c r="I149" s="18" t="str">
        <f>UKG!BL146</f>
        <v>N</v>
      </c>
      <c r="J149" s="18" t="str">
        <f>UKG!BL146</f>
        <v>N</v>
      </c>
      <c r="R149" s="18" t="str">
        <f>UKG!AZ146</f>
        <v>212110</v>
      </c>
      <c r="S149" s="18" t="str">
        <f>UKG!AZ146</f>
        <v>212110</v>
      </c>
      <c r="AC149" s="18" t="str">
        <f>UKG!BL146</f>
        <v>N</v>
      </c>
      <c r="AD149" s="18" t="s">
        <v>1201</v>
      </c>
    </row>
    <row r="150" spans="1:30" ht="16" thickBot="1" x14ac:dyDescent="0.25">
      <c r="A150" s="39" t="s">
        <v>1528</v>
      </c>
      <c r="B150" s="77" t="str">
        <f>UKG!D147</f>
        <v>205098</v>
      </c>
      <c r="C150" s="18" t="str">
        <f>UKG!BL147</f>
        <v>N</v>
      </c>
      <c r="D150" s="18" t="str">
        <f>UKG!BL147</f>
        <v>N</v>
      </c>
      <c r="H150" s="18" t="str">
        <f>UKG!BL147</f>
        <v>N</v>
      </c>
      <c r="I150" s="18" t="str">
        <f>UKG!BL147</f>
        <v>N</v>
      </c>
      <c r="J150" s="18" t="str">
        <f>UKG!BL147</f>
        <v>N</v>
      </c>
      <c r="R150" s="18" t="str">
        <f>UKG!AZ147</f>
        <v>213066</v>
      </c>
      <c r="S150" s="18" t="str">
        <f>UKG!AZ147</f>
        <v>213066</v>
      </c>
      <c r="AC150" s="18" t="str">
        <f>UKG!BL147</f>
        <v>N</v>
      </c>
      <c r="AD150" s="18" t="s">
        <v>1201</v>
      </c>
    </row>
    <row r="151" spans="1:30" ht="16" thickBot="1" x14ac:dyDescent="0.25">
      <c r="A151" s="39" t="s">
        <v>1528</v>
      </c>
      <c r="B151" s="77" t="str">
        <f>UKG!D148</f>
        <v>205164</v>
      </c>
      <c r="C151" s="18" t="str">
        <f>UKG!BL148</f>
        <v>N</v>
      </c>
      <c r="D151" s="18" t="str">
        <f>UKG!BL148</f>
        <v>N</v>
      </c>
      <c r="H151" s="18" t="str">
        <f>UKG!BL148</f>
        <v>N</v>
      </c>
      <c r="I151" s="18" t="str">
        <f>UKG!BL148</f>
        <v>N</v>
      </c>
      <c r="J151" s="18" t="str">
        <f>UKG!BL148</f>
        <v>N</v>
      </c>
      <c r="R151" s="18" t="str">
        <f>UKG!AZ148</f>
        <v>205383</v>
      </c>
      <c r="S151" s="18" t="str">
        <f>UKG!AZ148</f>
        <v>205383</v>
      </c>
      <c r="AC151" s="18" t="str">
        <f>UKG!BL148</f>
        <v>N</v>
      </c>
      <c r="AD151" s="18" t="s">
        <v>1201</v>
      </c>
    </row>
    <row r="152" spans="1:30" ht="16" thickBot="1" x14ac:dyDescent="0.25">
      <c r="A152" s="39" t="s">
        <v>1528</v>
      </c>
      <c r="B152" s="77" t="str">
        <f>UKG!D149</f>
        <v>205102</v>
      </c>
      <c r="C152" s="18" t="str">
        <f>UKG!BL149</f>
        <v>N</v>
      </c>
      <c r="D152" s="18" t="str">
        <f>UKG!BL149</f>
        <v>N</v>
      </c>
      <c r="H152" s="18" t="str">
        <f>UKG!BL149</f>
        <v>N</v>
      </c>
      <c r="I152" s="18" t="str">
        <f>UKG!BL149</f>
        <v>N</v>
      </c>
      <c r="J152" s="18" t="str">
        <f>UKG!BL149</f>
        <v>N</v>
      </c>
      <c r="R152" s="18" t="str">
        <f>UKG!AZ149</f>
        <v>213460</v>
      </c>
      <c r="S152" s="18" t="str">
        <f>UKG!AZ149</f>
        <v>213460</v>
      </c>
      <c r="AC152" s="18" t="str">
        <f>UKG!BL149</f>
        <v>N</v>
      </c>
      <c r="AD152" s="18" t="s">
        <v>1201</v>
      </c>
    </row>
    <row r="153" spans="1:30" ht="16" thickBot="1" x14ac:dyDescent="0.25">
      <c r="A153" s="39" t="s">
        <v>1528</v>
      </c>
      <c r="B153" s="77" t="str">
        <f>UKG!D150</f>
        <v>205239</v>
      </c>
      <c r="C153" s="18" t="str">
        <f>UKG!BL150</f>
        <v>N</v>
      </c>
      <c r="D153" s="18" t="str">
        <f>UKG!BL150</f>
        <v>N</v>
      </c>
      <c r="H153" s="18" t="str">
        <f>UKG!BL150</f>
        <v>N</v>
      </c>
      <c r="I153" s="18" t="str">
        <f>UKG!BL150</f>
        <v>N</v>
      </c>
      <c r="J153" s="18" t="str">
        <f>UKG!BL150</f>
        <v>N</v>
      </c>
      <c r="R153" s="18" t="str">
        <f>UKG!AZ150</f>
        <v>212110</v>
      </c>
      <c r="S153" s="18" t="str">
        <f>UKG!AZ150</f>
        <v>212110</v>
      </c>
      <c r="AC153" s="18" t="str">
        <f>UKG!BL150</f>
        <v>N</v>
      </c>
      <c r="AD153" s="18" t="s">
        <v>1201</v>
      </c>
    </row>
    <row r="154" spans="1:30" ht="16" thickBot="1" x14ac:dyDescent="0.25">
      <c r="A154" s="39" t="s">
        <v>1528</v>
      </c>
      <c r="B154" s="77" t="str">
        <f>UKG!D151</f>
        <v>205328</v>
      </c>
      <c r="C154" s="18" t="str">
        <f>UKG!BL151</f>
        <v>N</v>
      </c>
      <c r="D154" s="18" t="str">
        <f>UKG!BL151</f>
        <v>N</v>
      </c>
      <c r="H154" s="18" t="str">
        <f>UKG!BL151</f>
        <v>N</v>
      </c>
      <c r="I154" s="18" t="str">
        <f>UKG!BL151</f>
        <v>N</v>
      </c>
      <c r="J154" s="18" t="str">
        <f>UKG!BL151</f>
        <v>N</v>
      </c>
      <c r="R154" s="18" t="str">
        <f>UKG!AZ151</f>
        <v>205315</v>
      </c>
      <c r="S154" s="18" t="str">
        <f>UKG!AZ151</f>
        <v>205315</v>
      </c>
      <c r="AC154" s="18" t="str">
        <f>UKG!BL151</f>
        <v>N</v>
      </c>
      <c r="AD154" s="18" t="s">
        <v>1201</v>
      </c>
    </row>
    <row r="155" spans="1:30" ht="16" thickBot="1" x14ac:dyDescent="0.25">
      <c r="A155" s="39" t="s">
        <v>1528</v>
      </c>
      <c r="B155" s="77" t="str">
        <f>UKG!D152</f>
        <v>205274</v>
      </c>
      <c r="C155" s="18" t="str">
        <f>UKG!BL152</f>
        <v>N</v>
      </c>
      <c r="D155" s="18" t="str">
        <f>UKG!BL152</f>
        <v>N</v>
      </c>
      <c r="H155" s="18" t="str">
        <f>UKG!BL152</f>
        <v>N</v>
      </c>
      <c r="I155" s="18" t="str">
        <f>UKG!BL152</f>
        <v>N</v>
      </c>
      <c r="J155" s="18" t="str">
        <f>UKG!BL152</f>
        <v>N</v>
      </c>
      <c r="R155" s="18" t="str">
        <f>UKG!AZ152</f>
        <v>213460</v>
      </c>
      <c r="S155" s="18" t="str">
        <f>UKG!AZ152</f>
        <v>213460</v>
      </c>
      <c r="AC155" s="18" t="str">
        <f>UKG!BL152</f>
        <v>N</v>
      </c>
      <c r="AD155" s="18" t="s">
        <v>1201</v>
      </c>
    </row>
    <row r="156" spans="1:30" ht="16" thickBot="1" x14ac:dyDescent="0.25">
      <c r="A156" s="39" t="s">
        <v>1528</v>
      </c>
      <c r="B156" s="77" t="str">
        <f>UKG!D153</f>
        <v>205273</v>
      </c>
      <c r="C156" s="18" t="str">
        <f>UKG!BL153</f>
        <v>N</v>
      </c>
      <c r="D156" s="18" t="str">
        <f>UKG!BL153</f>
        <v>N</v>
      </c>
      <c r="H156" s="18" t="str">
        <f>UKG!BL153</f>
        <v>N</v>
      </c>
      <c r="I156" s="18" t="str">
        <f>UKG!BL153</f>
        <v>N</v>
      </c>
      <c r="J156" s="18" t="str">
        <f>UKG!BL153</f>
        <v>N</v>
      </c>
      <c r="R156" s="18" t="str">
        <f>UKG!AZ153</f>
        <v>205380</v>
      </c>
      <c r="S156" s="18" t="str">
        <f>UKG!AZ153</f>
        <v>205380</v>
      </c>
      <c r="AC156" s="18" t="str">
        <f>UKG!BL153</f>
        <v>N</v>
      </c>
      <c r="AD156" s="18" t="s">
        <v>1201</v>
      </c>
    </row>
    <row r="157" spans="1:30" ht="16" thickBot="1" x14ac:dyDescent="0.25">
      <c r="A157" s="39" t="s">
        <v>1528</v>
      </c>
      <c r="B157" s="77" t="str">
        <f>UKG!D154</f>
        <v>207159</v>
      </c>
      <c r="C157" s="18" t="str">
        <f>UKG!BL154</f>
        <v>N</v>
      </c>
      <c r="D157" s="18" t="str">
        <f>UKG!BL154</f>
        <v>N</v>
      </c>
      <c r="H157" s="18" t="str">
        <f>UKG!BL154</f>
        <v>N</v>
      </c>
      <c r="I157" s="18" t="str">
        <f>UKG!BL154</f>
        <v>N</v>
      </c>
      <c r="J157" s="18" t="str">
        <f>UKG!BL154</f>
        <v>N</v>
      </c>
      <c r="R157" s="18" t="str">
        <f>UKG!AZ154</f>
        <v>205315</v>
      </c>
      <c r="S157" s="18" t="str">
        <f>UKG!AZ154</f>
        <v>205315</v>
      </c>
      <c r="AC157" s="18" t="str">
        <f>UKG!BL154</f>
        <v>N</v>
      </c>
      <c r="AD157" s="18" t="s">
        <v>1201</v>
      </c>
    </row>
    <row r="158" spans="1:30" ht="16" thickBot="1" x14ac:dyDescent="0.25">
      <c r="A158" s="39" t="s">
        <v>1528</v>
      </c>
      <c r="B158" s="77" t="str">
        <f>UKG!D155</f>
        <v>205232</v>
      </c>
      <c r="C158" s="18" t="str">
        <f>UKG!BL155</f>
        <v>N</v>
      </c>
      <c r="D158" s="18" t="str">
        <f>UKG!BL155</f>
        <v>N</v>
      </c>
      <c r="H158" s="18" t="str">
        <f>UKG!BL155</f>
        <v>N</v>
      </c>
      <c r="I158" s="18" t="str">
        <f>UKG!BL155</f>
        <v>N</v>
      </c>
      <c r="J158" s="18" t="str">
        <f>UKG!BL155</f>
        <v>N</v>
      </c>
      <c r="R158" s="18" t="str">
        <f>UKG!AZ155</f>
        <v>205380</v>
      </c>
      <c r="S158" s="18" t="str">
        <f>UKG!AZ155</f>
        <v>205380</v>
      </c>
      <c r="AC158" s="18" t="str">
        <f>UKG!BL155</f>
        <v>N</v>
      </c>
      <c r="AD158" s="18" t="s">
        <v>1201</v>
      </c>
    </row>
    <row r="159" spans="1:30" ht="16" thickBot="1" x14ac:dyDescent="0.25">
      <c r="A159" s="39" t="s">
        <v>1528</v>
      </c>
      <c r="B159" s="77" t="str">
        <f>UKG!D156</f>
        <v>205107</v>
      </c>
      <c r="C159" s="18" t="str">
        <f>UKG!BL156</f>
        <v>N</v>
      </c>
      <c r="D159" s="18" t="str">
        <f>UKG!BL156</f>
        <v>N</v>
      </c>
      <c r="H159" s="18" t="str">
        <f>UKG!BL156</f>
        <v>N</v>
      </c>
      <c r="I159" s="18" t="str">
        <f>UKG!BL156</f>
        <v>N</v>
      </c>
      <c r="J159" s="18" t="str">
        <f>UKG!BL156</f>
        <v>N</v>
      </c>
      <c r="R159" s="18" t="str">
        <f>UKG!AZ156</f>
        <v>213066</v>
      </c>
      <c r="S159" s="18" t="str">
        <f>UKG!AZ156</f>
        <v>213066</v>
      </c>
      <c r="AC159" s="18" t="str">
        <f>UKG!BL156</f>
        <v>N</v>
      </c>
      <c r="AD159" s="18" t="s">
        <v>1201</v>
      </c>
    </row>
    <row r="160" spans="1:30" ht="16" thickBot="1" x14ac:dyDescent="0.25">
      <c r="A160" s="39" t="s">
        <v>1528</v>
      </c>
      <c r="B160" s="77" t="str">
        <f>UKG!D157</f>
        <v>205125</v>
      </c>
      <c r="C160" s="18" t="str">
        <f>UKG!BL157</f>
        <v>N</v>
      </c>
      <c r="D160" s="18" t="str">
        <f>UKG!BL157</f>
        <v>N</v>
      </c>
      <c r="H160" s="18" t="str">
        <f>UKG!BL157</f>
        <v>N</v>
      </c>
      <c r="I160" s="18" t="str">
        <f>UKG!BL157</f>
        <v>N</v>
      </c>
      <c r="J160" s="18" t="str">
        <f>UKG!BL157</f>
        <v>N</v>
      </c>
      <c r="R160" s="18" t="str">
        <f>UKG!AZ157</f>
        <v>205380</v>
      </c>
      <c r="S160" s="18" t="str">
        <f>UKG!AZ157</f>
        <v>205380</v>
      </c>
      <c r="AC160" s="18" t="str">
        <f>UKG!BL157</f>
        <v>N</v>
      </c>
      <c r="AD160" s="18" t="s">
        <v>1201</v>
      </c>
    </row>
    <row r="161" spans="1:30" ht="16" thickBot="1" x14ac:dyDescent="0.25">
      <c r="A161" s="39" t="s">
        <v>1528</v>
      </c>
      <c r="B161" s="77" t="str">
        <f>UKG!D158</f>
        <v>205191</v>
      </c>
      <c r="C161" s="18" t="str">
        <f>UKG!BL158</f>
        <v>N</v>
      </c>
      <c r="D161" s="18" t="str">
        <f>UKG!BL158</f>
        <v>N</v>
      </c>
      <c r="H161" s="18" t="str">
        <f>UKG!BL158</f>
        <v>N</v>
      </c>
      <c r="I161" s="18" t="str">
        <f>UKG!BL158</f>
        <v>N</v>
      </c>
      <c r="J161" s="18" t="str">
        <f>UKG!BL158</f>
        <v>N</v>
      </c>
      <c r="R161" s="18" t="str">
        <f>UKG!AZ158</f>
        <v>205315</v>
      </c>
      <c r="S161" s="18" t="str">
        <f>UKG!AZ158</f>
        <v>205315</v>
      </c>
      <c r="AC161" s="18" t="str">
        <f>UKG!BL158</f>
        <v>N</v>
      </c>
      <c r="AD161" s="18" t="s">
        <v>1201</v>
      </c>
    </row>
    <row r="162" spans="1:30" ht="16" thickBot="1" x14ac:dyDescent="0.25">
      <c r="A162" s="39" t="s">
        <v>1528</v>
      </c>
      <c r="B162" s="77" t="str">
        <f>UKG!D159</f>
        <v>205253</v>
      </c>
      <c r="C162" s="18" t="str">
        <f>UKG!BL159</f>
        <v>N</v>
      </c>
      <c r="D162" s="18" t="str">
        <f>UKG!BL159</f>
        <v>N</v>
      </c>
      <c r="H162" s="18" t="str">
        <f>UKG!BL159</f>
        <v>N</v>
      </c>
      <c r="I162" s="18" t="str">
        <f>UKG!BL159</f>
        <v>N</v>
      </c>
      <c r="J162" s="18" t="str">
        <f>UKG!BL159</f>
        <v>N</v>
      </c>
      <c r="R162" s="18" t="str">
        <f>UKG!AZ159</f>
        <v>212110</v>
      </c>
      <c r="S162" s="18" t="str">
        <f>UKG!AZ159</f>
        <v>212110</v>
      </c>
      <c r="AC162" s="18" t="str">
        <f>UKG!BL159</f>
        <v>N</v>
      </c>
      <c r="AD162" s="18" t="s">
        <v>1201</v>
      </c>
    </row>
    <row r="163" spans="1:30" ht="16" thickBot="1" x14ac:dyDescent="0.25">
      <c r="A163" s="39" t="s">
        <v>1528</v>
      </c>
      <c r="B163" s="77" t="str">
        <f>UKG!D160</f>
        <v>205215</v>
      </c>
      <c r="C163" s="18" t="str">
        <f>UKG!BL160</f>
        <v>N</v>
      </c>
      <c r="D163" s="18" t="str">
        <f>UKG!BL160</f>
        <v>N</v>
      </c>
      <c r="H163" s="18" t="str">
        <f>UKG!BL160</f>
        <v>N</v>
      </c>
      <c r="I163" s="18" t="str">
        <f>UKG!BL160</f>
        <v>N</v>
      </c>
      <c r="J163" s="18" t="str">
        <f>UKG!BL160</f>
        <v>N</v>
      </c>
      <c r="R163" s="18" t="str">
        <f>UKG!AZ160</f>
        <v>205380</v>
      </c>
      <c r="S163" s="18" t="str">
        <f>UKG!AZ160</f>
        <v>205380</v>
      </c>
      <c r="AC163" s="18" t="str">
        <f>UKG!BL160</f>
        <v>N</v>
      </c>
      <c r="AD163" s="18" t="s">
        <v>1201</v>
      </c>
    </row>
    <row r="164" spans="1:30" ht="16" thickBot="1" x14ac:dyDescent="0.25">
      <c r="A164" s="39" t="s">
        <v>1528</v>
      </c>
      <c r="B164" s="77" t="str">
        <f>UKG!D161</f>
        <v>205344</v>
      </c>
      <c r="C164" s="18" t="str">
        <f>UKG!BL161</f>
        <v>N</v>
      </c>
      <c r="D164" s="18" t="str">
        <f>UKG!BL161</f>
        <v>N</v>
      </c>
      <c r="H164" s="18" t="str">
        <f>UKG!BL161</f>
        <v>N</v>
      </c>
      <c r="I164" s="18" t="str">
        <f>UKG!BL161</f>
        <v>N</v>
      </c>
      <c r="J164" s="18" t="str">
        <f>UKG!BL161</f>
        <v>N</v>
      </c>
      <c r="R164" s="18" t="str">
        <f>UKG!AZ161</f>
        <v>205116</v>
      </c>
      <c r="S164" s="18" t="str">
        <f>UKG!AZ161</f>
        <v>205116</v>
      </c>
      <c r="AC164" s="18" t="str">
        <f>UKG!BL161</f>
        <v>N</v>
      </c>
      <c r="AD164" s="18" t="s">
        <v>1201</v>
      </c>
    </row>
    <row r="165" spans="1:30" ht="16" thickBot="1" x14ac:dyDescent="0.25">
      <c r="A165" s="39" t="s">
        <v>1528</v>
      </c>
      <c r="B165" s="77" t="str">
        <f>UKG!D162</f>
        <v>205229</v>
      </c>
      <c r="C165" s="18" t="str">
        <f>UKG!BL162</f>
        <v>N</v>
      </c>
      <c r="D165" s="18" t="str">
        <f>UKG!BL162</f>
        <v>N</v>
      </c>
      <c r="H165" s="18" t="str">
        <f>UKG!BL162</f>
        <v>N</v>
      </c>
      <c r="I165" s="18" t="str">
        <f>UKG!BL162</f>
        <v>N</v>
      </c>
      <c r="J165" s="18" t="str">
        <f>UKG!BL162</f>
        <v>N</v>
      </c>
      <c r="R165" s="18" t="str">
        <f>UKG!AZ162</f>
        <v>205380</v>
      </c>
      <c r="S165" s="18" t="str">
        <f>UKG!AZ162</f>
        <v>205380</v>
      </c>
      <c r="AC165" s="18" t="str">
        <f>UKG!BL162</f>
        <v>N</v>
      </c>
      <c r="AD165" s="18" t="s">
        <v>1201</v>
      </c>
    </row>
    <row r="166" spans="1:30" ht="16" thickBot="1" x14ac:dyDescent="0.25">
      <c r="A166" s="39" t="s">
        <v>1528</v>
      </c>
      <c r="B166" s="77" t="str">
        <f>UKG!D163</f>
        <v>205163</v>
      </c>
      <c r="C166" s="18" t="str">
        <f>UKG!BL163</f>
        <v>N</v>
      </c>
      <c r="D166" s="18" t="str">
        <f>UKG!BL163</f>
        <v>N</v>
      </c>
      <c r="H166" s="18" t="str">
        <f>UKG!BL163</f>
        <v>N</v>
      </c>
      <c r="I166" s="18" t="str">
        <f>UKG!BL163</f>
        <v>N</v>
      </c>
      <c r="J166" s="18" t="str">
        <f>UKG!BL163</f>
        <v>N</v>
      </c>
      <c r="R166" s="18" t="str">
        <f>UKG!AZ163</f>
        <v>205383</v>
      </c>
      <c r="S166" s="18" t="str">
        <f>UKG!AZ163</f>
        <v>205383</v>
      </c>
      <c r="AC166" s="18" t="str">
        <f>UKG!BL163</f>
        <v>N</v>
      </c>
      <c r="AD166" s="18" t="s">
        <v>1201</v>
      </c>
    </row>
    <row r="167" spans="1:30" ht="16" thickBot="1" x14ac:dyDescent="0.25">
      <c r="A167" s="39" t="s">
        <v>1528</v>
      </c>
      <c r="B167" s="77" t="str">
        <f>UKG!D164</f>
        <v>205169</v>
      </c>
      <c r="C167" s="18" t="str">
        <f>UKG!BL164</f>
        <v>N</v>
      </c>
      <c r="D167" s="18" t="str">
        <f>UKG!BL164</f>
        <v>N</v>
      </c>
      <c r="H167" s="18" t="str">
        <f>UKG!BL164</f>
        <v>N</v>
      </c>
      <c r="I167" s="18" t="str">
        <f>UKG!BL164</f>
        <v>N</v>
      </c>
      <c r="J167" s="18" t="str">
        <f>UKG!BL164</f>
        <v>N</v>
      </c>
      <c r="R167" s="18" t="str">
        <f>UKG!AZ164</f>
        <v>205383</v>
      </c>
      <c r="S167" s="18" t="str">
        <f>UKG!AZ164</f>
        <v>205383</v>
      </c>
      <c r="AC167" s="18" t="str">
        <f>UKG!BL164</f>
        <v>N</v>
      </c>
      <c r="AD167" s="18" t="s">
        <v>1201</v>
      </c>
    </row>
    <row r="168" spans="1:30" ht="16" thickBot="1" x14ac:dyDescent="0.25">
      <c r="A168" s="39" t="s">
        <v>1528</v>
      </c>
      <c r="B168" s="77" t="str">
        <f>UKG!D165</f>
        <v>205105</v>
      </c>
      <c r="C168" s="18" t="str">
        <f>UKG!BL165</f>
        <v>N</v>
      </c>
      <c r="D168" s="18" t="str">
        <f>UKG!BL165</f>
        <v>N</v>
      </c>
      <c r="H168" s="18" t="str">
        <f>UKG!BL165</f>
        <v>N</v>
      </c>
      <c r="I168" s="18" t="str">
        <f>UKG!BL165</f>
        <v>N</v>
      </c>
      <c r="J168" s="18" t="str">
        <f>UKG!BL165</f>
        <v>N</v>
      </c>
      <c r="R168" s="18" t="str">
        <f>UKG!AZ165</f>
        <v>213066</v>
      </c>
      <c r="S168" s="18" t="str">
        <f>UKG!AZ165</f>
        <v>213066</v>
      </c>
      <c r="AC168" s="18" t="str">
        <f>UKG!BL165</f>
        <v>N</v>
      </c>
      <c r="AD168" s="18" t="s">
        <v>1201</v>
      </c>
    </row>
    <row r="169" spans="1:30" ht="16" thickBot="1" x14ac:dyDescent="0.25">
      <c r="A169" s="39" t="s">
        <v>1528</v>
      </c>
      <c r="B169" s="77" t="str">
        <f>UKG!D166</f>
        <v>205194</v>
      </c>
      <c r="C169" s="18" t="str">
        <f>UKG!BL166</f>
        <v>N</v>
      </c>
      <c r="D169" s="18" t="str">
        <f>UKG!BL166</f>
        <v>N</v>
      </c>
      <c r="H169" s="18" t="str">
        <f>UKG!BL166</f>
        <v>N</v>
      </c>
      <c r="I169" s="18" t="str">
        <f>UKG!BL166</f>
        <v>N</v>
      </c>
      <c r="J169" s="18" t="str">
        <f>UKG!BL166</f>
        <v>N</v>
      </c>
      <c r="R169" s="18" t="str">
        <f>UKG!AZ166</f>
        <v>212110</v>
      </c>
      <c r="S169" s="18" t="str">
        <f>UKG!AZ166</f>
        <v>212110</v>
      </c>
      <c r="AC169" s="18" t="str">
        <f>UKG!BL166</f>
        <v>N</v>
      </c>
      <c r="AD169" s="18" t="s">
        <v>1201</v>
      </c>
    </row>
    <row r="170" spans="1:30" ht="16" thickBot="1" x14ac:dyDescent="0.25">
      <c r="A170" s="39" t="s">
        <v>1528</v>
      </c>
      <c r="B170" s="77" t="str">
        <f>UKG!D167</f>
        <v>205224</v>
      </c>
      <c r="C170" s="18" t="str">
        <f>UKG!BL167</f>
        <v>N</v>
      </c>
      <c r="D170" s="18" t="str">
        <f>UKG!BL167</f>
        <v>N</v>
      </c>
      <c r="H170" s="18" t="str">
        <f>UKG!BL167</f>
        <v>N</v>
      </c>
      <c r="I170" s="18" t="str">
        <f>UKG!BL167</f>
        <v>N</v>
      </c>
      <c r="J170" s="18" t="str">
        <f>UKG!BL167</f>
        <v>N</v>
      </c>
      <c r="R170" s="18" t="str">
        <f>UKG!AZ167</f>
        <v>212110</v>
      </c>
      <c r="S170" s="18" t="str">
        <f>UKG!AZ167</f>
        <v>212110</v>
      </c>
      <c r="AC170" s="18" t="str">
        <f>UKG!BL167</f>
        <v>N</v>
      </c>
      <c r="AD170" s="18" t="s">
        <v>1201</v>
      </c>
    </row>
    <row r="171" spans="1:30" ht="16" thickBot="1" x14ac:dyDescent="0.25">
      <c r="A171" s="39" t="s">
        <v>1528</v>
      </c>
      <c r="B171" s="77" t="str">
        <f>UKG!D168</f>
        <v>207637</v>
      </c>
      <c r="C171" s="18" t="str">
        <f>UKG!BL168</f>
        <v>N</v>
      </c>
      <c r="D171" s="18" t="str">
        <f>UKG!BL168</f>
        <v>N</v>
      </c>
      <c r="H171" s="18" t="str">
        <f>UKG!BL168</f>
        <v>N</v>
      </c>
      <c r="I171" s="18" t="str">
        <f>UKG!BL168</f>
        <v>N</v>
      </c>
      <c r="J171" s="18" t="str">
        <f>UKG!BL168</f>
        <v>N</v>
      </c>
      <c r="R171" s="18" t="str">
        <f>UKG!AZ168</f>
        <v>205380</v>
      </c>
      <c r="S171" s="18" t="str">
        <f>UKG!AZ168</f>
        <v>205380</v>
      </c>
      <c r="AC171" s="18" t="str">
        <f>UKG!BL168</f>
        <v>N</v>
      </c>
      <c r="AD171" s="18" t="s">
        <v>1201</v>
      </c>
    </row>
    <row r="172" spans="1:30" ht="16" thickBot="1" x14ac:dyDescent="0.25">
      <c r="A172" s="39" t="s">
        <v>1528</v>
      </c>
      <c r="B172" s="77" t="str">
        <f>UKG!D169</f>
        <v>205240</v>
      </c>
      <c r="C172" s="18" t="str">
        <f>UKG!BL169</f>
        <v>N</v>
      </c>
      <c r="D172" s="18" t="str">
        <f>UKG!BL169</f>
        <v>N</v>
      </c>
      <c r="H172" s="18" t="str">
        <f>UKG!BL169</f>
        <v>N</v>
      </c>
      <c r="I172" s="18" t="str">
        <f>UKG!BL169</f>
        <v>N</v>
      </c>
      <c r="J172" s="18" t="str">
        <f>UKG!BL169</f>
        <v>N</v>
      </c>
      <c r="R172" s="18" t="str">
        <f>UKG!AZ169</f>
        <v>212110</v>
      </c>
      <c r="S172" s="18" t="str">
        <f>UKG!AZ169</f>
        <v>212110</v>
      </c>
      <c r="AC172" s="18" t="str">
        <f>UKG!BL169</f>
        <v>N</v>
      </c>
      <c r="AD172" s="18" t="s">
        <v>1201</v>
      </c>
    </row>
    <row r="173" spans="1:30" ht="16" thickBot="1" x14ac:dyDescent="0.25">
      <c r="A173" s="39" t="s">
        <v>1528</v>
      </c>
      <c r="B173" s="77" t="str">
        <f>UKG!D170</f>
        <v>205289</v>
      </c>
      <c r="C173" s="18" t="str">
        <f>UKG!BL170</f>
        <v>N</v>
      </c>
      <c r="D173" s="18" t="str">
        <f>UKG!BL170</f>
        <v>N</v>
      </c>
      <c r="H173" s="18" t="str">
        <f>UKG!BL170</f>
        <v>N</v>
      </c>
      <c r="I173" s="18" t="str">
        <f>UKG!BL170</f>
        <v>N</v>
      </c>
      <c r="J173" s="18" t="str">
        <f>UKG!BL170</f>
        <v>N</v>
      </c>
      <c r="R173" s="18" t="str">
        <f>UKG!AZ170</f>
        <v>205315</v>
      </c>
      <c r="S173" s="18" t="str">
        <f>UKG!AZ170</f>
        <v>205315</v>
      </c>
      <c r="AC173" s="18" t="str">
        <f>UKG!BL170</f>
        <v>N</v>
      </c>
      <c r="AD173" s="18" t="s">
        <v>1201</v>
      </c>
    </row>
    <row r="174" spans="1:30" ht="16" thickBot="1" x14ac:dyDescent="0.25">
      <c r="A174" s="39" t="s">
        <v>1528</v>
      </c>
      <c r="B174" s="77" t="str">
        <f>UKG!D171</f>
        <v>205143</v>
      </c>
      <c r="C174" s="18" t="str">
        <f>UKG!BL171</f>
        <v>N</v>
      </c>
      <c r="D174" s="18" t="str">
        <f>UKG!BL171</f>
        <v>N</v>
      </c>
      <c r="H174" s="18" t="str">
        <f>UKG!BL171</f>
        <v>N</v>
      </c>
      <c r="I174" s="18" t="str">
        <f>UKG!BL171</f>
        <v>N</v>
      </c>
      <c r="J174" s="18" t="str">
        <f>UKG!BL171</f>
        <v>N</v>
      </c>
      <c r="R174" s="18" t="str">
        <f>UKG!AZ171</f>
        <v>205383</v>
      </c>
      <c r="S174" s="18" t="str">
        <f>UKG!AZ171</f>
        <v>205383</v>
      </c>
      <c r="AC174" s="18" t="str">
        <f>UKG!BL171</f>
        <v>N</v>
      </c>
      <c r="AD174" s="18" t="s">
        <v>1201</v>
      </c>
    </row>
    <row r="175" spans="1:30" ht="16" thickBot="1" x14ac:dyDescent="0.25">
      <c r="A175" s="39" t="s">
        <v>1528</v>
      </c>
      <c r="B175" s="77" t="str">
        <f>UKG!D172</f>
        <v>205332</v>
      </c>
      <c r="C175" s="18" t="str">
        <f>UKG!BL172</f>
        <v>N</v>
      </c>
      <c r="D175" s="18" t="str">
        <f>UKG!BL172</f>
        <v>N</v>
      </c>
      <c r="H175" s="18" t="str">
        <f>UKG!BL172</f>
        <v>N</v>
      </c>
      <c r="I175" s="18" t="str">
        <f>UKG!BL172</f>
        <v>N</v>
      </c>
      <c r="J175" s="18" t="str">
        <f>UKG!BL172</f>
        <v>N</v>
      </c>
      <c r="R175" s="18" t="str">
        <f>UKG!AZ172</f>
        <v>212110</v>
      </c>
      <c r="S175" s="18" t="str">
        <f>UKG!AZ172</f>
        <v>212110</v>
      </c>
      <c r="AC175" s="18" t="str">
        <f>UKG!BL172</f>
        <v>N</v>
      </c>
      <c r="AD175" s="18" t="s">
        <v>1201</v>
      </c>
    </row>
    <row r="176" spans="1:30" ht="16" thickBot="1" x14ac:dyDescent="0.25">
      <c r="A176" s="39" t="s">
        <v>1528</v>
      </c>
      <c r="B176" s="77" t="str">
        <f>UKG!D173</f>
        <v>205338</v>
      </c>
      <c r="C176" s="18" t="str">
        <f>UKG!BL173</f>
        <v>N</v>
      </c>
      <c r="D176" s="18" t="str">
        <f>UKG!BL173</f>
        <v>N</v>
      </c>
      <c r="H176" s="18" t="str">
        <f>UKG!BL173</f>
        <v>N</v>
      </c>
      <c r="I176" s="18" t="str">
        <f>UKG!BL173</f>
        <v>N</v>
      </c>
      <c r="J176" s="18" t="str">
        <f>UKG!BL173</f>
        <v>N</v>
      </c>
      <c r="R176" s="18" t="str">
        <f>UKG!AZ173</f>
        <v>212110</v>
      </c>
      <c r="S176" s="18" t="str">
        <f>UKG!AZ173</f>
        <v>212110</v>
      </c>
      <c r="AC176" s="18" t="str">
        <f>UKG!BL173</f>
        <v>N</v>
      </c>
      <c r="AD176" s="18" t="s">
        <v>1201</v>
      </c>
    </row>
    <row r="177" spans="1:30" ht="16" thickBot="1" x14ac:dyDescent="0.25">
      <c r="A177" s="39" t="s">
        <v>1528</v>
      </c>
      <c r="B177" s="77" t="str">
        <f>UKG!D174</f>
        <v>205252</v>
      </c>
      <c r="C177" s="18" t="str">
        <f>UKG!BL174</f>
        <v>N</v>
      </c>
      <c r="D177" s="18" t="str">
        <f>UKG!BL174</f>
        <v>N</v>
      </c>
      <c r="H177" s="18" t="str">
        <f>UKG!BL174</f>
        <v>N</v>
      </c>
      <c r="I177" s="18" t="str">
        <f>UKG!BL174</f>
        <v>N</v>
      </c>
      <c r="J177" s="18" t="str">
        <f>UKG!BL174</f>
        <v>N</v>
      </c>
      <c r="R177" s="18" t="str">
        <f>UKG!AZ174</f>
        <v>212110</v>
      </c>
      <c r="S177" s="18" t="str">
        <f>UKG!AZ174</f>
        <v>212110</v>
      </c>
      <c r="AC177" s="18" t="str">
        <f>UKG!BL174</f>
        <v>N</v>
      </c>
      <c r="AD177" s="18" t="s">
        <v>1201</v>
      </c>
    </row>
    <row r="178" spans="1:30" ht="16" thickBot="1" x14ac:dyDescent="0.25">
      <c r="A178" s="39" t="s">
        <v>1528</v>
      </c>
      <c r="B178" s="77" t="str">
        <f>UKG!D175</f>
        <v>205294</v>
      </c>
      <c r="C178" s="18" t="str">
        <f>UKG!BL175</f>
        <v>N</v>
      </c>
      <c r="D178" s="18" t="str">
        <f>UKG!BL175</f>
        <v>N</v>
      </c>
      <c r="H178" s="18" t="str">
        <f>UKG!BL175</f>
        <v>N</v>
      </c>
      <c r="I178" s="18" t="str">
        <f>UKG!BL175</f>
        <v>N</v>
      </c>
      <c r="J178" s="18" t="str">
        <f>UKG!BL175</f>
        <v>N</v>
      </c>
      <c r="R178" s="18" t="str">
        <f>UKG!AZ175</f>
        <v>205384</v>
      </c>
      <c r="S178" s="18" t="str">
        <f>UKG!AZ175</f>
        <v>205384</v>
      </c>
      <c r="AC178" s="18" t="str">
        <f>UKG!BL175</f>
        <v>N</v>
      </c>
      <c r="AD178" s="18" t="s">
        <v>1201</v>
      </c>
    </row>
    <row r="179" spans="1:30" ht="16" thickBot="1" x14ac:dyDescent="0.25">
      <c r="A179" s="39" t="s">
        <v>1528</v>
      </c>
      <c r="B179" s="77" t="str">
        <f>UKG!D176</f>
        <v>207717</v>
      </c>
      <c r="C179" s="18" t="str">
        <f>UKG!BL176</f>
        <v>N</v>
      </c>
      <c r="D179" s="18" t="str">
        <f>UKG!BL176</f>
        <v>N</v>
      </c>
      <c r="H179" s="18" t="str">
        <f>UKG!BL176</f>
        <v>N</v>
      </c>
      <c r="I179" s="18" t="str">
        <f>UKG!BL176</f>
        <v>N</v>
      </c>
      <c r="J179" s="18" t="str">
        <f>UKG!BL176</f>
        <v>N</v>
      </c>
      <c r="R179" s="18" t="str">
        <f>UKG!AZ176</f>
        <v>212110</v>
      </c>
      <c r="S179" s="18" t="str">
        <f>UKG!AZ176</f>
        <v>212110</v>
      </c>
      <c r="AC179" s="18" t="str">
        <f>UKG!BL176</f>
        <v>N</v>
      </c>
      <c r="AD179" s="18" t="s">
        <v>1201</v>
      </c>
    </row>
    <row r="180" spans="1:30" ht="16" thickBot="1" x14ac:dyDescent="0.25">
      <c r="A180" s="39" t="s">
        <v>1528</v>
      </c>
      <c r="B180" s="77" t="str">
        <f>UKG!D177</f>
        <v>205262</v>
      </c>
      <c r="C180" s="18" t="str">
        <f>UKG!BL177</f>
        <v>N</v>
      </c>
      <c r="D180" s="18" t="str">
        <f>UKG!BL177</f>
        <v>N</v>
      </c>
      <c r="H180" s="18" t="str">
        <f>UKG!BL177</f>
        <v>N</v>
      </c>
      <c r="I180" s="18" t="str">
        <f>UKG!BL177</f>
        <v>N</v>
      </c>
      <c r="J180" s="18" t="str">
        <f>UKG!BL177</f>
        <v>N</v>
      </c>
      <c r="R180" s="18" t="str">
        <f>UKG!AZ177</f>
        <v>205315</v>
      </c>
      <c r="S180" s="18" t="str">
        <f>UKG!AZ177</f>
        <v>205315</v>
      </c>
      <c r="AC180" s="18" t="str">
        <f>UKG!BL177</f>
        <v>N</v>
      </c>
      <c r="AD180" s="18" t="s">
        <v>1201</v>
      </c>
    </row>
    <row r="181" spans="1:30" ht="16" thickBot="1" x14ac:dyDescent="0.25">
      <c r="A181" s="39" t="s">
        <v>1528</v>
      </c>
      <c r="B181" s="77" t="str">
        <f>UKG!D178</f>
        <v>205259</v>
      </c>
      <c r="C181" s="18" t="str">
        <f>UKG!BL178</f>
        <v>N</v>
      </c>
      <c r="D181" s="18" t="str">
        <f>UKG!BL178</f>
        <v>N</v>
      </c>
      <c r="H181" s="18" t="str">
        <f>UKG!BL178</f>
        <v>N</v>
      </c>
      <c r="I181" s="18" t="str">
        <f>UKG!BL178</f>
        <v>N</v>
      </c>
      <c r="J181" s="18" t="str">
        <f>UKG!BL178</f>
        <v>N</v>
      </c>
      <c r="R181" s="18" t="str">
        <f>UKG!AZ178</f>
        <v>205377</v>
      </c>
      <c r="S181" s="18" t="str">
        <f>UKG!AZ178</f>
        <v>205377</v>
      </c>
      <c r="AC181" s="18" t="str">
        <f>UKG!BL178</f>
        <v>N</v>
      </c>
      <c r="AD181" s="18" t="s">
        <v>1201</v>
      </c>
    </row>
    <row r="182" spans="1:30" ht="16" thickBot="1" x14ac:dyDescent="0.25">
      <c r="A182" s="39" t="s">
        <v>1528</v>
      </c>
      <c r="B182" s="77" t="str">
        <f>UKG!D179</f>
        <v>205214</v>
      </c>
      <c r="C182" s="18" t="str">
        <f>UKG!BL179</f>
        <v>N</v>
      </c>
      <c r="D182" s="18" t="str">
        <f>UKG!BL179</f>
        <v>N</v>
      </c>
      <c r="H182" s="18" t="str">
        <f>UKG!BL179</f>
        <v>N</v>
      </c>
      <c r="I182" s="18" t="str">
        <f>UKG!BL179</f>
        <v>N</v>
      </c>
      <c r="J182" s="18" t="str">
        <f>UKG!BL179</f>
        <v>N</v>
      </c>
      <c r="R182" s="18" t="str">
        <f>UKG!AZ179</f>
        <v>205315</v>
      </c>
      <c r="S182" s="18" t="str">
        <f>UKG!AZ179</f>
        <v>205315</v>
      </c>
      <c r="AC182" s="18" t="str">
        <f>UKG!BL179</f>
        <v>N</v>
      </c>
      <c r="AD182" s="18" t="s">
        <v>1201</v>
      </c>
    </row>
    <row r="183" spans="1:30" ht="16" thickBot="1" x14ac:dyDescent="0.25">
      <c r="A183" s="39" t="s">
        <v>1528</v>
      </c>
      <c r="B183" s="77" t="str">
        <f>UKG!D180</f>
        <v>205323</v>
      </c>
      <c r="C183" s="18" t="str">
        <f>UKG!BL180</f>
        <v>N</v>
      </c>
      <c r="D183" s="18" t="str">
        <f>UKG!BL180</f>
        <v>N</v>
      </c>
      <c r="H183" s="18" t="str">
        <f>UKG!BL180</f>
        <v>N</v>
      </c>
      <c r="I183" s="18" t="str">
        <f>UKG!BL180</f>
        <v>N</v>
      </c>
      <c r="J183" s="18" t="str">
        <f>UKG!BL180</f>
        <v>N</v>
      </c>
      <c r="R183" s="18" t="str">
        <f>UKG!AZ180</f>
        <v>205377</v>
      </c>
      <c r="S183" s="18" t="str">
        <f>UKG!AZ180</f>
        <v>205377</v>
      </c>
      <c r="AC183" s="18" t="str">
        <f>UKG!BL180</f>
        <v>N</v>
      </c>
      <c r="AD183" s="18" t="s">
        <v>1201</v>
      </c>
    </row>
    <row r="184" spans="1:30" ht="16" thickBot="1" x14ac:dyDescent="0.25">
      <c r="A184" s="39" t="s">
        <v>1528</v>
      </c>
      <c r="B184" s="77" t="str">
        <f>UKG!D181</f>
        <v>205304</v>
      </c>
      <c r="C184" s="18" t="str">
        <f>UKG!BL181</f>
        <v>N</v>
      </c>
      <c r="D184" s="18" t="str">
        <f>UKG!BL181</f>
        <v>N</v>
      </c>
      <c r="H184" s="18" t="str">
        <f>UKG!BL181</f>
        <v>N</v>
      </c>
      <c r="I184" s="18" t="str">
        <f>UKG!BL181</f>
        <v>N</v>
      </c>
      <c r="J184" s="18" t="str">
        <f>UKG!BL181</f>
        <v>N</v>
      </c>
      <c r="R184" s="18" t="str">
        <f>UKG!AZ181</f>
        <v>205377</v>
      </c>
      <c r="S184" s="18" t="str">
        <f>UKG!AZ181</f>
        <v>205377</v>
      </c>
      <c r="AC184" s="18" t="str">
        <f>UKG!BL181</f>
        <v>N</v>
      </c>
      <c r="AD184" s="18" t="s">
        <v>1201</v>
      </c>
    </row>
    <row r="185" spans="1:30" ht="16" thickBot="1" x14ac:dyDescent="0.25">
      <c r="A185" s="39" t="s">
        <v>1528</v>
      </c>
      <c r="B185" s="77" t="str">
        <f>UKG!D182</f>
        <v>205309</v>
      </c>
      <c r="C185" s="18" t="str">
        <f>UKG!BL182</f>
        <v>N</v>
      </c>
      <c r="D185" s="18" t="str">
        <f>UKG!BL182</f>
        <v>N</v>
      </c>
      <c r="H185" s="18" t="str">
        <f>UKG!BL182</f>
        <v>N</v>
      </c>
      <c r="I185" s="18" t="str">
        <f>UKG!BL182</f>
        <v>N</v>
      </c>
      <c r="J185" s="18" t="str">
        <f>UKG!BL182</f>
        <v>N</v>
      </c>
      <c r="R185" s="18" t="str">
        <f>UKG!AZ182</f>
        <v>205377</v>
      </c>
      <c r="S185" s="18" t="str">
        <f>UKG!AZ182</f>
        <v>205377</v>
      </c>
      <c r="AC185" s="18" t="str">
        <f>UKG!BL182</f>
        <v>N</v>
      </c>
      <c r="AD185" s="18" t="s">
        <v>1201</v>
      </c>
    </row>
    <row r="186" spans="1:30" ht="16" thickBot="1" x14ac:dyDescent="0.25">
      <c r="A186" s="39" t="s">
        <v>1528</v>
      </c>
      <c r="B186" s="77" t="str">
        <f>UKG!D183</f>
        <v>207164</v>
      </c>
      <c r="C186" s="18" t="str">
        <f>UKG!BL183</f>
        <v>N</v>
      </c>
      <c r="D186" s="18" t="str">
        <f>UKG!BL183</f>
        <v>N</v>
      </c>
      <c r="H186" s="18" t="str">
        <f>UKG!BL183</f>
        <v>N</v>
      </c>
      <c r="I186" s="18" t="str">
        <f>UKG!BL183</f>
        <v>N</v>
      </c>
      <c r="J186" s="18" t="str">
        <f>UKG!BL183</f>
        <v>N</v>
      </c>
      <c r="R186" s="18" t="str">
        <f>UKG!AZ183</f>
        <v>212110</v>
      </c>
      <c r="S186" s="18" t="str">
        <f>UKG!AZ183</f>
        <v>212110</v>
      </c>
      <c r="AC186" s="18" t="str">
        <f>UKG!BL183</f>
        <v>N</v>
      </c>
      <c r="AD186" s="18" t="s">
        <v>1201</v>
      </c>
    </row>
    <row r="187" spans="1:30" ht="16" thickBot="1" x14ac:dyDescent="0.25">
      <c r="A187" s="39" t="s">
        <v>1528</v>
      </c>
      <c r="B187" s="77" t="str">
        <f>UKG!D184</f>
        <v>205228</v>
      </c>
      <c r="C187" s="18" t="str">
        <f>UKG!BL184</f>
        <v>N</v>
      </c>
      <c r="D187" s="18" t="str">
        <f>UKG!BL184</f>
        <v>N</v>
      </c>
      <c r="H187" s="18" t="str">
        <f>UKG!BL184</f>
        <v>N</v>
      </c>
      <c r="I187" s="18" t="str">
        <f>UKG!BL184</f>
        <v>N</v>
      </c>
      <c r="J187" s="18" t="str">
        <f>UKG!BL184</f>
        <v>N</v>
      </c>
      <c r="R187" s="18" t="str">
        <f>UKG!AZ184</f>
        <v>205315</v>
      </c>
      <c r="S187" s="18" t="str">
        <f>UKG!AZ184</f>
        <v>205315</v>
      </c>
      <c r="AC187" s="18" t="str">
        <f>UKG!BL184</f>
        <v>N</v>
      </c>
      <c r="AD187" s="18" t="s">
        <v>1201</v>
      </c>
    </row>
    <row r="188" spans="1:30" ht="16" thickBot="1" x14ac:dyDescent="0.25">
      <c r="A188" s="39" t="s">
        <v>1528</v>
      </c>
      <c r="B188" s="77" t="str">
        <f>UKG!D185</f>
        <v>205208</v>
      </c>
      <c r="C188" s="18" t="str">
        <f>UKG!BL185</f>
        <v>N</v>
      </c>
      <c r="D188" s="18" t="str">
        <f>UKG!BL185</f>
        <v>N</v>
      </c>
      <c r="H188" s="18" t="str">
        <f>UKG!BL185</f>
        <v>N</v>
      </c>
      <c r="I188" s="18" t="str">
        <f>UKG!BL185</f>
        <v>N</v>
      </c>
      <c r="J188" s="18" t="str">
        <f>UKG!BL185</f>
        <v>N</v>
      </c>
      <c r="R188" s="18" t="str">
        <f>UKG!AZ185</f>
        <v>205383</v>
      </c>
      <c r="S188" s="18" t="str">
        <f>UKG!AZ185</f>
        <v>205383</v>
      </c>
      <c r="AC188" s="18" t="str">
        <f>UKG!BL185</f>
        <v>N</v>
      </c>
      <c r="AD188" s="18" t="s">
        <v>1201</v>
      </c>
    </row>
    <row r="189" spans="1:30" ht="16" thickBot="1" x14ac:dyDescent="0.25">
      <c r="A189" s="39" t="s">
        <v>1528</v>
      </c>
      <c r="B189" s="77" t="str">
        <f>UKG!D186</f>
        <v>205272</v>
      </c>
      <c r="C189" s="18" t="str">
        <f>UKG!BL186</f>
        <v>N</v>
      </c>
      <c r="D189" s="18" t="str">
        <f>UKG!BL186</f>
        <v>N</v>
      </c>
      <c r="H189" s="18" t="str">
        <f>UKG!BL186</f>
        <v>N</v>
      </c>
      <c r="I189" s="18" t="str">
        <f>UKG!BL186</f>
        <v>N</v>
      </c>
      <c r="J189" s="18" t="str">
        <f>UKG!BL186</f>
        <v>N</v>
      </c>
      <c r="R189" s="18" t="str">
        <f>UKG!AZ186</f>
        <v>212110</v>
      </c>
      <c r="S189" s="18" t="str">
        <f>UKG!AZ186</f>
        <v>212110</v>
      </c>
      <c r="AC189" s="18" t="str">
        <f>UKG!BL186</f>
        <v>N</v>
      </c>
      <c r="AD189" s="18" t="s">
        <v>1201</v>
      </c>
    </row>
    <row r="190" spans="1:30" ht="16" thickBot="1" x14ac:dyDescent="0.25">
      <c r="A190" s="39" t="s">
        <v>1528</v>
      </c>
      <c r="B190" s="77" t="str">
        <f>UKG!D187</f>
        <v>205282</v>
      </c>
      <c r="C190" s="18" t="str">
        <f>UKG!BL187</f>
        <v>N</v>
      </c>
      <c r="D190" s="18" t="str">
        <f>UKG!BL187</f>
        <v>N</v>
      </c>
      <c r="H190" s="18" t="str">
        <f>UKG!BL187</f>
        <v>N</v>
      </c>
      <c r="I190" s="18" t="str">
        <f>UKG!BL187</f>
        <v>N</v>
      </c>
      <c r="J190" s="18" t="str">
        <f>UKG!BL187</f>
        <v>N</v>
      </c>
      <c r="R190" s="18" t="str">
        <f>UKG!AZ187</f>
        <v>212110</v>
      </c>
      <c r="S190" s="18" t="str">
        <f>UKG!AZ187</f>
        <v>212110</v>
      </c>
      <c r="AC190" s="18" t="str">
        <f>UKG!BL187</f>
        <v>N</v>
      </c>
      <c r="AD190" s="18" t="s">
        <v>1201</v>
      </c>
    </row>
    <row r="191" spans="1:30" ht="16" thickBot="1" x14ac:dyDescent="0.25">
      <c r="A191" s="39" t="s">
        <v>1528</v>
      </c>
      <c r="B191" s="77" t="str">
        <f>UKG!D188</f>
        <v>205147</v>
      </c>
      <c r="C191" s="18" t="str">
        <f>UKG!BL188</f>
        <v>N</v>
      </c>
      <c r="D191" s="18" t="str">
        <f>UKG!BL188</f>
        <v>N</v>
      </c>
      <c r="H191" s="18" t="str">
        <f>UKG!BL188</f>
        <v>N</v>
      </c>
      <c r="I191" s="18" t="str">
        <f>UKG!BL188</f>
        <v>N</v>
      </c>
      <c r="J191" s="18" t="str">
        <f>UKG!BL188</f>
        <v>N</v>
      </c>
      <c r="R191" s="18" t="str">
        <f>UKG!AZ188</f>
        <v>205058</v>
      </c>
      <c r="S191" s="18" t="str">
        <f>UKG!AZ188</f>
        <v>205058</v>
      </c>
      <c r="AC191" s="18" t="str">
        <f>UKG!BL188</f>
        <v>N</v>
      </c>
      <c r="AD191" s="18" t="s">
        <v>1201</v>
      </c>
    </row>
    <row r="192" spans="1:30" ht="16" thickBot="1" x14ac:dyDescent="0.25">
      <c r="A192" s="39" t="s">
        <v>1528</v>
      </c>
      <c r="B192" s="77" t="str">
        <f>UKG!D189</f>
        <v>205120</v>
      </c>
      <c r="C192" s="18" t="str">
        <f>UKG!BL189</f>
        <v>N</v>
      </c>
      <c r="D192" s="18" t="str">
        <f>UKG!BL189</f>
        <v>N</v>
      </c>
      <c r="H192" s="18" t="str">
        <f>UKG!BL189</f>
        <v>N</v>
      </c>
      <c r="I192" s="18" t="str">
        <f>UKG!BL189</f>
        <v>N</v>
      </c>
      <c r="J192" s="18" t="str">
        <f>UKG!BL189</f>
        <v>N</v>
      </c>
      <c r="R192" s="18" t="str">
        <f>UKG!AZ189</f>
        <v>205380</v>
      </c>
      <c r="S192" s="18" t="str">
        <f>UKG!AZ189</f>
        <v>205380</v>
      </c>
      <c r="AC192" s="18" t="str">
        <f>UKG!BL189</f>
        <v>N</v>
      </c>
      <c r="AD192" s="18" t="s">
        <v>1201</v>
      </c>
    </row>
    <row r="193" spans="1:30" ht="16" thickBot="1" x14ac:dyDescent="0.25">
      <c r="A193" s="39" t="s">
        <v>1528</v>
      </c>
      <c r="B193" s="77" t="str">
        <f>UKG!D190</f>
        <v>205111</v>
      </c>
      <c r="C193" s="18" t="str">
        <f>UKG!BL190</f>
        <v>N</v>
      </c>
      <c r="D193" s="18" t="str">
        <f>UKG!BL190</f>
        <v>N</v>
      </c>
      <c r="H193" s="18" t="str">
        <f>UKG!BL190</f>
        <v>N</v>
      </c>
      <c r="I193" s="18" t="str">
        <f>UKG!BL190</f>
        <v>N</v>
      </c>
      <c r="J193" s="18" t="str">
        <f>UKG!BL190</f>
        <v>N</v>
      </c>
      <c r="R193" s="18" t="str">
        <f>UKG!AZ190</f>
        <v>205384</v>
      </c>
      <c r="S193" s="18" t="str">
        <f>UKG!AZ190</f>
        <v>205384</v>
      </c>
      <c r="AC193" s="18" t="str">
        <f>UKG!BL190</f>
        <v>N</v>
      </c>
      <c r="AD193" s="18" t="s">
        <v>1201</v>
      </c>
    </row>
    <row r="194" spans="1:30" ht="16" thickBot="1" x14ac:dyDescent="0.25">
      <c r="A194" s="39" t="s">
        <v>1528</v>
      </c>
      <c r="B194" s="77" t="str">
        <f>UKG!D191</f>
        <v>205213</v>
      </c>
      <c r="C194" s="18" t="str">
        <f>UKG!BL191</f>
        <v>N</v>
      </c>
      <c r="D194" s="18" t="str">
        <f>UKG!BL191</f>
        <v>N</v>
      </c>
      <c r="H194" s="18" t="str">
        <f>UKG!BL191</f>
        <v>N</v>
      </c>
      <c r="I194" s="18" t="str">
        <f>UKG!BL191</f>
        <v>N</v>
      </c>
      <c r="J194" s="18" t="str">
        <f>UKG!BL191</f>
        <v>N</v>
      </c>
      <c r="R194" s="18" t="str">
        <f>UKG!AZ191</f>
        <v>205315</v>
      </c>
      <c r="S194" s="18" t="str">
        <f>UKG!AZ191</f>
        <v>205315</v>
      </c>
      <c r="AC194" s="18" t="str">
        <f>UKG!BL191</f>
        <v>N</v>
      </c>
      <c r="AD194" s="18" t="s">
        <v>1201</v>
      </c>
    </row>
    <row r="195" spans="1:30" ht="16" thickBot="1" x14ac:dyDescent="0.25">
      <c r="A195" s="39" t="s">
        <v>1528</v>
      </c>
      <c r="B195" s="77" t="str">
        <f>UKG!D192</f>
        <v>205271</v>
      </c>
      <c r="C195" s="18" t="str">
        <f>UKG!BL192</f>
        <v>N</v>
      </c>
      <c r="D195" s="18" t="str">
        <f>UKG!BL192</f>
        <v>N</v>
      </c>
      <c r="H195" s="18" t="str">
        <f>UKG!BL192</f>
        <v>N</v>
      </c>
      <c r="I195" s="18" t="str">
        <f>UKG!BL192</f>
        <v>N</v>
      </c>
      <c r="J195" s="18" t="str">
        <f>UKG!BL192</f>
        <v>N</v>
      </c>
      <c r="R195" s="18" t="str">
        <f>UKG!AZ192</f>
        <v>213460</v>
      </c>
      <c r="S195" s="18" t="str">
        <f>UKG!AZ192</f>
        <v>213460</v>
      </c>
      <c r="AC195" s="18" t="str">
        <f>UKG!BL192</f>
        <v>N</v>
      </c>
      <c r="AD195" s="18" t="s">
        <v>1201</v>
      </c>
    </row>
    <row r="196" spans="1:30" ht="16" thickBot="1" x14ac:dyDescent="0.25">
      <c r="A196" s="39" t="s">
        <v>1528</v>
      </c>
      <c r="B196" s="77" t="str">
        <f>UKG!D193</f>
        <v>207536</v>
      </c>
      <c r="C196" s="18" t="str">
        <f>UKG!BL193</f>
        <v>N</v>
      </c>
      <c r="D196" s="18" t="str">
        <f>UKG!BL193</f>
        <v>N</v>
      </c>
      <c r="H196" s="18" t="str">
        <f>UKG!BL193</f>
        <v>N</v>
      </c>
      <c r="I196" s="18" t="str">
        <f>UKG!BL193</f>
        <v>N</v>
      </c>
      <c r="J196" s="18" t="str">
        <f>UKG!BL193</f>
        <v>N</v>
      </c>
      <c r="R196" s="18" t="str">
        <f>UKG!AZ193</f>
        <v>205116</v>
      </c>
      <c r="S196" s="18" t="str">
        <f>UKG!AZ193</f>
        <v>205116</v>
      </c>
      <c r="AC196" s="18" t="str">
        <f>UKG!BL193</f>
        <v>N</v>
      </c>
      <c r="AD196" s="18" t="s">
        <v>1201</v>
      </c>
    </row>
    <row r="197" spans="1:30" ht="16" thickBot="1" x14ac:dyDescent="0.25">
      <c r="A197" s="39" t="s">
        <v>1528</v>
      </c>
      <c r="B197" s="77" t="str">
        <f>UKG!D194</f>
        <v>205189</v>
      </c>
      <c r="C197" s="18" t="str">
        <f>UKG!BL194</f>
        <v>N</v>
      </c>
      <c r="D197" s="18" t="str">
        <f>UKG!BL194</f>
        <v>N</v>
      </c>
      <c r="H197" s="18" t="str">
        <f>UKG!BL194</f>
        <v>N</v>
      </c>
      <c r="I197" s="18" t="str">
        <f>UKG!BL194</f>
        <v>N</v>
      </c>
      <c r="J197" s="18" t="str">
        <f>UKG!BL194</f>
        <v>N</v>
      </c>
      <c r="R197" s="18" t="str">
        <f>UKG!AZ194</f>
        <v>212110</v>
      </c>
      <c r="S197" s="18" t="str">
        <f>UKG!AZ194</f>
        <v>212110</v>
      </c>
      <c r="AC197" s="18" t="str">
        <f>UKG!BL194</f>
        <v>N</v>
      </c>
      <c r="AD197" s="18" t="s">
        <v>1201</v>
      </c>
    </row>
    <row r="198" spans="1:30" ht="16" thickBot="1" x14ac:dyDescent="0.25">
      <c r="A198" s="39" t="s">
        <v>1528</v>
      </c>
      <c r="B198" s="77" t="str">
        <f>UKG!D195</f>
        <v>205241</v>
      </c>
      <c r="C198" s="18" t="str">
        <f>UKG!BL195</f>
        <v>N</v>
      </c>
      <c r="D198" s="18" t="str">
        <f>UKG!BL195</f>
        <v>N</v>
      </c>
      <c r="H198" s="18" t="str">
        <f>UKG!BL195</f>
        <v>N</v>
      </c>
      <c r="I198" s="18" t="str">
        <f>UKG!BL195</f>
        <v>N</v>
      </c>
      <c r="J198" s="18" t="str">
        <f>UKG!BL195</f>
        <v>N</v>
      </c>
      <c r="R198" s="18" t="str">
        <f>UKG!AZ195</f>
        <v>205383</v>
      </c>
      <c r="S198" s="18" t="str">
        <f>UKG!AZ195</f>
        <v>205383</v>
      </c>
      <c r="AC198" s="18" t="str">
        <f>UKG!BL195</f>
        <v>N</v>
      </c>
      <c r="AD198" s="18" t="s">
        <v>1201</v>
      </c>
    </row>
    <row r="199" spans="1:30" ht="16" thickBot="1" x14ac:dyDescent="0.25">
      <c r="A199" s="39" t="s">
        <v>1528</v>
      </c>
      <c r="B199" s="77" t="str">
        <f>UKG!D196</f>
        <v>205202</v>
      </c>
      <c r="C199" s="18" t="str">
        <f>UKG!BL196</f>
        <v>N</v>
      </c>
      <c r="D199" s="18" t="str">
        <f>UKG!BL196</f>
        <v>N</v>
      </c>
      <c r="H199" s="18" t="str">
        <f>UKG!BL196</f>
        <v>N</v>
      </c>
      <c r="I199" s="18" t="str">
        <f>UKG!BL196</f>
        <v>N</v>
      </c>
      <c r="J199" s="18" t="str">
        <f>UKG!BL196</f>
        <v>N</v>
      </c>
      <c r="R199" s="18" t="str">
        <f>UKG!AZ196</f>
        <v>205315</v>
      </c>
      <c r="S199" s="18" t="str">
        <f>UKG!AZ196</f>
        <v>205315</v>
      </c>
      <c r="AC199" s="18" t="str">
        <f>UKG!BL196</f>
        <v>N</v>
      </c>
      <c r="AD199" s="18" t="s">
        <v>1201</v>
      </c>
    </row>
    <row r="200" spans="1:30" ht="16" thickBot="1" x14ac:dyDescent="0.25">
      <c r="A200" s="39" t="s">
        <v>1528</v>
      </c>
      <c r="B200" s="77" t="str">
        <f>UKG!D197</f>
        <v>205148</v>
      </c>
      <c r="C200" s="18" t="str">
        <f>UKG!BL197</f>
        <v>N</v>
      </c>
      <c r="D200" s="18" t="str">
        <f>UKG!BL197</f>
        <v>N</v>
      </c>
      <c r="H200" s="18" t="str">
        <f>UKG!BL197</f>
        <v>N</v>
      </c>
      <c r="I200" s="18" t="str">
        <f>UKG!BL197</f>
        <v>N</v>
      </c>
      <c r="J200" s="18" t="str">
        <f>UKG!BL197</f>
        <v>N</v>
      </c>
      <c r="R200" s="18" t="str">
        <f>UKG!AZ197</f>
        <v>205383</v>
      </c>
      <c r="S200" s="18" t="str">
        <f>UKG!AZ197</f>
        <v>205383</v>
      </c>
      <c r="AC200" s="18" t="str">
        <f>UKG!BL197</f>
        <v>N</v>
      </c>
      <c r="AD200" s="18" t="s">
        <v>1201</v>
      </c>
    </row>
    <row r="201" spans="1:30" ht="16" thickBot="1" x14ac:dyDescent="0.25">
      <c r="A201" s="39" t="s">
        <v>1528</v>
      </c>
      <c r="B201" s="77" t="str">
        <f>UKG!D198</f>
        <v>205184</v>
      </c>
      <c r="C201" s="18" t="str">
        <f>UKG!BL198</f>
        <v>N</v>
      </c>
      <c r="D201" s="18" t="str">
        <f>UKG!BL198</f>
        <v>N</v>
      </c>
      <c r="H201" s="18" t="str">
        <f>UKG!BL198</f>
        <v>N</v>
      </c>
      <c r="I201" s="18" t="str">
        <f>UKG!BL198</f>
        <v>N</v>
      </c>
      <c r="J201" s="18" t="str">
        <f>UKG!BL198</f>
        <v>N</v>
      </c>
      <c r="R201" s="18" t="str">
        <f>UKG!AZ198</f>
        <v>212110</v>
      </c>
      <c r="S201" s="18" t="str">
        <f>UKG!AZ198</f>
        <v>212110</v>
      </c>
      <c r="AC201" s="18" t="str">
        <f>UKG!BL198</f>
        <v>N</v>
      </c>
      <c r="AD201" s="18" t="s">
        <v>1201</v>
      </c>
    </row>
    <row r="202" spans="1:30" ht="16" thickBot="1" x14ac:dyDescent="0.25">
      <c r="A202" s="39" t="s">
        <v>1528</v>
      </c>
      <c r="B202" s="77" t="str">
        <f>UKG!D199</f>
        <v>205133</v>
      </c>
      <c r="C202" s="18" t="str">
        <f>UKG!BL199</f>
        <v>N</v>
      </c>
      <c r="D202" s="18" t="str">
        <f>UKG!BL199</f>
        <v>N</v>
      </c>
      <c r="H202" s="18" t="str">
        <f>UKG!BL199</f>
        <v>N</v>
      </c>
      <c r="I202" s="18" t="str">
        <f>UKG!BL199</f>
        <v>N</v>
      </c>
      <c r="J202" s="18" t="str">
        <f>UKG!BL199</f>
        <v>N</v>
      </c>
      <c r="R202" s="18" t="str">
        <f>UKG!AZ199</f>
        <v>205380</v>
      </c>
      <c r="S202" s="18" t="str">
        <f>UKG!AZ199</f>
        <v>205380</v>
      </c>
      <c r="AC202" s="18" t="str">
        <f>UKG!BL199</f>
        <v>N</v>
      </c>
      <c r="AD202" s="18" t="s">
        <v>1201</v>
      </c>
    </row>
    <row r="203" spans="1:30" ht="16" thickBot="1" x14ac:dyDescent="0.25">
      <c r="A203" s="39" t="s">
        <v>1528</v>
      </c>
      <c r="B203" s="77" t="str">
        <f>UKG!D200</f>
        <v>205352</v>
      </c>
      <c r="C203" s="18" t="str">
        <f>UKG!BL200</f>
        <v>N</v>
      </c>
      <c r="D203" s="18" t="str">
        <f>UKG!BL200</f>
        <v>N</v>
      </c>
      <c r="H203" s="18" t="str">
        <f>UKG!BL200</f>
        <v>N</v>
      </c>
      <c r="I203" s="18" t="str">
        <f>UKG!BL200</f>
        <v>N</v>
      </c>
      <c r="J203" s="18" t="str">
        <f>UKG!BL200</f>
        <v>N</v>
      </c>
      <c r="R203" s="18" t="str">
        <f>UKG!AZ200</f>
        <v>205116</v>
      </c>
      <c r="S203" s="18" t="str">
        <f>UKG!AZ200</f>
        <v>205116</v>
      </c>
      <c r="AC203" s="18" t="str">
        <f>UKG!BL200</f>
        <v>N</v>
      </c>
      <c r="AD203" s="18" t="s">
        <v>1201</v>
      </c>
    </row>
    <row r="204" spans="1:30" ht="16" thickBot="1" x14ac:dyDescent="0.25">
      <c r="A204" s="39" t="s">
        <v>1528</v>
      </c>
      <c r="B204" s="77" t="str">
        <f>UKG!D201</f>
        <v>205291</v>
      </c>
      <c r="C204" s="18" t="str">
        <f>UKG!BL201</f>
        <v>N</v>
      </c>
      <c r="D204" s="18" t="str">
        <f>UKG!BL201</f>
        <v>N</v>
      </c>
      <c r="H204" s="18" t="str">
        <f>UKG!BL201</f>
        <v>N</v>
      </c>
      <c r="I204" s="18" t="str">
        <f>UKG!BL201</f>
        <v>N</v>
      </c>
      <c r="J204" s="18" t="str">
        <f>UKG!BL201</f>
        <v>N</v>
      </c>
      <c r="R204" s="18" t="str">
        <f>UKG!AZ201</f>
        <v>205377</v>
      </c>
      <c r="S204" s="18" t="str">
        <f>UKG!AZ201</f>
        <v>205377</v>
      </c>
      <c r="AC204" s="18" t="str">
        <f>UKG!BL201</f>
        <v>N</v>
      </c>
      <c r="AD204" s="18" t="s">
        <v>1201</v>
      </c>
    </row>
    <row r="205" spans="1:30" ht="16" thickBot="1" x14ac:dyDescent="0.25">
      <c r="A205" s="39" t="s">
        <v>1528</v>
      </c>
      <c r="B205" s="77" t="str">
        <f>UKG!D202</f>
        <v>205218</v>
      </c>
      <c r="C205" s="18" t="str">
        <f>UKG!BL202</f>
        <v>N</v>
      </c>
      <c r="D205" s="18" t="str">
        <f>UKG!BL202</f>
        <v>N</v>
      </c>
      <c r="H205" s="18" t="str">
        <f>UKG!BL202</f>
        <v>N</v>
      </c>
      <c r="I205" s="18" t="str">
        <f>UKG!BL202</f>
        <v>N</v>
      </c>
      <c r="J205" s="18" t="str">
        <f>UKG!BL202</f>
        <v>N</v>
      </c>
      <c r="R205" s="18" t="str">
        <f>UKG!AZ202</f>
        <v>205384</v>
      </c>
      <c r="S205" s="18" t="str">
        <f>UKG!AZ202</f>
        <v>205384</v>
      </c>
      <c r="AC205" s="18" t="str">
        <f>UKG!BL202</f>
        <v>N</v>
      </c>
      <c r="AD205" s="18" t="s">
        <v>1201</v>
      </c>
    </row>
    <row r="206" spans="1:30" ht="16" thickBot="1" x14ac:dyDescent="0.25">
      <c r="A206" s="39" t="s">
        <v>1528</v>
      </c>
      <c r="B206" s="77" t="str">
        <f>UKG!D203</f>
        <v>205199</v>
      </c>
      <c r="C206" s="18" t="str">
        <f>UKG!BL203</f>
        <v>N</v>
      </c>
      <c r="D206" s="18" t="str">
        <f>UKG!BL203</f>
        <v>N</v>
      </c>
      <c r="H206" s="18" t="str">
        <f>UKG!BL203</f>
        <v>N</v>
      </c>
      <c r="I206" s="18" t="str">
        <f>UKG!BL203</f>
        <v>N</v>
      </c>
      <c r="J206" s="18" t="str">
        <f>UKG!BL203</f>
        <v>N</v>
      </c>
      <c r="R206" s="18" t="str">
        <f>UKG!AZ203</f>
        <v>212110</v>
      </c>
      <c r="S206" s="18" t="str">
        <f>UKG!AZ203</f>
        <v>212110</v>
      </c>
      <c r="AC206" s="18" t="str">
        <f>UKG!BL203</f>
        <v>N</v>
      </c>
      <c r="AD206" s="18" t="s">
        <v>1201</v>
      </c>
    </row>
    <row r="207" spans="1:30" ht="16" thickBot="1" x14ac:dyDescent="0.25">
      <c r="A207" s="39" t="s">
        <v>1528</v>
      </c>
      <c r="B207" s="77" t="str">
        <f>UKG!D204</f>
        <v>205217</v>
      </c>
      <c r="C207" s="18" t="str">
        <f>UKG!BL204</f>
        <v>N</v>
      </c>
      <c r="D207" s="18" t="str">
        <f>UKG!BL204</f>
        <v>N</v>
      </c>
      <c r="H207" s="18" t="str">
        <f>UKG!BL204</f>
        <v>N</v>
      </c>
      <c r="I207" s="18" t="str">
        <f>UKG!BL204</f>
        <v>N</v>
      </c>
      <c r="J207" s="18" t="str">
        <f>UKG!BL204</f>
        <v>N</v>
      </c>
      <c r="R207" s="18" t="str">
        <f>UKG!AZ204</f>
        <v>212110</v>
      </c>
      <c r="S207" s="18" t="str">
        <f>UKG!AZ204</f>
        <v>212110</v>
      </c>
      <c r="AC207" s="18" t="str">
        <f>UKG!BL204</f>
        <v>N</v>
      </c>
      <c r="AD207" s="18" t="s">
        <v>1201</v>
      </c>
    </row>
    <row r="208" spans="1:30" ht="16" thickBot="1" x14ac:dyDescent="0.25">
      <c r="A208" s="39" t="s">
        <v>1528</v>
      </c>
      <c r="B208" s="77" t="str">
        <f>UKG!D205</f>
        <v>205196</v>
      </c>
      <c r="C208" s="18" t="str">
        <f>UKG!BL205</f>
        <v>N</v>
      </c>
      <c r="D208" s="18" t="str">
        <f>UKG!BL205</f>
        <v>N</v>
      </c>
      <c r="H208" s="18" t="str">
        <f>UKG!BL205</f>
        <v>N</v>
      </c>
      <c r="I208" s="18" t="str">
        <f>UKG!BL205</f>
        <v>N</v>
      </c>
      <c r="J208" s="18" t="str">
        <f>UKG!BL205</f>
        <v>N</v>
      </c>
      <c r="R208" s="18" t="str">
        <f>UKG!AZ205</f>
        <v>212110</v>
      </c>
      <c r="S208" s="18" t="str">
        <f>UKG!AZ205</f>
        <v>212110</v>
      </c>
      <c r="AC208" s="18" t="str">
        <f>UKG!BL205</f>
        <v>N</v>
      </c>
      <c r="AD208" s="18" t="s">
        <v>1201</v>
      </c>
    </row>
    <row r="209" spans="1:30" ht="16" thickBot="1" x14ac:dyDescent="0.25">
      <c r="A209" s="39" t="s">
        <v>1528</v>
      </c>
      <c r="B209" s="77" t="str">
        <f>UKG!D206</f>
        <v>205160</v>
      </c>
      <c r="C209" s="18" t="str">
        <f>UKG!BL206</f>
        <v>N</v>
      </c>
      <c r="D209" s="18" t="str">
        <f>UKG!BL206</f>
        <v>N</v>
      </c>
      <c r="H209" s="18" t="str">
        <f>UKG!BL206</f>
        <v>N</v>
      </c>
      <c r="I209" s="18" t="str">
        <f>UKG!BL206</f>
        <v>N</v>
      </c>
      <c r="J209" s="18" t="str">
        <f>UKG!BL206</f>
        <v>N</v>
      </c>
      <c r="R209" s="18" t="str">
        <f>UKG!AZ206</f>
        <v>205116</v>
      </c>
      <c r="S209" s="18" t="str">
        <f>UKG!AZ206</f>
        <v>205116</v>
      </c>
      <c r="AC209" s="18" t="str">
        <f>UKG!BL206</f>
        <v>N</v>
      </c>
      <c r="AD209" s="18" t="s">
        <v>1201</v>
      </c>
    </row>
    <row r="210" spans="1:30" ht="16" thickBot="1" x14ac:dyDescent="0.25">
      <c r="A210" s="39" t="s">
        <v>1528</v>
      </c>
      <c r="B210" s="77" t="str">
        <f>UKG!D207</f>
        <v>205266</v>
      </c>
      <c r="C210" s="18" t="str">
        <f>UKG!BL207</f>
        <v>N</v>
      </c>
      <c r="D210" s="18" t="str">
        <f>UKG!BL207</f>
        <v>N</v>
      </c>
      <c r="H210" s="18" t="str">
        <f>UKG!BL207</f>
        <v>N</v>
      </c>
      <c r="I210" s="18" t="str">
        <f>UKG!BL207</f>
        <v>N</v>
      </c>
      <c r="J210" s="18" t="str">
        <f>UKG!BL207</f>
        <v>N</v>
      </c>
      <c r="R210" s="18" t="str">
        <f>UKG!AZ207</f>
        <v>205315</v>
      </c>
      <c r="S210" s="18" t="str">
        <f>UKG!AZ207</f>
        <v>205315</v>
      </c>
      <c r="AC210" s="18" t="str">
        <f>UKG!BL207</f>
        <v>N</v>
      </c>
      <c r="AD210" s="18" t="s">
        <v>1201</v>
      </c>
    </row>
    <row r="211" spans="1:30" ht="16" thickBot="1" x14ac:dyDescent="0.25">
      <c r="A211" s="39" t="s">
        <v>1528</v>
      </c>
      <c r="B211" s="77" t="str">
        <f>UKG!D208</f>
        <v>205355</v>
      </c>
      <c r="C211" s="18" t="str">
        <f>UKG!BL208</f>
        <v>N</v>
      </c>
      <c r="D211" s="18" t="str">
        <f>UKG!BL208</f>
        <v>N</v>
      </c>
      <c r="H211" s="18" t="str">
        <f>UKG!BL208</f>
        <v>N</v>
      </c>
      <c r="I211" s="18" t="str">
        <f>UKG!BL208</f>
        <v>N</v>
      </c>
      <c r="J211" s="18" t="str">
        <f>UKG!BL208</f>
        <v>N</v>
      </c>
      <c r="R211" s="18" t="str">
        <f>UKG!AZ208</f>
        <v>205116</v>
      </c>
      <c r="S211" s="18" t="str">
        <f>UKG!AZ208</f>
        <v>205116</v>
      </c>
      <c r="AC211" s="18" t="str">
        <f>UKG!BL208</f>
        <v>N</v>
      </c>
      <c r="AD211" s="18" t="s">
        <v>1201</v>
      </c>
    </row>
    <row r="212" spans="1:30" ht="16" thickBot="1" x14ac:dyDescent="0.25">
      <c r="A212" s="39" t="s">
        <v>1528</v>
      </c>
      <c r="B212" s="77" t="str">
        <f>UKG!D209</f>
        <v>205112</v>
      </c>
      <c r="C212" s="18" t="str">
        <f>UKG!BL209</f>
        <v>N</v>
      </c>
      <c r="D212" s="18" t="str">
        <f>UKG!BL209</f>
        <v>N</v>
      </c>
      <c r="H212" s="18" t="str">
        <f>UKG!BL209</f>
        <v>N</v>
      </c>
      <c r="I212" s="18" t="str">
        <f>UKG!BL209</f>
        <v>N</v>
      </c>
      <c r="J212" s="18" t="str">
        <f>UKG!BL209</f>
        <v>N</v>
      </c>
      <c r="R212" s="18" t="str">
        <f>UKG!AZ209</f>
        <v>205384</v>
      </c>
      <c r="S212" s="18" t="str">
        <f>UKG!AZ209</f>
        <v>205384</v>
      </c>
      <c r="AC212" s="18" t="str">
        <f>UKG!BL209</f>
        <v>N</v>
      </c>
      <c r="AD212" s="18" t="s">
        <v>1201</v>
      </c>
    </row>
    <row r="213" spans="1:30" ht="16" thickBot="1" x14ac:dyDescent="0.25">
      <c r="A213" s="39" t="s">
        <v>1528</v>
      </c>
      <c r="B213" s="77" t="str">
        <f>UKG!D210</f>
        <v>205337</v>
      </c>
      <c r="C213" s="18" t="str">
        <f>UKG!BL210</f>
        <v>N</v>
      </c>
      <c r="D213" s="18" t="str">
        <f>UKG!BL210</f>
        <v>N</v>
      </c>
      <c r="H213" s="18" t="str">
        <f>UKG!BL210</f>
        <v>N</v>
      </c>
      <c r="I213" s="18" t="str">
        <f>UKG!BL210</f>
        <v>N</v>
      </c>
      <c r="J213" s="18" t="str">
        <f>UKG!BL210</f>
        <v>N</v>
      </c>
      <c r="R213" s="18" t="str">
        <f>UKG!AZ210</f>
        <v>211474</v>
      </c>
      <c r="S213" s="18" t="str">
        <f>UKG!AZ210</f>
        <v>211474</v>
      </c>
      <c r="AC213" s="18" t="str">
        <f>UKG!BL210</f>
        <v>N</v>
      </c>
      <c r="AD213" s="18" t="s">
        <v>1201</v>
      </c>
    </row>
    <row r="214" spans="1:30" ht="16" thickBot="1" x14ac:dyDescent="0.25">
      <c r="A214" s="39" t="s">
        <v>1528</v>
      </c>
      <c r="B214" s="77" t="str">
        <f>UKG!D211</f>
        <v>205339</v>
      </c>
      <c r="C214" s="18" t="str">
        <f>UKG!BL211</f>
        <v>N</v>
      </c>
      <c r="D214" s="18" t="str">
        <f>UKG!BL211</f>
        <v>N</v>
      </c>
      <c r="H214" s="18" t="str">
        <f>UKG!BL211</f>
        <v>N</v>
      </c>
      <c r="I214" s="18" t="str">
        <f>UKG!BL211</f>
        <v>N</v>
      </c>
      <c r="J214" s="18" t="str">
        <f>UKG!BL211</f>
        <v>N</v>
      </c>
      <c r="R214" s="18" t="str">
        <f>UKG!AZ211</f>
        <v>205116</v>
      </c>
      <c r="S214" s="18" t="str">
        <f>UKG!AZ211</f>
        <v>205116</v>
      </c>
      <c r="AC214" s="18" t="str">
        <f>UKG!BL211</f>
        <v>N</v>
      </c>
      <c r="AD214" s="18" t="s">
        <v>1201</v>
      </c>
    </row>
    <row r="215" spans="1:30" ht="16" thickBot="1" x14ac:dyDescent="0.25">
      <c r="A215" s="39" t="s">
        <v>1528</v>
      </c>
      <c r="B215" s="77" t="str">
        <f>UKG!D212</f>
        <v>205207</v>
      </c>
      <c r="C215" s="18" t="str">
        <f>UKG!BL212</f>
        <v>N</v>
      </c>
      <c r="D215" s="18" t="str">
        <f>UKG!BL212</f>
        <v>N</v>
      </c>
      <c r="H215" s="18" t="str">
        <f>UKG!BL212</f>
        <v>N</v>
      </c>
      <c r="I215" s="18" t="str">
        <f>UKG!BL212</f>
        <v>N</v>
      </c>
      <c r="J215" s="18" t="str">
        <f>UKG!BL212</f>
        <v>N</v>
      </c>
      <c r="R215" s="18" t="str">
        <f>UKG!AZ212</f>
        <v>212110</v>
      </c>
      <c r="S215" s="18" t="str">
        <f>UKG!AZ212</f>
        <v>212110</v>
      </c>
      <c r="AC215" s="18" t="str">
        <f>UKG!BL212</f>
        <v>N</v>
      </c>
      <c r="AD215" s="18" t="s">
        <v>1201</v>
      </c>
    </row>
    <row r="216" spans="1:30" ht="16" thickBot="1" x14ac:dyDescent="0.25">
      <c r="A216" s="39" t="s">
        <v>1528</v>
      </c>
      <c r="B216" s="77" t="str">
        <f>UKG!D213</f>
        <v>205284</v>
      </c>
      <c r="C216" s="18" t="str">
        <f>UKG!BL213</f>
        <v>N</v>
      </c>
      <c r="D216" s="18" t="str">
        <f>UKG!BL213</f>
        <v>N</v>
      </c>
      <c r="H216" s="18" t="str">
        <f>UKG!BL213</f>
        <v>N</v>
      </c>
      <c r="I216" s="18" t="str">
        <f>UKG!BL213</f>
        <v>N</v>
      </c>
      <c r="J216" s="18" t="str">
        <f>UKG!BL213</f>
        <v>N</v>
      </c>
      <c r="R216" s="18" t="str">
        <f>UKG!AZ213</f>
        <v>205315</v>
      </c>
      <c r="S216" s="18" t="str">
        <f>UKG!AZ213</f>
        <v>205315</v>
      </c>
      <c r="AC216" s="18" t="str">
        <f>UKG!BL213</f>
        <v>N</v>
      </c>
      <c r="AD216" s="18" t="s">
        <v>1201</v>
      </c>
    </row>
    <row r="217" spans="1:30" ht="16" thickBot="1" x14ac:dyDescent="0.25">
      <c r="A217" s="39" t="s">
        <v>1528</v>
      </c>
      <c r="B217" s="77" t="str">
        <f>UKG!D214</f>
        <v>205236</v>
      </c>
      <c r="C217" s="18" t="str">
        <f>UKG!BL214</f>
        <v>N</v>
      </c>
      <c r="D217" s="18" t="str">
        <f>UKG!BL214</f>
        <v>N</v>
      </c>
      <c r="H217" s="18" t="str">
        <f>UKG!BL214</f>
        <v>N</v>
      </c>
      <c r="I217" s="18" t="str">
        <f>UKG!BL214</f>
        <v>N</v>
      </c>
      <c r="J217" s="18" t="str">
        <f>UKG!BL214</f>
        <v>N</v>
      </c>
      <c r="R217" s="18" t="str">
        <f>UKG!AZ214</f>
        <v>212110</v>
      </c>
      <c r="S217" s="18" t="str">
        <f>UKG!AZ214</f>
        <v>212110</v>
      </c>
      <c r="AC217" s="18" t="str">
        <f>UKG!BL214</f>
        <v>N</v>
      </c>
      <c r="AD217" s="18" t="s">
        <v>1201</v>
      </c>
    </row>
    <row r="218" spans="1:30" ht="16" thickBot="1" x14ac:dyDescent="0.25">
      <c r="A218" s="39" t="s">
        <v>1528</v>
      </c>
      <c r="B218" s="77" t="str">
        <f>UKG!D215</f>
        <v>205141</v>
      </c>
      <c r="C218" s="18" t="str">
        <f>UKG!BL215</f>
        <v>N</v>
      </c>
      <c r="D218" s="18" t="str">
        <f>UKG!BL215</f>
        <v>N</v>
      </c>
      <c r="H218" s="18" t="str">
        <f>UKG!BL215</f>
        <v>N</v>
      </c>
      <c r="I218" s="18" t="str">
        <f>UKG!BL215</f>
        <v>N</v>
      </c>
      <c r="J218" s="18" t="str">
        <f>UKG!BL215</f>
        <v>N</v>
      </c>
      <c r="R218" s="18" t="str">
        <f>UKG!AZ215</f>
        <v>205383</v>
      </c>
      <c r="S218" s="18" t="str">
        <f>UKG!AZ215</f>
        <v>205383</v>
      </c>
      <c r="AC218" s="18" t="str">
        <f>UKG!BL215</f>
        <v>N</v>
      </c>
      <c r="AD218" s="18" t="s">
        <v>1201</v>
      </c>
    </row>
    <row r="219" spans="1:30" ht="16" thickBot="1" x14ac:dyDescent="0.25">
      <c r="A219" s="39" t="s">
        <v>1528</v>
      </c>
      <c r="B219" s="77" t="str">
        <f>UKG!D216</f>
        <v>205283</v>
      </c>
      <c r="C219" s="18" t="str">
        <f>UKG!BL216</f>
        <v>N</v>
      </c>
      <c r="D219" s="18" t="str">
        <f>UKG!BL216</f>
        <v>N</v>
      </c>
      <c r="H219" s="18" t="str">
        <f>UKG!BL216</f>
        <v>N</v>
      </c>
      <c r="I219" s="18" t="str">
        <f>UKG!BL216</f>
        <v>N</v>
      </c>
      <c r="J219" s="18" t="str">
        <f>UKG!BL216</f>
        <v>N</v>
      </c>
      <c r="R219" s="18" t="str">
        <f>UKG!AZ216</f>
        <v>212110</v>
      </c>
      <c r="S219" s="18" t="str">
        <f>UKG!AZ216</f>
        <v>212110</v>
      </c>
      <c r="AC219" s="18" t="str">
        <f>UKG!BL216</f>
        <v>N</v>
      </c>
      <c r="AD219" s="18" t="s">
        <v>1201</v>
      </c>
    </row>
    <row r="220" spans="1:30" ht="16" thickBot="1" x14ac:dyDescent="0.25">
      <c r="A220" s="39" t="s">
        <v>1528</v>
      </c>
      <c r="B220" s="77" t="str">
        <f>UKG!D217</f>
        <v>205192</v>
      </c>
      <c r="C220" s="18" t="str">
        <f>UKG!BL217</f>
        <v>N</v>
      </c>
      <c r="D220" s="18" t="str">
        <f>UKG!BL217</f>
        <v>N</v>
      </c>
      <c r="H220" s="18" t="str">
        <f>UKG!BL217</f>
        <v>N</v>
      </c>
      <c r="I220" s="18" t="str">
        <f>UKG!BL217</f>
        <v>N</v>
      </c>
      <c r="J220" s="18" t="str">
        <f>UKG!BL217</f>
        <v>N</v>
      </c>
      <c r="R220" s="18" t="str">
        <f>UKG!AZ217</f>
        <v>205315</v>
      </c>
      <c r="S220" s="18" t="str">
        <f>UKG!AZ217</f>
        <v>205315</v>
      </c>
      <c r="AC220" s="18" t="str">
        <f>UKG!BL217</f>
        <v>N</v>
      </c>
      <c r="AD220" s="18" t="s">
        <v>1201</v>
      </c>
    </row>
    <row r="221" spans="1:30" ht="16" thickBot="1" x14ac:dyDescent="0.25">
      <c r="A221" s="39" t="s">
        <v>1528</v>
      </c>
      <c r="B221" s="77" t="str">
        <f>UKG!D218</f>
        <v>205113</v>
      </c>
      <c r="C221" s="18" t="str">
        <f>UKG!BL218</f>
        <v>N</v>
      </c>
      <c r="D221" s="18" t="str">
        <f>UKG!BL218</f>
        <v>N</v>
      </c>
      <c r="H221" s="18" t="str">
        <f>UKG!BL218</f>
        <v>N</v>
      </c>
      <c r="I221" s="18" t="str">
        <f>UKG!BL218</f>
        <v>N</v>
      </c>
      <c r="J221" s="18" t="str">
        <f>UKG!BL218</f>
        <v>N</v>
      </c>
      <c r="R221" s="18" t="str">
        <f>UKG!AZ218</f>
        <v>211474</v>
      </c>
      <c r="S221" s="18" t="str">
        <f>UKG!AZ218</f>
        <v>211474</v>
      </c>
      <c r="AC221" s="18" t="str">
        <f>UKG!BL218</f>
        <v>N</v>
      </c>
      <c r="AD221" s="18" t="s">
        <v>1201</v>
      </c>
    </row>
    <row r="222" spans="1:30" ht="16" thickBot="1" x14ac:dyDescent="0.25">
      <c r="A222" s="39" t="s">
        <v>1528</v>
      </c>
      <c r="B222" s="77" t="str">
        <f>UKG!D219</f>
        <v>205146</v>
      </c>
      <c r="C222" s="18" t="str">
        <f>UKG!BL219</f>
        <v>N</v>
      </c>
      <c r="D222" s="18" t="str">
        <f>UKG!BL219</f>
        <v>N</v>
      </c>
      <c r="H222" s="18" t="str">
        <f>UKG!BL219</f>
        <v>N</v>
      </c>
      <c r="I222" s="18" t="str">
        <f>UKG!BL219</f>
        <v>N</v>
      </c>
      <c r="J222" s="18" t="str">
        <f>UKG!BL219</f>
        <v>N</v>
      </c>
      <c r="R222" s="18" t="str">
        <f>UKG!AZ219</f>
        <v>205383</v>
      </c>
      <c r="S222" s="18" t="str">
        <f>UKG!AZ219</f>
        <v>205383</v>
      </c>
      <c r="AC222" s="18" t="str">
        <f>UKG!BL219</f>
        <v>N</v>
      </c>
      <c r="AD222" s="18" t="s">
        <v>1201</v>
      </c>
    </row>
    <row r="223" spans="1:30" ht="16" thickBot="1" x14ac:dyDescent="0.25">
      <c r="A223" s="39" t="s">
        <v>1528</v>
      </c>
      <c r="B223" s="77" t="str">
        <f>UKG!D220</f>
        <v>205222</v>
      </c>
      <c r="C223" s="18" t="str">
        <f>UKG!BL220</f>
        <v>N</v>
      </c>
      <c r="D223" s="18" t="str">
        <f>UKG!BL220</f>
        <v>N</v>
      </c>
      <c r="H223" s="18" t="str">
        <f>UKG!BL220</f>
        <v>N</v>
      </c>
      <c r="I223" s="18" t="str">
        <f>UKG!BL220</f>
        <v>N</v>
      </c>
      <c r="J223" s="18" t="str">
        <f>UKG!BL220</f>
        <v>N</v>
      </c>
      <c r="R223" s="18" t="str">
        <f>UKG!AZ220</f>
        <v>205315</v>
      </c>
      <c r="S223" s="18" t="str">
        <f>UKG!AZ220</f>
        <v>205315</v>
      </c>
      <c r="AC223" s="18" t="str">
        <f>UKG!BL220</f>
        <v>N</v>
      </c>
      <c r="AD223" s="18" t="s">
        <v>1201</v>
      </c>
    </row>
    <row r="224" spans="1:30" ht="16" thickBot="1" x14ac:dyDescent="0.25">
      <c r="A224" s="39" t="s">
        <v>1528</v>
      </c>
      <c r="B224" s="77" t="str">
        <f>UKG!D221</f>
        <v>205193</v>
      </c>
      <c r="C224" s="18" t="str">
        <f>UKG!BL221</f>
        <v>N</v>
      </c>
      <c r="D224" s="18" t="str">
        <f>UKG!BL221</f>
        <v>N</v>
      </c>
      <c r="H224" s="18" t="str">
        <f>UKG!BL221</f>
        <v>N</v>
      </c>
      <c r="I224" s="18" t="str">
        <f>UKG!BL221</f>
        <v>N</v>
      </c>
      <c r="J224" s="18" t="str">
        <f>UKG!BL221</f>
        <v>N</v>
      </c>
      <c r="R224" s="18" t="str">
        <f>UKG!AZ221</f>
        <v>212110</v>
      </c>
      <c r="S224" s="18" t="str">
        <f>UKG!AZ221</f>
        <v>212110</v>
      </c>
      <c r="AC224" s="18" t="str">
        <f>UKG!BL221</f>
        <v>N</v>
      </c>
      <c r="AD224" s="18" t="s">
        <v>1201</v>
      </c>
    </row>
    <row r="225" spans="1:30" ht="16" thickBot="1" x14ac:dyDescent="0.25">
      <c r="A225" s="39" t="s">
        <v>1528</v>
      </c>
      <c r="B225" s="77" t="str">
        <f>UKG!D222</f>
        <v>205288</v>
      </c>
      <c r="C225" s="18" t="str">
        <f>UKG!BL222</f>
        <v>N</v>
      </c>
      <c r="D225" s="18" t="str">
        <f>UKG!BL222</f>
        <v>N</v>
      </c>
      <c r="H225" s="18" t="str">
        <f>UKG!BL222</f>
        <v>N</v>
      </c>
      <c r="I225" s="18" t="str">
        <f>UKG!BL222</f>
        <v>N</v>
      </c>
      <c r="J225" s="18" t="str">
        <f>UKG!BL222</f>
        <v>N</v>
      </c>
      <c r="R225" s="18" t="str">
        <f>UKG!AZ222</f>
        <v>205315</v>
      </c>
      <c r="S225" s="18" t="str">
        <f>UKG!AZ222</f>
        <v>205315</v>
      </c>
      <c r="AC225" s="18" t="str">
        <f>UKG!BL222</f>
        <v>N</v>
      </c>
      <c r="AD225" s="18" t="s">
        <v>1201</v>
      </c>
    </row>
    <row r="226" spans="1:30" ht="16" thickBot="1" x14ac:dyDescent="0.25">
      <c r="A226" s="39" t="s">
        <v>1528</v>
      </c>
      <c r="B226" s="77" t="str">
        <f>UKG!D223</f>
        <v>205188</v>
      </c>
      <c r="C226" s="18" t="str">
        <f>UKG!BL223</f>
        <v>N</v>
      </c>
      <c r="D226" s="18" t="str">
        <f>UKG!BL223</f>
        <v>N</v>
      </c>
      <c r="H226" s="18" t="str">
        <f>UKG!BL223</f>
        <v>N</v>
      </c>
      <c r="I226" s="18" t="str">
        <f>UKG!BL223</f>
        <v>N</v>
      </c>
      <c r="J226" s="18" t="str">
        <f>UKG!BL223</f>
        <v>N</v>
      </c>
      <c r="R226" s="18" t="str">
        <f>UKG!AZ223</f>
        <v>212110</v>
      </c>
      <c r="S226" s="18" t="str">
        <f>UKG!AZ223</f>
        <v>212110</v>
      </c>
      <c r="AC226" s="18" t="str">
        <f>UKG!BL223</f>
        <v>N</v>
      </c>
      <c r="AD226" s="18" t="s">
        <v>1201</v>
      </c>
    </row>
    <row r="227" spans="1:30" ht="16" thickBot="1" x14ac:dyDescent="0.25">
      <c r="A227" s="39" t="s">
        <v>1528</v>
      </c>
      <c r="B227" s="77" t="str">
        <f>UKG!D224</f>
        <v>205127</v>
      </c>
      <c r="C227" s="18" t="str">
        <f>UKG!BL224</f>
        <v>N</v>
      </c>
      <c r="D227" s="18" t="str">
        <f>UKG!BL224</f>
        <v>N</v>
      </c>
      <c r="H227" s="18" t="str">
        <f>UKG!BL224</f>
        <v>N</v>
      </c>
      <c r="I227" s="18" t="str">
        <f>UKG!BL224</f>
        <v>N</v>
      </c>
      <c r="J227" s="18" t="str">
        <f>UKG!BL224</f>
        <v>N</v>
      </c>
      <c r="R227" s="18" t="str">
        <f>UKG!AZ224</f>
        <v>205380</v>
      </c>
      <c r="S227" s="18" t="str">
        <f>UKG!AZ224</f>
        <v>205380</v>
      </c>
      <c r="AC227" s="18" t="str">
        <f>UKG!BL224</f>
        <v>N</v>
      </c>
      <c r="AD227" s="18" t="s">
        <v>1201</v>
      </c>
    </row>
    <row r="228" spans="1:30" ht="16" thickBot="1" x14ac:dyDescent="0.25">
      <c r="A228" s="39" t="s">
        <v>1528</v>
      </c>
      <c r="B228" s="77" t="str">
        <f>UKG!D225</f>
        <v>205219</v>
      </c>
      <c r="C228" s="18" t="str">
        <f>UKG!BL225</f>
        <v>N</v>
      </c>
      <c r="D228" s="18" t="str">
        <f>UKG!BL225</f>
        <v>N</v>
      </c>
      <c r="H228" s="18" t="str">
        <f>UKG!BL225</f>
        <v>N</v>
      </c>
      <c r="I228" s="18" t="str">
        <f>UKG!BL225</f>
        <v>N</v>
      </c>
      <c r="J228" s="18" t="str">
        <f>UKG!BL225</f>
        <v>N</v>
      </c>
      <c r="R228" s="18" t="str">
        <f>UKG!AZ225</f>
        <v>212110</v>
      </c>
      <c r="S228" s="18" t="str">
        <f>UKG!AZ225</f>
        <v>212110</v>
      </c>
      <c r="AC228" s="18" t="str">
        <f>UKG!BL225</f>
        <v>N</v>
      </c>
      <c r="AD228" s="18" t="s">
        <v>1201</v>
      </c>
    </row>
    <row r="229" spans="1:30" ht="16" thickBot="1" x14ac:dyDescent="0.25">
      <c r="A229" s="39" t="s">
        <v>1528</v>
      </c>
      <c r="B229" s="77" t="str">
        <f>UKG!D226</f>
        <v>205136</v>
      </c>
      <c r="C229" s="18" t="str">
        <f>UKG!BL226</f>
        <v>N</v>
      </c>
      <c r="D229" s="18" t="str">
        <f>UKG!BL226</f>
        <v>N</v>
      </c>
      <c r="H229" s="18" t="str">
        <f>UKG!BL226</f>
        <v>N</v>
      </c>
      <c r="I229" s="18" t="str">
        <f>UKG!BL226</f>
        <v>N</v>
      </c>
      <c r="J229" s="18" t="str">
        <f>UKG!BL226</f>
        <v>N</v>
      </c>
      <c r="R229" s="18" t="str">
        <f>UKG!AZ226</f>
        <v>205116</v>
      </c>
      <c r="S229" s="18" t="str">
        <f>UKG!AZ226</f>
        <v>205116</v>
      </c>
      <c r="AC229" s="18" t="str">
        <f>UKG!BL226</f>
        <v>N</v>
      </c>
      <c r="AD229" s="18" t="s">
        <v>1201</v>
      </c>
    </row>
    <row r="230" spans="1:30" ht="16" thickBot="1" x14ac:dyDescent="0.25">
      <c r="A230" s="39" t="s">
        <v>1528</v>
      </c>
      <c r="B230" s="77" t="str">
        <f>UKG!D227</f>
        <v>207176</v>
      </c>
      <c r="C230" s="18" t="str">
        <f>UKG!BL227</f>
        <v>N</v>
      </c>
      <c r="D230" s="18" t="str">
        <f>UKG!BL227</f>
        <v>N</v>
      </c>
      <c r="H230" s="18" t="str">
        <f>UKG!BL227</f>
        <v>N</v>
      </c>
      <c r="I230" s="18" t="str">
        <f>UKG!BL227</f>
        <v>N</v>
      </c>
      <c r="J230" s="18" t="str">
        <f>UKG!BL227</f>
        <v>N</v>
      </c>
      <c r="R230" s="18" t="str">
        <f>UKG!AZ227</f>
        <v>205383</v>
      </c>
      <c r="S230" s="18" t="str">
        <f>UKG!AZ227</f>
        <v>205383</v>
      </c>
      <c r="AC230" s="18" t="str">
        <f>UKG!BL227</f>
        <v>N</v>
      </c>
      <c r="AD230" s="18" t="s">
        <v>1201</v>
      </c>
    </row>
    <row r="231" spans="1:30" ht="16" thickBot="1" x14ac:dyDescent="0.25">
      <c r="A231" s="39" t="s">
        <v>1528</v>
      </c>
      <c r="B231" s="77" t="str">
        <f>UKG!D228</f>
        <v>205278</v>
      </c>
      <c r="C231" s="18" t="str">
        <f>UKG!BL228</f>
        <v>N</v>
      </c>
      <c r="D231" s="18" t="str">
        <f>UKG!BL228</f>
        <v>N</v>
      </c>
      <c r="H231" s="18" t="str">
        <f>UKG!BL228</f>
        <v>N</v>
      </c>
      <c r="I231" s="18" t="str">
        <f>UKG!BL228</f>
        <v>N</v>
      </c>
      <c r="J231" s="18" t="str">
        <f>UKG!BL228</f>
        <v>N</v>
      </c>
      <c r="R231" s="18" t="str">
        <f>UKG!AZ228</f>
        <v>205315</v>
      </c>
      <c r="S231" s="18" t="str">
        <f>UKG!AZ228</f>
        <v>205315</v>
      </c>
      <c r="AC231" s="18" t="str">
        <f>UKG!BL228</f>
        <v>N</v>
      </c>
      <c r="AD231" s="18" t="s">
        <v>1201</v>
      </c>
    </row>
    <row r="232" spans="1:30" ht="16" thickBot="1" x14ac:dyDescent="0.25">
      <c r="A232" s="39" t="s">
        <v>1528</v>
      </c>
      <c r="B232" s="77" t="str">
        <f>UKG!D229</f>
        <v>205235</v>
      </c>
      <c r="C232" s="18" t="str">
        <f>UKG!BL229</f>
        <v>N</v>
      </c>
      <c r="D232" s="18" t="str">
        <f>UKG!BL229</f>
        <v>N</v>
      </c>
      <c r="H232" s="18" t="str">
        <f>UKG!BL229</f>
        <v>N</v>
      </c>
      <c r="I232" s="18" t="str">
        <f>UKG!BL229</f>
        <v>N</v>
      </c>
      <c r="J232" s="18" t="str">
        <f>UKG!BL229</f>
        <v>N</v>
      </c>
      <c r="R232" s="18" t="str">
        <f>UKG!AZ229</f>
        <v>205315</v>
      </c>
      <c r="S232" s="18" t="str">
        <f>UKG!AZ229</f>
        <v>205315</v>
      </c>
      <c r="AC232" s="18" t="str">
        <f>UKG!BL229</f>
        <v>N</v>
      </c>
      <c r="AD232" s="18" t="s">
        <v>1201</v>
      </c>
    </row>
    <row r="233" spans="1:30" ht="16" thickBot="1" x14ac:dyDescent="0.25">
      <c r="A233" s="39" t="s">
        <v>1528</v>
      </c>
      <c r="B233" s="77" t="str">
        <f>UKG!D230</f>
        <v>205161</v>
      </c>
      <c r="C233" s="18" t="str">
        <f>UKG!BL230</f>
        <v>N</v>
      </c>
      <c r="D233" s="18" t="str">
        <f>UKG!BL230</f>
        <v>N</v>
      </c>
      <c r="H233" s="18" t="str">
        <f>UKG!BL230</f>
        <v>N</v>
      </c>
      <c r="I233" s="18" t="str">
        <f>UKG!BL230</f>
        <v>N</v>
      </c>
      <c r="J233" s="18" t="str">
        <f>UKG!BL230</f>
        <v>N</v>
      </c>
      <c r="R233" s="18" t="str">
        <f>UKG!AZ230</f>
        <v>205116</v>
      </c>
      <c r="S233" s="18" t="str">
        <f>UKG!AZ230</f>
        <v>205116</v>
      </c>
      <c r="AC233" s="18" t="str">
        <f>UKG!BL230</f>
        <v>N</v>
      </c>
      <c r="AD233" s="18" t="s">
        <v>1201</v>
      </c>
    </row>
    <row r="234" spans="1:30" ht="16" thickBot="1" x14ac:dyDescent="0.25">
      <c r="A234" s="39" t="s">
        <v>1528</v>
      </c>
      <c r="B234" s="77" t="str">
        <f>UKG!D231</f>
        <v>205210</v>
      </c>
      <c r="C234" s="18" t="str">
        <f>UKG!BL231</f>
        <v>N</v>
      </c>
      <c r="D234" s="18" t="str">
        <f>UKG!BL231</f>
        <v>N</v>
      </c>
      <c r="H234" s="18" t="str">
        <f>UKG!BL231</f>
        <v>N</v>
      </c>
      <c r="I234" s="18" t="str">
        <f>UKG!BL231</f>
        <v>N</v>
      </c>
      <c r="J234" s="18" t="str">
        <f>UKG!BL231</f>
        <v>N</v>
      </c>
      <c r="R234" s="18" t="str">
        <f>UKG!AZ231</f>
        <v>205315</v>
      </c>
      <c r="S234" s="18" t="str">
        <f>UKG!AZ231</f>
        <v>205315</v>
      </c>
      <c r="AC234" s="18" t="str">
        <f>UKG!BL231</f>
        <v>N</v>
      </c>
      <c r="AD234" s="18" t="s">
        <v>1201</v>
      </c>
    </row>
    <row r="235" spans="1:30" ht="16" thickBot="1" x14ac:dyDescent="0.25">
      <c r="A235" s="39" t="s">
        <v>1528</v>
      </c>
      <c r="B235" s="77" t="str">
        <f>UKG!D232</f>
        <v>205248</v>
      </c>
      <c r="C235" s="18" t="str">
        <f>UKG!BL232</f>
        <v>N</v>
      </c>
      <c r="D235" s="18" t="str">
        <f>UKG!BL232</f>
        <v>N</v>
      </c>
      <c r="H235" s="18" t="str">
        <f>UKG!BL232</f>
        <v>N</v>
      </c>
      <c r="I235" s="18" t="str">
        <f>UKG!BL232</f>
        <v>N</v>
      </c>
      <c r="J235" s="18" t="str">
        <f>UKG!BL232</f>
        <v>N</v>
      </c>
      <c r="R235" s="18" t="str">
        <f>UKG!AZ232</f>
        <v>205315</v>
      </c>
      <c r="S235" s="18" t="str">
        <f>UKG!AZ232</f>
        <v>205315</v>
      </c>
      <c r="AC235" s="18" t="str">
        <f>UKG!BL232</f>
        <v>N</v>
      </c>
      <c r="AD235" s="18" t="s">
        <v>1201</v>
      </c>
    </row>
    <row r="236" spans="1:30" ht="16" thickBot="1" x14ac:dyDescent="0.25">
      <c r="A236" s="39" t="s">
        <v>1528</v>
      </c>
      <c r="B236" s="77" t="str">
        <f>UKG!D233</f>
        <v>205176</v>
      </c>
      <c r="C236" s="18" t="str">
        <f>UKG!BL233</f>
        <v>N</v>
      </c>
      <c r="D236" s="18" t="str">
        <f>UKG!BL233</f>
        <v>N</v>
      </c>
      <c r="H236" s="18" t="str">
        <f>UKG!BL233</f>
        <v>N</v>
      </c>
      <c r="I236" s="18" t="str">
        <f>UKG!BL233</f>
        <v>N</v>
      </c>
      <c r="J236" s="18" t="str">
        <f>UKG!BL233</f>
        <v>N</v>
      </c>
      <c r="R236" s="18" t="str">
        <f>UKG!AZ233</f>
        <v>213460</v>
      </c>
      <c r="S236" s="18" t="str">
        <f>UKG!AZ233</f>
        <v>213460</v>
      </c>
      <c r="AC236" s="18" t="str">
        <f>UKG!BL233</f>
        <v>N</v>
      </c>
      <c r="AD236" s="18" t="s">
        <v>1201</v>
      </c>
    </row>
    <row r="237" spans="1:30" ht="16" thickBot="1" x14ac:dyDescent="0.25">
      <c r="A237" s="39" t="s">
        <v>1528</v>
      </c>
      <c r="B237" s="77" t="str">
        <f>UKG!D234</f>
        <v>205306</v>
      </c>
      <c r="C237" s="18" t="str">
        <f>UKG!BL234</f>
        <v>N</v>
      </c>
      <c r="D237" s="18" t="str">
        <f>UKG!BL234</f>
        <v>N</v>
      </c>
      <c r="H237" s="18" t="str">
        <f>UKG!BL234</f>
        <v>N</v>
      </c>
      <c r="I237" s="18" t="str">
        <f>UKG!BL234</f>
        <v>N</v>
      </c>
      <c r="J237" s="18" t="str">
        <f>UKG!BL234</f>
        <v>N</v>
      </c>
      <c r="R237" s="18" t="str">
        <f>UKG!AZ234</f>
        <v>205384</v>
      </c>
      <c r="S237" s="18" t="str">
        <f>UKG!AZ234</f>
        <v>205384</v>
      </c>
      <c r="AC237" s="18" t="str">
        <f>UKG!BL234</f>
        <v>N</v>
      </c>
      <c r="AD237" s="18" t="s">
        <v>1201</v>
      </c>
    </row>
    <row r="238" spans="1:30" ht="16" thickBot="1" x14ac:dyDescent="0.25">
      <c r="A238" s="39" t="s">
        <v>1528</v>
      </c>
      <c r="B238" s="77" t="str">
        <f>UKG!D235</f>
        <v>205171</v>
      </c>
      <c r="C238" s="18" t="str">
        <f>UKG!BL235</f>
        <v>N</v>
      </c>
      <c r="D238" s="18" t="str">
        <f>UKG!BL235</f>
        <v>N</v>
      </c>
      <c r="H238" s="18" t="str">
        <f>UKG!BL235</f>
        <v>N</v>
      </c>
      <c r="I238" s="18" t="str">
        <f>UKG!BL235</f>
        <v>N</v>
      </c>
      <c r="J238" s="18" t="str">
        <f>UKG!BL235</f>
        <v>N</v>
      </c>
      <c r="R238" s="18" t="str">
        <f>UKG!AZ235</f>
        <v>205383</v>
      </c>
      <c r="S238" s="18" t="str">
        <f>UKG!AZ235</f>
        <v>205383</v>
      </c>
      <c r="AC238" s="18" t="str">
        <f>UKG!BL235</f>
        <v>N</v>
      </c>
      <c r="AD238" s="18" t="s">
        <v>1201</v>
      </c>
    </row>
    <row r="239" spans="1:30" ht="16" thickBot="1" x14ac:dyDescent="0.25">
      <c r="A239" s="39" t="s">
        <v>1528</v>
      </c>
      <c r="B239" s="77" t="str">
        <f>UKG!D236</f>
        <v>205270</v>
      </c>
      <c r="C239" s="18" t="str">
        <f>UKG!BL236</f>
        <v>N</v>
      </c>
      <c r="D239" s="18" t="str">
        <f>UKG!BL236</f>
        <v>N</v>
      </c>
      <c r="H239" s="18" t="str">
        <f>UKG!BL236</f>
        <v>N</v>
      </c>
      <c r="I239" s="18" t="str">
        <f>UKG!BL236</f>
        <v>N</v>
      </c>
      <c r="J239" s="18" t="str">
        <f>UKG!BL236</f>
        <v>N</v>
      </c>
      <c r="R239" s="18" t="str">
        <f>UKG!AZ236</f>
        <v>205380</v>
      </c>
      <c r="S239" s="18" t="str">
        <f>UKG!AZ236</f>
        <v>205380</v>
      </c>
      <c r="AC239" s="18" t="str">
        <f>UKG!BL236</f>
        <v>N</v>
      </c>
      <c r="AD239" s="18" t="s">
        <v>1201</v>
      </c>
    </row>
    <row r="240" spans="1:30" ht="16" thickBot="1" x14ac:dyDescent="0.25">
      <c r="A240" s="39" t="s">
        <v>1528</v>
      </c>
      <c r="B240" s="77" t="str">
        <f>UKG!D237</f>
        <v>205221</v>
      </c>
      <c r="C240" s="18" t="str">
        <f>UKG!BL237</f>
        <v>N</v>
      </c>
      <c r="D240" s="18" t="str">
        <f>UKG!BL237</f>
        <v>N</v>
      </c>
      <c r="H240" s="18" t="str">
        <f>UKG!BL237</f>
        <v>N</v>
      </c>
      <c r="I240" s="18" t="str">
        <f>UKG!BL237</f>
        <v>N</v>
      </c>
      <c r="J240" s="18" t="str">
        <f>UKG!BL237</f>
        <v>N</v>
      </c>
      <c r="R240" s="18" t="str">
        <f>UKG!AZ237</f>
        <v>205315</v>
      </c>
      <c r="S240" s="18" t="str">
        <f>UKG!AZ237</f>
        <v>205315</v>
      </c>
      <c r="AC240" s="18" t="str">
        <f>UKG!BL237</f>
        <v>N</v>
      </c>
      <c r="AD240" s="18" t="s">
        <v>1201</v>
      </c>
    </row>
    <row r="241" spans="1:30" ht="16" thickBot="1" x14ac:dyDescent="0.25">
      <c r="A241" s="39" t="s">
        <v>1528</v>
      </c>
      <c r="B241" s="77" t="str">
        <f>UKG!D238</f>
        <v>205155</v>
      </c>
      <c r="C241" s="18" t="str">
        <f>UKG!BL238</f>
        <v>N</v>
      </c>
      <c r="D241" s="18" t="str">
        <f>UKG!BL238</f>
        <v>N</v>
      </c>
      <c r="H241" s="18" t="str">
        <f>UKG!BL238</f>
        <v>N</v>
      </c>
      <c r="I241" s="18" t="str">
        <f>UKG!BL238</f>
        <v>N</v>
      </c>
      <c r="J241" s="18" t="str">
        <f>UKG!BL238</f>
        <v>N</v>
      </c>
      <c r="R241" s="18" t="str">
        <f>UKG!AZ238</f>
        <v>205116</v>
      </c>
      <c r="S241" s="18" t="str">
        <f>UKG!AZ238</f>
        <v>205116</v>
      </c>
      <c r="AC241" s="18" t="str">
        <f>UKG!BL238</f>
        <v>N</v>
      </c>
      <c r="AD241" s="18" t="s">
        <v>1201</v>
      </c>
    </row>
    <row r="242" spans="1:30" ht="16" thickBot="1" x14ac:dyDescent="0.25">
      <c r="A242" s="39" t="s">
        <v>1528</v>
      </c>
      <c r="B242" s="77" t="str">
        <f>UKG!D239</f>
        <v>205247</v>
      </c>
      <c r="C242" s="18" t="str">
        <f>UKG!BL239</f>
        <v>N</v>
      </c>
      <c r="D242" s="18" t="str">
        <f>UKG!BL239</f>
        <v>N</v>
      </c>
      <c r="H242" s="18" t="str">
        <f>UKG!BL239</f>
        <v>N</v>
      </c>
      <c r="I242" s="18" t="str">
        <f>UKG!BL239</f>
        <v>N</v>
      </c>
      <c r="J242" s="18" t="str">
        <f>UKG!BL239</f>
        <v>N</v>
      </c>
      <c r="R242" s="18" t="str">
        <f>UKG!AZ239</f>
        <v>212110</v>
      </c>
      <c r="S242" s="18" t="str">
        <f>UKG!AZ239</f>
        <v>212110</v>
      </c>
      <c r="AC242" s="18" t="str">
        <f>UKG!BL239</f>
        <v>N</v>
      </c>
      <c r="AD242" s="18" t="s">
        <v>1201</v>
      </c>
    </row>
    <row r="243" spans="1:30" ht="16" thickBot="1" x14ac:dyDescent="0.25">
      <c r="A243" s="39" t="s">
        <v>1528</v>
      </c>
      <c r="B243" s="77" t="str">
        <f>UKG!D240</f>
        <v>205246</v>
      </c>
      <c r="C243" s="18" t="str">
        <f>UKG!BL240</f>
        <v>N</v>
      </c>
      <c r="D243" s="18" t="str">
        <f>UKG!BL240</f>
        <v>N</v>
      </c>
      <c r="H243" s="18" t="str">
        <f>UKG!BL240</f>
        <v>N</v>
      </c>
      <c r="I243" s="18" t="str">
        <f>UKG!BL240</f>
        <v>N</v>
      </c>
      <c r="J243" s="18" t="str">
        <f>UKG!BL240</f>
        <v>N</v>
      </c>
      <c r="R243" s="18" t="str">
        <f>UKG!AZ240</f>
        <v>205383</v>
      </c>
      <c r="S243" s="18" t="str">
        <f>UKG!AZ240</f>
        <v>205383</v>
      </c>
      <c r="AC243" s="18" t="str">
        <f>UKG!BL240</f>
        <v>N</v>
      </c>
      <c r="AD243" s="18" t="s">
        <v>1201</v>
      </c>
    </row>
    <row r="244" spans="1:30" ht="16" thickBot="1" x14ac:dyDescent="0.25">
      <c r="A244" s="39" t="s">
        <v>1528</v>
      </c>
      <c r="B244" s="77" t="str">
        <f>UKG!D241</f>
        <v>205182</v>
      </c>
      <c r="C244" s="18" t="str">
        <f>UKG!BL241</f>
        <v>N</v>
      </c>
      <c r="D244" s="18" t="str">
        <f>UKG!BL241</f>
        <v>N</v>
      </c>
      <c r="H244" s="18" t="str">
        <f>UKG!BL241</f>
        <v>N</v>
      </c>
      <c r="I244" s="18" t="str">
        <f>UKG!BL241</f>
        <v>N</v>
      </c>
      <c r="J244" s="18" t="str">
        <f>UKG!BL241</f>
        <v>N</v>
      </c>
      <c r="R244" s="18" t="str">
        <f>UKG!AZ241</f>
        <v>205315</v>
      </c>
      <c r="S244" s="18" t="str">
        <f>UKG!AZ241</f>
        <v>205315</v>
      </c>
      <c r="AC244" s="18" t="str">
        <f>UKG!BL241</f>
        <v>N</v>
      </c>
      <c r="AD244" s="18" t="s">
        <v>1201</v>
      </c>
    </row>
    <row r="245" spans="1:30" ht="16" thickBot="1" x14ac:dyDescent="0.25">
      <c r="A245" s="39" t="s">
        <v>1528</v>
      </c>
      <c r="B245" s="77" t="str">
        <f>UKG!D242</f>
        <v>205126</v>
      </c>
      <c r="C245" s="18" t="str">
        <f>UKG!BL242</f>
        <v>N</v>
      </c>
      <c r="D245" s="18" t="str">
        <f>UKG!BL242</f>
        <v>N</v>
      </c>
      <c r="H245" s="18" t="str">
        <f>UKG!BL242</f>
        <v>N</v>
      </c>
      <c r="I245" s="18" t="str">
        <f>UKG!BL242</f>
        <v>N</v>
      </c>
      <c r="J245" s="18" t="str">
        <f>UKG!BL242</f>
        <v>N</v>
      </c>
      <c r="R245" s="18" t="str">
        <f>UKG!AZ242</f>
        <v>205383</v>
      </c>
      <c r="S245" s="18" t="str">
        <f>UKG!AZ242</f>
        <v>205383</v>
      </c>
      <c r="AC245" s="18" t="str">
        <f>UKG!BL242</f>
        <v>N</v>
      </c>
      <c r="AD245" s="18" t="s">
        <v>1201</v>
      </c>
    </row>
    <row r="246" spans="1:30" ht="16" thickBot="1" x14ac:dyDescent="0.25">
      <c r="A246" s="39" t="s">
        <v>1528</v>
      </c>
      <c r="B246" s="77" t="str">
        <f>UKG!D243</f>
        <v>205203</v>
      </c>
      <c r="C246" s="18" t="str">
        <f>UKG!BL243</f>
        <v>N</v>
      </c>
      <c r="D246" s="18" t="str">
        <f>UKG!BL243</f>
        <v>N</v>
      </c>
      <c r="H246" s="18" t="str">
        <f>UKG!BL243</f>
        <v>N</v>
      </c>
      <c r="I246" s="18" t="str">
        <f>UKG!BL243</f>
        <v>N</v>
      </c>
      <c r="J246" s="18" t="str">
        <f>UKG!BL243</f>
        <v>N</v>
      </c>
      <c r="R246" s="18" t="str">
        <f>UKG!AZ243</f>
        <v>205315</v>
      </c>
      <c r="S246" s="18" t="str">
        <f>UKG!AZ243</f>
        <v>205315</v>
      </c>
      <c r="AC246" s="18" t="str">
        <f>UKG!BL243</f>
        <v>N</v>
      </c>
      <c r="AD246" s="18" t="s">
        <v>1201</v>
      </c>
    </row>
    <row r="247" spans="1:30" ht="16" thickBot="1" x14ac:dyDescent="0.25">
      <c r="A247" s="39" t="s">
        <v>1528</v>
      </c>
      <c r="B247" s="77" t="str">
        <f>UKG!D244</f>
        <v>205351</v>
      </c>
      <c r="C247" s="18" t="str">
        <f>UKG!BL244</f>
        <v>N</v>
      </c>
      <c r="D247" s="18" t="str">
        <f>UKG!BL244</f>
        <v>N</v>
      </c>
      <c r="H247" s="18" t="str">
        <f>UKG!BL244</f>
        <v>N</v>
      </c>
      <c r="I247" s="18" t="str">
        <f>UKG!BL244</f>
        <v>N</v>
      </c>
      <c r="J247" s="18" t="str">
        <f>UKG!BL244</f>
        <v>N</v>
      </c>
      <c r="R247" s="18" t="str">
        <f>UKG!AZ244</f>
        <v>205116</v>
      </c>
      <c r="S247" s="18" t="str">
        <f>UKG!AZ244</f>
        <v>205116</v>
      </c>
      <c r="AC247" s="18" t="str">
        <f>UKG!BL244</f>
        <v>N</v>
      </c>
      <c r="AD247" s="18" t="s">
        <v>1201</v>
      </c>
    </row>
    <row r="248" spans="1:30" ht="16" thickBot="1" x14ac:dyDescent="0.25">
      <c r="A248" s="39" t="s">
        <v>1528</v>
      </c>
      <c r="B248" s="77" t="str">
        <f>UKG!D245</f>
        <v>205353</v>
      </c>
      <c r="C248" s="18" t="str">
        <f>UKG!BL245</f>
        <v>N</v>
      </c>
      <c r="D248" s="18" t="str">
        <f>UKG!BL245</f>
        <v>N</v>
      </c>
      <c r="H248" s="18" t="str">
        <f>UKG!BL245</f>
        <v>N</v>
      </c>
      <c r="I248" s="18" t="str">
        <f>UKG!BL245</f>
        <v>N</v>
      </c>
      <c r="J248" s="18" t="str">
        <f>UKG!BL245</f>
        <v>N</v>
      </c>
      <c r="R248" s="18" t="str">
        <f>UKG!AZ245</f>
        <v>205116</v>
      </c>
      <c r="S248" s="18" t="str">
        <f>UKG!AZ245</f>
        <v>205116</v>
      </c>
      <c r="AC248" s="18" t="str">
        <f>UKG!BL245</f>
        <v>N</v>
      </c>
      <c r="AD248" s="18" t="s">
        <v>1201</v>
      </c>
    </row>
    <row r="249" spans="1:30" ht="16" thickBot="1" x14ac:dyDescent="0.25">
      <c r="A249" s="39" t="s">
        <v>1528</v>
      </c>
      <c r="B249" s="77" t="str">
        <f>UKG!D246</f>
        <v>205279</v>
      </c>
      <c r="C249" s="18" t="str">
        <f>UKG!BL246</f>
        <v>N</v>
      </c>
      <c r="D249" s="18" t="str">
        <f>UKG!BL246</f>
        <v>N</v>
      </c>
      <c r="H249" s="18" t="str">
        <f>UKG!BL246</f>
        <v>N</v>
      </c>
      <c r="I249" s="18" t="str">
        <f>UKG!BL246</f>
        <v>N</v>
      </c>
      <c r="J249" s="18" t="str">
        <f>UKG!BL246</f>
        <v>N</v>
      </c>
      <c r="R249" s="18" t="str">
        <f>UKG!AZ246</f>
        <v>205383</v>
      </c>
      <c r="S249" s="18" t="str">
        <f>UKG!AZ246</f>
        <v>205383</v>
      </c>
      <c r="AC249" s="18" t="str">
        <f>UKG!BL246</f>
        <v>N</v>
      </c>
      <c r="AD249" s="18" t="s">
        <v>1201</v>
      </c>
    </row>
    <row r="250" spans="1:30" ht="16" thickBot="1" x14ac:dyDescent="0.25">
      <c r="A250" s="39" t="s">
        <v>1528</v>
      </c>
      <c r="B250" s="77" t="str">
        <f>UKG!D247</f>
        <v>205162</v>
      </c>
      <c r="C250" s="18" t="str">
        <f>UKG!BL247</f>
        <v>N</v>
      </c>
      <c r="D250" s="18" t="str">
        <f>UKG!BL247</f>
        <v>N</v>
      </c>
      <c r="H250" s="18" t="str">
        <f>UKG!BL247</f>
        <v>N</v>
      </c>
      <c r="I250" s="18" t="str">
        <f>UKG!BL247</f>
        <v>N</v>
      </c>
      <c r="J250" s="18" t="str">
        <f>UKG!BL247</f>
        <v>N</v>
      </c>
      <c r="R250" s="18" t="str">
        <f>UKG!AZ247</f>
        <v>205383</v>
      </c>
      <c r="S250" s="18" t="str">
        <f>UKG!AZ247</f>
        <v>205383</v>
      </c>
      <c r="AC250" s="18" t="str">
        <f>UKG!BL247</f>
        <v>N</v>
      </c>
      <c r="AD250" s="18" t="s">
        <v>1201</v>
      </c>
    </row>
    <row r="251" spans="1:30" ht="16" thickBot="1" x14ac:dyDescent="0.25">
      <c r="A251" s="39" t="s">
        <v>1528</v>
      </c>
      <c r="B251" s="77" t="str">
        <f>UKG!D248</f>
        <v>205317</v>
      </c>
      <c r="C251" s="18" t="str">
        <f>UKG!BL248</f>
        <v>N</v>
      </c>
      <c r="D251" s="18" t="str">
        <f>UKG!BL248</f>
        <v>N</v>
      </c>
      <c r="H251" s="18" t="str">
        <f>UKG!BL248</f>
        <v>N</v>
      </c>
      <c r="I251" s="18" t="str">
        <f>UKG!BL248</f>
        <v>N</v>
      </c>
      <c r="J251" s="18" t="str">
        <f>UKG!BL248</f>
        <v>N</v>
      </c>
      <c r="R251" s="18" t="str">
        <f>UKG!AZ248</f>
        <v>212110</v>
      </c>
      <c r="S251" s="18" t="str">
        <f>UKG!AZ248</f>
        <v>212110</v>
      </c>
      <c r="AC251" s="18" t="str">
        <f>UKG!BL248</f>
        <v>N</v>
      </c>
      <c r="AD251" s="18" t="s">
        <v>1201</v>
      </c>
    </row>
    <row r="252" spans="1:30" ht="16" thickBot="1" x14ac:dyDescent="0.25">
      <c r="A252" s="39" t="s">
        <v>1528</v>
      </c>
      <c r="B252" s="77" t="str">
        <f>UKG!D249</f>
        <v>205231</v>
      </c>
      <c r="C252" s="18" t="str">
        <f>UKG!BL249</f>
        <v>N</v>
      </c>
      <c r="D252" s="18" t="str">
        <f>UKG!BL249</f>
        <v>N</v>
      </c>
      <c r="H252" s="18" t="str">
        <f>UKG!BL249</f>
        <v>N</v>
      </c>
      <c r="I252" s="18" t="str">
        <f>UKG!BL249</f>
        <v>N</v>
      </c>
      <c r="J252" s="18" t="str">
        <f>UKG!BL249</f>
        <v>N</v>
      </c>
      <c r="R252" s="18" t="str">
        <f>UKG!AZ249</f>
        <v>205384</v>
      </c>
      <c r="S252" s="18" t="str">
        <f>UKG!AZ249</f>
        <v>205384</v>
      </c>
      <c r="AC252" s="18" t="str">
        <f>UKG!BL249</f>
        <v>N</v>
      </c>
      <c r="AD252" s="18" t="s">
        <v>1201</v>
      </c>
    </row>
    <row r="253" spans="1:30" ht="16" thickBot="1" x14ac:dyDescent="0.25">
      <c r="A253" s="39" t="s">
        <v>1528</v>
      </c>
      <c r="B253" s="77" t="str">
        <f>UKG!D250</f>
        <v>205327</v>
      </c>
      <c r="C253" s="18" t="str">
        <f>UKG!BL250</f>
        <v>N</v>
      </c>
      <c r="D253" s="18" t="str">
        <f>UKG!BL250</f>
        <v>N</v>
      </c>
      <c r="H253" s="18" t="str">
        <f>UKG!BL250</f>
        <v>N</v>
      </c>
      <c r="I253" s="18" t="str">
        <f>UKG!BL250</f>
        <v>N</v>
      </c>
      <c r="J253" s="18" t="str">
        <f>UKG!BL250</f>
        <v>N</v>
      </c>
      <c r="R253" s="18" t="str">
        <f>UKG!AZ250</f>
        <v>205315</v>
      </c>
      <c r="S253" s="18" t="str">
        <f>UKG!AZ250</f>
        <v>205315</v>
      </c>
      <c r="AC253" s="18" t="str">
        <f>UKG!BL250</f>
        <v>N</v>
      </c>
      <c r="AD253" s="18" t="s">
        <v>1201</v>
      </c>
    </row>
    <row r="254" spans="1:30" ht="16" thickBot="1" x14ac:dyDescent="0.25">
      <c r="A254" s="39" t="s">
        <v>1528</v>
      </c>
      <c r="B254" s="77" t="str">
        <f>UKG!D251</f>
        <v>205152</v>
      </c>
      <c r="C254" s="18" t="str">
        <f>UKG!BL251</f>
        <v>N</v>
      </c>
      <c r="D254" s="18" t="str">
        <f>UKG!BL251</f>
        <v>N</v>
      </c>
      <c r="H254" s="18" t="str">
        <f>UKG!BL251</f>
        <v>N</v>
      </c>
      <c r="I254" s="18" t="str">
        <f>UKG!BL251</f>
        <v>N</v>
      </c>
      <c r="J254" s="18" t="str">
        <f>UKG!BL251</f>
        <v>N</v>
      </c>
      <c r="R254" s="18" t="str">
        <f>UKG!AZ251</f>
        <v>205383</v>
      </c>
      <c r="S254" s="18" t="str">
        <f>UKG!AZ251</f>
        <v>205383</v>
      </c>
      <c r="AC254" s="18" t="str">
        <f>UKG!BL251</f>
        <v>N</v>
      </c>
      <c r="AD254" s="18" t="s">
        <v>1201</v>
      </c>
    </row>
    <row r="255" spans="1:30" ht="16" thickBot="1" x14ac:dyDescent="0.25">
      <c r="A255" s="39" t="s">
        <v>1528</v>
      </c>
      <c r="B255" s="77" t="str">
        <f>UKG!D252</f>
        <v>205296</v>
      </c>
      <c r="C255" s="18" t="str">
        <f>UKG!BL252</f>
        <v>N</v>
      </c>
      <c r="D255" s="18" t="str">
        <f>UKG!BL252</f>
        <v>N</v>
      </c>
      <c r="H255" s="18" t="str">
        <f>UKG!BL252</f>
        <v>N</v>
      </c>
      <c r="I255" s="18" t="str">
        <f>UKG!BL252</f>
        <v>N</v>
      </c>
      <c r="J255" s="18" t="str">
        <f>UKG!BL252</f>
        <v>N</v>
      </c>
      <c r="R255" s="18" t="str">
        <f>UKG!AZ252</f>
        <v>212110</v>
      </c>
      <c r="S255" s="18" t="str">
        <f>UKG!AZ252</f>
        <v>212110</v>
      </c>
      <c r="AC255" s="18" t="str">
        <f>UKG!BL252</f>
        <v>N</v>
      </c>
      <c r="AD255" s="18" t="s">
        <v>1201</v>
      </c>
    </row>
    <row r="256" spans="1:30" ht="16" thickBot="1" x14ac:dyDescent="0.25">
      <c r="A256" s="39" t="s">
        <v>1528</v>
      </c>
      <c r="B256" s="77" t="str">
        <f>UKG!D253</f>
        <v>205173</v>
      </c>
      <c r="C256" s="18" t="str">
        <f>UKG!BL253</f>
        <v>N</v>
      </c>
      <c r="D256" s="18" t="str">
        <f>UKG!BL253</f>
        <v>N</v>
      </c>
      <c r="H256" s="18" t="str">
        <f>UKG!BL253</f>
        <v>N</v>
      </c>
      <c r="I256" s="18" t="str">
        <f>UKG!BL253</f>
        <v>N</v>
      </c>
      <c r="J256" s="18" t="str">
        <f>UKG!BL253</f>
        <v>N</v>
      </c>
      <c r="R256" s="18" t="str">
        <f>UKG!AZ253</f>
        <v>205383</v>
      </c>
      <c r="S256" s="18" t="str">
        <f>UKG!AZ253</f>
        <v>205383</v>
      </c>
      <c r="AC256" s="18" t="str">
        <f>UKG!BL253</f>
        <v>N</v>
      </c>
      <c r="AD256" s="18" t="s">
        <v>1201</v>
      </c>
    </row>
    <row r="257" spans="1:30" ht="16" thickBot="1" x14ac:dyDescent="0.25">
      <c r="A257" s="39" t="s">
        <v>1528</v>
      </c>
      <c r="B257" s="77" t="str">
        <f>UKG!D254</f>
        <v>205195</v>
      </c>
      <c r="C257" s="18" t="str">
        <f>UKG!BL254</f>
        <v>N</v>
      </c>
      <c r="D257" s="18" t="str">
        <f>UKG!BL254</f>
        <v>N</v>
      </c>
      <c r="H257" s="18" t="str">
        <f>UKG!BL254</f>
        <v>N</v>
      </c>
      <c r="I257" s="18" t="str">
        <f>UKG!BL254</f>
        <v>N</v>
      </c>
      <c r="J257" s="18" t="str">
        <f>UKG!BL254</f>
        <v>N</v>
      </c>
      <c r="R257" s="18" t="str">
        <f>UKG!AZ254</f>
        <v>205315</v>
      </c>
      <c r="S257" s="18" t="str">
        <f>UKG!AZ254</f>
        <v>205315</v>
      </c>
      <c r="AC257" s="18" t="str">
        <f>UKG!BL254</f>
        <v>N</v>
      </c>
      <c r="AD257" s="18" t="s">
        <v>1201</v>
      </c>
    </row>
    <row r="258" spans="1:30" ht="16" thickBot="1" x14ac:dyDescent="0.25">
      <c r="A258" s="39" t="s">
        <v>1528</v>
      </c>
      <c r="B258" s="77" t="str">
        <f>UKG!D255</f>
        <v>205181</v>
      </c>
      <c r="C258" s="18" t="str">
        <f>UKG!BL255</f>
        <v>N</v>
      </c>
      <c r="D258" s="18" t="str">
        <f>UKG!BL255</f>
        <v>N</v>
      </c>
      <c r="H258" s="18" t="str">
        <f>UKG!BL255</f>
        <v>N</v>
      </c>
      <c r="I258" s="18" t="str">
        <f>UKG!BL255</f>
        <v>N</v>
      </c>
      <c r="J258" s="18" t="str">
        <f>UKG!BL255</f>
        <v>N</v>
      </c>
      <c r="R258" s="18" t="str">
        <f>UKG!AZ255</f>
        <v>205383</v>
      </c>
      <c r="S258" s="18" t="str">
        <f>UKG!AZ255</f>
        <v>205383</v>
      </c>
      <c r="AC258" s="18" t="str">
        <f>UKG!BL255</f>
        <v>N</v>
      </c>
      <c r="AD258" s="18" t="s">
        <v>1201</v>
      </c>
    </row>
    <row r="259" spans="1:30" ht="16" thickBot="1" x14ac:dyDescent="0.25">
      <c r="A259" s="39" t="s">
        <v>1528</v>
      </c>
      <c r="B259" s="77" t="str">
        <f>UKG!D256</f>
        <v>205340</v>
      </c>
      <c r="C259" s="18" t="str">
        <f>UKG!BL256</f>
        <v>N</v>
      </c>
      <c r="D259" s="18" t="str">
        <f>UKG!BL256</f>
        <v>N</v>
      </c>
      <c r="H259" s="18" t="str">
        <f>UKG!BL256</f>
        <v>N</v>
      </c>
      <c r="I259" s="18" t="str">
        <f>UKG!BL256</f>
        <v>N</v>
      </c>
      <c r="J259" s="18" t="str">
        <f>UKG!BL256</f>
        <v>N</v>
      </c>
      <c r="R259" s="18" t="str">
        <f>UKG!AZ256</f>
        <v>205116</v>
      </c>
      <c r="S259" s="18" t="str">
        <f>UKG!AZ256</f>
        <v>205116</v>
      </c>
      <c r="AC259" s="18" t="str">
        <f>UKG!BL256</f>
        <v>N</v>
      </c>
      <c r="AD259" s="18" t="s">
        <v>1201</v>
      </c>
    </row>
    <row r="260" spans="1:30" ht="16" thickBot="1" x14ac:dyDescent="0.25">
      <c r="A260" s="39" t="s">
        <v>1528</v>
      </c>
      <c r="B260" s="77" t="str">
        <f>UKG!D257</f>
        <v>205140</v>
      </c>
      <c r="C260" s="18" t="str">
        <f>UKG!BL257</f>
        <v>N</v>
      </c>
      <c r="D260" s="18" t="str">
        <f>UKG!BL257</f>
        <v>N</v>
      </c>
      <c r="H260" s="18" t="str">
        <f>UKG!BL257</f>
        <v>N</v>
      </c>
      <c r="I260" s="18" t="str">
        <f>UKG!BL257</f>
        <v>N</v>
      </c>
      <c r="J260" s="18" t="str">
        <f>UKG!BL257</f>
        <v>N</v>
      </c>
      <c r="R260" s="18" t="str">
        <f>UKG!AZ257</f>
        <v>205383</v>
      </c>
      <c r="S260" s="18" t="str">
        <f>UKG!AZ257</f>
        <v>205383</v>
      </c>
      <c r="AC260" s="18" t="str">
        <f>UKG!BL257</f>
        <v>N</v>
      </c>
      <c r="AD260" s="18" t="s">
        <v>1201</v>
      </c>
    </row>
    <row r="261" spans="1:30" ht="16" thickBot="1" x14ac:dyDescent="0.25">
      <c r="A261" s="39" t="s">
        <v>1528</v>
      </c>
      <c r="B261" s="77" t="str">
        <f>UKG!D258</f>
        <v>205300</v>
      </c>
      <c r="C261" s="18" t="str">
        <f>UKG!BL258</f>
        <v>N</v>
      </c>
      <c r="D261" s="18" t="str">
        <f>UKG!BL258</f>
        <v>N</v>
      </c>
      <c r="H261" s="18" t="str">
        <f>UKG!BL258</f>
        <v>N</v>
      </c>
      <c r="I261" s="18" t="str">
        <f>UKG!BL258</f>
        <v>N</v>
      </c>
      <c r="J261" s="18" t="str">
        <f>UKG!BL258</f>
        <v>N</v>
      </c>
      <c r="R261" s="18" t="str">
        <f>UKG!AZ258</f>
        <v>213066</v>
      </c>
      <c r="S261" s="18" t="str">
        <f>UKG!AZ258</f>
        <v>213066</v>
      </c>
      <c r="AC261" s="18" t="str">
        <f>UKG!BL258</f>
        <v>N</v>
      </c>
      <c r="AD261" s="18" t="s">
        <v>1201</v>
      </c>
    </row>
    <row r="262" spans="1:30" ht="16" thickBot="1" x14ac:dyDescent="0.25">
      <c r="A262" s="39" t="s">
        <v>1528</v>
      </c>
      <c r="B262" s="77" t="str">
        <f>UKG!D259</f>
        <v>205345</v>
      </c>
      <c r="C262" s="18" t="str">
        <f>UKG!BL259</f>
        <v>N</v>
      </c>
      <c r="D262" s="18" t="str">
        <f>UKG!BL259</f>
        <v>N</v>
      </c>
      <c r="H262" s="18" t="str">
        <f>UKG!BL259</f>
        <v>N</v>
      </c>
      <c r="I262" s="18" t="str">
        <f>UKG!BL259</f>
        <v>N</v>
      </c>
      <c r="J262" s="18" t="str">
        <f>UKG!BL259</f>
        <v>N</v>
      </c>
      <c r="R262" s="18" t="str">
        <f>UKG!AZ259</f>
        <v>205116</v>
      </c>
      <c r="S262" s="18" t="str">
        <f>UKG!AZ259</f>
        <v>205116</v>
      </c>
      <c r="AC262" s="18" t="str">
        <f>UKG!BL259</f>
        <v>N</v>
      </c>
      <c r="AD262" s="18" t="s">
        <v>1201</v>
      </c>
    </row>
    <row r="263" spans="1:30" ht="16" thickBot="1" x14ac:dyDescent="0.25">
      <c r="A263" s="39" t="s">
        <v>1528</v>
      </c>
      <c r="B263" s="77" t="str">
        <f>UKG!D260</f>
        <v>205209</v>
      </c>
      <c r="C263" s="18" t="str">
        <f>UKG!BL260</f>
        <v>N</v>
      </c>
      <c r="D263" s="18" t="str">
        <f>UKG!BL260</f>
        <v>N</v>
      </c>
      <c r="H263" s="18" t="str">
        <f>UKG!BL260</f>
        <v>N</v>
      </c>
      <c r="I263" s="18" t="str">
        <f>UKG!BL260</f>
        <v>N</v>
      </c>
      <c r="J263" s="18" t="str">
        <f>UKG!BL260</f>
        <v>N</v>
      </c>
      <c r="R263" s="18" t="str">
        <f>UKG!AZ260</f>
        <v>205315</v>
      </c>
      <c r="S263" s="18" t="str">
        <f>UKG!AZ260</f>
        <v>205315</v>
      </c>
      <c r="AC263" s="18" t="str">
        <f>UKG!BL260</f>
        <v>N</v>
      </c>
      <c r="AD263" s="18" t="s">
        <v>1201</v>
      </c>
    </row>
    <row r="264" spans="1:30" ht="16" thickBot="1" x14ac:dyDescent="0.25">
      <c r="A264" s="39" t="s">
        <v>1528</v>
      </c>
      <c r="B264" s="77" t="str">
        <f>UKG!D261</f>
        <v>207732</v>
      </c>
      <c r="C264" s="18" t="str">
        <f>UKG!BL261</f>
        <v>N</v>
      </c>
      <c r="D264" s="18" t="str">
        <f>UKG!BL261</f>
        <v>N</v>
      </c>
      <c r="H264" s="18" t="str">
        <f>UKG!BL261</f>
        <v>N</v>
      </c>
      <c r="I264" s="18" t="str">
        <f>UKG!BL261</f>
        <v>N</v>
      </c>
      <c r="J264" s="18" t="str">
        <f>UKG!BL261</f>
        <v>N</v>
      </c>
      <c r="R264" s="18" t="str">
        <f>UKG!AZ261</f>
        <v>205380</v>
      </c>
      <c r="S264" s="18" t="str">
        <f>UKG!AZ261</f>
        <v>205380</v>
      </c>
      <c r="AC264" s="18" t="str">
        <f>UKG!BL261</f>
        <v>N</v>
      </c>
      <c r="AD264" s="18" t="s">
        <v>1201</v>
      </c>
    </row>
    <row r="265" spans="1:30" ht="16" thickBot="1" x14ac:dyDescent="0.25">
      <c r="A265" s="39" t="s">
        <v>1528</v>
      </c>
      <c r="B265" s="77" t="str">
        <f>UKG!D262</f>
        <v>205124</v>
      </c>
      <c r="C265" s="18" t="str">
        <f>UKG!BL262</f>
        <v>N</v>
      </c>
      <c r="D265" s="18" t="str">
        <f>UKG!BL262</f>
        <v>N</v>
      </c>
      <c r="H265" s="18" t="str">
        <f>UKG!BL262</f>
        <v>N</v>
      </c>
      <c r="I265" s="18" t="str">
        <f>UKG!BL262</f>
        <v>N</v>
      </c>
      <c r="J265" s="18" t="str">
        <f>UKG!BL262</f>
        <v>N</v>
      </c>
      <c r="R265" s="18" t="str">
        <f>UKG!AZ262</f>
        <v>205380</v>
      </c>
      <c r="S265" s="18" t="str">
        <f>UKG!AZ262</f>
        <v>205380</v>
      </c>
      <c r="AC265" s="18" t="str">
        <f>UKG!BL262</f>
        <v>N</v>
      </c>
      <c r="AD265" s="18" t="s">
        <v>1201</v>
      </c>
    </row>
    <row r="266" spans="1:30" ht="16" thickBot="1" x14ac:dyDescent="0.25">
      <c r="A266" s="39" t="s">
        <v>1528</v>
      </c>
      <c r="B266" s="77" t="str">
        <f>UKG!D263</f>
        <v>205308</v>
      </c>
      <c r="C266" s="18" t="str">
        <f>UKG!BL263</f>
        <v>N</v>
      </c>
      <c r="D266" s="18" t="str">
        <f>UKG!BL263</f>
        <v>N</v>
      </c>
      <c r="H266" s="18" t="str">
        <f>UKG!BL263</f>
        <v>N</v>
      </c>
      <c r="I266" s="18" t="str">
        <f>UKG!BL263</f>
        <v>N</v>
      </c>
      <c r="J266" s="18" t="str">
        <f>UKG!BL263</f>
        <v>N</v>
      </c>
      <c r="R266" s="18" t="str">
        <f>UKG!AZ263</f>
        <v>205315</v>
      </c>
      <c r="S266" s="18" t="str">
        <f>UKG!AZ263</f>
        <v>205315</v>
      </c>
      <c r="AC266" s="18" t="str">
        <f>UKG!BL263</f>
        <v>N</v>
      </c>
      <c r="AD266" s="18" t="s">
        <v>1201</v>
      </c>
    </row>
    <row r="267" spans="1:30" ht="16" thickBot="1" x14ac:dyDescent="0.25">
      <c r="A267" s="39" t="s">
        <v>1528</v>
      </c>
      <c r="B267" s="77" t="str">
        <f>UKG!D264</f>
        <v>205185</v>
      </c>
      <c r="C267" s="18" t="str">
        <f>UKG!BL264</f>
        <v>N</v>
      </c>
      <c r="D267" s="18" t="str">
        <f>UKG!BL264</f>
        <v>N</v>
      </c>
      <c r="H267" s="18" t="str">
        <f>UKG!BL264</f>
        <v>N</v>
      </c>
      <c r="I267" s="18" t="str">
        <f>UKG!BL264</f>
        <v>N</v>
      </c>
      <c r="J267" s="18" t="str">
        <f>UKG!BL264</f>
        <v>N</v>
      </c>
      <c r="R267" s="18" t="str">
        <f>UKG!AZ264</f>
        <v>205315</v>
      </c>
      <c r="S267" s="18" t="str">
        <f>UKG!AZ264</f>
        <v>205315</v>
      </c>
      <c r="AC267" s="18" t="str">
        <f>UKG!BL264</f>
        <v>N</v>
      </c>
      <c r="AD267" s="18" t="s">
        <v>1201</v>
      </c>
    </row>
    <row r="268" spans="1:30" ht="16" thickBot="1" x14ac:dyDescent="0.25">
      <c r="A268" s="39" t="s">
        <v>1528</v>
      </c>
      <c r="B268" s="77" t="str">
        <f>UKG!D265</f>
        <v>205206</v>
      </c>
      <c r="C268" s="18" t="str">
        <f>UKG!BL265</f>
        <v>N</v>
      </c>
      <c r="D268" s="18" t="str">
        <f>UKG!BL265</f>
        <v>N</v>
      </c>
      <c r="H268" s="18" t="str">
        <f>UKG!BL265</f>
        <v>N</v>
      </c>
      <c r="I268" s="18" t="str">
        <f>UKG!BL265</f>
        <v>N</v>
      </c>
      <c r="J268" s="18" t="str">
        <f>UKG!BL265</f>
        <v>N</v>
      </c>
      <c r="R268" s="18" t="str">
        <f>UKG!AZ265</f>
        <v>205315</v>
      </c>
      <c r="S268" s="18" t="str">
        <f>UKG!AZ265</f>
        <v>205315</v>
      </c>
      <c r="AC268" s="18" t="str">
        <f>UKG!BL265</f>
        <v>N</v>
      </c>
      <c r="AD268" s="18" t="s">
        <v>1201</v>
      </c>
    </row>
    <row r="269" spans="1:30" ht="16" thickBot="1" x14ac:dyDescent="0.25">
      <c r="A269" s="39" t="s">
        <v>1528</v>
      </c>
      <c r="B269" s="77" t="str">
        <f>UKG!D266</f>
        <v>205324</v>
      </c>
      <c r="C269" s="18" t="str">
        <f>UKG!BL266</f>
        <v>N</v>
      </c>
      <c r="D269" s="18" t="str">
        <f>UKG!BL266</f>
        <v>N</v>
      </c>
      <c r="H269" s="18" t="str">
        <f>UKG!BL266</f>
        <v>N</v>
      </c>
      <c r="I269" s="18" t="str">
        <f>UKG!BL266</f>
        <v>N</v>
      </c>
      <c r="J269" s="18" t="str">
        <f>UKG!BL266</f>
        <v>N</v>
      </c>
      <c r="R269" s="18" t="str">
        <f>UKG!AZ266</f>
        <v>205315</v>
      </c>
      <c r="S269" s="18" t="str">
        <f>UKG!AZ266</f>
        <v>205315</v>
      </c>
      <c r="AC269" s="18" t="str">
        <f>UKG!BL266</f>
        <v>N</v>
      </c>
      <c r="AD269" s="18" t="s">
        <v>1201</v>
      </c>
    </row>
    <row r="270" spans="1:30" ht="16" thickBot="1" x14ac:dyDescent="0.25">
      <c r="A270" s="39" t="s">
        <v>1528</v>
      </c>
      <c r="B270" s="77" t="str">
        <f>UKG!D267</f>
        <v>205343</v>
      </c>
      <c r="C270" s="18" t="str">
        <f>UKG!BL267</f>
        <v>N</v>
      </c>
      <c r="D270" s="18" t="str">
        <f>UKG!BL267</f>
        <v>N</v>
      </c>
      <c r="H270" s="18" t="str">
        <f>UKG!BL267</f>
        <v>N</v>
      </c>
      <c r="I270" s="18" t="str">
        <f>UKG!BL267</f>
        <v>N</v>
      </c>
      <c r="J270" s="18" t="str">
        <f>UKG!BL267</f>
        <v>N</v>
      </c>
      <c r="R270" s="18" t="str">
        <f>UKG!AZ267</f>
        <v>205116</v>
      </c>
      <c r="S270" s="18" t="str">
        <f>UKG!AZ267</f>
        <v>205116</v>
      </c>
      <c r="AC270" s="18" t="str">
        <f>UKG!BL267</f>
        <v>N</v>
      </c>
      <c r="AD270" s="18" t="s">
        <v>1201</v>
      </c>
    </row>
    <row r="271" spans="1:30" ht="16" thickBot="1" x14ac:dyDescent="0.25">
      <c r="A271" s="39" t="s">
        <v>1528</v>
      </c>
      <c r="B271" s="77" t="str">
        <f>UKG!D268</f>
        <v>205131</v>
      </c>
      <c r="C271" s="18" t="str">
        <f>UKG!BL268</f>
        <v>N</v>
      </c>
      <c r="D271" s="18" t="str">
        <f>UKG!BL268</f>
        <v>N</v>
      </c>
      <c r="H271" s="18" t="str">
        <f>UKG!BL268</f>
        <v>N</v>
      </c>
      <c r="I271" s="18" t="str">
        <f>UKG!BL268</f>
        <v>N</v>
      </c>
      <c r="J271" s="18" t="str">
        <f>UKG!BL268</f>
        <v>N</v>
      </c>
      <c r="R271" s="18" t="str">
        <f>UKG!AZ268</f>
        <v>205383</v>
      </c>
      <c r="S271" s="18" t="str">
        <f>UKG!AZ268</f>
        <v>205383</v>
      </c>
      <c r="AC271" s="18" t="str">
        <f>UKG!BL268</f>
        <v>N</v>
      </c>
      <c r="AD271" s="18" t="s">
        <v>1201</v>
      </c>
    </row>
    <row r="272" spans="1:30" ht="16" thickBot="1" x14ac:dyDescent="0.25">
      <c r="A272" s="39" t="s">
        <v>1528</v>
      </c>
      <c r="B272" s="77" t="str">
        <f>UKG!D269</f>
        <v>205187</v>
      </c>
      <c r="C272" s="18" t="str">
        <f>UKG!BL269</f>
        <v>N</v>
      </c>
      <c r="D272" s="18" t="str">
        <f>UKG!BL269</f>
        <v>N</v>
      </c>
      <c r="H272" s="18" t="str">
        <f>UKG!BL269</f>
        <v>N</v>
      </c>
      <c r="I272" s="18" t="str">
        <f>UKG!BL269</f>
        <v>N</v>
      </c>
      <c r="J272" s="18" t="str">
        <f>UKG!BL269</f>
        <v>N</v>
      </c>
      <c r="R272" s="18" t="str">
        <f>UKG!AZ269</f>
        <v>205315</v>
      </c>
      <c r="S272" s="18" t="str">
        <f>UKG!AZ269</f>
        <v>205315</v>
      </c>
      <c r="AC272" s="18" t="str">
        <f>UKG!BL269</f>
        <v>N</v>
      </c>
      <c r="AD272" s="18" t="s">
        <v>1201</v>
      </c>
    </row>
    <row r="273" spans="1:30" ht="16" thickBot="1" x14ac:dyDescent="0.25">
      <c r="A273" s="39" t="s">
        <v>1528</v>
      </c>
      <c r="B273" s="77" t="str">
        <f>UKG!D270</f>
        <v>205178</v>
      </c>
      <c r="C273" s="18" t="str">
        <f>UKG!BL270</f>
        <v>N</v>
      </c>
      <c r="D273" s="18" t="str">
        <f>UKG!BL270</f>
        <v>N</v>
      </c>
      <c r="H273" s="18" t="str">
        <f>UKG!BL270</f>
        <v>N</v>
      </c>
      <c r="I273" s="18" t="str">
        <f>UKG!BL270</f>
        <v>N</v>
      </c>
      <c r="J273" s="18" t="str">
        <f>UKG!BL270</f>
        <v>N</v>
      </c>
      <c r="R273" s="18" t="str">
        <f>UKG!AZ270</f>
        <v>205383</v>
      </c>
      <c r="S273" s="18" t="str">
        <f>UKG!AZ270</f>
        <v>205383</v>
      </c>
      <c r="AC273" s="18" t="str">
        <f>UKG!BL270</f>
        <v>N</v>
      </c>
      <c r="AD273" s="18" t="s">
        <v>1201</v>
      </c>
    </row>
    <row r="274" spans="1:30" ht="16" thickBot="1" x14ac:dyDescent="0.25">
      <c r="A274" s="39" t="s">
        <v>1528</v>
      </c>
      <c r="B274" s="77" t="str">
        <f>UKG!D271</f>
        <v>205326</v>
      </c>
      <c r="C274" s="18" t="str">
        <f>UKG!BL271</f>
        <v>N</v>
      </c>
      <c r="D274" s="18" t="str">
        <f>UKG!BL271</f>
        <v>N</v>
      </c>
      <c r="H274" s="18" t="str">
        <f>UKG!BL271</f>
        <v>N</v>
      </c>
      <c r="I274" s="18" t="str">
        <f>UKG!BL271</f>
        <v>N</v>
      </c>
      <c r="J274" s="18" t="str">
        <f>UKG!BL271</f>
        <v>N</v>
      </c>
      <c r="R274" s="18" t="str">
        <f>UKG!AZ271</f>
        <v>205315</v>
      </c>
      <c r="S274" s="18" t="str">
        <f>UKG!AZ271</f>
        <v>205315</v>
      </c>
      <c r="AC274" s="18" t="str">
        <f>UKG!BL271</f>
        <v>N</v>
      </c>
      <c r="AD274" s="18" t="s">
        <v>1201</v>
      </c>
    </row>
    <row r="275" spans="1:30" ht="16" thickBot="1" x14ac:dyDescent="0.25">
      <c r="A275" s="39" t="s">
        <v>1528</v>
      </c>
      <c r="B275" s="77" t="str">
        <f>UKG!D272</f>
        <v>205166</v>
      </c>
      <c r="C275" s="18" t="str">
        <f>UKG!BL272</f>
        <v>N</v>
      </c>
      <c r="D275" s="18" t="str">
        <f>UKG!BL272</f>
        <v>N</v>
      </c>
      <c r="H275" s="18" t="str">
        <f>UKG!BL272</f>
        <v>N</v>
      </c>
      <c r="I275" s="18" t="str">
        <f>UKG!BL272</f>
        <v>N</v>
      </c>
      <c r="J275" s="18" t="str">
        <f>UKG!BL272</f>
        <v>N</v>
      </c>
      <c r="R275" s="18" t="str">
        <f>UKG!AZ272</f>
        <v>205383</v>
      </c>
      <c r="S275" s="18" t="str">
        <f>UKG!AZ272</f>
        <v>205383</v>
      </c>
      <c r="AC275" s="18" t="str">
        <f>UKG!BL272</f>
        <v>N</v>
      </c>
      <c r="AD275" s="18" t="s">
        <v>1201</v>
      </c>
    </row>
    <row r="276" spans="1:30" ht="16" thickBot="1" x14ac:dyDescent="0.25">
      <c r="A276" s="39" t="s">
        <v>1528</v>
      </c>
      <c r="B276" s="77" t="str">
        <f>UKG!D273</f>
        <v>207210</v>
      </c>
      <c r="C276" s="18" t="str">
        <f>UKG!BL273</f>
        <v>N</v>
      </c>
      <c r="D276" s="18" t="str">
        <f>UKG!BL273</f>
        <v>N</v>
      </c>
      <c r="H276" s="18" t="str">
        <f>UKG!BL273</f>
        <v>N</v>
      </c>
      <c r="I276" s="18" t="str">
        <f>UKG!BL273</f>
        <v>N</v>
      </c>
      <c r="J276" s="18" t="str">
        <f>UKG!BL273</f>
        <v>N</v>
      </c>
      <c r="R276" s="18" t="str">
        <f>UKG!AZ273</f>
        <v>205116</v>
      </c>
      <c r="S276" s="18" t="str">
        <f>UKG!AZ273</f>
        <v>205116</v>
      </c>
      <c r="AC276" s="18" t="str">
        <f>UKG!BL273</f>
        <v>N</v>
      </c>
      <c r="AD276" s="18" t="s">
        <v>1201</v>
      </c>
    </row>
    <row r="277" spans="1:30" ht="16" thickBot="1" x14ac:dyDescent="0.25">
      <c r="A277" s="39" t="s">
        <v>1528</v>
      </c>
      <c r="B277" s="77" t="str">
        <f>UKG!D274</f>
        <v>205260</v>
      </c>
      <c r="C277" s="18" t="str">
        <f>UKG!BL274</f>
        <v>N</v>
      </c>
      <c r="D277" s="18" t="str">
        <f>UKG!BL274</f>
        <v>N</v>
      </c>
      <c r="H277" s="18" t="str">
        <f>UKG!BL274</f>
        <v>N</v>
      </c>
      <c r="I277" s="18" t="str">
        <f>UKG!BL274</f>
        <v>N</v>
      </c>
      <c r="J277" s="18" t="str">
        <f>UKG!BL274</f>
        <v>N</v>
      </c>
      <c r="R277" s="18" t="str">
        <f>UKG!AZ274</f>
        <v>212110</v>
      </c>
      <c r="S277" s="18" t="str">
        <f>UKG!AZ274</f>
        <v>212110</v>
      </c>
      <c r="AC277" s="18" t="str">
        <f>UKG!BL274</f>
        <v>N</v>
      </c>
      <c r="AD277" s="18" t="s">
        <v>1201</v>
      </c>
    </row>
    <row r="278" spans="1:30" ht="16" thickBot="1" x14ac:dyDescent="0.25">
      <c r="A278" s="39" t="s">
        <v>1528</v>
      </c>
      <c r="B278" s="77" t="str">
        <f>UKG!D275</f>
        <v>205079</v>
      </c>
      <c r="C278" s="18" t="str">
        <f>UKG!BL275</f>
        <v>N</v>
      </c>
      <c r="D278" s="18" t="str">
        <f>UKG!BL275</f>
        <v>N</v>
      </c>
      <c r="H278" s="18" t="str">
        <f>UKG!BL275</f>
        <v>N</v>
      </c>
      <c r="I278" s="18" t="str">
        <f>UKG!BL275</f>
        <v>N</v>
      </c>
      <c r="J278" s="18" t="str">
        <f>UKG!BL275</f>
        <v>N</v>
      </c>
      <c r="R278" s="18" t="str">
        <f>UKG!AZ275</f>
        <v>211600</v>
      </c>
      <c r="S278" s="18" t="str">
        <f>UKG!AZ275</f>
        <v>211600</v>
      </c>
      <c r="AC278" s="18" t="str">
        <f>UKG!BL275</f>
        <v>N</v>
      </c>
      <c r="AD278" s="18" t="s">
        <v>1201</v>
      </c>
    </row>
    <row r="279" spans="1:30" ht="16" thickBot="1" x14ac:dyDescent="0.25">
      <c r="A279" s="39" t="s">
        <v>1528</v>
      </c>
      <c r="B279" s="77" t="str">
        <f>UKG!D276</f>
        <v>211650</v>
      </c>
      <c r="C279" s="18" t="str">
        <f>UKG!BL276</f>
        <v>N</v>
      </c>
      <c r="D279" s="18" t="str">
        <f>UKG!BL276</f>
        <v>N</v>
      </c>
      <c r="H279" s="18" t="str">
        <f>UKG!BL276</f>
        <v>N</v>
      </c>
      <c r="I279" s="18" t="str">
        <f>UKG!BL276</f>
        <v>N</v>
      </c>
      <c r="J279" s="18" t="str">
        <f>UKG!BL276</f>
        <v>N</v>
      </c>
      <c r="R279" s="18" t="str">
        <f>UKG!AZ276</f>
        <v>213066</v>
      </c>
      <c r="S279" s="18" t="str">
        <f>UKG!AZ276</f>
        <v>213066</v>
      </c>
      <c r="AC279" s="18" t="str">
        <f>UKG!BL276</f>
        <v>N</v>
      </c>
      <c r="AD279" s="18" t="s">
        <v>1201</v>
      </c>
    </row>
    <row r="280" spans="1:30" ht="16" thickBot="1" x14ac:dyDescent="0.25">
      <c r="A280" s="39" t="s">
        <v>1528</v>
      </c>
      <c r="B280" s="77" t="str">
        <f>UKG!D277</f>
        <v>205371</v>
      </c>
      <c r="C280" s="18" t="str">
        <f>UKG!BL277</f>
        <v>N</v>
      </c>
      <c r="D280" s="18" t="str">
        <f>UKG!BL277</f>
        <v>N</v>
      </c>
      <c r="H280" s="18" t="str">
        <f>UKG!BL277</f>
        <v>N</v>
      </c>
      <c r="I280" s="18" t="str">
        <f>UKG!BL277</f>
        <v>N</v>
      </c>
      <c r="J280" s="18" t="str">
        <f>UKG!BL277</f>
        <v>N</v>
      </c>
      <c r="R280" s="18" t="str">
        <f>UKG!AZ277</f>
        <v>210868</v>
      </c>
      <c r="S280" s="18" t="str">
        <f>UKG!AZ277</f>
        <v>210868</v>
      </c>
      <c r="AC280" s="18" t="str">
        <f>UKG!BL277</f>
        <v>N</v>
      </c>
      <c r="AD280" s="18" t="s">
        <v>1201</v>
      </c>
    </row>
    <row r="281" spans="1:30" ht="16" thickBot="1" x14ac:dyDescent="0.25">
      <c r="A281" s="39" t="s">
        <v>1528</v>
      </c>
      <c r="B281" s="77" t="str">
        <f>UKG!D278</f>
        <v>212113</v>
      </c>
      <c r="C281" s="18" t="str">
        <f>UKG!BL278</f>
        <v>N</v>
      </c>
      <c r="D281" s="18" t="str">
        <f>UKG!BL278</f>
        <v>N</v>
      </c>
      <c r="H281" s="18" t="str">
        <f>UKG!BL278</f>
        <v>N</v>
      </c>
      <c r="I281" s="18" t="str">
        <f>UKG!BL278</f>
        <v>N</v>
      </c>
      <c r="J281" s="18" t="str">
        <f>UKG!BL278</f>
        <v>N</v>
      </c>
      <c r="R281" s="18" t="str">
        <f>UKG!AZ278</f>
        <v>211600</v>
      </c>
      <c r="S281" s="18" t="str">
        <f>UKG!AZ278</f>
        <v>211600</v>
      </c>
      <c r="AC281" s="18" t="str">
        <f>UKG!BL278</f>
        <v>N</v>
      </c>
      <c r="AD281" s="18" t="s">
        <v>1201</v>
      </c>
    </row>
    <row r="282" spans="1:30" ht="16" thickBot="1" x14ac:dyDescent="0.25">
      <c r="A282" s="39" t="s">
        <v>1528</v>
      </c>
      <c r="B282" s="77" t="str">
        <f>UKG!D279</f>
        <v>205384</v>
      </c>
      <c r="C282" s="18" t="str">
        <f>UKG!BL279</f>
        <v>N</v>
      </c>
      <c r="D282" s="18" t="str">
        <f>UKG!BL279</f>
        <v>N</v>
      </c>
      <c r="H282" s="18" t="str">
        <f>UKG!BL279</f>
        <v>N</v>
      </c>
      <c r="I282" s="18" t="str">
        <f>UKG!BL279</f>
        <v>N</v>
      </c>
      <c r="J282" s="18" t="str">
        <f>UKG!BL279</f>
        <v>N</v>
      </c>
      <c r="R282" s="18" t="str">
        <f>UKG!AZ279</f>
        <v>213066</v>
      </c>
      <c r="S282" s="18" t="str">
        <f>UKG!AZ279</f>
        <v>213066</v>
      </c>
      <c r="AC282" s="18" t="str">
        <f>UKG!BL279</f>
        <v>N</v>
      </c>
      <c r="AD282" s="18" t="s">
        <v>1201</v>
      </c>
    </row>
    <row r="283" spans="1:30" ht="16" thickBot="1" x14ac:dyDescent="0.25">
      <c r="A283" s="39" t="s">
        <v>1528</v>
      </c>
      <c r="B283" s="77" t="str">
        <f>UKG!D280</f>
        <v>212112</v>
      </c>
      <c r="C283" s="18" t="str">
        <f>UKG!BL280</f>
        <v>N</v>
      </c>
      <c r="D283" s="18" t="str">
        <f>UKG!BL280</f>
        <v>N</v>
      </c>
      <c r="H283" s="18" t="str">
        <f>UKG!BL280</f>
        <v>N</v>
      </c>
      <c r="I283" s="18" t="str">
        <f>UKG!BL280</f>
        <v>N</v>
      </c>
      <c r="J283" s="18" t="str">
        <f>UKG!BL280</f>
        <v>N</v>
      </c>
      <c r="R283" s="18" t="str">
        <f>UKG!AZ280</f>
        <v>211600</v>
      </c>
      <c r="S283" s="18" t="str">
        <f>UKG!AZ280</f>
        <v>211600</v>
      </c>
      <c r="AC283" s="18" t="str">
        <f>UKG!BL280</f>
        <v>N</v>
      </c>
      <c r="AD283" s="18" t="s">
        <v>1201</v>
      </c>
    </row>
    <row r="284" spans="1:30" ht="16" thickBot="1" x14ac:dyDescent="0.25">
      <c r="A284" s="39" t="s">
        <v>1528</v>
      </c>
      <c r="B284" s="77" t="str">
        <f>UKG!D281</f>
        <v>205056</v>
      </c>
      <c r="C284" s="18" t="str">
        <f>UKG!BL281</f>
        <v>N</v>
      </c>
      <c r="D284" s="18" t="str">
        <f>UKG!BL281</f>
        <v>N</v>
      </c>
      <c r="H284" s="18" t="str">
        <f>UKG!BL281</f>
        <v>N</v>
      </c>
      <c r="I284" s="18" t="str">
        <f>UKG!BL281</f>
        <v>N</v>
      </c>
      <c r="J284" s="18" t="str">
        <f>UKG!BL281</f>
        <v>N</v>
      </c>
      <c r="R284" s="18" t="str">
        <f>UKG!AZ281</f>
        <v>210868</v>
      </c>
      <c r="S284" s="18" t="str">
        <f>UKG!AZ281</f>
        <v>210868</v>
      </c>
      <c r="AC284" s="18" t="str">
        <f>UKG!BL281</f>
        <v>N</v>
      </c>
      <c r="AD284" s="18" t="s">
        <v>1201</v>
      </c>
    </row>
    <row r="285" spans="1:30" ht="16" thickBot="1" x14ac:dyDescent="0.25">
      <c r="A285" s="39" t="s">
        <v>1528</v>
      </c>
      <c r="B285" s="77" t="str">
        <f>UKG!D282</f>
        <v>205358</v>
      </c>
      <c r="C285" s="18" t="str">
        <f>UKG!BL282</f>
        <v>N</v>
      </c>
      <c r="D285" s="18" t="str">
        <f>UKG!BL282</f>
        <v>N</v>
      </c>
      <c r="H285" s="18" t="str">
        <f>UKG!BL282</f>
        <v>N</v>
      </c>
      <c r="I285" s="18" t="str">
        <f>UKG!BL282</f>
        <v>N</v>
      </c>
      <c r="J285" s="18" t="str">
        <f>UKG!BL282</f>
        <v>N</v>
      </c>
      <c r="R285" s="18" t="str">
        <f>UKG!AZ282</f>
        <v>207199</v>
      </c>
      <c r="S285" s="18" t="str">
        <f>UKG!AZ282</f>
        <v>207199</v>
      </c>
      <c r="AC285" s="18" t="str">
        <f>UKG!BL282</f>
        <v>N</v>
      </c>
      <c r="AD285" s="18" t="s">
        <v>1201</v>
      </c>
    </row>
    <row r="286" spans="1:30" ht="16" thickBot="1" x14ac:dyDescent="0.25">
      <c r="A286" s="39" t="s">
        <v>1528</v>
      </c>
      <c r="B286" s="77" t="str">
        <f>UKG!D283</f>
        <v>205058</v>
      </c>
      <c r="C286" s="18" t="str">
        <f>UKG!BL283</f>
        <v>N</v>
      </c>
      <c r="D286" s="18" t="str">
        <f>UKG!BL283</f>
        <v>N</v>
      </c>
      <c r="H286" s="18" t="str">
        <f>UKG!BL283</f>
        <v>N</v>
      </c>
      <c r="I286" s="18" t="str">
        <f>UKG!BL283</f>
        <v>N</v>
      </c>
      <c r="J286" s="18" t="str">
        <f>UKG!BL283</f>
        <v>N</v>
      </c>
      <c r="R286" s="18" t="str">
        <f>UKG!AZ283</f>
        <v>205389</v>
      </c>
      <c r="S286" s="18" t="str">
        <f>UKG!AZ283</f>
        <v>205389</v>
      </c>
      <c r="AC286" s="18" t="str">
        <f>UKG!BL283</f>
        <v>N</v>
      </c>
      <c r="AD286" s="18" t="s">
        <v>1201</v>
      </c>
    </row>
    <row r="287" spans="1:30" ht="16" thickBot="1" x14ac:dyDescent="0.25">
      <c r="A287" s="39" t="s">
        <v>1528</v>
      </c>
      <c r="B287" s="77" t="str">
        <f>UKG!D284</f>
        <v>210212</v>
      </c>
      <c r="C287" s="18" t="str">
        <f>UKG!BL284</f>
        <v>N</v>
      </c>
      <c r="D287" s="18" t="str">
        <f>UKG!BL284</f>
        <v>N</v>
      </c>
      <c r="H287" s="18" t="str">
        <f>UKG!BL284</f>
        <v>N</v>
      </c>
      <c r="I287" s="18" t="str">
        <f>UKG!BL284</f>
        <v>N</v>
      </c>
      <c r="J287" s="18" t="str">
        <f>UKG!BL284</f>
        <v>N</v>
      </c>
      <c r="R287" s="18" t="str">
        <f>UKG!AZ284</f>
        <v>211474</v>
      </c>
      <c r="S287" s="18" t="str">
        <f>UKG!AZ284</f>
        <v>211474</v>
      </c>
      <c r="AC287" s="18" t="str">
        <f>UKG!BL284</f>
        <v>N</v>
      </c>
      <c r="AD287" s="18" t="s">
        <v>1201</v>
      </c>
    </row>
    <row r="288" spans="1:30" ht="16" thickBot="1" x14ac:dyDescent="0.25">
      <c r="A288" s="39" t="s">
        <v>1528</v>
      </c>
      <c r="B288" s="77" t="str">
        <f>UKG!D285</f>
        <v>205082</v>
      </c>
      <c r="C288" s="18" t="str">
        <f>UKG!BL285</f>
        <v>N</v>
      </c>
      <c r="D288" s="18" t="str">
        <f>UKG!BL285</f>
        <v>N</v>
      </c>
      <c r="H288" s="18" t="str">
        <f>UKG!BL285</f>
        <v>N</v>
      </c>
      <c r="I288" s="18" t="str">
        <f>UKG!BL285</f>
        <v>N</v>
      </c>
      <c r="J288" s="18" t="str">
        <f>UKG!BL285</f>
        <v>N</v>
      </c>
      <c r="R288" s="18" t="str">
        <f>UKG!AZ285</f>
        <v>211600</v>
      </c>
      <c r="S288" s="18" t="str">
        <f>UKG!AZ285</f>
        <v>211600</v>
      </c>
      <c r="AC288" s="18" t="str">
        <f>UKG!BL285</f>
        <v>N</v>
      </c>
      <c r="AD288" s="18" t="s">
        <v>1201</v>
      </c>
    </row>
    <row r="289" spans="1:30" ht="16" thickBot="1" x14ac:dyDescent="0.25">
      <c r="A289" s="39" t="s">
        <v>1528</v>
      </c>
      <c r="B289" s="77" t="str">
        <f>UKG!D286</f>
        <v>211600</v>
      </c>
      <c r="C289" s="18" t="str">
        <f>UKG!BL286</f>
        <v>N</v>
      </c>
      <c r="D289" s="18" t="str">
        <f>UKG!BL286</f>
        <v>N</v>
      </c>
      <c r="H289" s="18" t="str">
        <f>UKG!BL286</f>
        <v>N</v>
      </c>
      <c r="I289" s="18" t="str">
        <f>UKG!BL286</f>
        <v>N</v>
      </c>
      <c r="J289" s="18" t="str">
        <f>UKG!BL286</f>
        <v>N</v>
      </c>
      <c r="R289" s="18" t="str">
        <f>UKG!AZ286</f>
        <v>211474</v>
      </c>
      <c r="S289" s="18" t="str">
        <f>UKG!AZ286</f>
        <v>211474</v>
      </c>
      <c r="AC289" s="18" t="str">
        <f>UKG!BL286</f>
        <v>N</v>
      </c>
      <c r="AD289" s="18" t="s">
        <v>1201</v>
      </c>
    </row>
    <row r="290" spans="1:30" ht="16" thickBot="1" x14ac:dyDescent="0.25">
      <c r="A290" s="39" t="s">
        <v>1528</v>
      </c>
      <c r="B290" s="77" t="str">
        <f>UKG!D287</f>
        <v>205154</v>
      </c>
      <c r="C290" s="18" t="str">
        <f>UKG!BL287</f>
        <v>N</v>
      </c>
      <c r="D290" s="18" t="str">
        <f>UKG!BL287</f>
        <v>N</v>
      </c>
      <c r="H290" s="18" t="str">
        <f>UKG!BL287</f>
        <v>N</v>
      </c>
      <c r="I290" s="18" t="str">
        <f>UKG!BL287</f>
        <v>N</v>
      </c>
      <c r="J290" s="18" t="str">
        <f>UKG!BL287</f>
        <v>N</v>
      </c>
      <c r="R290" s="18" t="str">
        <f>UKG!AZ287</f>
        <v>213066</v>
      </c>
      <c r="S290" s="18" t="str">
        <f>UKG!AZ287</f>
        <v>213066</v>
      </c>
      <c r="AC290" s="18" t="str">
        <f>UKG!BL287</f>
        <v>N</v>
      </c>
      <c r="AD290" s="18" t="s">
        <v>1201</v>
      </c>
    </row>
    <row r="291" spans="1:30" ht="16" thickBot="1" x14ac:dyDescent="0.25">
      <c r="A291" s="39" t="s">
        <v>1528</v>
      </c>
      <c r="B291" s="77" t="str">
        <f>UKG!D288</f>
        <v>212111</v>
      </c>
      <c r="C291" s="18" t="str">
        <f>UKG!BL288</f>
        <v>N</v>
      </c>
      <c r="D291" s="18" t="str">
        <f>UKG!BL288</f>
        <v>N</v>
      </c>
      <c r="H291" s="18" t="str">
        <f>UKG!BL288</f>
        <v>N</v>
      </c>
      <c r="I291" s="18" t="str">
        <f>UKG!BL288</f>
        <v>N</v>
      </c>
      <c r="J291" s="18" t="str">
        <f>UKG!BL288</f>
        <v>N</v>
      </c>
      <c r="R291" s="18" t="str">
        <f>UKG!AZ288</f>
        <v>205368</v>
      </c>
      <c r="S291" s="18" t="str">
        <f>UKG!AZ288</f>
        <v>205368</v>
      </c>
      <c r="AC291" s="18" t="str">
        <f>UKG!BL288</f>
        <v>N</v>
      </c>
      <c r="AD291" s="18" t="s">
        <v>1201</v>
      </c>
    </row>
    <row r="292" spans="1:30" ht="16" thickBot="1" x14ac:dyDescent="0.25">
      <c r="A292" s="39" t="s">
        <v>1528</v>
      </c>
      <c r="B292" s="77" t="str">
        <f>UKG!D289</f>
        <v>205368</v>
      </c>
      <c r="C292" s="18" t="str">
        <f>UKG!BL289</f>
        <v>N</v>
      </c>
      <c r="D292" s="18" t="str">
        <f>UKG!BL289</f>
        <v>N</v>
      </c>
      <c r="H292" s="18" t="str">
        <f>UKG!BL289</f>
        <v>N</v>
      </c>
      <c r="I292" s="18" t="str">
        <f>UKG!BL289</f>
        <v>N</v>
      </c>
      <c r="J292" s="18" t="str">
        <f>UKG!BL289</f>
        <v>N</v>
      </c>
      <c r="R292" s="18" t="str">
        <f>UKG!AZ289</f>
        <v>211474</v>
      </c>
      <c r="S292" s="18" t="str">
        <f>UKG!AZ289</f>
        <v>211474</v>
      </c>
      <c r="AC292" s="18" t="str">
        <f>UKG!BL289</f>
        <v>N</v>
      </c>
      <c r="AD292" s="18" t="s">
        <v>1201</v>
      </c>
    </row>
    <row r="293" spans="1:30" ht="16" thickBot="1" x14ac:dyDescent="0.25">
      <c r="A293" s="39" t="s">
        <v>1528</v>
      </c>
      <c r="B293" s="77" t="str">
        <f>UKG!D290</f>
        <v>205080</v>
      </c>
      <c r="C293" s="18" t="str">
        <f>UKG!BL290</f>
        <v>N</v>
      </c>
      <c r="D293" s="18" t="str">
        <f>UKG!BL290</f>
        <v>N</v>
      </c>
      <c r="H293" s="18" t="str">
        <f>UKG!BL290</f>
        <v>N</v>
      </c>
      <c r="I293" s="18" t="str">
        <f>UKG!BL290</f>
        <v>N</v>
      </c>
      <c r="J293" s="18" t="str">
        <f>UKG!BL290</f>
        <v>N</v>
      </c>
      <c r="R293" s="18" t="str">
        <f>UKG!AZ290</f>
        <v>205368</v>
      </c>
      <c r="S293" s="18" t="str">
        <f>UKG!AZ290</f>
        <v>205368</v>
      </c>
      <c r="AC293" s="18" t="str">
        <f>UKG!BL290</f>
        <v>N</v>
      </c>
      <c r="AD293" s="18" t="s">
        <v>1201</v>
      </c>
    </row>
    <row r="294" spans="1:30" ht="16" thickBot="1" x14ac:dyDescent="0.25">
      <c r="A294" s="39" t="s">
        <v>1528</v>
      </c>
      <c r="B294" s="77" t="str">
        <f>UKG!D291</f>
        <v>205078</v>
      </c>
      <c r="C294" s="18" t="str">
        <f>UKG!BL291</f>
        <v>N</v>
      </c>
      <c r="D294" s="18" t="str">
        <f>UKG!BL291</f>
        <v>N</v>
      </c>
      <c r="H294" s="18" t="str">
        <f>UKG!BL291</f>
        <v>N</v>
      </c>
      <c r="I294" s="18" t="str">
        <f>UKG!BL291</f>
        <v>N</v>
      </c>
      <c r="J294" s="18" t="str">
        <f>UKG!BL291</f>
        <v>N</v>
      </c>
      <c r="R294" s="18" t="str">
        <f>UKG!AZ291</f>
        <v>211600</v>
      </c>
      <c r="S294" s="18" t="str">
        <f>UKG!AZ291</f>
        <v>211600</v>
      </c>
      <c r="AC294" s="18" t="str">
        <f>UKG!BL291</f>
        <v>N</v>
      </c>
      <c r="AD294" s="18" t="s">
        <v>1201</v>
      </c>
    </row>
    <row r="295" spans="1:30" ht="16" thickBot="1" x14ac:dyDescent="0.25">
      <c r="A295" s="39" t="s">
        <v>1528</v>
      </c>
      <c r="B295" s="77" t="str">
        <f>UKG!D292</f>
        <v>205072</v>
      </c>
      <c r="C295" s="18" t="str">
        <f>UKG!BL292</f>
        <v>N</v>
      </c>
      <c r="D295" s="18" t="str">
        <f>UKG!BL292</f>
        <v>N</v>
      </c>
      <c r="H295" s="18" t="str">
        <f>UKG!BL292</f>
        <v>N</v>
      </c>
      <c r="I295" s="18" t="str">
        <f>UKG!BL292</f>
        <v>N</v>
      </c>
      <c r="J295" s="18" t="str">
        <f>UKG!BL292</f>
        <v>N</v>
      </c>
      <c r="R295" s="18" t="str">
        <f>UKG!AZ292</f>
        <v>211600</v>
      </c>
      <c r="S295" s="18" t="str">
        <f>UKG!AZ292</f>
        <v>211600</v>
      </c>
      <c r="AC295" s="18" t="str">
        <f>UKG!BL292</f>
        <v>N</v>
      </c>
      <c r="AD295" s="18" t="s">
        <v>1201</v>
      </c>
    </row>
    <row r="296" spans="1:30" ht="16" thickBot="1" x14ac:dyDescent="0.25">
      <c r="A296" s="39" t="s">
        <v>1528</v>
      </c>
      <c r="B296" s="77" t="str">
        <f>UKG!D293</f>
        <v>205392</v>
      </c>
      <c r="C296" s="18" t="str">
        <f>UKG!BL293</f>
        <v>N</v>
      </c>
      <c r="D296" s="18" t="str">
        <f>UKG!BL293</f>
        <v>N</v>
      </c>
      <c r="H296" s="18" t="str">
        <f>UKG!BL293</f>
        <v>N</v>
      </c>
      <c r="I296" s="18" t="str">
        <f>UKG!BL293</f>
        <v>N</v>
      </c>
      <c r="J296" s="18" t="str">
        <f>UKG!BL293</f>
        <v>N</v>
      </c>
      <c r="R296" s="18" t="str">
        <f>UKG!AZ293</f>
        <v>213460</v>
      </c>
      <c r="S296" s="18" t="str">
        <f>UKG!AZ293</f>
        <v>213460</v>
      </c>
      <c r="AC296" s="18" t="str">
        <f>UKG!BL293</f>
        <v>N</v>
      </c>
      <c r="AD296" s="18" t="s">
        <v>1201</v>
      </c>
    </row>
    <row r="297" spans="1:30" ht="16" thickBot="1" x14ac:dyDescent="0.25">
      <c r="A297" s="39" t="s">
        <v>1528</v>
      </c>
      <c r="B297" s="77" t="str">
        <f>UKG!D294</f>
        <v>210310</v>
      </c>
      <c r="C297" s="18" t="str">
        <f>UKG!BL294</f>
        <v>N</v>
      </c>
      <c r="D297" s="18" t="str">
        <f>UKG!BL294</f>
        <v>N</v>
      </c>
      <c r="H297" s="18" t="str">
        <f>UKG!BL294</f>
        <v>N</v>
      </c>
      <c r="I297" s="18" t="str">
        <f>UKG!BL294</f>
        <v>N</v>
      </c>
      <c r="J297" s="18" t="str">
        <f>UKG!BL294</f>
        <v>N</v>
      </c>
      <c r="R297" s="18" t="str">
        <f>UKG!AZ294</f>
        <v>211910</v>
      </c>
      <c r="S297" s="18" t="str">
        <f>UKG!AZ294</f>
        <v>211910</v>
      </c>
      <c r="AC297" s="18" t="str">
        <f>UKG!BL294</f>
        <v>N</v>
      </c>
      <c r="AD297" s="18" t="s">
        <v>1201</v>
      </c>
    </row>
    <row r="298" spans="1:30" ht="16" thickBot="1" x14ac:dyDescent="0.25">
      <c r="A298" s="39" t="s">
        <v>1528</v>
      </c>
      <c r="B298" s="77" t="str">
        <f>UKG!D295</f>
        <v>205084</v>
      </c>
      <c r="C298" s="18" t="str">
        <f>UKG!BL295</f>
        <v>N</v>
      </c>
      <c r="D298" s="18" t="str">
        <f>UKG!BL295</f>
        <v>N</v>
      </c>
      <c r="H298" s="18" t="str">
        <f>UKG!BL295</f>
        <v>N</v>
      </c>
      <c r="I298" s="18" t="str">
        <f>UKG!BL295</f>
        <v>N</v>
      </c>
      <c r="J298" s="18" t="str">
        <f>UKG!BL295</f>
        <v>N</v>
      </c>
      <c r="R298" s="18" t="str">
        <f>UKG!AZ295</f>
        <v>205368</v>
      </c>
      <c r="S298" s="18" t="str">
        <f>UKG!AZ295</f>
        <v>205368</v>
      </c>
      <c r="AC298" s="18" t="str">
        <f>UKG!BL295</f>
        <v>N</v>
      </c>
      <c r="AD298" s="18" t="s">
        <v>1201</v>
      </c>
    </row>
    <row r="299" spans="1:30" ht="16" thickBot="1" x14ac:dyDescent="0.25">
      <c r="A299" s="39" t="s">
        <v>1528</v>
      </c>
      <c r="B299" s="77" t="str">
        <f>UKG!D296</f>
        <v>205375</v>
      </c>
      <c r="C299" s="18" t="str">
        <f>UKG!BL296</f>
        <v>N</v>
      </c>
      <c r="D299" s="18" t="str">
        <f>UKG!BL296</f>
        <v>N</v>
      </c>
      <c r="H299" s="18" t="str">
        <f>UKG!BL296</f>
        <v>N</v>
      </c>
      <c r="I299" s="18" t="str">
        <f>UKG!BL296</f>
        <v>N</v>
      </c>
      <c r="J299" s="18" t="str">
        <f>UKG!BL296</f>
        <v>N</v>
      </c>
      <c r="R299" s="18" t="str">
        <f>UKG!AZ296</f>
        <v>205389</v>
      </c>
      <c r="S299" s="18" t="str">
        <f>UKG!AZ296</f>
        <v>205389</v>
      </c>
      <c r="AC299" s="18" t="str">
        <f>UKG!BL296</f>
        <v>N</v>
      </c>
      <c r="AD299" s="18" t="s">
        <v>1201</v>
      </c>
    </row>
    <row r="300" spans="1:30" ht="16" thickBot="1" x14ac:dyDescent="0.25">
      <c r="A300" s="39" t="s">
        <v>1528</v>
      </c>
      <c r="B300" s="77" t="str">
        <f>UKG!D297</f>
        <v>205067</v>
      </c>
      <c r="C300" s="18" t="str">
        <f>UKG!BL297</f>
        <v>N</v>
      </c>
      <c r="D300" s="18" t="str">
        <f>UKG!BL297</f>
        <v>N</v>
      </c>
      <c r="H300" s="18" t="str">
        <f>UKG!BL297</f>
        <v>N</v>
      </c>
      <c r="I300" s="18" t="str">
        <f>UKG!BL297</f>
        <v>N</v>
      </c>
      <c r="J300" s="18" t="str">
        <f>UKG!BL297</f>
        <v>N</v>
      </c>
      <c r="R300" s="18" t="str">
        <f>UKG!AZ297</f>
        <v>207709</v>
      </c>
      <c r="S300" s="18" t="str">
        <f>UKG!AZ297</f>
        <v>207709</v>
      </c>
      <c r="AC300" s="18" t="str">
        <f>UKG!BL297</f>
        <v>N</v>
      </c>
      <c r="AD300" s="18" t="s">
        <v>1201</v>
      </c>
    </row>
    <row r="301" spans="1:30" ht="16" thickBot="1" x14ac:dyDescent="0.25">
      <c r="A301" s="39" t="s">
        <v>1528</v>
      </c>
      <c r="B301" s="77" t="str">
        <f>UKG!D298</f>
        <v>205083</v>
      </c>
      <c r="C301" s="18" t="str">
        <f>UKG!BL298</f>
        <v>N</v>
      </c>
      <c r="D301" s="18" t="str">
        <f>UKG!BL298</f>
        <v>N</v>
      </c>
      <c r="H301" s="18" t="str">
        <f>UKG!BL298</f>
        <v>N</v>
      </c>
      <c r="I301" s="18" t="str">
        <f>UKG!BL298</f>
        <v>N</v>
      </c>
      <c r="J301" s="18" t="str">
        <f>UKG!BL298</f>
        <v>N</v>
      </c>
      <c r="R301" s="18" t="str">
        <f>UKG!AZ298</f>
        <v>205373</v>
      </c>
      <c r="S301" s="18" t="str">
        <f>UKG!AZ298</f>
        <v>205373</v>
      </c>
      <c r="AC301" s="18" t="str">
        <f>UKG!BL298</f>
        <v>N</v>
      </c>
      <c r="AD301" s="18" t="s">
        <v>1201</v>
      </c>
    </row>
    <row r="302" spans="1:30" ht="16" thickBot="1" x14ac:dyDescent="0.25">
      <c r="A302" s="39" t="s">
        <v>1528</v>
      </c>
      <c r="B302" s="77" t="str">
        <f>UKG!D299</f>
        <v>205383</v>
      </c>
      <c r="C302" s="18" t="str">
        <f>UKG!BL299</f>
        <v>N</v>
      </c>
      <c r="D302" s="18" t="str">
        <f>UKG!BL299</f>
        <v>N</v>
      </c>
      <c r="H302" s="18" t="str">
        <f>UKG!BL299</f>
        <v>N</v>
      </c>
      <c r="I302" s="18" t="str">
        <f>UKG!BL299</f>
        <v>N</v>
      </c>
      <c r="J302" s="18" t="str">
        <f>UKG!BL299</f>
        <v>N</v>
      </c>
      <c r="R302" s="18" t="str">
        <f>UKG!AZ299</f>
        <v>205377</v>
      </c>
      <c r="S302" s="18" t="str">
        <f>UKG!AZ299</f>
        <v>205377</v>
      </c>
      <c r="AC302" s="18" t="str">
        <f>UKG!BL299</f>
        <v>N</v>
      </c>
      <c r="AD302" s="18" t="s">
        <v>1201</v>
      </c>
    </row>
    <row r="303" spans="1:30" ht="16" thickBot="1" x14ac:dyDescent="0.25">
      <c r="A303" s="39" t="s">
        <v>1528</v>
      </c>
      <c r="B303" s="77" t="str">
        <f>UKG!D300</f>
        <v>205403</v>
      </c>
      <c r="C303" s="18" t="str">
        <f>UKG!BL300</f>
        <v>N</v>
      </c>
      <c r="D303" s="18" t="str">
        <f>UKG!BL300</f>
        <v>N</v>
      </c>
      <c r="H303" s="18" t="str">
        <f>UKG!BL300</f>
        <v>N</v>
      </c>
      <c r="I303" s="18" t="str">
        <f>UKG!BL300</f>
        <v>N</v>
      </c>
      <c r="J303" s="18" t="str">
        <f>UKG!BL300</f>
        <v>N</v>
      </c>
      <c r="R303" s="18" t="str">
        <f>UKG!AZ300</f>
        <v>205408</v>
      </c>
      <c r="S303" s="18" t="str">
        <f>UKG!AZ300</f>
        <v>205408</v>
      </c>
      <c r="AC303" s="18" t="str">
        <f>UKG!BL300</f>
        <v>N</v>
      </c>
      <c r="AD303" s="18" t="s">
        <v>1201</v>
      </c>
    </row>
    <row r="304" spans="1:30" ht="16" thickBot="1" x14ac:dyDescent="0.25">
      <c r="A304" s="39" t="s">
        <v>1528</v>
      </c>
      <c r="B304" s="77" t="str">
        <f>UKG!D301</f>
        <v>205379</v>
      </c>
      <c r="C304" s="18" t="str">
        <f>UKG!BL301</f>
        <v>N</v>
      </c>
      <c r="D304" s="18" t="str">
        <f>UKG!BL301</f>
        <v>N</v>
      </c>
      <c r="H304" s="18" t="str">
        <f>UKG!BL301</f>
        <v>N</v>
      </c>
      <c r="I304" s="18" t="str">
        <f>UKG!BL301</f>
        <v>N</v>
      </c>
      <c r="J304" s="18" t="str">
        <f>UKG!BL301</f>
        <v>N</v>
      </c>
      <c r="R304" s="18" t="str">
        <f>UKG!AZ301</f>
        <v>205095</v>
      </c>
      <c r="S304" s="18" t="str">
        <f>UKG!AZ301</f>
        <v>205095</v>
      </c>
      <c r="AC304" s="18" t="str">
        <f>UKG!BL301</f>
        <v>N</v>
      </c>
      <c r="AD304" s="18" t="s">
        <v>1201</v>
      </c>
    </row>
    <row r="305" spans="1:30" ht="16" thickBot="1" x14ac:dyDescent="0.25">
      <c r="A305" s="39" t="s">
        <v>1528</v>
      </c>
      <c r="B305" s="77" t="str">
        <f>UKG!D302</f>
        <v>205095</v>
      </c>
      <c r="C305" s="18" t="str">
        <f>UKG!BL302</f>
        <v>N</v>
      </c>
      <c r="D305" s="18" t="str">
        <f>UKG!BL302</f>
        <v>N</v>
      </c>
      <c r="H305" s="18" t="str">
        <f>UKG!BL302</f>
        <v>N</v>
      </c>
      <c r="I305" s="18" t="str">
        <f>UKG!BL302</f>
        <v>N</v>
      </c>
      <c r="J305" s="18" t="str">
        <f>UKG!BL302</f>
        <v>N</v>
      </c>
      <c r="R305" s="18" t="str">
        <f>UKG!AZ302</f>
        <v>205058</v>
      </c>
      <c r="S305" s="18" t="str">
        <f>UKG!AZ302</f>
        <v>205058</v>
      </c>
      <c r="AC305" s="18" t="str">
        <f>UKG!BL302</f>
        <v>N</v>
      </c>
      <c r="AD305" s="18" t="s">
        <v>1201</v>
      </c>
    </row>
    <row r="306" spans="1:30" ht="16" thickBot="1" x14ac:dyDescent="0.25">
      <c r="A306" s="39" t="s">
        <v>1528</v>
      </c>
      <c r="B306" s="77" t="str">
        <f>UKG!D303</f>
        <v>205088</v>
      </c>
      <c r="C306" s="18" t="str">
        <f>UKG!BL303</f>
        <v>N</v>
      </c>
      <c r="D306" s="18" t="str">
        <f>UKG!BL303</f>
        <v>N</v>
      </c>
      <c r="H306" s="18" t="str">
        <f>UKG!BL303</f>
        <v>N</v>
      </c>
      <c r="I306" s="18" t="str">
        <f>UKG!BL303</f>
        <v>N</v>
      </c>
      <c r="J306" s="18" t="str">
        <f>UKG!BL303</f>
        <v>N</v>
      </c>
      <c r="R306" s="18" t="str">
        <f>UKG!AZ303</f>
        <v>213066</v>
      </c>
      <c r="S306" s="18" t="str">
        <f>UKG!AZ303</f>
        <v>213066</v>
      </c>
      <c r="AC306" s="18" t="str">
        <f>UKG!BL303</f>
        <v>N</v>
      </c>
      <c r="AD306" s="18" t="s">
        <v>1201</v>
      </c>
    </row>
    <row r="307" spans="1:30" ht="16" thickBot="1" x14ac:dyDescent="0.25">
      <c r="A307" s="39" t="s">
        <v>1528</v>
      </c>
      <c r="B307" s="77" t="str">
        <f>UKG!D304</f>
        <v>205061</v>
      </c>
      <c r="C307" s="18" t="str">
        <f>UKG!BL304</f>
        <v>N</v>
      </c>
      <c r="D307" s="18" t="str">
        <f>UKG!BL304</f>
        <v>N</v>
      </c>
      <c r="H307" s="18" t="str">
        <f>UKG!BL304</f>
        <v>N</v>
      </c>
      <c r="I307" s="18" t="str">
        <f>UKG!BL304</f>
        <v>N</v>
      </c>
      <c r="J307" s="18" t="str">
        <f>UKG!BL304</f>
        <v>N</v>
      </c>
      <c r="R307" s="18" t="str">
        <f>UKG!AZ304</f>
        <v>205065</v>
      </c>
      <c r="S307" s="18" t="str">
        <f>UKG!AZ304</f>
        <v>205065</v>
      </c>
      <c r="AC307" s="18" t="str">
        <f>UKG!BL304</f>
        <v>N</v>
      </c>
      <c r="AD307" s="18" t="s">
        <v>1201</v>
      </c>
    </row>
    <row r="308" spans="1:30" ht="16" thickBot="1" x14ac:dyDescent="0.25">
      <c r="A308" s="39" t="s">
        <v>1528</v>
      </c>
      <c r="B308" s="77" t="str">
        <f>UKG!D305</f>
        <v>205055</v>
      </c>
      <c r="C308" s="18" t="str">
        <f>UKG!BL305</f>
        <v>N</v>
      </c>
      <c r="D308" s="18" t="str">
        <f>UKG!BL305</f>
        <v>N</v>
      </c>
      <c r="H308" s="18" t="str">
        <f>UKG!BL305</f>
        <v>N</v>
      </c>
      <c r="I308" s="18" t="str">
        <f>UKG!BL305</f>
        <v>N</v>
      </c>
      <c r="J308" s="18" t="str">
        <f>UKG!BL305</f>
        <v>N</v>
      </c>
      <c r="R308" s="18" t="str">
        <f>UKG!AZ305</f>
        <v>205058</v>
      </c>
      <c r="S308" s="18" t="str">
        <f>UKG!AZ305</f>
        <v>205058</v>
      </c>
      <c r="AC308" s="18" t="str">
        <f>UKG!BL305</f>
        <v>N</v>
      </c>
      <c r="AD308" s="18" t="s">
        <v>1201</v>
      </c>
    </row>
    <row r="309" spans="1:30" ht="16" thickBot="1" x14ac:dyDescent="0.25">
      <c r="A309" s="39" t="s">
        <v>1528</v>
      </c>
      <c r="B309" s="77" t="str">
        <f>UKG!D306</f>
        <v>205068</v>
      </c>
      <c r="C309" s="18" t="str">
        <f>UKG!BL306</f>
        <v>N</v>
      </c>
      <c r="D309" s="18" t="str">
        <f>UKG!BL306</f>
        <v>N</v>
      </c>
      <c r="H309" s="18" t="str">
        <f>UKG!BL306</f>
        <v>N</v>
      </c>
      <c r="I309" s="18" t="str">
        <f>UKG!BL306</f>
        <v>N</v>
      </c>
      <c r="J309" s="18" t="str">
        <f>UKG!BL306</f>
        <v>N</v>
      </c>
      <c r="R309" s="18" t="str">
        <f>UKG!AZ306</f>
        <v>205058</v>
      </c>
      <c r="S309" s="18" t="str">
        <f>UKG!AZ306</f>
        <v>205058</v>
      </c>
      <c r="AC309" s="18" t="str">
        <f>UKG!BL306</f>
        <v>N</v>
      </c>
      <c r="AD309" s="18" t="s">
        <v>1201</v>
      </c>
    </row>
    <row r="310" spans="1:30" ht="16" thickBot="1" x14ac:dyDescent="0.25">
      <c r="A310" s="39" t="s">
        <v>1528</v>
      </c>
      <c r="B310" s="77" t="str">
        <f>UKG!D307</f>
        <v>212947</v>
      </c>
      <c r="C310" s="18" t="str">
        <f>UKG!BL307</f>
        <v>N</v>
      </c>
      <c r="D310" s="18" t="str">
        <f>UKG!BL307</f>
        <v>N</v>
      </c>
      <c r="H310" s="18" t="str">
        <f>UKG!BL307</f>
        <v>N</v>
      </c>
      <c r="I310" s="18" t="str">
        <f>UKG!BL307</f>
        <v>N</v>
      </c>
      <c r="J310" s="18" t="str">
        <f>UKG!BL307</f>
        <v>N</v>
      </c>
      <c r="R310" s="18" t="str">
        <f>UKG!AZ307</f>
        <v>205373</v>
      </c>
      <c r="S310" s="18" t="str">
        <f>UKG!AZ307</f>
        <v>205373</v>
      </c>
      <c r="AC310" s="18" t="str">
        <f>UKG!BL307</f>
        <v>N</v>
      </c>
      <c r="AD310" s="18" t="s">
        <v>1201</v>
      </c>
    </row>
    <row r="311" spans="1:30" ht="16" thickBot="1" x14ac:dyDescent="0.25">
      <c r="A311" s="39" t="s">
        <v>1528</v>
      </c>
      <c r="B311" s="77" t="str">
        <f>UKG!D308</f>
        <v>205073</v>
      </c>
      <c r="C311" s="18" t="str">
        <f>UKG!BL308</f>
        <v>N</v>
      </c>
      <c r="D311" s="18" t="str">
        <f>UKG!BL308</f>
        <v>N</v>
      </c>
      <c r="H311" s="18" t="str">
        <f>UKG!BL308</f>
        <v>N</v>
      </c>
      <c r="I311" s="18" t="str">
        <f>UKG!BL308</f>
        <v>N</v>
      </c>
      <c r="J311" s="18" t="str">
        <f>UKG!BL308</f>
        <v>N</v>
      </c>
      <c r="R311" s="18" t="str">
        <f>UKG!AZ308</f>
        <v>205368</v>
      </c>
      <c r="S311" s="18" t="str">
        <f>UKG!AZ308</f>
        <v>205368</v>
      </c>
      <c r="AC311" s="18" t="str">
        <f>UKG!BL308</f>
        <v>N</v>
      </c>
      <c r="AD311" s="18" t="s">
        <v>1201</v>
      </c>
    </row>
    <row r="312" spans="1:30" ht="16" thickBot="1" x14ac:dyDescent="0.25">
      <c r="A312" s="39" t="s">
        <v>1528</v>
      </c>
      <c r="B312" s="77" t="str">
        <f>UKG!D309</f>
        <v>205086</v>
      </c>
      <c r="C312" s="18" t="str">
        <f>UKG!BL309</f>
        <v>N</v>
      </c>
      <c r="D312" s="18" t="str">
        <f>UKG!BL309</f>
        <v>N</v>
      </c>
      <c r="H312" s="18" t="str">
        <f>UKG!BL309</f>
        <v>N</v>
      </c>
      <c r="I312" s="18" t="str">
        <f>UKG!BL309</f>
        <v>N</v>
      </c>
      <c r="J312" s="18" t="str">
        <f>UKG!BL309</f>
        <v>N</v>
      </c>
      <c r="R312" s="18" t="str">
        <f>UKG!AZ309</f>
        <v>213066</v>
      </c>
      <c r="S312" s="18" t="str">
        <f>UKG!AZ309</f>
        <v>213066</v>
      </c>
      <c r="AC312" s="18" t="str">
        <f>UKG!BL309</f>
        <v>N</v>
      </c>
      <c r="AD312" s="18" t="s">
        <v>1201</v>
      </c>
    </row>
    <row r="313" spans="1:30" ht="16" thickBot="1" x14ac:dyDescent="0.25">
      <c r="A313" s="39" t="s">
        <v>1528</v>
      </c>
      <c r="B313" s="77" t="str">
        <f>UKG!D310</f>
        <v>205372</v>
      </c>
      <c r="C313" s="18" t="str">
        <f>UKG!BL310</f>
        <v>N</v>
      </c>
      <c r="D313" s="18" t="str">
        <f>UKG!BL310</f>
        <v>N</v>
      </c>
      <c r="H313" s="18" t="str">
        <f>UKG!BL310</f>
        <v>N</v>
      </c>
      <c r="I313" s="18" t="str">
        <f>UKG!BL310</f>
        <v>N</v>
      </c>
      <c r="J313" s="18" t="str">
        <f>UKG!BL310</f>
        <v>N</v>
      </c>
      <c r="R313" s="18" t="str">
        <f>UKG!AZ310</f>
        <v>213066</v>
      </c>
      <c r="S313" s="18" t="str">
        <f>UKG!AZ310</f>
        <v>213066</v>
      </c>
      <c r="AC313" s="18" t="str">
        <f>UKG!BL310</f>
        <v>N</v>
      </c>
      <c r="AD313" s="18" t="s">
        <v>1201</v>
      </c>
    </row>
    <row r="314" spans="1:30" ht="16" thickBot="1" x14ac:dyDescent="0.25">
      <c r="A314" s="39" t="s">
        <v>1528</v>
      </c>
      <c r="B314" s="77" t="str">
        <f>UKG!D311</f>
        <v>205059</v>
      </c>
      <c r="C314" s="18" t="str">
        <f>UKG!BL311</f>
        <v>N</v>
      </c>
      <c r="D314" s="18" t="str">
        <f>UKG!BL311</f>
        <v>N</v>
      </c>
      <c r="H314" s="18" t="str">
        <f>UKG!BL311</f>
        <v>N</v>
      </c>
      <c r="I314" s="18" t="str">
        <f>UKG!BL311</f>
        <v>N</v>
      </c>
      <c r="J314" s="18" t="str">
        <f>UKG!BL311</f>
        <v>N</v>
      </c>
      <c r="R314" s="18" t="str">
        <f>UKG!AZ311</f>
        <v>205058</v>
      </c>
      <c r="S314" s="18" t="str">
        <f>UKG!AZ311</f>
        <v>205058</v>
      </c>
      <c r="AC314" s="18" t="str">
        <f>UKG!BL311</f>
        <v>N</v>
      </c>
      <c r="AD314" s="18" t="s">
        <v>1201</v>
      </c>
    </row>
    <row r="315" spans="1:30" ht="16" thickBot="1" x14ac:dyDescent="0.25">
      <c r="A315" s="39" t="s">
        <v>1528</v>
      </c>
      <c r="B315" s="77" t="str">
        <f>UKG!D312</f>
        <v>205103</v>
      </c>
      <c r="C315" s="18" t="str">
        <f>UKG!BL312</f>
        <v>N</v>
      </c>
      <c r="D315" s="18" t="str">
        <f>UKG!BL312</f>
        <v>N</v>
      </c>
      <c r="H315" s="18" t="str">
        <f>UKG!BL312</f>
        <v>N</v>
      </c>
      <c r="I315" s="18" t="str">
        <f>UKG!BL312</f>
        <v>N</v>
      </c>
      <c r="J315" s="18" t="str">
        <f>UKG!BL312</f>
        <v>N</v>
      </c>
      <c r="R315" s="18" t="str">
        <f>UKG!AZ312</f>
        <v>205058</v>
      </c>
      <c r="S315" s="18" t="str">
        <f>UKG!AZ312</f>
        <v>205058</v>
      </c>
      <c r="AC315" s="18" t="str">
        <f>UKG!BL312</f>
        <v>N</v>
      </c>
      <c r="AD315" s="18" t="s">
        <v>1201</v>
      </c>
    </row>
    <row r="316" spans="1:30" ht="16" thickBot="1" x14ac:dyDescent="0.25">
      <c r="A316" s="39" t="s">
        <v>1528</v>
      </c>
      <c r="B316" s="77" t="str">
        <f>UKG!D313</f>
        <v>205376</v>
      </c>
      <c r="C316" s="18" t="str">
        <f>UKG!BL313</f>
        <v>N</v>
      </c>
      <c r="D316" s="18" t="str">
        <f>UKG!BL313</f>
        <v>N</v>
      </c>
      <c r="H316" s="18" t="str">
        <f>UKG!BL313</f>
        <v>N</v>
      </c>
      <c r="I316" s="18" t="str">
        <f>UKG!BL313</f>
        <v>N</v>
      </c>
      <c r="J316" s="18" t="str">
        <f>UKG!BL313</f>
        <v>N</v>
      </c>
      <c r="R316" s="18" t="str">
        <f>UKG!AZ313</f>
        <v>211474</v>
      </c>
      <c r="S316" s="18" t="str">
        <f>UKG!AZ313</f>
        <v>211474</v>
      </c>
      <c r="AC316" s="18" t="str">
        <f>UKG!BL313</f>
        <v>N</v>
      </c>
      <c r="AD316" s="18" t="s">
        <v>1201</v>
      </c>
    </row>
    <row r="317" spans="1:30" ht="16" thickBot="1" x14ac:dyDescent="0.25">
      <c r="A317" s="39" t="s">
        <v>1528</v>
      </c>
      <c r="B317" s="77" t="str">
        <f>UKG!D314</f>
        <v>210833</v>
      </c>
      <c r="C317" s="18" t="str">
        <f>UKG!BL314</f>
        <v>N</v>
      </c>
      <c r="D317" s="18" t="str">
        <f>UKG!BL314</f>
        <v>N</v>
      </c>
      <c r="H317" s="18" t="str">
        <f>UKG!BL314</f>
        <v>N</v>
      </c>
      <c r="I317" s="18" t="str">
        <f>UKG!BL314</f>
        <v>N</v>
      </c>
      <c r="J317" s="18" t="str">
        <f>UKG!BL314</f>
        <v>N</v>
      </c>
      <c r="R317" s="18" t="str">
        <f>UKG!AZ314</f>
        <v>211766</v>
      </c>
      <c r="S317" s="18" t="str">
        <f>UKG!AZ314</f>
        <v>211766</v>
      </c>
      <c r="AC317" s="18" t="str">
        <f>UKG!BL314</f>
        <v>N</v>
      </c>
      <c r="AD317" s="18" t="s">
        <v>1201</v>
      </c>
    </row>
    <row r="318" spans="1:30" ht="16" thickBot="1" x14ac:dyDescent="0.25">
      <c r="A318" s="39" t="s">
        <v>1528</v>
      </c>
      <c r="B318" s="77" t="str">
        <f>UKG!D315</f>
        <v>205087</v>
      </c>
      <c r="C318" s="18" t="str">
        <f>UKG!BL315</f>
        <v>N</v>
      </c>
      <c r="D318" s="18" t="str">
        <f>UKG!BL315</f>
        <v>N</v>
      </c>
      <c r="H318" s="18" t="str">
        <f>UKG!BL315</f>
        <v>N</v>
      </c>
      <c r="I318" s="18" t="str">
        <f>UKG!BL315</f>
        <v>N</v>
      </c>
      <c r="J318" s="18" t="str">
        <f>UKG!BL315</f>
        <v>N</v>
      </c>
      <c r="R318" s="18" t="str">
        <f>UKG!AZ315</f>
        <v>213066</v>
      </c>
      <c r="S318" s="18" t="str">
        <f>UKG!AZ315</f>
        <v>213066</v>
      </c>
      <c r="AC318" s="18" t="str">
        <f>UKG!BL315</f>
        <v>N</v>
      </c>
      <c r="AD318" s="18" t="s">
        <v>1201</v>
      </c>
    </row>
    <row r="319" spans="1:30" ht="16" thickBot="1" x14ac:dyDescent="0.25">
      <c r="A319" s="39" t="s">
        <v>1528</v>
      </c>
      <c r="B319" s="77" t="str">
        <f>UKG!D316</f>
        <v>205380</v>
      </c>
      <c r="C319" s="18" t="str">
        <f>UKG!BL316</f>
        <v>N</v>
      </c>
      <c r="D319" s="18" t="str">
        <f>UKG!BL316</f>
        <v>N</v>
      </c>
      <c r="H319" s="18" t="str">
        <f>UKG!BL316</f>
        <v>N</v>
      </c>
      <c r="I319" s="18" t="str">
        <f>UKG!BL316</f>
        <v>N</v>
      </c>
      <c r="J319" s="18" t="str">
        <f>UKG!BL316</f>
        <v>N</v>
      </c>
      <c r="R319" s="18" t="str">
        <f>UKG!AZ316</f>
        <v>205058</v>
      </c>
      <c r="S319" s="18" t="str">
        <f>UKG!AZ316</f>
        <v>205058</v>
      </c>
      <c r="AC319" s="18" t="str">
        <f>UKG!BL316</f>
        <v>N</v>
      </c>
      <c r="AD319" s="18" t="s">
        <v>1201</v>
      </c>
    </row>
    <row r="320" spans="1:30" ht="16" thickBot="1" x14ac:dyDescent="0.25">
      <c r="A320" s="39" t="s">
        <v>1528</v>
      </c>
      <c r="B320" s="77" t="str">
        <f>UKG!D317</f>
        <v>205065</v>
      </c>
      <c r="C320" s="18" t="str">
        <f>UKG!BL317</f>
        <v>N</v>
      </c>
      <c r="D320" s="18" t="str">
        <f>UKG!BL317</f>
        <v>N</v>
      </c>
      <c r="H320" s="18" t="str">
        <f>UKG!BL317</f>
        <v>N</v>
      </c>
      <c r="I320" s="18" t="str">
        <f>UKG!BL317</f>
        <v>N</v>
      </c>
      <c r="J320" s="18" t="str">
        <f>UKG!BL317</f>
        <v>N</v>
      </c>
      <c r="R320" s="18" t="str">
        <f>UKG!AZ317</f>
        <v>213453</v>
      </c>
      <c r="S320" s="18" t="str">
        <f>UKG!AZ317</f>
        <v>213453</v>
      </c>
      <c r="AC320" s="18" t="str">
        <f>UKG!BL317</f>
        <v>N</v>
      </c>
      <c r="AD320" s="18" t="s">
        <v>1201</v>
      </c>
    </row>
    <row r="321" spans="1:30" ht="16" thickBot="1" x14ac:dyDescent="0.25">
      <c r="A321" s="39" t="s">
        <v>1528</v>
      </c>
      <c r="B321" s="77" t="str">
        <f>UKG!D318</f>
        <v>207448</v>
      </c>
      <c r="C321" s="18" t="str">
        <f>UKG!BL318</f>
        <v>N</v>
      </c>
      <c r="D321" s="18" t="str">
        <f>UKG!BL318</f>
        <v>N</v>
      </c>
      <c r="H321" s="18" t="str">
        <f>UKG!BL318</f>
        <v>N</v>
      </c>
      <c r="I321" s="18" t="str">
        <f>UKG!BL318</f>
        <v>N</v>
      </c>
      <c r="J321" s="18" t="str">
        <f>UKG!BL318</f>
        <v>N</v>
      </c>
      <c r="R321" s="18" t="str">
        <f>UKG!AZ318</f>
        <v>213066</v>
      </c>
      <c r="S321" s="18" t="str">
        <f>UKG!AZ318</f>
        <v>213066</v>
      </c>
      <c r="AC321" s="18" t="str">
        <f>UKG!BL318</f>
        <v>N</v>
      </c>
      <c r="AD321" s="18" t="s">
        <v>1201</v>
      </c>
    </row>
    <row r="322" spans="1:30" ht="16" thickBot="1" x14ac:dyDescent="0.25">
      <c r="A322" s="39" t="s">
        <v>1528</v>
      </c>
      <c r="B322" s="77" t="str">
        <f>UKG!D319</f>
        <v>211649</v>
      </c>
      <c r="C322" s="18" t="str">
        <f>UKG!BL319</f>
        <v>N</v>
      </c>
      <c r="D322" s="18" t="str">
        <f>UKG!BL319</f>
        <v>N</v>
      </c>
      <c r="H322" s="18" t="str">
        <f>UKG!BL319</f>
        <v>N</v>
      </c>
      <c r="I322" s="18" t="str">
        <f>UKG!BL319</f>
        <v>N</v>
      </c>
      <c r="J322" s="18" t="str">
        <f>UKG!BL319</f>
        <v>N</v>
      </c>
      <c r="R322" s="18" t="str">
        <f>UKG!AZ319</f>
        <v>211600</v>
      </c>
      <c r="S322" s="18" t="str">
        <f>UKG!AZ319</f>
        <v>211600</v>
      </c>
      <c r="AC322" s="18" t="str">
        <f>UKG!BL319</f>
        <v>N</v>
      </c>
      <c r="AD322" s="18" t="s">
        <v>1201</v>
      </c>
    </row>
    <row r="323" spans="1:30" ht="16" thickBot="1" x14ac:dyDescent="0.25">
      <c r="A323" s="39" t="s">
        <v>1528</v>
      </c>
      <c r="B323" s="77" t="str">
        <f>UKG!D320</f>
        <v>206694</v>
      </c>
      <c r="C323" s="18" t="str">
        <f>UKG!BL320</f>
        <v>N</v>
      </c>
      <c r="D323" s="18" t="str">
        <f>UKG!BL320</f>
        <v>N</v>
      </c>
      <c r="H323" s="18" t="str">
        <f>UKG!BL320</f>
        <v>N</v>
      </c>
      <c r="I323" s="18" t="str">
        <f>UKG!BL320</f>
        <v>N</v>
      </c>
      <c r="J323" s="18" t="str">
        <f>UKG!BL320</f>
        <v>N</v>
      </c>
      <c r="R323" s="18" t="str">
        <f>UKG!AZ320</f>
        <v>211766</v>
      </c>
      <c r="S323" s="18" t="str">
        <f>UKG!AZ320</f>
        <v>211766</v>
      </c>
      <c r="AC323" s="18" t="str">
        <f>UKG!BL320</f>
        <v>N</v>
      </c>
      <c r="AD323" s="18" t="s">
        <v>1201</v>
      </c>
    </row>
    <row r="324" spans="1:30" ht="16" thickBot="1" x14ac:dyDescent="0.25">
      <c r="A324" s="39" t="s">
        <v>1528</v>
      </c>
      <c r="B324" s="77" t="str">
        <f>UKG!D321</f>
        <v>207184</v>
      </c>
      <c r="C324" s="18" t="str">
        <f>UKG!BL321</f>
        <v>N</v>
      </c>
      <c r="D324" s="18" t="str">
        <f>UKG!BL321</f>
        <v>N</v>
      </c>
      <c r="H324" s="18" t="str">
        <f>UKG!BL321</f>
        <v>N</v>
      </c>
      <c r="I324" s="18" t="str">
        <f>UKG!BL321</f>
        <v>N</v>
      </c>
      <c r="J324" s="18" t="str">
        <f>UKG!BL321</f>
        <v>N</v>
      </c>
      <c r="R324" s="18" t="str">
        <f>UKG!AZ321</f>
        <v>205058</v>
      </c>
      <c r="S324" s="18" t="str">
        <f>UKG!AZ321</f>
        <v>205058</v>
      </c>
      <c r="AC324" s="18" t="str">
        <f>UKG!BL321</f>
        <v>N</v>
      </c>
      <c r="AD324" s="18" t="s">
        <v>1201</v>
      </c>
    </row>
    <row r="325" spans="1:30" ht="16" thickBot="1" x14ac:dyDescent="0.25">
      <c r="A325" s="39" t="s">
        <v>1528</v>
      </c>
      <c r="B325" s="77" t="str">
        <f>UKG!D322</f>
        <v>205070</v>
      </c>
      <c r="C325" s="18" t="str">
        <f>UKG!BL322</f>
        <v>N</v>
      </c>
      <c r="D325" s="18" t="str">
        <f>UKG!BL322</f>
        <v>N</v>
      </c>
      <c r="H325" s="18" t="str">
        <f>UKG!BL322</f>
        <v>N</v>
      </c>
      <c r="I325" s="18" t="str">
        <f>UKG!BL322</f>
        <v>N</v>
      </c>
      <c r="J325" s="18" t="str">
        <f>UKG!BL322</f>
        <v>N</v>
      </c>
      <c r="R325" s="18" t="str">
        <f>UKG!AZ322</f>
        <v>205368</v>
      </c>
      <c r="S325" s="18" t="str">
        <f>UKG!AZ322</f>
        <v>205368</v>
      </c>
      <c r="AC325" s="18" t="str">
        <f>UKG!BL322</f>
        <v>N</v>
      </c>
      <c r="AD325" s="18" t="s">
        <v>1201</v>
      </c>
    </row>
    <row r="326" spans="1:30" ht="16" thickBot="1" x14ac:dyDescent="0.25">
      <c r="A326" s="39" t="s">
        <v>1528</v>
      </c>
      <c r="B326" s="77" t="str">
        <f>UKG!D323</f>
        <v>205386</v>
      </c>
      <c r="C326" s="18" t="str">
        <f>UKG!BL323</f>
        <v>N</v>
      </c>
      <c r="D326" s="18" t="str">
        <f>UKG!BL323</f>
        <v>N</v>
      </c>
      <c r="H326" s="18" t="str">
        <f>UKG!BL323</f>
        <v>N</v>
      </c>
      <c r="I326" s="18" t="str">
        <f>UKG!BL323</f>
        <v>N</v>
      </c>
      <c r="J326" s="18" t="str">
        <f>UKG!BL323</f>
        <v>N</v>
      </c>
      <c r="R326" s="18" t="str">
        <f>UKG!AZ323</f>
        <v>205375</v>
      </c>
      <c r="S326" s="18" t="str">
        <f>UKG!AZ323</f>
        <v>205375</v>
      </c>
      <c r="AC326" s="18" t="str">
        <f>UKG!BL323</f>
        <v>N</v>
      </c>
      <c r="AD326" s="18" t="s">
        <v>1201</v>
      </c>
    </row>
    <row r="327" spans="1:30" ht="16" thickBot="1" x14ac:dyDescent="0.25">
      <c r="A327" s="39" t="s">
        <v>1528</v>
      </c>
      <c r="B327" s="77" t="str">
        <f>UKG!D324</f>
        <v>205348</v>
      </c>
      <c r="C327" s="18" t="str">
        <f>UKG!BL324</f>
        <v>N</v>
      </c>
      <c r="D327" s="18" t="str">
        <f>UKG!BL324</f>
        <v>N</v>
      </c>
      <c r="H327" s="18" t="str">
        <f>UKG!BL324</f>
        <v>N</v>
      </c>
      <c r="I327" s="18" t="str">
        <f>UKG!BL324</f>
        <v>N</v>
      </c>
      <c r="J327" s="18" t="str">
        <f>UKG!BL324</f>
        <v>N</v>
      </c>
      <c r="R327" s="18" t="str">
        <f>UKG!AZ324</f>
        <v>205373</v>
      </c>
      <c r="S327" s="18" t="str">
        <f>UKG!AZ324</f>
        <v>205373</v>
      </c>
      <c r="AC327" s="18" t="str">
        <f>UKG!BL324</f>
        <v>N</v>
      </c>
      <c r="AD327" s="18" t="s">
        <v>1201</v>
      </c>
    </row>
    <row r="328" spans="1:30" ht="16" thickBot="1" x14ac:dyDescent="0.25">
      <c r="A328" s="39" t="s">
        <v>1528</v>
      </c>
      <c r="B328" s="77" t="str">
        <f>UKG!D325</f>
        <v>205357</v>
      </c>
      <c r="C328" s="18" t="str">
        <f>UKG!BL325</f>
        <v>N</v>
      </c>
      <c r="D328" s="18" t="str">
        <f>UKG!BL325</f>
        <v>N</v>
      </c>
      <c r="H328" s="18" t="str">
        <f>UKG!BL325</f>
        <v>N</v>
      </c>
      <c r="I328" s="18" t="str">
        <f>UKG!BL325</f>
        <v>N</v>
      </c>
      <c r="J328" s="18" t="str">
        <f>UKG!BL325</f>
        <v>N</v>
      </c>
      <c r="R328" s="18" t="str">
        <f>UKG!AZ325</f>
        <v>207199</v>
      </c>
      <c r="S328" s="18" t="str">
        <f>UKG!AZ325</f>
        <v>207199</v>
      </c>
      <c r="AC328" s="18" t="str">
        <f>UKG!BL325</f>
        <v>N</v>
      </c>
      <c r="AD328" s="18" t="s">
        <v>1201</v>
      </c>
    </row>
    <row r="329" spans="1:30" ht="16" thickBot="1" x14ac:dyDescent="0.25">
      <c r="A329" s="39" t="s">
        <v>1528</v>
      </c>
      <c r="B329" s="77" t="str">
        <f>UKG!D326</f>
        <v>205390</v>
      </c>
      <c r="C329" s="18" t="str">
        <f>UKG!BL326</f>
        <v>N</v>
      </c>
      <c r="D329" s="18" t="str">
        <f>UKG!BL326</f>
        <v>N</v>
      </c>
      <c r="H329" s="18" t="str">
        <f>UKG!BL326</f>
        <v>N</v>
      </c>
      <c r="I329" s="18" t="str">
        <f>UKG!BL326</f>
        <v>N</v>
      </c>
      <c r="J329" s="18" t="str">
        <f>UKG!BL326</f>
        <v>N</v>
      </c>
      <c r="R329" s="18" t="str">
        <f>UKG!AZ326</f>
        <v>211474</v>
      </c>
      <c r="S329" s="18" t="str">
        <f>UKG!AZ326</f>
        <v>211474</v>
      </c>
      <c r="AC329" s="18" t="str">
        <f>UKG!BL326</f>
        <v>N</v>
      </c>
      <c r="AD329" s="18" t="s">
        <v>1201</v>
      </c>
    </row>
    <row r="330" spans="1:30" ht="16" thickBot="1" x14ac:dyDescent="0.25">
      <c r="A330" s="39" t="s">
        <v>1528</v>
      </c>
      <c r="B330" s="77" t="str">
        <f>UKG!D327</f>
        <v>205363</v>
      </c>
      <c r="C330" s="18" t="str">
        <f>UKG!BL327</f>
        <v>N</v>
      </c>
      <c r="D330" s="18" t="str">
        <f>UKG!BL327</f>
        <v>N</v>
      </c>
      <c r="H330" s="18" t="str">
        <f>UKG!BL327</f>
        <v>N</v>
      </c>
      <c r="I330" s="18" t="str">
        <f>UKG!BL327</f>
        <v>N</v>
      </c>
      <c r="J330" s="18" t="str">
        <f>UKG!BL327</f>
        <v>N</v>
      </c>
      <c r="R330" s="18" t="str">
        <f>UKG!AZ327</f>
        <v>207199</v>
      </c>
      <c r="S330" s="18" t="str">
        <f>UKG!AZ327</f>
        <v>207199</v>
      </c>
      <c r="AC330" s="18" t="str">
        <f>UKG!BL327</f>
        <v>N</v>
      </c>
      <c r="AD330" s="18" t="s">
        <v>1201</v>
      </c>
    </row>
    <row r="331" spans="1:30" ht="16" thickBot="1" x14ac:dyDescent="0.25">
      <c r="A331" s="39" t="s">
        <v>1528</v>
      </c>
      <c r="B331" s="77" t="str">
        <f>UKG!D328</f>
        <v>205405</v>
      </c>
      <c r="C331" s="18" t="str">
        <f>UKG!BL328</f>
        <v>N</v>
      </c>
      <c r="D331" s="18" t="str">
        <f>UKG!BL328</f>
        <v>N</v>
      </c>
      <c r="H331" s="18" t="str">
        <f>UKG!BL328</f>
        <v>N</v>
      </c>
      <c r="I331" s="18" t="str">
        <f>UKG!BL328</f>
        <v>N</v>
      </c>
      <c r="J331" s="18" t="str">
        <f>UKG!BL328</f>
        <v>N</v>
      </c>
      <c r="R331" s="18" t="str">
        <f>UKG!AZ328</f>
        <v>205408</v>
      </c>
      <c r="S331" s="18" t="str">
        <f>UKG!AZ328</f>
        <v>205408</v>
      </c>
      <c r="AC331" s="18" t="str">
        <f>UKG!BL328</f>
        <v>N</v>
      </c>
      <c r="AD331" s="18" t="s">
        <v>1201</v>
      </c>
    </row>
    <row r="332" spans="1:30" ht="16" thickBot="1" x14ac:dyDescent="0.25">
      <c r="A332" s="39" t="s">
        <v>1528</v>
      </c>
      <c r="B332" s="77" t="str">
        <f>UKG!D329</f>
        <v>205373</v>
      </c>
      <c r="C332" s="18" t="str">
        <f>UKG!BL329</f>
        <v>N</v>
      </c>
      <c r="D332" s="18" t="str">
        <f>UKG!BL329</f>
        <v>N</v>
      </c>
      <c r="H332" s="18" t="str">
        <f>UKG!BL329</f>
        <v>N</v>
      </c>
      <c r="I332" s="18" t="str">
        <f>UKG!BL329</f>
        <v>N</v>
      </c>
      <c r="J332" s="18" t="str">
        <f>UKG!BL329</f>
        <v>N</v>
      </c>
      <c r="R332" s="18" t="str">
        <f>UKG!AZ329</f>
        <v>207709</v>
      </c>
      <c r="S332" s="18" t="str">
        <f>UKG!AZ329</f>
        <v>207709</v>
      </c>
      <c r="AC332" s="18" t="str">
        <f>UKG!BL329</f>
        <v>N</v>
      </c>
      <c r="AD332" s="18" t="s">
        <v>1201</v>
      </c>
    </row>
    <row r="333" spans="1:30" ht="16" thickBot="1" x14ac:dyDescent="0.25">
      <c r="A333" s="39" t="s">
        <v>1528</v>
      </c>
      <c r="B333" s="77" t="str">
        <f>UKG!D330</f>
        <v>205407</v>
      </c>
      <c r="C333" s="18" t="str">
        <f>UKG!BL330</f>
        <v>N</v>
      </c>
      <c r="D333" s="18" t="str">
        <f>UKG!BL330</f>
        <v>N</v>
      </c>
      <c r="H333" s="18" t="str">
        <f>UKG!BL330</f>
        <v>N</v>
      </c>
      <c r="I333" s="18" t="str">
        <f>UKG!BL330</f>
        <v>N</v>
      </c>
      <c r="J333" s="18" t="str">
        <f>UKG!BL330</f>
        <v>N</v>
      </c>
      <c r="R333" s="18" t="str">
        <f>UKG!AZ330</f>
        <v>205408</v>
      </c>
      <c r="S333" s="18" t="str">
        <f>UKG!AZ330</f>
        <v>205408</v>
      </c>
      <c r="AC333" s="18" t="str">
        <f>UKG!BL330</f>
        <v>N</v>
      </c>
      <c r="AD333" s="18" t="s">
        <v>1201</v>
      </c>
    </row>
    <row r="334" spans="1:30" ht="16" thickBot="1" x14ac:dyDescent="0.25">
      <c r="A334" s="39" t="s">
        <v>1528</v>
      </c>
      <c r="B334" s="77" t="str">
        <f>UKG!D331</f>
        <v>205233</v>
      </c>
      <c r="C334" s="18" t="str">
        <f>UKG!BL331</f>
        <v>N</v>
      </c>
      <c r="D334" s="18" t="str">
        <f>UKG!BL331</f>
        <v>N</v>
      </c>
      <c r="H334" s="18" t="str">
        <f>UKG!BL331</f>
        <v>N</v>
      </c>
      <c r="I334" s="18" t="str">
        <f>UKG!BL331</f>
        <v>N</v>
      </c>
      <c r="J334" s="18" t="str">
        <f>UKG!BL331</f>
        <v>N</v>
      </c>
      <c r="R334" s="18" t="str">
        <f>UKG!AZ331</f>
        <v>211600</v>
      </c>
      <c r="S334" s="18" t="str">
        <f>UKG!AZ331</f>
        <v>211600</v>
      </c>
      <c r="AC334" s="18" t="str">
        <f>UKG!BL331</f>
        <v>N</v>
      </c>
      <c r="AD334" s="18" t="s">
        <v>1201</v>
      </c>
    </row>
    <row r="335" spans="1:30" ht="16" thickBot="1" x14ac:dyDescent="0.25">
      <c r="A335" s="39" t="s">
        <v>1528</v>
      </c>
      <c r="B335" s="77" t="str">
        <f>UKG!D332</f>
        <v>205060</v>
      </c>
      <c r="C335" s="18" t="str">
        <f>UKG!BL332</f>
        <v>N</v>
      </c>
      <c r="D335" s="18" t="str">
        <f>UKG!BL332</f>
        <v>N</v>
      </c>
      <c r="H335" s="18" t="str">
        <f>UKG!BL332</f>
        <v>N</v>
      </c>
      <c r="I335" s="18" t="str">
        <f>UKG!BL332</f>
        <v>N</v>
      </c>
      <c r="J335" s="18" t="str">
        <f>UKG!BL332</f>
        <v>N</v>
      </c>
      <c r="R335" s="18" t="str">
        <f>UKG!AZ332</f>
        <v>211910</v>
      </c>
      <c r="S335" s="18" t="str">
        <f>UKG!AZ332</f>
        <v>211910</v>
      </c>
      <c r="AC335" s="18" t="str">
        <f>UKG!BL332</f>
        <v>N</v>
      </c>
      <c r="AD335" s="18" t="s">
        <v>1201</v>
      </c>
    </row>
    <row r="336" spans="1:30" ht="16" thickBot="1" x14ac:dyDescent="0.25">
      <c r="A336" s="39" t="s">
        <v>1528</v>
      </c>
      <c r="B336" s="77" t="str">
        <f>UKG!D333</f>
        <v>205057</v>
      </c>
      <c r="C336" s="18" t="str">
        <f>UKG!BL333</f>
        <v>N</v>
      </c>
      <c r="D336" s="18" t="str">
        <f>UKG!BL333</f>
        <v>N</v>
      </c>
      <c r="H336" s="18" t="str">
        <f>UKG!BL333</f>
        <v>N</v>
      </c>
      <c r="I336" s="18" t="str">
        <f>UKG!BL333</f>
        <v>N</v>
      </c>
      <c r="J336" s="18" t="str">
        <f>UKG!BL333</f>
        <v>N</v>
      </c>
      <c r="R336" s="18" t="str">
        <f>UKG!AZ333</f>
        <v>211601</v>
      </c>
      <c r="S336" s="18" t="str">
        <f>UKG!AZ333</f>
        <v>211601</v>
      </c>
      <c r="AC336" s="18" t="str">
        <f>UKG!BL333</f>
        <v>N</v>
      </c>
      <c r="AD336" s="18" t="s">
        <v>1201</v>
      </c>
    </row>
    <row r="337" spans="1:30" ht="16" thickBot="1" x14ac:dyDescent="0.25">
      <c r="A337" s="39" t="s">
        <v>1528</v>
      </c>
      <c r="B337" s="77" t="str">
        <f>UKG!D334</f>
        <v>211474</v>
      </c>
      <c r="C337" s="18" t="str">
        <f>UKG!BL334</f>
        <v>N</v>
      </c>
      <c r="D337" s="18" t="str">
        <f>UKG!BL334</f>
        <v>N</v>
      </c>
      <c r="H337" s="18" t="str">
        <f>UKG!BL334</f>
        <v>N</v>
      </c>
      <c r="I337" s="18" t="str">
        <f>UKG!BL334</f>
        <v>N</v>
      </c>
      <c r="J337" s="18" t="str">
        <f>UKG!BL334</f>
        <v>N</v>
      </c>
      <c r="R337" s="18" t="str">
        <f>UKG!AZ334</f>
        <v>205389</v>
      </c>
      <c r="S337" s="18" t="str">
        <f>UKG!AZ334</f>
        <v>205389</v>
      </c>
      <c r="AC337" s="18" t="str">
        <f>UKG!BL334</f>
        <v>N</v>
      </c>
      <c r="AD337" s="18" t="s">
        <v>1201</v>
      </c>
    </row>
    <row r="338" spans="1:30" ht="16" thickBot="1" x14ac:dyDescent="0.25">
      <c r="A338" s="39" t="s">
        <v>1528</v>
      </c>
      <c r="B338" s="77" t="str">
        <f>UKG!D335</f>
        <v>205401</v>
      </c>
      <c r="C338" s="18" t="str">
        <f>UKG!BL335</f>
        <v>N</v>
      </c>
      <c r="D338" s="18" t="str">
        <f>UKG!BL335</f>
        <v>N</v>
      </c>
      <c r="H338" s="18" t="str">
        <f>UKG!BL335</f>
        <v>N</v>
      </c>
      <c r="I338" s="18" t="str">
        <f>UKG!BL335</f>
        <v>N</v>
      </c>
      <c r="J338" s="18" t="str">
        <f>UKG!BL335</f>
        <v>N</v>
      </c>
      <c r="R338" s="18" t="str">
        <f>UKG!AZ335</f>
        <v>205095</v>
      </c>
      <c r="S338" s="18" t="str">
        <f>UKG!AZ335</f>
        <v>205095</v>
      </c>
      <c r="AC338" s="18" t="str">
        <f>UKG!BL335</f>
        <v>N</v>
      </c>
      <c r="AD338" s="18" t="s">
        <v>1201</v>
      </c>
    </row>
    <row r="339" spans="1:30" ht="16" thickBot="1" x14ac:dyDescent="0.25">
      <c r="A339" s="39" t="s">
        <v>1528</v>
      </c>
      <c r="B339" s="77" t="str">
        <f>UKG!D336</f>
        <v>211910</v>
      </c>
      <c r="C339" s="18" t="str">
        <f>UKG!BL336</f>
        <v>N</v>
      </c>
      <c r="D339" s="18" t="str">
        <f>UKG!BL336</f>
        <v>N</v>
      </c>
      <c r="H339" s="18" t="str">
        <f>UKG!BL336</f>
        <v>N</v>
      </c>
      <c r="I339" s="18" t="str">
        <f>UKG!BL336</f>
        <v>N</v>
      </c>
      <c r="J339" s="18" t="str">
        <f>UKG!BL336</f>
        <v>N</v>
      </c>
      <c r="R339" s="18" t="str">
        <f>UKG!AZ336</f>
        <v>203011</v>
      </c>
      <c r="S339" s="18" t="str">
        <f>UKG!AZ336</f>
        <v>203011</v>
      </c>
      <c r="AC339" s="18" t="str">
        <f>UKG!BL336</f>
        <v>N</v>
      </c>
      <c r="AD339" s="18" t="s">
        <v>1201</v>
      </c>
    </row>
    <row r="340" spans="1:30" ht="16" thickBot="1" x14ac:dyDescent="0.25">
      <c r="A340" s="39" t="s">
        <v>1528</v>
      </c>
      <c r="B340" s="77" t="str">
        <f>UKG!D337</f>
        <v>205354</v>
      </c>
      <c r="C340" s="18" t="str">
        <f>UKG!BL337</f>
        <v>N</v>
      </c>
      <c r="D340" s="18" t="str">
        <f>UKG!BL337</f>
        <v>N</v>
      </c>
      <c r="H340" s="18" t="str">
        <f>UKG!BL337</f>
        <v>N</v>
      </c>
      <c r="I340" s="18" t="str">
        <f>UKG!BL337</f>
        <v>N</v>
      </c>
      <c r="J340" s="18" t="str">
        <f>UKG!BL337</f>
        <v>N</v>
      </c>
      <c r="R340" s="18" t="str">
        <f>UKG!AZ337</f>
        <v>205373</v>
      </c>
      <c r="S340" s="18" t="str">
        <f>UKG!AZ337</f>
        <v>205373</v>
      </c>
      <c r="AC340" s="18" t="str">
        <f>UKG!BL337</f>
        <v>N</v>
      </c>
      <c r="AD340" s="18" t="s">
        <v>1201</v>
      </c>
    </row>
    <row r="341" spans="1:30" ht="16" thickBot="1" x14ac:dyDescent="0.25">
      <c r="A341" s="39" t="s">
        <v>1528</v>
      </c>
      <c r="B341" s="77" t="str">
        <f>UKG!D338</f>
        <v>213174</v>
      </c>
      <c r="C341" s="18" t="str">
        <f>UKG!BL338</f>
        <v>Y</v>
      </c>
      <c r="D341" s="18" t="str">
        <f>UKG!BL338</f>
        <v>Y</v>
      </c>
      <c r="H341" s="18" t="str">
        <f>UKG!BL338</f>
        <v>Y</v>
      </c>
      <c r="I341" s="18" t="str">
        <f>UKG!BL338</f>
        <v>Y</v>
      </c>
      <c r="J341" s="18" t="str">
        <f>UKG!BL338</f>
        <v>Y</v>
      </c>
      <c r="R341" s="18" t="str">
        <f>UKG!AZ338</f>
        <v>207709</v>
      </c>
      <c r="S341" s="18" t="str">
        <f>UKG!AZ338</f>
        <v>207709</v>
      </c>
      <c r="AC341" s="18" t="str">
        <f>UKG!BL338</f>
        <v>Y</v>
      </c>
      <c r="AD341" s="18" t="s">
        <v>1201</v>
      </c>
    </row>
    <row r="342" spans="1:30" ht="16" thickBot="1" x14ac:dyDescent="0.25">
      <c r="A342" s="39" t="s">
        <v>1528</v>
      </c>
      <c r="B342" s="77" t="str">
        <f>UKG!D339</f>
        <v>205315</v>
      </c>
      <c r="C342" s="18" t="str">
        <f>UKG!BL339</f>
        <v>N</v>
      </c>
      <c r="D342" s="18" t="str">
        <f>UKG!BL339</f>
        <v>N</v>
      </c>
      <c r="H342" s="18" t="str">
        <f>UKG!BL339</f>
        <v>N</v>
      </c>
      <c r="I342" s="18" t="str">
        <f>UKG!BL339</f>
        <v>N</v>
      </c>
      <c r="J342" s="18" t="str">
        <f>UKG!BL339</f>
        <v>N</v>
      </c>
      <c r="R342" s="18" t="str">
        <f>UKG!AZ339</f>
        <v>205377</v>
      </c>
      <c r="S342" s="18" t="str">
        <f>UKG!AZ339</f>
        <v>205377</v>
      </c>
      <c r="AC342" s="18" t="str">
        <f>UKG!BL339</f>
        <v>N</v>
      </c>
      <c r="AD342" s="18" t="s">
        <v>1201</v>
      </c>
    </row>
    <row r="343" spans="1:30" ht="16" thickBot="1" x14ac:dyDescent="0.25">
      <c r="A343" s="39" t="s">
        <v>1528</v>
      </c>
      <c r="B343" s="77" t="str">
        <f>UKG!D340</f>
        <v>205393</v>
      </c>
      <c r="C343" s="18" t="str">
        <f>UKG!BL340</f>
        <v>N</v>
      </c>
      <c r="D343" s="18" t="str">
        <f>UKG!BL340</f>
        <v>N</v>
      </c>
      <c r="H343" s="18" t="str">
        <f>UKG!BL340</f>
        <v>N</v>
      </c>
      <c r="I343" s="18" t="str">
        <f>UKG!BL340</f>
        <v>N</v>
      </c>
      <c r="J343" s="18" t="str">
        <f>UKG!BL340</f>
        <v>N</v>
      </c>
      <c r="R343" s="18" t="str">
        <f>UKG!AZ340</f>
        <v>213460</v>
      </c>
      <c r="S343" s="18" t="str">
        <f>UKG!AZ340</f>
        <v>213460</v>
      </c>
      <c r="AC343" s="18" t="str">
        <f>UKG!BL340</f>
        <v>N</v>
      </c>
      <c r="AD343" s="18" t="s">
        <v>1201</v>
      </c>
    </row>
    <row r="344" spans="1:30" ht="16" thickBot="1" x14ac:dyDescent="0.25">
      <c r="A344" s="39" t="s">
        <v>1528</v>
      </c>
      <c r="B344" s="77" t="str">
        <f>UKG!D341</f>
        <v>213460</v>
      </c>
      <c r="C344" s="18" t="str">
        <f>UKG!BL341</f>
        <v>N</v>
      </c>
      <c r="D344" s="18" t="str">
        <f>UKG!BL341</f>
        <v>N</v>
      </c>
      <c r="H344" s="18" t="str">
        <f>UKG!BL341</f>
        <v>N</v>
      </c>
      <c r="I344" s="18" t="str">
        <f>UKG!BL341</f>
        <v>N</v>
      </c>
      <c r="J344" s="18" t="str">
        <f>UKG!BL341</f>
        <v>N</v>
      </c>
      <c r="R344" s="18" t="str">
        <f>UKG!AZ341</f>
        <v>205389</v>
      </c>
      <c r="S344" s="18" t="str">
        <f>UKG!AZ341</f>
        <v>205389</v>
      </c>
      <c r="AC344" s="18" t="str">
        <f>UKG!BL341</f>
        <v>N</v>
      </c>
      <c r="AD344" s="18" t="s">
        <v>1201</v>
      </c>
    </row>
    <row r="345" spans="1:30" ht="16" thickBot="1" x14ac:dyDescent="0.25">
      <c r="A345" s="39" t="s">
        <v>1528</v>
      </c>
      <c r="B345" s="77" t="str">
        <f>UKG!D342</f>
        <v>205377</v>
      </c>
      <c r="C345" s="18" t="str">
        <f>UKG!BL342</f>
        <v>N</v>
      </c>
      <c r="D345" s="18" t="str">
        <f>UKG!BL342</f>
        <v>N</v>
      </c>
      <c r="H345" s="18" t="str">
        <f>UKG!BL342</f>
        <v>N</v>
      </c>
      <c r="I345" s="18" t="str">
        <f>UKG!BL342</f>
        <v>N</v>
      </c>
      <c r="J345" s="18" t="str">
        <f>UKG!BL342</f>
        <v>N</v>
      </c>
      <c r="R345" s="18" t="str">
        <f>UKG!AZ342</f>
        <v>211474</v>
      </c>
      <c r="S345" s="18" t="str">
        <f>UKG!AZ342</f>
        <v>211474</v>
      </c>
      <c r="AC345" s="18" t="str">
        <f>UKG!BL342</f>
        <v>N</v>
      </c>
      <c r="AD345" s="18" t="s">
        <v>1201</v>
      </c>
    </row>
    <row r="346" spans="1:30" ht="16" thickBot="1" x14ac:dyDescent="0.25">
      <c r="A346" s="39" t="s">
        <v>1528</v>
      </c>
      <c r="B346" s="77" t="str">
        <f>UKG!D343</f>
        <v>213453</v>
      </c>
      <c r="C346" s="18" t="str">
        <f>UKG!BL343</f>
        <v>N</v>
      </c>
      <c r="D346" s="18" t="str">
        <f>UKG!BL343</f>
        <v>N</v>
      </c>
      <c r="H346" s="18" t="str">
        <f>UKG!BL343</f>
        <v>N</v>
      </c>
      <c r="I346" s="18" t="str">
        <f>UKG!BL343</f>
        <v>N</v>
      </c>
      <c r="J346" s="18" t="str">
        <f>UKG!BL343</f>
        <v>N</v>
      </c>
      <c r="R346" s="18" t="str">
        <f>UKG!AZ343</f>
        <v>213174</v>
      </c>
      <c r="S346" s="18" t="str">
        <f>UKG!AZ343</f>
        <v>213174</v>
      </c>
      <c r="AC346" s="18" t="str">
        <f>UKG!BL343</f>
        <v>N</v>
      </c>
      <c r="AD346" s="18" t="s">
        <v>1201</v>
      </c>
    </row>
    <row r="347" spans="1:30" ht="16" thickBot="1" x14ac:dyDescent="0.25">
      <c r="A347" s="39" t="s">
        <v>1528</v>
      </c>
      <c r="B347" s="77" t="str">
        <f>UKG!D344</f>
        <v>205382</v>
      </c>
      <c r="C347" s="18" t="str">
        <f>UKG!BL344</f>
        <v>N</v>
      </c>
      <c r="D347" s="18" t="str">
        <f>UKG!BL344</f>
        <v>N</v>
      </c>
      <c r="H347" s="18" t="str">
        <f>UKG!BL344</f>
        <v>N</v>
      </c>
      <c r="I347" s="18" t="str">
        <f>UKG!BL344</f>
        <v>N</v>
      </c>
      <c r="J347" s="18" t="str">
        <f>UKG!BL344</f>
        <v>N</v>
      </c>
      <c r="R347" s="18" t="str">
        <f>UKG!AZ344</f>
        <v>205384</v>
      </c>
      <c r="S347" s="18" t="str">
        <f>UKG!AZ344</f>
        <v>205384</v>
      </c>
      <c r="AC347" s="18" t="str">
        <f>UKG!BL344</f>
        <v>N</v>
      </c>
      <c r="AD347" s="18" t="s">
        <v>1201</v>
      </c>
    </row>
    <row r="348" spans="1:30" ht="16" thickBot="1" x14ac:dyDescent="0.25">
      <c r="A348" s="39" t="s">
        <v>1528</v>
      </c>
      <c r="B348" s="77" t="str">
        <f>UKG!D345</f>
        <v>211648</v>
      </c>
      <c r="C348" s="18" t="str">
        <f>UKG!BL345</f>
        <v>N</v>
      </c>
      <c r="D348" s="18" t="str">
        <f>UKG!BL345</f>
        <v>N</v>
      </c>
      <c r="H348" s="18" t="str">
        <f>UKG!BL345</f>
        <v>N</v>
      </c>
      <c r="I348" s="18" t="str">
        <f>UKG!BL345</f>
        <v>N</v>
      </c>
      <c r="J348" s="18" t="str">
        <f>UKG!BL345</f>
        <v>N</v>
      </c>
      <c r="R348" s="18" t="str">
        <f>UKG!AZ345</f>
        <v>205368</v>
      </c>
      <c r="S348" s="18" t="str">
        <f>UKG!AZ345</f>
        <v>205368</v>
      </c>
      <c r="AC348" s="18" t="str">
        <f>UKG!BL345</f>
        <v>N</v>
      </c>
      <c r="AD348" s="18" t="s">
        <v>1201</v>
      </c>
    </row>
    <row r="349" spans="1:30" ht="16" thickBot="1" x14ac:dyDescent="0.25">
      <c r="A349" s="39" t="s">
        <v>1528</v>
      </c>
      <c r="B349" s="77" t="str">
        <f>UKG!D346</f>
        <v>205387</v>
      </c>
      <c r="C349" s="18" t="str">
        <f>UKG!BL346</f>
        <v>N</v>
      </c>
      <c r="D349" s="18" t="str">
        <f>UKG!BL346</f>
        <v>N</v>
      </c>
      <c r="H349" s="18" t="str">
        <f>UKG!BL346</f>
        <v>N</v>
      </c>
      <c r="I349" s="18" t="str">
        <f>UKG!BL346</f>
        <v>N</v>
      </c>
      <c r="J349" s="18" t="str">
        <f>UKG!BL346</f>
        <v>N</v>
      </c>
      <c r="R349" s="18" t="str">
        <f>UKG!AZ346</f>
        <v>205389</v>
      </c>
      <c r="S349" s="18" t="str">
        <f>UKG!AZ346</f>
        <v>205389</v>
      </c>
      <c r="AC349" s="18" t="str">
        <f>UKG!BL346</f>
        <v>N</v>
      </c>
      <c r="AD349" s="18" t="s">
        <v>1201</v>
      </c>
    </row>
    <row r="350" spans="1:30" ht="16" thickBot="1" x14ac:dyDescent="0.25">
      <c r="A350" s="39" t="s">
        <v>1528</v>
      </c>
      <c r="B350" s="77" t="str">
        <f>UKG!D347</f>
        <v>205349</v>
      </c>
      <c r="C350" s="18" t="str">
        <f>UKG!BL347</f>
        <v>N</v>
      </c>
      <c r="D350" s="18" t="str">
        <f>UKG!BL347</f>
        <v>N</v>
      </c>
      <c r="H350" s="18" t="str">
        <f>UKG!BL347</f>
        <v>N</v>
      </c>
      <c r="I350" s="18" t="str">
        <f>UKG!BL347</f>
        <v>N</v>
      </c>
      <c r="J350" s="18" t="str">
        <f>UKG!BL347</f>
        <v>N</v>
      </c>
      <c r="R350" s="18" t="str">
        <f>UKG!AZ347</f>
        <v>213066</v>
      </c>
      <c r="S350" s="18" t="str">
        <f>UKG!AZ347</f>
        <v>213066</v>
      </c>
      <c r="AC350" s="18" t="str">
        <f>UKG!BL347</f>
        <v>N</v>
      </c>
      <c r="AD350" s="18" t="s">
        <v>1201</v>
      </c>
    </row>
    <row r="351" spans="1:30" ht="16" thickBot="1" x14ac:dyDescent="0.25">
      <c r="A351" s="39" t="s">
        <v>1528</v>
      </c>
      <c r="B351" s="77" t="str">
        <f>UKG!D348</f>
        <v>205408</v>
      </c>
      <c r="C351" s="18" t="str">
        <f>UKG!BL348</f>
        <v>N</v>
      </c>
      <c r="D351" s="18" t="str">
        <f>UKG!BL348</f>
        <v>N</v>
      </c>
      <c r="H351" s="18" t="str">
        <f>UKG!BL348</f>
        <v>N</v>
      </c>
      <c r="I351" s="18" t="str">
        <f>UKG!BL348</f>
        <v>N</v>
      </c>
      <c r="J351" s="18" t="str">
        <f>UKG!BL348</f>
        <v>N</v>
      </c>
      <c r="R351" s="18" t="str">
        <f>UKG!AZ348</f>
        <v>211474</v>
      </c>
      <c r="S351" s="18" t="str">
        <f>UKG!AZ348</f>
        <v>211474</v>
      </c>
      <c r="AC351" s="18" t="str">
        <f>UKG!BL348</f>
        <v>N</v>
      </c>
      <c r="AD351" s="18" t="s">
        <v>1201</v>
      </c>
    </row>
    <row r="352" spans="1:30" ht="16" thickBot="1" x14ac:dyDescent="0.25">
      <c r="A352" s="39" t="s">
        <v>1528</v>
      </c>
      <c r="B352" s="77" t="str">
        <f>UKG!D349</f>
        <v>211912</v>
      </c>
      <c r="C352" s="18" t="str">
        <f>UKG!BL349</f>
        <v>N</v>
      </c>
      <c r="D352" s="18" t="str">
        <f>UKG!BL349</f>
        <v>N</v>
      </c>
      <c r="H352" s="18" t="str">
        <f>UKG!BL349</f>
        <v>N</v>
      </c>
      <c r="I352" s="18" t="str">
        <f>UKG!BL349</f>
        <v>N</v>
      </c>
      <c r="J352" s="18" t="str">
        <f>UKG!BL349</f>
        <v>N</v>
      </c>
      <c r="R352" s="18" t="str">
        <f>UKG!AZ349</f>
        <v>213066</v>
      </c>
      <c r="S352" s="18" t="str">
        <f>UKG!AZ349</f>
        <v>213066</v>
      </c>
      <c r="AC352" s="18" t="str">
        <f>UKG!BL349</f>
        <v>N</v>
      </c>
      <c r="AD352" s="18" t="s">
        <v>1201</v>
      </c>
    </row>
    <row r="353" spans="1:30" ht="16" thickBot="1" x14ac:dyDescent="0.25">
      <c r="A353" s="39" t="s">
        <v>1528</v>
      </c>
      <c r="B353" s="77" t="str">
        <f>UKG!D350</f>
        <v>205404</v>
      </c>
      <c r="C353" s="18" t="str">
        <f>UKG!BL350</f>
        <v>N</v>
      </c>
      <c r="D353" s="18" t="str">
        <f>UKG!BL350</f>
        <v>N</v>
      </c>
      <c r="H353" s="18" t="str">
        <f>UKG!BL350</f>
        <v>N</v>
      </c>
      <c r="I353" s="18" t="str">
        <f>UKG!BL350</f>
        <v>N</v>
      </c>
      <c r="J353" s="18" t="str">
        <f>UKG!BL350</f>
        <v>N</v>
      </c>
      <c r="R353" s="18" t="str">
        <f>UKG!AZ350</f>
        <v>205408</v>
      </c>
      <c r="S353" s="18" t="str">
        <f>UKG!AZ350</f>
        <v>205408</v>
      </c>
      <c r="AC353" s="18" t="str">
        <f>UKG!BL350</f>
        <v>N</v>
      </c>
      <c r="AD353" s="18" t="s">
        <v>1201</v>
      </c>
    </row>
    <row r="354" spans="1:30" ht="16" thickBot="1" x14ac:dyDescent="0.25">
      <c r="A354" s="39" t="s">
        <v>1528</v>
      </c>
      <c r="B354" s="77" t="str">
        <f>UKG!D351</f>
        <v>205395</v>
      </c>
      <c r="C354" s="18" t="str">
        <f>UKG!BL351</f>
        <v>N</v>
      </c>
      <c r="D354" s="18" t="str">
        <f>UKG!BL351</f>
        <v>N</v>
      </c>
      <c r="H354" s="18" t="str">
        <f>UKG!BL351</f>
        <v>N</v>
      </c>
      <c r="I354" s="18" t="str">
        <f>UKG!BL351</f>
        <v>N</v>
      </c>
      <c r="J354" s="18" t="str">
        <f>UKG!BL351</f>
        <v>N</v>
      </c>
      <c r="R354" s="18" t="str">
        <f>UKG!AZ351</f>
        <v>207709</v>
      </c>
      <c r="S354" s="18" t="str">
        <f>UKG!AZ351</f>
        <v>207709</v>
      </c>
      <c r="AC354" s="18" t="str">
        <f>UKG!BL351</f>
        <v>N</v>
      </c>
      <c r="AD354" s="18" t="s">
        <v>1201</v>
      </c>
    </row>
    <row r="355" spans="1:30" ht="16" thickBot="1" x14ac:dyDescent="0.25">
      <c r="A355" s="39" t="s">
        <v>1528</v>
      </c>
      <c r="B355" s="77" t="str">
        <f>UKG!D352</f>
        <v>207205</v>
      </c>
      <c r="C355" s="18" t="str">
        <f>UKG!BL352</f>
        <v>N</v>
      </c>
      <c r="D355" s="18" t="str">
        <f>UKG!BL352</f>
        <v>N</v>
      </c>
      <c r="H355" s="18" t="str">
        <f>UKG!BL352</f>
        <v>N</v>
      </c>
      <c r="I355" s="18" t="str">
        <f>UKG!BL352</f>
        <v>N</v>
      </c>
      <c r="J355" s="18" t="str">
        <f>UKG!BL352</f>
        <v>N</v>
      </c>
      <c r="R355" s="18" t="str">
        <f>UKG!AZ352</f>
        <v>205065</v>
      </c>
      <c r="S355" s="18" t="str">
        <f>UKG!AZ352</f>
        <v>205065</v>
      </c>
      <c r="AC355" s="18" t="str">
        <f>UKG!BL352</f>
        <v>N</v>
      </c>
      <c r="AD355" s="18" t="s">
        <v>1201</v>
      </c>
    </row>
    <row r="356" spans="1:30" ht="16" thickBot="1" x14ac:dyDescent="0.25">
      <c r="A356" s="39" t="s">
        <v>1528</v>
      </c>
      <c r="B356" s="77" t="str">
        <f>UKG!D353</f>
        <v>205097</v>
      </c>
      <c r="C356" s="18" t="str">
        <f>UKG!BL353</f>
        <v>N</v>
      </c>
      <c r="D356" s="18" t="str">
        <f>UKG!BL353</f>
        <v>N</v>
      </c>
      <c r="H356" s="18" t="str">
        <f>UKG!BL353</f>
        <v>N</v>
      </c>
      <c r="I356" s="18" t="str">
        <f>UKG!BL353</f>
        <v>N</v>
      </c>
      <c r="J356" s="18" t="str">
        <f>UKG!BL353</f>
        <v>N</v>
      </c>
      <c r="R356" s="18" t="str">
        <f>UKG!AZ353</f>
        <v>213066</v>
      </c>
      <c r="S356" s="18" t="str">
        <f>UKG!AZ353</f>
        <v>213066</v>
      </c>
      <c r="AC356" s="18" t="str">
        <f>UKG!BL353</f>
        <v>N</v>
      </c>
      <c r="AD356" s="18" t="s">
        <v>1201</v>
      </c>
    </row>
    <row r="357" spans="1:30" ht="16" thickBot="1" x14ac:dyDescent="0.25">
      <c r="A357" s="39" t="s">
        <v>3772</v>
      </c>
      <c r="B357" s="77" t="str">
        <f>UKG!D354</f>
        <v>205402</v>
      </c>
      <c r="C357" s="18" t="str">
        <f>UKG!BL354</f>
        <v>N</v>
      </c>
      <c r="D357" s="18" t="str">
        <f>UKG!BL354</f>
        <v>N</v>
      </c>
      <c r="H357" s="18" t="str">
        <f>UKG!BL354</f>
        <v>N</v>
      </c>
      <c r="I357" s="18" t="str">
        <f>UKG!BL354</f>
        <v>N</v>
      </c>
      <c r="J357" s="18" t="str">
        <f>UKG!BL354</f>
        <v>N</v>
      </c>
      <c r="R357" s="18" t="str">
        <f>UKG!AZ354</f>
        <v>205408</v>
      </c>
      <c r="S357" s="18" t="str">
        <f>UKG!AZ354</f>
        <v>205408</v>
      </c>
      <c r="AC357" s="18" t="str">
        <f>UKG!BL354</f>
        <v>N</v>
      </c>
      <c r="AD357" s="18" t="s">
        <v>1201</v>
      </c>
    </row>
  </sheetData>
  <autoFilter ref="A3:AI356" xr:uid="{4490BD08-DF7C-8542-9A4D-0213B4F41D6F}"/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>
    <tabColor theme="6"/>
  </sheetPr>
  <dimension ref="A1:U363"/>
  <sheetViews>
    <sheetView zoomScale="180" zoomScaleNormal="180" workbookViewId="0">
      <pane ySplit="4" topLeftCell="A20" activePane="bottomLeft" state="frozen"/>
      <selection activeCell="S374" sqref="S374"/>
      <selection pane="bottomLeft" activeCell="B32" sqref="B32"/>
    </sheetView>
  </sheetViews>
  <sheetFormatPr baseColWidth="10" defaultRowHeight="15" x14ac:dyDescent="0.2"/>
  <sheetData>
    <row r="1" spans="1:21" x14ac:dyDescent="0.2">
      <c r="A1" s="47" t="s">
        <v>1433</v>
      </c>
      <c r="B1" s="63"/>
      <c r="C1" s="47"/>
      <c r="D1" s="47"/>
    </row>
    <row r="2" spans="1:21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 x14ac:dyDescent="0.2">
      <c r="A3" s="28" t="s">
        <v>1877</v>
      </c>
      <c r="B3" s="28" t="s">
        <v>1878</v>
      </c>
      <c r="C3" s="28" t="s">
        <v>1435</v>
      </c>
      <c r="D3" s="29" t="s">
        <v>1879</v>
      </c>
      <c r="E3" s="29" t="s">
        <v>1880</v>
      </c>
      <c r="F3" s="29" t="s">
        <v>1881</v>
      </c>
      <c r="G3" s="29" t="s">
        <v>1882</v>
      </c>
      <c r="H3" s="29" t="s">
        <v>1883</v>
      </c>
      <c r="I3" s="29" t="s">
        <v>1884</v>
      </c>
      <c r="J3" s="29" t="s">
        <v>1885</v>
      </c>
      <c r="K3" s="29" t="s">
        <v>1886</v>
      </c>
      <c r="L3" s="29" t="s">
        <v>1887</v>
      </c>
      <c r="M3" s="29" t="s">
        <v>1888</v>
      </c>
      <c r="N3" s="29" t="s">
        <v>1889</v>
      </c>
      <c r="O3" s="81" t="s">
        <v>1890</v>
      </c>
      <c r="P3" s="29" t="s">
        <v>1891</v>
      </c>
      <c r="Q3" s="68" t="s">
        <v>3024</v>
      </c>
      <c r="U3" s="39"/>
    </row>
    <row r="4" spans="1:21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 x14ac:dyDescent="0.2">
      <c r="A5" t="str">
        <f>IF(UKG!$BL2="Y","700","")</f>
        <v/>
      </c>
      <c r="B5" t="str">
        <f>IF(UKG!$BL2="Y","PMT","")</f>
        <v/>
      </c>
      <c r="C5" t="str">
        <f>IF(UKG!$BL2="Y",UKG!D2,"")</f>
        <v/>
      </c>
      <c r="O5" t="str">
        <f>IF(UKG!$BL2="Y",UKG!BE2,"")</f>
        <v/>
      </c>
      <c r="P5" t="str">
        <f>IF(UKG!$BL2="Y","USD","")</f>
        <v/>
      </c>
    </row>
    <row r="6" spans="1:21" x14ac:dyDescent="0.2">
      <c r="A6" t="str">
        <f>IF(UKG!$BL3="Y","700","")</f>
        <v/>
      </c>
      <c r="B6" t="str">
        <f>IF(UKG!$BL3="Y","PMT","")</f>
        <v/>
      </c>
      <c r="C6" t="str">
        <f>IF(UKG!$BL3="Y",UKG!D3,"")</f>
        <v/>
      </c>
      <c r="O6" t="str">
        <f>IF(UKG!$BL3="Y",UKG!BE3,"")</f>
        <v/>
      </c>
      <c r="P6" t="str">
        <f>IF(UKG!$BL3="Y","USD","")</f>
        <v/>
      </c>
    </row>
    <row r="7" spans="1:21" x14ac:dyDescent="0.2">
      <c r="A7" t="str">
        <f>IF(UKG!$BL4="Y","700","")</f>
        <v/>
      </c>
      <c r="B7" t="str">
        <f>IF(UKG!$BL4="Y","PMT","")</f>
        <v/>
      </c>
      <c r="C7" t="str">
        <f>IF(UKG!$BL4="Y",UKG!D4,"")</f>
        <v/>
      </c>
      <c r="O7" t="str">
        <f>IF(UKG!$BL4="Y",UKG!BE4,"")</f>
        <v/>
      </c>
      <c r="P7" t="str">
        <f>IF(UKG!$BL4="Y","USD","")</f>
        <v/>
      </c>
    </row>
    <row r="8" spans="1:21" x14ac:dyDescent="0.2">
      <c r="A8" t="str">
        <f>IF(UKG!$BL5="Y","700","")</f>
        <v/>
      </c>
      <c r="B8" t="str">
        <f>IF(UKG!$BL5="Y","PMT","")</f>
        <v/>
      </c>
      <c r="C8" t="str">
        <f>IF(UKG!$BL5="Y",UKG!D5,"")</f>
        <v/>
      </c>
      <c r="O8" t="str">
        <f>IF(UKG!$BL5="Y",UKG!BE5,"")</f>
        <v/>
      </c>
      <c r="P8" t="str">
        <f>IF(UKG!$BL5="Y","USD","")</f>
        <v/>
      </c>
    </row>
    <row r="9" spans="1:21" x14ac:dyDescent="0.2">
      <c r="A9" t="str">
        <f>IF(UKG!$BL6="Y","700","")</f>
        <v/>
      </c>
      <c r="B9" t="str">
        <f>IF(UKG!$BL6="Y","PMT","")</f>
        <v/>
      </c>
      <c r="C9" t="str">
        <f>IF(UKG!$BL6="Y",UKG!D6,"")</f>
        <v/>
      </c>
      <c r="O9" t="str">
        <f>IF(UKG!$BL6="Y",UKG!BE6,"")</f>
        <v/>
      </c>
      <c r="P9" t="str">
        <f>IF(UKG!$BL6="Y","USD","")</f>
        <v/>
      </c>
    </row>
    <row r="10" spans="1:21" x14ac:dyDescent="0.2">
      <c r="A10" t="str">
        <f>IF(UKG!$BL7="Y","700","")</f>
        <v/>
      </c>
      <c r="B10" t="str">
        <f>IF(UKG!$BL7="Y","PMT","")</f>
        <v/>
      </c>
      <c r="C10" t="str">
        <f>IF(UKG!$BL7="Y",UKG!D7,"")</f>
        <v/>
      </c>
      <c r="O10" t="str">
        <f>IF(UKG!$BL7="Y",UKG!BE7,"")</f>
        <v/>
      </c>
      <c r="P10" t="str">
        <f>IF(UKG!$BL7="Y","USD","")</f>
        <v/>
      </c>
    </row>
    <row r="11" spans="1:21" x14ac:dyDescent="0.2">
      <c r="A11" t="str">
        <f>IF(UKG!$BL8="Y","700","")</f>
        <v/>
      </c>
      <c r="B11" t="str">
        <f>IF(UKG!$BL8="Y","PMT","")</f>
        <v/>
      </c>
      <c r="C11" t="str">
        <f>IF(UKG!$BL8="Y",UKG!D8,"")</f>
        <v/>
      </c>
      <c r="O11" t="str">
        <f>IF(UKG!$BL8="Y",UKG!BE8,"")</f>
        <v/>
      </c>
      <c r="P11" t="str">
        <f>IF(UKG!$BL8="Y","USD","")</f>
        <v/>
      </c>
    </row>
    <row r="12" spans="1:21" x14ac:dyDescent="0.2">
      <c r="A12" t="str">
        <f>IF(UKG!$BL9="Y","700","")</f>
        <v/>
      </c>
      <c r="B12" t="str">
        <f>IF(UKG!$BL9="Y","PMT","")</f>
        <v/>
      </c>
      <c r="C12" t="str">
        <f>IF(UKG!$BL9="Y",UKG!D9,"")</f>
        <v/>
      </c>
      <c r="O12" t="str">
        <f>IF(UKG!$BL9="Y",UKG!BE9,"")</f>
        <v/>
      </c>
      <c r="P12" t="str">
        <f>IF(UKG!$BL9="Y","USD","")</f>
        <v/>
      </c>
    </row>
    <row r="13" spans="1:21" x14ac:dyDescent="0.2">
      <c r="A13" t="str">
        <f>IF(UKG!$BL10="Y","700","")</f>
        <v/>
      </c>
      <c r="B13" t="str">
        <f>IF(UKG!$BL10="Y","PMT","")</f>
        <v/>
      </c>
      <c r="C13" t="str">
        <f>IF(UKG!$BL10="Y",UKG!D10,"")</f>
        <v/>
      </c>
      <c r="O13" t="str">
        <f>IF(UKG!$BL10="Y",UKG!BE10,"")</f>
        <v/>
      </c>
      <c r="P13" t="str">
        <f>IF(UKG!$BL10="Y","USD","")</f>
        <v/>
      </c>
    </row>
    <row r="14" spans="1:21" x14ac:dyDescent="0.2">
      <c r="A14" t="str">
        <f>IF(UKG!$BL11="Y","700","")</f>
        <v/>
      </c>
      <c r="B14" t="str">
        <f>IF(UKG!$BL11="Y","PMT","")</f>
        <v/>
      </c>
      <c r="C14" t="str">
        <f>IF(UKG!$BL11="Y",UKG!D11,"")</f>
        <v/>
      </c>
      <c r="O14" t="str">
        <f>IF(UKG!$BL11="Y",UKG!BE11,"")</f>
        <v/>
      </c>
      <c r="P14" t="str">
        <f>IF(UKG!$BL11="Y","USD","")</f>
        <v/>
      </c>
    </row>
    <row r="15" spans="1:21" x14ac:dyDescent="0.2">
      <c r="A15" t="str">
        <f>IF(UKG!$BL12="Y","700","")</f>
        <v/>
      </c>
      <c r="B15" t="str">
        <f>IF(UKG!$BL12="Y","PMT","")</f>
        <v/>
      </c>
      <c r="C15" t="str">
        <f>IF(UKG!$BL12="Y",UKG!D12,"")</f>
        <v/>
      </c>
      <c r="O15" t="str">
        <f>IF(UKG!$BL12="Y",UKG!BE12,"")</f>
        <v/>
      </c>
      <c r="P15" t="str">
        <f>IF(UKG!$BL12="Y","USD","")</f>
        <v/>
      </c>
    </row>
    <row r="16" spans="1:21" x14ac:dyDescent="0.2">
      <c r="A16" t="str">
        <f>IF(UKG!$BL13="Y","700","")</f>
        <v/>
      </c>
      <c r="B16" t="str">
        <f>IF(UKG!$BL13="Y","PMT","")</f>
        <v/>
      </c>
      <c r="C16" t="str">
        <f>IF(UKG!$BL13="Y",UKG!D13,"")</f>
        <v/>
      </c>
      <c r="O16" t="str">
        <f>IF(UKG!$BL13="Y",UKG!BE13,"")</f>
        <v/>
      </c>
      <c r="P16" t="str">
        <f>IF(UKG!$BL13="Y","USD","")</f>
        <v/>
      </c>
    </row>
    <row r="17" spans="1:16" x14ac:dyDescent="0.2">
      <c r="A17" t="str">
        <f>IF(UKG!$BL14="Y","700","")</f>
        <v/>
      </c>
      <c r="B17" t="str">
        <f>IF(UKG!$BL14="Y","PMT","")</f>
        <v/>
      </c>
      <c r="C17" t="str">
        <f>IF(UKG!$BL14="Y",UKG!D14,"")</f>
        <v/>
      </c>
      <c r="O17" t="str">
        <f>IF(UKG!$BL14="Y",UKG!BE14,"")</f>
        <v/>
      </c>
      <c r="P17" t="str">
        <f>IF(UKG!$BL14="Y","USD","")</f>
        <v/>
      </c>
    </row>
    <row r="18" spans="1:16" x14ac:dyDescent="0.2">
      <c r="A18" t="str">
        <f>IF(UKG!$BL15="Y","700","")</f>
        <v/>
      </c>
      <c r="B18" t="str">
        <f>IF(UKG!$BL15="Y","PMT","")</f>
        <v/>
      </c>
      <c r="C18" t="str">
        <f>IF(UKG!$BL15="Y",UKG!D15,"")</f>
        <v/>
      </c>
      <c r="O18" t="str">
        <f>IF(UKG!$BL15="Y",UKG!BE15,"")</f>
        <v/>
      </c>
      <c r="P18" t="str">
        <f>IF(UKG!$BL15="Y","USD","")</f>
        <v/>
      </c>
    </row>
    <row r="19" spans="1:16" x14ac:dyDescent="0.2">
      <c r="A19" t="str">
        <f>IF(UKG!$BL16="Y","700","")</f>
        <v/>
      </c>
      <c r="B19" t="str">
        <f>IF(UKG!$BL16="Y","PMT","")</f>
        <v/>
      </c>
      <c r="C19" t="str">
        <f>IF(UKG!$BL16="Y",UKG!D16,"")</f>
        <v/>
      </c>
      <c r="O19" t="str">
        <f>IF(UKG!$BL16="Y",UKG!BE16,"")</f>
        <v/>
      </c>
      <c r="P19" t="str">
        <f>IF(UKG!$BL16="Y","USD","")</f>
        <v/>
      </c>
    </row>
    <row r="20" spans="1:16" x14ac:dyDescent="0.2">
      <c r="A20" t="str">
        <f>IF(UKG!$BL17="Y","700","")</f>
        <v/>
      </c>
      <c r="B20" t="str">
        <f>IF(UKG!$BL17="Y","PMT","")</f>
        <v/>
      </c>
      <c r="C20" t="str">
        <f>IF(UKG!$BL17="Y",UKG!D17,"")</f>
        <v/>
      </c>
      <c r="O20" t="str">
        <f>IF(UKG!$BL17="Y",UKG!BE17,"")</f>
        <v/>
      </c>
      <c r="P20" t="str">
        <f>IF(UKG!$BL17="Y","USD","")</f>
        <v/>
      </c>
    </row>
    <row r="21" spans="1:16" x14ac:dyDescent="0.2">
      <c r="A21" t="str">
        <f>IF(UKG!$BL18="Y","700","")</f>
        <v/>
      </c>
      <c r="B21" t="str">
        <f>IF(UKG!$BL18="Y","PMT","")</f>
        <v/>
      </c>
      <c r="C21" t="str">
        <f>IF(UKG!$BL18="Y",UKG!D18,"")</f>
        <v/>
      </c>
      <c r="O21" t="str">
        <f>IF(UKG!$BL18="Y",UKG!BE18,"")</f>
        <v/>
      </c>
      <c r="P21" t="str">
        <f>IF(UKG!$BL18="Y","USD","")</f>
        <v/>
      </c>
    </row>
    <row r="22" spans="1:16" x14ac:dyDescent="0.2">
      <c r="A22" t="str">
        <f>IF(UKG!$BL19="Y","700","")</f>
        <v/>
      </c>
      <c r="B22" t="str">
        <f>IF(UKG!$BL19="Y","PMT","")</f>
        <v/>
      </c>
      <c r="C22" t="str">
        <f>IF(UKG!$BL19="Y",UKG!D19,"")</f>
        <v/>
      </c>
      <c r="O22" t="str">
        <f>IF(UKG!$BL19="Y",UKG!BE19,"")</f>
        <v/>
      </c>
      <c r="P22" t="str">
        <f>IF(UKG!$BL19="Y","USD","")</f>
        <v/>
      </c>
    </row>
    <row r="23" spans="1:16" x14ac:dyDescent="0.2">
      <c r="A23" t="str">
        <f>IF(UKG!$BL20="Y","700","")</f>
        <v/>
      </c>
      <c r="B23" t="str">
        <f>IF(UKG!$BL20="Y","PMT","")</f>
        <v/>
      </c>
      <c r="C23" t="str">
        <f>IF(UKG!$BL20="Y",UKG!D20,"")</f>
        <v/>
      </c>
      <c r="O23" t="str">
        <f>IF(UKG!$BL20="Y",UKG!BE20,"")</f>
        <v/>
      </c>
      <c r="P23" t="str">
        <f>IF(UKG!$BL20="Y","USD","")</f>
        <v/>
      </c>
    </row>
    <row r="24" spans="1:16" x14ac:dyDescent="0.2">
      <c r="A24" t="str">
        <f>IF(UKG!$BL21="Y","700","")</f>
        <v/>
      </c>
      <c r="B24" t="str">
        <f>IF(UKG!$BL21="Y","PMT","")</f>
        <v/>
      </c>
      <c r="C24" t="str">
        <f>IF(UKG!$BL21="Y",UKG!D21,"")</f>
        <v/>
      </c>
      <c r="O24" t="str">
        <f>IF(UKG!$BL21="Y",UKG!BE21,"")</f>
        <v/>
      </c>
      <c r="P24" t="str">
        <f>IF(UKG!$BL21="Y","USD","")</f>
        <v/>
      </c>
    </row>
    <row r="25" spans="1:16" x14ac:dyDescent="0.2">
      <c r="A25" t="str">
        <f>IF(UKG!$BL22="Y","700","")</f>
        <v/>
      </c>
      <c r="B25" t="str">
        <f>IF(UKG!$BL22="Y","PMT","")</f>
        <v/>
      </c>
      <c r="C25" t="str">
        <f>IF(UKG!$BL22="Y",UKG!D22,"")</f>
        <v/>
      </c>
      <c r="O25" t="str">
        <f>IF(UKG!$BL22="Y",UKG!BE22,"")</f>
        <v/>
      </c>
      <c r="P25" t="str">
        <f>IF(UKG!$BL22="Y","USD","")</f>
        <v/>
      </c>
    </row>
    <row r="26" spans="1:16" x14ac:dyDescent="0.2">
      <c r="A26" t="str">
        <f>IF(UKG!$BL23="Y","700","")</f>
        <v/>
      </c>
      <c r="B26" t="str">
        <f>IF(UKG!$BL23="Y","PMT","")</f>
        <v/>
      </c>
      <c r="C26" t="str">
        <f>IF(UKG!$BL23="Y",UKG!D23,"")</f>
        <v/>
      </c>
      <c r="O26" t="str">
        <f>IF(UKG!$BL23="Y",UKG!BE23,"")</f>
        <v/>
      </c>
      <c r="P26" t="str">
        <f>IF(UKG!$BL23="Y","USD","")</f>
        <v/>
      </c>
    </row>
    <row r="27" spans="1:16" x14ac:dyDescent="0.2">
      <c r="A27" t="str">
        <f>IF(UKG!$BL24="Y","700","")</f>
        <v/>
      </c>
      <c r="B27" t="str">
        <f>IF(UKG!$BL24="Y","PMT","")</f>
        <v/>
      </c>
      <c r="C27" t="str">
        <f>IF(UKG!$BL24="Y",UKG!D24,"")</f>
        <v/>
      </c>
      <c r="O27" t="str">
        <f>IF(UKG!$BL24="Y",UKG!BE24,"")</f>
        <v/>
      </c>
      <c r="P27" t="str">
        <f>IF(UKG!$BL24="Y","USD","")</f>
        <v/>
      </c>
    </row>
    <row r="28" spans="1:16" x14ac:dyDescent="0.2">
      <c r="A28" t="str">
        <f>IF(UKG!$BL25="Y","700","")</f>
        <v/>
      </c>
      <c r="B28" t="str">
        <f>IF(UKG!$BL25="Y","PMT","")</f>
        <v/>
      </c>
      <c r="C28" t="str">
        <f>IF(UKG!$BL25="Y",UKG!D25,"")</f>
        <v/>
      </c>
      <c r="O28" t="str">
        <f>IF(UKG!$BL25="Y",UKG!BE25,"")</f>
        <v/>
      </c>
      <c r="P28" t="str">
        <f>IF(UKG!$BL25="Y","USD","")</f>
        <v/>
      </c>
    </row>
    <row r="29" spans="1:16" x14ac:dyDescent="0.2">
      <c r="A29" t="str">
        <f>IF(UKG!$BL26="Y","700","")</f>
        <v/>
      </c>
      <c r="B29" t="str">
        <f>IF(UKG!$BL26="Y","PMT","")</f>
        <v/>
      </c>
      <c r="C29" t="str">
        <f>IF(UKG!$BL26="Y",UKG!D26,"")</f>
        <v/>
      </c>
      <c r="O29" t="str">
        <f>IF(UKG!$BL26="Y",UKG!BE26,"")</f>
        <v/>
      </c>
      <c r="P29" t="str">
        <f>IF(UKG!$BL26="Y","USD","")</f>
        <v/>
      </c>
    </row>
    <row r="30" spans="1:16" x14ac:dyDescent="0.2">
      <c r="A30" t="str">
        <f>IF(UKG!$BL27="Y","700","")</f>
        <v/>
      </c>
      <c r="B30" t="str">
        <f>IF(UKG!$BL27="Y","PMT","")</f>
        <v/>
      </c>
      <c r="C30" t="str">
        <f>IF(UKG!$BL27="Y",UKG!D27,"")</f>
        <v/>
      </c>
      <c r="O30" t="str">
        <f>IF(UKG!$BL27="Y",UKG!BE27,"")</f>
        <v/>
      </c>
      <c r="P30" t="str">
        <f>IF(UKG!$BL27="Y","USD","")</f>
        <v/>
      </c>
    </row>
    <row r="31" spans="1:16" x14ac:dyDescent="0.2">
      <c r="A31" t="str">
        <f>IF(UKG!$BL28="Y","700","")</f>
        <v/>
      </c>
      <c r="B31" t="str">
        <f>IF(UKG!$BL28="Y","PMT","")</f>
        <v/>
      </c>
      <c r="C31" t="str">
        <f>IF(UKG!$BL28="Y",UKG!D28,"")</f>
        <v/>
      </c>
      <c r="O31" t="str">
        <f>IF(UKG!$BL28="Y",UKG!BE28,"")</f>
        <v/>
      </c>
      <c r="P31" t="str">
        <f>IF(UKG!$BL28="Y","USD","")</f>
        <v/>
      </c>
    </row>
    <row r="32" spans="1:16" x14ac:dyDescent="0.2">
      <c r="A32" t="str">
        <f>IF(UKG!$BL29="Y","700","")</f>
        <v>700</v>
      </c>
      <c r="B32" t="str">
        <f>IF(UKG!$BL29="Y","PMT","")</f>
        <v>PMT</v>
      </c>
      <c r="C32" t="str">
        <f>IF(UKG!$BL29="Y",UKG!D29,"")</f>
        <v>207199</v>
      </c>
      <c r="O32">
        <f>IF(UKG!$BL29="Y",UKG!BE29,"")</f>
        <v>25000</v>
      </c>
      <c r="P32" t="str">
        <f>IF(UKG!$BL29="Y","USD","")</f>
        <v>USD</v>
      </c>
    </row>
    <row r="33" spans="1:16" x14ac:dyDescent="0.2">
      <c r="A33" t="str">
        <f>IF(UKG!$BL30="Y","700","")</f>
        <v/>
      </c>
      <c r="B33" t="str">
        <f>IF(UKG!$BL30="Y","PMT","")</f>
        <v/>
      </c>
      <c r="C33" t="str">
        <f>IF(UKG!$BL30="Y",UKG!D30,"")</f>
        <v/>
      </c>
      <c r="O33" t="str">
        <f>IF(UKG!$BL30="Y",UKG!BE30,"")</f>
        <v/>
      </c>
      <c r="P33" t="str">
        <f>IF(UKG!$BL30="Y","USD","")</f>
        <v/>
      </c>
    </row>
    <row r="34" spans="1:16" x14ac:dyDescent="0.2">
      <c r="A34" t="str">
        <f>IF(UKG!$BL31="Y","700","")</f>
        <v/>
      </c>
      <c r="B34" t="str">
        <f>IF(UKG!$BL31="Y","PMT","")</f>
        <v/>
      </c>
      <c r="C34" t="str">
        <f>IF(UKG!$BL31="Y",UKG!D31,"")</f>
        <v/>
      </c>
      <c r="O34" t="str">
        <f>IF(UKG!$BL31="Y",UKG!BE31,"")</f>
        <v/>
      </c>
      <c r="P34" t="str">
        <f>IF(UKG!$BL31="Y","USD","")</f>
        <v/>
      </c>
    </row>
    <row r="35" spans="1:16" x14ac:dyDescent="0.2">
      <c r="A35" t="str">
        <f>IF(UKG!$BL32="Y","700","")</f>
        <v/>
      </c>
      <c r="B35" t="str">
        <f>IF(UKG!$BL32="Y","PMT","")</f>
        <v/>
      </c>
      <c r="C35" t="str">
        <f>IF(UKG!$BL32="Y",UKG!D32,"")</f>
        <v/>
      </c>
      <c r="O35" t="str">
        <f>IF(UKG!$BL32="Y",UKG!BE32,"")</f>
        <v/>
      </c>
      <c r="P35" t="str">
        <f>IF(UKG!$BL32="Y","USD","")</f>
        <v/>
      </c>
    </row>
    <row r="36" spans="1:16" x14ac:dyDescent="0.2">
      <c r="A36" t="str">
        <f>IF(UKG!$BL33="Y","700","")</f>
        <v/>
      </c>
      <c r="B36" t="str">
        <f>IF(UKG!$BL33="Y","PMT","")</f>
        <v/>
      </c>
      <c r="C36" t="str">
        <f>IF(UKG!$BL33="Y",UKG!D33,"")</f>
        <v/>
      </c>
      <c r="O36" t="str">
        <f>IF(UKG!$BL33="Y",UKG!BE33,"")</f>
        <v/>
      </c>
      <c r="P36" t="str">
        <f>IF(UKG!$BL33="Y","USD","")</f>
        <v/>
      </c>
    </row>
    <row r="37" spans="1:16" x14ac:dyDescent="0.2">
      <c r="A37" t="str">
        <f>IF(UKG!$BL34="Y","700","")</f>
        <v/>
      </c>
      <c r="B37" t="str">
        <f>IF(UKG!$BL34="Y","PMT","")</f>
        <v/>
      </c>
      <c r="C37" t="str">
        <f>IF(UKG!$BL34="Y",UKG!D34,"")</f>
        <v/>
      </c>
      <c r="O37" t="str">
        <f>IF(UKG!$BL34="Y",UKG!BE34,"")</f>
        <v/>
      </c>
      <c r="P37" t="str">
        <f>IF(UKG!$BL34="Y","USD","")</f>
        <v/>
      </c>
    </row>
    <row r="38" spans="1:16" x14ac:dyDescent="0.2">
      <c r="A38" t="str">
        <f>IF(UKG!$BL35="Y","700","")</f>
        <v/>
      </c>
      <c r="B38" t="str">
        <f>IF(UKG!$BL35="Y","PMT","")</f>
        <v/>
      </c>
      <c r="C38" t="str">
        <f>IF(UKG!$BL35="Y",UKG!D35,"")</f>
        <v/>
      </c>
      <c r="O38" t="str">
        <f>IF(UKG!$BL35="Y",UKG!BE35,"")</f>
        <v/>
      </c>
      <c r="P38" t="str">
        <f>IF(UKG!$BL35="Y","USD","")</f>
        <v/>
      </c>
    </row>
    <row r="39" spans="1:16" x14ac:dyDescent="0.2">
      <c r="A39" t="str">
        <f>IF(UKG!$BL36="Y","700","")</f>
        <v/>
      </c>
      <c r="B39" t="str">
        <f>IF(UKG!$BL36="Y","PMT","")</f>
        <v/>
      </c>
      <c r="C39" t="str">
        <f>IF(UKG!$BL36="Y",UKG!D36,"")</f>
        <v/>
      </c>
      <c r="O39" t="str">
        <f>IF(UKG!$BL36="Y",UKG!BE36,"")</f>
        <v/>
      </c>
      <c r="P39" t="str">
        <f>IF(UKG!$BL36="Y","USD","")</f>
        <v/>
      </c>
    </row>
    <row r="40" spans="1:16" x14ac:dyDescent="0.2">
      <c r="A40" t="str">
        <f>IF(UKG!$BL37="Y","700","")</f>
        <v/>
      </c>
      <c r="B40" t="str">
        <f>IF(UKG!$BL37="Y","PMT","")</f>
        <v/>
      </c>
      <c r="C40" t="str">
        <f>IF(UKG!$BL37="Y",UKG!D37,"")</f>
        <v/>
      </c>
      <c r="O40" t="str">
        <f>IF(UKG!$BL37="Y",UKG!BE37,"")</f>
        <v/>
      </c>
      <c r="P40" t="str">
        <f>IF(UKG!$BL37="Y","USD","")</f>
        <v/>
      </c>
    </row>
    <row r="41" spans="1:16" x14ac:dyDescent="0.2">
      <c r="A41" t="str">
        <f>IF(UKG!$BL38="Y","700","")</f>
        <v/>
      </c>
      <c r="B41" t="str">
        <f>IF(UKG!$BL38="Y","PMT","")</f>
        <v/>
      </c>
      <c r="C41" t="str">
        <f>IF(UKG!$BL38="Y",UKG!D38,"")</f>
        <v/>
      </c>
      <c r="O41" t="str">
        <f>IF(UKG!$BL38="Y",UKG!BE38,"")</f>
        <v/>
      </c>
      <c r="P41" t="str">
        <f>IF(UKG!$BL38="Y","USD","")</f>
        <v/>
      </c>
    </row>
    <row r="42" spans="1:16" x14ac:dyDescent="0.2">
      <c r="A42" t="str">
        <f>IF(UKG!$BL39="Y","700","")</f>
        <v/>
      </c>
      <c r="B42" t="str">
        <f>IF(UKG!$BL39="Y","PMT","")</f>
        <v/>
      </c>
      <c r="C42" t="str">
        <f>IF(UKG!$BL39="Y",UKG!D39,"")</f>
        <v/>
      </c>
      <c r="O42" t="str">
        <f>IF(UKG!$BL39="Y",UKG!BE39,"")</f>
        <v/>
      </c>
      <c r="P42" t="str">
        <f>IF(UKG!$BL39="Y","USD","")</f>
        <v/>
      </c>
    </row>
    <row r="43" spans="1:16" x14ac:dyDescent="0.2">
      <c r="A43" t="str">
        <f>IF(UKG!$BL40="Y","700","")</f>
        <v/>
      </c>
      <c r="B43" t="str">
        <f>IF(UKG!$BL40="Y","PMT","")</f>
        <v/>
      </c>
      <c r="C43" t="str">
        <f>IF(UKG!$BL40="Y",UKG!D40,"")</f>
        <v/>
      </c>
      <c r="O43" t="str">
        <f>IF(UKG!$BL40="Y",UKG!BE40,"")</f>
        <v/>
      </c>
      <c r="P43" t="str">
        <f>IF(UKG!$BL40="Y","USD","")</f>
        <v/>
      </c>
    </row>
    <row r="44" spans="1:16" x14ac:dyDescent="0.2">
      <c r="A44" t="str">
        <f>IF(UKG!$BL41="Y","700","")</f>
        <v/>
      </c>
      <c r="B44" t="str">
        <f>IF(UKG!$BL41="Y","PMT","")</f>
        <v/>
      </c>
      <c r="C44" t="str">
        <f>IF(UKG!$BL41="Y",UKG!D41,"")</f>
        <v/>
      </c>
      <c r="O44" t="str">
        <f>IF(UKG!$BL41="Y",UKG!BE41,"")</f>
        <v/>
      </c>
      <c r="P44" t="str">
        <f>IF(UKG!$BL41="Y","USD","")</f>
        <v/>
      </c>
    </row>
    <row r="45" spans="1:16" x14ac:dyDescent="0.2">
      <c r="A45" t="str">
        <f>IF(UKG!$BL42="Y","700","")</f>
        <v/>
      </c>
      <c r="B45" t="str">
        <f>IF(UKG!$BL42="Y","PMT","")</f>
        <v/>
      </c>
      <c r="C45" t="str">
        <f>IF(UKG!$BL42="Y",UKG!D42,"")</f>
        <v/>
      </c>
      <c r="O45" t="str">
        <f>IF(UKG!$BL42="Y",UKG!BE42,"")</f>
        <v/>
      </c>
      <c r="P45" t="str">
        <f>IF(UKG!$BL42="Y","USD","")</f>
        <v/>
      </c>
    </row>
    <row r="46" spans="1:16" x14ac:dyDescent="0.2">
      <c r="A46" t="str">
        <f>IF(UKG!$BL43="Y","700","")</f>
        <v/>
      </c>
      <c r="B46" t="str">
        <f>IF(UKG!$BL43="Y","PMT","")</f>
        <v/>
      </c>
      <c r="C46" t="str">
        <f>IF(UKG!$BL43="Y",UKG!D43,"")</f>
        <v/>
      </c>
      <c r="O46" t="str">
        <f>IF(UKG!$BL43="Y",UKG!BE43,"")</f>
        <v/>
      </c>
      <c r="P46" t="str">
        <f>IF(UKG!$BL43="Y","USD","")</f>
        <v/>
      </c>
    </row>
    <row r="47" spans="1:16" x14ac:dyDescent="0.2">
      <c r="A47" t="str">
        <f>IF(UKG!$BL44="Y","700","")</f>
        <v/>
      </c>
      <c r="B47" t="str">
        <f>IF(UKG!$BL44="Y","PMT","")</f>
        <v/>
      </c>
      <c r="C47" t="str">
        <f>IF(UKG!$BL44="Y",UKG!D44,"")</f>
        <v/>
      </c>
      <c r="O47" t="str">
        <f>IF(UKG!$BL44="Y",UKG!BE44,"")</f>
        <v/>
      </c>
      <c r="P47" t="str">
        <f>IF(UKG!$BL44="Y","USD","")</f>
        <v/>
      </c>
    </row>
    <row r="48" spans="1:16" x14ac:dyDescent="0.2">
      <c r="A48" t="str">
        <f>IF(UKG!$BL45="Y","700","")</f>
        <v/>
      </c>
      <c r="B48" t="str">
        <f>IF(UKG!$BL45="Y","PMT","")</f>
        <v/>
      </c>
      <c r="C48" t="str">
        <f>IF(UKG!$BL45="Y",UKG!D45,"")</f>
        <v/>
      </c>
      <c r="O48" t="str">
        <f>IF(UKG!$BL45="Y",UKG!BE45,"")</f>
        <v/>
      </c>
      <c r="P48" t="str">
        <f>IF(UKG!$BL45="Y","USD","")</f>
        <v/>
      </c>
    </row>
    <row r="49" spans="1:16" x14ac:dyDescent="0.2">
      <c r="A49" t="str">
        <f>IF(UKG!$BL46="Y","700","")</f>
        <v/>
      </c>
      <c r="B49" t="str">
        <f>IF(UKG!$BL46="Y","PMT","")</f>
        <v/>
      </c>
      <c r="C49" t="str">
        <f>IF(UKG!$BL46="Y",UKG!D46,"")</f>
        <v/>
      </c>
      <c r="O49" t="str">
        <f>IF(UKG!$BL46="Y",UKG!BE46,"")</f>
        <v/>
      </c>
      <c r="P49" t="str">
        <f>IF(UKG!$BL46="Y","USD","")</f>
        <v/>
      </c>
    </row>
    <row r="50" spans="1:16" x14ac:dyDescent="0.2">
      <c r="A50" t="str">
        <f>IF(UKG!$BL47="Y","700","")</f>
        <v/>
      </c>
      <c r="B50" t="str">
        <f>IF(UKG!$BL47="Y","PMT","")</f>
        <v/>
      </c>
      <c r="C50" t="str">
        <f>IF(UKG!$BL47="Y",UKG!D47,"")</f>
        <v/>
      </c>
      <c r="O50" t="str">
        <f>IF(UKG!$BL47="Y",UKG!BE47,"")</f>
        <v/>
      </c>
      <c r="P50" t="str">
        <f>IF(UKG!$BL47="Y","USD","")</f>
        <v/>
      </c>
    </row>
    <row r="51" spans="1:16" x14ac:dyDescent="0.2">
      <c r="A51" t="str">
        <f>IF(UKG!$BL48="Y","700","")</f>
        <v/>
      </c>
      <c r="B51" t="str">
        <f>IF(UKG!$BL48="Y","PMT","")</f>
        <v/>
      </c>
      <c r="C51" t="str">
        <f>IF(UKG!$BL48="Y",UKG!D48,"")</f>
        <v/>
      </c>
      <c r="O51" t="str">
        <f>IF(UKG!$BL48="Y",UKG!BE48,"")</f>
        <v/>
      </c>
      <c r="P51" t="str">
        <f>IF(UKG!$BL48="Y","USD","")</f>
        <v/>
      </c>
    </row>
    <row r="52" spans="1:16" x14ac:dyDescent="0.2">
      <c r="A52" t="str">
        <f>IF(UKG!$BL49="Y","700","")</f>
        <v/>
      </c>
      <c r="B52" t="str">
        <f>IF(UKG!$BL49="Y","PMT","")</f>
        <v/>
      </c>
      <c r="C52" t="str">
        <f>IF(UKG!$BL49="Y",UKG!D49,"")</f>
        <v/>
      </c>
      <c r="O52" t="str">
        <f>IF(UKG!$BL49="Y",UKG!BE49,"")</f>
        <v/>
      </c>
      <c r="P52" t="str">
        <f>IF(UKG!$BL49="Y","USD","")</f>
        <v/>
      </c>
    </row>
    <row r="53" spans="1:16" x14ac:dyDescent="0.2">
      <c r="A53" t="str">
        <f>IF(UKG!$BL50="Y","700","")</f>
        <v/>
      </c>
      <c r="B53" t="str">
        <f>IF(UKG!$BL50="Y","PMT","")</f>
        <v/>
      </c>
      <c r="C53" t="str">
        <f>IF(UKG!$BL50="Y",UKG!D50,"")</f>
        <v/>
      </c>
      <c r="O53" t="str">
        <f>IF(UKG!$BL50="Y",UKG!BE50,"")</f>
        <v/>
      </c>
      <c r="P53" t="str">
        <f>IF(UKG!$BL50="Y","USD","")</f>
        <v/>
      </c>
    </row>
    <row r="54" spans="1:16" x14ac:dyDescent="0.2">
      <c r="A54" t="str">
        <f>IF(UKG!$BL51="Y","700","")</f>
        <v/>
      </c>
      <c r="B54" t="str">
        <f>IF(UKG!$BL51="Y","PMT","")</f>
        <v/>
      </c>
      <c r="C54" t="str">
        <f>IF(UKG!$BL51="Y",UKG!D51,"")</f>
        <v/>
      </c>
      <c r="O54" t="str">
        <f>IF(UKG!$BL51="Y",UKG!BE51,"")</f>
        <v/>
      </c>
      <c r="P54" t="str">
        <f>IF(UKG!$BL51="Y","USD","")</f>
        <v/>
      </c>
    </row>
    <row r="55" spans="1:16" x14ac:dyDescent="0.2">
      <c r="A55" t="str">
        <f>IF(UKG!$BL52="Y","700","")</f>
        <v/>
      </c>
      <c r="B55" t="str">
        <f>IF(UKG!$BL52="Y","PMT","")</f>
        <v/>
      </c>
      <c r="C55" t="str">
        <f>IF(UKG!$BL52="Y",UKG!D52,"")</f>
        <v/>
      </c>
      <c r="O55" t="str">
        <f>IF(UKG!$BL52="Y",UKG!BE52,"")</f>
        <v/>
      </c>
      <c r="P55" t="str">
        <f>IF(UKG!$BL52="Y","USD","")</f>
        <v/>
      </c>
    </row>
    <row r="56" spans="1:16" x14ac:dyDescent="0.2">
      <c r="A56" t="str">
        <f>IF(UKG!$BL53="Y","700","")</f>
        <v/>
      </c>
      <c r="B56" t="str">
        <f>IF(UKG!$BL53="Y","PMT","")</f>
        <v/>
      </c>
      <c r="C56" t="str">
        <f>IF(UKG!$BL53="Y",UKG!D53,"")</f>
        <v/>
      </c>
      <c r="O56" t="str">
        <f>IF(UKG!$BL53="Y",UKG!BE53,"")</f>
        <v/>
      </c>
      <c r="P56" t="str">
        <f>IF(UKG!$BL53="Y","USD","")</f>
        <v/>
      </c>
    </row>
    <row r="57" spans="1:16" x14ac:dyDescent="0.2">
      <c r="A57" t="str">
        <f>IF(UKG!$BL54="Y","700","")</f>
        <v/>
      </c>
      <c r="B57" t="str">
        <f>IF(UKG!$BL54="Y","PMT","")</f>
        <v/>
      </c>
      <c r="C57" t="str">
        <f>IF(UKG!$BL54="Y",UKG!D54,"")</f>
        <v/>
      </c>
      <c r="O57" t="str">
        <f>IF(UKG!$BL54="Y",UKG!BE54,"")</f>
        <v/>
      </c>
      <c r="P57" t="str">
        <f>IF(UKG!$BL54="Y","USD","")</f>
        <v/>
      </c>
    </row>
    <row r="58" spans="1:16" x14ac:dyDescent="0.2">
      <c r="A58" t="str">
        <f>IF(UKG!$BL55="Y","700","")</f>
        <v/>
      </c>
      <c r="B58" t="str">
        <f>IF(UKG!$BL55="Y","PMT","")</f>
        <v/>
      </c>
      <c r="C58" t="str">
        <f>IF(UKG!$BL55="Y",UKG!D55,"")</f>
        <v/>
      </c>
      <c r="O58" t="str">
        <f>IF(UKG!$BL55="Y",UKG!BE55,"")</f>
        <v/>
      </c>
      <c r="P58" t="str">
        <f>IF(UKG!$BL55="Y","USD","")</f>
        <v/>
      </c>
    </row>
    <row r="59" spans="1:16" x14ac:dyDescent="0.2">
      <c r="A59" t="str">
        <f>IF(UKG!$BL56="Y","700","")</f>
        <v/>
      </c>
      <c r="B59" t="str">
        <f>IF(UKG!$BL56="Y","PMT","")</f>
        <v/>
      </c>
      <c r="C59" t="str">
        <f>IF(UKG!$BL56="Y",UKG!D56,"")</f>
        <v/>
      </c>
      <c r="O59" t="str">
        <f>IF(UKG!$BL56="Y",UKG!BE56,"")</f>
        <v/>
      </c>
      <c r="P59" t="str">
        <f>IF(UKG!$BL56="Y","USD","")</f>
        <v/>
      </c>
    </row>
    <row r="60" spans="1:16" x14ac:dyDescent="0.2">
      <c r="A60" t="str">
        <f>IF(UKG!$BL57="Y","700","")</f>
        <v/>
      </c>
      <c r="B60" t="str">
        <f>IF(UKG!$BL57="Y","PMT","")</f>
        <v/>
      </c>
      <c r="C60" t="str">
        <f>IF(UKG!$BL57="Y",UKG!D57,"")</f>
        <v/>
      </c>
      <c r="O60" t="str">
        <f>IF(UKG!$BL57="Y",UKG!BE57,"")</f>
        <v/>
      </c>
      <c r="P60" t="str">
        <f>IF(UKG!$BL57="Y","USD","")</f>
        <v/>
      </c>
    </row>
    <row r="61" spans="1:16" x14ac:dyDescent="0.2">
      <c r="A61" t="str">
        <f>IF(UKG!$BL58="Y","700","")</f>
        <v/>
      </c>
      <c r="B61" t="str">
        <f>IF(UKG!$BL58="Y","PMT","")</f>
        <v/>
      </c>
      <c r="C61" t="str">
        <f>IF(UKG!$BL58="Y",UKG!D58,"")</f>
        <v/>
      </c>
      <c r="O61" t="str">
        <f>IF(UKG!$BL58="Y",UKG!BE58,"")</f>
        <v/>
      </c>
      <c r="P61" t="str">
        <f>IF(UKG!$BL58="Y","USD","")</f>
        <v/>
      </c>
    </row>
    <row r="62" spans="1:16" x14ac:dyDescent="0.2">
      <c r="A62" t="str">
        <f>IF(UKG!$BL59="Y","700","")</f>
        <v/>
      </c>
      <c r="B62" t="str">
        <f>IF(UKG!$BL59="Y","PMT","")</f>
        <v/>
      </c>
      <c r="C62" t="str">
        <f>IF(UKG!$BL59="Y",UKG!D59,"")</f>
        <v/>
      </c>
      <c r="O62" t="str">
        <f>IF(UKG!$BL59="Y",UKG!BE59,"")</f>
        <v/>
      </c>
      <c r="P62" t="str">
        <f>IF(UKG!$BL59="Y","USD","")</f>
        <v/>
      </c>
    </row>
    <row r="63" spans="1:16" x14ac:dyDescent="0.2">
      <c r="A63" t="str">
        <f>IF(UKG!$BL60="Y","700","")</f>
        <v/>
      </c>
      <c r="B63" t="str">
        <f>IF(UKG!$BL60="Y","PMT","")</f>
        <v/>
      </c>
      <c r="C63" t="str">
        <f>IF(UKG!$BL60="Y",UKG!D60,"")</f>
        <v/>
      </c>
      <c r="O63" t="str">
        <f>IF(UKG!$BL60="Y",UKG!BE60,"")</f>
        <v/>
      </c>
      <c r="P63" t="str">
        <f>IF(UKG!$BL60="Y","USD","")</f>
        <v/>
      </c>
    </row>
    <row r="64" spans="1:16" x14ac:dyDescent="0.2">
      <c r="A64" t="str">
        <f>IF(UKG!$BL61="Y","700","")</f>
        <v/>
      </c>
      <c r="B64" t="str">
        <f>IF(UKG!$BL61="Y","PMT","")</f>
        <v/>
      </c>
      <c r="C64" t="str">
        <f>IF(UKG!$BL61="Y",UKG!D61,"")</f>
        <v/>
      </c>
      <c r="O64" t="str">
        <f>IF(UKG!$BL61="Y",UKG!BE61,"")</f>
        <v/>
      </c>
      <c r="P64" t="str">
        <f>IF(UKG!$BL61="Y","USD","")</f>
        <v/>
      </c>
    </row>
    <row r="65" spans="1:16" x14ac:dyDescent="0.2">
      <c r="A65" t="str">
        <f>IF(UKG!$BL62="Y","700","")</f>
        <v/>
      </c>
      <c r="B65" t="str">
        <f>IF(UKG!$BL62="Y","PMT","")</f>
        <v/>
      </c>
      <c r="C65" t="str">
        <f>IF(UKG!$BL62="Y",UKG!D62,"")</f>
        <v/>
      </c>
      <c r="O65" t="str">
        <f>IF(UKG!$BL62="Y",UKG!BE62,"")</f>
        <v/>
      </c>
      <c r="P65" t="str">
        <f>IF(UKG!$BL62="Y","USD","")</f>
        <v/>
      </c>
    </row>
    <row r="66" spans="1:16" x14ac:dyDescent="0.2">
      <c r="A66" t="str">
        <f>IF(UKG!$BL63="Y","700","")</f>
        <v>700</v>
      </c>
      <c r="B66" t="str">
        <f>IF(UKG!$BL63="Y","PMT","")</f>
        <v>PMT</v>
      </c>
      <c r="C66" t="str">
        <f>IF(UKG!$BL63="Y",UKG!D63,"")</f>
        <v>203036</v>
      </c>
      <c r="O66">
        <f>IF(UKG!$BL63="Y",UKG!BE63,"")</f>
        <v>0</v>
      </c>
      <c r="P66" t="str">
        <f>IF(UKG!$BL63="Y","USD","")</f>
        <v>USD</v>
      </c>
    </row>
    <row r="67" spans="1:16" x14ac:dyDescent="0.2">
      <c r="A67" t="str">
        <f>IF(UKG!$BL64="Y","700","")</f>
        <v/>
      </c>
      <c r="B67" t="str">
        <f>IF(UKG!$BL64="Y","PMT","")</f>
        <v/>
      </c>
      <c r="C67" t="str">
        <f>IF(UKG!$BL64="Y",UKG!D64,"")</f>
        <v/>
      </c>
      <c r="O67" t="str">
        <f>IF(UKG!$BL64="Y",UKG!BE64,"")</f>
        <v/>
      </c>
      <c r="P67" t="str">
        <f>IF(UKG!$BL64="Y","USD","")</f>
        <v/>
      </c>
    </row>
    <row r="68" spans="1:16" x14ac:dyDescent="0.2">
      <c r="A68" t="str">
        <f>IF(UKG!$BL65="Y","700","")</f>
        <v/>
      </c>
      <c r="B68" t="str">
        <f>IF(UKG!$BL65="Y","PMT","")</f>
        <v/>
      </c>
      <c r="C68" t="str">
        <f>IF(UKG!$BL65="Y",UKG!D65,"")</f>
        <v/>
      </c>
      <c r="O68" t="str">
        <f>IF(UKG!$BL65="Y",UKG!BE65,"")</f>
        <v/>
      </c>
      <c r="P68" t="str">
        <f>IF(UKG!$BL65="Y","USD","")</f>
        <v/>
      </c>
    </row>
    <row r="69" spans="1:16" x14ac:dyDescent="0.2">
      <c r="A69" t="str">
        <f>IF(UKG!$BL66="Y","700","")</f>
        <v/>
      </c>
      <c r="B69" t="str">
        <f>IF(UKG!$BL66="Y","PMT","")</f>
        <v/>
      </c>
      <c r="C69" t="str">
        <f>IF(UKG!$BL66="Y",UKG!D66,"")</f>
        <v/>
      </c>
      <c r="O69" t="str">
        <f>IF(UKG!$BL66="Y",UKG!BE66,"")</f>
        <v/>
      </c>
      <c r="P69" t="str">
        <f>IF(UKG!$BL66="Y","USD","")</f>
        <v/>
      </c>
    </row>
    <row r="70" spans="1:16" x14ac:dyDescent="0.2">
      <c r="A70" t="str">
        <f>IF(UKG!$BL67="Y","700","")</f>
        <v/>
      </c>
      <c r="B70" t="str">
        <f>IF(UKG!$BL67="Y","PMT","")</f>
        <v/>
      </c>
      <c r="C70" t="str">
        <f>IF(UKG!$BL67="Y",UKG!D67,"")</f>
        <v/>
      </c>
      <c r="O70" t="str">
        <f>IF(UKG!$BL67="Y",UKG!BE67,"")</f>
        <v/>
      </c>
      <c r="P70" t="str">
        <f>IF(UKG!$BL67="Y","USD","")</f>
        <v/>
      </c>
    </row>
    <row r="71" spans="1:16" x14ac:dyDescent="0.2">
      <c r="A71" t="str">
        <f>IF(UKG!$BL68="Y","700","")</f>
        <v/>
      </c>
      <c r="B71" t="str">
        <f>IF(UKG!$BL68="Y","PMT","")</f>
        <v/>
      </c>
      <c r="C71" t="str">
        <f>IF(UKG!$BL68="Y",UKG!D68,"")</f>
        <v/>
      </c>
      <c r="O71" t="str">
        <f>IF(UKG!$BL68="Y",UKG!BE68,"")</f>
        <v/>
      </c>
      <c r="P71" t="str">
        <f>IF(UKG!$BL68="Y","USD","")</f>
        <v/>
      </c>
    </row>
    <row r="72" spans="1:16" x14ac:dyDescent="0.2">
      <c r="A72" t="str">
        <f>IF(UKG!$BL69="Y","700","")</f>
        <v/>
      </c>
      <c r="B72" t="str">
        <f>IF(UKG!$BL69="Y","PMT","")</f>
        <v/>
      </c>
      <c r="C72" t="str">
        <f>IF(UKG!$BL69="Y",UKG!D69,"")</f>
        <v/>
      </c>
      <c r="O72" t="str">
        <f>IF(UKG!$BL69="Y",UKG!BE69,"")</f>
        <v/>
      </c>
      <c r="P72" t="str">
        <f>IF(UKG!$BL69="Y","USD","")</f>
        <v/>
      </c>
    </row>
    <row r="73" spans="1:16" x14ac:dyDescent="0.2">
      <c r="A73" t="str">
        <f>IF(UKG!$BL70="Y","700","")</f>
        <v/>
      </c>
      <c r="B73" t="str">
        <f>IF(UKG!$BL70="Y","PMT","")</f>
        <v/>
      </c>
      <c r="C73" t="str">
        <f>IF(UKG!$BL70="Y",UKG!D70,"")</f>
        <v/>
      </c>
      <c r="O73" t="str">
        <f>IF(UKG!$BL70="Y",UKG!BE70,"")</f>
        <v/>
      </c>
      <c r="P73" t="str">
        <f>IF(UKG!$BL70="Y","USD","")</f>
        <v/>
      </c>
    </row>
    <row r="74" spans="1:16" x14ac:dyDescent="0.2">
      <c r="A74" t="str">
        <f>IF(UKG!$BL71="Y","700","")</f>
        <v/>
      </c>
      <c r="B74" t="str">
        <f>IF(UKG!$BL71="Y","PMT","")</f>
        <v/>
      </c>
      <c r="C74" t="str">
        <f>IF(UKG!$BL71="Y",UKG!D71,"")</f>
        <v/>
      </c>
      <c r="O74" t="str">
        <f>IF(UKG!$BL71="Y",UKG!BE71,"")</f>
        <v/>
      </c>
      <c r="P74" t="str">
        <f>IF(UKG!$BL71="Y","USD","")</f>
        <v/>
      </c>
    </row>
    <row r="75" spans="1:16" x14ac:dyDescent="0.2">
      <c r="A75" t="str">
        <f>IF(UKG!$BL72="Y","700","")</f>
        <v/>
      </c>
      <c r="B75" t="str">
        <f>IF(UKG!$BL72="Y","PMT","")</f>
        <v/>
      </c>
      <c r="C75" t="str">
        <f>IF(UKG!$BL72="Y",UKG!D72,"")</f>
        <v/>
      </c>
      <c r="O75" t="str">
        <f>IF(UKG!$BL72="Y",UKG!BE72,"")</f>
        <v/>
      </c>
      <c r="P75" t="str">
        <f>IF(UKG!$BL72="Y","USD","")</f>
        <v/>
      </c>
    </row>
    <row r="76" spans="1:16" x14ac:dyDescent="0.2">
      <c r="A76" t="str">
        <f>IF(UKG!$BL73="Y","700","")</f>
        <v/>
      </c>
      <c r="B76" t="str">
        <f>IF(UKG!$BL73="Y","PMT","")</f>
        <v/>
      </c>
      <c r="C76" t="str">
        <f>IF(UKG!$BL73="Y",UKG!D73,"")</f>
        <v/>
      </c>
      <c r="O76" t="str">
        <f>IF(UKG!$BL73="Y",UKG!BE73,"")</f>
        <v/>
      </c>
      <c r="P76" t="str">
        <f>IF(UKG!$BL73="Y","USD","")</f>
        <v/>
      </c>
    </row>
    <row r="77" spans="1:16" x14ac:dyDescent="0.2">
      <c r="A77" t="str">
        <f>IF(UKG!$BL74="Y","700","")</f>
        <v/>
      </c>
      <c r="B77" t="str">
        <f>IF(UKG!$BL74="Y","PMT","")</f>
        <v/>
      </c>
      <c r="C77" t="str">
        <f>IF(UKG!$BL74="Y",UKG!D74,"")</f>
        <v/>
      </c>
      <c r="O77" t="str">
        <f>IF(UKG!$BL74="Y",UKG!BE74,"")</f>
        <v/>
      </c>
      <c r="P77" t="str">
        <f>IF(UKG!$BL74="Y","USD","")</f>
        <v/>
      </c>
    </row>
    <row r="78" spans="1:16" x14ac:dyDescent="0.2">
      <c r="A78" t="str">
        <f>IF(UKG!$BL75="Y","700","")</f>
        <v/>
      </c>
      <c r="B78" t="str">
        <f>IF(UKG!$BL75="Y","PMT","")</f>
        <v/>
      </c>
      <c r="C78" t="str">
        <f>IF(UKG!$BL75="Y",UKG!D75,"")</f>
        <v/>
      </c>
      <c r="O78" t="str">
        <f>IF(UKG!$BL75="Y",UKG!BE75,"")</f>
        <v/>
      </c>
      <c r="P78" t="str">
        <f>IF(UKG!$BL75="Y","USD","")</f>
        <v/>
      </c>
    </row>
    <row r="79" spans="1:16" x14ac:dyDescent="0.2">
      <c r="A79" t="str">
        <f>IF(UKG!$BL76="Y","700","")</f>
        <v/>
      </c>
      <c r="B79" t="str">
        <f>IF(UKG!$BL76="Y","PMT","")</f>
        <v/>
      </c>
      <c r="C79" t="str">
        <f>IF(UKG!$BL76="Y",UKG!D76,"")</f>
        <v/>
      </c>
      <c r="O79" t="str">
        <f>IF(UKG!$BL76="Y",UKG!BE76,"")</f>
        <v/>
      </c>
      <c r="P79" t="str">
        <f>IF(UKG!$BL76="Y","USD","")</f>
        <v/>
      </c>
    </row>
    <row r="80" spans="1:16" x14ac:dyDescent="0.2">
      <c r="A80" t="str">
        <f>IF(UKG!$BL77="Y","700","")</f>
        <v/>
      </c>
      <c r="B80" t="str">
        <f>IF(UKG!$BL77="Y","PMT","")</f>
        <v/>
      </c>
      <c r="C80" t="str">
        <f>IF(UKG!$BL77="Y",UKG!D77,"")</f>
        <v/>
      </c>
      <c r="O80" t="str">
        <f>IF(UKG!$BL77="Y",UKG!BE77,"")</f>
        <v/>
      </c>
      <c r="P80" t="str">
        <f>IF(UKG!$BL77="Y","USD","")</f>
        <v/>
      </c>
    </row>
    <row r="81" spans="1:16" x14ac:dyDescent="0.2">
      <c r="A81" t="str">
        <f>IF(UKG!$BL78="Y","700","")</f>
        <v/>
      </c>
      <c r="B81" t="str">
        <f>IF(UKG!$BL78="Y","PMT","")</f>
        <v/>
      </c>
      <c r="C81" t="str">
        <f>IF(UKG!$BL78="Y",UKG!D78,"")</f>
        <v/>
      </c>
      <c r="O81" t="str">
        <f>IF(UKG!$BL78="Y",UKG!BE78,"")</f>
        <v/>
      </c>
      <c r="P81" t="str">
        <f>IF(UKG!$BL78="Y","USD","")</f>
        <v/>
      </c>
    </row>
    <row r="82" spans="1:16" x14ac:dyDescent="0.2">
      <c r="A82" t="str">
        <f>IF(UKG!$BL79="Y","700","")</f>
        <v/>
      </c>
      <c r="B82" t="str">
        <f>IF(UKG!$BL79="Y","PMT","")</f>
        <v/>
      </c>
      <c r="C82" t="str">
        <f>IF(UKG!$BL79="Y",UKG!D79,"")</f>
        <v/>
      </c>
      <c r="O82" t="str">
        <f>IF(UKG!$BL79="Y",UKG!BE79,"")</f>
        <v/>
      </c>
      <c r="P82" t="str">
        <f>IF(UKG!$BL79="Y","USD","")</f>
        <v/>
      </c>
    </row>
    <row r="83" spans="1:16" x14ac:dyDescent="0.2">
      <c r="A83" t="str">
        <f>IF(UKG!$BL80="Y","700","")</f>
        <v/>
      </c>
      <c r="B83" t="str">
        <f>IF(UKG!$BL80="Y","PMT","")</f>
        <v/>
      </c>
      <c r="C83" t="str">
        <f>IF(UKG!$BL80="Y",UKG!D80,"")</f>
        <v/>
      </c>
      <c r="O83" t="str">
        <f>IF(UKG!$BL80="Y",UKG!BE80,"")</f>
        <v/>
      </c>
      <c r="P83" t="str">
        <f>IF(UKG!$BL80="Y","USD","")</f>
        <v/>
      </c>
    </row>
    <row r="84" spans="1:16" x14ac:dyDescent="0.2">
      <c r="A84" t="str">
        <f>IF(UKG!$BL81="Y","700","")</f>
        <v/>
      </c>
      <c r="B84" t="str">
        <f>IF(UKG!$BL81="Y","PMT","")</f>
        <v/>
      </c>
      <c r="C84" t="str">
        <f>IF(UKG!$BL81="Y",UKG!D81,"")</f>
        <v/>
      </c>
      <c r="O84" t="str">
        <f>IF(UKG!$BL81="Y",UKG!BE81,"")</f>
        <v/>
      </c>
      <c r="P84" t="str">
        <f>IF(UKG!$BL81="Y","USD","")</f>
        <v/>
      </c>
    </row>
    <row r="85" spans="1:16" x14ac:dyDescent="0.2">
      <c r="A85" t="str">
        <f>IF(UKG!$BL82="Y","700","")</f>
        <v/>
      </c>
      <c r="B85" t="str">
        <f>IF(UKG!$BL82="Y","PMT","")</f>
        <v/>
      </c>
      <c r="C85" t="str">
        <f>IF(UKG!$BL82="Y",UKG!D82,"")</f>
        <v/>
      </c>
      <c r="O85" t="str">
        <f>IF(UKG!$BL82="Y",UKG!BE82,"")</f>
        <v/>
      </c>
      <c r="P85" t="str">
        <f>IF(UKG!$BL82="Y","USD","")</f>
        <v/>
      </c>
    </row>
    <row r="86" spans="1:16" x14ac:dyDescent="0.2">
      <c r="A86" t="str">
        <f>IF(UKG!$BL83="Y","700","")</f>
        <v/>
      </c>
      <c r="B86" t="str">
        <f>IF(UKG!$BL83="Y","PMT","")</f>
        <v/>
      </c>
      <c r="C86" t="str">
        <f>IF(UKG!$BL83="Y",UKG!D83,"")</f>
        <v/>
      </c>
      <c r="O86" t="str">
        <f>IF(UKG!$BL83="Y",UKG!BE83,"")</f>
        <v/>
      </c>
      <c r="P86" t="str">
        <f>IF(UKG!$BL83="Y","USD","")</f>
        <v/>
      </c>
    </row>
    <row r="87" spans="1:16" x14ac:dyDescent="0.2">
      <c r="A87" t="str">
        <f>IF(UKG!$BL84="Y","700","")</f>
        <v/>
      </c>
      <c r="B87" t="str">
        <f>IF(UKG!$BL84="Y","PMT","")</f>
        <v/>
      </c>
      <c r="C87" t="str">
        <f>IF(UKG!$BL84="Y",UKG!D84,"")</f>
        <v/>
      </c>
      <c r="O87" t="str">
        <f>IF(UKG!$BL84="Y",UKG!BE84,"")</f>
        <v/>
      </c>
      <c r="P87" t="str">
        <f>IF(UKG!$BL84="Y","USD","")</f>
        <v/>
      </c>
    </row>
    <row r="88" spans="1:16" x14ac:dyDescent="0.2">
      <c r="A88" t="str">
        <f>IF(UKG!$BL85="Y","700","")</f>
        <v/>
      </c>
      <c r="B88" t="str">
        <f>IF(UKG!$BL85="Y","PMT","")</f>
        <v/>
      </c>
      <c r="C88" t="str">
        <f>IF(UKG!$BL85="Y",UKG!D85,"")</f>
        <v/>
      </c>
      <c r="O88" t="str">
        <f>IF(UKG!$BL85="Y",UKG!BE85,"")</f>
        <v/>
      </c>
      <c r="P88" t="str">
        <f>IF(UKG!$BL85="Y","USD","")</f>
        <v/>
      </c>
    </row>
    <row r="89" spans="1:16" x14ac:dyDescent="0.2">
      <c r="A89" t="str">
        <f>IF(UKG!$BL86="Y","700","")</f>
        <v/>
      </c>
      <c r="B89" t="str">
        <f>IF(UKG!$BL86="Y","PMT","")</f>
        <v/>
      </c>
      <c r="C89" t="str">
        <f>IF(UKG!$BL86="Y",UKG!D86,"")</f>
        <v/>
      </c>
      <c r="O89" t="str">
        <f>IF(UKG!$BL86="Y",UKG!BE86,"")</f>
        <v/>
      </c>
      <c r="P89" t="str">
        <f>IF(UKG!$BL86="Y","USD","")</f>
        <v/>
      </c>
    </row>
    <row r="90" spans="1:16" x14ac:dyDescent="0.2">
      <c r="A90" t="str">
        <f>IF(UKG!$BL87="Y","700","")</f>
        <v/>
      </c>
      <c r="B90" t="str">
        <f>IF(UKG!$BL87="Y","PMT","")</f>
        <v/>
      </c>
      <c r="C90" t="str">
        <f>IF(UKG!$BL87="Y",UKG!D87,"")</f>
        <v/>
      </c>
      <c r="O90" t="str">
        <f>IF(UKG!$BL87="Y",UKG!BE87,"")</f>
        <v/>
      </c>
      <c r="P90" t="str">
        <f>IF(UKG!$BL87="Y","USD","")</f>
        <v/>
      </c>
    </row>
    <row r="91" spans="1:16" x14ac:dyDescent="0.2">
      <c r="A91" t="str">
        <f>IF(UKG!$BL88="Y","700","")</f>
        <v/>
      </c>
      <c r="B91" t="str">
        <f>IF(UKG!$BL88="Y","PMT","")</f>
        <v/>
      </c>
      <c r="C91" t="str">
        <f>IF(UKG!$BL88="Y",UKG!D88,"")</f>
        <v/>
      </c>
      <c r="O91" t="str">
        <f>IF(UKG!$BL88="Y",UKG!BE88,"")</f>
        <v/>
      </c>
      <c r="P91" t="str">
        <f>IF(UKG!$BL88="Y","USD","")</f>
        <v/>
      </c>
    </row>
    <row r="92" spans="1:16" x14ac:dyDescent="0.2">
      <c r="A92" t="str">
        <f>IF(UKG!$BL89="Y","700","")</f>
        <v/>
      </c>
      <c r="B92" t="str">
        <f>IF(UKG!$BL89="Y","PMT","")</f>
        <v/>
      </c>
      <c r="C92" t="str">
        <f>IF(UKG!$BL89="Y",UKG!D89,"")</f>
        <v/>
      </c>
      <c r="O92" t="str">
        <f>IF(UKG!$BL89="Y",UKG!BE89,"")</f>
        <v/>
      </c>
      <c r="P92" t="str">
        <f>IF(UKG!$BL89="Y","USD","")</f>
        <v/>
      </c>
    </row>
    <row r="93" spans="1:16" x14ac:dyDescent="0.2">
      <c r="A93" t="str">
        <f>IF(UKG!$BL90="Y","700","")</f>
        <v/>
      </c>
      <c r="B93" t="str">
        <f>IF(UKG!$BL90="Y","PMT","")</f>
        <v/>
      </c>
      <c r="C93" t="str">
        <f>IF(UKG!$BL90="Y",UKG!D90,"")</f>
        <v/>
      </c>
      <c r="O93" t="str">
        <f>IF(UKG!$BL90="Y",UKG!BE90,"")</f>
        <v/>
      </c>
      <c r="P93" t="str">
        <f>IF(UKG!$BL90="Y","USD","")</f>
        <v/>
      </c>
    </row>
    <row r="94" spans="1:16" x14ac:dyDescent="0.2">
      <c r="A94" t="str">
        <f>IF(UKG!$BL91="Y","700","")</f>
        <v/>
      </c>
      <c r="B94" t="str">
        <f>IF(UKG!$BL91="Y","PMT","")</f>
        <v/>
      </c>
      <c r="C94" t="str">
        <f>IF(UKG!$BL91="Y",UKG!D91,"")</f>
        <v/>
      </c>
      <c r="O94" t="str">
        <f>IF(UKG!$BL91="Y",UKG!BE91,"")</f>
        <v/>
      </c>
      <c r="P94" t="str">
        <f>IF(UKG!$BL91="Y","USD","")</f>
        <v/>
      </c>
    </row>
    <row r="95" spans="1:16" x14ac:dyDescent="0.2">
      <c r="A95" t="str">
        <f>IF(UKG!$BL92="Y","700","")</f>
        <v/>
      </c>
      <c r="B95" t="str">
        <f>IF(UKG!$BL92="Y","PMT","")</f>
        <v/>
      </c>
      <c r="C95" t="str">
        <f>IF(UKG!$BL92="Y",UKG!D92,"")</f>
        <v/>
      </c>
      <c r="O95" t="str">
        <f>IF(UKG!$BL92="Y",UKG!BE92,"")</f>
        <v/>
      </c>
      <c r="P95" t="str">
        <f>IF(UKG!$BL92="Y","USD","")</f>
        <v/>
      </c>
    </row>
    <row r="96" spans="1:16" x14ac:dyDescent="0.2">
      <c r="A96" t="str">
        <f>IF(UKG!$BL93="Y","700","")</f>
        <v/>
      </c>
      <c r="B96" t="str">
        <f>IF(UKG!$BL93="Y","PMT","")</f>
        <v/>
      </c>
      <c r="C96" t="str">
        <f>IF(UKG!$BL93="Y",UKG!D93,"")</f>
        <v/>
      </c>
      <c r="O96" t="str">
        <f>IF(UKG!$BL93="Y",UKG!BE93,"")</f>
        <v/>
      </c>
      <c r="P96" t="str">
        <f>IF(UKG!$BL93="Y","USD","")</f>
        <v/>
      </c>
    </row>
    <row r="97" spans="1:16" x14ac:dyDescent="0.2">
      <c r="A97" t="str">
        <f>IF(UKG!$BL94="Y","700","")</f>
        <v/>
      </c>
      <c r="B97" t="str">
        <f>IF(UKG!$BL94="Y","PMT","")</f>
        <v/>
      </c>
      <c r="C97" t="str">
        <f>IF(UKG!$BL94="Y",UKG!D94,"")</f>
        <v/>
      </c>
      <c r="O97" t="str">
        <f>IF(UKG!$BL94="Y",UKG!BE94,"")</f>
        <v/>
      </c>
      <c r="P97" t="str">
        <f>IF(UKG!$BL94="Y","USD","")</f>
        <v/>
      </c>
    </row>
    <row r="98" spans="1:16" x14ac:dyDescent="0.2">
      <c r="A98" t="str">
        <f>IF(UKG!$BL95="Y","700","")</f>
        <v/>
      </c>
      <c r="B98" t="str">
        <f>IF(UKG!$BL95="Y","PMT","")</f>
        <v/>
      </c>
      <c r="C98" t="str">
        <f>IF(UKG!$BL95="Y",UKG!D95,"")</f>
        <v/>
      </c>
      <c r="O98" t="str">
        <f>IF(UKG!$BL95="Y",UKG!BE95,"")</f>
        <v/>
      </c>
      <c r="P98" t="str">
        <f>IF(UKG!$BL95="Y","USD","")</f>
        <v/>
      </c>
    </row>
    <row r="99" spans="1:16" x14ac:dyDescent="0.2">
      <c r="A99" t="str">
        <f>IF(UKG!$BL96="Y","700","")</f>
        <v/>
      </c>
      <c r="B99" t="str">
        <f>IF(UKG!$BL96="Y","PMT","")</f>
        <v/>
      </c>
      <c r="C99" t="str">
        <f>IF(UKG!$BL96="Y",UKG!D96,"")</f>
        <v/>
      </c>
      <c r="O99" t="str">
        <f>IF(UKG!$BL96="Y",UKG!BE96,"")</f>
        <v/>
      </c>
      <c r="P99" t="str">
        <f>IF(UKG!$BL96="Y","USD","")</f>
        <v/>
      </c>
    </row>
    <row r="100" spans="1:16" x14ac:dyDescent="0.2">
      <c r="A100" t="str">
        <f>IF(UKG!$BL97="Y","700","")</f>
        <v/>
      </c>
      <c r="B100" t="str">
        <f>IF(UKG!$BL97="Y","PMT","")</f>
        <v/>
      </c>
      <c r="C100" t="str">
        <f>IF(UKG!$BL97="Y",UKG!D97,"")</f>
        <v/>
      </c>
      <c r="O100" t="str">
        <f>IF(UKG!$BL97="Y",UKG!BE97,"")</f>
        <v/>
      </c>
      <c r="P100" t="str">
        <f>IF(UKG!$BL97="Y","USD","")</f>
        <v/>
      </c>
    </row>
    <row r="101" spans="1:16" x14ac:dyDescent="0.2">
      <c r="A101" t="str">
        <f>IF(UKG!$BL98="Y","700","")</f>
        <v/>
      </c>
      <c r="B101" t="str">
        <f>IF(UKG!$BL98="Y","PMT","")</f>
        <v/>
      </c>
      <c r="C101" t="str">
        <f>IF(UKG!$BL98="Y",UKG!D98,"")</f>
        <v/>
      </c>
      <c r="O101" t="str">
        <f>IF(UKG!$BL98="Y",UKG!BE98,"")</f>
        <v/>
      </c>
      <c r="P101" t="str">
        <f>IF(UKG!$BL98="Y","USD","")</f>
        <v/>
      </c>
    </row>
    <row r="102" spans="1:16" x14ac:dyDescent="0.2">
      <c r="A102" t="str">
        <f>IF(UKG!$BL99="Y","700","")</f>
        <v/>
      </c>
      <c r="B102" t="str">
        <f>IF(UKG!$BL99="Y","PMT","")</f>
        <v/>
      </c>
      <c r="C102" t="str">
        <f>IF(UKG!$BL99="Y",UKG!D99,"")</f>
        <v/>
      </c>
      <c r="O102" t="str">
        <f>IF(UKG!$BL99="Y",UKG!BE99,"")</f>
        <v/>
      </c>
      <c r="P102" t="str">
        <f>IF(UKG!$BL99="Y","USD","")</f>
        <v/>
      </c>
    </row>
    <row r="103" spans="1:16" x14ac:dyDescent="0.2">
      <c r="A103" t="str">
        <f>IF(UKG!$BL100="Y","700","")</f>
        <v/>
      </c>
      <c r="B103" t="str">
        <f>IF(UKG!$BL100="Y","PMT","")</f>
        <v/>
      </c>
      <c r="C103" t="str">
        <f>IF(UKG!$BL100="Y",UKG!D100,"")</f>
        <v/>
      </c>
      <c r="O103" t="str">
        <f>IF(UKG!$BL100="Y",UKG!BE100,"")</f>
        <v/>
      </c>
      <c r="P103" t="str">
        <f>IF(UKG!$BL100="Y","USD","")</f>
        <v/>
      </c>
    </row>
    <row r="104" spans="1:16" x14ac:dyDescent="0.2">
      <c r="A104" t="str">
        <f>IF(UKG!$BL101="Y","700","")</f>
        <v/>
      </c>
      <c r="B104" t="str">
        <f>IF(UKG!$BL101="Y","PMT","")</f>
        <v/>
      </c>
      <c r="C104" t="str">
        <f>IF(UKG!$BL101="Y",UKG!D101,"")</f>
        <v/>
      </c>
      <c r="O104" t="str">
        <f>IF(UKG!$BL101="Y",UKG!BE101,"")</f>
        <v/>
      </c>
      <c r="P104" t="str">
        <f>IF(UKG!$BL101="Y","USD","")</f>
        <v/>
      </c>
    </row>
    <row r="105" spans="1:16" x14ac:dyDescent="0.2">
      <c r="A105" t="str">
        <f>IF(UKG!$BL102="Y","700","")</f>
        <v/>
      </c>
      <c r="B105" t="str">
        <f>IF(UKG!$BL102="Y","PMT","")</f>
        <v/>
      </c>
      <c r="C105" t="str">
        <f>IF(UKG!$BL102="Y",UKG!D102,"")</f>
        <v/>
      </c>
      <c r="O105" t="str">
        <f>IF(UKG!$BL102="Y",UKG!BE102,"")</f>
        <v/>
      </c>
      <c r="P105" t="str">
        <f>IF(UKG!$BL102="Y","USD","")</f>
        <v/>
      </c>
    </row>
    <row r="106" spans="1:16" x14ac:dyDescent="0.2">
      <c r="A106" t="str">
        <f>IF(UKG!$BL103="Y","700","")</f>
        <v/>
      </c>
      <c r="B106" t="str">
        <f>IF(UKG!$BL103="Y","PMT","")</f>
        <v/>
      </c>
      <c r="C106" t="str">
        <f>IF(UKG!$BL103="Y",UKG!D103,"")</f>
        <v/>
      </c>
      <c r="O106" t="str">
        <f>IF(UKG!$BL103="Y",UKG!BE103,"")</f>
        <v/>
      </c>
      <c r="P106" t="str">
        <f>IF(UKG!$BL103="Y","USD","")</f>
        <v/>
      </c>
    </row>
    <row r="107" spans="1:16" x14ac:dyDescent="0.2">
      <c r="A107" t="str">
        <f>IF(UKG!$BL104="Y","700","")</f>
        <v/>
      </c>
      <c r="B107" t="str">
        <f>IF(UKG!$BL104="Y","PMT","")</f>
        <v/>
      </c>
      <c r="C107" t="str">
        <f>IF(UKG!$BL104="Y",UKG!D104,"")</f>
        <v/>
      </c>
      <c r="O107" t="str">
        <f>IF(UKG!$BL104="Y",UKG!BE104,"")</f>
        <v/>
      </c>
      <c r="P107" t="str">
        <f>IF(UKG!$BL104="Y","USD","")</f>
        <v/>
      </c>
    </row>
    <row r="108" spans="1:16" x14ac:dyDescent="0.2">
      <c r="A108" t="str">
        <f>IF(UKG!$BL105="Y","700","")</f>
        <v/>
      </c>
      <c r="B108" t="str">
        <f>IF(UKG!$BL105="Y","PMT","")</f>
        <v/>
      </c>
      <c r="C108" t="str">
        <f>IF(UKG!$BL105="Y",UKG!D105,"")</f>
        <v/>
      </c>
      <c r="O108" t="str">
        <f>IF(UKG!$BL105="Y",UKG!BE105,"")</f>
        <v/>
      </c>
      <c r="P108" t="str">
        <f>IF(UKG!$BL105="Y","USD","")</f>
        <v/>
      </c>
    </row>
    <row r="109" spans="1:16" x14ac:dyDescent="0.2">
      <c r="A109" t="str">
        <f>IF(UKG!$BL106="Y","700","")</f>
        <v/>
      </c>
      <c r="B109" t="str">
        <f>IF(UKG!$BL106="Y","PMT","")</f>
        <v/>
      </c>
      <c r="C109" t="str">
        <f>IF(UKG!$BL106="Y",UKG!D106,"")</f>
        <v/>
      </c>
      <c r="O109" t="str">
        <f>IF(UKG!$BL106="Y",UKG!BE106,"")</f>
        <v/>
      </c>
      <c r="P109" t="str">
        <f>IF(UKG!$BL106="Y","USD","")</f>
        <v/>
      </c>
    </row>
    <row r="110" spans="1:16" x14ac:dyDescent="0.2">
      <c r="A110" t="str">
        <f>IF(UKG!$BL107="Y","700","")</f>
        <v/>
      </c>
      <c r="B110" t="str">
        <f>IF(UKG!$BL107="Y","PMT","")</f>
        <v/>
      </c>
      <c r="C110" t="str">
        <f>IF(UKG!$BL107="Y",UKG!D107,"")</f>
        <v/>
      </c>
      <c r="O110" t="str">
        <f>IF(UKG!$BL107="Y",UKG!BE107,"")</f>
        <v/>
      </c>
      <c r="P110" t="str">
        <f>IF(UKG!$BL107="Y","USD","")</f>
        <v/>
      </c>
    </row>
    <row r="111" spans="1:16" x14ac:dyDescent="0.2">
      <c r="A111" t="str">
        <f>IF(UKG!$BL108="Y","700","")</f>
        <v/>
      </c>
      <c r="B111" t="str">
        <f>IF(UKG!$BL108="Y","PMT","")</f>
        <v/>
      </c>
      <c r="C111" t="str">
        <f>IF(UKG!$BL108="Y",UKG!D108,"")</f>
        <v/>
      </c>
      <c r="O111" t="str">
        <f>IF(UKG!$BL108="Y",UKG!BE108,"")</f>
        <v/>
      </c>
      <c r="P111" t="str">
        <f>IF(UKG!$BL108="Y","USD","")</f>
        <v/>
      </c>
    </row>
    <row r="112" spans="1:16" x14ac:dyDescent="0.2">
      <c r="A112" t="str">
        <f>IF(UKG!$BL109="Y","700","")</f>
        <v/>
      </c>
      <c r="B112" t="str">
        <f>IF(UKG!$BL109="Y","PMT","")</f>
        <v/>
      </c>
      <c r="C112" t="str">
        <f>IF(UKG!$BL109="Y",UKG!D109,"")</f>
        <v/>
      </c>
      <c r="O112" t="str">
        <f>IF(UKG!$BL109="Y",UKG!BE109,"")</f>
        <v/>
      </c>
      <c r="P112" t="str">
        <f>IF(UKG!$BL109="Y","USD","")</f>
        <v/>
      </c>
    </row>
    <row r="113" spans="1:16" x14ac:dyDescent="0.2">
      <c r="A113" t="str">
        <f>IF(UKG!$BL110="Y","700","")</f>
        <v/>
      </c>
      <c r="B113" t="str">
        <f>IF(UKG!$BL110="Y","PMT","")</f>
        <v/>
      </c>
      <c r="C113" t="str">
        <f>IF(UKG!$BL110="Y",UKG!D110,"")</f>
        <v/>
      </c>
      <c r="O113" t="str">
        <f>IF(UKG!$BL110="Y",UKG!BE110,"")</f>
        <v/>
      </c>
      <c r="P113" t="str">
        <f>IF(UKG!$BL110="Y","USD","")</f>
        <v/>
      </c>
    </row>
    <row r="114" spans="1:16" x14ac:dyDescent="0.2">
      <c r="A114" t="str">
        <f>IF(UKG!$BL111="Y","700","")</f>
        <v/>
      </c>
      <c r="B114" t="str">
        <f>IF(UKG!$BL111="Y","PMT","")</f>
        <v/>
      </c>
      <c r="C114" t="str">
        <f>IF(UKG!$BL111="Y",UKG!D111,"")</f>
        <v/>
      </c>
      <c r="O114" t="str">
        <f>IF(UKG!$BL111="Y",UKG!BE111,"")</f>
        <v/>
      </c>
      <c r="P114" t="str">
        <f>IF(UKG!$BL111="Y","USD","")</f>
        <v/>
      </c>
    </row>
    <row r="115" spans="1:16" x14ac:dyDescent="0.2">
      <c r="A115" t="str">
        <f>IF(UKG!$BL112="Y","700","")</f>
        <v/>
      </c>
      <c r="B115" t="str">
        <f>IF(UKG!$BL112="Y","PMT","")</f>
        <v/>
      </c>
      <c r="C115" t="str">
        <f>IF(UKG!$BL112="Y",UKG!D112,"")</f>
        <v/>
      </c>
      <c r="O115" t="str">
        <f>IF(UKG!$BL112="Y",UKG!BE112,"")</f>
        <v/>
      </c>
      <c r="P115" t="str">
        <f>IF(UKG!$BL112="Y","USD","")</f>
        <v/>
      </c>
    </row>
    <row r="116" spans="1:16" x14ac:dyDescent="0.2">
      <c r="A116" t="str">
        <f>IF(UKG!$BL113="Y","700","")</f>
        <v/>
      </c>
      <c r="B116" t="str">
        <f>IF(UKG!$BL113="Y","PMT","")</f>
        <v/>
      </c>
      <c r="C116" t="str">
        <f>IF(UKG!$BL113="Y",UKG!D113,"")</f>
        <v/>
      </c>
      <c r="O116" t="str">
        <f>IF(UKG!$BL113="Y",UKG!BE113,"")</f>
        <v/>
      </c>
      <c r="P116" t="str">
        <f>IF(UKG!$BL113="Y","USD","")</f>
        <v/>
      </c>
    </row>
    <row r="117" spans="1:16" x14ac:dyDescent="0.2">
      <c r="A117" t="str">
        <f>IF(UKG!$BL114="Y","700","")</f>
        <v/>
      </c>
      <c r="B117" t="str">
        <f>IF(UKG!$BL114="Y","PMT","")</f>
        <v/>
      </c>
      <c r="C117" t="str">
        <f>IF(UKG!$BL114="Y",UKG!D114,"")</f>
        <v/>
      </c>
      <c r="O117" t="str">
        <f>IF(UKG!$BL114="Y",UKG!BE114,"")</f>
        <v/>
      </c>
      <c r="P117" t="str">
        <f>IF(UKG!$BL114="Y","USD","")</f>
        <v/>
      </c>
    </row>
    <row r="118" spans="1:16" x14ac:dyDescent="0.2">
      <c r="A118" t="str">
        <f>IF(UKG!$BL115="Y","700","")</f>
        <v/>
      </c>
      <c r="B118" t="str">
        <f>IF(UKG!$BL115="Y","PMT","")</f>
        <v/>
      </c>
      <c r="C118" t="str">
        <f>IF(UKG!$BL115="Y",UKG!D115,"")</f>
        <v/>
      </c>
      <c r="O118" t="str">
        <f>IF(UKG!$BL115="Y",UKG!BE115,"")</f>
        <v/>
      </c>
      <c r="P118" t="str">
        <f>IF(UKG!$BL115="Y","USD","")</f>
        <v/>
      </c>
    </row>
    <row r="119" spans="1:16" x14ac:dyDescent="0.2">
      <c r="A119" t="str">
        <f>IF(UKG!$BL116="Y","700","")</f>
        <v/>
      </c>
      <c r="B119" t="str">
        <f>IF(UKG!$BL116="Y","PMT","")</f>
        <v/>
      </c>
      <c r="C119" t="str">
        <f>IF(UKG!$BL116="Y",UKG!D116,"")</f>
        <v/>
      </c>
      <c r="O119" t="str">
        <f>IF(UKG!$BL116="Y",UKG!BE116,"")</f>
        <v/>
      </c>
      <c r="P119" t="str">
        <f>IF(UKG!$BL116="Y","USD","")</f>
        <v/>
      </c>
    </row>
    <row r="120" spans="1:16" x14ac:dyDescent="0.2">
      <c r="A120" t="str">
        <f>IF(UKG!$BL117="Y","700","")</f>
        <v/>
      </c>
      <c r="B120" t="str">
        <f>IF(UKG!$BL117="Y","PMT","")</f>
        <v/>
      </c>
      <c r="C120" t="str">
        <f>IF(UKG!$BL117="Y",UKG!D117,"")</f>
        <v/>
      </c>
      <c r="O120" t="str">
        <f>IF(UKG!$BL117="Y",UKG!BE117,"")</f>
        <v/>
      </c>
      <c r="P120" t="str">
        <f>IF(UKG!$BL117="Y","USD","")</f>
        <v/>
      </c>
    </row>
    <row r="121" spans="1:16" x14ac:dyDescent="0.2">
      <c r="A121" t="str">
        <f>IF(UKG!$BL118="Y","700","")</f>
        <v/>
      </c>
      <c r="B121" t="str">
        <f>IF(UKG!$BL118="Y","PMT","")</f>
        <v/>
      </c>
      <c r="C121" t="str">
        <f>IF(UKG!$BL118="Y",UKG!D118,"")</f>
        <v/>
      </c>
      <c r="O121" t="str">
        <f>IF(UKG!$BL118="Y",UKG!BE118,"")</f>
        <v/>
      </c>
      <c r="P121" t="str">
        <f>IF(UKG!$BL118="Y","USD","")</f>
        <v/>
      </c>
    </row>
    <row r="122" spans="1:16" x14ac:dyDescent="0.2">
      <c r="A122" t="str">
        <f>IF(UKG!$BL119="Y","700","")</f>
        <v/>
      </c>
      <c r="B122" t="str">
        <f>IF(UKG!$BL119="Y","PMT","")</f>
        <v/>
      </c>
      <c r="C122" t="str">
        <f>IF(UKG!$BL119="Y",UKG!D119,"")</f>
        <v/>
      </c>
      <c r="O122" t="str">
        <f>IF(UKG!$BL119="Y",UKG!BE119,"")</f>
        <v/>
      </c>
      <c r="P122" t="str">
        <f>IF(UKG!$BL119="Y","USD","")</f>
        <v/>
      </c>
    </row>
    <row r="123" spans="1:16" x14ac:dyDescent="0.2">
      <c r="A123" t="str">
        <f>IF(UKG!$BL120="Y","700","")</f>
        <v/>
      </c>
      <c r="B123" t="str">
        <f>IF(UKG!$BL120="Y","PMT","")</f>
        <v/>
      </c>
      <c r="C123" t="str">
        <f>IF(UKG!$BL120="Y",UKG!D120,"")</f>
        <v/>
      </c>
      <c r="O123" t="str">
        <f>IF(UKG!$BL120="Y",UKG!BE120,"")</f>
        <v/>
      </c>
      <c r="P123" t="str">
        <f>IF(UKG!$BL120="Y","USD","")</f>
        <v/>
      </c>
    </row>
    <row r="124" spans="1:16" x14ac:dyDescent="0.2">
      <c r="A124" t="str">
        <f>IF(UKG!$BL121="Y","700","")</f>
        <v/>
      </c>
      <c r="B124" t="str">
        <f>IF(UKG!$BL121="Y","PMT","")</f>
        <v/>
      </c>
      <c r="C124" t="str">
        <f>IF(UKG!$BL121="Y",UKG!D121,"")</f>
        <v/>
      </c>
      <c r="O124" t="str">
        <f>IF(UKG!$BL121="Y",UKG!BE121,"")</f>
        <v/>
      </c>
      <c r="P124" t="str">
        <f>IF(UKG!$BL121="Y","USD","")</f>
        <v/>
      </c>
    </row>
    <row r="125" spans="1:16" x14ac:dyDescent="0.2">
      <c r="A125" t="str">
        <f>IF(UKG!$BL122="Y","700","")</f>
        <v/>
      </c>
      <c r="B125" t="str">
        <f>IF(UKG!$BL122="Y","PMT","")</f>
        <v/>
      </c>
      <c r="C125" t="str">
        <f>IF(UKG!$BL122="Y",UKG!D122,"")</f>
        <v/>
      </c>
      <c r="O125" t="str">
        <f>IF(UKG!$BL122="Y",UKG!BE122,"")</f>
        <v/>
      </c>
      <c r="P125" t="str">
        <f>IF(UKG!$BL122="Y","USD","")</f>
        <v/>
      </c>
    </row>
    <row r="126" spans="1:16" x14ac:dyDescent="0.2">
      <c r="A126" t="str">
        <f>IF(UKG!$BL123="Y","700","")</f>
        <v/>
      </c>
      <c r="B126" t="str">
        <f>IF(UKG!$BL123="Y","PMT","")</f>
        <v/>
      </c>
      <c r="C126" t="str">
        <f>IF(UKG!$BL123="Y",UKG!D123,"")</f>
        <v/>
      </c>
      <c r="O126" t="str">
        <f>IF(UKG!$BL123="Y",UKG!BE123,"")</f>
        <v/>
      </c>
      <c r="P126" t="str">
        <f>IF(UKG!$BL123="Y","USD","")</f>
        <v/>
      </c>
    </row>
    <row r="127" spans="1:16" x14ac:dyDescent="0.2">
      <c r="A127" t="str">
        <f>IF(UKG!$BL124="Y","700","")</f>
        <v/>
      </c>
      <c r="B127" t="str">
        <f>IF(UKG!$BL124="Y","PMT","")</f>
        <v/>
      </c>
      <c r="C127" t="str">
        <f>IF(UKG!$BL124="Y",UKG!D124,"")</f>
        <v/>
      </c>
      <c r="O127" t="str">
        <f>IF(UKG!$BL124="Y",UKG!BE124,"")</f>
        <v/>
      </c>
      <c r="P127" t="str">
        <f>IF(UKG!$BL124="Y","USD","")</f>
        <v/>
      </c>
    </row>
    <row r="128" spans="1:16" x14ac:dyDescent="0.2">
      <c r="A128" t="str">
        <f>IF(UKG!$BL125="Y","700","")</f>
        <v/>
      </c>
      <c r="B128" t="str">
        <f>IF(UKG!$BL125="Y","PMT","")</f>
        <v/>
      </c>
      <c r="C128" t="str">
        <f>IF(UKG!$BL125="Y",UKG!D125,"")</f>
        <v/>
      </c>
      <c r="O128" t="str">
        <f>IF(UKG!$BL125="Y",UKG!BE125,"")</f>
        <v/>
      </c>
      <c r="P128" t="str">
        <f>IF(UKG!$BL125="Y","USD","")</f>
        <v/>
      </c>
    </row>
    <row r="129" spans="1:16" x14ac:dyDescent="0.2">
      <c r="A129" t="str">
        <f>IF(UKG!$BL126="Y","700","")</f>
        <v/>
      </c>
      <c r="B129" t="str">
        <f>IF(UKG!$BL126="Y","PMT","")</f>
        <v/>
      </c>
      <c r="C129" t="str">
        <f>IF(UKG!$BL126="Y",UKG!D126,"")</f>
        <v/>
      </c>
      <c r="O129" t="str">
        <f>IF(UKG!$BL126="Y",UKG!BE126,"")</f>
        <v/>
      </c>
      <c r="P129" t="str">
        <f>IF(UKG!$BL126="Y","USD","")</f>
        <v/>
      </c>
    </row>
    <row r="130" spans="1:16" x14ac:dyDescent="0.2">
      <c r="A130" t="str">
        <f>IF(UKG!$BL127="Y","700","")</f>
        <v/>
      </c>
      <c r="B130" t="str">
        <f>IF(UKG!$BL127="Y","PMT","")</f>
        <v/>
      </c>
      <c r="C130" t="str">
        <f>IF(UKG!$BL127="Y",UKG!D127,"")</f>
        <v/>
      </c>
      <c r="O130" t="str">
        <f>IF(UKG!$BL127="Y",UKG!BE127,"")</f>
        <v/>
      </c>
      <c r="P130" t="str">
        <f>IF(UKG!$BL127="Y","USD","")</f>
        <v/>
      </c>
    </row>
    <row r="131" spans="1:16" x14ac:dyDescent="0.2">
      <c r="A131" t="str">
        <f>IF(UKG!$BL128="Y","700","")</f>
        <v/>
      </c>
      <c r="B131" t="str">
        <f>IF(UKG!$BL128="Y","PMT","")</f>
        <v/>
      </c>
      <c r="C131" t="str">
        <f>IF(UKG!$BL128="Y",UKG!D128,"")</f>
        <v/>
      </c>
      <c r="O131" t="str">
        <f>IF(UKG!$BL128="Y",UKG!BE128,"")</f>
        <v/>
      </c>
      <c r="P131" t="str">
        <f>IF(UKG!$BL128="Y","USD","")</f>
        <v/>
      </c>
    </row>
    <row r="132" spans="1:16" x14ac:dyDescent="0.2">
      <c r="A132" t="str">
        <f>IF(UKG!$BL129="Y","700","")</f>
        <v/>
      </c>
      <c r="B132" t="str">
        <f>IF(UKG!$BL129="Y","PMT","")</f>
        <v/>
      </c>
      <c r="C132" t="str">
        <f>IF(UKG!$BL129="Y",UKG!D129,"")</f>
        <v/>
      </c>
      <c r="O132" t="str">
        <f>IF(UKG!$BL129="Y",UKG!BE129,"")</f>
        <v/>
      </c>
      <c r="P132" t="str">
        <f>IF(UKG!$BL129="Y","USD","")</f>
        <v/>
      </c>
    </row>
    <row r="133" spans="1:16" x14ac:dyDescent="0.2">
      <c r="A133" t="str">
        <f>IF(UKG!$BL130="Y","700","")</f>
        <v/>
      </c>
      <c r="B133" t="str">
        <f>IF(UKG!$BL130="Y","PMT","")</f>
        <v/>
      </c>
      <c r="C133" t="str">
        <f>IF(UKG!$BL130="Y",UKG!D130,"")</f>
        <v/>
      </c>
      <c r="O133" t="str">
        <f>IF(UKG!$BL130="Y",UKG!BE130,"")</f>
        <v/>
      </c>
      <c r="P133" t="str">
        <f>IF(UKG!$BL130="Y","USD","")</f>
        <v/>
      </c>
    </row>
    <row r="134" spans="1:16" x14ac:dyDescent="0.2">
      <c r="A134" t="str">
        <f>IF(UKG!$BL131="Y","700","")</f>
        <v/>
      </c>
      <c r="B134" t="str">
        <f>IF(UKG!$BL131="Y","PMT","")</f>
        <v/>
      </c>
      <c r="C134" t="str">
        <f>IF(UKG!$BL131="Y",UKG!D131,"")</f>
        <v/>
      </c>
      <c r="O134" t="str">
        <f>IF(UKG!$BL131="Y",UKG!BE131,"")</f>
        <v/>
      </c>
      <c r="P134" t="str">
        <f>IF(UKG!$BL131="Y","USD","")</f>
        <v/>
      </c>
    </row>
    <row r="135" spans="1:16" x14ac:dyDescent="0.2">
      <c r="A135" t="str">
        <f>IF(UKG!$BL132="Y","700","")</f>
        <v/>
      </c>
      <c r="B135" t="str">
        <f>IF(UKG!$BL132="Y","PMT","")</f>
        <v/>
      </c>
      <c r="C135" t="str">
        <f>IF(UKG!$BL132="Y",UKG!D132,"")</f>
        <v/>
      </c>
      <c r="O135" t="str">
        <f>IF(UKG!$BL132="Y",UKG!BE132,"")</f>
        <v/>
      </c>
      <c r="P135" t="str">
        <f>IF(UKG!$BL132="Y","USD","")</f>
        <v/>
      </c>
    </row>
    <row r="136" spans="1:16" x14ac:dyDescent="0.2">
      <c r="A136" t="str">
        <f>IF(UKG!$BL133="Y","700","")</f>
        <v/>
      </c>
      <c r="B136" t="str">
        <f>IF(UKG!$BL133="Y","PMT","")</f>
        <v/>
      </c>
      <c r="C136" t="str">
        <f>IF(UKG!$BL133="Y",UKG!D133,"")</f>
        <v/>
      </c>
      <c r="O136" t="str">
        <f>IF(UKG!$BL133="Y",UKG!BE133,"")</f>
        <v/>
      </c>
      <c r="P136" t="str">
        <f>IF(UKG!$BL133="Y","USD","")</f>
        <v/>
      </c>
    </row>
    <row r="137" spans="1:16" x14ac:dyDescent="0.2">
      <c r="A137" t="str">
        <f>IF(UKG!$BL134="Y","700","")</f>
        <v/>
      </c>
      <c r="B137" t="str">
        <f>IF(UKG!$BL134="Y","PMT","")</f>
        <v/>
      </c>
      <c r="C137" t="str">
        <f>IF(UKG!$BL134="Y",UKG!D134,"")</f>
        <v/>
      </c>
      <c r="O137" t="str">
        <f>IF(UKG!$BL134="Y",UKG!BE134,"")</f>
        <v/>
      </c>
      <c r="P137" t="str">
        <f>IF(UKG!$BL134="Y","USD","")</f>
        <v/>
      </c>
    </row>
    <row r="138" spans="1:16" x14ac:dyDescent="0.2">
      <c r="A138" t="str">
        <f>IF(UKG!$BL135="Y","700","")</f>
        <v/>
      </c>
      <c r="B138" t="str">
        <f>IF(UKG!$BL135="Y","PMT","")</f>
        <v/>
      </c>
      <c r="C138" t="str">
        <f>IF(UKG!$BL135="Y",UKG!D135,"")</f>
        <v/>
      </c>
      <c r="O138" t="str">
        <f>IF(UKG!$BL135="Y",UKG!BE135,"")</f>
        <v/>
      </c>
      <c r="P138" t="str">
        <f>IF(UKG!$BL135="Y","USD","")</f>
        <v/>
      </c>
    </row>
    <row r="139" spans="1:16" x14ac:dyDescent="0.2">
      <c r="A139" t="str">
        <f>IF(UKG!$BL136="Y","700","")</f>
        <v/>
      </c>
      <c r="B139" t="str">
        <f>IF(UKG!$BL136="Y","PMT","")</f>
        <v/>
      </c>
      <c r="C139" t="str">
        <f>IF(UKG!$BL136="Y",UKG!D136,"")</f>
        <v/>
      </c>
      <c r="O139" t="str">
        <f>IF(UKG!$BL136="Y",UKG!BE136,"")</f>
        <v/>
      </c>
      <c r="P139" t="str">
        <f>IF(UKG!$BL136="Y","USD","")</f>
        <v/>
      </c>
    </row>
    <row r="140" spans="1:16" x14ac:dyDescent="0.2">
      <c r="A140" t="str">
        <f>IF(UKG!$BL137="Y","700","")</f>
        <v/>
      </c>
      <c r="B140" t="str">
        <f>IF(UKG!$BL137="Y","PMT","")</f>
        <v/>
      </c>
      <c r="C140" t="str">
        <f>IF(UKG!$BL137="Y",UKG!D137,"")</f>
        <v/>
      </c>
      <c r="O140" t="str">
        <f>IF(UKG!$BL137="Y",UKG!BE137,"")</f>
        <v/>
      </c>
      <c r="P140" t="str">
        <f>IF(UKG!$BL137="Y","USD","")</f>
        <v/>
      </c>
    </row>
    <row r="141" spans="1:16" x14ac:dyDescent="0.2">
      <c r="A141" t="str">
        <f>IF(UKG!$BL138="Y","700","")</f>
        <v/>
      </c>
      <c r="B141" t="str">
        <f>IF(UKG!$BL138="Y","PMT","")</f>
        <v/>
      </c>
      <c r="C141" t="str">
        <f>IF(UKG!$BL138="Y",UKG!D138,"")</f>
        <v/>
      </c>
      <c r="O141" t="str">
        <f>IF(UKG!$BL138="Y",UKG!BE138,"")</f>
        <v/>
      </c>
      <c r="P141" t="str">
        <f>IF(UKG!$BL138="Y","USD","")</f>
        <v/>
      </c>
    </row>
    <row r="142" spans="1:16" x14ac:dyDescent="0.2">
      <c r="A142" t="str">
        <f>IF(UKG!$BL139="Y","700","")</f>
        <v/>
      </c>
      <c r="B142" t="str">
        <f>IF(UKG!$BL139="Y","PMT","")</f>
        <v/>
      </c>
      <c r="C142" t="str">
        <f>IF(UKG!$BL139="Y",UKG!D139,"")</f>
        <v/>
      </c>
      <c r="O142" t="str">
        <f>IF(UKG!$BL139="Y",UKG!BE139,"")</f>
        <v/>
      </c>
      <c r="P142" t="str">
        <f>IF(UKG!$BL139="Y","USD","")</f>
        <v/>
      </c>
    </row>
    <row r="143" spans="1:16" x14ac:dyDescent="0.2">
      <c r="A143" t="str">
        <f>IF(UKG!$BL140="Y","700","")</f>
        <v/>
      </c>
      <c r="B143" t="str">
        <f>IF(UKG!$BL140="Y","PMT","")</f>
        <v/>
      </c>
      <c r="C143" t="str">
        <f>IF(UKG!$BL140="Y",UKG!D140,"")</f>
        <v/>
      </c>
      <c r="O143" t="str">
        <f>IF(UKG!$BL140="Y",UKG!BE140,"")</f>
        <v/>
      </c>
      <c r="P143" t="str">
        <f>IF(UKG!$BL140="Y","USD","")</f>
        <v/>
      </c>
    </row>
    <row r="144" spans="1:16" x14ac:dyDescent="0.2">
      <c r="A144" t="str">
        <f>IF(UKG!$BL141="Y","700","")</f>
        <v/>
      </c>
      <c r="B144" t="str">
        <f>IF(UKG!$BL141="Y","PMT","")</f>
        <v/>
      </c>
      <c r="C144" t="str">
        <f>IF(UKG!$BL141="Y",UKG!D141,"")</f>
        <v/>
      </c>
      <c r="O144" t="str">
        <f>IF(UKG!$BL141="Y",UKG!BE141,"")</f>
        <v/>
      </c>
      <c r="P144" t="str">
        <f>IF(UKG!$BL141="Y","USD","")</f>
        <v/>
      </c>
    </row>
    <row r="145" spans="1:16" x14ac:dyDescent="0.2">
      <c r="A145" t="str">
        <f>IF(UKG!$BL142="Y","700","")</f>
        <v/>
      </c>
      <c r="B145" t="str">
        <f>IF(UKG!$BL142="Y","PMT","")</f>
        <v/>
      </c>
      <c r="C145" t="str">
        <f>IF(UKG!$BL142="Y",UKG!D142,"")</f>
        <v/>
      </c>
      <c r="O145" t="str">
        <f>IF(UKG!$BL142="Y",UKG!BE142,"")</f>
        <v/>
      </c>
      <c r="P145" t="str">
        <f>IF(UKG!$BL142="Y","USD","")</f>
        <v/>
      </c>
    </row>
    <row r="146" spans="1:16" x14ac:dyDescent="0.2">
      <c r="A146" t="str">
        <f>IF(UKG!$BL143="Y","700","")</f>
        <v/>
      </c>
      <c r="B146" t="str">
        <f>IF(UKG!$BL143="Y","PMT","")</f>
        <v/>
      </c>
      <c r="C146" t="str">
        <f>IF(UKG!$BL143="Y",UKG!D143,"")</f>
        <v/>
      </c>
      <c r="O146" t="str">
        <f>IF(UKG!$BL143="Y",UKG!BE143,"")</f>
        <v/>
      </c>
      <c r="P146" t="str">
        <f>IF(UKG!$BL143="Y","USD","")</f>
        <v/>
      </c>
    </row>
    <row r="147" spans="1:16" x14ac:dyDescent="0.2">
      <c r="A147" t="str">
        <f>IF(UKG!$BL144="Y","700","")</f>
        <v/>
      </c>
      <c r="B147" t="str">
        <f>IF(UKG!$BL144="Y","PMT","")</f>
        <v/>
      </c>
      <c r="C147" t="str">
        <f>IF(UKG!$BL144="Y",UKG!D144,"")</f>
        <v/>
      </c>
      <c r="O147" t="str">
        <f>IF(UKG!$BL144="Y",UKG!BE144,"")</f>
        <v/>
      </c>
      <c r="P147" t="str">
        <f>IF(UKG!$BL144="Y","USD","")</f>
        <v/>
      </c>
    </row>
    <row r="148" spans="1:16" x14ac:dyDescent="0.2">
      <c r="A148" t="str">
        <f>IF(UKG!$BL145="Y","700","")</f>
        <v/>
      </c>
      <c r="B148" t="str">
        <f>IF(UKG!$BL145="Y","PMT","")</f>
        <v/>
      </c>
      <c r="C148" t="str">
        <f>IF(UKG!$BL145="Y",UKG!D145,"")</f>
        <v/>
      </c>
      <c r="O148" t="str">
        <f>IF(UKG!$BL145="Y",UKG!BE145,"")</f>
        <v/>
      </c>
      <c r="P148" t="str">
        <f>IF(UKG!$BL145="Y","USD","")</f>
        <v/>
      </c>
    </row>
    <row r="149" spans="1:16" x14ac:dyDescent="0.2">
      <c r="A149" t="str">
        <f>IF(UKG!$BL146="Y","700","")</f>
        <v/>
      </c>
      <c r="B149" t="str">
        <f>IF(UKG!$BL146="Y","PMT","")</f>
        <v/>
      </c>
      <c r="C149" t="str">
        <f>IF(UKG!$BL146="Y",UKG!D146,"")</f>
        <v/>
      </c>
      <c r="O149" t="str">
        <f>IF(UKG!$BL146="Y",UKG!BE146,"")</f>
        <v/>
      </c>
      <c r="P149" t="str">
        <f>IF(UKG!$BL146="Y","USD","")</f>
        <v/>
      </c>
    </row>
    <row r="150" spans="1:16" x14ac:dyDescent="0.2">
      <c r="A150" t="str">
        <f>IF(UKG!$BL147="Y","700","")</f>
        <v/>
      </c>
      <c r="B150" t="str">
        <f>IF(UKG!$BL147="Y","PMT","")</f>
        <v/>
      </c>
      <c r="C150" t="str">
        <f>IF(UKG!$BL147="Y",UKG!D147,"")</f>
        <v/>
      </c>
      <c r="O150" t="str">
        <f>IF(UKG!$BL147="Y",UKG!BE147,"")</f>
        <v/>
      </c>
      <c r="P150" t="str">
        <f>IF(UKG!$BL147="Y","USD","")</f>
        <v/>
      </c>
    </row>
    <row r="151" spans="1:16" x14ac:dyDescent="0.2">
      <c r="A151" t="str">
        <f>IF(UKG!$BL148="Y","700","")</f>
        <v/>
      </c>
      <c r="B151" t="str">
        <f>IF(UKG!$BL148="Y","PMT","")</f>
        <v/>
      </c>
      <c r="C151" t="str">
        <f>IF(UKG!$BL148="Y",UKG!D148,"")</f>
        <v/>
      </c>
      <c r="O151" t="str">
        <f>IF(UKG!$BL148="Y",UKG!BE148,"")</f>
        <v/>
      </c>
      <c r="P151" t="str">
        <f>IF(UKG!$BL148="Y","USD","")</f>
        <v/>
      </c>
    </row>
    <row r="152" spans="1:16" x14ac:dyDescent="0.2">
      <c r="A152" t="str">
        <f>IF(UKG!$BL149="Y","700","")</f>
        <v/>
      </c>
      <c r="B152" t="str">
        <f>IF(UKG!$BL149="Y","PMT","")</f>
        <v/>
      </c>
      <c r="C152" t="str">
        <f>IF(UKG!$BL149="Y",UKG!D149,"")</f>
        <v/>
      </c>
      <c r="O152" t="str">
        <f>IF(UKG!$BL149="Y",UKG!BE149,"")</f>
        <v/>
      </c>
      <c r="P152" t="str">
        <f>IF(UKG!$BL149="Y","USD","")</f>
        <v/>
      </c>
    </row>
    <row r="153" spans="1:16" x14ac:dyDescent="0.2">
      <c r="A153" t="str">
        <f>IF(UKG!$BL150="Y","700","")</f>
        <v/>
      </c>
      <c r="B153" t="str">
        <f>IF(UKG!$BL150="Y","PMT","")</f>
        <v/>
      </c>
      <c r="C153" t="str">
        <f>IF(UKG!$BL150="Y",UKG!D150,"")</f>
        <v/>
      </c>
      <c r="O153" t="str">
        <f>IF(UKG!$BL150="Y",UKG!BE150,"")</f>
        <v/>
      </c>
      <c r="P153" t="str">
        <f>IF(UKG!$BL150="Y","USD","")</f>
        <v/>
      </c>
    </row>
    <row r="154" spans="1:16" x14ac:dyDescent="0.2">
      <c r="A154" t="str">
        <f>IF(UKG!$BL151="Y","700","")</f>
        <v/>
      </c>
      <c r="B154" t="str">
        <f>IF(UKG!$BL151="Y","PMT","")</f>
        <v/>
      </c>
      <c r="C154" t="str">
        <f>IF(UKG!$BL151="Y",UKG!D151,"")</f>
        <v/>
      </c>
      <c r="O154" t="str">
        <f>IF(UKG!$BL151="Y",UKG!BE151,"")</f>
        <v/>
      </c>
      <c r="P154" t="str">
        <f>IF(UKG!$BL151="Y","USD","")</f>
        <v/>
      </c>
    </row>
    <row r="155" spans="1:16" x14ac:dyDescent="0.2">
      <c r="A155" t="str">
        <f>IF(UKG!$BL152="Y","700","")</f>
        <v/>
      </c>
      <c r="B155" t="str">
        <f>IF(UKG!$BL152="Y","PMT","")</f>
        <v/>
      </c>
      <c r="C155" t="str">
        <f>IF(UKG!$BL152="Y",UKG!D152,"")</f>
        <v/>
      </c>
      <c r="O155" t="str">
        <f>IF(UKG!$BL152="Y",UKG!BE152,"")</f>
        <v/>
      </c>
      <c r="P155" t="str">
        <f>IF(UKG!$BL152="Y","USD","")</f>
        <v/>
      </c>
    </row>
    <row r="156" spans="1:16" x14ac:dyDescent="0.2">
      <c r="A156" t="str">
        <f>IF(UKG!$BL153="Y","700","")</f>
        <v/>
      </c>
      <c r="B156" t="str">
        <f>IF(UKG!$BL153="Y","PMT","")</f>
        <v/>
      </c>
      <c r="C156" t="str">
        <f>IF(UKG!$BL153="Y",UKG!D153,"")</f>
        <v/>
      </c>
      <c r="O156" t="str">
        <f>IF(UKG!$BL153="Y",UKG!BE153,"")</f>
        <v/>
      </c>
      <c r="P156" t="str">
        <f>IF(UKG!$BL153="Y","USD","")</f>
        <v/>
      </c>
    </row>
    <row r="157" spans="1:16" x14ac:dyDescent="0.2">
      <c r="A157" t="str">
        <f>IF(UKG!$BL154="Y","700","")</f>
        <v/>
      </c>
      <c r="B157" t="str">
        <f>IF(UKG!$BL154="Y","PMT","")</f>
        <v/>
      </c>
      <c r="C157" t="str">
        <f>IF(UKG!$BL154="Y",UKG!D154,"")</f>
        <v/>
      </c>
      <c r="O157" t="str">
        <f>IF(UKG!$BL154="Y",UKG!BE154,"")</f>
        <v/>
      </c>
      <c r="P157" t="str">
        <f>IF(UKG!$BL154="Y","USD","")</f>
        <v/>
      </c>
    </row>
    <row r="158" spans="1:16" x14ac:dyDescent="0.2">
      <c r="A158" t="str">
        <f>IF(UKG!$BL155="Y","700","")</f>
        <v/>
      </c>
      <c r="B158" t="str">
        <f>IF(UKG!$BL155="Y","PMT","")</f>
        <v/>
      </c>
      <c r="C158" t="str">
        <f>IF(UKG!$BL155="Y",UKG!D155,"")</f>
        <v/>
      </c>
      <c r="O158" t="str">
        <f>IF(UKG!$BL155="Y",UKG!BE155,"")</f>
        <v/>
      </c>
      <c r="P158" t="str">
        <f>IF(UKG!$BL155="Y","USD","")</f>
        <v/>
      </c>
    </row>
    <row r="159" spans="1:16" x14ac:dyDescent="0.2">
      <c r="A159" t="str">
        <f>IF(UKG!$BL156="Y","700","")</f>
        <v/>
      </c>
      <c r="B159" t="str">
        <f>IF(UKG!$BL156="Y","PMT","")</f>
        <v/>
      </c>
      <c r="C159" t="str">
        <f>IF(UKG!$BL156="Y",UKG!D156,"")</f>
        <v/>
      </c>
      <c r="O159" t="str">
        <f>IF(UKG!$BL156="Y",UKG!BE156,"")</f>
        <v/>
      </c>
      <c r="P159" t="str">
        <f>IF(UKG!$BL156="Y","USD","")</f>
        <v/>
      </c>
    </row>
    <row r="160" spans="1:16" x14ac:dyDescent="0.2">
      <c r="A160" t="str">
        <f>IF(UKG!$BL157="Y","700","")</f>
        <v/>
      </c>
      <c r="B160" t="str">
        <f>IF(UKG!$BL157="Y","PMT","")</f>
        <v/>
      </c>
      <c r="C160" t="str">
        <f>IF(UKG!$BL157="Y",UKG!D157,"")</f>
        <v/>
      </c>
      <c r="O160" t="str">
        <f>IF(UKG!$BL157="Y",UKG!BE157,"")</f>
        <v/>
      </c>
      <c r="P160" t="str">
        <f>IF(UKG!$BL157="Y","USD","")</f>
        <v/>
      </c>
    </row>
    <row r="161" spans="1:16" x14ac:dyDescent="0.2">
      <c r="A161" t="str">
        <f>IF(UKG!$BL158="Y","700","")</f>
        <v/>
      </c>
      <c r="B161" t="str">
        <f>IF(UKG!$BL158="Y","PMT","")</f>
        <v/>
      </c>
      <c r="C161" t="str">
        <f>IF(UKG!$BL158="Y",UKG!D158,"")</f>
        <v/>
      </c>
      <c r="O161" t="str">
        <f>IF(UKG!$BL158="Y",UKG!BE158,"")</f>
        <v/>
      </c>
      <c r="P161" t="str">
        <f>IF(UKG!$BL158="Y","USD","")</f>
        <v/>
      </c>
    </row>
    <row r="162" spans="1:16" x14ac:dyDescent="0.2">
      <c r="A162" t="str">
        <f>IF(UKG!$BL159="Y","700","")</f>
        <v/>
      </c>
      <c r="B162" t="str">
        <f>IF(UKG!$BL159="Y","PMT","")</f>
        <v/>
      </c>
      <c r="C162" t="str">
        <f>IF(UKG!$BL159="Y",UKG!D159,"")</f>
        <v/>
      </c>
      <c r="O162" t="str">
        <f>IF(UKG!$BL159="Y",UKG!BE159,"")</f>
        <v/>
      </c>
      <c r="P162" t="str">
        <f>IF(UKG!$BL159="Y","USD","")</f>
        <v/>
      </c>
    </row>
    <row r="163" spans="1:16" x14ac:dyDescent="0.2">
      <c r="A163" t="str">
        <f>IF(UKG!$BL160="Y","700","")</f>
        <v/>
      </c>
      <c r="B163" t="str">
        <f>IF(UKG!$BL160="Y","PMT","")</f>
        <v/>
      </c>
      <c r="C163" t="str">
        <f>IF(UKG!$BL160="Y",UKG!D160,"")</f>
        <v/>
      </c>
      <c r="O163" t="str">
        <f>IF(UKG!$BL160="Y",UKG!BE160,"")</f>
        <v/>
      </c>
      <c r="P163" t="str">
        <f>IF(UKG!$BL160="Y","USD","")</f>
        <v/>
      </c>
    </row>
    <row r="164" spans="1:16" x14ac:dyDescent="0.2">
      <c r="A164" t="str">
        <f>IF(UKG!$BL161="Y","700","")</f>
        <v/>
      </c>
      <c r="B164" t="str">
        <f>IF(UKG!$BL161="Y","PMT","")</f>
        <v/>
      </c>
      <c r="C164" t="str">
        <f>IF(UKG!$BL161="Y",UKG!D161,"")</f>
        <v/>
      </c>
      <c r="O164" t="str">
        <f>IF(UKG!$BL161="Y",UKG!BE161,"")</f>
        <v/>
      </c>
      <c r="P164" t="str">
        <f>IF(UKG!$BL161="Y","USD","")</f>
        <v/>
      </c>
    </row>
    <row r="165" spans="1:16" x14ac:dyDescent="0.2">
      <c r="A165" t="str">
        <f>IF(UKG!$BL162="Y","700","")</f>
        <v/>
      </c>
      <c r="B165" t="str">
        <f>IF(UKG!$BL162="Y","PMT","")</f>
        <v/>
      </c>
      <c r="C165" t="str">
        <f>IF(UKG!$BL162="Y",UKG!D162,"")</f>
        <v/>
      </c>
      <c r="O165" t="str">
        <f>IF(UKG!$BL162="Y",UKG!BE162,"")</f>
        <v/>
      </c>
      <c r="P165" t="str">
        <f>IF(UKG!$BL162="Y","USD","")</f>
        <v/>
      </c>
    </row>
    <row r="166" spans="1:16" x14ac:dyDescent="0.2">
      <c r="A166" t="str">
        <f>IF(UKG!$BL163="Y","700","")</f>
        <v/>
      </c>
      <c r="B166" t="str">
        <f>IF(UKG!$BL163="Y","PMT","")</f>
        <v/>
      </c>
      <c r="C166" t="str">
        <f>IF(UKG!$BL163="Y",UKG!D163,"")</f>
        <v/>
      </c>
      <c r="O166" t="str">
        <f>IF(UKG!$BL163="Y",UKG!BE163,"")</f>
        <v/>
      </c>
      <c r="P166" t="str">
        <f>IF(UKG!$BL163="Y","USD","")</f>
        <v/>
      </c>
    </row>
    <row r="167" spans="1:16" x14ac:dyDescent="0.2">
      <c r="A167" t="str">
        <f>IF(UKG!$BL164="Y","700","")</f>
        <v/>
      </c>
      <c r="B167" t="str">
        <f>IF(UKG!$BL164="Y","PMT","")</f>
        <v/>
      </c>
      <c r="C167" t="str">
        <f>IF(UKG!$BL164="Y",UKG!D164,"")</f>
        <v/>
      </c>
      <c r="O167" t="str">
        <f>IF(UKG!$BL164="Y",UKG!BE164,"")</f>
        <v/>
      </c>
      <c r="P167" t="str">
        <f>IF(UKG!$BL164="Y","USD","")</f>
        <v/>
      </c>
    </row>
    <row r="168" spans="1:16" x14ac:dyDescent="0.2">
      <c r="A168" t="str">
        <f>IF(UKG!$BL165="Y","700","")</f>
        <v/>
      </c>
      <c r="B168" t="str">
        <f>IF(UKG!$BL165="Y","PMT","")</f>
        <v/>
      </c>
      <c r="C168" t="str">
        <f>IF(UKG!$BL165="Y",UKG!D165,"")</f>
        <v/>
      </c>
      <c r="O168" t="str">
        <f>IF(UKG!$BL165="Y",UKG!BE165,"")</f>
        <v/>
      </c>
      <c r="P168" t="str">
        <f>IF(UKG!$BL165="Y","USD","")</f>
        <v/>
      </c>
    </row>
    <row r="169" spans="1:16" x14ac:dyDescent="0.2">
      <c r="A169" t="str">
        <f>IF(UKG!$BL166="Y","700","")</f>
        <v/>
      </c>
      <c r="B169" t="str">
        <f>IF(UKG!$BL166="Y","PMT","")</f>
        <v/>
      </c>
      <c r="C169" t="str">
        <f>IF(UKG!$BL166="Y",UKG!D166,"")</f>
        <v/>
      </c>
      <c r="O169" t="str">
        <f>IF(UKG!$BL166="Y",UKG!BE166,"")</f>
        <v/>
      </c>
      <c r="P169" t="str">
        <f>IF(UKG!$BL166="Y","USD","")</f>
        <v/>
      </c>
    </row>
    <row r="170" spans="1:16" x14ac:dyDescent="0.2">
      <c r="A170" t="str">
        <f>IF(UKG!$BL167="Y","700","")</f>
        <v/>
      </c>
      <c r="B170" t="str">
        <f>IF(UKG!$BL167="Y","PMT","")</f>
        <v/>
      </c>
      <c r="C170" t="str">
        <f>IF(UKG!$BL167="Y",UKG!D167,"")</f>
        <v/>
      </c>
      <c r="O170" t="str">
        <f>IF(UKG!$BL167="Y",UKG!BE167,"")</f>
        <v/>
      </c>
      <c r="P170" t="str">
        <f>IF(UKG!$BL167="Y","USD","")</f>
        <v/>
      </c>
    </row>
    <row r="171" spans="1:16" x14ac:dyDescent="0.2">
      <c r="A171" t="str">
        <f>IF(UKG!$BL168="Y","700","")</f>
        <v/>
      </c>
      <c r="B171" t="str">
        <f>IF(UKG!$BL168="Y","PMT","")</f>
        <v/>
      </c>
      <c r="C171" t="str">
        <f>IF(UKG!$BL168="Y",UKG!D168,"")</f>
        <v/>
      </c>
      <c r="O171" t="str">
        <f>IF(UKG!$BL168="Y",UKG!BE168,"")</f>
        <v/>
      </c>
      <c r="P171" t="str">
        <f>IF(UKG!$BL168="Y","USD","")</f>
        <v/>
      </c>
    </row>
    <row r="172" spans="1:16" x14ac:dyDescent="0.2">
      <c r="A172" t="str">
        <f>IF(UKG!$BL169="Y","700","")</f>
        <v/>
      </c>
      <c r="B172" t="str">
        <f>IF(UKG!$BL169="Y","PMT","")</f>
        <v/>
      </c>
      <c r="C172" t="str">
        <f>IF(UKG!$BL169="Y",UKG!D169,"")</f>
        <v/>
      </c>
      <c r="O172" t="str">
        <f>IF(UKG!$BL169="Y",UKG!BE169,"")</f>
        <v/>
      </c>
      <c r="P172" t="str">
        <f>IF(UKG!$BL169="Y","USD","")</f>
        <v/>
      </c>
    </row>
    <row r="173" spans="1:16" x14ac:dyDescent="0.2">
      <c r="A173" t="str">
        <f>IF(UKG!$BL170="Y","700","")</f>
        <v/>
      </c>
      <c r="B173" t="str">
        <f>IF(UKG!$BL170="Y","PMT","")</f>
        <v/>
      </c>
      <c r="C173" t="str">
        <f>IF(UKG!$BL170="Y",UKG!D170,"")</f>
        <v/>
      </c>
      <c r="O173" t="str">
        <f>IF(UKG!$BL170="Y",UKG!BE170,"")</f>
        <v/>
      </c>
      <c r="P173" t="str">
        <f>IF(UKG!$BL170="Y","USD","")</f>
        <v/>
      </c>
    </row>
    <row r="174" spans="1:16" x14ac:dyDescent="0.2">
      <c r="A174" t="str">
        <f>IF(UKG!$BL171="Y","700","")</f>
        <v/>
      </c>
      <c r="B174" t="str">
        <f>IF(UKG!$BL171="Y","PMT","")</f>
        <v/>
      </c>
      <c r="C174" t="str">
        <f>IF(UKG!$BL171="Y",UKG!D171,"")</f>
        <v/>
      </c>
      <c r="O174" t="str">
        <f>IF(UKG!$BL171="Y",UKG!BE171,"")</f>
        <v/>
      </c>
      <c r="P174" t="str">
        <f>IF(UKG!$BL171="Y","USD","")</f>
        <v/>
      </c>
    </row>
    <row r="175" spans="1:16" x14ac:dyDescent="0.2">
      <c r="A175" t="str">
        <f>IF(UKG!$BL172="Y","700","")</f>
        <v/>
      </c>
      <c r="B175" t="str">
        <f>IF(UKG!$BL172="Y","PMT","")</f>
        <v/>
      </c>
      <c r="C175" t="str">
        <f>IF(UKG!$BL172="Y",UKG!D172,"")</f>
        <v/>
      </c>
      <c r="O175" t="str">
        <f>IF(UKG!$BL172="Y",UKG!BE172,"")</f>
        <v/>
      </c>
      <c r="P175" t="str">
        <f>IF(UKG!$BL172="Y","USD","")</f>
        <v/>
      </c>
    </row>
    <row r="176" spans="1:16" x14ac:dyDescent="0.2">
      <c r="A176" t="str">
        <f>IF(UKG!$BL173="Y","700","")</f>
        <v/>
      </c>
      <c r="B176" t="str">
        <f>IF(UKG!$BL173="Y","PMT","")</f>
        <v/>
      </c>
      <c r="C176" t="str">
        <f>IF(UKG!$BL173="Y",UKG!D173,"")</f>
        <v/>
      </c>
      <c r="O176" t="str">
        <f>IF(UKG!$BL173="Y",UKG!BE173,"")</f>
        <v/>
      </c>
      <c r="P176" t="str">
        <f>IF(UKG!$BL173="Y","USD","")</f>
        <v/>
      </c>
    </row>
    <row r="177" spans="1:16" x14ac:dyDescent="0.2">
      <c r="A177" t="str">
        <f>IF(UKG!$BL174="Y","700","")</f>
        <v/>
      </c>
      <c r="B177" t="str">
        <f>IF(UKG!$BL174="Y","PMT","")</f>
        <v/>
      </c>
      <c r="C177" t="str">
        <f>IF(UKG!$BL174="Y",UKG!D174,"")</f>
        <v/>
      </c>
      <c r="O177" t="str">
        <f>IF(UKG!$BL174="Y",UKG!BE174,"")</f>
        <v/>
      </c>
      <c r="P177" t="str">
        <f>IF(UKG!$BL174="Y","USD","")</f>
        <v/>
      </c>
    </row>
    <row r="178" spans="1:16" x14ac:dyDescent="0.2">
      <c r="A178" t="str">
        <f>IF(UKG!$BL175="Y","700","")</f>
        <v/>
      </c>
      <c r="B178" t="str">
        <f>IF(UKG!$BL175="Y","PMT","")</f>
        <v/>
      </c>
      <c r="C178" t="str">
        <f>IF(UKG!$BL175="Y",UKG!D175,"")</f>
        <v/>
      </c>
      <c r="O178" t="str">
        <f>IF(UKG!$BL175="Y",UKG!BE175,"")</f>
        <v/>
      </c>
      <c r="P178" t="str">
        <f>IF(UKG!$BL175="Y","USD","")</f>
        <v/>
      </c>
    </row>
    <row r="179" spans="1:16" x14ac:dyDescent="0.2">
      <c r="A179" t="str">
        <f>IF(UKG!$BL176="Y","700","")</f>
        <v/>
      </c>
      <c r="B179" t="str">
        <f>IF(UKG!$BL176="Y","PMT","")</f>
        <v/>
      </c>
      <c r="C179" t="str">
        <f>IF(UKG!$BL176="Y",UKG!D176,"")</f>
        <v/>
      </c>
      <c r="O179" t="str">
        <f>IF(UKG!$BL176="Y",UKG!BE176,"")</f>
        <v/>
      </c>
      <c r="P179" t="str">
        <f>IF(UKG!$BL176="Y","USD","")</f>
        <v/>
      </c>
    </row>
    <row r="180" spans="1:16" x14ac:dyDescent="0.2">
      <c r="A180" t="str">
        <f>IF(UKG!$BL177="Y","700","")</f>
        <v/>
      </c>
      <c r="B180" t="str">
        <f>IF(UKG!$BL177="Y","PMT","")</f>
        <v/>
      </c>
      <c r="C180" t="str">
        <f>IF(UKG!$BL177="Y",UKG!D177,"")</f>
        <v/>
      </c>
      <c r="O180" t="str">
        <f>IF(UKG!$BL177="Y",UKG!BE177,"")</f>
        <v/>
      </c>
      <c r="P180" t="str">
        <f>IF(UKG!$BL177="Y","USD","")</f>
        <v/>
      </c>
    </row>
    <row r="181" spans="1:16" x14ac:dyDescent="0.2">
      <c r="A181" t="str">
        <f>IF(UKG!$BL178="Y","700","")</f>
        <v/>
      </c>
      <c r="B181" t="str">
        <f>IF(UKG!$BL178="Y","PMT","")</f>
        <v/>
      </c>
      <c r="C181" t="str">
        <f>IF(UKG!$BL178="Y",UKG!D178,"")</f>
        <v/>
      </c>
      <c r="O181" t="str">
        <f>IF(UKG!$BL178="Y",UKG!BE178,"")</f>
        <v/>
      </c>
      <c r="P181" t="str">
        <f>IF(UKG!$BL178="Y","USD","")</f>
        <v/>
      </c>
    </row>
    <row r="182" spans="1:16" x14ac:dyDescent="0.2">
      <c r="A182" t="str">
        <f>IF(UKG!$BL179="Y","700","")</f>
        <v/>
      </c>
      <c r="B182" t="str">
        <f>IF(UKG!$BL179="Y","PMT","")</f>
        <v/>
      </c>
      <c r="C182" t="str">
        <f>IF(UKG!$BL179="Y",UKG!D179,"")</f>
        <v/>
      </c>
      <c r="O182" t="str">
        <f>IF(UKG!$BL179="Y",UKG!BE179,"")</f>
        <v/>
      </c>
      <c r="P182" t="str">
        <f>IF(UKG!$BL179="Y","USD","")</f>
        <v/>
      </c>
    </row>
    <row r="183" spans="1:16" x14ac:dyDescent="0.2">
      <c r="A183" t="str">
        <f>IF(UKG!$BL180="Y","700","")</f>
        <v/>
      </c>
      <c r="B183" t="str">
        <f>IF(UKG!$BL180="Y","PMT","")</f>
        <v/>
      </c>
      <c r="C183" t="str">
        <f>IF(UKG!$BL180="Y",UKG!D180,"")</f>
        <v/>
      </c>
      <c r="O183" t="str">
        <f>IF(UKG!$BL180="Y",UKG!BE180,"")</f>
        <v/>
      </c>
      <c r="P183" t="str">
        <f>IF(UKG!$BL180="Y","USD","")</f>
        <v/>
      </c>
    </row>
    <row r="184" spans="1:16" x14ac:dyDescent="0.2">
      <c r="A184" t="str">
        <f>IF(UKG!$BL181="Y","700","")</f>
        <v/>
      </c>
      <c r="B184" t="str">
        <f>IF(UKG!$BL181="Y","PMT","")</f>
        <v/>
      </c>
      <c r="C184" t="str">
        <f>IF(UKG!$BL181="Y",UKG!D181,"")</f>
        <v/>
      </c>
      <c r="O184" t="str">
        <f>IF(UKG!$BL181="Y",UKG!BE181,"")</f>
        <v/>
      </c>
      <c r="P184" t="str">
        <f>IF(UKG!$BL181="Y","USD","")</f>
        <v/>
      </c>
    </row>
    <row r="185" spans="1:16" x14ac:dyDescent="0.2">
      <c r="A185" t="str">
        <f>IF(UKG!$BL182="Y","700","")</f>
        <v/>
      </c>
      <c r="B185" t="str">
        <f>IF(UKG!$BL182="Y","PMT","")</f>
        <v/>
      </c>
      <c r="C185" t="str">
        <f>IF(UKG!$BL182="Y",UKG!D182,"")</f>
        <v/>
      </c>
      <c r="O185" t="str">
        <f>IF(UKG!$BL182="Y",UKG!BE182,"")</f>
        <v/>
      </c>
      <c r="P185" t="str">
        <f>IF(UKG!$BL182="Y","USD","")</f>
        <v/>
      </c>
    </row>
    <row r="186" spans="1:16" x14ac:dyDescent="0.2">
      <c r="A186" t="str">
        <f>IF(UKG!$BL183="Y","700","")</f>
        <v/>
      </c>
      <c r="B186" t="str">
        <f>IF(UKG!$BL183="Y","PMT","")</f>
        <v/>
      </c>
      <c r="C186" t="str">
        <f>IF(UKG!$BL183="Y",UKG!D183,"")</f>
        <v/>
      </c>
      <c r="O186" t="str">
        <f>IF(UKG!$BL183="Y",UKG!BE183,"")</f>
        <v/>
      </c>
      <c r="P186" t="str">
        <f>IF(UKG!$BL183="Y","USD","")</f>
        <v/>
      </c>
    </row>
    <row r="187" spans="1:16" x14ac:dyDescent="0.2">
      <c r="A187" t="str">
        <f>IF(UKG!$BL184="Y","700","")</f>
        <v/>
      </c>
      <c r="B187" t="str">
        <f>IF(UKG!$BL184="Y","PMT","")</f>
        <v/>
      </c>
      <c r="C187" t="str">
        <f>IF(UKG!$BL184="Y",UKG!D184,"")</f>
        <v/>
      </c>
      <c r="O187" t="str">
        <f>IF(UKG!$BL184="Y",UKG!BE184,"")</f>
        <v/>
      </c>
      <c r="P187" t="str">
        <f>IF(UKG!$BL184="Y","USD","")</f>
        <v/>
      </c>
    </row>
    <row r="188" spans="1:16" x14ac:dyDescent="0.2">
      <c r="A188" t="str">
        <f>IF(UKG!$BL185="Y","700","")</f>
        <v/>
      </c>
      <c r="B188" t="str">
        <f>IF(UKG!$BL185="Y","PMT","")</f>
        <v/>
      </c>
      <c r="C188" t="str">
        <f>IF(UKG!$BL185="Y",UKG!D185,"")</f>
        <v/>
      </c>
      <c r="O188" t="str">
        <f>IF(UKG!$BL185="Y",UKG!BE185,"")</f>
        <v/>
      </c>
      <c r="P188" t="str">
        <f>IF(UKG!$BL185="Y","USD","")</f>
        <v/>
      </c>
    </row>
    <row r="189" spans="1:16" x14ac:dyDescent="0.2">
      <c r="A189" t="str">
        <f>IF(UKG!$BL186="Y","700","")</f>
        <v/>
      </c>
      <c r="B189" t="str">
        <f>IF(UKG!$BL186="Y","PMT","")</f>
        <v/>
      </c>
      <c r="C189" t="str">
        <f>IF(UKG!$BL186="Y",UKG!D186,"")</f>
        <v/>
      </c>
      <c r="O189" t="str">
        <f>IF(UKG!$BL186="Y",UKG!BE186,"")</f>
        <v/>
      </c>
      <c r="P189" t="str">
        <f>IF(UKG!$BL186="Y","USD","")</f>
        <v/>
      </c>
    </row>
    <row r="190" spans="1:16" x14ac:dyDescent="0.2">
      <c r="A190" t="str">
        <f>IF(UKG!$BL187="Y","700","")</f>
        <v/>
      </c>
      <c r="B190" t="str">
        <f>IF(UKG!$BL187="Y","PMT","")</f>
        <v/>
      </c>
      <c r="C190" t="str">
        <f>IF(UKG!$BL187="Y",UKG!D187,"")</f>
        <v/>
      </c>
      <c r="O190" t="str">
        <f>IF(UKG!$BL187="Y",UKG!BE187,"")</f>
        <v/>
      </c>
      <c r="P190" t="str">
        <f>IF(UKG!$BL187="Y","USD","")</f>
        <v/>
      </c>
    </row>
    <row r="191" spans="1:16" x14ac:dyDescent="0.2">
      <c r="A191" t="str">
        <f>IF(UKG!$BL188="Y","700","")</f>
        <v/>
      </c>
      <c r="B191" t="str">
        <f>IF(UKG!$BL188="Y","PMT","")</f>
        <v/>
      </c>
      <c r="C191" t="str">
        <f>IF(UKG!$BL188="Y",UKG!D188,"")</f>
        <v/>
      </c>
      <c r="O191" t="str">
        <f>IF(UKG!$BL188="Y",UKG!BE188,"")</f>
        <v/>
      </c>
      <c r="P191" t="str">
        <f>IF(UKG!$BL188="Y","USD","")</f>
        <v/>
      </c>
    </row>
    <row r="192" spans="1:16" x14ac:dyDescent="0.2">
      <c r="A192" t="str">
        <f>IF(UKG!$BL189="Y","700","")</f>
        <v/>
      </c>
      <c r="B192" t="str">
        <f>IF(UKG!$BL189="Y","PMT","")</f>
        <v/>
      </c>
      <c r="C192" t="str">
        <f>IF(UKG!$BL189="Y",UKG!D189,"")</f>
        <v/>
      </c>
      <c r="O192" t="str">
        <f>IF(UKG!$BL189="Y",UKG!BE189,"")</f>
        <v/>
      </c>
      <c r="P192" t="str">
        <f>IF(UKG!$BL189="Y","USD","")</f>
        <v/>
      </c>
    </row>
    <row r="193" spans="1:16" x14ac:dyDescent="0.2">
      <c r="A193" t="str">
        <f>IF(UKG!$BL190="Y","700","")</f>
        <v/>
      </c>
      <c r="B193" t="str">
        <f>IF(UKG!$BL190="Y","PMT","")</f>
        <v/>
      </c>
      <c r="C193" t="str">
        <f>IF(UKG!$BL190="Y",UKG!D190,"")</f>
        <v/>
      </c>
      <c r="O193" t="str">
        <f>IF(UKG!$BL190="Y",UKG!BE190,"")</f>
        <v/>
      </c>
      <c r="P193" t="str">
        <f>IF(UKG!$BL190="Y","USD","")</f>
        <v/>
      </c>
    </row>
    <row r="194" spans="1:16" x14ac:dyDescent="0.2">
      <c r="A194" t="str">
        <f>IF(UKG!$BL191="Y","700","")</f>
        <v/>
      </c>
      <c r="B194" t="str">
        <f>IF(UKG!$BL191="Y","PMT","")</f>
        <v/>
      </c>
      <c r="C194" t="str">
        <f>IF(UKG!$BL191="Y",UKG!D191,"")</f>
        <v/>
      </c>
      <c r="O194" t="str">
        <f>IF(UKG!$BL191="Y",UKG!BE191,"")</f>
        <v/>
      </c>
      <c r="P194" t="str">
        <f>IF(UKG!$BL191="Y","USD","")</f>
        <v/>
      </c>
    </row>
    <row r="195" spans="1:16" x14ac:dyDescent="0.2">
      <c r="A195" t="str">
        <f>IF(UKG!$BL192="Y","700","")</f>
        <v/>
      </c>
      <c r="B195" t="str">
        <f>IF(UKG!$BL192="Y","PMT","")</f>
        <v/>
      </c>
      <c r="C195" t="str">
        <f>IF(UKG!$BL192="Y",UKG!D192,"")</f>
        <v/>
      </c>
      <c r="O195" t="str">
        <f>IF(UKG!$BL192="Y",UKG!BE192,"")</f>
        <v/>
      </c>
      <c r="P195" t="str">
        <f>IF(UKG!$BL192="Y","USD","")</f>
        <v/>
      </c>
    </row>
    <row r="196" spans="1:16" x14ac:dyDescent="0.2">
      <c r="A196" t="str">
        <f>IF(UKG!$BL193="Y","700","")</f>
        <v/>
      </c>
      <c r="B196" t="str">
        <f>IF(UKG!$BL193="Y","PMT","")</f>
        <v/>
      </c>
      <c r="C196" t="str">
        <f>IF(UKG!$BL193="Y",UKG!D193,"")</f>
        <v/>
      </c>
      <c r="O196" t="str">
        <f>IF(UKG!$BL193="Y",UKG!BE193,"")</f>
        <v/>
      </c>
      <c r="P196" t="str">
        <f>IF(UKG!$BL193="Y","USD","")</f>
        <v/>
      </c>
    </row>
    <row r="197" spans="1:16" x14ac:dyDescent="0.2">
      <c r="A197" t="str">
        <f>IF(UKG!$BL194="Y","700","")</f>
        <v/>
      </c>
      <c r="B197" t="str">
        <f>IF(UKG!$BL194="Y","PMT","")</f>
        <v/>
      </c>
      <c r="C197" t="str">
        <f>IF(UKG!$BL194="Y",UKG!D194,"")</f>
        <v/>
      </c>
      <c r="O197" t="str">
        <f>IF(UKG!$BL194="Y",UKG!BE194,"")</f>
        <v/>
      </c>
      <c r="P197" t="str">
        <f>IF(UKG!$BL194="Y","USD","")</f>
        <v/>
      </c>
    </row>
    <row r="198" spans="1:16" x14ac:dyDescent="0.2">
      <c r="A198" t="str">
        <f>IF(UKG!$BL195="Y","700","")</f>
        <v/>
      </c>
      <c r="B198" t="str">
        <f>IF(UKG!$BL195="Y","PMT","")</f>
        <v/>
      </c>
      <c r="C198" t="str">
        <f>IF(UKG!$BL195="Y",UKG!D195,"")</f>
        <v/>
      </c>
      <c r="O198" t="str">
        <f>IF(UKG!$BL195="Y",UKG!BE195,"")</f>
        <v/>
      </c>
      <c r="P198" t="str">
        <f>IF(UKG!$BL195="Y","USD","")</f>
        <v/>
      </c>
    </row>
    <row r="199" spans="1:16" x14ac:dyDescent="0.2">
      <c r="A199" t="str">
        <f>IF(UKG!$BL196="Y","700","")</f>
        <v/>
      </c>
      <c r="B199" t="str">
        <f>IF(UKG!$BL196="Y","PMT","")</f>
        <v/>
      </c>
      <c r="C199" t="str">
        <f>IF(UKG!$BL196="Y",UKG!D196,"")</f>
        <v/>
      </c>
      <c r="O199" t="str">
        <f>IF(UKG!$BL196="Y",UKG!BE196,"")</f>
        <v/>
      </c>
      <c r="P199" t="str">
        <f>IF(UKG!$BL196="Y","USD","")</f>
        <v/>
      </c>
    </row>
    <row r="200" spans="1:16" x14ac:dyDescent="0.2">
      <c r="A200" t="str">
        <f>IF(UKG!$BL197="Y","700","")</f>
        <v/>
      </c>
      <c r="B200" t="str">
        <f>IF(UKG!$BL197="Y","PMT","")</f>
        <v/>
      </c>
      <c r="C200" t="str">
        <f>IF(UKG!$BL197="Y",UKG!D197,"")</f>
        <v/>
      </c>
      <c r="O200" t="str">
        <f>IF(UKG!$BL197="Y",UKG!BE197,"")</f>
        <v/>
      </c>
      <c r="P200" t="str">
        <f>IF(UKG!$BL197="Y","USD","")</f>
        <v/>
      </c>
    </row>
    <row r="201" spans="1:16" x14ac:dyDescent="0.2">
      <c r="A201" t="str">
        <f>IF(UKG!$BL198="Y","700","")</f>
        <v/>
      </c>
      <c r="B201" t="str">
        <f>IF(UKG!$BL198="Y","PMT","")</f>
        <v/>
      </c>
      <c r="C201" t="str">
        <f>IF(UKG!$BL198="Y",UKG!D198,"")</f>
        <v/>
      </c>
      <c r="O201" t="str">
        <f>IF(UKG!$BL198="Y",UKG!BE198,"")</f>
        <v/>
      </c>
      <c r="P201" t="str">
        <f>IF(UKG!$BL198="Y","USD","")</f>
        <v/>
      </c>
    </row>
    <row r="202" spans="1:16" x14ac:dyDescent="0.2">
      <c r="A202" t="str">
        <f>IF(UKG!$BL199="Y","700","")</f>
        <v/>
      </c>
      <c r="B202" t="str">
        <f>IF(UKG!$BL199="Y","PMT","")</f>
        <v/>
      </c>
      <c r="C202" t="str">
        <f>IF(UKG!$BL199="Y",UKG!D199,"")</f>
        <v/>
      </c>
      <c r="O202" t="str">
        <f>IF(UKG!$BL199="Y",UKG!BE199,"")</f>
        <v/>
      </c>
      <c r="P202" t="str">
        <f>IF(UKG!$BL199="Y","USD","")</f>
        <v/>
      </c>
    </row>
    <row r="203" spans="1:16" x14ac:dyDescent="0.2">
      <c r="A203" t="str">
        <f>IF(UKG!$BL200="Y","700","")</f>
        <v/>
      </c>
      <c r="B203" t="str">
        <f>IF(UKG!$BL200="Y","PMT","")</f>
        <v/>
      </c>
      <c r="C203" t="str">
        <f>IF(UKG!$BL200="Y",UKG!D200,"")</f>
        <v/>
      </c>
      <c r="O203" t="str">
        <f>IF(UKG!$BL200="Y",UKG!BE200,"")</f>
        <v/>
      </c>
      <c r="P203" t="str">
        <f>IF(UKG!$BL200="Y","USD","")</f>
        <v/>
      </c>
    </row>
    <row r="204" spans="1:16" x14ac:dyDescent="0.2">
      <c r="A204" t="str">
        <f>IF(UKG!$BL201="Y","700","")</f>
        <v/>
      </c>
      <c r="B204" t="str">
        <f>IF(UKG!$BL201="Y","PMT","")</f>
        <v/>
      </c>
      <c r="C204" t="str">
        <f>IF(UKG!$BL201="Y",UKG!D201,"")</f>
        <v/>
      </c>
      <c r="O204" t="str">
        <f>IF(UKG!$BL201="Y",UKG!BE201,"")</f>
        <v/>
      </c>
      <c r="P204" t="str">
        <f>IF(UKG!$BL201="Y","USD","")</f>
        <v/>
      </c>
    </row>
    <row r="205" spans="1:16" x14ac:dyDescent="0.2">
      <c r="A205" t="str">
        <f>IF(UKG!$BL202="Y","700","")</f>
        <v/>
      </c>
      <c r="B205" t="str">
        <f>IF(UKG!$BL202="Y","PMT","")</f>
        <v/>
      </c>
      <c r="C205" t="str">
        <f>IF(UKG!$BL202="Y",UKG!D202,"")</f>
        <v/>
      </c>
      <c r="O205" t="str">
        <f>IF(UKG!$BL202="Y",UKG!BE202,"")</f>
        <v/>
      </c>
      <c r="P205" t="str">
        <f>IF(UKG!$BL202="Y","USD","")</f>
        <v/>
      </c>
    </row>
    <row r="206" spans="1:16" x14ac:dyDescent="0.2">
      <c r="A206" t="str">
        <f>IF(UKG!$BL203="Y","700","")</f>
        <v/>
      </c>
      <c r="B206" t="str">
        <f>IF(UKG!$BL203="Y","PMT","")</f>
        <v/>
      </c>
      <c r="C206" t="str">
        <f>IF(UKG!$BL203="Y",UKG!D203,"")</f>
        <v/>
      </c>
      <c r="O206" t="str">
        <f>IF(UKG!$BL203="Y",UKG!BE203,"")</f>
        <v/>
      </c>
      <c r="P206" t="str">
        <f>IF(UKG!$BL203="Y","USD","")</f>
        <v/>
      </c>
    </row>
    <row r="207" spans="1:16" x14ac:dyDescent="0.2">
      <c r="A207" t="str">
        <f>IF(UKG!$BL204="Y","700","")</f>
        <v/>
      </c>
      <c r="B207" t="str">
        <f>IF(UKG!$BL204="Y","PMT","")</f>
        <v/>
      </c>
      <c r="C207" t="str">
        <f>IF(UKG!$BL204="Y",UKG!D204,"")</f>
        <v/>
      </c>
      <c r="O207" t="str">
        <f>IF(UKG!$BL204="Y",UKG!BE204,"")</f>
        <v/>
      </c>
      <c r="P207" t="str">
        <f>IF(UKG!$BL204="Y","USD","")</f>
        <v/>
      </c>
    </row>
    <row r="208" spans="1:16" x14ac:dyDescent="0.2">
      <c r="A208" t="str">
        <f>IF(UKG!$BL205="Y","700","")</f>
        <v/>
      </c>
      <c r="B208" t="str">
        <f>IF(UKG!$BL205="Y","PMT","")</f>
        <v/>
      </c>
      <c r="C208" t="str">
        <f>IF(UKG!$BL205="Y",UKG!D205,"")</f>
        <v/>
      </c>
      <c r="O208" t="str">
        <f>IF(UKG!$BL205="Y",UKG!BE205,"")</f>
        <v/>
      </c>
      <c r="P208" t="str">
        <f>IF(UKG!$BL205="Y","USD","")</f>
        <v/>
      </c>
    </row>
    <row r="209" spans="1:16" x14ac:dyDescent="0.2">
      <c r="A209" t="str">
        <f>IF(UKG!$BL206="Y","700","")</f>
        <v/>
      </c>
      <c r="B209" t="str">
        <f>IF(UKG!$BL206="Y","PMT","")</f>
        <v/>
      </c>
      <c r="C209" t="str">
        <f>IF(UKG!$BL206="Y",UKG!D206,"")</f>
        <v/>
      </c>
      <c r="O209" t="str">
        <f>IF(UKG!$BL206="Y",UKG!BE206,"")</f>
        <v/>
      </c>
      <c r="P209" t="str">
        <f>IF(UKG!$BL206="Y","USD","")</f>
        <v/>
      </c>
    </row>
    <row r="210" spans="1:16" x14ac:dyDescent="0.2">
      <c r="A210" t="str">
        <f>IF(UKG!$BL207="Y","700","")</f>
        <v/>
      </c>
      <c r="B210" t="str">
        <f>IF(UKG!$BL207="Y","PMT","")</f>
        <v/>
      </c>
      <c r="C210" t="str">
        <f>IF(UKG!$BL207="Y",UKG!D207,"")</f>
        <v/>
      </c>
      <c r="O210" t="str">
        <f>IF(UKG!$BL207="Y",UKG!BE207,"")</f>
        <v/>
      </c>
      <c r="P210" t="str">
        <f>IF(UKG!$BL207="Y","USD","")</f>
        <v/>
      </c>
    </row>
    <row r="211" spans="1:16" x14ac:dyDescent="0.2">
      <c r="A211" t="str">
        <f>IF(UKG!$BL208="Y","700","")</f>
        <v/>
      </c>
      <c r="B211" t="str">
        <f>IF(UKG!$BL208="Y","PMT","")</f>
        <v/>
      </c>
      <c r="C211" t="str">
        <f>IF(UKG!$BL208="Y",UKG!D208,"")</f>
        <v/>
      </c>
      <c r="O211" t="str">
        <f>IF(UKG!$BL208="Y",UKG!BE208,"")</f>
        <v/>
      </c>
      <c r="P211" t="str">
        <f>IF(UKG!$BL208="Y","USD","")</f>
        <v/>
      </c>
    </row>
    <row r="212" spans="1:16" x14ac:dyDescent="0.2">
      <c r="A212" t="str">
        <f>IF(UKG!$BL209="Y","700","")</f>
        <v/>
      </c>
      <c r="B212" t="str">
        <f>IF(UKG!$BL209="Y","PMT","")</f>
        <v/>
      </c>
      <c r="C212" t="str">
        <f>IF(UKG!$BL209="Y",UKG!D209,"")</f>
        <v/>
      </c>
      <c r="O212" t="str">
        <f>IF(UKG!$BL209="Y",UKG!BE209,"")</f>
        <v/>
      </c>
      <c r="P212" t="str">
        <f>IF(UKG!$BL209="Y","USD","")</f>
        <v/>
      </c>
    </row>
    <row r="213" spans="1:16" x14ac:dyDescent="0.2">
      <c r="A213" t="str">
        <f>IF(UKG!$BL210="Y","700","")</f>
        <v/>
      </c>
      <c r="B213" t="str">
        <f>IF(UKG!$BL210="Y","PMT","")</f>
        <v/>
      </c>
      <c r="C213" t="str">
        <f>IF(UKG!$BL210="Y",UKG!D210,"")</f>
        <v/>
      </c>
      <c r="O213" t="str">
        <f>IF(UKG!$BL210="Y",UKG!BE210,"")</f>
        <v/>
      </c>
      <c r="P213" t="str">
        <f>IF(UKG!$BL210="Y","USD","")</f>
        <v/>
      </c>
    </row>
    <row r="214" spans="1:16" x14ac:dyDescent="0.2">
      <c r="A214" t="str">
        <f>IF(UKG!$BL211="Y","700","")</f>
        <v/>
      </c>
      <c r="B214" t="str">
        <f>IF(UKG!$BL211="Y","PMT","")</f>
        <v/>
      </c>
      <c r="C214" t="str">
        <f>IF(UKG!$BL211="Y",UKG!D211,"")</f>
        <v/>
      </c>
      <c r="O214" t="str">
        <f>IF(UKG!$BL211="Y",UKG!BE211,"")</f>
        <v/>
      </c>
      <c r="P214" t="str">
        <f>IF(UKG!$BL211="Y","USD","")</f>
        <v/>
      </c>
    </row>
    <row r="215" spans="1:16" x14ac:dyDescent="0.2">
      <c r="A215" t="str">
        <f>IF(UKG!$BL212="Y","700","")</f>
        <v/>
      </c>
      <c r="B215" t="str">
        <f>IF(UKG!$BL212="Y","PMT","")</f>
        <v/>
      </c>
      <c r="C215" t="str">
        <f>IF(UKG!$BL212="Y",UKG!D212,"")</f>
        <v/>
      </c>
      <c r="O215" t="str">
        <f>IF(UKG!$BL212="Y",UKG!BE212,"")</f>
        <v/>
      </c>
      <c r="P215" t="str">
        <f>IF(UKG!$BL212="Y","USD","")</f>
        <v/>
      </c>
    </row>
    <row r="216" spans="1:16" x14ac:dyDescent="0.2">
      <c r="A216" t="str">
        <f>IF(UKG!$BL213="Y","700","")</f>
        <v/>
      </c>
      <c r="B216" t="str">
        <f>IF(UKG!$BL213="Y","PMT","")</f>
        <v/>
      </c>
      <c r="C216" t="str">
        <f>IF(UKG!$BL213="Y",UKG!D213,"")</f>
        <v/>
      </c>
      <c r="O216" t="str">
        <f>IF(UKG!$BL213="Y",UKG!BE213,"")</f>
        <v/>
      </c>
      <c r="P216" t="str">
        <f>IF(UKG!$BL213="Y","USD","")</f>
        <v/>
      </c>
    </row>
    <row r="217" spans="1:16" x14ac:dyDescent="0.2">
      <c r="A217" t="str">
        <f>IF(UKG!$BL214="Y","700","")</f>
        <v/>
      </c>
      <c r="B217" t="str">
        <f>IF(UKG!$BL214="Y","PMT","")</f>
        <v/>
      </c>
      <c r="C217" t="str">
        <f>IF(UKG!$BL214="Y",UKG!D214,"")</f>
        <v/>
      </c>
      <c r="O217" t="str">
        <f>IF(UKG!$BL214="Y",UKG!BE214,"")</f>
        <v/>
      </c>
      <c r="P217" t="str">
        <f>IF(UKG!$BL214="Y","USD","")</f>
        <v/>
      </c>
    </row>
    <row r="218" spans="1:16" x14ac:dyDescent="0.2">
      <c r="A218" t="str">
        <f>IF(UKG!$BL215="Y","700","")</f>
        <v/>
      </c>
      <c r="B218" t="str">
        <f>IF(UKG!$BL215="Y","PMT","")</f>
        <v/>
      </c>
      <c r="C218" t="str">
        <f>IF(UKG!$BL215="Y",UKG!D215,"")</f>
        <v/>
      </c>
      <c r="O218" t="str">
        <f>IF(UKG!$BL215="Y",UKG!BE215,"")</f>
        <v/>
      </c>
      <c r="P218" t="str">
        <f>IF(UKG!$BL215="Y","USD","")</f>
        <v/>
      </c>
    </row>
    <row r="219" spans="1:16" x14ac:dyDescent="0.2">
      <c r="A219" t="str">
        <f>IF(UKG!$BL216="Y","700","")</f>
        <v/>
      </c>
      <c r="B219" t="str">
        <f>IF(UKG!$BL216="Y","PMT","")</f>
        <v/>
      </c>
      <c r="C219" t="str">
        <f>IF(UKG!$BL216="Y",UKG!D216,"")</f>
        <v/>
      </c>
      <c r="O219" t="str">
        <f>IF(UKG!$BL216="Y",UKG!BE216,"")</f>
        <v/>
      </c>
      <c r="P219" t="str">
        <f>IF(UKG!$BL216="Y","USD","")</f>
        <v/>
      </c>
    </row>
    <row r="220" spans="1:16" x14ac:dyDescent="0.2">
      <c r="A220" t="str">
        <f>IF(UKG!$BL217="Y","700","")</f>
        <v/>
      </c>
      <c r="B220" t="str">
        <f>IF(UKG!$BL217="Y","PMT","")</f>
        <v/>
      </c>
      <c r="C220" t="str">
        <f>IF(UKG!$BL217="Y",UKG!D217,"")</f>
        <v/>
      </c>
      <c r="O220" t="str">
        <f>IF(UKG!$BL217="Y",UKG!BE217,"")</f>
        <v/>
      </c>
      <c r="P220" t="str">
        <f>IF(UKG!$BL217="Y","USD","")</f>
        <v/>
      </c>
    </row>
    <row r="221" spans="1:16" x14ac:dyDescent="0.2">
      <c r="A221" t="str">
        <f>IF(UKG!$BL218="Y","700","")</f>
        <v/>
      </c>
      <c r="B221" t="str">
        <f>IF(UKG!$BL218="Y","PMT","")</f>
        <v/>
      </c>
      <c r="C221" t="str">
        <f>IF(UKG!$BL218="Y",UKG!D218,"")</f>
        <v/>
      </c>
      <c r="O221" t="str">
        <f>IF(UKG!$BL218="Y",UKG!BE218,"")</f>
        <v/>
      </c>
      <c r="P221" t="str">
        <f>IF(UKG!$BL218="Y","USD","")</f>
        <v/>
      </c>
    </row>
    <row r="222" spans="1:16" x14ac:dyDescent="0.2">
      <c r="A222" t="str">
        <f>IF(UKG!$BL219="Y","700","")</f>
        <v/>
      </c>
      <c r="B222" t="str">
        <f>IF(UKG!$BL219="Y","PMT","")</f>
        <v/>
      </c>
      <c r="C222" t="str">
        <f>IF(UKG!$BL219="Y",UKG!D219,"")</f>
        <v/>
      </c>
      <c r="O222" t="str">
        <f>IF(UKG!$BL219="Y",UKG!BE219,"")</f>
        <v/>
      </c>
      <c r="P222" t="str">
        <f>IF(UKG!$BL219="Y","USD","")</f>
        <v/>
      </c>
    </row>
    <row r="223" spans="1:16" x14ac:dyDescent="0.2">
      <c r="A223" t="str">
        <f>IF(UKG!$BL220="Y","700","")</f>
        <v/>
      </c>
      <c r="B223" t="str">
        <f>IF(UKG!$BL220="Y","PMT","")</f>
        <v/>
      </c>
      <c r="C223" t="str">
        <f>IF(UKG!$BL220="Y",UKG!D220,"")</f>
        <v/>
      </c>
      <c r="O223" t="str">
        <f>IF(UKG!$BL220="Y",UKG!BE220,"")</f>
        <v/>
      </c>
      <c r="P223" t="str">
        <f>IF(UKG!$BL220="Y","USD","")</f>
        <v/>
      </c>
    </row>
    <row r="224" spans="1:16" x14ac:dyDescent="0.2">
      <c r="A224" t="str">
        <f>IF(UKG!$BL221="Y","700","")</f>
        <v/>
      </c>
      <c r="B224" t="str">
        <f>IF(UKG!$BL221="Y","PMT","")</f>
        <v/>
      </c>
      <c r="C224" t="str">
        <f>IF(UKG!$BL221="Y",UKG!D221,"")</f>
        <v/>
      </c>
      <c r="O224" t="str">
        <f>IF(UKG!$BL221="Y",UKG!BE221,"")</f>
        <v/>
      </c>
      <c r="P224" t="str">
        <f>IF(UKG!$BL221="Y","USD","")</f>
        <v/>
      </c>
    </row>
    <row r="225" spans="1:16" x14ac:dyDescent="0.2">
      <c r="A225" t="str">
        <f>IF(UKG!$BL222="Y","700","")</f>
        <v/>
      </c>
      <c r="B225" t="str">
        <f>IF(UKG!$BL222="Y","PMT","")</f>
        <v/>
      </c>
      <c r="C225" t="str">
        <f>IF(UKG!$BL222="Y",UKG!D222,"")</f>
        <v/>
      </c>
      <c r="O225" t="str">
        <f>IF(UKG!$BL222="Y",UKG!BE222,"")</f>
        <v/>
      </c>
      <c r="P225" t="str">
        <f>IF(UKG!$BL222="Y","USD","")</f>
        <v/>
      </c>
    </row>
    <row r="226" spans="1:16" x14ac:dyDescent="0.2">
      <c r="A226" t="str">
        <f>IF(UKG!$BL223="Y","700","")</f>
        <v/>
      </c>
      <c r="B226" t="str">
        <f>IF(UKG!$BL223="Y","PMT","")</f>
        <v/>
      </c>
      <c r="C226" t="str">
        <f>IF(UKG!$BL223="Y",UKG!D223,"")</f>
        <v/>
      </c>
      <c r="O226" t="str">
        <f>IF(UKG!$BL223="Y",UKG!BE223,"")</f>
        <v/>
      </c>
      <c r="P226" t="str">
        <f>IF(UKG!$BL223="Y","USD","")</f>
        <v/>
      </c>
    </row>
    <row r="227" spans="1:16" x14ac:dyDescent="0.2">
      <c r="A227" t="str">
        <f>IF(UKG!$BL224="Y","700","")</f>
        <v/>
      </c>
      <c r="B227" t="str">
        <f>IF(UKG!$BL224="Y","PMT","")</f>
        <v/>
      </c>
      <c r="C227" t="str">
        <f>IF(UKG!$BL224="Y",UKG!D224,"")</f>
        <v/>
      </c>
      <c r="O227" t="str">
        <f>IF(UKG!$BL224="Y",UKG!BE224,"")</f>
        <v/>
      </c>
      <c r="P227" t="str">
        <f>IF(UKG!$BL224="Y","USD","")</f>
        <v/>
      </c>
    </row>
    <row r="228" spans="1:16" x14ac:dyDescent="0.2">
      <c r="A228" t="str">
        <f>IF(UKG!$BL225="Y","700","")</f>
        <v/>
      </c>
      <c r="B228" t="str">
        <f>IF(UKG!$BL225="Y","PMT","")</f>
        <v/>
      </c>
      <c r="C228" t="str">
        <f>IF(UKG!$BL225="Y",UKG!D225,"")</f>
        <v/>
      </c>
      <c r="O228" t="str">
        <f>IF(UKG!$BL225="Y",UKG!BE225,"")</f>
        <v/>
      </c>
      <c r="P228" t="str">
        <f>IF(UKG!$BL225="Y","USD","")</f>
        <v/>
      </c>
    </row>
    <row r="229" spans="1:16" x14ac:dyDescent="0.2">
      <c r="A229" t="str">
        <f>IF(UKG!$BL226="Y","700","")</f>
        <v/>
      </c>
      <c r="B229" t="str">
        <f>IF(UKG!$BL226="Y","PMT","")</f>
        <v/>
      </c>
      <c r="C229" t="str">
        <f>IF(UKG!$BL226="Y",UKG!D226,"")</f>
        <v/>
      </c>
      <c r="O229" t="str">
        <f>IF(UKG!$BL226="Y",UKG!BE226,"")</f>
        <v/>
      </c>
      <c r="P229" t="str">
        <f>IF(UKG!$BL226="Y","USD","")</f>
        <v/>
      </c>
    </row>
    <row r="230" spans="1:16" x14ac:dyDescent="0.2">
      <c r="A230" t="str">
        <f>IF(UKG!$BL227="Y","700","")</f>
        <v/>
      </c>
      <c r="B230" t="str">
        <f>IF(UKG!$BL227="Y","PMT","")</f>
        <v/>
      </c>
      <c r="C230" t="str">
        <f>IF(UKG!$BL227="Y",UKG!D227,"")</f>
        <v/>
      </c>
      <c r="O230" t="str">
        <f>IF(UKG!$BL227="Y",UKG!BE227,"")</f>
        <v/>
      </c>
      <c r="P230" t="str">
        <f>IF(UKG!$BL227="Y","USD","")</f>
        <v/>
      </c>
    </row>
    <row r="231" spans="1:16" x14ac:dyDescent="0.2">
      <c r="A231" t="str">
        <f>IF(UKG!$BL228="Y","700","")</f>
        <v/>
      </c>
      <c r="B231" t="str">
        <f>IF(UKG!$BL228="Y","PMT","")</f>
        <v/>
      </c>
      <c r="C231" t="str">
        <f>IF(UKG!$BL228="Y",UKG!D228,"")</f>
        <v/>
      </c>
      <c r="O231" t="str">
        <f>IF(UKG!$BL228="Y",UKG!BE228,"")</f>
        <v/>
      </c>
      <c r="P231" t="str">
        <f>IF(UKG!$BL228="Y","USD","")</f>
        <v/>
      </c>
    </row>
    <row r="232" spans="1:16" x14ac:dyDescent="0.2">
      <c r="A232" t="str">
        <f>IF(UKG!$BL229="Y","700","")</f>
        <v/>
      </c>
      <c r="B232" t="str">
        <f>IF(UKG!$BL229="Y","PMT","")</f>
        <v/>
      </c>
      <c r="C232" t="str">
        <f>IF(UKG!$BL229="Y",UKG!D229,"")</f>
        <v/>
      </c>
      <c r="O232" t="str">
        <f>IF(UKG!$BL229="Y",UKG!BE229,"")</f>
        <v/>
      </c>
      <c r="P232" t="str">
        <f>IF(UKG!$BL229="Y","USD","")</f>
        <v/>
      </c>
    </row>
    <row r="233" spans="1:16" x14ac:dyDescent="0.2">
      <c r="A233" t="str">
        <f>IF(UKG!$BL230="Y","700","")</f>
        <v/>
      </c>
      <c r="B233" t="str">
        <f>IF(UKG!$BL230="Y","PMT","")</f>
        <v/>
      </c>
      <c r="C233" t="str">
        <f>IF(UKG!$BL230="Y",UKG!D230,"")</f>
        <v/>
      </c>
      <c r="O233" t="str">
        <f>IF(UKG!$BL230="Y",UKG!BE230,"")</f>
        <v/>
      </c>
      <c r="P233" t="str">
        <f>IF(UKG!$BL230="Y","USD","")</f>
        <v/>
      </c>
    </row>
    <row r="234" spans="1:16" x14ac:dyDescent="0.2">
      <c r="A234" t="str">
        <f>IF(UKG!$BL231="Y","700","")</f>
        <v/>
      </c>
      <c r="B234" t="str">
        <f>IF(UKG!$BL231="Y","PMT","")</f>
        <v/>
      </c>
      <c r="C234" t="str">
        <f>IF(UKG!$BL231="Y",UKG!D231,"")</f>
        <v/>
      </c>
      <c r="O234" t="str">
        <f>IF(UKG!$BL231="Y",UKG!BE231,"")</f>
        <v/>
      </c>
      <c r="P234" t="str">
        <f>IF(UKG!$BL231="Y","USD","")</f>
        <v/>
      </c>
    </row>
    <row r="235" spans="1:16" x14ac:dyDescent="0.2">
      <c r="A235" t="str">
        <f>IF(UKG!$BL232="Y","700","")</f>
        <v/>
      </c>
      <c r="B235" t="str">
        <f>IF(UKG!$BL232="Y","PMT","")</f>
        <v/>
      </c>
      <c r="C235" t="str">
        <f>IF(UKG!$BL232="Y",UKG!D232,"")</f>
        <v/>
      </c>
      <c r="O235" t="str">
        <f>IF(UKG!$BL232="Y",UKG!BE232,"")</f>
        <v/>
      </c>
      <c r="P235" t="str">
        <f>IF(UKG!$BL232="Y","USD","")</f>
        <v/>
      </c>
    </row>
    <row r="236" spans="1:16" x14ac:dyDescent="0.2">
      <c r="A236" t="str">
        <f>IF(UKG!$BL233="Y","700","")</f>
        <v/>
      </c>
      <c r="B236" t="str">
        <f>IF(UKG!$BL233="Y","PMT","")</f>
        <v/>
      </c>
      <c r="C236" t="str">
        <f>IF(UKG!$BL233="Y",UKG!D233,"")</f>
        <v/>
      </c>
      <c r="O236" t="str">
        <f>IF(UKG!$BL233="Y",UKG!BE233,"")</f>
        <v/>
      </c>
      <c r="P236" t="str">
        <f>IF(UKG!$BL233="Y","USD","")</f>
        <v/>
      </c>
    </row>
    <row r="237" spans="1:16" x14ac:dyDescent="0.2">
      <c r="A237" t="str">
        <f>IF(UKG!$BL234="Y","700","")</f>
        <v/>
      </c>
      <c r="B237" t="str">
        <f>IF(UKG!$BL234="Y","PMT","")</f>
        <v/>
      </c>
      <c r="C237" t="str">
        <f>IF(UKG!$BL234="Y",UKG!D234,"")</f>
        <v/>
      </c>
      <c r="O237" t="str">
        <f>IF(UKG!$BL234="Y",UKG!BE234,"")</f>
        <v/>
      </c>
      <c r="P237" t="str">
        <f>IF(UKG!$BL234="Y","USD","")</f>
        <v/>
      </c>
    </row>
    <row r="238" spans="1:16" x14ac:dyDescent="0.2">
      <c r="A238" t="str">
        <f>IF(UKG!$BL235="Y","700","")</f>
        <v/>
      </c>
      <c r="B238" t="str">
        <f>IF(UKG!$BL235="Y","PMT","")</f>
        <v/>
      </c>
      <c r="C238" t="str">
        <f>IF(UKG!$BL235="Y",UKG!D235,"")</f>
        <v/>
      </c>
      <c r="O238" t="str">
        <f>IF(UKG!$BL235="Y",UKG!BE235,"")</f>
        <v/>
      </c>
      <c r="P238" t="str">
        <f>IF(UKG!$BL235="Y","USD","")</f>
        <v/>
      </c>
    </row>
    <row r="239" spans="1:16" x14ac:dyDescent="0.2">
      <c r="A239" t="str">
        <f>IF(UKG!$BL236="Y","700","")</f>
        <v/>
      </c>
      <c r="B239" t="str">
        <f>IF(UKG!$BL236="Y","PMT","")</f>
        <v/>
      </c>
      <c r="C239" t="str">
        <f>IF(UKG!$BL236="Y",UKG!D236,"")</f>
        <v/>
      </c>
      <c r="O239" t="str">
        <f>IF(UKG!$BL236="Y",UKG!BE236,"")</f>
        <v/>
      </c>
      <c r="P239" t="str">
        <f>IF(UKG!$BL236="Y","USD","")</f>
        <v/>
      </c>
    </row>
    <row r="240" spans="1:16" x14ac:dyDescent="0.2">
      <c r="A240" t="str">
        <f>IF(UKG!$BL237="Y","700","")</f>
        <v/>
      </c>
      <c r="B240" t="str">
        <f>IF(UKG!$BL237="Y","PMT","")</f>
        <v/>
      </c>
      <c r="C240" t="str">
        <f>IF(UKG!$BL237="Y",UKG!D237,"")</f>
        <v/>
      </c>
      <c r="O240" t="str">
        <f>IF(UKG!$BL237="Y",UKG!BE237,"")</f>
        <v/>
      </c>
      <c r="P240" t="str">
        <f>IF(UKG!$BL237="Y","USD","")</f>
        <v/>
      </c>
    </row>
    <row r="241" spans="1:16" x14ac:dyDescent="0.2">
      <c r="A241" t="str">
        <f>IF(UKG!$BL238="Y","700","")</f>
        <v/>
      </c>
      <c r="B241" t="str">
        <f>IF(UKG!$BL238="Y","PMT","")</f>
        <v/>
      </c>
      <c r="C241" t="str">
        <f>IF(UKG!$BL238="Y",UKG!D238,"")</f>
        <v/>
      </c>
      <c r="O241" t="str">
        <f>IF(UKG!$BL238="Y",UKG!BE238,"")</f>
        <v/>
      </c>
      <c r="P241" t="str">
        <f>IF(UKG!$BL238="Y","USD","")</f>
        <v/>
      </c>
    </row>
    <row r="242" spans="1:16" x14ac:dyDescent="0.2">
      <c r="A242" t="str">
        <f>IF(UKG!$BL239="Y","700","")</f>
        <v/>
      </c>
      <c r="B242" t="str">
        <f>IF(UKG!$BL239="Y","PMT","")</f>
        <v/>
      </c>
      <c r="C242" t="str">
        <f>IF(UKG!$BL239="Y",UKG!D239,"")</f>
        <v/>
      </c>
      <c r="O242" t="str">
        <f>IF(UKG!$BL239="Y",UKG!BE239,"")</f>
        <v/>
      </c>
      <c r="P242" t="str">
        <f>IF(UKG!$BL239="Y","USD","")</f>
        <v/>
      </c>
    </row>
    <row r="243" spans="1:16" x14ac:dyDescent="0.2">
      <c r="A243" t="str">
        <f>IF(UKG!$BL240="Y","700","")</f>
        <v/>
      </c>
      <c r="B243" t="str">
        <f>IF(UKG!$BL240="Y","PMT","")</f>
        <v/>
      </c>
      <c r="C243" t="str">
        <f>IF(UKG!$BL240="Y",UKG!D240,"")</f>
        <v/>
      </c>
      <c r="O243" t="str">
        <f>IF(UKG!$BL240="Y",UKG!BE240,"")</f>
        <v/>
      </c>
      <c r="P243" t="str">
        <f>IF(UKG!$BL240="Y","USD","")</f>
        <v/>
      </c>
    </row>
    <row r="244" spans="1:16" x14ac:dyDescent="0.2">
      <c r="A244" t="str">
        <f>IF(UKG!$BL241="Y","700","")</f>
        <v/>
      </c>
      <c r="B244" t="str">
        <f>IF(UKG!$BL241="Y","PMT","")</f>
        <v/>
      </c>
      <c r="C244" t="str">
        <f>IF(UKG!$BL241="Y",UKG!D241,"")</f>
        <v/>
      </c>
      <c r="O244" t="str">
        <f>IF(UKG!$BL241="Y",UKG!BE241,"")</f>
        <v/>
      </c>
      <c r="P244" t="str">
        <f>IF(UKG!$BL241="Y","USD","")</f>
        <v/>
      </c>
    </row>
    <row r="245" spans="1:16" x14ac:dyDescent="0.2">
      <c r="A245" t="str">
        <f>IF(UKG!$BL242="Y","700","")</f>
        <v/>
      </c>
      <c r="B245" t="str">
        <f>IF(UKG!$BL242="Y","PMT","")</f>
        <v/>
      </c>
      <c r="C245" t="str">
        <f>IF(UKG!$BL242="Y",UKG!D242,"")</f>
        <v/>
      </c>
      <c r="O245" t="str">
        <f>IF(UKG!$BL242="Y",UKG!BE242,"")</f>
        <v/>
      </c>
      <c r="P245" t="str">
        <f>IF(UKG!$BL242="Y","USD","")</f>
        <v/>
      </c>
    </row>
    <row r="246" spans="1:16" x14ac:dyDescent="0.2">
      <c r="A246" t="str">
        <f>IF(UKG!$BL243="Y","700","")</f>
        <v/>
      </c>
      <c r="B246" t="str">
        <f>IF(UKG!$BL243="Y","PMT","")</f>
        <v/>
      </c>
      <c r="C246" t="str">
        <f>IF(UKG!$BL243="Y",UKG!D243,"")</f>
        <v/>
      </c>
      <c r="O246" t="str">
        <f>IF(UKG!$BL243="Y",UKG!BE243,"")</f>
        <v/>
      </c>
      <c r="P246" t="str">
        <f>IF(UKG!$BL243="Y","USD","")</f>
        <v/>
      </c>
    </row>
    <row r="247" spans="1:16" x14ac:dyDescent="0.2">
      <c r="A247" t="str">
        <f>IF(UKG!$BL244="Y","700","")</f>
        <v/>
      </c>
      <c r="B247" t="str">
        <f>IF(UKG!$BL244="Y","PMT","")</f>
        <v/>
      </c>
      <c r="C247" t="str">
        <f>IF(UKG!$BL244="Y",UKG!D244,"")</f>
        <v/>
      </c>
      <c r="O247" t="str">
        <f>IF(UKG!$BL244="Y",UKG!BE244,"")</f>
        <v/>
      </c>
      <c r="P247" t="str">
        <f>IF(UKG!$BL244="Y","USD","")</f>
        <v/>
      </c>
    </row>
    <row r="248" spans="1:16" x14ac:dyDescent="0.2">
      <c r="A248" t="str">
        <f>IF(UKG!$BL245="Y","700","")</f>
        <v/>
      </c>
      <c r="B248" t="str">
        <f>IF(UKG!$BL245="Y","PMT","")</f>
        <v/>
      </c>
      <c r="C248" t="str">
        <f>IF(UKG!$BL245="Y",UKG!D245,"")</f>
        <v/>
      </c>
      <c r="O248" t="str">
        <f>IF(UKG!$BL245="Y",UKG!BE245,"")</f>
        <v/>
      </c>
      <c r="P248" t="str">
        <f>IF(UKG!$BL245="Y","USD","")</f>
        <v/>
      </c>
    </row>
    <row r="249" spans="1:16" x14ac:dyDescent="0.2">
      <c r="A249" t="str">
        <f>IF(UKG!$BL246="Y","700","")</f>
        <v/>
      </c>
      <c r="B249" t="str">
        <f>IF(UKG!$BL246="Y","PMT","")</f>
        <v/>
      </c>
      <c r="C249" t="str">
        <f>IF(UKG!$BL246="Y",UKG!D246,"")</f>
        <v/>
      </c>
      <c r="O249" t="str">
        <f>IF(UKG!$BL246="Y",UKG!BE246,"")</f>
        <v/>
      </c>
      <c r="P249" t="str">
        <f>IF(UKG!$BL246="Y","USD","")</f>
        <v/>
      </c>
    </row>
    <row r="250" spans="1:16" x14ac:dyDescent="0.2">
      <c r="A250" t="str">
        <f>IF(UKG!$BL247="Y","700","")</f>
        <v/>
      </c>
      <c r="B250" t="str">
        <f>IF(UKG!$BL247="Y","PMT","")</f>
        <v/>
      </c>
      <c r="C250" t="str">
        <f>IF(UKG!$BL247="Y",UKG!D247,"")</f>
        <v/>
      </c>
      <c r="O250" t="str">
        <f>IF(UKG!$BL247="Y",UKG!BE247,"")</f>
        <v/>
      </c>
      <c r="P250" t="str">
        <f>IF(UKG!$BL247="Y","USD","")</f>
        <v/>
      </c>
    </row>
    <row r="251" spans="1:16" x14ac:dyDescent="0.2">
      <c r="A251" t="str">
        <f>IF(UKG!$BL248="Y","700","")</f>
        <v/>
      </c>
      <c r="B251" t="str">
        <f>IF(UKG!$BL248="Y","PMT","")</f>
        <v/>
      </c>
      <c r="C251" t="str">
        <f>IF(UKG!$BL248="Y",UKG!D248,"")</f>
        <v/>
      </c>
      <c r="O251" t="str">
        <f>IF(UKG!$BL248="Y",UKG!BE248,"")</f>
        <v/>
      </c>
      <c r="P251" t="str">
        <f>IF(UKG!$BL248="Y","USD","")</f>
        <v/>
      </c>
    </row>
    <row r="252" spans="1:16" x14ac:dyDescent="0.2">
      <c r="A252" t="str">
        <f>IF(UKG!$BL249="Y","700","")</f>
        <v/>
      </c>
      <c r="B252" t="str">
        <f>IF(UKG!$BL249="Y","PMT","")</f>
        <v/>
      </c>
      <c r="C252" t="str">
        <f>IF(UKG!$BL249="Y",UKG!D249,"")</f>
        <v/>
      </c>
      <c r="O252" t="str">
        <f>IF(UKG!$BL249="Y",UKG!BE249,"")</f>
        <v/>
      </c>
      <c r="P252" t="str">
        <f>IF(UKG!$BL249="Y","USD","")</f>
        <v/>
      </c>
    </row>
    <row r="253" spans="1:16" x14ac:dyDescent="0.2">
      <c r="A253" t="str">
        <f>IF(UKG!$BL250="Y","700","")</f>
        <v/>
      </c>
      <c r="B253" t="str">
        <f>IF(UKG!$BL250="Y","PMT","")</f>
        <v/>
      </c>
      <c r="C253" t="str">
        <f>IF(UKG!$BL250="Y",UKG!D250,"")</f>
        <v/>
      </c>
      <c r="O253" t="str">
        <f>IF(UKG!$BL250="Y",UKG!BE250,"")</f>
        <v/>
      </c>
      <c r="P253" t="str">
        <f>IF(UKG!$BL250="Y","USD","")</f>
        <v/>
      </c>
    </row>
    <row r="254" spans="1:16" x14ac:dyDescent="0.2">
      <c r="A254" t="str">
        <f>IF(UKG!$BL251="Y","700","")</f>
        <v/>
      </c>
      <c r="B254" t="str">
        <f>IF(UKG!$BL251="Y","PMT","")</f>
        <v/>
      </c>
      <c r="C254" t="str">
        <f>IF(UKG!$BL251="Y",UKG!D251,"")</f>
        <v/>
      </c>
      <c r="O254" t="str">
        <f>IF(UKG!$BL251="Y",UKG!BE251,"")</f>
        <v/>
      </c>
      <c r="P254" t="str">
        <f>IF(UKG!$BL251="Y","USD","")</f>
        <v/>
      </c>
    </row>
    <row r="255" spans="1:16" x14ac:dyDescent="0.2">
      <c r="A255" t="str">
        <f>IF(UKG!$BL252="Y","700","")</f>
        <v/>
      </c>
      <c r="B255" t="str">
        <f>IF(UKG!$BL252="Y","PMT","")</f>
        <v/>
      </c>
      <c r="C255" t="str">
        <f>IF(UKG!$BL252="Y",UKG!D252,"")</f>
        <v/>
      </c>
      <c r="O255" t="str">
        <f>IF(UKG!$BL252="Y",UKG!BE252,"")</f>
        <v/>
      </c>
      <c r="P255" t="str">
        <f>IF(UKG!$BL252="Y","USD","")</f>
        <v/>
      </c>
    </row>
    <row r="256" spans="1:16" x14ac:dyDescent="0.2">
      <c r="A256" t="str">
        <f>IF(UKG!$BL253="Y","700","")</f>
        <v/>
      </c>
      <c r="B256" t="str">
        <f>IF(UKG!$BL253="Y","PMT","")</f>
        <v/>
      </c>
      <c r="C256" t="str">
        <f>IF(UKG!$BL253="Y",UKG!D253,"")</f>
        <v/>
      </c>
      <c r="O256" t="str">
        <f>IF(UKG!$BL253="Y",UKG!BE253,"")</f>
        <v/>
      </c>
      <c r="P256" t="str">
        <f>IF(UKG!$BL253="Y","USD","")</f>
        <v/>
      </c>
    </row>
    <row r="257" spans="1:16" x14ac:dyDescent="0.2">
      <c r="A257" t="str">
        <f>IF(UKG!$BL254="Y","700","")</f>
        <v/>
      </c>
      <c r="B257" t="str">
        <f>IF(UKG!$BL254="Y","PMT","")</f>
        <v/>
      </c>
      <c r="C257" t="str">
        <f>IF(UKG!$BL254="Y",UKG!D254,"")</f>
        <v/>
      </c>
      <c r="O257" t="str">
        <f>IF(UKG!$BL254="Y",UKG!BE254,"")</f>
        <v/>
      </c>
      <c r="P257" t="str">
        <f>IF(UKG!$BL254="Y","USD","")</f>
        <v/>
      </c>
    </row>
    <row r="258" spans="1:16" x14ac:dyDescent="0.2">
      <c r="A258" t="str">
        <f>IF(UKG!$BL255="Y","700","")</f>
        <v/>
      </c>
      <c r="B258" t="str">
        <f>IF(UKG!$BL255="Y","PMT","")</f>
        <v/>
      </c>
      <c r="C258" t="str">
        <f>IF(UKG!$BL255="Y",UKG!D255,"")</f>
        <v/>
      </c>
      <c r="O258" t="str">
        <f>IF(UKG!$BL255="Y",UKG!BE255,"")</f>
        <v/>
      </c>
      <c r="P258" t="str">
        <f>IF(UKG!$BL255="Y","USD","")</f>
        <v/>
      </c>
    </row>
    <row r="259" spans="1:16" x14ac:dyDescent="0.2">
      <c r="A259" t="str">
        <f>IF(UKG!$BL256="Y","700","")</f>
        <v/>
      </c>
      <c r="B259" t="str">
        <f>IF(UKG!$BL256="Y","PMT","")</f>
        <v/>
      </c>
      <c r="C259" t="str">
        <f>IF(UKG!$BL256="Y",UKG!D256,"")</f>
        <v/>
      </c>
      <c r="O259" t="str">
        <f>IF(UKG!$BL256="Y",UKG!BE256,"")</f>
        <v/>
      </c>
      <c r="P259" t="str">
        <f>IF(UKG!$BL256="Y","USD","")</f>
        <v/>
      </c>
    </row>
    <row r="260" spans="1:16" x14ac:dyDescent="0.2">
      <c r="A260" t="str">
        <f>IF(UKG!$BL257="Y","700","")</f>
        <v/>
      </c>
      <c r="B260" t="str">
        <f>IF(UKG!$BL257="Y","PMT","")</f>
        <v/>
      </c>
      <c r="C260" t="str">
        <f>IF(UKG!$BL257="Y",UKG!D257,"")</f>
        <v/>
      </c>
      <c r="O260" t="str">
        <f>IF(UKG!$BL257="Y",UKG!BE257,"")</f>
        <v/>
      </c>
      <c r="P260" t="str">
        <f>IF(UKG!$BL257="Y","USD","")</f>
        <v/>
      </c>
    </row>
    <row r="261" spans="1:16" x14ac:dyDescent="0.2">
      <c r="A261" t="str">
        <f>IF(UKG!$BL258="Y","700","")</f>
        <v/>
      </c>
      <c r="B261" t="str">
        <f>IF(UKG!$BL258="Y","PMT","")</f>
        <v/>
      </c>
      <c r="C261" t="str">
        <f>IF(UKG!$BL258="Y",UKG!D258,"")</f>
        <v/>
      </c>
      <c r="O261" t="str">
        <f>IF(UKG!$BL258="Y",UKG!BE258,"")</f>
        <v/>
      </c>
      <c r="P261" t="str">
        <f>IF(UKG!$BL258="Y","USD","")</f>
        <v/>
      </c>
    </row>
    <row r="262" spans="1:16" x14ac:dyDescent="0.2">
      <c r="A262" t="str">
        <f>IF(UKG!$BL259="Y","700","")</f>
        <v/>
      </c>
      <c r="B262" t="str">
        <f>IF(UKG!$BL259="Y","PMT","")</f>
        <v/>
      </c>
      <c r="C262" t="str">
        <f>IF(UKG!$BL259="Y",UKG!D259,"")</f>
        <v/>
      </c>
      <c r="O262" t="str">
        <f>IF(UKG!$BL259="Y",UKG!BE259,"")</f>
        <v/>
      </c>
      <c r="P262" t="str">
        <f>IF(UKG!$BL259="Y","USD","")</f>
        <v/>
      </c>
    </row>
    <row r="263" spans="1:16" x14ac:dyDescent="0.2">
      <c r="A263" t="str">
        <f>IF(UKG!$BL260="Y","700","")</f>
        <v/>
      </c>
      <c r="B263" t="str">
        <f>IF(UKG!$BL260="Y","PMT","")</f>
        <v/>
      </c>
      <c r="C263" t="str">
        <f>IF(UKG!$BL260="Y",UKG!D260,"")</f>
        <v/>
      </c>
      <c r="O263" t="str">
        <f>IF(UKG!$BL260="Y",UKG!BE260,"")</f>
        <v/>
      </c>
      <c r="P263" t="str">
        <f>IF(UKG!$BL260="Y","USD","")</f>
        <v/>
      </c>
    </row>
    <row r="264" spans="1:16" x14ac:dyDescent="0.2">
      <c r="A264" t="str">
        <f>IF(UKG!$BL261="Y","700","")</f>
        <v/>
      </c>
      <c r="B264" t="str">
        <f>IF(UKG!$BL261="Y","PMT","")</f>
        <v/>
      </c>
      <c r="C264" t="str">
        <f>IF(UKG!$BL261="Y",UKG!D261,"")</f>
        <v/>
      </c>
      <c r="O264" t="str">
        <f>IF(UKG!$BL261="Y",UKG!BE261,"")</f>
        <v/>
      </c>
      <c r="P264" t="str">
        <f>IF(UKG!$BL261="Y","USD","")</f>
        <v/>
      </c>
    </row>
    <row r="265" spans="1:16" x14ac:dyDescent="0.2">
      <c r="A265" t="str">
        <f>IF(UKG!$BL262="Y","700","")</f>
        <v/>
      </c>
      <c r="B265" t="str">
        <f>IF(UKG!$BL262="Y","PMT","")</f>
        <v/>
      </c>
      <c r="C265" t="str">
        <f>IF(UKG!$BL262="Y",UKG!D262,"")</f>
        <v/>
      </c>
      <c r="O265" t="str">
        <f>IF(UKG!$BL262="Y",UKG!BE262,"")</f>
        <v/>
      </c>
      <c r="P265" t="str">
        <f>IF(UKG!$BL262="Y","USD","")</f>
        <v/>
      </c>
    </row>
    <row r="266" spans="1:16" x14ac:dyDescent="0.2">
      <c r="A266" t="str">
        <f>IF(UKG!$BL263="Y","700","")</f>
        <v/>
      </c>
      <c r="B266" t="str">
        <f>IF(UKG!$BL263="Y","PMT","")</f>
        <v/>
      </c>
      <c r="C266" t="str">
        <f>IF(UKG!$BL263="Y",UKG!D263,"")</f>
        <v/>
      </c>
      <c r="O266" t="str">
        <f>IF(UKG!$BL263="Y",UKG!BE263,"")</f>
        <v/>
      </c>
      <c r="P266" t="str">
        <f>IF(UKG!$BL263="Y","USD","")</f>
        <v/>
      </c>
    </row>
    <row r="267" spans="1:16" x14ac:dyDescent="0.2">
      <c r="A267" t="str">
        <f>IF(UKG!$BL264="Y","700","")</f>
        <v/>
      </c>
      <c r="B267" t="str">
        <f>IF(UKG!$BL264="Y","PMT","")</f>
        <v/>
      </c>
      <c r="C267" t="str">
        <f>IF(UKG!$BL264="Y",UKG!D264,"")</f>
        <v/>
      </c>
      <c r="O267" t="str">
        <f>IF(UKG!$BL264="Y",UKG!BE264,"")</f>
        <v/>
      </c>
      <c r="P267" t="str">
        <f>IF(UKG!$BL264="Y","USD","")</f>
        <v/>
      </c>
    </row>
    <row r="268" spans="1:16" x14ac:dyDescent="0.2">
      <c r="A268" t="str">
        <f>IF(UKG!$BL265="Y","700","")</f>
        <v/>
      </c>
      <c r="B268" t="str">
        <f>IF(UKG!$BL265="Y","PMT","")</f>
        <v/>
      </c>
      <c r="C268" t="str">
        <f>IF(UKG!$BL265="Y",UKG!D265,"")</f>
        <v/>
      </c>
      <c r="O268" t="str">
        <f>IF(UKG!$BL265="Y",UKG!BE265,"")</f>
        <v/>
      </c>
      <c r="P268" t="str">
        <f>IF(UKG!$BL265="Y","USD","")</f>
        <v/>
      </c>
    </row>
    <row r="269" spans="1:16" x14ac:dyDescent="0.2">
      <c r="A269" t="str">
        <f>IF(UKG!$BL266="Y","700","")</f>
        <v/>
      </c>
      <c r="B269" t="str">
        <f>IF(UKG!$BL266="Y","PMT","")</f>
        <v/>
      </c>
      <c r="C269" t="str">
        <f>IF(UKG!$BL266="Y",UKG!D266,"")</f>
        <v/>
      </c>
      <c r="O269" t="str">
        <f>IF(UKG!$BL266="Y",UKG!BE266,"")</f>
        <v/>
      </c>
      <c r="P269" t="str">
        <f>IF(UKG!$BL266="Y","USD","")</f>
        <v/>
      </c>
    </row>
    <row r="270" spans="1:16" x14ac:dyDescent="0.2">
      <c r="A270" t="str">
        <f>IF(UKG!$BL267="Y","700","")</f>
        <v/>
      </c>
      <c r="B270" t="str">
        <f>IF(UKG!$BL267="Y","PMT","")</f>
        <v/>
      </c>
      <c r="C270" t="str">
        <f>IF(UKG!$BL267="Y",UKG!D267,"")</f>
        <v/>
      </c>
      <c r="O270" t="str">
        <f>IF(UKG!$BL267="Y",UKG!BE267,"")</f>
        <v/>
      </c>
      <c r="P270" t="str">
        <f>IF(UKG!$BL267="Y","USD","")</f>
        <v/>
      </c>
    </row>
    <row r="271" spans="1:16" x14ac:dyDescent="0.2">
      <c r="A271" t="str">
        <f>IF(UKG!$BL268="Y","700","")</f>
        <v/>
      </c>
      <c r="B271" t="str">
        <f>IF(UKG!$BL268="Y","PMT","")</f>
        <v/>
      </c>
      <c r="C271" t="str">
        <f>IF(UKG!$BL268="Y",UKG!D268,"")</f>
        <v/>
      </c>
      <c r="O271" t="str">
        <f>IF(UKG!$BL268="Y",UKG!BE268,"")</f>
        <v/>
      </c>
      <c r="P271" t="str">
        <f>IF(UKG!$BL268="Y","USD","")</f>
        <v/>
      </c>
    </row>
    <row r="272" spans="1:16" x14ac:dyDescent="0.2">
      <c r="A272" t="str">
        <f>IF(UKG!$BL269="Y","700","")</f>
        <v/>
      </c>
      <c r="B272" t="str">
        <f>IF(UKG!$BL269="Y","PMT","")</f>
        <v/>
      </c>
      <c r="C272" t="str">
        <f>IF(UKG!$BL269="Y",UKG!D269,"")</f>
        <v/>
      </c>
      <c r="O272" t="str">
        <f>IF(UKG!$BL269="Y",UKG!BE269,"")</f>
        <v/>
      </c>
      <c r="P272" t="str">
        <f>IF(UKG!$BL269="Y","USD","")</f>
        <v/>
      </c>
    </row>
    <row r="273" spans="1:16" x14ac:dyDescent="0.2">
      <c r="A273" t="str">
        <f>IF(UKG!$BL270="Y","700","")</f>
        <v/>
      </c>
      <c r="B273" t="str">
        <f>IF(UKG!$BL270="Y","PMT","")</f>
        <v/>
      </c>
      <c r="C273" t="str">
        <f>IF(UKG!$BL270="Y",UKG!D270,"")</f>
        <v/>
      </c>
      <c r="O273" t="str">
        <f>IF(UKG!$BL270="Y",UKG!BE270,"")</f>
        <v/>
      </c>
      <c r="P273" t="str">
        <f>IF(UKG!$BL270="Y","USD","")</f>
        <v/>
      </c>
    </row>
    <row r="274" spans="1:16" x14ac:dyDescent="0.2">
      <c r="A274" t="str">
        <f>IF(UKG!$BL271="Y","700","")</f>
        <v/>
      </c>
      <c r="B274" t="str">
        <f>IF(UKG!$BL271="Y","PMT","")</f>
        <v/>
      </c>
      <c r="C274" t="str">
        <f>IF(UKG!$BL271="Y",UKG!D271,"")</f>
        <v/>
      </c>
      <c r="O274" t="str">
        <f>IF(UKG!$BL271="Y",UKG!BE271,"")</f>
        <v/>
      </c>
      <c r="P274" t="str">
        <f>IF(UKG!$BL271="Y","USD","")</f>
        <v/>
      </c>
    </row>
    <row r="275" spans="1:16" x14ac:dyDescent="0.2">
      <c r="A275" t="str">
        <f>IF(UKG!$BL272="Y","700","")</f>
        <v/>
      </c>
      <c r="B275" t="str">
        <f>IF(UKG!$BL272="Y","PMT","")</f>
        <v/>
      </c>
      <c r="C275" t="str">
        <f>IF(UKG!$BL272="Y",UKG!D272,"")</f>
        <v/>
      </c>
      <c r="O275" t="str">
        <f>IF(UKG!$BL272="Y",UKG!BE272,"")</f>
        <v/>
      </c>
      <c r="P275" t="str">
        <f>IF(UKG!$BL272="Y","USD","")</f>
        <v/>
      </c>
    </row>
    <row r="276" spans="1:16" x14ac:dyDescent="0.2">
      <c r="A276" t="str">
        <f>IF(UKG!$BL273="Y","700","")</f>
        <v/>
      </c>
      <c r="B276" t="str">
        <f>IF(UKG!$BL273="Y","PMT","")</f>
        <v/>
      </c>
      <c r="C276" t="str">
        <f>IF(UKG!$BL273="Y",UKG!D273,"")</f>
        <v/>
      </c>
      <c r="O276" t="str">
        <f>IF(UKG!$BL273="Y",UKG!BE273,"")</f>
        <v/>
      </c>
      <c r="P276" t="str">
        <f>IF(UKG!$BL273="Y","USD","")</f>
        <v/>
      </c>
    </row>
    <row r="277" spans="1:16" x14ac:dyDescent="0.2">
      <c r="A277" t="str">
        <f>IF(UKG!$BL274="Y","700","")</f>
        <v/>
      </c>
      <c r="B277" t="str">
        <f>IF(UKG!$BL274="Y","PMT","")</f>
        <v/>
      </c>
      <c r="C277" t="str">
        <f>IF(UKG!$BL274="Y",UKG!D274,"")</f>
        <v/>
      </c>
      <c r="O277" t="str">
        <f>IF(UKG!$BL274="Y",UKG!BE274,"")</f>
        <v/>
      </c>
      <c r="P277" t="str">
        <f>IF(UKG!$BL274="Y","USD","")</f>
        <v/>
      </c>
    </row>
    <row r="278" spans="1:16" x14ac:dyDescent="0.2">
      <c r="A278" t="str">
        <f>IF(UKG!$BL275="Y","700","")</f>
        <v/>
      </c>
      <c r="B278" t="str">
        <f>IF(UKG!$BL275="Y","PMT","")</f>
        <v/>
      </c>
      <c r="C278" t="str">
        <f>IF(UKG!$BL275="Y",UKG!D275,"")</f>
        <v/>
      </c>
      <c r="O278" t="str">
        <f>IF(UKG!$BL275="Y",UKG!BE275,"")</f>
        <v/>
      </c>
      <c r="P278" t="str">
        <f>IF(UKG!$BL275="Y","USD","")</f>
        <v/>
      </c>
    </row>
    <row r="279" spans="1:16" x14ac:dyDescent="0.2">
      <c r="A279" t="str">
        <f>IF(UKG!$BL276="Y","700","")</f>
        <v/>
      </c>
      <c r="B279" t="str">
        <f>IF(UKG!$BL276="Y","PMT","")</f>
        <v/>
      </c>
      <c r="C279" t="str">
        <f>IF(UKG!$BL276="Y",UKG!D276,"")</f>
        <v/>
      </c>
      <c r="O279" t="str">
        <f>IF(UKG!$BL276="Y",UKG!BE276,"")</f>
        <v/>
      </c>
      <c r="P279" t="str">
        <f>IF(UKG!$BL276="Y","USD","")</f>
        <v/>
      </c>
    </row>
    <row r="280" spans="1:16" x14ac:dyDescent="0.2">
      <c r="A280" t="str">
        <f>IF(UKG!$BL277="Y","700","")</f>
        <v/>
      </c>
      <c r="B280" t="str">
        <f>IF(UKG!$BL277="Y","PMT","")</f>
        <v/>
      </c>
      <c r="C280" t="str">
        <f>IF(UKG!$BL277="Y",UKG!D277,"")</f>
        <v/>
      </c>
      <c r="O280" t="str">
        <f>IF(UKG!$BL277="Y",UKG!BE277,"")</f>
        <v/>
      </c>
      <c r="P280" t="str">
        <f>IF(UKG!$BL277="Y","USD","")</f>
        <v/>
      </c>
    </row>
    <row r="281" spans="1:16" x14ac:dyDescent="0.2">
      <c r="A281" t="str">
        <f>IF(UKG!$BL278="Y","700","")</f>
        <v/>
      </c>
      <c r="B281" t="str">
        <f>IF(UKG!$BL278="Y","PMT","")</f>
        <v/>
      </c>
      <c r="C281" t="str">
        <f>IF(UKG!$BL278="Y",UKG!D278,"")</f>
        <v/>
      </c>
      <c r="O281" t="str">
        <f>IF(UKG!$BL278="Y",UKG!BE278,"")</f>
        <v/>
      </c>
      <c r="P281" t="str">
        <f>IF(UKG!$BL278="Y","USD","")</f>
        <v/>
      </c>
    </row>
    <row r="282" spans="1:16" x14ac:dyDescent="0.2">
      <c r="A282" t="str">
        <f>IF(UKG!$BL279="Y","700","")</f>
        <v/>
      </c>
      <c r="B282" t="str">
        <f>IF(UKG!$BL279="Y","PMT","")</f>
        <v/>
      </c>
      <c r="C282" t="str">
        <f>IF(UKG!$BL279="Y",UKG!D279,"")</f>
        <v/>
      </c>
      <c r="O282" t="str">
        <f>IF(UKG!$BL279="Y",UKG!BE279,"")</f>
        <v/>
      </c>
      <c r="P282" t="str">
        <f>IF(UKG!$BL279="Y","USD","")</f>
        <v/>
      </c>
    </row>
    <row r="283" spans="1:16" x14ac:dyDescent="0.2">
      <c r="A283" t="str">
        <f>IF(UKG!$BL280="Y","700","")</f>
        <v/>
      </c>
      <c r="B283" t="str">
        <f>IF(UKG!$BL280="Y","PMT","")</f>
        <v/>
      </c>
      <c r="C283" t="str">
        <f>IF(UKG!$BL280="Y",UKG!D280,"")</f>
        <v/>
      </c>
      <c r="O283" t="str">
        <f>IF(UKG!$BL280="Y",UKG!BE280,"")</f>
        <v/>
      </c>
      <c r="P283" t="str">
        <f>IF(UKG!$BL280="Y","USD","")</f>
        <v/>
      </c>
    </row>
    <row r="284" spans="1:16" x14ac:dyDescent="0.2">
      <c r="A284" t="str">
        <f>IF(UKG!$BL281="Y","700","")</f>
        <v/>
      </c>
      <c r="B284" t="str">
        <f>IF(UKG!$BL281="Y","PMT","")</f>
        <v/>
      </c>
      <c r="C284" t="str">
        <f>IF(UKG!$BL281="Y",UKG!D281,"")</f>
        <v/>
      </c>
      <c r="O284" t="str">
        <f>IF(UKG!$BL281="Y",UKG!BE281,"")</f>
        <v/>
      </c>
      <c r="P284" t="str">
        <f>IF(UKG!$BL281="Y","USD","")</f>
        <v/>
      </c>
    </row>
    <row r="285" spans="1:16" x14ac:dyDescent="0.2">
      <c r="A285" t="str">
        <f>IF(UKG!$BL282="Y","700","")</f>
        <v/>
      </c>
      <c r="B285" t="str">
        <f>IF(UKG!$BL282="Y","PMT","")</f>
        <v/>
      </c>
      <c r="C285" t="str">
        <f>IF(UKG!$BL282="Y",UKG!D282,"")</f>
        <v/>
      </c>
      <c r="O285" t="str">
        <f>IF(UKG!$BL282="Y",UKG!BE282,"")</f>
        <v/>
      </c>
      <c r="P285" t="str">
        <f>IF(UKG!$BL282="Y","USD","")</f>
        <v/>
      </c>
    </row>
    <row r="286" spans="1:16" x14ac:dyDescent="0.2">
      <c r="A286" t="str">
        <f>IF(UKG!$BL283="Y","700","")</f>
        <v/>
      </c>
      <c r="B286" t="str">
        <f>IF(UKG!$BL283="Y","PMT","")</f>
        <v/>
      </c>
      <c r="C286" t="str">
        <f>IF(UKG!$BL283="Y",UKG!D283,"")</f>
        <v/>
      </c>
      <c r="O286" t="str">
        <f>IF(UKG!$BL283="Y",UKG!BE283,"")</f>
        <v/>
      </c>
      <c r="P286" t="str">
        <f>IF(UKG!$BL283="Y","USD","")</f>
        <v/>
      </c>
    </row>
    <row r="287" spans="1:16" x14ac:dyDescent="0.2">
      <c r="A287" t="str">
        <f>IF(UKG!$BL284="Y","700","")</f>
        <v/>
      </c>
      <c r="B287" t="str">
        <f>IF(UKG!$BL284="Y","PMT","")</f>
        <v/>
      </c>
      <c r="C287" t="str">
        <f>IF(UKG!$BL284="Y",UKG!D284,"")</f>
        <v/>
      </c>
      <c r="O287" t="str">
        <f>IF(UKG!$BL284="Y",UKG!BE284,"")</f>
        <v/>
      </c>
      <c r="P287" t="str">
        <f>IF(UKG!$BL284="Y","USD","")</f>
        <v/>
      </c>
    </row>
    <row r="288" spans="1:16" x14ac:dyDescent="0.2">
      <c r="A288" t="str">
        <f>IF(UKG!$BL285="Y","700","")</f>
        <v/>
      </c>
      <c r="B288" t="str">
        <f>IF(UKG!$BL285="Y","PMT","")</f>
        <v/>
      </c>
      <c r="C288" t="str">
        <f>IF(UKG!$BL285="Y",UKG!D285,"")</f>
        <v/>
      </c>
      <c r="O288" t="str">
        <f>IF(UKG!$BL285="Y",UKG!BE285,"")</f>
        <v/>
      </c>
      <c r="P288" t="str">
        <f>IF(UKG!$BL285="Y","USD","")</f>
        <v/>
      </c>
    </row>
    <row r="289" spans="1:16" x14ac:dyDescent="0.2">
      <c r="A289" t="str">
        <f>IF(UKG!$BL286="Y","700","")</f>
        <v/>
      </c>
      <c r="B289" t="str">
        <f>IF(UKG!$BL286="Y","PMT","")</f>
        <v/>
      </c>
      <c r="C289" t="str">
        <f>IF(UKG!$BL286="Y",UKG!D286,"")</f>
        <v/>
      </c>
      <c r="O289" t="str">
        <f>IF(UKG!$BL286="Y",UKG!BE286,"")</f>
        <v/>
      </c>
      <c r="P289" t="str">
        <f>IF(UKG!$BL286="Y","USD","")</f>
        <v/>
      </c>
    </row>
    <row r="290" spans="1:16" x14ac:dyDescent="0.2">
      <c r="A290" t="str">
        <f>IF(UKG!$BL287="Y","700","")</f>
        <v/>
      </c>
      <c r="B290" t="str">
        <f>IF(UKG!$BL287="Y","PMT","")</f>
        <v/>
      </c>
      <c r="C290" t="str">
        <f>IF(UKG!$BL287="Y",UKG!D287,"")</f>
        <v/>
      </c>
      <c r="O290" t="str">
        <f>IF(UKG!$BL287="Y",UKG!BE287,"")</f>
        <v/>
      </c>
      <c r="P290" t="str">
        <f>IF(UKG!$BL287="Y","USD","")</f>
        <v/>
      </c>
    </row>
    <row r="291" spans="1:16" x14ac:dyDescent="0.2">
      <c r="A291" t="str">
        <f>IF(UKG!$BL288="Y","700","")</f>
        <v/>
      </c>
      <c r="B291" t="str">
        <f>IF(UKG!$BL288="Y","PMT","")</f>
        <v/>
      </c>
      <c r="C291" t="str">
        <f>IF(UKG!$BL288="Y",UKG!D288,"")</f>
        <v/>
      </c>
      <c r="O291" t="str">
        <f>IF(UKG!$BL288="Y",UKG!BE288,"")</f>
        <v/>
      </c>
      <c r="P291" t="str">
        <f>IF(UKG!$BL288="Y","USD","")</f>
        <v/>
      </c>
    </row>
    <row r="292" spans="1:16" x14ac:dyDescent="0.2">
      <c r="A292" t="str">
        <f>IF(UKG!$BL289="Y","700","")</f>
        <v/>
      </c>
      <c r="B292" t="str">
        <f>IF(UKG!$BL289="Y","PMT","")</f>
        <v/>
      </c>
      <c r="C292" t="str">
        <f>IF(UKG!$BL289="Y",UKG!D289,"")</f>
        <v/>
      </c>
      <c r="O292" t="str">
        <f>IF(UKG!$BL289="Y",UKG!BE289,"")</f>
        <v/>
      </c>
      <c r="P292" t="str">
        <f>IF(UKG!$BL289="Y","USD","")</f>
        <v/>
      </c>
    </row>
    <row r="293" spans="1:16" x14ac:dyDescent="0.2">
      <c r="A293" t="str">
        <f>IF(UKG!$BL290="Y","700","")</f>
        <v/>
      </c>
      <c r="B293" t="str">
        <f>IF(UKG!$BL290="Y","PMT","")</f>
        <v/>
      </c>
      <c r="C293" t="str">
        <f>IF(UKG!$BL290="Y",UKG!D290,"")</f>
        <v/>
      </c>
      <c r="O293" t="str">
        <f>IF(UKG!$BL290="Y",UKG!BE290,"")</f>
        <v/>
      </c>
      <c r="P293" t="str">
        <f>IF(UKG!$BL290="Y","USD","")</f>
        <v/>
      </c>
    </row>
    <row r="294" spans="1:16" x14ac:dyDescent="0.2">
      <c r="A294" t="str">
        <f>IF(UKG!$BL291="Y","700","")</f>
        <v/>
      </c>
      <c r="B294" t="str">
        <f>IF(UKG!$BL291="Y","PMT","")</f>
        <v/>
      </c>
      <c r="C294" t="str">
        <f>IF(UKG!$BL291="Y",UKG!D291,"")</f>
        <v/>
      </c>
      <c r="O294" t="str">
        <f>IF(UKG!$BL291="Y",UKG!BE291,"")</f>
        <v/>
      </c>
      <c r="P294" t="str">
        <f>IF(UKG!$BL291="Y","USD","")</f>
        <v/>
      </c>
    </row>
    <row r="295" spans="1:16" x14ac:dyDescent="0.2">
      <c r="A295" t="str">
        <f>IF(UKG!$BL292="Y","700","")</f>
        <v/>
      </c>
      <c r="B295" t="str">
        <f>IF(UKG!$BL292="Y","PMT","")</f>
        <v/>
      </c>
      <c r="C295" t="str">
        <f>IF(UKG!$BL292="Y",UKG!D292,"")</f>
        <v/>
      </c>
      <c r="O295" t="str">
        <f>IF(UKG!$BL292="Y",UKG!BE292,"")</f>
        <v/>
      </c>
      <c r="P295" t="str">
        <f>IF(UKG!$BL292="Y","USD","")</f>
        <v/>
      </c>
    </row>
    <row r="296" spans="1:16" x14ac:dyDescent="0.2">
      <c r="A296" t="str">
        <f>IF(UKG!$BL293="Y","700","")</f>
        <v/>
      </c>
      <c r="B296" t="str">
        <f>IF(UKG!$BL293="Y","PMT","")</f>
        <v/>
      </c>
      <c r="C296" t="str">
        <f>IF(UKG!$BL293="Y",UKG!D293,"")</f>
        <v/>
      </c>
      <c r="O296" t="str">
        <f>IF(UKG!$BL293="Y",UKG!BE293,"")</f>
        <v/>
      </c>
      <c r="P296" t="str">
        <f>IF(UKG!$BL293="Y","USD","")</f>
        <v/>
      </c>
    </row>
    <row r="297" spans="1:16" x14ac:dyDescent="0.2">
      <c r="A297" t="str">
        <f>IF(UKG!$BL294="Y","700","")</f>
        <v/>
      </c>
      <c r="B297" t="str">
        <f>IF(UKG!$BL294="Y","PMT","")</f>
        <v/>
      </c>
      <c r="C297" t="str">
        <f>IF(UKG!$BL294="Y",UKG!D294,"")</f>
        <v/>
      </c>
      <c r="O297" t="str">
        <f>IF(UKG!$BL294="Y",UKG!BE294,"")</f>
        <v/>
      </c>
      <c r="P297" t="str">
        <f>IF(UKG!$BL294="Y","USD","")</f>
        <v/>
      </c>
    </row>
    <row r="298" spans="1:16" x14ac:dyDescent="0.2">
      <c r="A298" t="str">
        <f>IF(UKG!$BL295="Y","700","")</f>
        <v/>
      </c>
      <c r="B298" t="str">
        <f>IF(UKG!$BL295="Y","PMT","")</f>
        <v/>
      </c>
      <c r="C298" t="str">
        <f>IF(UKG!$BL295="Y",UKG!D295,"")</f>
        <v/>
      </c>
      <c r="O298" t="str">
        <f>IF(UKG!$BL295="Y",UKG!BE295,"")</f>
        <v/>
      </c>
      <c r="P298" t="str">
        <f>IF(UKG!$BL295="Y","USD","")</f>
        <v/>
      </c>
    </row>
    <row r="299" spans="1:16" x14ac:dyDescent="0.2">
      <c r="A299" t="str">
        <f>IF(UKG!$BL296="Y","700","")</f>
        <v/>
      </c>
      <c r="B299" t="str">
        <f>IF(UKG!$BL296="Y","PMT","")</f>
        <v/>
      </c>
      <c r="C299" t="str">
        <f>IF(UKG!$BL296="Y",UKG!D296,"")</f>
        <v/>
      </c>
      <c r="O299" t="str">
        <f>IF(UKG!$BL296="Y",UKG!BE296,"")</f>
        <v/>
      </c>
      <c r="P299" t="str">
        <f>IF(UKG!$BL296="Y","USD","")</f>
        <v/>
      </c>
    </row>
    <row r="300" spans="1:16" x14ac:dyDescent="0.2">
      <c r="A300" t="str">
        <f>IF(UKG!$BL297="Y","700","")</f>
        <v/>
      </c>
      <c r="B300" t="str">
        <f>IF(UKG!$BL297="Y","PMT","")</f>
        <v/>
      </c>
      <c r="C300" t="str">
        <f>IF(UKG!$BL297="Y",UKG!D297,"")</f>
        <v/>
      </c>
      <c r="O300" t="str">
        <f>IF(UKG!$BL297="Y",UKG!BE297,"")</f>
        <v/>
      </c>
      <c r="P300" t="str">
        <f>IF(UKG!$BL297="Y","USD","")</f>
        <v/>
      </c>
    </row>
    <row r="301" spans="1:16" x14ac:dyDescent="0.2">
      <c r="A301" t="str">
        <f>IF(UKG!$BL298="Y","700","")</f>
        <v/>
      </c>
      <c r="B301" t="str">
        <f>IF(UKG!$BL298="Y","PMT","")</f>
        <v/>
      </c>
      <c r="C301" t="str">
        <f>IF(UKG!$BL298="Y",UKG!D298,"")</f>
        <v/>
      </c>
      <c r="O301" t="str">
        <f>IF(UKG!$BL298="Y",UKG!BE298,"")</f>
        <v/>
      </c>
      <c r="P301" t="str">
        <f>IF(UKG!$BL298="Y","USD","")</f>
        <v/>
      </c>
    </row>
    <row r="302" spans="1:16" x14ac:dyDescent="0.2">
      <c r="A302" t="str">
        <f>IF(UKG!$BL299="Y","700","")</f>
        <v/>
      </c>
      <c r="B302" t="str">
        <f>IF(UKG!$BL299="Y","PMT","")</f>
        <v/>
      </c>
      <c r="C302" t="str">
        <f>IF(UKG!$BL299="Y",UKG!D299,"")</f>
        <v/>
      </c>
      <c r="O302" t="str">
        <f>IF(UKG!$BL299="Y",UKG!BE299,"")</f>
        <v/>
      </c>
      <c r="P302" t="str">
        <f>IF(UKG!$BL299="Y","USD","")</f>
        <v/>
      </c>
    </row>
    <row r="303" spans="1:16" x14ac:dyDescent="0.2">
      <c r="A303" t="str">
        <f>IF(UKG!$BL300="Y","700","")</f>
        <v/>
      </c>
      <c r="B303" t="str">
        <f>IF(UKG!$BL300="Y","PMT","")</f>
        <v/>
      </c>
      <c r="C303" t="str">
        <f>IF(UKG!$BL300="Y",UKG!D300,"")</f>
        <v/>
      </c>
      <c r="O303" t="str">
        <f>IF(UKG!$BL300="Y",UKG!BE300,"")</f>
        <v/>
      </c>
      <c r="P303" t="str">
        <f>IF(UKG!$BL300="Y","USD","")</f>
        <v/>
      </c>
    </row>
    <row r="304" spans="1:16" x14ac:dyDescent="0.2">
      <c r="A304" t="str">
        <f>IF(UKG!$BL301="Y","700","")</f>
        <v/>
      </c>
      <c r="B304" t="str">
        <f>IF(UKG!$BL301="Y","PMT","")</f>
        <v/>
      </c>
      <c r="C304" t="str">
        <f>IF(UKG!$BL301="Y",UKG!D301,"")</f>
        <v/>
      </c>
      <c r="O304" t="str">
        <f>IF(UKG!$BL301="Y",UKG!BE301,"")</f>
        <v/>
      </c>
      <c r="P304" t="str">
        <f>IF(UKG!$BL301="Y","USD","")</f>
        <v/>
      </c>
    </row>
    <row r="305" spans="1:16" x14ac:dyDescent="0.2">
      <c r="A305" t="str">
        <f>IF(UKG!$BL302="Y","700","")</f>
        <v/>
      </c>
      <c r="B305" t="str">
        <f>IF(UKG!$BL302="Y","PMT","")</f>
        <v/>
      </c>
      <c r="C305" t="str">
        <f>IF(UKG!$BL302="Y",UKG!D302,"")</f>
        <v/>
      </c>
      <c r="O305" t="str">
        <f>IF(UKG!$BL302="Y",UKG!BE302,"")</f>
        <v/>
      </c>
      <c r="P305" t="str">
        <f>IF(UKG!$BL302="Y","USD","")</f>
        <v/>
      </c>
    </row>
    <row r="306" spans="1:16" x14ac:dyDescent="0.2">
      <c r="A306" t="str">
        <f>IF(UKG!$BL303="Y","700","")</f>
        <v/>
      </c>
      <c r="B306" t="str">
        <f>IF(UKG!$BL303="Y","PMT","")</f>
        <v/>
      </c>
      <c r="C306" t="str">
        <f>IF(UKG!$BL303="Y",UKG!D303,"")</f>
        <v/>
      </c>
      <c r="O306" t="str">
        <f>IF(UKG!$BL303="Y",UKG!BE303,"")</f>
        <v/>
      </c>
      <c r="P306" t="str">
        <f>IF(UKG!$BL303="Y","USD","")</f>
        <v/>
      </c>
    </row>
    <row r="307" spans="1:16" x14ac:dyDescent="0.2">
      <c r="A307" t="str">
        <f>IF(UKG!$BL304="Y","700","")</f>
        <v/>
      </c>
      <c r="B307" t="str">
        <f>IF(UKG!$BL304="Y","PMT","")</f>
        <v/>
      </c>
      <c r="C307" t="str">
        <f>IF(UKG!$BL304="Y",UKG!D304,"")</f>
        <v/>
      </c>
      <c r="O307" t="str">
        <f>IF(UKG!$BL304="Y",UKG!BE304,"")</f>
        <v/>
      </c>
      <c r="P307" t="str">
        <f>IF(UKG!$BL304="Y","USD","")</f>
        <v/>
      </c>
    </row>
    <row r="308" spans="1:16" x14ac:dyDescent="0.2">
      <c r="A308" t="str">
        <f>IF(UKG!$BL305="Y","700","")</f>
        <v/>
      </c>
      <c r="B308" t="str">
        <f>IF(UKG!$BL305="Y","PMT","")</f>
        <v/>
      </c>
      <c r="C308" t="str">
        <f>IF(UKG!$BL305="Y",UKG!D305,"")</f>
        <v/>
      </c>
      <c r="O308" t="str">
        <f>IF(UKG!$BL305="Y",UKG!BE305,"")</f>
        <v/>
      </c>
      <c r="P308" t="str">
        <f>IF(UKG!$BL305="Y","USD","")</f>
        <v/>
      </c>
    </row>
    <row r="309" spans="1:16" x14ac:dyDescent="0.2">
      <c r="A309" t="str">
        <f>IF(UKG!$BL306="Y","700","")</f>
        <v/>
      </c>
      <c r="B309" t="str">
        <f>IF(UKG!$BL306="Y","PMT","")</f>
        <v/>
      </c>
      <c r="C309" t="str">
        <f>IF(UKG!$BL306="Y",UKG!D306,"")</f>
        <v/>
      </c>
      <c r="O309" t="str">
        <f>IF(UKG!$BL306="Y",UKG!BE306,"")</f>
        <v/>
      </c>
      <c r="P309" t="str">
        <f>IF(UKG!$BL306="Y","USD","")</f>
        <v/>
      </c>
    </row>
    <row r="310" spans="1:16" x14ac:dyDescent="0.2">
      <c r="A310" t="str">
        <f>IF(UKG!$BL307="Y","700","")</f>
        <v/>
      </c>
      <c r="B310" t="str">
        <f>IF(UKG!$BL307="Y","PMT","")</f>
        <v/>
      </c>
      <c r="C310" t="str">
        <f>IF(UKG!$BL307="Y",UKG!D307,"")</f>
        <v/>
      </c>
      <c r="O310" t="str">
        <f>IF(UKG!$BL307="Y",UKG!BE307,"")</f>
        <v/>
      </c>
      <c r="P310" t="str">
        <f>IF(UKG!$BL307="Y","USD","")</f>
        <v/>
      </c>
    </row>
    <row r="311" spans="1:16" x14ac:dyDescent="0.2">
      <c r="A311" t="str">
        <f>IF(UKG!$BL308="Y","700","")</f>
        <v/>
      </c>
      <c r="B311" t="str">
        <f>IF(UKG!$BL308="Y","PMT","")</f>
        <v/>
      </c>
      <c r="C311" t="str">
        <f>IF(UKG!$BL308="Y",UKG!D308,"")</f>
        <v/>
      </c>
      <c r="O311" t="str">
        <f>IF(UKG!$BL308="Y",UKG!BE308,"")</f>
        <v/>
      </c>
      <c r="P311" t="str">
        <f>IF(UKG!$BL308="Y","USD","")</f>
        <v/>
      </c>
    </row>
    <row r="312" spans="1:16" x14ac:dyDescent="0.2">
      <c r="A312" t="str">
        <f>IF(UKG!$BL309="Y","700","")</f>
        <v/>
      </c>
      <c r="B312" t="str">
        <f>IF(UKG!$BL309="Y","PMT","")</f>
        <v/>
      </c>
      <c r="C312" t="str">
        <f>IF(UKG!$BL309="Y",UKG!D309,"")</f>
        <v/>
      </c>
      <c r="O312" t="str">
        <f>IF(UKG!$BL309="Y",UKG!BE309,"")</f>
        <v/>
      </c>
      <c r="P312" t="str">
        <f>IF(UKG!$BL309="Y","USD","")</f>
        <v/>
      </c>
    </row>
    <row r="313" spans="1:16" x14ac:dyDescent="0.2">
      <c r="A313" t="str">
        <f>IF(UKG!$BL310="Y","700","")</f>
        <v/>
      </c>
      <c r="B313" t="str">
        <f>IF(UKG!$BL310="Y","PMT","")</f>
        <v/>
      </c>
      <c r="C313" t="str">
        <f>IF(UKG!$BL310="Y",UKG!D310,"")</f>
        <v/>
      </c>
      <c r="O313" t="str">
        <f>IF(UKG!$BL310="Y",UKG!BE310,"")</f>
        <v/>
      </c>
      <c r="P313" t="str">
        <f>IF(UKG!$BL310="Y","USD","")</f>
        <v/>
      </c>
    </row>
    <row r="314" spans="1:16" x14ac:dyDescent="0.2">
      <c r="A314" t="str">
        <f>IF(UKG!$BL311="Y","700","")</f>
        <v/>
      </c>
      <c r="B314" t="str">
        <f>IF(UKG!$BL311="Y","PMT","")</f>
        <v/>
      </c>
      <c r="C314" t="str">
        <f>IF(UKG!$BL311="Y",UKG!D311,"")</f>
        <v/>
      </c>
      <c r="O314" t="str">
        <f>IF(UKG!$BL311="Y",UKG!BE311,"")</f>
        <v/>
      </c>
      <c r="P314" t="str">
        <f>IF(UKG!$BL311="Y","USD","")</f>
        <v/>
      </c>
    </row>
    <row r="315" spans="1:16" x14ac:dyDescent="0.2">
      <c r="A315" t="str">
        <f>IF(UKG!$BL312="Y","700","")</f>
        <v/>
      </c>
      <c r="B315" t="str">
        <f>IF(UKG!$BL312="Y","PMT","")</f>
        <v/>
      </c>
      <c r="C315" t="str">
        <f>IF(UKG!$BL312="Y",UKG!D312,"")</f>
        <v/>
      </c>
      <c r="O315" t="str">
        <f>IF(UKG!$BL312="Y",UKG!BE312,"")</f>
        <v/>
      </c>
      <c r="P315" t="str">
        <f>IF(UKG!$BL312="Y","USD","")</f>
        <v/>
      </c>
    </row>
    <row r="316" spans="1:16" x14ac:dyDescent="0.2">
      <c r="A316" t="str">
        <f>IF(UKG!$BL313="Y","700","")</f>
        <v/>
      </c>
      <c r="B316" t="str">
        <f>IF(UKG!$BL313="Y","PMT","")</f>
        <v/>
      </c>
      <c r="C316" t="str">
        <f>IF(UKG!$BL313="Y",UKG!D313,"")</f>
        <v/>
      </c>
      <c r="O316" t="str">
        <f>IF(UKG!$BL313="Y",UKG!BE313,"")</f>
        <v/>
      </c>
      <c r="P316" t="str">
        <f>IF(UKG!$BL313="Y","USD","")</f>
        <v/>
      </c>
    </row>
    <row r="317" spans="1:16" x14ac:dyDescent="0.2">
      <c r="A317" t="str">
        <f>IF(UKG!$BL314="Y","700","")</f>
        <v/>
      </c>
      <c r="B317" t="str">
        <f>IF(UKG!$BL314="Y","PMT","")</f>
        <v/>
      </c>
      <c r="C317" t="str">
        <f>IF(UKG!$BL314="Y",UKG!D314,"")</f>
        <v/>
      </c>
      <c r="O317" t="str">
        <f>IF(UKG!$BL314="Y",UKG!BE314,"")</f>
        <v/>
      </c>
      <c r="P317" t="str">
        <f>IF(UKG!$BL314="Y","USD","")</f>
        <v/>
      </c>
    </row>
    <row r="318" spans="1:16" x14ac:dyDescent="0.2">
      <c r="A318" t="str">
        <f>IF(UKG!$BL315="Y","700","")</f>
        <v/>
      </c>
      <c r="B318" t="str">
        <f>IF(UKG!$BL315="Y","PMT","")</f>
        <v/>
      </c>
      <c r="C318" t="str">
        <f>IF(UKG!$BL315="Y",UKG!D315,"")</f>
        <v/>
      </c>
      <c r="O318" t="str">
        <f>IF(UKG!$BL315="Y",UKG!BE315,"")</f>
        <v/>
      </c>
      <c r="P318" t="str">
        <f>IF(UKG!$BL315="Y","USD","")</f>
        <v/>
      </c>
    </row>
    <row r="319" spans="1:16" x14ac:dyDescent="0.2">
      <c r="A319" t="str">
        <f>IF(UKG!$BL316="Y","700","")</f>
        <v/>
      </c>
      <c r="B319" t="str">
        <f>IF(UKG!$BL316="Y","PMT","")</f>
        <v/>
      </c>
      <c r="C319" t="str">
        <f>IF(UKG!$BL316="Y",UKG!D316,"")</f>
        <v/>
      </c>
      <c r="O319" t="str">
        <f>IF(UKG!$BL316="Y",UKG!BE316,"")</f>
        <v/>
      </c>
      <c r="P319" t="str">
        <f>IF(UKG!$BL316="Y","USD","")</f>
        <v/>
      </c>
    </row>
    <row r="320" spans="1:16" x14ac:dyDescent="0.2">
      <c r="A320" t="str">
        <f>IF(UKG!$BL317="Y","700","")</f>
        <v/>
      </c>
      <c r="B320" t="str">
        <f>IF(UKG!$BL317="Y","PMT","")</f>
        <v/>
      </c>
      <c r="C320" t="str">
        <f>IF(UKG!$BL317="Y",UKG!D317,"")</f>
        <v/>
      </c>
      <c r="O320" t="str">
        <f>IF(UKG!$BL317="Y",UKG!BE317,"")</f>
        <v/>
      </c>
      <c r="P320" t="str">
        <f>IF(UKG!$BL317="Y","USD","")</f>
        <v/>
      </c>
    </row>
    <row r="321" spans="1:16" x14ac:dyDescent="0.2">
      <c r="A321" t="str">
        <f>IF(UKG!$BL318="Y","700","")</f>
        <v/>
      </c>
      <c r="B321" t="str">
        <f>IF(UKG!$BL318="Y","PMT","")</f>
        <v/>
      </c>
      <c r="C321" t="str">
        <f>IF(UKG!$BL318="Y",UKG!D318,"")</f>
        <v/>
      </c>
      <c r="O321" t="str">
        <f>IF(UKG!$BL318="Y",UKG!BE318,"")</f>
        <v/>
      </c>
      <c r="P321" t="str">
        <f>IF(UKG!$BL318="Y","USD","")</f>
        <v/>
      </c>
    </row>
    <row r="322" spans="1:16" x14ac:dyDescent="0.2">
      <c r="A322" t="str">
        <f>IF(UKG!$BL319="Y","700","")</f>
        <v/>
      </c>
      <c r="B322" t="str">
        <f>IF(UKG!$BL319="Y","PMT","")</f>
        <v/>
      </c>
      <c r="C322" t="str">
        <f>IF(UKG!$BL319="Y",UKG!D319,"")</f>
        <v/>
      </c>
      <c r="O322" t="str">
        <f>IF(UKG!$BL319="Y",UKG!BE319,"")</f>
        <v/>
      </c>
      <c r="P322" t="str">
        <f>IF(UKG!$BL319="Y","USD","")</f>
        <v/>
      </c>
    </row>
    <row r="323" spans="1:16" x14ac:dyDescent="0.2">
      <c r="A323" t="str">
        <f>IF(UKG!$BL320="Y","700","")</f>
        <v/>
      </c>
      <c r="B323" t="str">
        <f>IF(UKG!$BL320="Y","PMT","")</f>
        <v/>
      </c>
      <c r="C323" t="str">
        <f>IF(UKG!$BL320="Y",UKG!D320,"")</f>
        <v/>
      </c>
      <c r="O323" t="str">
        <f>IF(UKG!$BL320="Y",UKG!BE320,"")</f>
        <v/>
      </c>
      <c r="P323" t="str">
        <f>IF(UKG!$BL320="Y","USD","")</f>
        <v/>
      </c>
    </row>
    <row r="324" spans="1:16" x14ac:dyDescent="0.2">
      <c r="A324" t="str">
        <f>IF(UKG!$BL321="Y","700","")</f>
        <v/>
      </c>
      <c r="B324" t="str">
        <f>IF(UKG!$BL321="Y","PMT","")</f>
        <v/>
      </c>
      <c r="C324" t="str">
        <f>IF(UKG!$BL321="Y",UKG!D321,"")</f>
        <v/>
      </c>
      <c r="O324" t="str">
        <f>IF(UKG!$BL321="Y",UKG!BE321,"")</f>
        <v/>
      </c>
      <c r="P324" t="str">
        <f>IF(UKG!$BL321="Y","USD","")</f>
        <v/>
      </c>
    </row>
    <row r="325" spans="1:16" x14ac:dyDescent="0.2">
      <c r="A325" t="str">
        <f>IF(UKG!$BL322="Y","700","")</f>
        <v/>
      </c>
      <c r="B325" t="str">
        <f>IF(UKG!$BL322="Y","PMT","")</f>
        <v/>
      </c>
      <c r="C325" t="str">
        <f>IF(UKG!$BL322="Y",UKG!D322,"")</f>
        <v/>
      </c>
      <c r="O325" t="str">
        <f>IF(UKG!$BL322="Y",UKG!BE322,"")</f>
        <v/>
      </c>
      <c r="P325" t="str">
        <f>IF(UKG!$BL322="Y","USD","")</f>
        <v/>
      </c>
    </row>
    <row r="326" spans="1:16" x14ac:dyDescent="0.2">
      <c r="A326" t="str">
        <f>IF(UKG!$BL323="Y","700","")</f>
        <v/>
      </c>
      <c r="B326" t="str">
        <f>IF(UKG!$BL323="Y","PMT","")</f>
        <v/>
      </c>
      <c r="C326" t="str">
        <f>IF(UKG!$BL323="Y",UKG!D323,"")</f>
        <v/>
      </c>
      <c r="O326" t="str">
        <f>IF(UKG!$BL323="Y",UKG!BE323,"")</f>
        <v/>
      </c>
      <c r="P326" t="str">
        <f>IF(UKG!$BL323="Y","USD","")</f>
        <v/>
      </c>
    </row>
    <row r="327" spans="1:16" x14ac:dyDescent="0.2">
      <c r="A327" t="str">
        <f>IF(UKG!$BL324="Y","700","")</f>
        <v/>
      </c>
      <c r="B327" t="str">
        <f>IF(UKG!$BL324="Y","PMT","")</f>
        <v/>
      </c>
      <c r="C327" t="str">
        <f>IF(UKG!$BL324="Y",UKG!D324,"")</f>
        <v/>
      </c>
      <c r="O327" t="str">
        <f>IF(UKG!$BL324="Y",UKG!BE324,"")</f>
        <v/>
      </c>
      <c r="P327" t="str">
        <f>IF(UKG!$BL324="Y","USD","")</f>
        <v/>
      </c>
    </row>
    <row r="328" spans="1:16" x14ac:dyDescent="0.2">
      <c r="A328" t="str">
        <f>IF(UKG!$BL325="Y","700","")</f>
        <v/>
      </c>
      <c r="B328" t="str">
        <f>IF(UKG!$BL325="Y","PMT","")</f>
        <v/>
      </c>
      <c r="C328" t="str">
        <f>IF(UKG!$BL325="Y",UKG!D325,"")</f>
        <v/>
      </c>
      <c r="O328" t="str">
        <f>IF(UKG!$BL325="Y",UKG!BE325,"")</f>
        <v/>
      </c>
      <c r="P328" t="str">
        <f>IF(UKG!$BL325="Y","USD","")</f>
        <v/>
      </c>
    </row>
    <row r="329" spans="1:16" x14ac:dyDescent="0.2">
      <c r="A329" t="str">
        <f>IF(UKG!$BL326="Y","700","")</f>
        <v/>
      </c>
      <c r="B329" t="str">
        <f>IF(UKG!$BL326="Y","PMT","")</f>
        <v/>
      </c>
      <c r="C329" t="str">
        <f>IF(UKG!$BL326="Y",UKG!D326,"")</f>
        <v/>
      </c>
      <c r="O329" t="str">
        <f>IF(UKG!$BL326="Y",UKG!BE326,"")</f>
        <v/>
      </c>
      <c r="P329" t="str">
        <f>IF(UKG!$BL326="Y","USD","")</f>
        <v/>
      </c>
    </row>
    <row r="330" spans="1:16" x14ac:dyDescent="0.2">
      <c r="A330" t="str">
        <f>IF(UKG!$BL327="Y","700","")</f>
        <v/>
      </c>
      <c r="B330" t="str">
        <f>IF(UKG!$BL327="Y","PMT","")</f>
        <v/>
      </c>
      <c r="C330" t="str">
        <f>IF(UKG!$BL327="Y",UKG!D327,"")</f>
        <v/>
      </c>
      <c r="O330" t="str">
        <f>IF(UKG!$BL327="Y",UKG!BE327,"")</f>
        <v/>
      </c>
      <c r="P330" t="str">
        <f>IF(UKG!$BL327="Y","USD","")</f>
        <v/>
      </c>
    </row>
    <row r="331" spans="1:16" x14ac:dyDescent="0.2">
      <c r="A331" t="str">
        <f>IF(UKG!$BL328="Y","700","")</f>
        <v/>
      </c>
      <c r="B331" t="str">
        <f>IF(UKG!$BL328="Y","PMT","")</f>
        <v/>
      </c>
      <c r="C331" t="str">
        <f>IF(UKG!$BL328="Y",UKG!D328,"")</f>
        <v/>
      </c>
      <c r="O331" t="str">
        <f>IF(UKG!$BL328="Y",UKG!BE328,"")</f>
        <v/>
      </c>
      <c r="P331" t="str">
        <f>IF(UKG!$BL328="Y","USD","")</f>
        <v/>
      </c>
    </row>
    <row r="332" spans="1:16" x14ac:dyDescent="0.2">
      <c r="A332" t="str">
        <f>IF(UKG!$BL329="Y","700","")</f>
        <v/>
      </c>
      <c r="B332" t="str">
        <f>IF(UKG!$BL329="Y","PMT","")</f>
        <v/>
      </c>
      <c r="C332" t="str">
        <f>IF(UKG!$BL329="Y",UKG!D329,"")</f>
        <v/>
      </c>
      <c r="O332" t="str">
        <f>IF(UKG!$BL329="Y",UKG!BE329,"")</f>
        <v/>
      </c>
      <c r="P332" t="str">
        <f>IF(UKG!$BL329="Y","USD","")</f>
        <v/>
      </c>
    </row>
    <row r="333" spans="1:16" x14ac:dyDescent="0.2">
      <c r="A333" t="str">
        <f>IF(UKG!$BL330="Y","700","")</f>
        <v/>
      </c>
      <c r="B333" t="str">
        <f>IF(UKG!$BL330="Y","PMT","")</f>
        <v/>
      </c>
      <c r="C333" t="str">
        <f>IF(UKG!$BL330="Y",UKG!D330,"")</f>
        <v/>
      </c>
      <c r="O333" t="str">
        <f>IF(UKG!$BL330="Y",UKG!BE330,"")</f>
        <v/>
      </c>
      <c r="P333" t="str">
        <f>IF(UKG!$BL330="Y","USD","")</f>
        <v/>
      </c>
    </row>
    <row r="334" spans="1:16" x14ac:dyDescent="0.2">
      <c r="A334" t="str">
        <f>IF(UKG!$BL331="Y","700","")</f>
        <v/>
      </c>
      <c r="B334" t="str">
        <f>IF(UKG!$BL331="Y","PMT","")</f>
        <v/>
      </c>
      <c r="C334" t="str">
        <f>IF(UKG!$BL331="Y",UKG!D331,"")</f>
        <v/>
      </c>
      <c r="O334" t="str">
        <f>IF(UKG!$BL331="Y",UKG!BE331,"")</f>
        <v/>
      </c>
      <c r="P334" t="str">
        <f>IF(UKG!$BL331="Y","USD","")</f>
        <v/>
      </c>
    </row>
    <row r="335" spans="1:16" x14ac:dyDescent="0.2">
      <c r="A335" t="str">
        <f>IF(UKG!$BL332="Y","700","")</f>
        <v/>
      </c>
      <c r="B335" t="str">
        <f>IF(UKG!$BL332="Y","PMT","")</f>
        <v/>
      </c>
      <c r="C335" t="str">
        <f>IF(UKG!$BL332="Y",UKG!D332,"")</f>
        <v/>
      </c>
      <c r="O335" t="str">
        <f>IF(UKG!$BL332="Y",UKG!BE332,"")</f>
        <v/>
      </c>
      <c r="P335" t="str">
        <f>IF(UKG!$BL332="Y","USD","")</f>
        <v/>
      </c>
    </row>
    <row r="336" spans="1:16" x14ac:dyDescent="0.2">
      <c r="A336" t="str">
        <f>IF(UKG!$BL333="Y","700","")</f>
        <v/>
      </c>
      <c r="B336" t="str">
        <f>IF(UKG!$BL333="Y","PMT","")</f>
        <v/>
      </c>
      <c r="C336" t="str">
        <f>IF(UKG!$BL333="Y",UKG!D333,"")</f>
        <v/>
      </c>
      <c r="O336" t="str">
        <f>IF(UKG!$BL333="Y",UKG!BE333,"")</f>
        <v/>
      </c>
      <c r="P336" t="str">
        <f>IF(UKG!$BL333="Y","USD","")</f>
        <v/>
      </c>
    </row>
    <row r="337" spans="1:16" x14ac:dyDescent="0.2">
      <c r="A337" t="str">
        <f>IF(UKG!$BL334="Y","700","")</f>
        <v/>
      </c>
      <c r="B337" t="str">
        <f>IF(UKG!$BL334="Y","PMT","")</f>
        <v/>
      </c>
      <c r="C337" t="str">
        <f>IF(UKG!$BL334="Y",UKG!D334,"")</f>
        <v/>
      </c>
      <c r="O337" t="str">
        <f>IF(UKG!$BL334="Y",UKG!BE334,"")</f>
        <v/>
      </c>
      <c r="P337" t="str">
        <f>IF(UKG!$BL334="Y","USD","")</f>
        <v/>
      </c>
    </row>
    <row r="338" spans="1:16" x14ac:dyDescent="0.2">
      <c r="A338" t="str">
        <f>IF(UKG!$BL335="Y","700","")</f>
        <v/>
      </c>
      <c r="B338" t="str">
        <f>IF(UKG!$BL335="Y","PMT","")</f>
        <v/>
      </c>
      <c r="C338" t="str">
        <f>IF(UKG!$BL335="Y",UKG!D335,"")</f>
        <v/>
      </c>
      <c r="O338" t="str">
        <f>IF(UKG!$BL335="Y",UKG!BE335,"")</f>
        <v/>
      </c>
      <c r="P338" t="str">
        <f>IF(UKG!$BL335="Y","USD","")</f>
        <v/>
      </c>
    </row>
    <row r="339" spans="1:16" x14ac:dyDescent="0.2">
      <c r="A339" t="str">
        <f>IF(UKG!$BL336="Y","700","")</f>
        <v/>
      </c>
      <c r="B339" t="str">
        <f>IF(UKG!$BL336="Y","PMT","")</f>
        <v/>
      </c>
      <c r="C339" t="str">
        <f>IF(UKG!$BL336="Y",UKG!D336,"")</f>
        <v/>
      </c>
      <c r="O339" t="str">
        <f>IF(UKG!$BL336="Y",UKG!BE336,"")</f>
        <v/>
      </c>
      <c r="P339" t="str">
        <f>IF(UKG!$BL336="Y","USD","")</f>
        <v/>
      </c>
    </row>
    <row r="340" spans="1:16" x14ac:dyDescent="0.2">
      <c r="A340" t="str">
        <f>IF(UKG!$BL337="Y","700","")</f>
        <v/>
      </c>
      <c r="B340" t="str">
        <f>IF(UKG!$BL337="Y","PMT","")</f>
        <v/>
      </c>
      <c r="C340" t="str">
        <f>IF(UKG!$BL337="Y",UKG!D337,"")</f>
        <v/>
      </c>
      <c r="O340" t="str">
        <f>IF(UKG!$BL337="Y",UKG!BE337,"")</f>
        <v/>
      </c>
      <c r="P340" t="str">
        <f>IF(UKG!$BL337="Y","USD","")</f>
        <v/>
      </c>
    </row>
    <row r="341" spans="1:16" x14ac:dyDescent="0.2">
      <c r="A341" t="str">
        <f>IF(UKG!$BL338="Y","700","")</f>
        <v>700</v>
      </c>
      <c r="B341" t="str">
        <f>IF(UKG!$BL338="Y","PMT","")</f>
        <v>PMT</v>
      </c>
      <c r="C341" t="str">
        <f>IF(UKG!$BL338="Y",UKG!D338,"")</f>
        <v>213174</v>
      </c>
      <c r="O341">
        <f>IF(UKG!$BL338="Y",UKG!BE338,"")</f>
        <v>1000000</v>
      </c>
      <c r="P341" t="str">
        <f>IF(UKG!$BL338="Y","USD","")</f>
        <v>USD</v>
      </c>
    </row>
    <row r="342" spans="1:16" x14ac:dyDescent="0.2">
      <c r="A342" t="str">
        <f>IF(UKG!$BL339="Y","700","")</f>
        <v/>
      </c>
      <c r="B342" t="str">
        <f>IF(UKG!$BL339="Y","PMT","")</f>
        <v/>
      </c>
      <c r="C342" t="str">
        <f>IF(UKG!$BL339="Y",UKG!D339,"")</f>
        <v/>
      </c>
      <c r="O342" t="str">
        <f>IF(UKG!$BL339="Y",UKG!BE339,"")</f>
        <v/>
      </c>
      <c r="P342" t="str">
        <f>IF(UKG!$BL339="Y","USD","")</f>
        <v/>
      </c>
    </row>
    <row r="343" spans="1:16" x14ac:dyDescent="0.2">
      <c r="A343" t="str">
        <f>IF(UKG!$BL340="Y","700","")</f>
        <v/>
      </c>
      <c r="B343" t="str">
        <f>IF(UKG!$BL340="Y","PMT","")</f>
        <v/>
      </c>
      <c r="C343" t="str">
        <f>IF(UKG!$BL340="Y",UKG!D340,"")</f>
        <v/>
      </c>
      <c r="O343" t="str">
        <f>IF(UKG!$BL340="Y",UKG!BE340,"")</f>
        <v/>
      </c>
      <c r="P343" t="str">
        <f>IF(UKG!$BL340="Y","USD","")</f>
        <v/>
      </c>
    </row>
    <row r="344" spans="1:16" x14ac:dyDescent="0.2">
      <c r="A344" t="str">
        <f>IF(UKG!$BL341="Y","700","")</f>
        <v/>
      </c>
      <c r="B344" t="str">
        <f>IF(UKG!$BL341="Y","PMT","")</f>
        <v/>
      </c>
      <c r="C344" t="str">
        <f>IF(UKG!$BL341="Y",UKG!D341,"")</f>
        <v/>
      </c>
      <c r="O344" t="str">
        <f>IF(UKG!$BL341="Y",UKG!BE341,"")</f>
        <v/>
      </c>
      <c r="P344" t="str">
        <f>IF(UKG!$BL341="Y","USD","")</f>
        <v/>
      </c>
    </row>
    <row r="345" spans="1:16" x14ac:dyDescent="0.2">
      <c r="A345" t="str">
        <f>IF(UKG!$BL342="Y","700","")</f>
        <v/>
      </c>
      <c r="B345" t="str">
        <f>IF(UKG!$BL342="Y","PMT","")</f>
        <v/>
      </c>
      <c r="C345" t="str">
        <f>IF(UKG!$BL342="Y",UKG!D342,"")</f>
        <v/>
      </c>
      <c r="O345" t="str">
        <f>IF(UKG!$BL342="Y",UKG!BE342,"")</f>
        <v/>
      </c>
      <c r="P345" t="str">
        <f>IF(UKG!$BL342="Y","USD","")</f>
        <v/>
      </c>
    </row>
    <row r="346" spans="1:16" x14ac:dyDescent="0.2">
      <c r="A346" t="str">
        <f>IF(UKG!$BL343="Y","700","")</f>
        <v/>
      </c>
      <c r="B346" t="str">
        <f>IF(UKG!$BL343="Y","PMT","")</f>
        <v/>
      </c>
      <c r="C346" t="str">
        <f>IF(UKG!$BL343="Y",UKG!D343,"")</f>
        <v/>
      </c>
      <c r="O346" t="str">
        <f>IF(UKG!$BL343="Y",UKG!BE343,"")</f>
        <v/>
      </c>
      <c r="P346" t="str">
        <f>IF(UKG!$BL343="Y","USD","")</f>
        <v/>
      </c>
    </row>
    <row r="347" spans="1:16" x14ac:dyDescent="0.2">
      <c r="A347" t="str">
        <f>IF(UKG!$BL344="Y","700","")</f>
        <v/>
      </c>
      <c r="B347" t="str">
        <f>IF(UKG!$BL344="Y","PMT","")</f>
        <v/>
      </c>
      <c r="C347" t="str">
        <f>IF(UKG!$BL344="Y",UKG!D344,"")</f>
        <v/>
      </c>
      <c r="O347" t="str">
        <f>IF(UKG!$BL344="Y",UKG!BE344,"")</f>
        <v/>
      </c>
      <c r="P347" t="str">
        <f>IF(UKG!$BL344="Y","USD","")</f>
        <v/>
      </c>
    </row>
    <row r="348" spans="1:16" x14ac:dyDescent="0.2">
      <c r="A348" t="str">
        <f>IF(UKG!$BL345="Y","700","")</f>
        <v/>
      </c>
      <c r="B348" t="str">
        <f>IF(UKG!$BL345="Y","PMT","")</f>
        <v/>
      </c>
      <c r="C348" t="str">
        <f>IF(UKG!$BL345="Y",UKG!D345,"")</f>
        <v/>
      </c>
      <c r="O348" t="str">
        <f>IF(UKG!$BL345="Y",UKG!BE345,"")</f>
        <v/>
      </c>
      <c r="P348" t="str">
        <f>IF(UKG!$BL345="Y","USD","")</f>
        <v/>
      </c>
    </row>
    <row r="349" spans="1:16" x14ac:dyDescent="0.2">
      <c r="A349" t="str">
        <f>IF(UKG!$BL346="Y","700","")</f>
        <v/>
      </c>
      <c r="B349" t="str">
        <f>IF(UKG!$BL346="Y","PMT","")</f>
        <v/>
      </c>
      <c r="C349" t="str">
        <f>IF(UKG!$BL346="Y",UKG!D346,"")</f>
        <v/>
      </c>
      <c r="O349" t="str">
        <f>IF(UKG!$BL346="Y",UKG!BE346,"")</f>
        <v/>
      </c>
      <c r="P349" t="str">
        <f>IF(UKG!$BL346="Y","USD","")</f>
        <v/>
      </c>
    </row>
    <row r="350" spans="1:16" x14ac:dyDescent="0.2">
      <c r="A350" t="str">
        <f>IF(UKG!$BL347="Y","700","")</f>
        <v/>
      </c>
      <c r="B350" t="str">
        <f>IF(UKG!$BL347="Y","PMT","")</f>
        <v/>
      </c>
      <c r="C350" t="str">
        <f>IF(UKG!$BL347="Y",UKG!D347,"")</f>
        <v/>
      </c>
      <c r="O350" t="str">
        <f>IF(UKG!$BL347="Y",UKG!BE347,"")</f>
        <v/>
      </c>
      <c r="P350" t="str">
        <f>IF(UKG!$BL347="Y","USD","")</f>
        <v/>
      </c>
    </row>
    <row r="351" spans="1:16" x14ac:dyDescent="0.2">
      <c r="A351" t="str">
        <f>IF(UKG!$BL348="Y","700","")</f>
        <v/>
      </c>
      <c r="B351" t="str">
        <f>IF(UKG!$BL348="Y","PMT","")</f>
        <v/>
      </c>
      <c r="C351" t="str">
        <f>IF(UKG!$BL348="Y",UKG!D348,"")</f>
        <v/>
      </c>
      <c r="O351" t="str">
        <f>IF(UKG!$BL348="Y",UKG!BE348,"")</f>
        <v/>
      </c>
      <c r="P351" t="str">
        <f>IF(UKG!$BL348="Y","USD","")</f>
        <v/>
      </c>
    </row>
    <row r="352" spans="1:16" x14ac:dyDescent="0.2">
      <c r="A352" t="str">
        <f>IF(UKG!$BL349="Y","700","")</f>
        <v/>
      </c>
      <c r="B352" t="str">
        <f>IF(UKG!$BL349="Y","PMT","")</f>
        <v/>
      </c>
      <c r="C352" t="str">
        <f>IF(UKG!$BL349="Y",UKG!D349,"")</f>
        <v/>
      </c>
      <c r="O352" t="str">
        <f>IF(UKG!$BL349="Y",UKG!BE349,"")</f>
        <v/>
      </c>
      <c r="P352" t="str">
        <f>IF(UKG!$BL349="Y","USD","")</f>
        <v/>
      </c>
    </row>
    <row r="353" spans="1:16" x14ac:dyDescent="0.2">
      <c r="A353" t="str">
        <f>IF(UKG!$BL350="Y","700","")</f>
        <v/>
      </c>
      <c r="B353" t="str">
        <f>IF(UKG!$BL350="Y","PMT","")</f>
        <v/>
      </c>
      <c r="C353" t="str">
        <f>IF(UKG!$BL350="Y",UKG!D350,"")</f>
        <v/>
      </c>
      <c r="O353" t="str">
        <f>IF(UKG!$BL350="Y",UKG!BE350,"")</f>
        <v/>
      </c>
      <c r="P353" t="str">
        <f>IF(UKG!$BL350="Y","USD","")</f>
        <v/>
      </c>
    </row>
    <row r="354" spans="1:16" x14ac:dyDescent="0.2">
      <c r="A354" t="str">
        <f>IF(UKG!$BL351="Y","700","")</f>
        <v/>
      </c>
      <c r="B354" t="str">
        <f>IF(UKG!$BL351="Y","PMT","")</f>
        <v/>
      </c>
      <c r="C354" t="str">
        <f>IF(UKG!$BL351="Y",UKG!D351,"")</f>
        <v/>
      </c>
      <c r="O354" t="str">
        <f>IF(UKG!$BL351="Y",UKG!BE351,"")</f>
        <v/>
      </c>
      <c r="P354" t="str">
        <f>IF(UKG!$BL351="Y","USD","")</f>
        <v/>
      </c>
    </row>
    <row r="355" spans="1:16" x14ac:dyDescent="0.2">
      <c r="A355" t="str">
        <f>IF(UKG!$BL352="Y","700","")</f>
        <v/>
      </c>
      <c r="B355" t="str">
        <f>IF(UKG!$BL352="Y","PMT","")</f>
        <v/>
      </c>
      <c r="C355" t="str">
        <f>IF(UKG!$BL352="Y",UKG!D352,"")</f>
        <v/>
      </c>
      <c r="O355" t="str">
        <f>IF(UKG!$BL352="Y",UKG!BE352,"")</f>
        <v/>
      </c>
      <c r="P355" t="str">
        <f>IF(UKG!$BL352="Y","USD","")</f>
        <v/>
      </c>
    </row>
    <row r="356" spans="1:16" x14ac:dyDescent="0.2">
      <c r="A356" t="str">
        <f>IF(UKG!$BL353="Y","700","")</f>
        <v/>
      </c>
      <c r="B356" t="str">
        <f>IF(UKG!$BL353="Y","PMT","")</f>
        <v/>
      </c>
      <c r="C356" t="str">
        <f>IF(UKG!$BL353="Y",UKG!D353,"")</f>
        <v/>
      </c>
      <c r="O356" t="str">
        <f>IF(UKG!$BL353="Y",UKG!BE353,"")</f>
        <v/>
      </c>
      <c r="P356" t="str">
        <f>IF(UKG!$BL353="Y","USD","")</f>
        <v/>
      </c>
    </row>
    <row r="357" spans="1:16" x14ac:dyDescent="0.2">
      <c r="A357" t="str">
        <f>IF(UKG!$BL354="Y","700","")</f>
        <v/>
      </c>
      <c r="B357" t="str">
        <f>IF(UKG!$BL354="Y","PMT","")</f>
        <v/>
      </c>
      <c r="C357" t="str">
        <f>IF(UKG!$BL354="Y",UKG!D354,"")</f>
        <v/>
      </c>
      <c r="O357" t="str">
        <f>IF(UKG!$BL354="Y",UKG!BE354,"")</f>
        <v/>
      </c>
      <c r="P357" t="str">
        <f>IF(UKG!$BL354="Y","USD","")</f>
        <v/>
      </c>
    </row>
    <row r="358" spans="1:16" x14ac:dyDescent="0.2">
      <c r="A358" t="str">
        <f>IF(UKG!$BL355="Y","700","")</f>
        <v/>
      </c>
      <c r="B358" t="str">
        <f>IF(UKG!$BL355="Y","PMT","")</f>
        <v/>
      </c>
      <c r="C358" t="str">
        <f>IF(UKG!$BL355="Y",UKG!D355,"")</f>
        <v/>
      </c>
      <c r="O358" t="str">
        <f>IF(UKG!$BL355="Y",UKG!BE355,"")</f>
        <v/>
      </c>
      <c r="P358" t="str">
        <f>IF(UKG!$BL355="Y","USD","")</f>
        <v/>
      </c>
    </row>
    <row r="359" spans="1:16" x14ac:dyDescent="0.2">
      <c r="A359" t="str">
        <f>IF(UKG!$BL356="Y","700","")</f>
        <v/>
      </c>
      <c r="B359" t="str">
        <f>IF(UKG!$BL356="Y","PMT","")</f>
        <v/>
      </c>
      <c r="C359" t="str">
        <f>IF(UKG!$BL356="Y",UKG!D356,"")</f>
        <v/>
      </c>
      <c r="O359" t="str">
        <f>IF(UKG!$BL356="Y",UKG!BE356,"")</f>
        <v/>
      </c>
      <c r="P359" t="str">
        <f>IF(UKG!$BL356="Y","USD","")</f>
        <v/>
      </c>
    </row>
    <row r="360" spans="1:16" x14ac:dyDescent="0.2">
      <c r="A360" t="str">
        <f>IF(UKG!$BL357="Y","700","")</f>
        <v/>
      </c>
      <c r="B360" t="str">
        <f>IF(UKG!$BL357="Y","PMT","")</f>
        <v/>
      </c>
      <c r="C360" t="str">
        <f>IF(UKG!$BL357="Y",UKG!D357,"")</f>
        <v/>
      </c>
      <c r="O360" t="str">
        <f>IF(UKG!$BL357="Y",UKG!BE357,"")</f>
        <v/>
      </c>
      <c r="P360" t="str">
        <f>IF(UKG!$BL357="Y","USD","")</f>
        <v/>
      </c>
    </row>
    <row r="361" spans="1:16" x14ac:dyDescent="0.2">
      <c r="A361" t="str">
        <f>IF(UKG!$BL358="Y","700","")</f>
        <v/>
      </c>
      <c r="B361" t="str">
        <f>IF(UKG!$BL358="Y","PMT","")</f>
        <v/>
      </c>
      <c r="C361" t="str">
        <f>IF(UKG!$BL358="Y",UKG!D358,"")</f>
        <v/>
      </c>
      <c r="O361" t="str">
        <f>IF(UKG!$BL358="Y",UKG!BE358,"")</f>
        <v/>
      </c>
      <c r="P361" t="str">
        <f>IF(UKG!$BL358="Y","USD","")</f>
        <v/>
      </c>
    </row>
    <row r="362" spans="1:16" x14ac:dyDescent="0.2">
      <c r="A362" t="str">
        <f>IF(UKG!$BL359="Y","700","")</f>
        <v/>
      </c>
      <c r="B362" t="str">
        <f>IF(UKG!$BL359="Y","PMT","")</f>
        <v/>
      </c>
      <c r="C362" t="str">
        <f>IF(UKG!$BL359="Y",UKG!D359,"")</f>
        <v/>
      </c>
      <c r="O362" t="str">
        <f>IF(UKG!$BL359="Y",UKG!BE359,"")</f>
        <v/>
      </c>
      <c r="P362" t="str">
        <f>IF(UKG!$BL359="Y","USD","")</f>
        <v/>
      </c>
    </row>
    <row r="363" spans="1:16" x14ac:dyDescent="0.2">
      <c r="A363" t="str">
        <f>IF(UKG!$BL360="Y","700","")</f>
        <v/>
      </c>
      <c r="B363" t="str">
        <f>IF(UKG!$BL360="Y","PMT","")</f>
        <v/>
      </c>
      <c r="C363" t="str">
        <f>IF(UKG!$BL360="Y",UKG!D360,"")</f>
        <v/>
      </c>
      <c r="O363" t="str">
        <f>IF(UKG!$BL360="Y",UKG!BE360,"")</f>
        <v/>
      </c>
      <c r="P363" t="str">
        <f>IF(UKG!$BL360="Y","USD","")</f>
        <v/>
      </c>
    </row>
  </sheetData>
  <autoFilter ref="A3:P362" xr:uid="{88D00BC8-4805-3241-AEF4-6A4B87EAB9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A8D6-4A40-0C4D-B9D3-A573E289EE2F}">
  <sheetPr>
    <tabColor theme="6" tint="0.79998168889431442"/>
  </sheetPr>
  <dimension ref="A1:EG4"/>
  <sheetViews>
    <sheetView workbookViewId="0">
      <pane ySplit="1" topLeftCell="A2" activePane="bottomLeft" state="frozen"/>
      <selection pane="bottomLeft" activeCell="A4" sqref="A4:XFD4"/>
    </sheetView>
  </sheetViews>
  <sheetFormatPr baseColWidth="10" defaultRowHeight="15" x14ac:dyDescent="0.2"/>
  <cols>
    <col min="1" max="5" width="10.83203125" style="18"/>
    <col min="6" max="6" width="20.33203125" style="18" customWidth="1"/>
    <col min="7" max="16384" width="10.83203125" style="18"/>
  </cols>
  <sheetData>
    <row r="1" spans="1:137" s="76" customFormat="1" ht="81.75" customHeight="1" x14ac:dyDescent="0.2">
      <c r="A1" s="70" t="s">
        <v>1072</v>
      </c>
      <c r="B1" s="70" t="s">
        <v>1073</v>
      </c>
      <c r="C1" s="70" t="s">
        <v>3025</v>
      </c>
      <c r="D1" s="70" t="s">
        <v>1075</v>
      </c>
      <c r="E1" s="70" t="s">
        <v>3026</v>
      </c>
      <c r="F1" s="71" t="s">
        <v>3027</v>
      </c>
      <c r="G1" s="72" t="s">
        <v>3028</v>
      </c>
      <c r="H1" s="70" t="s">
        <v>3029</v>
      </c>
      <c r="I1" s="73" t="s">
        <v>1587</v>
      </c>
      <c r="J1" s="70" t="s">
        <v>1081</v>
      </c>
      <c r="K1" s="72" t="s">
        <v>1082</v>
      </c>
      <c r="L1" s="70" t="s">
        <v>1083</v>
      </c>
      <c r="M1" s="73" t="s">
        <v>1622</v>
      </c>
      <c r="N1" s="74" t="s">
        <v>1085</v>
      </c>
      <c r="O1" s="70" t="s">
        <v>1086</v>
      </c>
      <c r="P1" s="73" t="s">
        <v>1624</v>
      </c>
      <c r="Q1" s="70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1424</v>
      </c>
      <c r="X1" s="73" t="s">
        <v>1623</v>
      </c>
      <c r="Y1" s="72" t="s">
        <v>1092</v>
      </c>
      <c r="Z1" s="73" t="s">
        <v>1625</v>
      </c>
      <c r="AA1" s="72" t="s">
        <v>1093</v>
      </c>
      <c r="AB1" s="70" t="s">
        <v>1425</v>
      </c>
      <c r="AC1" s="70" t="s">
        <v>1426</v>
      </c>
      <c r="AD1" s="72" t="s">
        <v>1094</v>
      </c>
      <c r="AE1" s="72" t="s">
        <v>3030</v>
      </c>
      <c r="AF1" s="72" t="s">
        <v>1096</v>
      </c>
      <c r="AG1" s="72" t="s">
        <v>1097</v>
      </c>
      <c r="AH1" s="72" t="s">
        <v>1098</v>
      </c>
      <c r="AI1" s="72" t="s">
        <v>1099</v>
      </c>
      <c r="AJ1" s="72" t="s">
        <v>1100</v>
      </c>
      <c r="AK1" s="72" t="s">
        <v>1101</v>
      </c>
      <c r="AL1" s="72" t="s">
        <v>3031</v>
      </c>
      <c r="AM1" s="72" t="s">
        <v>1103</v>
      </c>
      <c r="AN1" s="72" t="s">
        <v>1104</v>
      </c>
      <c r="AO1" s="72" t="s">
        <v>1105</v>
      </c>
      <c r="AP1" s="73" t="s">
        <v>3032</v>
      </c>
      <c r="AQ1" s="72" t="s">
        <v>1107</v>
      </c>
      <c r="AR1" s="72" t="s">
        <v>1108</v>
      </c>
      <c r="AS1" s="72" t="s">
        <v>1109</v>
      </c>
      <c r="AT1" s="72" t="s">
        <v>1110</v>
      </c>
      <c r="AU1" s="72" t="s">
        <v>1111</v>
      </c>
      <c r="AV1" s="72" t="s">
        <v>1112</v>
      </c>
      <c r="AW1" s="72" t="s">
        <v>1113</v>
      </c>
      <c r="AX1" s="72" t="s">
        <v>1114</v>
      </c>
      <c r="AY1" s="72" t="s">
        <v>1115</v>
      </c>
      <c r="AZ1" s="72" t="s">
        <v>1116</v>
      </c>
      <c r="BA1" s="72" t="s">
        <v>1117</v>
      </c>
      <c r="BB1" s="72" t="s">
        <v>1118</v>
      </c>
      <c r="BC1" s="72" t="s">
        <v>1119</v>
      </c>
      <c r="BD1" s="72" t="s">
        <v>1120</v>
      </c>
      <c r="BE1" s="72" t="s">
        <v>1121</v>
      </c>
      <c r="BF1" s="72" t="s">
        <v>1122</v>
      </c>
      <c r="BG1" s="74" t="s">
        <v>1123</v>
      </c>
      <c r="BH1" s="74" t="s">
        <v>1124</v>
      </c>
      <c r="BI1" s="74" t="s">
        <v>1125</v>
      </c>
      <c r="BJ1" s="72" t="s">
        <v>1126</v>
      </c>
      <c r="BK1" s="74" t="s">
        <v>1127</v>
      </c>
      <c r="BL1" s="74" t="s">
        <v>1128</v>
      </c>
      <c r="BM1" s="72" t="s">
        <v>1129</v>
      </c>
      <c r="BN1" s="72" t="s">
        <v>1130</v>
      </c>
      <c r="BO1" s="72" t="s">
        <v>1131</v>
      </c>
      <c r="BP1" s="72" t="s">
        <v>1130</v>
      </c>
      <c r="BQ1" s="72" t="s">
        <v>1132</v>
      </c>
      <c r="BR1" s="72" t="s">
        <v>1133</v>
      </c>
      <c r="BS1" s="72" t="s">
        <v>1134</v>
      </c>
      <c r="BT1" s="72" t="s">
        <v>1135</v>
      </c>
      <c r="BU1" s="75" t="s">
        <v>1136</v>
      </c>
      <c r="BV1" s="75" t="s">
        <v>1137</v>
      </c>
      <c r="BW1" s="72" t="s">
        <v>1138</v>
      </c>
      <c r="BX1" s="72" t="s">
        <v>1139</v>
      </c>
      <c r="BY1" s="72" t="s">
        <v>1140</v>
      </c>
      <c r="BZ1" s="74" t="s">
        <v>1141</v>
      </c>
      <c r="CA1" s="74" t="s">
        <v>1142</v>
      </c>
      <c r="CB1" s="72" t="s">
        <v>1143</v>
      </c>
      <c r="CC1" s="72" t="s">
        <v>1144</v>
      </c>
      <c r="CD1" s="72" t="s">
        <v>1145</v>
      </c>
      <c r="CE1" s="72" t="s">
        <v>1146</v>
      </c>
      <c r="CF1" s="72" t="s">
        <v>1147</v>
      </c>
      <c r="CG1" s="72" t="s">
        <v>1148</v>
      </c>
      <c r="CH1" s="74" t="s">
        <v>3033</v>
      </c>
      <c r="CI1" s="72" t="s">
        <v>1150</v>
      </c>
      <c r="CJ1" s="72" t="s">
        <v>1151</v>
      </c>
      <c r="CK1" s="72" t="s">
        <v>1152</v>
      </c>
      <c r="CL1" s="72" t="s">
        <v>1153</v>
      </c>
      <c r="CM1" s="75" t="s">
        <v>1154</v>
      </c>
      <c r="CN1" s="75" t="s">
        <v>1155</v>
      </c>
      <c r="CO1" s="75" t="s">
        <v>1156</v>
      </c>
      <c r="CP1" s="72" t="s">
        <v>1157</v>
      </c>
      <c r="CQ1" s="72" t="s">
        <v>1158</v>
      </c>
      <c r="CR1" s="72" t="s">
        <v>1159</v>
      </c>
      <c r="CS1" s="72" t="s">
        <v>1160</v>
      </c>
      <c r="CT1" s="72" t="s">
        <v>1161</v>
      </c>
      <c r="CU1" s="72" t="s">
        <v>1162</v>
      </c>
      <c r="CV1" s="72" t="s">
        <v>1163</v>
      </c>
      <c r="CW1" s="72" t="s">
        <v>1164</v>
      </c>
      <c r="CX1" s="72" t="s">
        <v>1165</v>
      </c>
      <c r="CY1" s="72" t="s">
        <v>1166</v>
      </c>
      <c r="CZ1" s="72" t="s">
        <v>1167</v>
      </c>
      <c r="DA1" s="72" t="s">
        <v>1168</v>
      </c>
      <c r="DB1" s="72" t="s">
        <v>1169</v>
      </c>
      <c r="DC1" s="72" t="s">
        <v>1170</v>
      </c>
      <c r="DD1" s="72" t="s">
        <v>1171</v>
      </c>
      <c r="DE1" s="72" t="s">
        <v>1172</v>
      </c>
      <c r="DF1" s="72" t="s">
        <v>1173</v>
      </c>
      <c r="DG1" s="72" t="s">
        <v>1174</v>
      </c>
      <c r="DH1" s="72" t="s">
        <v>1175</v>
      </c>
      <c r="DI1" s="72" t="s">
        <v>1176</v>
      </c>
      <c r="DJ1" s="72" t="s">
        <v>1177</v>
      </c>
      <c r="DK1" s="72" t="s">
        <v>1178</v>
      </c>
      <c r="DL1" s="72" t="s">
        <v>1179</v>
      </c>
      <c r="DM1" s="72" t="s">
        <v>1180</v>
      </c>
      <c r="DN1" s="72" t="s">
        <v>1181</v>
      </c>
      <c r="DO1" s="72" t="s">
        <v>1182</v>
      </c>
      <c r="DP1" s="72" t="s">
        <v>1183</v>
      </c>
      <c r="DQ1" s="72" t="s">
        <v>1184</v>
      </c>
      <c r="DR1" s="72" t="s">
        <v>1185</v>
      </c>
      <c r="DS1" s="72" t="s">
        <v>1186</v>
      </c>
      <c r="DT1" s="72" t="s">
        <v>1187</v>
      </c>
      <c r="DU1" s="72" t="s">
        <v>1188</v>
      </c>
      <c r="DV1" s="72" t="s">
        <v>1189</v>
      </c>
      <c r="DW1" s="72" t="s">
        <v>1190</v>
      </c>
      <c r="DX1" s="72" t="s">
        <v>1191</v>
      </c>
      <c r="DY1" s="72" t="s">
        <v>1192</v>
      </c>
      <c r="DZ1" s="72" t="s">
        <v>1193</v>
      </c>
      <c r="EA1" s="72" t="s">
        <v>1194</v>
      </c>
      <c r="EB1" s="72" t="s">
        <v>1195</v>
      </c>
      <c r="EC1" s="72" t="s">
        <v>1196</v>
      </c>
      <c r="ED1" s="72" t="s">
        <v>1197</v>
      </c>
      <c r="EE1" s="72" t="s">
        <v>1198</v>
      </c>
      <c r="EF1" s="72" t="s">
        <v>1199</v>
      </c>
      <c r="EG1" s="72" t="s">
        <v>1200</v>
      </c>
    </row>
    <row r="2" spans="1:137" ht="16" thickBot="1" x14ac:dyDescent="0.25">
      <c r="A2" s="39" t="s">
        <v>1420</v>
      </c>
      <c r="B2" s="77" t="s">
        <v>3764</v>
      </c>
      <c r="D2" s="77" t="s">
        <v>1630</v>
      </c>
      <c r="E2" s="77">
        <v>207199</v>
      </c>
      <c r="F2" s="99" t="s">
        <v>3766</v>
      </c>
      <c r="G2" s="18" t="s">
        <v>1427</v>
      </c>
      <c r="H2" s="99" t="s">
        <v>3765</v>
      </c>
      <c r="I2" s="18" t="str">
        <f>IFERROR(VLOOKUP(J2,'Language Map'!M:O,3,FALSE),"en_"&amp;J2)</f>
        <v>de_DE</v>
      </c>
      <c r="J2" s="77" t="s">
        <v>1631</v>
      </c>
      <c r="L2" s="98" t="s">
        <v>1066</v>
      </c>
      <c r="M2" s="18" t="s">
        <v>1633</v>
      </c>
      <c r="O2" s="18" t="str">
        <f>UKG!BJ2</f>
        <v>Y</v>
      </c>
      <c r="P2" s="18" t="str">
        <f>L2</f>
        <v>0088</v>
      </c>
      <c r="Q2" s="18">
        <v>9150</v>
      </c>
      <c r="W2" s="77" t="s">
        <v>316</v>
      </c>
      <c r="X2" s="18" t="str">
        <f>UKG!BC2</f>
        <v>Default</v>
      </c>
      <c r="Z2" s="18" t="str">
        <f>P2</f>
        <v>0088</v>
      </c>
      <c r="AP2" s="18" t="str">
        <f>L2</f>
        <v>0088</v>
      </c>
      <c r="BG2" s="34" t="s">
        <v>135</v>
      </c>
      <c r="BK2" s="18" t="s">
        <v>1421</v>
      </c>
      <c r="BL2" s="18" t="s">
        <v>1421</v>
      </c>
      <c r="BU2" s="18" t="s">
        <v>1421</v>
      </c>
      <c r="BV2" s="18" t="s">
        <v>1421</v>
      </c>
      <c r="CE2" s="18" t="s">
        <v>1421</v>
      </c>
    </row>
    <row r="3" spans="1:137" ht="16" thickBot="1" x14ac:dyDescent="0.25">
      <c r="A3" s="39" t="s">
        <v>1420</v>
      </c>
      <c r="B3" s="18" t="s">
        <v>3767</v>
      </c>
      <c r="D3" s="18" t="s">
        <v>3768</v>
      </c>
      <c r="E3" s="77" t="s">
        <v>3336</v>
      </c>
      <c r="F3" s="99" t="s">
        <v>3769</v>
      </c>
      <c r="G3" s="18" t="s">
        <v>1427</v>
      </c>
      <c r="H3" s="77" t="s">
        <v>3124</v>
      </c>
      <c r="I3" s="18" t="str">
        <f>IFERROR(VLOOKUP(J3,'Language Map'!M:O,3,FALSE),"en_"&amp;J3)</f>
        <v>de_DE</v>
      </c>
      <c r="J3" s="77" t="s">
        <v>1631</v>
      </c>
      <c r="L3" s="98" t="s">
        <v>3770</v>
      </c>
      <c r="Q3" s="18">
        <v>9150</v>
      </c>
    </row>
    <row r="4" spans="1:137" ht="16" thickBot="1" x14ac:dyDescent="0.25">
      <c r="A4" s="39" t="s">
        <v>1420</v>
      </c>
      <c r="E4" s="77" t="s">
        <v>3207</v>
      </c>
      <c r="Q4" s="18">
        <v>9150</v>
      </c>
    </row>
  </sheetData>
  <autoFilter ref="A1:EG2" xr:uid="{B14815EF-85EC-BD42-BDD1-D611623FC7EB}"/>
  <phoneticPr fontId="28" type="noConversion"/>
  <hyperlinks>
    <hyperlink ref="F2" r:id="rId1" xr:uid="{D4A2494F-68AA-554F-9C66-CF2719D52FB6}"/>
    <hyperlink ref="H2" r:id="rId2" xr:uid="{4CC83EB9-D74E-C540-BD9F-6549EF3453FB}"/>
    <hyperlink ref="F3" r:id="rId3" xr:uid="{004E3A09-94CD-DB43-899B-744B7FB5455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F19C-7283-BE4A-A8B2-A75353D657A3}">
  <sheetPr>
    <tabColor theme="6" tint="0.79998168889431442"/>
  </sheetPr>
  <dimension ref="A1:AI5"/>
  <sheetViews>
    <sheetView workbookViewId="0">
      <selection activeCell="B5" sqref="B5"/>
    </sheetView>
  </sheetViews>
  <sheetFormatPr baseColWidth="10" defaultRowHeight="15" x14ac:dyDescent="0.2"/>
  <cols>
    <col min="1" max="16384" width="10.83203125" style="18"/>
  </cols>
  <sheetData>
    <row r="1" spans="1:35" x14ac:dyDescent="0.2">
      <c r="A1" s="78" t="s">
        <v>1433</v>
      </c>
    </row>
    <row r="2" spans="1:35" x14ac:dyDescent="0.2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 x14ac:dyDescent="0.2">
      <c r="A3" s="70" t="s">
        <v>1502</v>
      </c>
      <c r="B3" s="70" t="s">
        <v>1435</v>
      </c>
      <c r="C3" s="70" t="s">
        <v>1503</v>
      </c>
      <c r="D3" s="70" t="s">
        <v>1504</v>
      </c>
      <c r="E3" s="72" t="s">
        <v>1505</v>
      </c>
      <c r="F3" s="72" t="s">
        <v>1506</v>
      </c>
      <c r="G3" s="72" t="s">
        <v>1507</v>
      </c>
      <c r="H3" s="72" t="s">
        <v>1508</v>
      </c>
      <c r="I3" s="70" t="s">
        <v>1509</v>
      </c>
      <c r="J3" s="70" t="s">
        <v>1510</v>
      </c>
      <c r="K3" s="72" t="s">
        <v>1511</v>
      </c>
      <c r="L3" s="72" t="s">
        <v>1512</v>
      </c>
      <c r="M3" s="72" t="s">
        <v>1495</v>
      </c>
      <c r="N3" s="72" t="s">
        <v>1496</v>
      </c>
      <c r="O3" s="72" t="s">
        <v>1497</v>
      </c>
      <c r="P3" s="72" t="s">
        <v>1513</v>
      </c>
      <c r="Q3" s="72" t="s">
        <v>1514</v>
      </c>
      <c r="R3" s="70" t="s">
        <v>1515</v>
      </c>
      <c r="S3" s="70" t="s">
        <v>1516</v>
      </c>
      <c r="T3" s="72" t="s">
        <v>1517</v>
      </c>
      <c r="U3" s="72" t="s">
        <v>1518</v>
      </c>
      <c r="V3" s="72" t="s">
        <v>1519</v>
      </c>
      <c r="W3" s="72" t="s">
        <v>1520</v>
      </c>
      <c r="X3" s="72" t="s">
        <v>1521</v>
      </c>
      <c r="Y3" s="72" t="s">
        <v>1522</v>
      </c>
      <c r="Z3" s="72" t="s">
        <v>1523</v>
      </c>
      <c r="AA3" s="72" t="s">
        <v>1524</v>
      </c>
      <c r="AB3" s="72" t="s">
        <v>1525</v>
      </c>
      <c r="AC3" s="72" t="s">
        <v>1526</v>
      </c>
      <c r="AD3" s="72" t="s">
        <v>1527</v>
      </c>
      <c r="AE3" s="72" t="s">
        <v>1166</v>
      </c>
      <c r="AF3" s="72" t="s">
        <v>1167</v>
      </c>
      <c r="AG3" s="72" t="s">
        <v>1168</v>
      </c>
      <c r="AH3" s="72" t="s">
        <v>1169</v>
      </c>
      <c r="AI3" s="72" t="s">
        <v>1170</v>
      </c>
    </row>
    <row r="4" spans="1:35" ht="16" x14ac:dyDescent="0.2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 x14ac:dyDescent="0.25">
      <c r="A5" s="39" t="s">
        <v>1528</v>
      </c>
      <c r="B5" s="77">
        <v>207199</v>
      </c>
      <c r="C5" s="18" t="str">
        <f>UKG!BL2</f>
        <v>N</v>
      </c>
      <c r="D5" s="18" t="str">
        <f>UKG!BL2</f>
        <v>N</v>
      </c>
      <c r="I5" s="18" t="str">
        <f>UKG!BL2</f>
        <v>N</v>
      </c>
      <c r="J5" s="18" t="str">
        <f>UKG!BL2</f>
        <v>N</v>
      </c>
      <c r="R5" s="34" t="s">
        <v>135</v>
      </c>
      <c r="S5" s="34" t="s">
        <v>135</v>
      </c>
      <c r="AC5" s="18" t="str">
        <f>UKG!BL2</f>
        <v>N</v>
      </c>
      <c r="AD5" s="18" t="s">
        <v>1201</v>
      </c>
    </row>
  </sheetData>
  <autoFilter ref="A3:AI5" xr:uid="{4490BD08-DF7C-8542-9A4D-0213B4F41D6F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BE7D-3F06-0E42-A55C-AC6B4E825D3B}">
  <sheetPr>
    <tabColor theme="6" tint="0.79998168889431442"/>
  </sheetPr>
  <dimension ref="A1:U359"/>
  <sheetViews>
    <sheetView workbookViewId="0">
      <pane ySplit="4" topLeftCell="A5" activePane="bottomLeft" state="frozen"/>
      <selection activeCell="M28" sqref="M28"/>
      <selection pane="bottomLeft" activeCell="C5" sqref="C5"/>
    </sheetView>
  </sheetViews>
  <sheetFormatPr baseColWidth="10" defaultRowHeight="15" x14ac:dyDescent="0.2"/>
  <sheetData>
    <row r="1" spans="1:21" x14ac:dyDescent="0.2">
      <c r="A1" s="47" t="s">
        <v>1433</v>
      </c>
      <c r="B1" s="63"/>
      <c r="C1" s="47"/>
      <c r="D1" s="47"/>
    </row>
    <row r="2" spans="1:21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 x14ac:dyDescent="0.2">
      <c r="A3" s="28" t="s">
        <v>1877</v>
      </c>
      <c r="B3" s="28" t="s">
        <v>1878</v>
      </c>
      <c r="C3" s="28" t="s">
        <v>1435</v>
      </c>
      <c r="D3" s="29" t="s">
        <v>1879</v>
      </c>
      <c r="E3" s="29" t="s">
        <v>1880</v>
      </c>
      <c r="F3" s="29" t="s">
        <v>1881</v>
      </c>
      <c r="G3" s="29" t="s">
        <v>1882</v>
      </c>
      <c r="H3" s="29" t="s">
        <v>1883</v>
      </c>
      <c r="I3" s="29" t="s">
        <v>1884</v>
      </c>
      <c r="J3" s="29" t="s">
        <v>1885</v>
      </c>
      <c r="K3" s="29" t="s">
        <v>1886</v>
      </c>
      <c r="L3" s="29" t="s">
        <v>1887</v>
      </c>
      <c r="M3" s="29" t="s">
        <v>1888</v>
      </c>
      <c r="N3" s="29" t="s">
        <v>1889</v>
      </c>
      <c r="O3" s="81" t="s">
        <v>1890</v>
      </c>
      <c r="P3" s="29" t="s">
        <v>1891</v>
      </c>
      <c r="Q3" s="68" t="s">
        <v>3024</v>
      </c>
      <c r="U3" s="39"/>
    </row>
    <row r="4" spans="1:21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 ht="16" thickBot="1" x14ac:dyDescent="0.25">
      <c r="A5">
        <v>700</v>
      </c>
      <c r="B5" s="18" t="s">
        <v>3763</v>
      </c>
      <c r="C5" s="77">
        <v>207199</v>
      </c>
      <c r="O5">
        <v>25000</v>
      </c>
      <c r="P5" s="18" t="s">
        <v>1423</v>
      </c>
    </row>
    <row r="6" spans="1:21" x14ac:dyDescent="0.2">
      <c r="A6" t="str">
        <f>IF(UKG!BL3="Y","700","")</f>
        <v/>
      </c>
      <c r="B6" t="str">
        <f>IF(UKG!BL3="Y","REQ","")</f>
        <v/>
      </c>
      <c r="C6" t="str">
        <f>IF(UKG!BL3="Y",UKG!D3,"")</f>
        <v/>
      </c>
      <c r="O6" t="str">
        <f>IF(UKG!BL3="Y",UKG!BE3,"")</f>
        <v/>
      </c>
      <c r="P6" t="str">
        <f>IF(UKG!BL3="Y","USD","")</f>
        <v/>
      </c>
    </row>
    <row r="7" spans="1:21" x14ac:dyDescent="0.2">
      <c r="A7" t="str">
        <f>IF(UKG!BL4="Y","700","")</f>
        <v/>
      </c>
      <c r="B7" t="str">
        <f>IF(UKG!BL4="Y","REQ","")</f>
        <v/>
      </c>
      <c r="C7" t="str">
        <f>IF(UKG!BL4="Y",UKG!D4,"")</f>
        <v/>
      </c>
      <c r="O7" t="str">
        <f>IF(UKG!BL4="Y",UKG!BE4,"")</f>
        <v/>
      </c>
      <c r="P7" t="str">
        <f>IF(UKG!BL4="Y","USD","")</f>
        <v/>
      </c>
    </row>
    <row r="8" spans="1:21" x14ac:dyDescent="0.2">
      <c r="A8" t="str">
        <f>IF(UKG!BL5="Y","700","")</f>
        <v/>
      </c>
      <c r="B8" t="str">
        <f>IF(UKG!BL5="Y","REQ","")</f>
        <v/>
      </c>
      <c r="C8" t="str">
        <f>IF(UKG!BL5="Y",UKG!D5,"")</f>
        <v/>
      </c>
      <c r="O8" t="str">
        <f>IF(UKG!BL5="Y",UKG!BE5,"")</f>
        <v/>
      </c>
      <c r="P8" t="str">
        <f>IF(UKG!BL5="Y","USD","")</f>
        <v/>
      </c>
    </row>
    <row r="9" spans="1:21" x14ac:dyDescent="0.2">
      <c r="A9" t="str">
        <f>IF(UKG!BL6="Y","700","")</f>
        <v/>
      </c>
      <c r="B9" t="str">
        <f>IF(UKG!BL6="Y","REQ","")</f>
        <v/>
      </c>
      <c r="C9" t="str">
        <f>IF(UKG!BL6="Y",UKG!D6,"")</f>
        <v/>
      </c>
      <c r="O9" t="str">
        <f>IF(UKG!BL6="Y",UKG!BE6,"")</f>
        <v/>
      </c>
      <c r="P9" t="str">
        <f>IF(UKG!BL6="Y","USD","")</f>
        <v/>
      </c>
    </row>
    <row r="10" spans="1:21" x14ac:dyDescent="0.2">
      <c r="A10" t="str">
        <f>IF(UKG!BL7="Y","700","")</f>
        <v/>
      </c>
      <c r="B10" t="str">
        <f>IF(UKG!BL7="Y","REQ","")</f>
        <v/>
      </c>
      <c r="C10" t="str">
        <f>IF(UKG!BL7="Y",UKG!D7,"")</f>
        <v/>
      </c>
      <c r="O10" t="str">
        <f>IF(UKG!BL7="Y",UKG!BE7,"")</f>
        <v/>
      </c>
      <c r="P10" t="str">
        <f>IF(UKG!BL7="Y","USD","")</f>
        <v/>
      </c>
    </row>
    <row r="11" spans="1:21" x14ac:dyDescent="0.2">
      <c r="A11" t="str">
        <f>IF(UKG!BL8="Y","700","")</f>
        <v/>
      </c>
      <c r="B11" t="str">
        <f>IF(UKG!BL8="Y","REQ","")</f>
        <v/>
      </c>
      <c r="C11" t="str">
        <f>IF(UKG!BL8="Y",UKG!D8,"")</f>
        <v/>
      </c>
      <c r="O11" t="str">
        <f>IF(UKG!BL8="Y",UKG!BE8,"")</f>
        <v/>
      </c>
      <c r="P11" t="str">
        <f>IF(UKG!BL8="Y","USD","")</f>
        <v/>
      </c>
    </row>
    <row r="12" spans="1:21" x14ac:dyDescent="0.2">
      <c r="A12" t="str">
        <f>IF(UKG!BL9="Y","700","")</f>
        <v/>
      </c>
      <c r="B12" t="str">
        <f>IF(UKG!BL9="Y","REQ","")</f>
        <v/>
      </c>
      <c r="C12" t="str">
        <f>IF(UKG!BL9="Y",UKG!D9,"")</f>
        <v/>
      </c>
      <c r="O12" t="str">
        <f>IF(UKG!BL9="Y",UKG!BE9,"")</f>
        <v/>
      </c>
      <c r="P12" t="str">
        <f>IF(UKG!BL9="Y","USD","")</f>
        <v/>
      </c>
    </row>
    <row r="13" spans="1:21" x14ac:dyDescent="0.2">
      <c r="A13" t="str">
        <f>IF(UKG!BL10="Y","700","")</f>
        <v/>
      </c>
      <c r="B13" t="str">
        <f>IF(UKG!BL10="Y","REQ","")</f>
        <v/>
      </c>
      <c r="C13" t="str">
        <f>IF(UKG!BL10="Y",UKG!D10,"")</f>
        <v/>
      </c>
      <c r="O13" t="str">
        <f>IF(UKG!BL10="Y",UKG!BE10,"")</f>
        <v/>
      </c>
      <c r="P13" t="str">
        <f>IF(UKG!BL10="Y","USD","")</f>
        <v/>
      </c>
    </row>
    <row r="14" spans="1:21" x14ac:dyDescent="0.2">
      <c r="A14" t="str">
        <f>IF(UKG!BL11="Y","700","")</f>
        <v/>
      </c>
      <c r="B14" t="str">
        <f>IF(UKG!BL11="Y","REQ","")</f>
        <v/>
      </c>
      <c r="C14" t="str">
        <f>IF(UKG!BL11="Y",UKG!D11,"")</f>
        <v/>
      </c>
      <c r="O14" t="str">
        <f>IF(UKG!BL11="Y",UKG!BE11,"")</f>
        <v/>
      </c>
      <c r="P14" t="str">
        <f>IF(UKG!BL11="Y","USD","")</f>
        <v/>
      </c>
    </row>
    <row r="15" spans="1:21" x14ac:dyDescent="0.2">
      <c r="A15" t="str">
        <f>IF(UKG!BL12="Y","700","")</f>
        <v/>
      </c>
      <c r="B15" t="str">
        <f>IF(UKG!BL12="Y","REQ","")</f>
        <v/>
      </c>
      <c r="C15" t="str">
        <f>IF(UKG!BL12="Y",UKG!D12,"")</f>
        <v/>
      </c>
      <c r="O15" t="str">
        <f>IF(UKG!BL12="Y",UKG!BE12,"")</f>
        <v/>
      </c>
      <c r="P15" t="str">
        <f>IF(UKG!BL12="Y","USD","")</f>
        <v/>
      </c>
    </row>
    <row r="16" spans="1:21" x14ac:dyDescent="0.2">
      <c r="A16" t="str">
        <f>IF(UKG!BL13="Y","700","")</f>
        <v/>
      </c>
      <c r="B16" t="str">
        <f>IF(UKG!BL13="Y","REQ","")</f>
        <v/>
      </c>
      <c r="C16" t="str">
        <f>IF(UKG!BL13="Y",UKG!D13,"")</f>
        <v/>
      </c>
      <c r="O16" t="str">
        <f>IF(UKG!BL13="Y",UKG!BE13,"")</f>
        <v/>
      </c>
      <c r="P16" t="str">
        <f>IF(UKG!BL13="Y","USD","")</f>
        <v/>
      </c>
    </row>
    <row r="17" spans="1:16" x14ac:dyDescent="0.2">
      <c r="A17" t="str">
        <f>IF(UKG!BL14="Y","700","")</f>
        <v/>
      </c>
      <c r="B17" t="str">
        <f>IF(UKG!BL14="Y","REQ","")</f>
        <v/>
      </c>
      <c r="C17" t="str">
        <f>IF(UKG!BL14="Y",UKG!D14,"")</f>
        <v/>
      </c>
      <c r="O17" t="str">
        <f>IF(UKG!BL14="Y",UKG!BE14,"")</f>
        <v/>
      </c>
      <c r="P17" t="str">
        <f>IF(UKG!BL14="Y","USD","")</f>
        <v/>
      </c>
    </row>
    <row r="18" spans="1:16" x14ac:dyDescent="0.2">
      <c r="A18" t="str">
        <f>IF(UKG!BL15="Y","700","")</f>
        <v/>
      </c>
      <c r="B18" t="str">
        <f>IF(UKG!BL15="Y","REQ","")</f>
        <v/>
      </c>
      <c r="C18" t="str">
        <f>IF(UKG!BL15="Y",UKG!D15,"")</f>
        <v/>
      </c>
      <c r="O18" t="str">
        <f>IF(UKG!BL15="Y",UKG!BE15,"")</f>
        <v/>
      </c>
      <c r="P18" t="str">
        <f>IF(UKG!BL15="Y","USD","")</f>
        <v/>
      </c>
    </row>
    <row r="19" spans="1:16" x14ac:dyDescent="0.2">
      <c r="A19" t="str">
        <f>IF(UKG!BL16="Y","700","")</f>
        <v/>
      </c>
      <c r="B19" t="str">
        <f>IF(UKG!BL16="Y","REQ","")</f>
        <v/>
      </c>
      <c r="C19" t="str">
        <f>IF(UKG!BL16="Y",UKG!D16,"")</f>
        <v/>
      </c>
      <c r="O19" t="str">
        <f>IF(UKG!BL16="Y",UKG!BE16,"")</f>
        <v/>
      </c>
      <c r="P19" t="str">
        <f>IF(UKG!BL16="Y","USD","")</f>
        <v/>
      </c>
    </row>
    <row r="20" spans="1:16" x14ac:dyDescent="0.2">
      <c r="A20" t="str">
        <f>IF(UKG!BL17="Y","700","")</f>
        <v/>
      </c>
      <c r="B20" t="str">
        <f>IF(UKG!BL17="Y","REQ","")</f>
        <v/>
      </c>
      <c r="C20" t="str">
        <f>IF(UKG!BL17="Y",UKG!D17,"")</f>
        <v/>
      </c>
      <c r="O20" t="str">
        <f>IF(UKG!BL17="Y",UKG!BE17,"")</f>
        <v/>
      </c>
      <c r="P20" t="str">
        <f>IF(UKG!BL17="Y","USD","")</f>
        <v/>
      </c>
    </row>
    <row r="21" spans="1:16" x14ac:dyDescent="0.2">
      <c r="A21" t="str">
        <f>IF(UKG!BL18="Y","700","")</f>
        <v/>
      </c>
      <c r="B21" t="str">
        <f>IF(UKG!BL18="Y","REQ","")</f>
        <v/>
      </c>
      <c r="C21" t="str">
        <f>IF(UKG!BL18="Y",UKG!D18,"")</f>
        <v/>
      </c>
      <c r="O21" t="str">
        <f>IF(UKG!BL18="Y",UKG!BE18,"")</f>
        <v/>
      </c>
      <c r="P21" t="str">
        <f>IF(UKG!BL18="Y","USD","")</f>
        <v/>
      </c>
    </row>
    <row r="22" spans="1:16" x14ac:dyDescent="0.2">
      <c r="A22" t="str">
        <f>IF(UKG!BL19="Y","700","")</f>
        <v/>
      </c>
      <c r="B22" t="str">
        <f>IF(UKG!BL19="Y","REQ","")</f>
        <v/>
      </c>
      <c r="C22" t="str">
        <f>IF(UKG!BL19="Y",UKG!D19,"")</f>
        <v/>
      </c>
      <c r="O22" t="str">
        <f>IF(UKG!BL19="Y",UKG!BE19,"")</f>
        <v/>
      </c>
      <c r="P22" t="str">
        <f>IF(UKG!BL19="Y","USD","")</f>
        <v/>
      </c>
    </row>
    <row r="23" spans="1:16" x14ac:dyDescent="0.2">
      <c r="A23" t="str">
        <f>IF(UKG!BL20="Y","700","")</f>
        <v/>
      </c>
      <c r="B23" t="str">
        <f>IF(UKG!BL20="Y","REQ","")</f>
        <v/>
      </c>
      <c r="C23" t="str">
        <f>IF(UKG!BL20="Y",UKG!D20,"")</f>
        <v/>
      </c>
      <c r="O23" t="str">
        <f>IF(UKG!BL20="Y",UKG!BE20,"")</f>
        <v/>
      </c>
      <c r="P23" t="str">
        <f>IF(UKG!BL20="Y","USD","")</f>
        <v/>
      </c>
    </row>
    <row r="24" spans="1:16" x14ac:dyDescent="0.2">
      <c r="A24" t="str">
        <f>IF(UKG!BL21="Y","700","")</f>
        <v/>
      </c>
      <c r="B24" t="str">
        <f>IF(UKG!BL21="Y","REQ","")</f>
        <v/>
      </c>
      <c r="C24" t="str">
        <f>IF(UKG!BL21="Y",UKG!D21,"")</f>
        <v/>
      </c>
      <c r="O24" t="str">
        <f>IF(UKG!BL21="Y",UKG!BE21,"")</f>
        <v/>
      </c>
      <c r="P24" t="str">
        <f>IF(UKG!BL21="Y","USD","")</f>
        <v/>
      </c>
    </row>
    <row r="25" spans="1:16" x14ac:dyDescent="0.2">
      <c r="A25" t="str">
        <f>IF(UKG!BL22="Y","700","")</f>
        <v/>
      </c>
      <c r="B25" t="str">
        <f>IF(UKG!BL22="Y","REQ","")</f>
        <v/>
      </c>
      <c r="C25" t="str">
        <f>IF(UKG!BL22="Y",UKG!D22,"")</f>
        <v/>
      </c>
      <c r="O25" t="str">
        <f>IF(UKG!BL22="Y",UKG!BE22,"")</f>
        <v/>
      </c>
      <c r="P25" t="str">
        <f>IF(UKG!BL22="Y","USD","")</f>
        <v/>
      </c>
    </row>
    <row r="26" spans="1:16" x14ac:dyDescent="0.2">
      <c r="A26" t="str">
        <f>IF(UKG!BL23="Y","700","")</f>
        <v/>
      </c>
      <c r="B26" t="str">
        <f>IF(UKG!BL23="Y","REQ","")</f>
        <v/>
      </c>
      <c r="C26" t="str">
        <f>IF(UKG!BL23="Y",UKG!D23,"")</f>
        <v/>
      </c>
      <c r="O26" t="str">
        <f>IF(UKG!BL23="Y",UKG!BE23,"")</f>
        <v/>
      </c>
      <c r="P26" t="str">
        <f>IF(UKG!BL23="Y","USD","")</f>
        <v/>
      </c>
    </row>
    <row r="27" spans="1:16" x14ac:dyDescent="0.2">
      <c r="A27" t="str">
        <f>IF(UKG!BL24="Y","700","")</f>
        <v/>
      </c>
      <c r="B27" t="str">
        <f>IF(UKG!BL24="Y","REQ","")</f>
        <v/>
      </c>
      <c r="C27" t="str">
        <f>IF(UKG!BL24="Y",UKG!D24,"")</f>
        <v/>
      </c>
      <c r="O27" t="str">
        <f>IF(UKG!BL24="Y",UKG!BE24,"")</f>
        <v/>
      </c>
      <c r="P27" t="str">
        <f>IF(UKG!BL24="Y","USD","")</f>
        <v/>
      </c>
    </row>
    <row r="28" spans="1:16" x14ac:dyDescent="0.2">
      <c r="A28" t="str">
        <f>IF(UKG!BL25="Y","700","")</f>
        <v/>
      </c>
      <c r="B28" t="str">
        <f>IF(UKG!BL25="Y","REQ","")</f>
        <v/>
      </c>
      <c r="C28" t="str">
        <f>IF(UKG!BL25="Y",UKG!D25,"")</f>
        <v/>
      </c>
      <c r="O28" t="str">
        <f>IF(UKG!BL25="Y",UKG!BE25,"")</f>
        <v/>
      </c>
      <c r="P28" t="str">
        <f>IF(UKG!BL25="Y","USD","")</f>
        <v/>
      </c>
    </row>
    <row r="29" spans="1:16" x14ac:dyDescent="0.2">
      <c r="A29" t="str">
        <f>IF(UKG!BL26="Y","700","")</f>
        <v/>
      </c>
      <c r="B29" t="str">
        <f>IF(UKG!BL26="Y","REQ","")</f>
        <v/>
      </c>
      <c r="C29" t="str">
        <f>IF(UKG!BL26="Y",UKG!D26,"")</f>
        <v/>
      </c>
      <c r="O29" t="str">
        <f>IF(UKG!BL26="Y",UKG!BE26,"")</f>
        <v/>
      </c>
      <c r="P29" t="str">
        <f>IF(UKG!BL26="Y","USD","")</f>
        <v/>
      </c>
    </row>
    <row r="30" spans="1:16" x14ac:dyDescent="0.2">
      <c r="A30" t="str">
        <f>IF(UKG!BL27="Y","700","")</f>
        <v/>
      </c>
      <c r="B30" t="str">
        <f>IF(UKG!BL27="Y","REQ","")</f>
        <v/>
      </c>
      <c r="C30" t="str">
        <f>IF(UKG!BL27="Y",UKG!D27,"")</f>
        <v/>
      </c>
      <c r="O30" t="str">
        <f>IF(UKG!BL27="Y",UKG!BE27,"")</f>
        <v/>
      </c>
      <c r="P30" t="str">
        <f>IF(UKG!BL27="Y","USD","")</f>
        <v/>
      </c>
    </row>
    <row r="31" spans="1:16" x14ac:dyDescent="0.2">
      <c r="A31" t="str">
        <f>IF(UKG!BL28="Y","700","")</f>
        <v/>
      </c>
      <c r="B31" t="str">
        <f>IF(UKG!BL28="Y","REQ","")</f>
        <v/>
      </c>
      <c r="C31" t="str">
        <f>IF(UKG!BL28="Y",UKG!D28,"")</f>
        <v/>
      </c>
      <c r="O31" t="str">
        <f>IF(UKG!BL28="Y",UKG!BE28,"")</f>
        <v/>
      </c>
      <c r="P31" t="str">
        <f>IF(UKG!BL28="Y","USD","")</f>
        <v/>
      </c>
    </row>
    <row r="32" spans="1:16" x14ac:dyDescent="0.2">
      <c r="A32" t="str">
        <f>IF(UKG!BL30="Y","700","")</f>
        <v/>
      </c>
      <c r="B32" t="str">
        <f>IF(UKG!BL30="Y","REQ","")</f>
        <v/>
      </c>
      <c r="C32" t="str">
        <f>IF(UKG!BL30="Y",UKG!D30,"")</f>
        <v/>
      </c>
      <c r="O32" t="str">
        <f>IF(UKG!BL30="Y",UKG!BE30,"")</f>
        <v/>
      </c>
      <c r="P32" t="str">
        <f>IF(UKG!BL30="Y","USD","")</f>
        <v/>
      </c>
    </row>
    <row r="33" spans="1:16" x14ac:dyDescent="0.2">
      <c r="A33" t="str">
        <f>IF(UKG!BL31="Y","700","")</f>
        <v/>
      </c>
      <c r="B33" t="str">
        <f>IF(UKG!BL31="Y","REQ","")</f>
        <v/>
      </c>
      <c r="C33" t="str">
        <f>IF(UKG!BL31="Y",UKG!D31,"")</f>
        <v/>
      </c>
      <c r="O33" t="str">
        <f>IF(UKG!BL31="Y",UKG!BE31,"")</f>
        <v/>
      </c>
      <c r="P33" t="str">
        <f>IF(UKG!BL31="Y","USD","")</f>
        <v/>
      </c>
    </row>
    <row r="34" spans="1:16" x14ac:dyDescent="0.2">
      <c r="A34" t="str">
        <f>IF(UKG!BL32="Y","700","")</f>
        <v/>
      </c>
      <c r="B34" t="str">
        <f>IF(UKG!BL32="Y","REQ","")</f>
        <v/>
      </c>
      <c r="C34" t="str">
        <f>IF(UKG!BL32="Y",UKG!D32,"")</f>
        <v/>
      </c>
      <c r="O34" t="str">
        <f>IF(UKG!BL32="Y",UKG!BE32,"")</f>
        <v/>
      </c>
      <c r="P34" t="str">
        <f>IF(UKG!BL32="Y","USD","")</f>
        <v/>
      </c>
    </row>
    <row r="35" spans="1:16" x14ac:dyDescent="0.2">
      <c r="A35" t="str">
        <f>IF(UKG!BL33="Y","700","")</f>
        <v/>
      </c>
      <c r="B35" t="str">
        <f>IF(UKG!BL33="Y","REQ","")</f>
        <v/>
      </c>
      <c r="C35" t="str">
        <f>IF(UKG!BL33="Y",UKG!D33,"")</f>
        <v/>
      </c>
      <c r="O35" t="str">
        <f>IF(UKG!BL33="Y",UKG!BE33,"")</f>
        <v/>
      </c>
      <c r="P35" t="str">
        <f>IF(UKG!BL33="Y","USD","")</f>
        <v/>
      </c>
    </row>
    <row r="36" spans="1:16" x14ac:dyDescent="0.2">
      <c r="A36" t="str">
        <f>IF(UKG!BL34="Y","700","")</f>
        <v/>
      </c>
      <c r="B36" t="str">
        <f>IF(UKG!BL34="Y","REQ","")</f>
        <v/>
      </c>
      <c r="C36" t="str">
        <f>IF(UKG!BL34="Y",UKG!D34,"")</f>
        <v/>
      </c>
      <c r="O36" t="str">
        <f>IF(UKG!BL34="Y",UKG!BE34,"")</f>
        <v/>
      </c>
      <c r="P36" t="str">
        <f>IF(UKG!BL34="Y","USD","")</f>
        <v/>
      </c>
    </row>
    <row r="37" spans="1:16" x14ac:dyDescent="0.2">
      <c r="A37" t="str">
        <f>IF(UKG!BL35="Y","700","")</f>
        <v/>
      </c>
      <c r="B37" t="str">
        <f>IF(UKG!BL35="Y","REQ","")</f>
        <v/>
      </c>
      <c r="C37" t="str">
        <f>IF(UKG!BL35="Y",UKG!D35,"")</f>
        <v/>
      </c>
      <c r="O37" t="str">
        <f>IF(UKG!BL35="Y",UKG!BE35,"")</f>
        <v/>
      </c>
      <c r="P37" t="str">
        <f>IF(UKG!BL35="Y","USD","")</f>
        <v/>
      </c>
    </row>
    <row r="38" spans="1:16" x14ac:dyDescent="0.2">
      <c r="A38" t="str">
        <f>IF(UKG!BL36="Y","700","")</f>
        <v/>
      </c>
      <c r="B38" t="str">
        <f>IF(UKG!BL36="Y","REQ","")</f>
        <v/>
      </c>
      <c r="C38" t="str">
        <f>IF(UKG!BL36="Y",UKG!D36,"")</f>
        <v/>
      </c>
      <c r="O38" t="str">
        <f>IF(UKG!BL36="Y",UKG!BE36,"")</f>
        <v/>
      </c>
      <c r="P38" t="str">
        <f>IF(UKG!BL36="Y","USD","")</f>
        <v/>
      </c>
    </row>
    <row r="39" spans="1:16" x14ac:dyDescent="0.2">
      <c r="A39" t="str">
        <f>IF(UKG!BL37="Y","700","")</f>
        <v/>
      </c>
      <c r="B39" t="str">
        <f>IF(UKG!BL37="Y","REQ","")</f>
        <v/>
      </c>
      <c r="C39" t="str">
        <f>IF(UKG!BL37="Y",UKG!D37,"")</f>
        <v/>
      </c>
      <c r="O39" t="str">
        <f>IF(UKG!BL37="Y",UKG!BE37,"")</f>
        <v/>
      </c>
      <c r="P39" t="str">
        <f>IF(UKG!BL37="Y","USD","")</f>
        <v/>
      </c>
    </row>
    <row r="40" spans="1:16" x14ac:dyDescent="0.2">
      <c r="A40" t="str">
        <f>IF(UKG!BL38="Y","700","")</f>
        <v/>
      </c>
      <c r="B40" t="str">
        <f>IF(UKG!BL38="Y","REQ","")</f>
        <v/>
      </c>
      <c r="C40" t="str">
        <f>IF(UKG!BL38="Y",UKG!D38,"")</f>
        <v/>
      </c>
      <c r="O40" t="str">
        <f>IF(UKG!BL38="Y",UKG!BE38,"")</f>
        <v/>
      </c>
      <c r="P40" t="str">
        <f>IF(UKG!BL38="Y","USD","")</f>
        <v/>
      </c>
    </row>
    <row r="41" spans="1:16" x14ac:dyDescent="0.2">
      <c r="A41" t="str">
        <f>IF(UKG!BL39="Y","700","")</f>
        <v/>
      </c>
      <c r="B41" t="str">
        <f>IF(UKG!BL39="Y","REQ","")</f>
        <v/>
      </c>
      <c r="C41" t="str">
        <f>IF(UKG!BL39="Y",UKG!D39,"")</f>
        <v/>
      </c>
      <c r="O41" t="str">
        <f>IF(UKG!BL39="Y",UKG!BE39,"")</f>
        <v/>
      </c>
      <c r="P41" t="str">
        <f>IF(UKG!BL39="Y","USD","")</f>
        <v/>
      </c>
    </row>
    <row r="42" spans="1:16" x14ac:dyDescent="0.2">
      <c r="A42" t="str">
        <f>IF(UKG!BL40="Y","700","")</f>
        <v/>
      </c>
      <c r="B42" t="str">
        <f>IF(UKG!BL40="Y","REQ","")</f>
        <v/>
      </c>
      <c r="C42" t="str">
        <f>IF(UKG!BL40="Y",UKG!D40,"")</f>
        <v/>
      </c>
      <c r="O42" t="str">
        <f>IF(UKG!BL40="Y",UKG!BE40,"")</f>
        <v/>
      </c>
      <c r="P42" t="str">
        <f>IF(UKG!BL40="Y","USD","")</f>
        <v/>
      </c>
    </row>
    <row r="43" spans="1:16" x14ac:dyDescent="0.2">
      <c r="A43" t="str">
        <f>IF(UKG!BL41="Y","700","")</f>
        <v/>
      </c>
      <c r="B43" t="str">
        <f>IF(UKG!BL41="Y","REQ","")</f>
        <v/>
      </c>
      <c r="C43" t="str">
        <f>IF(UKG!BL41="Y",UKG!D41,"")</f>
        <v/>
      </c>
      <c r="O43" t="str">
        <f>IF(UKG!BL41="Y",UKG!BE41,"")</f>
        <v/>
      </c>
      <c r="P43" t="str">
        <f>IF(UKG!BL41="Y","USD","")</f>
        <v/>
      </c>
    </row>
    <row r="44" spans="1:16" x14ac:dyDescent="0.2">
      <c r="A44" t="str">
        <f>IF(UKG!BL42="Y","700","")</f>
        <v/>
      </c>
      <c r="B44" t="str">
        <f>IF(UKG!BL42="Y","REQ","")</f>
        <v/>
      </c>
      <c r="C44" t="str">
        <f>IF(UKG!BL42="Y",UKG!D42,"")</f>
        <v/>
      </c>
      <c r="O44" t="str">
        <f>IF(UKG!BL42="Y",UKG!BE42,"")</f>
        <v/>
      </c>
      <c r="P44" t="str">
        <f>IF(UKG!BL42="Y","USD","")</f>
        <v/>
      </c>
    </row>
    <row r="45" spans="1:16" x14ac:dyDescent="0.2">
      <c r="A45" t="str">
        <f>IF(UKG!BL43="Y","700","")</f>
        <v/>
      </c>
      <c r="B45" t="str">
        <f>IF(UKG!BL43="Y","REQ","")</f>
        <v/>
      </c>
      <c r="C45" t="str">
        <f>IF(UKG!BL43="Y",UKG!D43,"")</f>
        <v/>
      </c>
      <c r="O45" t="str">
        <f>IF(UKG!BL43="Y",UKG!BE43,"")</f>
        <v/>
      </c>
      <c r="P45" t="str">
        <f>IF(UKG!BL43="Y","USD","")</f>
        <v/>
      </c>
    </row>
    <row r="46" spans="1:16" x14ac:dyDescent="0.2">
      <c r="A46" t="str">
        <f>IF(UKG!BL44="Y","700","")</f>
        <v/>
      </c>
      <c r="B46" t="str">
        <f>IF(UKG!BL44="Y","REQ","")</f>
        <v/>
      </c>
      <c r="C46" t="str">
        <f>IF(UKG!BL44="Y",UKG!D44,"")</f>
        <v/>
      </c>
      <c r="O46" t="str">
        <f>IF(UKG!BL44="Y",UKG!BE44,"")</f>
        <v/>
      </c>
      <c r="P46" t="str">
        <f>IF(UKG!BL44="Y","USD","")</f>
        <v/>
      </c>
    </row>
    <row r="47" spans="1:16" x14ac:dyDescent="0.2">
      <c r="A47" t="str">
        <f>IF(UKG!BL45="Y","700","")</f>
        <v/>
      </c>
      <c r="B47" t="str">
        <f>IF(UKG!BL45="Y","REQ","")</f>
        <v/>
      </c>
      <c r="C47" t="str">
        <f>IF(UKG!BL45="Y",UKG!D45,"")</f>
        <v/>
      </c>
      <c r="O47" t="str">
        <f>IF(UKG!BL45="Y",UKG!BE45,"")</f>
        <v/>
      </c>
      <c r="P47" t="str">
        <f>IF(UKG!BL45="Y","USD","")</f>
        <v/>
      </c>
    </row>
    <row r="48" spans="1:16" x14ac:dyDescent="0.2">
      <c r="A48" t="str">
        <f>IF(UKG!BL46="Y","700","")</f>
        <v/>
      </c>
      <c r="B48" t="str">
        <f>IF(UKG!BL46="Y","REQ","")</f>
        <v/>
      </c>
      <c r="C48" t="str">
        <f>IF(UKG!BL46="Y",UKG!D46,"")</f>
        <v/>
      </c>
      <c r="O48" t="str">
        <f>IF(UKG!BL46="Y",UKG!BE46,"")</f>
        <v/>
      </c>
      <c r="P48" t="str">
        <f>IF(UKG!BL46="Y","USD","")</f>
        <v/>
      </c>
    </row>
    <row r="49" spans="1:16" x14ac:dyDescent="0.2">
      <c r="A49" t="str">
        <f>IF(UKG!BL47="Y","700","")</f>
        <v/>
      </c>
      <c r="B49" t="str">
        <f>IF(UKG!BL47="Y","REQ","")</f>
        <v/>
      </c>
      <c r="C49" t="str">
        <f>IF(UKG!BL47="Y",UKG!D47,"")</f>
        <v/>
      </c>
      <c r="O49" t="str">
        <f>IF(UKG!BL47="Y",UKG!BE47,"")</f>
        <v/>
      </c>
      <c r="P49" t="str">
        <f>IF(UKG!BL47="Y","USD","")</f>
        <v/>
      </c>
    </row>
    <row r="50" spans="1:16" x14ac:dyDescent="0.2">
      <c r="A50" t="str">
        <f>IF(UKG!BL48="Y","700","")</f>
        <v/>
      </c>
      <c r="B50" t="str">
        <f>IF(UKG!BL48="Y","REQ","")</f>
        <v/>
      </c>
      <c r="C50" t="str">
        <f>IF(UKG!BL48="Y",UKG!D48,"")</f>
        <v/>
      </c>
      <c r="O50" t="str">
        <f>IF(UKG!BL48="Y",UKG!BE48,"")</f>
        <v/>
      </c>
      <c r="P50" t="str">
        <f>IF(UKG!BL48="Y","USD","")</f>
        <v/>
      </c>
    </row>
    <row r="51" spans="1:16" x14ac:dyDescent="0.2">
      <c r="A51" t="str">
        <f>IF(UKG!BL49="Y","700","")</f>
        <v/>
      </c>
      <c r="B51" t="str">
        <f>IF(UKG!BL49="Y","REQ","")</f>
        <v/>
      </c>
      <c r="C51" t="str">
        <f>IF(UKG!BL49="Y",UKG!D49,"")</f>
        <v/>
      </c>
      <c r="O51" t="str">
        <f>IF(UKG!BL49="Y",UKG!BE49,"")</f>
        <v/>
      </c>
      <c r="P51" t="str">
        <f>IF(UKG!BL49="Y","USD","")</f>
        <v/>
      </c>
    </row>
    <row r="52" spans="1:16" x14ac:dyDescent="0.2">
      <c r="A52" t="str">
        <f>IF(UKG!BL50="Y","700","")</f>
        <v/>
      </c>
      <c r="B52" t="str">
        <f>IF(UKG!BL50="Y","REQ","")</f>
        <v/>
      </c>
      <c r="C52" t="str">
        <f>IF(UKG!BL50="Y",UKG!D50,"")</f>
        <v/>
      </c>
      <c r="O52" t="str">
        <f>IF(UKG!BL50="Y",UKG!BE50,"")</f>
        <v/>
      </c>
      <c r="P52" t="str">
        <f>IF(UKG!BL50="Y","USD","")</f>
        <v/>
      </c>
    </row>
    <row r="53" spans="1:16" x14ac:dyDescent="0.2">
      <c r="A53" t="str">
        <f>IF(UKG!BL51="Y","700","")</f>
        <v/>
      </c>
      <c r="B53" t="str">
        <f>IF(UKG!BL51="Y","REQ","")</f>
        <v/>
      </c>
      <c r="C53" t="str">
        <f>IF(UKG!BL51="Y",UKG!D51,"")</f>
        <v/>
      </c>
      <c r="O53" t="str">
        <f>IF(UKG!BL51="Y",UKG!BE51,"")</f>
        <v/>
      </c>
      <c r="P53" t="str">
        <f>IF(UKG!BL51="Y","USD","")</f>
        <v/>
      </c>
    </row>
    <row r="54" spans="1:16" x14ac:dyDescent="0.2">
      <c r="A54" t="str">
        <f>IF(UKG!BL52="Y","700","")</f>
        <v/>
      </c>
      <c r="B54" t="str">
        <f>IF(UKG!BL52="Y","REQ","")</f>
        <v/>
      </c>
      <c r="C54" t="str">
        <f>IF(UKG!BL52="Y",UKG!D52,"")</f>
        <v/>
      </c>
      <c r="O54" t="str">
        <f>IF(UKG!BL52="Y",UKG!BE52,"")</f>
        <v/>
      </c>
      <c r="P54" t="str">
        <f>IF(UKG!BL52="Y","USD","")</f>
        <v/>
      </c>
    </row>
    <row r="55" spans="1:16" x14ac:dyDescent="0.2">
      <c r="A55" t="str">
        <f>IF(UKG!BL53="Y","700","")</f>
        <v/>
      </c>
      <c r="B55" t="str">
        <f>IF(UKG!BL53="Y","REQ","")</f>
        <v/>
      </c>
      <c r="C55" t="str">
        <f>IF(UKG!BL53="Y",UKG!D53,"")</f>
        <v/>
      </c>
      <c r="O55" t="str">
        <f>IF(UKG!BL53="Y",UKG!BE53,"")</f>
        <v/>
      </c>
      <c r="P55" t="str">
        <f>IF(UKG!BL53="Y","USD","")</f>
        <v/>
      </c>
    </row>
    <row r="56" spans="1:16" x14ac:dyDescent="0.2">
      <c r="A56" t="str">
        <f>IF(UKG!BL54="Y","700","")</f>
        <v/>
      </c>
      <c r="B56" t="str">
        <f>IF(UKG!BL54="Y","REQ","")</f>
        <v/>
      </c>
      <c r="C56" t="str">
        <f>IF(UKG!BL54="Y",UKG!D54,"")</f>
        <v/>
      </c>
      <c r="O56" t="str">
        <f>IF(UKG!BL54="Y",UKG!BE54,"")</f>
        <v/>
      </c>
      <c r="P56" t="str">
        <f>IF(UKG!BL54="Y","USD","")</f>
        <v/>
      </c>
    </row>
    <row r="57" spans="1:16" x14ac:dyDescent="0.2">
      <c r="A57" t="str">
        <f>IF(UKG!BL55="Y","700","")</f>
        <v/>
      </c>
      <c r="B57" t="str">
        <f>IF(UKG!BL55="Y","REQ","")</f>
        <v/>
      </c>
      <c r="C57" t="str">
        <f>IF(UKG!BL55="Y",UKG!D55,"")</f>
        <v/>
      </c>
      <c r="O57" t="str">
        <f>IF(UKG!BL55="Y",UKG!BE55,"")</f>
        <v/>
      </c>
      <c r="P57" t="str">
        <f>IF(UKG!BL55="Y","USD","")</f>
        <v/>
      </c>
    </row>
    <row r="58" spans="1:16" x14ac:dyDescent="0.2">
      <c r="A58" t="str">
        <f>IF(UKG!BL56="Y","700","")</f>
        <v/>
      </c>
      <c r="B58" t="str">
        <f>IF(UKG!BL56="Y","REQ","")</f>
        <v/>
      </c>
      <c r="C58" t="str">
        <f>IF(UKG!BL56="Y",UKG!D56,"")</f>
        <v/>
      </c>
      <c r="O58" t="str">
        <f>IF(UKG!BL56="Y",UKG!BE56,"")</f>
        <v/>
      </c>
      <c r="P58" t="str">
        <f>IF(UKG!BL56="Y","USD","")</f>
        <v/>
      </c>
    </row>
    <row r="59" spans="1:16" x14ac:dyDescent="0.2">
      <c r="A59" t="str">
        <f>IF(UKG!BL57="Y","700","")</f>
        <v/>
      </c>
      <c r="B59" t="str">
        <f>IF(UKG!BL57="Y","REQ","")</f>
        <v/>
      </c>
      <c r="C59" t="str">
        <f>IF(UKG!BL57="Y",UKG!D57,"")</f>
        <v/>
      </c>
      <c r="O59" t="str">
        <f>IF(UKG!BL57="Y",UKG!BE57,"")</f>
        <v/>
      </c>
      <c r="P59" t="str">
        <f>IF(UKG!BL57="Y","USD","")</f>
        <v/>
      </c>
    </row>
    <row r="60" spans="1:16" x14ac:dyDescent="0.2">
      <c r="A60" t="str">
        <f>IF(UKG!BL58="Y","700","")</f>
        <v/>
      </c>
      <c r="B60" t="str">
        <f>IF(UKG!BL58="Y","REQ","")</f>
        <v/>
      </c>
      <c r="C60" t="str">
        <f>IF(UKG!BL58="Y",UKG!D58,"")</f>
        <v/>
      </c>
      <c r="O60" t="str">
        <f>IF(UKG!BL58="Y",UKG!BE58,"")</f>
        <v/>
      </c>
      <c r="P60" t="str">
        <f>IF(UKG!BL58="Y","USD","")</f>
        <v/>
      </c>
    </row>
    <row r="61" spans="1:16" x14ac:dyDescent="0.2">
      <c r="A61" t="str">
        <f>IF(UKG!BL59="Y","700","")</f>
        <v/>
      </c>
      <c r="B61" t="str">
        <f>IF(UKG!BL59="Y","REQ","")</f>
        <v/>
      </c>
      <c r="C61" t="str">
        <f>IF(UKG!BL59="Y",UKG!D59,"")</f>
        <v/>
      </c>
      <c r="O61" t="str">
        <f>IF(UKG!BL59="Y",UKG!BE59,"")</f>
        <v/>
      </c>
      <c r="P61" t="str">
        <f>IF(UKG!BL59="Y","USD","")</f>
        <v/>
      </c>
    </row>
    <row r="62" spans="1:16" x14ac:dyDescent="0.2">
      <c r="A62" t="str">
        <f>IF(UKG!BL60="Y","700","")</f>
        <v/>
      </c>
      <c r="B62" t="str">
        <f>IF(UKG!BL60="Y","REQ","")</f>
        <v/>
      </c>
      <c r="C62" t="str">
        <f>IF(UKG!BL60="Y",UKG!D60,"")</f>
        <v/>
      </c>
      <c r="O62" t="str">
        <f>IF(UKG!BL60="Y",UKG!BE60,"")</f>
        <v/>
      </c>
      <c r="P62" t="str">
        <f>IF(UKG!BL60="Y","USD","")</f>
        <v/>
      </c>
    </row>
    <row r="63" spans="1:16" x14ac:dyDescent="0.2">
      <c r="A63" t="str">
        <f>IF(UKG!BL61="Y","700","")</f>
        <v/>
      </c>
      <c r="B63" t="str">
        <f>IF(UKG!BL61="Y","REQ","")</f>
        <v/>
      </c>
      <c r="C63" t="str">
        <f>IF(UKG!BL61="Y",UKG!D61,"")</f>
        <v/>
      </c>
      <c r="O63" t="str">
        <f>IF(UKG!BL61="Y",UKG!BE61,"")</f>
        <v/>
      </c>
      <c r="P63" t="str">
        <f>IF(UKG!BL61="Y","USD","")</f>
        <v/>
      </c>
    </row>
    <row r="64" spans="1:16" x14ac:dyDescent="0.2">
      <c r="A64" t="str">
        <f>IF(UKG!BL62="Y","700","")</f>
        <v/>
      </c>
      <c r="B64" t="str">
        <f>IF(UKG!BL62="Y","REQ","")</f>
        <v/>
      </c>
      <c r="C64" t="str">
        <f>IF(UKG!BL62="Y",UKG!D62,"")</f>
        <v/>
      </c>
      <c r="O64" t="str">
        <f>IF(UKG!BL62="Y",UKG!BE62,"")</f>
        <v/>
      </c>
      <c r="P64" t="str">
        <f>IF(UKG!BL62="Y","USD","")</f>
        <v/>
      </c>
    </row>
    <row r="65" spans="1:16" x14ac:dyDescent="0.2">
      <c r="A65" t="str">
        <f>IF(UKG!BL64="Y","700","")</f>
        <v/>
      </c>
      <c r="B65" t="str">
        <f>IF(UKG!BL64="Y","REQ","")</f>
        <v/>
      </c>
      <c r="C65" t="str">
        <f>IF(UKG!BL64="Y",UKG!D64,"")</f>
        <v/>
      </c>
      <c r="O65" t="str">
        <f>IF(UKG!BL64="Y",UKG!BE64,"")</f>
        <v/>
      </c>
      <c r="P65" t="str">
        <f>IF(UKG!BL64="Y","USD","")</f>
        <v/>
      </c>
    </row>
    <row r="66" spans="1:16" x14ac:dyDescent="0.2">
      <c r="A66" t="str">
        <f>IF(UKG!BL65="Y","700","")</f>
        <v/>
      </c>
      <c r="B66" t="str">
        <f>IF(UKG!BL65="Y","REQ","")</f>
        <v/>
      </c>
      <c r="C66" t="str">
        <f>IF(UKG!BL65="Y",UKG!D65,"")</f>
        <v/>
      </c>
      <c r="O66" t="str">
        <f>IF(UKG!BL65="Y",UKG!BE65,"")</f>
        <v/>
      </c>
      <c r="P66" t="str">
        <f>IF(UKG!BL65="Y","USD","")</f>
        <v/>
      </c>
    </row>
    <row r="67" spans="1:16" x14ac:dyDescent="0.2">
      <c r="A67" t="str">
        <f>IF(UKG!BL66="Y","700","")</f>
        <v/>
      </c>
      <c r="B67" t="str">
        <f>IF(UKG!BL66="Y","REQ","")</f>
        <v/>
      </c>
      <c r="C67" t="str">
        <f>IF(UKG!BL66="Y",UKG!D66,"")</f>
        <v/>
      </c>
      <c r="O67" t="str">
        <f>IF(UKG!BL66="Y",UKG!BE66,"")</f>
        <v/>
      </c>
      <c r="P67" t="str">
        <f>IF(UKG!BL66="Y","USD","")</f>
        <v/>
      </c>
    </row>
    <row r="68" spans="1:16" x14ac:dyDescent="0.2">
      <c r="A68" t="str">
        <f>IF(UKG!BL67="Y","700","")</f>
        <v/>
      </c>
      <c r="B68" t="str">
        <f>IF(UKG!BL67="Y","REQ","")</f>
        <v/>
      </c>
      <c r="C68" t="str">
        <f>IF(UKG!BL67="Y",UKG!D67,"")</f>
        <v/>
      </c>
      <c r="O68" t="str">
        <f>IF(UKG!BL67="Y",UKG!BE67,"")</f>
        <v/>
      </c>
      <c r="P68" t="str">
        <f>IF(UKG!BL67="Y","USD","")</f>
        <v/>
      </c>
    </row>
    <row r="69" spans="1:16" x14ac:dyDescent="0.2">
      <c r="A69" t="str">
        <f>IF(UKG!BL68="Y","700","")</f>
        <v/>
      </c>
      <c r="B69" t="str">
        <f>IF(UKG!BL68="Y","REQ","")</f>
        <v/>
      </c>
      <c r="C69" t="str">
        <f>IF(UKG!BL68="Y",UKG!D68,"")</f>
        <v/>
      </c>
      <c r="O69" t="str">
        <f>IF(UKG!BL68="Y",UKG!BE68,"")</f>
        <v/>
      </c>
      <c r="P69" t="str">
        <f>IF(UKG!BL68="Y","USD","")</f>
        <v/>
      </c>
    </row>
    <row r="70" spans="1:16" x14ac:dyDescent="0.2">
      <c r="A70" t="str">
        <f>IF(UKG!BL69="Y","700","")</f>
        <v/>
      </c>
      <c r="B70" t="str">
        <f>IF(UKG!BL69="Y","REQ","")</f>
        <v/>
      </c>
      <c r="C70" t="str">
        <f>IF(UKG!BL69="Y",UKG!D69,"")</f>
        <v/>
      </c>
      <c r="O70" t="str">
        <f>IF(UKG!BL69="Y",UKG!BE69,"")</f>
        <v/>
      </c>
      <c r="P70" t="str">
        <f>IF(UKG!BL69="Y","USD","")</f>
        <v/>
      </c>
    </row>
    <row r="71" spans="1:16" x14ac:dyDescent="0.2">
      <c r="A71" t="str">
        <f>IF(UKG!BL70="Y","700","")</f>
        <v/>
      </c>
      <c r="B71" t="str">
        <f>IF(UKG!BL70="Y","REQ","")</f>
        <v/>
      </c>
      <c r="C71" t="str">
        <f>IF(UKG!BL70="Y",UKG!D70,"")</f>
        <v/>
      </c>
      <c r="O71" t="str">
        <f>IF(UKG!BL70="Y",UKG!BE70,"")</f>
        <v/>
      </c>
      <c r="P71" t="str">
        <f>IF(UKG!BL70="Y","USD","")</f>
        <v/>
      </c>
    </row>
    <row r="72" spans="1:16" x14ac:dyDescent="0.2">
      <c r="A72" t="str">
        <f>IF(UKG!BL71="Y","700","")</f>
        <v/>
      </c>
      <c r="B72" t="str">
        <f>IF(UKG!BL71="Y","REQ","")</f>
        <v/>
      </c>
      <c r="C72" t="str">
        <f>IF(UKG!BL71="Y",UKG!D71,"")</f>
        <v/>
      </c>
      <c r="O72" t="str">
        <f>IF(UKG!BL71="Y",UKG!BE71,"")</f>
        <v/>
      </c>
      <c r="P72" t="str">
        <f>IF(UKG!BL71="Y","USD","")</f>
        <v/>
      </c>
    </row>
    <row r="73" spans="1:16" x14ac:dyDescent="0.2">
      <c r="A73" t="str">
        <f>IF(UKG!BL72="Y","700","")</f>
        <v/>
      </c>
      <c r="B73" t="str">
        <f>IF(UKG!BL72="Y","REQ","")</f>
        <v/>
      </c>
      <c r="C73" t="str">
        <f>IF(UKG!BL72="Y",UKG!D72,"")</f>
        <v/>
      </c>
      <c r="O73" t="str">
        <f>IF(UKG!BL72="Y",UKG!BE72,"")</f>
        <v/>
      </c>
      <c r="P73" t="str">
        <f>IF(UKG!BL72="Y","USD","")</f>
        <v/>
      </c>
    </row>
    <row r="74" spans="1:16" x14ac:dyDescent="0.2">
      <c r="A74" t="str">
        <f>IF(UKG!BL73="Y","700","")</f>
        <v/>
      </c>
      <c r="B74" t="str">
        <f>IF(UKG!BL73="Y","REQ","")</f>
        <v/>
      </c>
      <c r="C74" t="str">
        <f>IF(UKG!BL73="Y",UKG!D73,"")</f>
        <v/>
      </c>
      <c r="O74" t="str">
        <f>IF(UKG!BL73="Y",UKG!BE73,"")</f>
        <v/>
      </c>
      <c r="P74" t="str">
        <f>IF(UKG!BL73="Y","USD","")</f>
        <v/>
      </c>
    </row>
    <row r="75" spans="1:16" x14ac:dyDescent="0.2">
      <c r="A75" t="str">
        <f>IF(UKG!BL74="Y","700","")</f>
        <v/>
      </c>
      <c r="B75" t="str">
        <f>IF(UKG!BL74="Y","REQ","")</f>
        <v/>
      </c>
      <c r="C75" t="str">
        <f>IF(UKG!BL74="Y",UKG!D74,"")</f>
        <v/>
      </c>
      <c r="O75" t="str">
        <f>IF(UKG!BL74="Y",UKG!BE74,"")</f>
        <v/>
      </c>
      <c r="P75" t="str">
        <f>IF(UKG!BL74="Y","USD","")</f>
        <v/>
      </c>
    </row>
    <row r="76" spans="1:16" x14ac:dyDescent="0.2">
      <c r="A76" t="str">
        <f>IF(UKG!BL75="Y","700","")</f>
        <v/>
      </c>
      <c r="B76" t="str">
        <f>IF(UKG!BL75="Y","REQ","")</f>
        <v/>
      </c>
      <c r="C76" t="str">
        <f>IF(UKG!BL75="Y",UKG!D75,"")</f>
        <v/>
      </c>
      <c r="O76" t="str">
        <f>IF(UKG!BL75="Y",UKG!BE75,"")</f>
        <v/>
      </c>
      <c r="P76" t="str">
        <f>IF(UKG!BL75="Y","USD","")</f>
        <v/>
      </c>
    </row>
    <row r="77" spans="1:16" x14ac:dyDescent="0.2">
      <c r="A77" t="str">
        <f>IF(UKG!BL76="Y","700","")</f>
        <v/>
      </c>
      <c r="B77" t="str">
        <f>IF(UKG!BL76="Y","REQ","")</f>
        <v/>
      </c>
      <c r="C77" t="str">
        <f>IF(UKG!BL76="Y",UKG!D76,"")</f>
        <v/>
      </c>
      <c r="O77" t="str">
        <f>IF(UKG!BL76="Y",UKG!BE76,"")</f>
        <v/>
      </c>
      <c r="P77" t="str">
        <f>IF(UKG!BL76="Y","USD","")</f>
        <v/>
      </c>
    </row>
    <row r="78" spans="1:16" x14ac:dyDescent="0.2">
      <c r="A78" t="str">
        <f>IF(UKG!BL77="Y","700","")</f>
        <v/>
      </c>
      <c r="B78" t="str">
        <f>IF(UKG!BL77="Y","REQ","")</f>
        <v/>
      </c>
      <c r="C78" t="str">
        <f>IF(UKG!BL77="Y",UKG!D77,"")</f>
        <v/>
      </c>
      <c r="O78" t="str">
        <f>IF(UKG!BL77="Y",UKG!BE77,"")</f>
        <v/>
      </c>
      <c r="P78" t="str">
        <f>IF(UKG!BL77="Y","USD","")</f>
        <v/>
      </c>
    </row>
    <row r="79" spans="1:16" x14ac:dyDescent="0.2">
      <c r="A79" t="str">
        <f>IF(UKG!BL78="Y","700","")</f>
        <v/>
      </c>
      <c r="B79" t="str">
        <f>IF(UKG!BL78="Y","REQ","")</f>
        <v/>
      </c>
      <c r="C79" t="str">
        <f>IF(UKG!BL78="Y",UKG!D78,"")</f>
        <v/>
      </c>
      <c r="O79" t="str">
        <f>IF(UKG!BL78="Y",UKG!BE78,"")</f>
        <v/>
      </c>
      <c r="P79" t="str">
        <f>IF(UKG!BL78="Y","USD","")</f>
        <v/>
      </c>
    </row>
    <row r="80" spans="1:16" x14ac:dyDescent="0.2">
      <c r="A80" t="str">
        <f>IF(UKG!BL79="Y","700","")</f>
        <v/>
      </c>
      <c r="B80" t="str">
        <f>IF(UKG!BL79="Y","REQ","")</f>
        <v/>
      </c>
      <c r="C80" t="str">
        <f>IF(UKG!BL79="Y",UKG!D79,"")</f>
        <v/>
      </c>
      <c r="O80" t="str">
        <f>IF(UKG!BL79="Y",UKG!BE79,"")</f>
        <v/>
      </c>
      <c r="P80" t="str">
        <f>IF(UKG!BL79="Y","USD","")</f>
        <v/>
      </c>
    </row>
    <row r="81" spans="1:16" x14ac:dyDescent="0.2">
      <c r="A81" t="str">
        <f>IF(UKG!BL80="Y","700","")</f>
        <v/>
      </c>
      <c r="B81" t="str">
        <f>IF(UKG!BL80="Y","REQ","")</f>
        <v/>
      </c>
      <c r="C81" t="str">
        <f>IF(UKG!BL80="Y",UKG!D80,"")</f>
        <v/>
      </c>
      <c r="O81" t="str">
        <f>IF(UKG!BL80="Y",UKG!BE80,"")</f>
        <v/>
      </c>
      <c r="P81" t="str">
        <f>IF(UKG!BL80="Y","USD","")</f>
        <v/>
      </c>
    </row>
    <row r="82" spans="1:16" x14ac:dyDescent="0.2">
      <c r="A82" t="str">
        <f>IF(UKG!BL81="Y","700","")</f>
        <v/>
      </c>
      <c r="B82" t="str">
        <f>IF(UKG!BL81="Y","REQ","")</f>
        <v/>
      </c>
      <c r="C82" t="str">
        <f>IF(UKG!BL81="Y",UKG!D81,"")</f>
        <v/>
      </c>
      <c r="O82" t="str">
        <f>IF(UKG!BL81="Y",UKG!BE81,"")</f>
        <v/>
      </c>
      <c r="P82" t="str">
        <f>IF(UKG!BL81="Y","USD","")</f>
        <v/>
      </c>
    </row>
    <row r="83" spans="1:16" x14ac:dyDescent="0.2">
      <c r="A83" t="str">
        <f>IF(UKG!BL82="Y","700","")</f>
        <v/>
      </c>
      <c r="B83" t="str">
        <f>IF(UKG!BL82="Y","REQ","")</f>
        <v/>
      </c>
      <c r="C83" t="str">
        <f>IF(UKG!BL82="Y",UKG!D82,"")</f>
        <v/>
      </c>
      <c r="O83" t="str">
        <f>IF(UKG!BL82="Y",UKG!BE82,"")</f>
        <v/>
      </c>
      <c r="P83" t="str">
        <f>IF(UKG!BL82="Y","USD","")</f>
        <v/>
      </c>
    </row>
    <row r="84" spans="1:16" x14ac:dyDescent="0.2">
      <c r="A84" t="str">
        <f>IF(UKG!BL83="Y","700","")</f>
        <v/>
      </c>
      <c r="B84" t="str">
        <f>IF(UKG!BL83="Y","REQ","")</f>
        <v/>
      </c>
      <c r="C84" t="str">
        <f>IF(UKG!BL83="Y",UKG!D83,"")</f>
        <v/>
      </c>
      <c r="O84" t="str">
        <f>IF(UKG!BL83="Y",UKG!BE83,"")</f>
        <v/>
      </c>
      <c r="P84" t="str">
        <f>IF(UKG!BL83="Y","USD","")</f>
        <v/>
      </c>
    </row>
    <row r="85" spans="1:16" x14ac:dyDescent="0.2">
      <c r="A85" t="str">
        <f>IF(UKG!BL84="Y","700","")</f>
        <v/>
      </c>
      <c r="B85" t="str">
        <f>IF(UKG!BL84="Y","REQ","")</f>
        <v/>
      </c>
      <c r="C85" t="str">
        <f>IF(UKG!BL84="Y",UKG!D84,"")</f>
        <v/>
      </c>
      <c r="O85" t="str">
        <f>IF(UKG!BL84="Y",UKG!BE84,"")</f>
        <v/>
      </c>
      <c r="P85" t="str">
        <f>IF(UKG!BL84="Y","USD","")</f>
        <v/>
      </c>
    </row>
    <row r="86" spans="1:16" x14ac:dyDescent="0.2">
      <c r="A86" t="str">
        <f>IF(UKG!BL85="Y","700","")</f>
        <v/>
      </c>
      <c r="B86" t="str">
        <f>IF(UKG!BL85="Y","REQ","")</f>
        <v/>
      </c>
      <c r="C86" t="str">
        <f>IF(UKG!BL85="Y",UKG!D85,"")</f>
        <v/>
      </c>
      <c r="O86" t="str">
        <f>IF(UKG!BL85="Y",UKG!BE85,"")</f>
        <v/>
      </c>
      <c r="P86" t="str">
        <f>IF(UKG!BL85="Y","USD","")</f>
        <v/>
      </c>
    </row>
    <row r="87" spans="1:16" x14ac:dyDescent="0.2">
      <c r="A87" t="str">
        <f>IF(UKG!BL86="Y","700","")</f>
        <v/>
      </c>
      <c r="B87" t="str">
        <f>IF(UKG!BL86="Y","REQ","")</f>
        <v/>
      </c>
      <c r="C87" t="str">
        <f>IF(UKG!BL86="Y",UKG!D86,"")</f>
        <v/>
      </c>
      <c r="O87" t="str">
        <f>IF(UKG!BL86="Y",UKG!BE86,"")</f>
        <v/>
      </c>
      <c r="P87" t="str">
        <f>IF(UKG!BL86="Y","USD","")</f>
        <v/>
      </c>
    </row>
    <row r="88" spans="1:16" x14ac:dyDescent="0.2">
      <c r="A88" t="str">
        <f>IF(UKG!BL87="Y","700","")</f>
        <v/>
      </c>
      <c r="B88" t="str">
        <f>IF(UKG!BL87="Y","REQ","")</f>
        <v/>
      </c>
      <c r="C88" t="str">
        <f>IF(UKG!BL87="Y",UKG!D87,"")</f>
        <v/>
      </c>
      <c r="O88" t="str">
        <f>IF(UKG!BL87="Y",UKG!BE87,"")</f>
        <v/>
      </c>
      <c r="P88" t="str">
        <f>IF(UKG!BL87="Y","USD","")</f>
        <v/>
      </c>
    </row>
    <row r="89" spans="1:16" x14ac:dyDescent="0.2">
      <c r="A89" t="str">
        <f>IF(UKG!BL88="Y","700","")</f>
        <v/>
      </c>
      <c r="B89" t="str">
        <f>IF(UKG!BL88="Y","REQ","")</f>
        <v/>
      </c>
      <c r="C89" t="str">
        <f>IF(UKG!BL88="Y",UKG!D88,"")</f>
        <v/>
      </c>
      <c r="O89" t="str">
        <f>IF(UKG!BL88="Y",UKG!BE88,"")</f>
        <v/>
      </c>
      <c r="P89" t="str">
        <f>IF(UKG!BL88="Y","USD","")</f>
        <v/>
      </c>
    </row>
    <row r="90" spans="1:16" x14ac:dyDescent="0.2">
      <c r="A90" t="str">
        <f>IF(UKG!BL89="Y","700","")</f>
        <v/>
      </c>
      <c r="B90" t="str">
        <f>IF(UKG!BL89="Y","REQ","")</f>
        <v/>
      </c>
      <c r="C90" t="str">
        <f>IF(UKG!BL89="Y",UKG!D89,"")</f>
        <v/>
      </c>
      <c r="O90" t="str">
        <f>IF(UKG!BL89="Y",UKG!BE89,"")</f>
        <v/>
      </c>
      <c r="P90" t="str">
        <f>IF(UKG!BL89="Y","USD","")</f>
        <v/>
      </c>
    </row>
    <row r="91" spans="1:16" x14ac:dyDescent="0.2">
      <c r="A91" t="str">
        <f>IF(UKG!BL90="Y","700","")</f>
        <v/>
      </c>
      <c r="B91" t="str">
        <f>IF(UKG!BL90="Y","REQ","")</f>
        <v/>
      </c>
      <c r="C91" t="str">
        <f>IF(UKG!BL90="Y",UKG!D90,"")</f>
        <v/>
      </c>
      <c r="O91" t="str">
        <f>IF(UKG!BL90="Y",UKG!BE90,"")</f>
        <v/>
      </c>
      <c r="P91" t="str">
        <f>IF(UKG!BL90="Y","USD","")</f>
        <v/>
      </c>
    </row>
    <row r="92" spans="1:16" x14ac:dyDescent="0.2">
      <c r="A92" t="str">
        <f>IF(UKG!BL91="Y","700","")</f>
        <v/>
      </c>
      <c r="B92" t="str">
        <f>IF(UKG!BL91="Y","REQ","")</f>
        <v/>
      </c>
      <c r="C92" t="str">
        <f>IF(UKG!BL91="Y",UKG!D91,"")</f>
        <v/>
      </c>
      <c r="O92" t="str">
        <f>IF(UKG!BL91="Y",UKG!BE91,"")</f>
        <v/>
      </c>
      <c r="P92" t="str">
        <f>IF(UKG!BL91="Y","USD","")</f>
        <v/>
      </c>
    </row>
    <row r="93" spans="1:16" x14ac:dyDescent="0.2">
      <c r="A93" t="str">
        <f>IF(UKG!BL92="Y","700","")</f>
        <v/>
      </c>
      <c r="B93" t="str">
        <f>IF(UKG!BL92="Y","REQ","")</f>
        <v/>
      </c>
      <c r="C93" t="str">
        <f>IF(UKG!BL92="Y",UKG!D92,"")</f>
        <v/>
      </c>
      <c r="O93" t="str">
        <f>IF(UKG!BL92="Y",UKG!BE92,"")</f>
        <v/>
      </c>
      <c r="P93" t="str">
        <f>IF(UKG!BL92="Y","USD","")</f>
        <v/>
      </c>
    </row>
    <row r="94" spans="1:16" x14ac:dyDescent="0.2">
      <c r="A94" t="str">
        <f>IF(UKG!BL93="Y","700","")</f>
        <v/>
      </c>
      <c r="B94" t="str">
        <f>IF(UKG!BL93="Y","REQ","")</f>
        <v/>
      </c>
      <c r="C94" t="str">
        <f>IF(UKG!BL93="Y",UKG!D93,"")</f>
        <v/>
      </c>
      <c r="O94" t="str">
        <f>IF(UKG!BL93="Y",UKG!BE93,"")</f>
        <v/>
      </c>
      <c r="P94" t="str">
        <f>IF(UKG!BL93="Y","USD","")</f>
        <v/>
      </c>
    </row>
    <row r="95" spans="1:16" x14ac:dyDescent="0.2">
      <c r="A95" t="str">
        <f>IF(UKG!BL94="Y","700","")</f>
        <v/>
      </c>
      <c r="B95" t="str">
        <f>IF(UKG!BL94="Y","REQ","")</f>
        <v/>
      </c>
      <c r="C95" t="str">
        <f>IF(UKG!BL94="Y",UKG!D94,"")</f>
        <v/>
      </c>
      <c r="O95" t="str">
        <f>IF(UKG!BL94="Y",UKG!BE94,"")</f>
        <v/>
      </c>
      <c r="P95" t="str">
        <f>IF(UKG!BL94="Y","USD","")</f>
        <v/>
      </c>
    </row>
    <row r="96" spans="1:16" x14ac:dyDescent="0.2">
      <c r="A96" t="str">
        <f>IF(UKG!BL95="Y","700","")</f>
        <v/>
      </c>
      <c r="B96" t="str">
        <f>IF(UKG!BL95="Y","REQ","")</f>
        <v/>
      </c>
      <c r="C96" t="str">
        <f>IF(UKG!BL95="Y",UKG!D95,"")</f>
        <v/>
      </c>
      <c r="O96" t="str">
        <f>IF(UKG!BL95="Y",UKG!BE95,"")</f>
        <v/>
      </c>
      <c r="P96" t="str">
        <f>IF(UKG!BL95="Y","USD","")</f>
        <v/>
      </c>
    </row>
    <row r="97" spans="1:16" x14ac:dyDescent="0.2">
      <c r="A97" t="str">
        <f>IF(UKG!BL96="Y","700","")</f>
        <v/>
      </c>
      <c r="B97" t="str">
        <f>IF(UKG!BL96="Y","REQ","")</f>
        <v/>
      </c>
      <c r="C97" t="str">
        <f>IF(UKG!BL96="Y",UKG!D96,"")</f>
        <v/>
      </c>
      <c r="O97" t="str">
        <f>IF(UKG!BL96="Y",UKG!BE96,"")</f>
        <v/>
      </c>
      <c r="P97" t="str">
        <f>IF(UKG!BL96="Y","USD","")</f>
        <v/>
      </c>
    </row>
    <row r="98" spans="1:16" x14ac:dyDescent="0.2">
      <c r="A98" t="str">
        <f>IF(UKG!BL97="Y","700","")</f>
        <v/>
      </c>
      <c r="B98" t="str">
        <f>IF(UKG!BL97="Y","REQ","")</f>
        <v/>
      </c>
      <c r="C98" t="str">
        <f>IF(UKG!BL97="Y",UKG!D97,"")</f>
        <v/>
      </c>
      <c r="O98" t="str">
        <f>IF(UKG!BL97="Y",UKG!BE97,"")</f>
        <v/>
      </c>
      <c r="P98" t="str">
        <f>IF(UKG!BL97="Y","USD","")</f>
        <v/>
      </c>
    </row>
    <row r="99" spans="1:16" x14ac:dyDescent="0.2">
      <c r="A99" t="str">
        <f>IF(UKG!BL98="Y","700","")</f>
        <v/>
      </c>
      <c r="B99" t="str">
        <f>IF(UKG!BL98="Y","REQ","")</f>
        <v/>
      </c>
      <c r="C99" t="str">
        <f>IF(UKG!BL98="Y",UKG!D98,"")</f>
        <v/>
      </c>
      <c r="O99" t="str">
        <f>IF(UKG!BL98="Y",UKG!BE98,"")</f>
        <v/>
      </c>
      <c r="P99" t="str">
        <f>IF(UKG!BL98="Y","USD","")</f>
        <v/>
      </c>
    </row>
    <row r="100" spans="1:16" x14ac:dyDescent="0.2">
      <c r="A100" t="str">
        <f>IF(UKG!BL99="Y","700","")</f>
        <v/>
      </c>
      <c r="B100" t="str">
        <f>IF(UKG!BL99="Y","REQ","")</f>
        <v/>
      </c>
      <c r="C100" t="str">
        <f>IF(UKG!BL99="Y",UKG!D99,"")</f>
        <v/>
      </c>
      <c r="O100" t="str">
        <f>IF(UKG!BL99="Y",UKG!BE99,"")</f>
        <v/>
      </c>
      <c r="P100" t="str">
        <f>IF(UKG!BL99="Y","USD","")</f>
        <v/>
      </c>
    </row>
    <row r="101" spans="1:16" x14ac:dyDescent="0.2">
      <c r="A101" t="str">
        <f>IF(UKG!BL100="Y","700","")</f>
        <v/>
      </c>
      <c r="B101" t="str">
        <f>IF(UKG!BL100="Y","REQ","")</f>
        <v/>
      </c>
      <c r="C101" t="str">
        <f>IF(UKG!BL100="Y",UKG!D100,"")</f>
        <v/>
      </c>
      <c r="O101" t="str">
        <f>IF(UKG!BL100="Y",UKG!BE100,"")</f>
        <v/>
      </c>
      <c r="P101" t="str">
        <f>IF(UKG!BL100="Y","USD","")</f>
        <v/>
      </c>
    </row>
    <row r="102" spans="1:16" x14ac:dyDescent="0.2">
      <c r="A102" t="str">
        <f>IF(UKG!BL101="Y","700","")</f>
        <v/>
      </c>
      <c r="B102" t="str">
        <f>IF(UKG!BL101="Y","REQ","")</f>
        <v/>
      </c>
      <c r="C102" t="str">
        <f>IF(UKG!BL101="Y",UKG!D101,"")</f>
        <v/>
      </c>
      <c r="O102" t="str">
        <f>IF(UKG!BL101="Y",UKG!BE101,"")</f>
        <v/>
      </c>
      <c r="P102" t="str">
        <f>IF(UKG!BL101="Y","USD","")</f>
        <v/>
      </c>
    </row>
    <row r="103" spans="1:16" x14ac:dyDescent="0.2">
      <c r="A103" t="str">
        <f>IF(UKG!BL102="Y","700","")</f>
        <v/>
      </c>
      <c r="B103" t="str">
        <f>IF(UKG!BL102="Y","REQ","")</f>
        <v/>
      </c>
      <c r="C103" t="str">
        <f>IF(UKG!BL102="Y",UKG!D102,"")</f>
        <v/>
      </c>
      <c r="O103" t="str">
        <f>IF(UKG!BL102="Y",UKG!BE102,"")</f>
        <v/>
      </c>
      <c r="P103" t="str">
        <f>IF(UKG!BL102="Y","USD","")</f>
        <v/>
      </c>
    </row>
    <row r="104" spans="1:16" x14ac:dyDescent="0.2">
      <c r="A104" t="str">
        <f>IF(UKG!BL103="Y","700","")</f>
        <v/>
      </c>
      <c r="B104" t="str">
        <f>IF(UKG!BL103="Y","REQ","")</f>
        <v/>
      </c>
      <c r="C104" t="str">
        <f>IF(UKG!BL103="Y",UKG!D103,"")</f>
        <v/>
      </c>
      <c r="O104" t="str">
        <f>IF(UKG!BL103="Y",UKG!BE103,"")</f>
        <v/>
      </c>
      <c r="P104" t="str">
        <f>IF(UKG!BL103="Y","USD","")</f>
        <v/>
      </c>
    </row>
    <row r="105" spans="1:16" x14ac:dyDescent="0.2">
      <c r="A105" t="str">
        <f>IF(UKG!BL104="Y","700","")</f>
        <v/>
      </c>
      <c r="B105" t="str">
        <f>IF(UKG!BL104="Y","REQ","")</f>
        <v/>
      </c>
      <c r="C105" t="str">
        <f>IF(UKG!BL104="Y",UKG!D104,"")</f>
        <v/>
      </c>
      <c r="O105" t="str">
        <f>IF(UKG!BL104="Y",UKG!BE104,"")</f>
        <v/>
      </c>
      <c r="P105" t="str">
        <f>IF(UKG!BL104="Y","USD","")</f>
        <v/>
      </c>
    </row>
    <row r="106" spans="1:16" x14ac:dyDescent="0.2">
      <c r="A106" t="str">
        <f>IF(UKG!BL105="Y","700","")</f>
        <v/>
      </c>
      <c r="B106" t="str">
        <f>IF(UKG!BL105="Y","REQ","")</f>
        <v/>
      </c>
      <c r="C106" t="str">
        <f>IF(UKG!BL105="Y",UKG!D105,"")</f>
        <v/>
      </c>
      <c r="O106" t="str">
        <f>IF(UKG!BL105="Y",UKG!BE105,"")</f>
        <v/>
      </c>
      <c r="P106" t="str">
        <f>IF(UKG!BL105="Y","USD","")</f>
        <v/>
      </c>
    </row>
    <row r="107" spans="1:16" x14ac:dyDescent="0.2">
      <c r="A107" t="str">
        <f>IF(UKG!BL106="Y","700","")</f>
        <v/>
      </c>
      <c r="B107" t="str">
        <f>IF(UKG!BL106="Y","REQ","")</f>
        <v/>
      </c>
      <c r="C107" t="str">
        <f>IF(UKG!BL106="Y",UKG!D106,"")</f>
        <v/>
      </c>
      <c r="O107" t="str">
        <f>IF(UKG!BL106="Y",UKG!BE106,"")</f>
        <v/>
      </c>
      <c r="P107" t="str">
        <f>IF(UKG!BL106="Y","USD","")</f>
        <v/>
      </c>
    </row>
    <row r="108" spans="1:16" x14ac:dyDescent="0.2">
      <c r="A108" t="str">
        <f>IF(UKG!BL107="Y","700","")</f>
        <v/>
      </c>
      <c r="B108" t="str">
        <f>IF(UKG!BL107="Y","REQ","")</f>
        <v/>
      </c>
      <c r="C108" t="str">
        <f>IF(UKG!BL107="Y",UKG!D107,"")</f>
        <v/>
      </c>
      <c r="O108" t="str">
        <f>IF(UKG!BL107="Y",UKG!BE107,"")</f>
        <v/>
      </c>
      <c r="P108" t="str">
        <f>IF(UKG!BL107="Y","USD","")</f>
        <v/>
      </c>
    </row>
    <row r="109" spans="1:16" x14ac:dyDescent="0.2">
      <c r="A109" t="str">
        <f>IF(UKG!BL108="Y","700","")</f>
        <v/>
      </c>
      <c r="B109" t="str">
        <f>IF(UKG!BL108="Y","REQ","")</f>
        <v/>
      </c>
      <c r="C109" t="str">
        <f>IF(UKG!BL108="Y",UKG!D108,"")</f>
        <v/>
      </c>
      <c r="O109" t="str">
        <f>IF(UKG!BL108="Y",UKG!BE108,"")</f>
        <v/>
      </c>
      <c r="P109" t="str">
        <f>IF(UKG!BL108="Y","USD","")</f>
        <v/>
      </c>
    </row>
    <row r="110" spans="1:16" x14ac:dyDescent="0.2">
      <c r="A110" t="str">
        <f>IF(UKG!BL109="Y","700","")</f>
        <v/>
      </c>
      <c r="B110" t="str">
        <f>IF(UKG!BL109="Y","REQ","")</f>
        <v/>
      </c>
      <c r="C110" t="str">
        <f>IF(UKG!BL109="Y",UKG!D109,"")</f>
        <v/>
      </c>
      <c r="O110" t="str">
        <f>IF(UKG!BL109="Y",UKG!BE109,"")</f>
        <v/>
      </c>
      <c r="P110" t="str">
        <f>IF(UKG!BL109="Y","USD","")</f>
        <v/>
      </c>
    </row>
    <row r="111" spans="1:16" x14ac:dyDescent="0.2">
      <c r="A111" t="str">
        <f>IF(UKG!BL110="Y","700","")</f>
        <v/>
      </c>
      <c r="B111" t="str">
        <f>IF(UKG!BL110="Y","REQ","")</f>
        <v/>
      </c>
      <c r="C111" t="str">
        <f>IF(UKG!BL110="Y",UKG!D110,"")</f>
        <v/>
      </c>
      <c r="O111" t="str">
        <f>IF(UKG!BL110="Y",UKG!BE110,"")</f>
        <v/>
      </c>
      <c r="P111" t="str">
        <f>IF(UKG!BL110="Y","USD","")</f>
        <v/>
      </c>
    </row>
    <row r="112" spans="1:16" x14ac:dyDescent="0.2">
      <c r="A112" t="str">
        <f>IF(UKG!BL111="Y","700","")</f>
        <v/>
      </c>
      <c r="B112" t="str">
        <f>IF(UKG!BL111="Y","REQ","")</f>
        <v/>
      </c>
      <c r="C112" t="str">
        <f>IF(UKG!BL111="Y",UKG!D111,"")</f>
        <v/>
      </c>
      <c r="O112" t="str">
        <f>IF(UKG!BL111="Y",UKG!BE111,"")</f>
        <v/>
      </c>
      <c r="P112" t="str">
        <f>IF(UKG!BL111="Y","USD","")</f>
        <v/>
      </c>
    </row>
    <row r="113" spans="1:16" x14ac:dyDescent="0.2">
      <c r="A113" t="str">
        <f>IF(UKG!BL112="Y","700","")</f>
        <v/>
      </c>
      <c r="B113" t="str">
        <f>IF(UKG!BL112="Y","REQ","")</f>
        <v/>
      </c>
      <c r="C113" t="str">
        <f>IF(UKG!BL112="Y",UKG!D112,"")</f>
        <v/>
      </c>
      <c r="O113" t="str">
        <f>IF(UKG!BL112="Y",UKG!BE112,"")</f>
        <v/>
      </c>
      <c r="P113" t="str">
        <f>IF(UKG!BL112="Y","USD","")</f>
        <v/>
      </c>
    </row>
    <row r="114" spans="1:16" x14ac:dyDescent="0.2">
      <c r="A114" t="str">
        <f>IF(UKG!BL113="Y","700","")</f>
        <v/>
      </c>
      <c r="B114" t="str">
        <f>IF(UKG!BL113="Y","REQ","")</f>
        <v/>
      </c>
      <c r="C114" t="str">
        <f>IF(UKG!BL113="Y",UKG!D113,"")</f>
        <v/>
      </c>
      <c r="O114" t="str">
        <f>IF(UKG!BL113="Y",UKG!BE113,"")</f>
        <v/>
      </c>
      <c r="P114" t="str">
        <f>IF(UKG!BL113="Y","USD","")</f>
        <v/>
      </c>
    </row>
    <row r="115" spans="1:16" x14ac:dyDescent="0.2">
      <c r="A115" t="str">
        <f>IF(UKG!BL114="Y","700","")</f>
        <v/>
      </c>
      <c r="B115" t="str">
        <f>IF(UKG!BL114="Y","REQ","")</f>
        <v/>
      </c>
      <c r="C115" t="str">
        <f>IF(UKG!BL114="Y",UKG!D114,"")</f>
        <v/>
      </c>
      <c r="O115" t="str">
        <f>IF(UKG!BL114="Y",UKG!BE114,"")</f>
        <v/>
      </c>
      <c r="P115" t="str">
        <f>IF(UKG!BL114="Y","USD","")</f>
        <v/>
      </c>
    </row>
    <row r="116" spans="1:16" x14ac:dyDescent="0.2">
      <c r="A116" t="str">
        <f>IF(UKG!BL115="Y","700","")</f>
        <v/>
      </c>
      <c r="B116" t="str">
        <f>IF(UKG!BL115="Y","REQ","")</f>
        <v/>
      </c>
      <c r="C116" t="str">
        <f>IF(UKG!BL115="Y",UKG!D115,"")</f>
        <v/>
      </c>
      <c r="O116" t="str">
        <f>IF(UKG!BL115="Y",UKG!BE115,"")</f>
        <v/>
      </c>
      <c r="P116" t="str">
        <f>IF(UKG!BL115="Y","USD","")</f>
        <v/>
      </c>
    </row>
    <row r="117" spans="1:16" x14ac:dyDescent="0.2">
      <c r="A117" t="str">
        <f>IF(UKG!BL116="Y","700","")</f>
        <v/>
      </c>
      <c r="B117" t="str">
        <f>IF(UKG!BL116="Y","REQ","")</f>
        <v/>
      </c>
      <c r="C117" t="str">
        <f>IF(UKG!BL116="Y",UKG!D116,"")</f>
        <v/>
      </c>
      <c r="O117" t="str">
        <f>IF(UKG!BL116="Y",UKG!BE116,"")</f>
        <v/>
      </c>
      <c r="P117" t="str">
        <f>IF(UKG!BL116="Y","USD","")</f>
        <v/>
      </c>
    </row>
    <row r="118" spans="1:16" x14ac:dyDescent="0.2">
      <c r="A118" t="str">
        <f>IF(UKG!BL117="Y","700","")</f>
        <v/>
      </c>
      <c r="B118" t="str">
        <f>IF(UKG!BL117="Y","REQ","")</f>
        <v/>
      </c>
      <c r="C118" t="str">
        <f>IF(UKG!BL117="Y",UKG!D117,"")</f>
        <v/>
      </c>
      <c r="O118" t="str">
        <f>IF(UKG!BL117="Y",UKG!BE117,"")</f>
        <v/>
      </c>
      <c r="P118" t="str">
        <f>IF(UKG!BL117="Y","USD","")</f>
        <v/>
      </c>
    </row>
    <row r="119" spans="1:16" x14ac:dyDescent="0.2">
      <c r="A119" t="str">
        <f>IF(UKG!BL118="Y","700","")</f>
        <v/>
      </c>
      <c r="B119" t="str">
        <f>IF(UKG!BL118="Y","REQ","")</f>
        <v/>
      </c>
      <c r="C119" t="str">
        <f>IF(UKG!BL118="Y",UKG!D118,"")</f>
        <v/>
      </c>
      <c r="O119" t="str">
        <f>IF(UKG!BL118="Y",UKG!BE118,"")</f>
        <v/>
      </c>
      <c r="P119" t="str">
        <f>IF(UKG!BL118="Y","USD","")</f>
        <v/>
      </c>
    </row>
    <row r="120" spans="1:16" x14ac:dyDescent="0.2">
      <c r="A120" t="str">
        <f>IF(UKG!BL119="Y","700","")</f>
        <v/>
      </c>
      <c r="B120" t="str">
        <f>IF(UKG!BL119="Y","REQ","")</f>
        <v/>
      </c>
      <c r="C120" t="str">
        <f>IF(UKG!BL119="Y",UKG!D119,"")</f>
        <v/>
      </c>
      <c r="O120" t="str">
        <f>IF(UKG!BL119="Y",UKG!BE119,"")</f>
        <v/>
      </c>
      <c r="P120" t="str">
        <f>IF(UKG!BL119="Y","USD","")</f>
        <v/>
      </c>
    </row>
    <row r="121" spans="1:16" x14ac:dyDescent="0.2">
      <c r="A121" t="str">
        <f>IF(UKG!BL120="Y","700","")</f>
        <v/>
      </c>
      <c r="B121" t="str">
        <f>IF(UKG!BL120="Y","REQ","")</f>
        <v/>
      </c>
      <c r="C121" t="str">
        <f>IF(UKG!BL120="Y",UKG!D120,"")</f>
        <v/>
      </c>
      <c r="O121" t="str">
        <f>IF(UKG!BL120="Y",UKG!BE120,"")</f>
        <v/>
      </c>
      <c r="P121" t="str">
        <f>IF(UKG!BL120="Y","USD","")</f>
        <v/>
      </c>
    </row>
    <row r="122" spans="1:16" x14ac:dyDescent="0.2">
      <c r="A122" t="str">
        <f>IF(UKG!BL121="Y","700","")</f>
        <v/>
      </c>
      <c r="B122" t="str">
        <f>IF(UKG!BL121="Y","REQ","")</f>
        <v/>
      </c>
      <c r="C122" t="str">
        <f>IF(UKG!BL121="Y",UKG!D121,"")</f>
        <v/>
      </c>
      <c r="O122" t="str">
        <f>IF(UKG!BL121="Y",UKG!BE121,"")</f>
        <v/>
      </c>
      <c r="P122" t="str">
        <f>IF(UKG!BL121="Y","USD","")</f>
        <v/>
      </c>
    </row>
    <row r="123" spans="1:16" x14ac:dyDescent="0.2">
      <c r="A123" t="str">
        <f>IF(UKG!BL122="Y","700","")</f>
        <v/>
      </c>
      <c r="B123" t="str">
        <f>IF(UKG!BL122="Y","REQ","")</f>
        <v/>
      </c>
      <c r="C123" t="str">
        <f>IF(UKG!BL122="Y",UKG!D122,"")</f>
        <v/>
      </c>
      <c r="O123" t="str">
        <f>IF(UKG!BL122="Y",UKG!BE122,"")</f>
        <v/>
      </c>
      <c r="P123" t="str">
        <f>IF(UKG!BL122="Y","USD","")</f>
        <v/>
      </c>
    </row>
    <row r="124" spans="1:16" x14ac:dyDescent="0.2">
      <c r="A124" t="str">
        <f>IF(UKG!BL123="Y","700","")</f>
        <v/>
      </c>
      <c r="B124" t="str">
        <f>IF(UKG!BL123="Y","REQ","")</f>
        <v/>
      </c>
      <c r="C124" t="str">
        <f>IF(UKG!BL123="Y",UKG!D123,"")</f>
        <v/>
      </c>
      <c r="O124" t="str">
        <f>IF(UKG!BL123="Y",UKG!BE123,"")</f>
        <v/>
      </c>
      <c r="P124" t="str">
        <f>IF(UKG!BL123="Y","USD","")</f>
        <v/>
      </c>
    </row>
    <row r="125" spans="1:16" x14ac:dyDescent="0.2">
      <c r="A125" t="str">
        <f>IF(UKG!BL124="Y","700","")</f>
        <v/>
      </c>
      <c r="B125" t="str">
        <f>IF(UKG!BL124="Y","REQ","")</f>
        <v/>
      </c>
      <c r="C125" t="str">
        <f>IF(UKG!BL124="Y",UKG!D124,"")</f>
        <v/>
      </c>
      <c r="O125" t="str">
        <f>IF(UKG!BL124="Y",UKG!BE124,"")</f>
        <v/>
      </c>
      <c r="P125" t="str">
        <f>IF(UKG!BL124="Y","USD","")</f>
        <v/>
      </c>
    </row>
    <row r="126" spans="1:16" x14ac:dyDescent="0.2">
      <c r="A126" t="str">
        <f>IF(UKG!BL125="Y","700","")</f>
        <v/>
      </c>
      <c r="B126" t="str">
        <f>IF(UKG!BL125="Y","REQ","")</f>
        <v/>
      </c>
      <c r="C126" t="str">
        <f>IF(UKG!BL125="Y",UKG!D125,"")</f>
        <v/>
      </c>
      <c r="O126" t="str">
        <f>IF(UKG!BL125="Y",UKG!BE125,"")</f>
        <v/>
      </c>
      <c r="P126" t="str">
        <f>IF(UKG!BL125="Y","USD","")</f>
        <v/>
      </c>
    </row>
    <row r="127" spans="1:16" x14ac:dyDescent="0.2">
      <c r="A127" t="str">
        <f>IF(UKG!BL126="Y","700","")</f>
        <v/>
      </c>
      <c r="B127" t="str">
        <f>IF(UKG!BL126="Y","REQ","")</f>
        <v/>
      </c>
      <c r="C127" t="str">
        <f>IF(UKG!BL126="Y",UKG!D126,"")</f>
        <v/>
      </c>
      <c r="O127" t="str">
        <f>IF(UKG!BL126="Y",UKG!BE126,"")</f>
        <v/>
      </c>
      <c r="P127" t="str">
        <f>IF(UKG!BL126="Y","USD","")</f>
        <v/>
      </c>
    </row>
    <row r="128" spans="1:16" x14ac:dyDescent="0.2">
      <c r="A128" t="str">
        <f>IF(UKG!BL127="Y","700","")</f>
        <v/>
      </c>
      <c r="B128" t="str">
        <f>IF(UKG!BL127="Y","REQ","")</f>
        <v/>
      </c>
      <c r="C128" t="str">
        <f>IF(UKG!BL127="Y",UKG!D127,"")</f>
        <v/>
      </c>
      <c r="O128" t="str">
        <f>IF(UKG!BL127="Y",UKG!BE127,"")</f>
        <v/>
      </c>
      <c r="P128" t="str">
        <f>IF(UKG!BL127="Y","USD","")</f>
        <v/>
      </c>
    </row>
    <row r="129" spans="1:16" x14ac:dyDescent="0.2">
      <c r="A129" t="str">
        <f>IF(UKG!BL128="Y","700","")</f>
        <v/>
      </c>
      <c r="B129" t="str">
        <f>IF(UKG!BL128="Y","REQ","")</f>
        <v/>
      </c>
      <c r="C129" t="str">
        <f>IF(UKG!BL128="Y",UKG!D128,"")</f>
        <v/>
      </c>
      <c r="O129" t="str">
        <f>IF(UKG!BL128="Y",UKG!BE128,"")</f>
        <v/>
      </c>
      <c r="P129" t="str">
        <f>IF(UKG!BL128="Y","USD","")</f>
        <v/>
      </c>
    </row>
    <row r="130" spans="1:16" x14ac:dyDescent="0.2">
      <c r="A130" t="str">
        <f>IF(UKG!BL129="Y","700","")</f>
        <v/>
      </c>
      <c r="B130" t="str">
        <f>IF(UKG!BL129="Y","REQ","")</f>
        <v/>
      </c>
      <c r="C130" t="str">
        <f>IF(UKG!BL129="Y",UKG!D129,"")</f>
        <v/>
      </c>
      <c r="O130" t="str">
        <f>IF(UKG!BL129="Y",UKG!BE129,"")</f>
        <v/>
      </c>
      <c r="P130" t="str">
        <f>IF(UKG!BL129="Y","USD","")</f>
        <v/>
      </c>
    </row>
    <row r="131" spans="1:16" x14ac:dyDescent="0.2">
      <c r="A131" t="str">
        <f>IF(UKG!BL130="Y","700","")</f>
        <v/>
      </c>
      <c r="B131" t="str">
        <f>IF(UKG!BL130="Y","REQ","")</f>
        <v/>
      </c>
      <c r="C131" t="str">
        <f>IF(UKG!BL130="Y",UKG!D130,"")</f>
        <v/>
      </c>
      <c r="O131" t="str">
        <f>IF(UKG!BL130="Y",UKG!BE130,"")</f>
        <v/>
      </c>
      <c r="P131" t="str">
        <f>IF(UKG!BL130="Y","USD","")</f>
        <v/>
      </c>
    </row>
    <row r="132" spans="1:16" x14ac:dyDescent="0.2">
      <c r="A132" t="str">
        <f>IF(UKG!BL131="Y","700","")</f>
        <v/>
      </c>
      <c r="B132" t="str">
        <f>IF(UKG!BL131="Y","REQ","")</f>
        <v/>
      </c>
      <c r="C132" t="str">
        <f>IF(UKG!BL131="Y",UKG!D131,"")</f>
        <v/>
      </c>
      <c r="O132" t="str">
        <f>IF(UKG!BL131="Y",UKG!BE131,"")</f>
        <v/>
      </c>
      <c r="P132" t="str">
        <f>IF(UKG!BL131="Y","USD","")</f>
        <v/>
      </c>
    </row>
    <row r="133" spans="1:16" x14ac:dyDescent="0.2">
      <c r="A133" t="str">
        <f>IF(UKG!BL132="Y","700","")</f>
        <v/>
      </c>
      <c r="B133" t="str">
        <f>IF(UKG!BL132="Y","REQ","")</f>
        <v/>
      </c>
      <c r="C133" t="str">
        <f>IF(UKG!BL132="Y",UKG!D132,"")</f>
        <v/>
      </c>
      <c r="O133" t="str">
        <f>IF(UKG!BL132="Y",UKG!BE132,"")</f>
        <v/>
      </c>
      <c r="P133" t="str">
        <f>IF(UKG!BL132="Y","USD","")</f>
        <v/>
      </c>
    </row>
    <row r="134" spans="1:16" x14ac:dyDescent="0.2">
      <c r="A134" t="str">
        <f>IF(UKG!BL133="Y","700","")</f>
        <v/>
      </c>
      <c r="B134" t="str">
        <f>IF(UKG!BL133="Y","REQ","")</f>
        <v/>
      </c>
      <c r="C134" t="str">
        <f>IF(UKG!BL133="Y",UKG!D133,"")</f>
        <v/>
      </c>
      <c r="O134" t="str">
        <f>IF(UKG!BL133="Y",UKG!BE133,"")</f>
        <v/>
      </c>
      <c r="P134" t="str">
        <f>IF(UKG!BL133="Y","USD","")</f>
        <v/>
      </c>
    </row>
    <row r="135" spans="1:16" x14ac:dyDescent="0.2">
      <c r="A135" t="str">
        <f>IF(UKG!BL134="Y","700","")</f>
        <v/>
      </c>
      <c r="B135" t="str">
        <f>IF(UKG!BL134="Y","REQ","")</f>
        <v/>
      </c>
      <c r="C135" t="str">
        <f>IF(UKG!BL134="Y",UKG!D134,"")</f>
        <v/>
      </c>
      <c r="O135" t="str">
        <f>IF(UKG!BL134="Y",UKG!BE134,"")</f>
        <v/>
      </c>
      <c r="P135" t="str">
        <f>IF(UKG!BL134="Y","USD","")</f>
        <v/>
      </c>
    </row>
    <row r="136" spans="1:16" x14ac:dyDescent="0.2">
      <c r="A136" t="str">
        <f>IF(UKG!BL135="Y","700","")</f>
        <v/>
      </c>
      <c r="B136" t="str">
        <f>IF(UKG!BL135="Y","REQ","")</f>
        <v/>
      </c>
      <c r="C136" t="str">
        <f>IF(UKG!BL135="Y",UKG!D135,"")</f>
        <v/>
      </c>
      <c r="O136" t="str">
        <f>IF(UKG!BL135="Y",UKG!BE135,"")</f>
        <v/>
      </c>
      <c r="P136" t="str">
        <f>IF(UKG!BL135="Y","USD","")</f>
        <v/>
      </c>
    </row>
    <row r="137" spans="1:16" x14ac:dyDescent="0.2">
      <c r="A137" t="str">
        <f>IF(UKG!BL136="Y","700","")</f>
        <v/>
      </c>
      <c r="B137" t="str">
        <f>IF(UKG!BL136="Y","REQ","")</f>
        <v/>
      </c>
      <c r="C137" t="str">
        <f>IF(UKG!BL136="Y",UKG!D136,"")</f>
        <v/>
      </c>
      <c r="O137" t="str">
        <f>IF(UKG!BL136="Y",UKG!BE136,"")</f>
        <v/>
      </c>
      <c r="P137" t="str">
        <f>IF(UKG!BL136="Y","USD","")</f>
        <v/>
      </c>
    </row>
    <row r="138" spans="1:16" x14ac:dyDescent="0.2">
      <c r="A138" t="str">
        <f>IF(UKG!BL137="Y","700","")</f>
        <v/>
      </c>
      <c r="B138" t="str">
        <f>IF(UKG!BL137="Y","REQ","")</f>
        <v/>
      </c>
      <c r="C138" t="str">
        <f>IF(UKG!BL137="Y",UKG!D137,"")</f>
        <v/>
      </c>
      <c r="O138" t="str">
        <f>IF(UKG!BL137="Y",UKG!BE137,"")</f>
        <v/>
      </c>
      <c r="P138" t="str">
        <f>IF(UKG!BL137="Y","USD","")</f>
        <v/>
      </c>
    </row>
    <row r="139" spans="1:16" x14ac:dyDescent="0.2">
      <c r="A139" t="str">
        <f>IF(UKG!BL138="Y","700","")</f>
        <v/>
      </c>
      <c r="B139" t="str">
        <f>IF(UKG!BL138="Y","REQ","")</f>
        <v/>
      </c>
      <c r="C139" t="str">
        <f>IF(UKG!BL138="Y",UKG!D138,"")</f>
        <v/>
      </c>
      <c r="O139" t="str">
        <f>IF(UKG!BL138="Y",UKG!BE138,"")</f>
        <v/>
      </c>
      <c r="P139" t="str">
        <f>IF(UKG!BL138="Y","USD","")</f>
        <v/>
      </c>
    </row>
    <row r="140" spans="1:16" x14ac:dyDescent="0.2">
      <c r="A140" t="str">
        <f>IF(UKG!BL139="Y","700","")</f>
        <v/>
      </c>
      <c r="B140" t="str">
        <f>IF(UKG!BL139="Y","REQ","")</f>
        <v/>
      </c>
      <c r="C140" t="str">
        <f>IF(UKG!BL139="Y",UKG!D139,"")</f>
        <v/>
      </c>
      <c r="O140" t="str">
        <f>IF(UKG!BL139="Y",UKG!BE139,"")</f>
        <v/>
      </c>
      <c r="P140" t="str">
        <f>IF(UKG!BL139="Y","USD","")</f>
        <v/>
      </c>
    </row>
    <row r="141" spans="1:16" x14ac:dyDescent="0.2">
      <c r="A141" t="str">
        <f>IF(UKG!BL140="Y","700","")</f>
        <v/>
      </c>
      <c r="B141" t="str">
        <f>IF(UKG!BL140="Y","REQ","")</f>
        <v/>
      </c>
      <c r="C141" t="str">
        <f>IF(UKG!BL140="Y",UKG!D140,"")</f>
        <v/>
      </c>
      <c r="O141" t="str">
        <f>IF(UKG!BL140="Y",UKG!BE140,"")</f>
        <v/>
      </c>
      <c r="P141" t="str">
        <f>IF(UKG!BL140="Y","USD","")</f>
        <v/>
      </c>
    </row>
    <row r="142" spans="1:16" x14ac:dyDescent="0.2">
      <c r="A142" t="str">
        <f>IF(UKG!BL141="Y","700","")</f>
        <v/>
      </c>
      <c r="B142" t="str">
        <f>IF(UKG!BL141="Y","REQ","")</f>
        <v/>
      </c>
      <c r="C142" t="str">
        <f>IF(UKG!BL141="Y",UKG!D141,"")</f>
        <v/>
      </c>
      <c r="O142" t="str">
        <f>IF(UKG!BL141="Y",UKG!BE141,"")</f>
        <v/>
      </c>
      <c r="P142" t="str">
        <f>IF(UKG!BL141="Y","USD","")</f>
        <v/>
      </c>
    </row>
    <row r="143" spans="1:16" x14ac:dyDescent="0.2">
      <c r="A143" t="str">
        <f>IF(UKG!BL142="Y","700","")</f>
        <v/>
      </c>
      <c r="B143" t="str">
        <f>IF(UKG!BL142="Y","REQ","")</f>
        <v/>
      </c>
      <c r="C143" t="str">
        <f>IF(UKG!BL142="Y",UKG!D142,"")</f>
        <v/>
      </c>
      <c r="O143" t="str">
        <f>IF(UKG!BL142="Y",UKG!BE142,"")</f>
        <v/>
      </c>
      <c r="P143" t="str">
        <f>IF(UKG!BL142="Y","USD","")</f>
        <v/>
      </c>
    </row>
    <row r="144" spans="1:16" x14ac:dyDescent="0.2">
      <c r="A144" t="str">
        <f>IF(UKG!BL143="Y","700","")</f>
        <v/>
      </c>
      <c r="B144" t="str">
        <f>IF(UKG!BL143="Y","REQ","")</f>
        <v/>
      </c>
      <c r="C144" t="str">
        <f>IF(UKG!BL143="Y",UKG!D143,"")</f>
        <v/>
      </c>
      <c r="O144" t="str">
        <f>IF(UKG!BL143="Y",UKG!BE143,"")</f>
        <v/>
      </c>
      <c r="P144" t="str">
        <f>IF(UKG!BL143="Y","USD","")</f>
        <v/>
      </c>
    </row>
    <row r="145" spans="1:16" x14ac:dyDescent="0.2">
      <c r="A145" t="str">
        <f>IF(UKG!BL144="Y","700","")</f>
        <v/>
      </c>
      <c r="B145" t="str">
        <f>IF(UKG!BL144="Y","REQ","")</f>
        <v/>
      </c>
      <c r="C145" t="str">
        <f>IF(UKG!BL144="Y",UKG!D144,"")</f>
        <v/>
      </c>
      <c r="O145" t="str">
        <f>IF(UKG!BL144="Y",UKG!BE144,"")</f>
        <v/>
      </c>
      <c r="P145" t="str">
        <f>IF(UKG!BL144="Y","USD","")</f>
        <v/>
      </c>
    </row>
    <row r="146" spans="1:16" x14ac:dyDescent="0.2">
      <c r="A146" t="str">
        <f>IF(UKG!BL145="Y","700","")</f>
        <v/>
      </c>
      <c r="B146" t="str">
        <f>IF(UKG!BL145="Y","REQ","")</f>
        <v/>
      </c>
      <c r="C146" t="str">
        <f>IF(UKG!BL145="Y",UKG!D145,"")</f>
        <v/>
      </c>
      <c r="O146" t="str">
        <f>IF(UKG!BL145="Y",UKG!BE145,"")</f>
        <v/>
      </c>
      <c r="P146" t="str">
        <f>IF(UKG!BL145="Y","USD","")</f>
        <v/>
      </c>
    </row>
    <row r="147" spans="1:16" x14ac:dyDescent="0.2">
      <c r="A147" t="str">
        <f>IF(UKG!BL146="Y","700","")</f>
        <v/>
      </c>
      <c r="B147" t="str">
        <f>IF(UKG!BL146="Y","REQ","")</f>
        <v/>
      </c>
      <c r="C147" t="str">
        <f>IF(UKG!BL146="Y",UKG!D146,"")</f>
        <v/>
      </c>
      <c r="O147" t="str">
        <f>IF(UKG!BL146="Y",UKG!BE146,"")</f>
        <v/>
      </c>
      <c r="P147" t="str">
        <f>IF(UKG!BL146="Y","USD","")</f>
        <v/>
      </c>
    </row>
    <row r="148" spans="1:16" x14ac:dyDescent="0.2">
      <c r="A148" t="str">
        <f>IF(UKG!BL147="Y","700","")</f>
        <v/>
      </c>
      <c r="B148" t="str">
        <f>IF(UKG!BL147="Y","REQ","")</f>
        <v/>
      </c>
      <c r="C148" t="str">
        <f>IF(UKG!BL147="Y",UKG!D147,"")</f>
        <v/>
      </c>
      <c r="O148" t="str">
        <f>IF(UKG!BL147="Y",UKG!BE147,"")</f>
        <v/>
      </c>
      <c r="P148" t="str">
        <f>IF(UKG!BL147="Y","USD","")</f>
        <v/>
      </c>
    </row>
    <row r="149" spans="1:16" x14ac:dyDescent="0.2">
      <c r="A149" t="str">
        <f>IF(UKG!BL148="Y","700","")</f>
        <v/>
      </c>
      <c r="B149" t="str">
        <f>IF(UKG!BL148="Y","REQ","")</f>
        <v/>
      </c>
      <c r="C149" t="str">
        <f>IF(UKG!BL148="Y",UKG!D148,"")</f>
        <v/>
      </c>
      <c r="O149" t="str">
        <f>IF(UKG!BL148="Y",UKG!BE148,"")</f>
        <v/>
      </c>
      <c r="P149" t="str">
        <f>IF(UKG!BL148="Y","USD","")</f>
        <v/>
      </c>
    </row>
    <row r="150" spans="1:16" x14ac:dyDescent="0.2">
      <c r="A150" t="str">
        <f>IF(UKG!BL149="Y","700","")</f>
        <v/>
      </c>
      <c r="B150" t="str">
        <f>IF(UKG!BL149="Y","REQ","")</f>
        <v/>
      </c>
      <c r="C150" t="str">
        <f>IF(UKG!BL149="Y",UKG!D149,"")</f>
        <v/>
      </c>
      <c r="O150" t="str">
        <f>IF(UKG!BL149="Y",UKG!BE149,"")</f>
        <v/>
      </c>
      <c r="P150" t="str">
        <f>IF(UKG!BL149="Y","USD","")</f>
        <v/>
      </c>
    </row>
    <row r="151" spans="1:16" x14ac:dyDescent="0.2">
      <c r="A151" t="str">
        <f>IF(UKG!BL150="Y","700","")</f>
        <v/>
      </c>
      <c r="B151" t="str">
        <f>IF(UKG!BL150="Y","REQ","")</f>
        <v/>
      </c>
      <c r="C151" t="str">
        <f>IF(UKG!BL150="Y",UKG!D150,"")</f>
        <v/>
      </c>
      <c r="O151" t="str">
        <f>IF(UKG!BL150="Y",UKG!BE150,"")</f>
        <v/>
      </c>
      <c r="P151" t="str">
        <f>IF(UKG!BL150="Y","USD","")</f>
        <v/>
      </c>
    </row>
    <row r="152" spans="1:16" x14ac:dyDescent="0.2">
      <c r="A152" t="str">
        <f>IF(UKG!BL151="Y","700","")</f>
        <v/>
      </c>
      <c r="B152" t="str">
        <f>IF(UKG!BL151="Y","REQ","")</f>
        <v/>
      </c>
      <c r="C152" t="str">
        <f>IF(UKG!BL151="Y",UKG!D151,"")</f>
        <v/>
      </c>
      <c r="O152" t="str">
        <f>IF(UKG!BL151="Y",UKG!BE151,"")</f>
        <v/>
      </c>
      <c r="P152" t="str">
        <f>IF(UKG!BL151="Y","USD","")</f>
        <v/>
      </c>
    </row>
    <row r="153" spans="1:16" x14ac:dyDescent="0.2">
      <c r="A153" t="str">
        <f>IF(UKG!BL152="Y","700","")</f>
        <v/>
      </c>
      <c r="B153" t="str">
        <f>IF(UKG!BL152="Y","REQ","")</f>
        <v/>
      </c>
      <c r="C153" t="str">
        <f>IF(UKG!BL152="Y",UKG!D152,"")</f>
        <v/>
      </c>
      <c r="O153" t="str">
        <f>IF(UKG!BL152="Y",UKG!BE152,"")</f>
        <v/>
      </c>
      <c r="P153" t="str">
        <f>IF(UKG!BL152="Y","USD","")</f>
        <v/>
      </c>
    </row>
    <row r="154" spans="1:16" x14ac:dyDescent="0.2">
      <c r="A154" t="str">
        <f>IF(UKG!BL153="Y","700","")</f>
        <v/>
      </c>
      <c r="B154" t="str">
        <f>IF(UKG!BL153="Y","REQ","")</f>
        <v/>
      </c>
      <c r="C154" t="str">
        <f>IF(UKG!BL153="Y",UKG!D153,"")</f>
        <v/>
      </c>
      <c r="O154" t="str">
        <f>IF(UKG!BL153="Y",UKG!BE153,"")</f>
        <v/>
      </c>
      <c r="P154" t="str">
        <f>IF(UKG!BL153="Y","USD","")</f>
        <v/>
      </c>
    </row>
    <row r="155" spans="1:16" x14ac:dyDescent="0.2">
      <c r="A155" t="str">
        <f>IF(UKG!BL154="Y","700","")</f>
        <v/>
      </c>
      <c r="B155" t="str">
        <f>IF(UKG!BL154="Y","REQ","")</f>
        <v/>
      </c>
      <c r="C155" t="str">
        <f>IF(UKG!BL154="Y",UKG!D154,"")</f>
        <v/>
      </c>
      <c r="O155" t="str">
        <f>IF(UKG!BL154="Y",UKG!BE154,"")</f>
        <v/>
      </c>
      <c r="P155" t="str">
        <f>IF(UKG!BL154="Y","USD","")</f>
        <v/>
      </c>
    </row>
    <row r="156" spans="1:16" x14ac:dyDescent="0.2">
      <c r="A156" t="str">
        <f>IF(UKG!BL155="Y","700","")</f>
        <v/>
      </c>
      <c r="B156" t="str">
        <f>IF(UKG!BL155="Y","REQ","")</f>
        <v/>
      </c>
      <c r="C156" t="str">
        <f>IF(UKG!BL155="Y",UKG!D155,"")</f>
        <v/>
      </c>
      <c r="O156" t="str">
        <f>IF(UKG!BL155="Y",UKG!BE155,"")</f>
        <v/>
      </c>
      <c r="P156" t="str">
        <f>IF(UKG!BL155="Y","USD","")</f>
        <v/>
      </c>
    </row>
    <row r="157" spans="1:16" x14ac:dyDescent="0.2">
      <c r="A157" t="str">
        <f>IF(UKG!BL156="Y","700","")</f>
        <v/>
      </c>
      <c r="B157" t="str">
        <f>IF(UKG!BL156="Y","REQ","")</f>
        <v/>
      </c>
      <c r="C157" t="str">
        <f>IF(UKG!BL156="Y",UKG!D156,"")</f>
        <v/>
      </c>
      <c r="O157" t="str">
        <f>IF(UKG!BL156="Y",UKG!BE156,"")</f>
        <v/>
      </c>
      <c r="P157" t="str">
        <f>IF(UKG!BL156="Y","USD","")</f>
        <v/>
      </c>
    </row>
    <row r="158" spans="1:16" x14ac:dyDescent="0.2">
      <c r="A158" t="str">
        <f>IF(UKG!BL157="Y","700","")</f>
        <v/>
      </c>
      <c r="B158" t="str">
        <f>IF(UKG!BL157="Y","REQ","")</f>
        <v/>
      </c>
      <c r="C158" t="str">
        <f>IF(UKG!BL157="Y",UKG!D157,"")</f>
        <v/>
      </c>
      <c r="O158" t="str">
        <f>IF(UKG!BL157="Y",UKG!BE157,"")</f>
        <v/>
      </c>
      <c r="P158" t="str">
        <f>IF(UKG!BL157="Y","USD","")</f>
        <v/>
      </c>
    </row>
    <row r="159" spans="1:16" x14ac:dyDescent="0.2">
      <c r="A159" t="str">
        <f>IF(UKG!BL158="Y","700","")</f>
        <v/>
      </c>
      <c r="B159" t="str">
        <f>IF(UKG!BL158="Y","REQ","")</f>
        <v/>
      </c>
      <c r="C159" t="str">
        <f>IF(UKG!BL158="Y",UKG!D158,"")</f>
        <v/>
      </c>
      <c r="O159" t="str">
        <f>IF(UKG!BL158="Y",UKG!BE158,"")</f>
        <v/>
      </c>
      <c r="P159" t="str">
        <f>IF(UKG!BL158="Y","USD","")</f>
        <v/>
      </c>
    </row>
    <row r="160" spans="1:16" x14ac:dyDescent="0.2">
      <c r="A160" t="str">
        <f>IF(UKG!BL159="Y","700","")</f>
        <v/>
      </c>
      <c r="B160" t="str">
        <f>IF(UKG!BL159="Y","REQ","")</f>
        <v/>
      </c>
      <c r="C160" t="str">
        <f>IF(UKG!BL159="Y",UKG!D159,"")</f>
        <v/>
      </c>
      <c r="O160" t="str">
        <f>IF(UKG!BL159="Y",UKG!BE159,"")</f>
        <v/>
      </c>
      <c r="P160" t="str">
        <f>IF(UKG!BL159="Y","USD","")</f>
        <v/>
      </c>
    </row>
    <row r="161" spans="1:16" x14ac:dyDescent="0.2">
      <c r="A161" t="str">
        <f>IF(UKG!BL160="Y","700","")</f>
        <v/>
      </c>
      <c r="B161" t="str">
        <f>IF(UKG!BL160="Y","REQ","")</f>
        <v/>
      </c>
      <c r="C161" t="str">
        <f>IF(UKG!BL160="Y",UKG!D160,"")</f>
        <v/>
      </c>
      <c r="O161" t="str">
        <f>IF(UKG!BL160="Y",UKG!BE160,"")</f>
        <v/>
      </c>
      <c r="P161" t="str">
        <f>IF(UKG!BL160="Y","USD","")</f>
        <v/>
      </c>
    </row>
    <row r="162" spans="1:16" x14ac:dyDescent="0.2">
      <c r="A162" t="str">
        <f>IF(UKG!BL161="Y","700","")</f>
        <v/>
      </c>
      <c r="B162" t="str">
        <f>IF(UKG!BL161="Y","REQ","")</f>
        <v/>
      </c>
      <c r="C162" t="str">
        <f>IF(UKG!BL161="Y",UKG!D161,"")</f>
        <v/>
      </c>
      <c r="O162" t="str">
        <f>IF(UKG!BL161="Y",UKG!BE161,"")</f>
        <v/>
      </c>
      <c r="P162" t="str">
        <f>IF(UKG!BL161="Y","USD","")</f>
        <v/>
      </c>
    </row>
    <row r="163" spans="1:16" x14ac:dyDescent="0.2">
      <c r="A163" t="str">
        <f>IF(UKG!BL162="Y","700","")</f>
        <v/>
      </c>
      <c r="B163" t="str">
        <f>IF(UKG!BL162="Y","REQ","")</f>
        <v/>
      </c>
      <c r="C163" t="str">
        <f>IF(UKG!BL162="Y",UKG!D162,"")</f>
        <v/>
      </c>
      <c r="O163" t="str">
        <f>IF(UKG!BL162="Y",UKG!BE162,"")</f>
        <v/>
      </c>
      <c r="P163" t="str">
        <f>IF(UKG!BL162="Y","USD","")</f>
        <v/>
      </c>
    </row>
    <row r="164" spans="1:16" x14ac:dyDescent="0.2">
      <c r="A164" t="str">
        <f>IF(UKG!BL163="Y","700","")</f>
        <v/>
      </c>
      <c r="B164" t="str">
        <f>IF(UKG!BL163="Y","REQ","")</f>
        <v/>
      </c>
      <c r="C164" t="str">
        <f>IF(UKG!BL163="Y",UKG!D163,"")</f>
        <v/>
      </c>
      <c r="O164" t="str">
        <f>IF(UKG!BL163="Y",UKG!BE163,"")</f>
        <v/>
      </c>
      <c r="P164" t="str">
        <f>IF(UKG!BL163="Y","USD","")</f>
        <v/>
      </c>
    </row>
    <row r="165" spans="1:16" x14ac:dyDescent="0.2">
      <c r="A165" t="str">
        <f>IF(UKG!BL164="Y","700","")</f>
        <v/>
      </c>
      <c r="B165" t="str">
        <f>IF(UKG!BL164="Y","REQ","")</f>
        <v/>
      </c>
      <c r="C165" t="str">
        <f>IF(UKG!BL164="Y",UKG!D164,"")</f>
        <v/>
      </c>
      <c r="O165" t="str">
        <f>IF(UKG!BL164="Y",UKG!BE164,"")</f>
        <v/>
      </c>
      <c r="P165" t="str">
        <f>IF(UKG!BL164="Y","USD","")</f>
        <v/>
      </c>
    </row>
    <row r="166" spans="1:16" x14ac:dyDescent="0.2">
      <c r="A166" t="str">
        <f>IF(UKG!BL165="Y","700","")</f>
        <v/>
      </c>
      <c r="B166" t="str">
        <f>IF(UKG!BL165="Y","REQ","")</f>
        <v/>
      </c>
      <c r="C166" t="str">
        <f>IF(UKG!BL165="Y",UKG!D165,"")</f>
        <v/>
      </c>
      <c r="O166" t="str">
        <f>IF(UKG!BL165="Y",UKG!BE165,"")</f>
        <v/>
      </c>
      <c r="P166" t="str">
        <f>IF(UKG!BL165="Y","USD","")</f>
        <v/>
      </c>
    </row>
    <row r="167" spans="1:16" x14ac:dyDescent="0.2">
      <c r="A167" t="str">
        <f>IF(UKG!BL166="Y","700","")</f>
        <v/>
      </c>
      <c r="B167" t="str">
        <f>IF(UKG!BL166="Y","REQ","")</f>
        <v/>
      </c>
      <c r="C167" t="str">
        <f>IF(UKG!BL166="Y",UKG!D166,"")</f>
        <v/>
      </c>
      <c r="O167" t="str">
        <f>IF(UKG!BL166="Y",UKG!BE166,"")</f>
        <v/>
      </c>
      <c r="P167" t="str">
        <f>IF(UKG!BL166="Y","USD","")</f>
        <v/>
      </c>
    </row>
    <row r="168" spans="1:16" x14ac:dyDescent="0.2">
      <c r="A168" t="str">
        <f>IF(UKG!BL167="Y","700","")</f>
        <v/>
      </c>
      <c r="B168" t="str">
        <f>IF(UKG!BL167="Y","REQ","")</f>
        <v/>
      </c>
      <c r="C168" t="str">
        <f>IF(UKG!BL167="Y",UKG!D167,"")</f>
        <v/>
      </c>
      <c r="O168" t="str">
        <f>IF(UKG!BL167="Y",UKG!BE167,"")</f>
        <v/>
      </c>
      <c r="P168" t="str">
        <f>IF(UKG!BL167="Y","USD","")</f>
        <v/>
      </c>
    </row>
    <row r="169" spans="1:16" x14ac:dyDescent="0.2">
      <c r="A169" t="str">
        <f>IF(UKG!BL168="Y","700","")</f>
        <v/>
      </c>
      <c r="B169" t="str">
        <f>IF(UKG!BL168="Y","REQ","")</f>
        <v/>
      </c>
      <c r="C169" t="str">
        <f>IF(UKG!BL168="Y",UKG!D168,"")</f>
        <v/>
      </c>
      <c r="O169" t="str">
        <f>IF(UKG!BL168="Y",UKG!BE168,"")</f>
        <v/>
      </c>
      <c r="P169" t="str">
        <f>IF(UKG!BL168="Y","USD","")</f>
        <v/>
      </c>
    </row>
    <row r="170" spans="1:16" x14ac:dyDescent="0.2">
      <c r="A170" t="str">
        <f>IF(UKG!BL169="Y","700","")</f>
        <v/>
      </c>
      <c r="B170" t="str">
        <f>IF(UKG!BL169="Y","REQ","")</f>
        <v/>
      </c>
      <c r="C170" t="str">
        <f>IF(UKG!BL169="Y",UKG!D169,"")</f>
        <v/>
      </c>
      <c r="O170" t="str">
        <f>IF(UKG!BL169="Y",UKG!BE169,"")</f>
        <v/>
      </c>
      <c r="P170" t="str">
        <f>IF(UKG!BL169="Y","USD","")</f>
        <v/>
      </c>
    </row>
    <row r="171" spans="1:16" x14ac:dyDescent="0.2">
      <c r="A171" t="str">
        <f>IF(UKG!BL170="Y","700","")</f>
        <v/>
      </c>
      <c r="B171" t="str">
        <f>IF(UKG!BL170="Y","REQ","")</f>
        <v/>
      </c>
      <c r="C171" t="str">
        <f>IF(UKG!BL170="Y",UKG!D170,"")</f>
        <v/>
      </c>
      <c r="O171" t="str">
        <f>IF(UKG!BL170="Y",UKG!BE170,"")</f>
        <v/>
      </c>
      <c r="P171" t="str">
        <f>IF(UKG!BL170="Y","USD","")</f>
        <v/>
      </c>
    </row>
    <row r="172" spans="1:16" x14ac:dyDescent="0.2">
      <c r="A172" t="str">
        <f>IF(UKG!BL171="Y","700","")</f>
        <v/>
      </c>
      <c r="B172" t="str">
        <f>IF(UKG!BL171="Y","REQ","")</f>
        <v/>
      </c>
      <c r="C172" t="str">
        <f>IF(UKG!BL171="Y",UKG!D171,"")</f>
        <v/>
      </c>
      <c r="O172" t="str">
        <f>IF(UKG!BL171="Y",UKG!BE171,"")</f>
        <v/>
      </c>
      <c r="P172" t="str">
        <f>IF(UKG!BL171="Y","USD","")</f>
        <v/>
      </c>
    </row>
    <row r="173" spans="1:16" x14ac:dyDescent="0.2">
      <c r="A173" t="str">
        <f>IF(UKG!BL172="Y","700","")</f>
        <v/>
      </c>
      <c r="B173" t="str">
        <f>IF(UKG!BL172="Y","REQ","")</f>
        <v/>
      </c>
      <c r="C173" t="str">
        <f>IF(UKG!BL172="Y",UKG!D172,"")</f>
        <v/>
      </c>
      <c r="O173" t="str">
        <f>IF(UKG!BL172="Y",UKG!BE172,"")</f>
        <v/>
      </c>
      <c r="P173" t="str">
        <f>IF(UKG!BL172="Y","USD","")</f>
        <v/>
      </c>
    </row>
    <row r="174" spans="1:16" x14ac:dyDescent="0.2">
      <c r="A174" t="str">
        <f>IF(UKG!BL173="Y","700","")</f>
        <v/>
      </c>
      <c r="B174" t="str">
        <f>IF(UKG!BL173="Y","REQ","")</f>
        <v/>
      </c>
      <c r="C174" t="str">
        <f>IF(UKG!BL173="Y",UKG!D173,"")</f>
        <v/>
      </c>
      <c r="O174" t="str">
        <f>IF(UKG!BL173="Y",UKG!BE173,"")</f>
        <v/>
      </c>
      <c r="P174" t="str">
        <f>IF(UKG!BL173="Y","USD","")</f>
        <v/>
      </c>
    </row>
    <row r="175" spans="1:16" x14ac:dyDescent="0.2">
      <c r="A175" t="str">
        <f>IF(UKG!BL174="Y","700","")</f>
        <v/>
      </c>
      <c r="B175" t="str">
        <f>IF(UKG!BL174="Y","REQ","")</f>
        <v/>
      </c>
      <c r="C175" t="str">
        <f>IF(UKG!BL174="Y",UKG!D174,"")</f>
        <v/>
      </c>
      <c r="O175" t="str">
        <f>IF(UKG!BL174="Y",UKG!BE174,"")</f>
        <v/>
      </c>
      <c r="P175" t="str">
        <f>IF(UKG!BL174="Y","USD","")</f>
        <v/>
      </c>
    </row>
    <row r="176" spans="1:16" x14ac:dyDescent="0.2">
      <c r="A176" t="str">
        <f>IF(UKG!BL175="Y","700","")</f>
        <v/>
      </c>
      <c r="B176" t="str">
        <f>IF(UKG!BL175="Y","REQ","")</f>
        <v/>
      </c>
      <c r="C176" t="str">
        <f>IF(UKG!BL175="Y",UKG!D175,"")</f>
        <v/>
      </c>
      <c r="O176" t="str">
        <f>IF(UKG!BL175="Y",UKG!BE175,"")</f>
        <v/>
      </c>
      <c r="P176" t="str">
        <f>IF(UKG!BL175="Y","USD","")</f>
        <v/>
      </c>
    </row>
    <row r="177" spans="1:16" x14ac:dyDescent="0.2">
      <c r="A177" t="str">
        <f>IF(UKG!BL176="Y","700","")</f>
        <v/>
      </c>
      <c r="B177" t="str">
        <f>IF(UKG!BL176="Y","REQ","")</f>
        <v/>
      </c>
      <c r="C177" t="str">
        <f>IF(UKG!BL176="Y",UKG!D176,"")</f>
        <v/>
      </c>
      <c r="O177" t="str">
        <f>IF(UKG!BL176="Y",UKG!BE176,"")</f>
        <v/>
      </c>
      <c r="P177" t="str">
        <f>IF(UKG!BL176="Y","USD","")</f>
        <v/>
      </c>
    </row>
    <row r="178" spans="1:16" x14ac:dyDescent="0.2">
      <c r="A178" t="str">
        <f>IF(UKG!BL177="Y","700","")</f>
        <v/>
      </c>
      <c r="B178" t="str">
        <f>IF(UKG!BL177="Y","REQ","")</f>
        <v/>
      </c>
      <c r="C178" t="str">
        <f>IF(UKG!BL177="Y",UKG!D177,"")</f>
        <v/>
      </c>
      <c r="O178" t="str">
        <f>IF(UKG!BL177="Y",UKG!BE177,"")</f>
        <v/>
      </c>
      <c r="P178" t="str">
        <f>IF(UKG!BL177="Y","USD","")</f>
        <v/>
      </c>
    </row>
    <row r="179" spans="1:16" x14ac:dyDescent="0.2">
      <c r="A179" t="str">
        <f>IF(UKG!BL178="Y","700","")</f>
        <v/>
      </c>
      <c r="B179" t="str">
        <f>IF(UKG!BL178="Y","REQ","")</f>
        <v/>
      </c>
      <c r="C179" t="str">
        <f>IF(UKG!BL178="Y",UKG!D178,"")</f>
        <v/>
      </c>
      <c r="O179" t="str">
        <f>IF(UKG!BL178="Y",UKG!BE178,"")</f>
        <v/>
      </c>
      <c r="P179" t="str">
        <f>IF(UKG!BL178="Y","USD","")</f>
        <v/>
      </c>
    </row>
    <row r="180" spans="1:16" x14ac:dyDescent="0.2">
      <c r="A180" t="str">
        <f>IF(UKG!BL179="Y","700","")</f>
        <v/>
      </c>
      <c r="B180" t="str">
        <f>IF(UKG!BL179="Y","REQ","")</f>
        <v/>
      </c>
      <c r="C180" t="str">
        <f>IF(UKG!BL179="Y",UKG!D179,"")</f>
        <v/>
      </c>
      <c r="O180" t="str">
        <f>IF(UKG!BL179="Y",UKG!BE179,"")</f>
        <v/>
      </c>
      <c r="P180" t="str">
        <f>IF(UKG!BL179="Y","USD","")</f>
        <v/>
      </c>
    </row>
    <row r="181" spans="1:16" x14ac:dyDescent="0.2">
      <c r="A181" t="str">
        <f>IF(UKG!BL180="Y","700","")</f>
        <v/>
      </c>
      <c r="B181" t="str">
        <f>IF(UKG!BL180="Y","REQ","")</f>
        <v/>
      </c>
      <c r="C181" t="str">
        <f>IF(UKG!BL180="Y",UKG!D180,"")</f>
        <v/>
      </c>
      <c r="O181" t="str">
        <f>IF(UKG!BL180="Y",UKG!BE180,"")</f>
        <v/>
      </c>
      <c r="P181" t="str">
        <f>IF(UKG!BL180="Y","USD","")</f>
        <v/>
      </c>
    </row>
    <row r="182" spans="1:16" x14ac:dyDescent="0.2">
      <c r="A182" t="str">
        <f>IF(UKG!BL181="Y","700","")</f>
        <v/>
      </c>
      <c r="B182" t="str">
        <f>IF(UKG!BL181="Y","REQ","")</f>
        <v/>
      </c>
      <c r="C182" t="str">
        <f>IF(UKG!BL181="Y",UKG!D181,"")</f>
        <v/>
      </c>
      <c r="O182" t="str">
        <f>IF(UKG!BL181="Y",UKG!BE181,"")</f>
        <v/>
      </c>
      <c r="P182" t="str">
        <f>IF(UKG!BL181="Y","USD","")</f>
        <v/>
      </c>
    </row>
    <row r="183" spans="1:16" x14ac:dyDescent="0.2">
      <c r="A183" t="str">
        <f>IF(UKG!BL182="Y","700","")</f>
        <v/>
      </c>
      <c r="B183" t="str">
        <f>IF(UKG!BL182="Y","REQ","")</f>
        <v/>
      </c>
      <c r="C183" t="str">
        <f>IF(UKG!BL182="Y",UKG!D182,"")</f>
        <v/>
      </c>
      <c r="O183" t="str">
        <f>IF(UKG!BL182="Y",UKG!BE182,"")</f>
        <v/>
      </c>
      <c r="P183" t="str">
        <f>IF(UKG!BL182="Y","USD","")</f>
        <v/>
      </c>
    </row>
    <row r="184" spans="1:16" x14ac:dyDescent="0.2">
      <c r="A184" t="str">
        <f>IF(UKG!BL183="Y","700","")</f>
        <v/>
      </c>
      <c r="B184" t="str">
        <f>IF(UKG!BL183="Y","REQ","")</f>
        <v/>
      </c>
      <c r="C184" t="str">
        <f>IF(UKG!BL183="Y",UKG!D183,"")</f>
        <v/>
      </c>
      <c r="O184" t="str">
        <f>IF(UKG!BL183="Y",UKG!BE183,"")</f>
        <v/>
      </c>
      <c r="P184" t="str">
        <f>IF(UKG!BL183="Y","USD","")</f>
        <v/>
      </c>
    </row>
    <row r="185" spans="1:16" x14ac:dyDescent="0.2">
      <c r="A185" t="str">
        <f>IF(UKG!BL184="Y","700","")</f>
        <v/>
      </c>
      <c r="B185" t="str">
        <f>IF(UKG!BL184="Y","REQ","")</f>
        <v/>
      </c>
      <c r="C185" t="str">
        <f>IF(UKG!BL184="Y",UKG!D184,"")</f>
        <v/>
      </c>
      <c r="O185" t="str">
        <f>IF(UKG!BL184="Y",UKG!BE184,"")</f>
        <v/>
      </c>
      <c r="P185" t="str">
        <f>IF(UKG!BL184="Y","USD","")</f>
        <v/>
      </c>
    </row>
    <row r="186" spans="1:16" x14ac:dyDescent="0.2">
      <c r="A186" t="str">
        <f>IF(UKG!BL185="Y","700","")</f>
        <v/>
      </c>
      <c r="B186" t="str">
        <f>IF(UKG!BL185="Y","REQ","")</f>
        <v/>
      </c>
      <c r="C186" t="str">
        <f>IF(UKG!BL185="Y",UKG!D185,"")</f>
        <v/>
      </c>
      <c r="O186" t="str">
        <f>IF(UKG!BL185="Y",UKG!BE185,"")</f>
        <v/>
      </c>
      <c r="P186" t="str">
        <f>IF(UKG!BL185="Y","USD","")</f>
        <v/>
      </c>
    </row>
    <row r="187" spans="1:16" x14ac:dyDescent="0.2">
      <c r="A187" t="str">
        <f>IF(UKG!BL186="Y","700","")</f>
        <v/>
      </c>
      <c r="B187" t="str">
        <f>IF(UKG!BL186="Y","REQ","")</f>
        <v/>
      </c>
      <c r="C187" t="str">
        <f>IF(UKG!BL186="Y",UKG!D186,"")</f>
        <v/>
      </c>
      <c r="O187" t="str">
        <f>IF(UKG!BL186="Y",UKG!BE186,"")</f>
        <v/>
      </c>
      <c r="P187" t="str">
        <f>IF(UKG!BL186="Y","USD","")</f>
        <v/>
      </c>
    </row>
    <row r="188" spans="1:16" x14ac:dyDescent="0.2">
      <c r="A188" t="str">
        <f>IF(UKG!BL187="Y","700","")</f>
        <v/>
      </c>
      <c r="B188" t="str">
        <f>IF(UKG!BL187="Y","REQ","")</f>
        <v/>
      </c>
      <c r="C188" t="str">
        <f>IF(UKG!BL187="Y",UKG!D187,"")</f>
        <v/>
      </c>
      <c r="O188" t="str">
        <f>IF(UKG!BL187="Y",UKG!BE187,"")</f>
        <v/>
      </c>
      <c r="P188" t="str">
        <f>IF(UKG!BL187="Y","USD","")</f>
        <v/>
      </c>
    </row>
    <row r="189" spans="1:16" x14ac:dyDescent="0.2">
      <c r="A189" t="str">
        <f>IF(UKG!BL188="Y","700","")</f>
        <v/>
      </c>
      <c r="B189" t="str">
        <f>IF(UKG!BL188="Y","REQ","")</f>
        <v/>
      </c>
      <c r="C189" t="str">
        <f>IF(UKG!BL188="Y",UKG!D188,"")</f>
        <v/>
      </c>
      <c r="O189" t="str">
        <f>IF(UKG!BL188="Y",UKG!BE188,"")</f>
        <v/>
      </c>
      <c r="P189" t="str">
        <f>IF(UKG!BL188="Y","USD","")</f>
        <v/>
      </c>
    </row>
    <row r="190" spans="1:16" x14ac:dyDescent="0.2">
      <c r="A190" t="str">
        <f>IF(UKG!BL189="Y","700","")</f>
        <v/>
      </c>
      <c r="B190" t="str">
        <f>IF(UKG!BL189="Y","REQ","")</f>
        <v/>
      </c>
      <c r="C190" t="str">
        <f>IF(UKG!BL189="Y",UKG!D189,"")</f>
        <v/>
      </c>
      <c r="O190" t="str">
        <f>IF(UKG!BL189="Y",UKG!BE189,"")</f>
        <v/>
      </c>
      <c r="P190" t="str">
        <f>IF(UKG!BL189="Y","USD","")</f>
        <v/>
      </c>
    </row>
    <row r="191" spans="1:16" x14ac:dyDescent="0.2">
      <c r="A191" t="str">
        <f>IF(UKG!BL190="Y","700","")</f>
        <v/>
      </c>
      <c r="B191" t="str">
        <f>IF(UKG!BL190="Y","REQ","")</f>
        <v/>
      </c>
      <c r="C191" t="str">
        <f>IF(UKG!BL190="Y",UKG!D190,"")</f>
        <v/>
      </c>
      <c r="O191" t="str">
        <f>IF(UKG!BL190="Y",UKG!BE190,"")</f>
        <v/>
      </c>
      <c r="P191" t="str">
        <f>IF(UKG!BL190="Y","USD","")</f>
        <v/>
      </c>
    </row>
    <row r="192" spans="1:16" x14ac:dyDescent="0.2">
      <c r="A192" t="str">
        <f>IF(UKG!BL191="Y","700","")</f>
        <v/>
      </c>
      <c r="B192" t="str">
        <f>IF(UKG!BL191="Y","REQ","")</f>
        <v/>
      </c>
      <c r="C192" t="str">
        <f>IF(UKG!BL191="Y",UKG!D191,"")</f>
        <v/>
      </c>
      <c r="O192" t="str">
        <f>IF(UKG!BL191="Y",UKG!BE191,"")</f>
        <v/>
      </c>
      <c r="P192" t="str">
        <f>IF(UKG!BL191="Y","USD","")</f>
        <v/>
      </c>
    </row>
    <row r="193" spans="1:16" x14ac:dyDescent="0.2">
      <c r="A193" t="str">
        <f>IF(UKG!BL192="Y","700","")</f>
        <v/>
      </c>
      <c r="B193" t="str">
        <f>IF(UKG!BL192="Y","REQ","")</f>
        <v/>
      </c>
      <c r="C193" t="str">
        <f>IF(UKG!BL192="Y",UKG!D192,"")</f>
        <v/>
      </c>
      <c r="O193" t="str">
        <f>IF(UKG!BL192="Y",UKG!BE192,"")</f>
        <v/>
      </c>
      <c r="P193" t="str">
        <f>IF(UKG!BL192="Y","USD","")</f>
        <v/>
      </c>
    </row>
    <row r="194" spans="1:16" x14ac:dyDescent="0.2">
      <c r="A194" t="str">
        <f>IF(UKG!BL193="Y","700","")</f>
        <v/>
      </c>
      <c r="B194" t="str">
        <f>IF(UKG!BL193="Y","REQ","")</f>
        <v/>
      </c>
      <c r="C194" t="str">
        <f>IF(UKG!BL193="Y",UKG!D193,"")</f>
        <v/>
      </c>
      <c r="O194" t="str">
        <f>IF(UKG!BL193="Y",UKG!BE193,"")</f>
        <v/>
      </c>
      <c r="P194" t="str">
        <f>IF(UKG!BL193="Y","USD","")</f>
        <v/>
      </c>
    </row>
    <row r="195" spans="1:16" x14ac:dyDescent="0.2">
      <c r="A195" t="str">
        <f>IF(UKG!BL194="Y","700","")</f>
        <v/>
      </c>
      <c r="B195" t="str">
        <f>IF(UKG!BL194="Y","REQ","")</f>
        <v/>
      </c>
      <c r="C195" t="str">
        <f>IF(UKG!BL194="Y",UKG!D194,"")</f>
        <v/>
      </c>
      <c r="O195" t="str">
        <f>IF(UKG!BL194="Y",UKG!BE194,"")</f>
        <v/>
      </c>
      <c r="P195" t="str">
        <f>IF(UKG!BL194="Y","USD","")</f>
        <v/>
      </c>
    </row>
    <row r="196" spans="1:16" x14ac:dyDescent="0.2">
      <c r="A196" t="str">
        <f>IF(UKG!BL195="Y","700","")</f>
        <v/>
      </c>
      <c r="B196" t="str">
        <f>IF(UKG!BL195="Y","REQ","")</f>
        <v/>
      </c>
      <c r="C196" t="str">
        <f>IF(UKG!BL195="Y",UKG!D195,"")</f>
        <v/>
      </c>
      <c r="O196" t="str">
        <f>IF(UKG!BL195="Y",UKG!BE195,"")</f>
        <v/>
      </c>
      <c r="P196" t="str">
        <f>IF(UKG!BL195="Y","USD","")</f>
        <v/>
      </c>
    </row>
    <row r="197" spans="1:16" x14ac:dyDescent="0.2">
      <c r="A197" t="str">
        <f>IF(UKG!BL196="Y","700","")</f>
        <v/>
      </c>
      <c r="B197" t="str">
        <f>IF(UKG!BL196="Y","REQ","")</f>
        <v/>
      </c>
      <c r="C197" t="str">
        <f>IF(UKG!BL196="Y",UKG!D196,"")</f>
        <v/>
      </c>
      <c r="O197" t="str">
        <f>IF(UKG!BL196="Y",UKG!BE196,"")</f>
        <v/>
      </c>
      <c r="P197" t="str">
        <f>IF(UKG!BL196="Y","USD","")</f>
        <v/>
      </c>
    </row>
    <row r="198" spans="1:16" x14ac:dyDescent="0.2">
      <c r="A198" t="str">
        <f>IF(UKG!BL197="Y","700","")</f>
        <v/>
      </c>
      <c r="B198" t="str">
        <f>IF(UKG!BL197="Y","REQ","")</f>
        <v/>
      </c>
      <c r="C198" t="str">
        <f>IF(UKG!BL197="Y",UKG!D197,"")</f>
        <v/>
      </c>
      <c r="O198" t="str">
        <f>IF(UKG!BL197="Y",UKG!BE197,"")</f>
        <v/>
      </c>
      <c r="P198" t="str">
        <f>IF(UKG!BL197="Y","USD","")</f>
        <v/>
      </c>
    </row>
    <row r="199" spans="1:16" x14ac:dyDescent="0.2">
      <c r="A199" t="str">
        <f>IF(UKG!BL198="Y","700","")</f>
        <v/>
      </c>
      <c r="B199" t="str">
        <f>IF(UKG!BL198="Y","REQ","")</f>
        <v/>
      </c>
      <c r="C199" t="str">
        <f>IF(UKG!BL198="Y",UKG!D198,"")</f>
        <v/>
      </c>
      <c r="O199" t="str">
        <f>IF(UKG!BL198="Y",UKG!BE198,"")</f>
        <v/>
      </c>
      <c r="P199" t="str">
        <f>IF(UKG!BL198="Y","USD","")</f>
        <v/>
      </c>
    </row>
    <row r="200" spans="1:16" x14ac:dyDescent="0.2">
      <c r="A200" t="str">
        <f>IF(UKG!BL199="Y","700","")</f>
        <v/>
      </c>
      <c r="B200" t="str">
        <f>IF(UKG!BL199="Y","REQ","")</f>
        <v/>
      </c>
      <c r="C200" t="str">
        <f>IF(UKG!BL199="Y",UKG!D199,"")</f>
        <v/>
      </c>
      <c r="O200" t="str">
        <f>IF(UKG!BL199="Y",UKG!BE199,"")</f>
        <v/>
      </c>
      <c r="P200" t="str">
        <f>IF(UKG!BL199="Y","USD","")</f>
        <v/>
      </c>
    </row>
    <row r="201" spans="1:16" x14ac:dyDescent="0.2">
      <c r="A201" t="str">
        <f>IF(UKG!BL200="Y","700","")</f>
        <v/>
      </c>
      <c r="B201" t="str">
        <f>IF(UKG!BL200="Y","REQ","")</f>
        <v/>
      </c>
      <c r="C201" t="str">
        <f>IF(UKG!BL200="Y",UKG!D200,"")</f>
        <v/>
      </c>
      <c r="O201" t="str">
        <f>IF(UKG!BL200="Y",UKG!BE200,"")</f>
        <v/>
      </c>
      <c r="P201" t="str">
        <f>IF(UKG!BL200="Y","USD","")</f>
        <v/>
      </c>
    </row>
    <row r="202" spans="1:16" x14ac:dyDescent="0.2">
      <c r="A202" t="str">
        <f>IF(UKG!BL201="Y","700","")</f>
        <v/>
      </c>
      <c r="B202" t="str">
        <f>IF(UKG!BL201="Y","REQ","")</f>
        <v/>
      </c>
      <c r="C202" t="str">
        <f>IF(UKG!BL201="Y",UKG!D201,"")</f>
        <v/>
      </c>
      <c r="O202" t="str">
        <f>IF(UKG!BL201="Y",UKG!BE201,"")</f>
        <v/>
      </c>
      <c r="P202" t="str">
        <f>IF(UKG!BL201="Y","USD","")</f>
        <v/>
      </c>
    </row>
    <row r="203" spans="1:16" x14ac:dyDescent="0.2">
      <c r="A203" t="str">
        <f>IF(UKG!BL202="Y","700","")</f>
        <v/>
      </c>
      <c r="B203" t="str">
        <f>IF(UKG!BL202="Y","REQ","")</f>
        <v/>
      </c>
      <c r="C203" t="str">
        <f>IF(UKG!BL202="Y",UKG!D202,"")</f>
        <v/>
      </c>
      <c r="O203" t="str">
        <f>IF(UKG!BL202="Y",UKG!BE202,"")</f>
        <v/>
      </c>
      <c r="P203" t="str">
        <f>IF(UKG!BL202="Y","USD","")</f>
        <v/>
      </c>
    </row>
    <row r="204" spans="1:16" x14ac:dyDescent="0.2">
      <c r="A204" t="str">
        <f>IF(UKG!BL203="Y","700","")</f>
        <v/>
      </c>
      <c r="B204" t="str">
        <f>IF(UKG!BL203="Y","REQ","")</f>
        <v/>
      </c>
      <c r="C204" t="str">
        <f>IF(UKG!BL203="Y",UKG!D203,"")</f>
        <v/>
      </c>
      <c r="O204" t="str">
        <f>IF(UKG!BL203="Y",UKG!BE203,"")</f>
        <v/>
      </c>
      <c r="P204" t="str">
        <f>IF(UKG!BL203="Y","USD","")</f>
        <v/>
      </c>
    </row>
    <row r="205" spans="1:16" x14ac:dyDescent="0.2">
      <c r="A205" t="str">
        <f>IF(UKG!BL204="Y","700","")</f>
        <v/>
      </c>
      <c r="B205" t="str">
        <f>IF(UKG!BL204="Y","REQ","")</f>
        <v/>
      </c>
      <c r="C205" t="str">
        <f>IF(UKG!BL204="Y",UKG!D204,"")</f>
        <v/>
      </c>
      <c r="O205" t="str">
        <f>IF(UKG!BL204="Y",UKG!BE204,"")</f>
        <v/>
      </c>
      <c r="P205" t="str">
        <f>IF(UKG!BL204="Y","USD","")</f>
        <v/>
      </c>
    </row>
    <row r="206" spans="1:16" x14ac:dyDescent="0.2">
      <c r="A206" t="str">
        <f>IF(UKG!BL205="Y","700","")</f>
        <v/>
      </c>
      <c r="B206" t="str">
        <f>IF(UKG!BL205="Y","REQ","")</f>
        <v/>
      </c>
      <c r="C206" t="str">
        <f>IF(UKG!BL205="Y",UKG!D205,"")</f>
        <v/>
      </c>
      <c r="O206" t="str">
        <f>IF(UKG!BL205="Y",UKG!BE205,"")</f>
        <v/>
      </c>
      <c r="P206" t="str">
        <f>IF(UKG!BL205="Y","USD","")</f>
        <v/>
      </c>
    </row>
    <row r="207" spans="1:16" x14ac:dyDescent="0.2">
      <c r="A207" t="str">
        <f>IF(UKG!BL206="Y","700","")</f>
        <v/>
      </c>
      <c r="B207" t="str">
        <f>IF(UKG!BL206="Y","REQ","")</f>
        <v/>
      </c>
      <c r="C207" t="str">
        <f>IF(UKG!BL206="Y",UKG!D206,"")</f>
        <v/>
      </c>
      <c r="O207" t="str">
        <f>IF(UKG!BL206="Y",UKG!BE206,"")</f>
        <v/>
      </c>
      <c r="P207" t="str">
        <f>IF(UKG!BL206="Y","USD","")</f>
        <v/>
      </c>
    </row>
    <row r="208" spans="1:16" x14ac:dyDescent="0.2">
      <c r="A208" t="str">
        <f>IF(UKG!BL207="Y","700","")</f>
        <v/>
      </c>
      <c r="B208" t="str">
        <f>IF(UKG!BL207="Y","REQ","")</f>
        <v/>
      </c>
      <c r="C208" t="str">
        <f>IF(UKG!BL207="Y",UKG!D207,"")</f>
        <v/>
      </c>
      <c r="O208" t="str">
        <f>IF(UKG!BL207="Y",UKG!BE207,"")</f>
        <v/>
      </c>
      <c r="P208" t="str">
        <f>IF(UKG!BL207="Y","USD","")</f>
        <v/>
      </c>
    </row>
    <row r="209" spans="1:16" x14ac:dyDescent="0.2">
      <c r="A209" t="str">
        <f>IF(UKG!BL208="Y","700","")</f>
        <v/>
      </c>
      <c r="B209" t="str">
        <f>IF(UKG!BL208="Y","REQ","")</f>
        <v/>
      </c>
      <c r="C209" t="str">
        <f>IF(UKG!BL208="Y",UKG!D208,"")</f>
        <v/>
      </c>
      <c r="O209" t="str">
        <f>IF(UKG!BL208="Y",UKG!BE208,"")</f>
        <v/>
      </c>
      <c r="P209" t="str">
        <f>IF(UKG!BL208="Y","USD","")</f>
        <v/>
      </c>
    </row>
    <row r="210" spans="1:16" x14ac:dyDescent="0.2">
      <c r="A210" t="str">
        <f>IF(UKG!BL209="Y","700","")</f>
        <v/>
      </c>
      <c r="B210" t="str">
        <f>IF(UKG!BL209="Y","REQ","")</f>
        <v/>
      </c>
      <c r="C210" t="str">
        <f>IF(UKG!BL209="Y",UKG!D209,"")</f>
        <v/>
      </c>
      <c r="O210" t="str">
        <f>IF(UKG!BL209="Y",UKG!BE209,"")</f>
        <v/>
      </c>
      <c r="P210" t="str">
        <f>IF(UKG!BL209="Y","USD","")</f>
        <v/>
      </c>
    </row>
    <row r="211" spans="1:16" x14ac:dyDescent="0.2">
      <c r="A211" t="str">
        <f>IF(UKG!BL210="Y","700","")</f>
        <v/>
      </c>
      <c r="B211" t="str">
        <f>IF(UKG!BL210="Y","REQ","")</f>
        <v/>
      </c>
      <c r="C211" t="str">
        <f>IF(UKG!BL210="Y",UKG!D210,"")</f>
        <v/>
      </c>
      <c r="O211" t="str">
        <f>IF(UKG!BL210="Y",UKG!BE210,"")</f>
        <v/>
      </c>
      <c r="P211" t="str">
        <f>IF(UKG!BL210="Y","USD","")</f>
        <v/>
      </c>
    </row>
    <row r="212" spans="1:16" x14ac:dyDescent="0.2">
      <c r="A212" t="str">
        <f>IF(UKG!BL211="Y","700","")</f>
        <v/>
      </c>
      <c r="B212" t="str">
        <f>IF(UKG!BL211="Y","REQ","")</f>
        <v/>
      </c>
      <c r="C212" t="str">
        <f>IF(UKG!BL211="Y",UKG!D211,"")</f>
        <v/>
      </c>
      <c r="O212" t="str">
        <f>IF(UKG!BL211="Y",UKG!BE211,"")</f>
        <v/>
      </c>
      <c r="P212" t="str">
        <f>IF(UKG!BL211="Y","USD","")</f>
        <v/>
      </c>
    </row>
    <row r="213" spans="1:16" x14ac:dyDescent="0.2">
      <c r="A213" t="str">
        <f>IF(UKG!BL212="Y","700","")</f>
        <v/>
      </c>
      <c r="B213" t="str">
        <f>IF(UKG!BL212="Y","REQ","")</f>
        <v/>
      </c>
      <c r="C213" t="str">
        <f>IF(UKG!BL212="Y",UKG!D212,"")</f>
        <v/>
      </c>
      <c r="O213" t="str">
        <f>IF(UKG!BL212="Y",UKG!BE212,"")</f>
        <v/>
      </c>
      <c r="P213" t="str">
        <f>IF(UKG!BL212="Y","USD","")</f>
        <v/>
      </c>
    </row>
    <row r="214" spans="1:16" x14ac:dyDescent="0.2">
      <c r="A214" t="str">
        <f>IF(UKG!BL213="Y","700","")</f>
        <v/>
      </c>
      <c r="B214" t="str">
        <f>IF(UKG!BL213="Y","REQ","")</f>
        <v/>
      </c>
      <c r="C214" t="str">
        <f>IF(UKG!BL213="Y",UKG!D213,"")</f>
        <v/>
      </c>
      <c r="O214" t="str">
        <f>IF(UKG!BL213="Y",UKG!BE213,"")</f>
        <v/>
      </c>
      <c r="P214" t="str">
        <f>IF(UKG!BL213="Y","USD","")</f>
        <v/>
      </c>
    </row>
    <row r="215" spans="1:16" x14ac:dyDescent="0.2">
      <c r="A215" t="str">
        <f>IF(UKG!BL214="Y","700","")</f>
        <v/>
      </c>
      <c r="B215" t="str">
        <f>IF(UKG!BL214="Y","REQ","")</f>
        <v/>
      </c>
      <c r="C215" t="str">
        <f>IF(UKG!BL214="Y",UKG!D214,"")</f>
        <v/>
      </c>
      <c r="O215" t="str">
        <f>IF(UKG!BL214="Y",UKG!BE214,"")</f>
        <v/>
      </c>
      <c r="P215" t="str">
        <f>IF(UKG!BL214="Y","USD","")</f>
        <v/>
      </c>
    </row>
    <row r="216" spans="1:16" x14ac:dyDescent="0.2">
      <c r="A216" t="str">
        <f>IF(UKG!BL215="Y","700","")</f>
        <v/>
      </c>
      <c r="B216" t="str">
        <f>IF(UKG!BL215="Y","REQ","")</f>
        <v/>
      </c>
      <c r="C216" t="str">
        <f>IF(UKG!BL215="Y",UKG!D215,"")</f>
        <v/>
      </c>
      <c r="O216" t="str">
        <f>IF(UKG!BL215="Y",UKG!BE215,"")</f>
        <v/>
      </c>
      <c r="P216" t="str">
        <f>IF(UKG!BL215="Y","USD","")</f>
        <v/>
      </c>
    </row>
    <row r="217" spans="1:16" x14ac:dyDescent="0.2">
      <c r="A217" t="str">
        <f>IF(UKG!BL216="Y","700","")</f>
        <v/>
      </c>
      <c r="B217" t="str">
        <f>IF(UKG!BL216="Y","REQ","")</f>
        <v/>
      </c>
      <c r="C217" t="str">
        <f>IF(UKG!BL216="Y",UKG!D216,"")</f>
        <v/>
      </c>
      <c r="O217" t="str">
        <f>IF(UKG!BL216="Y",UKG!BE216,"")</f>
        <v/>
      </c>
      <c r="P217" t="str">
        <f>IF(UKG!BL216="Y","USD","")</f>
        <v/>
      </c>
    </row>
    <row r="218" spans="1:16" x14ac:dyDescent="0.2">
      <c r="A218" t="str">
        <f>IF(UKG!BL217="Y","700","")</f>
        <v/>
      </c>
      <c r="B218" t="str">
        <f>IF(UKG!BL217="Y","REQ","")</f>
        <v/>
      </c>
      <c r="C218" t="str">
        <f>IF(UKG!BL217="Y",UKG!D217,"")</f>
        <v/>
      </c>
      <c r="O218" t="str">
        <f>IF(UKG!BL217="Y",UKG!BE217,"")</f>
        <v/>
      </c>
      <c r="P218" t="str">
        <f>IF(UKG!BL217="Y","USD","")</f>
        <v/>
      </c>
    </row>
    <row r="219" spans="1:16" x14ac:dyDescent="0.2">
      <c r="A219" t="str">
        <f>IF(UKG!BL218="Y","700","")</f>
        <v/>
      </c>
      <c r="B219" t="str">
        <f>IF(UKG!BL218="Y","REQ","")</f>
        <v/>
      </c>
      <c r="C219" t="str">
        <f>IF(UKG!BL218="Y",UKG!D218,"")</f>
        <v/>
      </c>
      <c r="O219" t="str">
        <f>IF(UKG!BL218="Y",UKG!BE218,"")</f>
        <v/>
      </c>
      <c r="P219" t="str">
        <f>IF(UKG!BL218="Y","USD","")</f>
        <v/>
      </c>
    </row>
    <row r="220" spans="1:16" x14ac:dyDescent="0.2">
      <c r="A220" t="str">
        <f>IF(UKG!BL219="Y","700","")</f>
        <v/>
      </c>
      <c r="B220" t="str">
        <f>IF(UKG!BL219="Y","REQ","")</f>
        <v/>
      </c>
      <c r="C220" t="str">
        <f>IF(UKG!BL219="Y",UKG!D219,"")</f>
        <v/>
      </c>
      <c r="O220" t="str">
        <f>IF(UKG!BL219="Y",UKG!BE219,"")</f>
        <v/>
      </c>
      <c r="P220" t="str">
        <f>IF(UKG!BL219="Y","USD","")</f>
        <v/>
      </c>
    </row>
    <row r="221" spans="1:16" x14ac:dyDescent="0.2">
      <c r="A221" t="str">
        <f>IF(UKG!BL220="Y","700","")</f>
        <v/>
      </c>
      <c r="B221" t="str">
        <f>IF(UKG!BL220="Y","REQ","")</f>
        <v/>
      </c>
      <c r="C221" t="str">
        <f>IF(UKG!BL220="Y",UKG!D220,"")</f>
        <v/>
      </c>
      <c r="O221" t="str">
        <f>IF(UKG!BL220="Y",UKG!BE220,"")</f>
        <v/>
      </c>
      <c r="P221" t="str">
        <f>IF(UKG!BL220="Y","USD","")</f>
        <v/>
      </c>
    </row>
    <row r="222" spans="1:16" x14ac:dyDescent="0.2">
      <c r="A222" t="str">
        <f>IF(UKG!BL221="Y","700","")</f>
        <v/>
      </c>
      <c r="B222" t="str">
        <f>IF(UKG!BL221="Y","REQ","")</f>
        <v/>
      </c>
      <c r="C222" t="str">
        <f>IF(UKG!BL221="Y",UKG!D221,"")</f>
        <v/>
      </c>
      <c r="O222" t="str">
        <f>IF(UKG!BL221="Y",UKG!BE221,"")</f>
        <v/>
      </c>
      <c r="P222" t="str">
        <f>IF(UKG!BL221="Y","USD","")</f>
        <v/>
      </c>
    </row>
    <row r="223" spans="1:16" x14ac:dyDescent="0.2">
      <c r="A223" t="str">
        <f>IF(UKG!BL222="Y","700","")</f>
        <v/>
      </c>
      <c r="B223" t="str">
        <f>IF(UKG!BL222="Y","REQ","")</f>
        <v/>
      </c>
      <c r="C223" t="str">
        <f>IF(UKG!BL222="Y",UKG!D222,"")</f>
        <v/>
      </c>
      <c r="O223" t="str">
        <f>IF(UKG!BL222="Y",UKG!BE222,"")</f>
        <v/>
      </c>
      <c r="P223" t="str">
        <f>IF(UKG!BL222="Y","USD","")</f>
        <v/>
      </c>
    </row>
    <row r="224" spans="1:16" x14ac:dyDescent="0.2">
      <c r="A224" t="str">
        <f>IF(UKG!BL223="Y","700","")</f>
        <v/>
      </c>
      <c r="B224" t="str">
        <f>IF(UKG!BL223="Y","REQ","")</f>
        <v/>
      </c>
      <c r="C224" t="str">
        <f>IF(UKG!BL223="Y",UKG!D223,"")</f>
        <v/>
      </c>
      <c r="O224" t="str">
        <f>IF(UKG!BL223="Y",UKG!BE223,"")</f>
        <v/>
      </c>
      <c r="P224" t="str">
        <f>IF(UKG!BL223="Y","USD","")</f>
        <v/>
      </c>
    </row>
    <row r="225" spans="1:16" x14ac:dyDescent="0.2">
      <c r="A225" t="str">
        <f>IF(UKG!BL224="Y","700","")</f>
        <v/>
      </c>
      <c r="B225" t="str">
        <f>IF(UKG!BL224="Y","REQ","")</f>
        <v/>
      </c>
      <c r="C225" t="str">
        <f>IF(UKG!BL224="Y",UKG!D224,"")</f>
        <v/>
      </c>
      <c r="O225" t="str">
        <f>IF(UKG!BL224="Y",UKG!BE224,"")</f>
        <v/>
      </c>
      <c r="P225" t="str">
        <f>IF(UKG!BL224="Y","USD","")</f>
        <v/>
      </c>
    </row>
    <row r="226" spans="1:16" x14ac:dyDescent="0.2">
      <c r="A226" t="str">
        <f>IF(UKG!BL225="Y","700","")</f>
        <v/>
      </c>
      <c r="B226" t="str">
        <f>IF(UKG!BL225="Y","REQ","")</f>
        <v/>
      </c>
      <c r="C226" t="str">
        <f>IF(UKG!BL225="Y",UKG!D225,"")</f>
        <v/>
      </c>
      <c r="O226" t="str">
        <f>IF(UKG!BL225="Y",UKG!BE225,"")</f>
        <v/>
      </c>
      <c r="P226" t="str">
        <f>IF(UKG!BL225="Y","USD","")</f>
        <v/>
      </c>
    </row>
    <row r="227" spans="1:16" x14ac:dyDescent="0.2">
      <c r="A227" t="str">
        <f>IF(UKG!BL226="Y","700","")</f>
        <v/>
      </c>
      <c r="B227" t="str">
        <f>IF(UKG!BL226="Y","REQ","")</f>
        <v/>
      </c>
      <c r="C227" t="str">
        <f>IF(UKG!BL226="Y",UKG!D226,"")</f>
        <v/>
      </c>
      <c r="O227" t="str">
        <f>IF(UKG!BL226="Y",UKG!BE226,"")</f>
        <v/>
      </c>
      <c r="P227" t="str">
        <f>IF(UKG!BL226="Y","USD","")</f>
        <v/>
      </c>
    </row>
    <row r="228" spans="1:16" x14ac:dyDescent="0.2">
      <c r="A228" t="str">
        <f>IF(UKG!BL227="Y","700","")</f>
        <v/>
      </c>
      <c r="B228" t="str">
        <f>IF(UKG!BL227="Y","REQ","")</f>
        <v/>
      </c>
      <c r="C228" t="str">
        <f>IF(UKG!BL227="Y",UKG!D227,"")</f>
        <v/>
      </c>
      <c r="O228" t="str">
        <f>IF(UKG!BL227="Y",UKG!BE227,"")</f>
        <v/>
      </c>
      <c r="P228" t="str">
        <f>IF(UKG!BL227="Y","USD","")</f>
        <v/>
      </c>
    </row>
    <row r="229" spans="1:16" x14ac:dyDescent="0.2">
      <c r="A229" t="str">
        <f>IF(UKG!BL228="Y","700","")</f>
        <v/>
      </c>
      <c r="B229" t="str">
        <f>IF(UKG!BL228="Y","REQ","")</f>
        <v/>
      </c>
      <c r="C229" t="str">
        <f>IF(UKG!BL228="Y",UKG!D228,"")</f>
        <v/>
      </c>
      <c r="O229" t="str">
        <f>IF(UKG!BL228="Y",UKG!BE228,"")</f>
        <v/>
      </c>
      <c r="P229" t="str">
        <f>IF(UKG!BL228="Y","USD","")</f>
        <v/>
      </c>
    </row>
    <row r="230" spans="1:16" x14ac:dyDescent="0.2">
      <c r="A230" t="str">
        <f>IF(UKG!BL229="Y","700","")</f>
        <v/>
      </c>
      <c r="B230" t="str">
        <f>IF(UKG!BL229="Y","REQ","")</f>
        <v/>
      </c>
      <c r="C230" t="str">
        <f>IF(UKG!BL229="Y",UKG!D229,"")</f>
        <v/>
      </c>
      <c r="O230" t="str">
        <f>IF(UKG!BL229="Y",UKG!BE229,"")</f>
        <v/>
      </c>
      <c r="P230" t="str">
        <f>IF(UKG!BL229="Y","USD","")</f>
        <v/>
      </c>
    </row>
    <row r="231" spans="1:16" x14ac:dyDescent="0.2">
      <c r="A231" t="str">
        <f>IF(UKG!BL230="Y","700","")</f>
        <v/>
      </c>
      <c r="B231" t="str">
        <f>IF(UKG!BL230="Y","REQ","")</f>
        <v/>
      </c>
      <c r="C231" t="str">
        <f>IF(UKG!BL230="Y",UKG!D230,"")</f>
        <v/>
      </c>
      <c r="O231" t="str">
        <f>IF(UKG!BL230="Y",UKG!BE230,"")</f>
        <v/>
      </c>
      <c r="P231" t="str">
        <f>IF(UKG!BL230="Y","USD","")</f>
        <v/>
      </c>
    </row>
    <row r="232" spans="1:16" x14ac:dyDescent="0.2">
      <c r="A232" t="str">
        <f>IF(UKG!BL231="Y","700","")</f>
        <v/>
      </c>
      <c r="B232" t="str">
        <f>IF(UKG!BL231="Y","REQ","")</f>
        <v/>
      </c>
      <c r="C232" t="str">
        <f>IF(UKG!BL231="Y",UKG!D231,"")</f>
        <v/>
      </c>
      <c r="O232" t="str">
        <f>IF(UKG!BL231="Y",UKG!BE231,"")</f>
        <v/>
      </c>
      <c r="P232" t="str">
        <f>IF(UKG!BL231="Y","USD","")</f>
        <v/>
      </c>
    </row>
    <row r="233" spans="1:16" x14ac:dyDescent="0.2">
      <c r="A233" t="str">
        <f>IF(UKG!BL232="Y","700","")</f>
        <v/>
      </c>
      <c r="B233" t="str">
        <f>IF(UKG!BL232="Y","REQ","")</f>
        <v/>
      </c>
      <c r="C233" t="str">
        <f>IF(UKG!BL232="Y",UKG!D232,"")</f>
        <v/>
      </c>
      <c r="O233" t="str">
        <f>IF(UKG!BL232="Y",UKG!BE232,"")</f>
        <v/>
      </c>
      <c r="P233" t="str">
        <f>IF(UKG!BL232="Y","USD","")</f>
        <v/>
      </c>
    </row>
    <row r="234" spans="1:16" x14ac:dyDescent="0.2">
      <c r="A234" t="str">
        <f>IF(UKG!BL233="Y","700","")</f>
        <v/>
      </c>
      <c r="B234" t="str">
        <f>IF(UKG!BL233="Y","REQ","")</f>
        <v/>
      </c>
      <c r="C234" t="str">
        <f>IF(UKG!BL233="Y",UKG!D233,"")</f>
        <v/>
      </c>
      <c r="O234" t="str">
        <f>IF(UKG!BL233="Y",UKG!BE233,"")</f>
        <v/>
      </c>
      <c r="P234" t="str">
        <f>IF(UKG!BL233="Y","USD","")</f>
        <v/>
      </c>
    </row>
    <row r="235" spans="1:16" x14ac:dyDescent="0.2">
      <c r="A235" t="str">
        <f>IF(UKG!BL234="Y","700","")</f>
        <v/>
      </c>
      <c r="B235" t="str">
        <f>IF(UKG!BL234="Y","REQ","")</f>
        <v/>
      </c>
      <c r="C235" t="str">
        <f>IF(UKG!BL234="Y",UKG!D234,"")</f>
        <v/>
      </c>
      <c r="O235" t="str">
        <f>IF(UKG!BL234="Y",UKG!BE234,"")</f>
        <v/>
      </c>
      <c r="P235" t="str">
        <f>IF(UKG!BL234="Y","USD","")</f>
        <v/>
      </c>
    </row>
    <row r="236" spans="1:16" x14ac:dyDescent="0.2">
      <c r="A236" t="str">
        <f>IF(UKG!BL235="Y","700","")</f>
        <v/>
      </c>
      <c r="B236" t="str">
        <f>IF(UKG!BL235="Y","REQ","")</f>
        <v/>
      </c>
      <c r="C236" t="str">
        <f>IF(UKG!BL235="Y",UKG!D235,"")</f>
        <v/>
      </c>
      <c r="O236" t="str">
        <f>IF(UKG!BL235="Y",UKG!BE235,"")</f>
        <v/>
      </c>
      <c r="P236" t="str">
        <f>IF(UKG!BL235="Y","USD","")</f>
        <v/>
      </c>
    </row>
    <row r="237" spans="1:16" x14ac:dyDescent="0.2">
      <c r="A237" t="str">
        <f>IF(UKG!BL236="Y","700","")</f>
        <v/>
      </c>
      <c r="B237" t="str">
        <f>IF(UKG!BL236="Y","REQ","")</f>
        <v/>
      </c>
      <c r="C237" t="str">
        <f>IF(UKG!BL236="Y",UKG!D236,"")</f>
        <v/>
      </c>
      <c r="O237" t="str">
        <f>IF(UKG!BL236="Y",UKG!BE236,"")</f>
        <v/>
      </c>
      <c r="P237" t="str">
        <f>IF(UKG!BL236="Y","USD","")</f>
        <v/>
      </c>
    </row>
    <row r="238" spans="1:16" x14ac:dyDescent="0.2">
      <c r="A238" t="str">
        <f>IF(UKG!BL237="Y","700","")</f>
        <v/>
      </c>
      <c r="B238" t="str">
        <f>IF(UKG!BL237="Y","REQ","")</f>
        <v/>
      </c>
      <c r="C238" t="str">
        <f>IF(UKG!BL237="Y",UKG!D237,"")</f>
        <v/>
      </c>
      <c r="O238" t="str">
        <f>IF(UKG!BL237="Y",UKG!BE237,"")</f>
        <v/>
      </c>
      <c r="P238" t="str">
        <f>IF(UKG!BL237="Y","USD","")</f>
        <v/>
      </c>
    </row>
    <row r="239" spans="1:16" x14ac:dyDescent="0.2">
      <c r="A239" t="str">
        <f>IF(UKG!BL238="Y","700","")</f>
        <v/>
      </c>
      <c r="B239" t="str">
        <f>IF(UKG!BL238="Y","REQ","")</f>
        <v/>
      </c>
      <c r="C239" t="str">
        <f>IF(UKG!BL238="Y",UKG!D238,"")</f>
        <v/>
      </c>
      <c r="O239" t="str">
        <f>IF(UKG!BL238="Y",UKG!BE238,"")</f>
        <v/>
      </c>
      <c r="P239" t="str">
        <f>IF(UKG!BL238="Y","USD","")</f>
        <v/>
      </c>
    </row>
    <row r="240" spans="1:16" x14ac:dyDescent="0.2">
      <c r="A240" t="str">
        <f>IF(UKG!BL239="Y","700","")</f>
        <v/>
      </c>
      <c r="B240" t="str">
        <f>IF(UKG!BL239="Y","REQ","")</f>
        <v/>
      </c>
      <c r="C240" t="str">
        <f>IF(UKG!BL239="Y",UKG!D239,"")</f>
        <v/>
      </c>
      <c r="O240" t="str">
        <f>IF(UKG!BL239="Y",UKG!BE239,"")</f>
        <v/>
      </c>
      <c r="P240" t="str">
        <f>IF(UKG!BL239="Y","USD","")</f>
        <v/>
      </c>
    </row>
    <row r="241" spans="1:16" x14ac:dyDescent="0.2">
      <c r="A241" t="str">
        <f>IF(UKG!BL240="Y","700","")</f>
        <v/>
      </c>
      <c r="B241" t="str">
        <f>IF(UKG!BL240="Y","REQ","")</f>
        <v/>
      </c>
      <c r="C241" t="str">
        <f>IF(UKG!BL240="Y",UKG!D240,"")</f>
        <v/>
      </c>
      <c r="O241" t="str">
        <f>IF(UKG!BL240="Y",UKG!BE240,"")</f>
        <v/>
      </c>
      <c r="P241" t="str">
        <f>IF(UKG!BL240="Y","USD","")</f>
        <v/>
      </c>
    </row>
    <row r="242" spans="1:16" x14ac:dyDescent="0.2">
      <c r="A242" t="str">
        <f>IF(UKG!BL241="Y","700","")</f>
        <v/>
      </c>
      <c r="B242" t="str">
        <f>IF(UKG!BL241="Y","REQ","")</f>
        <v/>
      </c>
      <c r="C242" t="str">
        <f>IF(UKG!BL241="Y",UKG!D241,"")</f>
        <v/>
      </c>
      <c r="O242" t="str">
        <f>IF(UKG!BL241="Y",UKG!BE241,"")</f>
        <v/>
      </c>
      <c r="P242" t="str">
        <f>IF(UKG!BL241="Y","USD","")</f>
        <v/>
      </c>
    </row>
    <row r="243" spans="1:16" x14ac:dyDescent="0.2">
      <c r="A243" t="str">
        <f>IF(UKG!BL242="Y","700","")</f>
        <v/>
      </c>
      <c r="B243" t="str">
        <f>IF(UKG!BL242="Y","REQ","")</f>
        <v/>
      </c>
      <c r="C243" t="str">
        <f>IF(UKG!BL242="Y",UKG!D242,"")</f>
        <v/>
      </c>
      <c r="O243" t="str">
        <f>IF(UKG!BL242="Y",UKG!BE242,"")</f>
        <v/>
      </c>
      <c r="P243" t="str">
        <f>IF(UKG!BL242="Y","USD","")</f>
        <v/>
      </c>
    </row>
    <row r="244" spans="1:16" x14ac:dyDescent="0.2">
      <c r="A244" t="str">
        <f>IF(UKG!BL243="Y","700","")</f>
        <v/>
      </c>
      <c r="B244" t="str">
        <f>IF(UKG!BL243="Y","REQ","")</f>
        <v/>
      </c>
      <c r="C244" t="str">
        <f>IF(UKG!BL243="Y",UKG!D243,"")</f>
        <v/>
      </c>
      <c r="O244" t="str">
        <f>IF(UKG!BL243="Y",UKG!BE243,"")</f>
        <v/>
      </c>
      <c r="P244" t="str">
        <f>IF(UKG!BL243="Y","USD","")</f>
        <v/>
      </c>
    </row>
    <row r="245" spans="1:16" x14ac:dyDescent="0.2">
      <c r="A245" t="str">
        <f>IF(UKG!BL244="Y","700","")</f>
        <v/>
      </c>
      <c r="B245" t="str">
        <f>IF(UKG!BL244="Y","REQ","")</f>
        <v/>
      </c>
      <c r="C245" t="str">
        <f>IF(UKG!BL244="Y",UKG!D244,"")</f>
        <v/>
      </c>
      <c r="O245" t="str">
        <f>IF(UKG!BL244="Y",UKG!BE244,"")</f>
        <v/>
      </c>
      <c r="P245" t="str">
        <f>IF(UKG!BL244="Y","USD","")</f>
        <v/>
      </c>
    </row>
    <row r="246" spans="1:16" x14ac:dyDescent="0.2">
      <c r="A246" t="str">
        <f>IF(UKG!BL245="Y","700","")</f>
        <v/>
      </c>
      <c r="B246" t="str">
        <f>IF(UKG!BL245="Y","REQ","")</f>
        <v/>
      </c>
      <c r="C246" t="str">
        <f>IF(UKG!BL245="Y",UKG!D245,"")</f>
        <v/>
      </c>
      <c r="O246" t="str">
        <f>IF(UKG!BL245="Y",UKG!BE245,"")</f>
        <v/>
      </c>
      <c r="P246" t="str">
        <f>IF(UKG!BL245="Y","USD","")</f>
        <v/>
      </c>
    </row>
    <row r="247" spans="1:16" x14ac:dyDescent="0.2">
      <c r="A247" t="str">
        <f>IF(UKG!BL246="Y","700","")</f>
        <v/>
      </c>
      <c r="B247" t="str">
        <f>IF(UKG!BL246="Y","REQ","")</f>
        <v/>
      </c>
      <c r="C247" t="str">
        <f>IF(UKG!BL246="Y",UKG!D246,"")</f>
        <v/>
      </c>
      <c r="O247" t="str">
        <f>IF(UKG!BL246="Y",UKG!BE246,"")</f>
        <v/>
      </c>
      <c r="P247" t="str">
        <f>IF(UKG!BL246="Y","USD","")</f>
        <v/>
      </c>
    </row>
    <row r="248" spans="1:16" x14ac:dyDescent="0.2">
      <c r="A248" t="str">
        <f>IF(UKG!BL247="Y","700","")</f>
        <v/>
      </c>
      <c r="B248" t="str">
        <f>IF(UKG!BL247="Y","REQ","")</f>
        <v/>
      </c>
      <c r="C248" t="str">
        <f>IF(UKG!BL247="Y",UKG!D247,"")</f>
        <v/>
      </c>
      <c r="O248" t="str">
        <f>IF(UKG!BL247="Y",UKG!BE247,"")</f>
        <v/>
      </c>
      <c r="P248" t="str">
        <f>IF(UKG!BL247="Y","USD","")</f>
        <v/>
      </c>
    </row>
    <row r="249" spans="1:16" x14ac:dyDescent="0.2">
      <c r="A249" t="str">
        <f>IF(UKG!BL248="Y","700","")</f>
        <v/>
      </c>
      <c r="B249" t="str">
        <f>IF(UKG!BL248="Y","REQ","")</f>
        <v/>
      </c>
      <c r="C249" t="str">
        <f>IF(UKG!BL248="Y",UKG!D248,"")</f>
        <v/>
      </c>
      <c r="O249" t="str">
        <f>IF(UKG!BL248="Y",UKG!BE248,"")</f>
        <v/>
      </c>
      <c r="P249" t="str">
        <f>IF(UKG!BL248="Y","USD","")</f>
        <v/>
      </c>
    </row>
    <row r="250" spans="1:16" x14ac:dyDescent="0.2">
      <c r="A250" t="str">
        <f>IF(UKG!BL249="Y","700","")</f>
        <v/>
      </c>
      <c r="B250" t="str">
        <f>IF(UKG!BL249="Y","REQ","")</f>
        <v/>
      </c>
      <c r="C250" t="str">
        <f>IF(UKG!BL249="Y",UKG!D249,"")</f>
        <v/>
      </c>
      <c r="O250" t="str">
        <f>IF(UKG!BL249="Y",UKG!BE249,"")</f>
        <v/>
      </c>
      <c r="P250" t="str">
        <f>IF(UKG!BL249="Y","USD","")</f>
        <v/>
      </c>
    </row>
    <row r="251" spans="1:16" x14ac:dyDescent="0.2">
      <c r="A251" t="str">
        <f>IF(UKG!BL250="Y","700","")</f>
        <v/>
      </c>
      <c r="B251" t="str">
        <f>IF(UKG!BL250="Y","REQ","")</f>
        <v/>
      </c>
      <c r="C251" t="str">
        <f>IF(UKG!BL250="Y",UKG!D250,"")</f>
        <v/>
      </c>
      <c r="O251" t="str">
        <f>IF(UKG!BL250="Y",UKG!BE250,"")</f>
        <v/>
      </c>
      <c r="P251" t="str">
        <f>IF(UKG!BL250="Y","USD","")</f>
        <v/>
      </c>
    </row>
    <row r="252" spans="1:16" x14ac:dyDescent="0.2">
      <c r="A252" t="str">
        <f>IF(UKG!BL251="Y","700","")</f>
        <v/>
      </c>
      <c r="B252" t="str">
        <f>IF(UKG!BL251="Y","REQ","")</f>
        <v/>
      </c>
      <c r="C252" t="str">
        <f>IF(UKG!BL251="Y",UKG!D251,"")</f>
        <v/>
      </c>
      <c r="O252" t="str">
        <f>IF(UKG!BL251="Y",UKG!BE251,"")</f>
        <v/>
      </c>
      <c r="P252" t="str">
        <f>IF(UKG!BL251="Y","USD","")</f>
        <v/>
      </c>
    </row>
    <row r="253" spans="1:16" x14ac:dyDescent="0.2">
      <c r="A253" t="str">
        <f>IF(UKG!BL252="Y","700","")</f>
        <v/>
      </c>
      <c r="B253" t="str">
        <f>IF(UKG!BL252="Y","REQ","")</f>
        <v/>
      </c>
      <c r="C253" t="str">
        <f>IF(UKG!BL252="Y",UKG!D252,"")</f>
        <v/>
      </c>
      <c r="O253" t="str">
        <f>IF(UKG!BL252="Y",UKG!BE252,"")</f>
        <v/>
      </c>
      <c r="P253" t="str">
        <f>IF(UKG!BL252="Y","USD","")</f>
        <v/>
      </c>
    </row>
    <row r="254" spans="1:16" x14ac:dyDescent="0.2">
      <c r="A254" t="str">
        <f>IF(UKG!BL253="Y","700","")</f>
        <v/>
      </c>
      <c r="B254" t="str">
        <f>IF(UKG!BL253="Y","REQ","")</f>
        <v/>
      </c>
      <c r="C254" t="str">
        <f>IF(UKG!BL253="Y",UKG!D253,"")</f>
        <v/>
      </c>
      <c r="O254" t="str">
        <f>IF(UKG!BL253="Y",UKG!BE253,"")</f>
        <v/>
      </c>
      <c r="P254" t="str">
        <f>IF(UKG!BL253="Y","USD","")</f>
        <v/>
      </c>
    </row>
    <row r="255" spans="1:16" x14ac:dyDescent="0.2">
      <c r="A255" t="str">
        <f>IF(UKG!BL254="Y","700","")</f>
        <v/>
      </c>
      <c r="B255" t="str">
        <f>IF(UKG!BL254="Y","REQ","")</f>
        <v/>
      </c>
      <c r="C255" t="str">
        <f>IF(UKG!BL254="Y",UKG!D254,"")</f>
        <v/>
      </c>
      <c r="O255" t="str">
        <f>IF(UKG!BL254="Y",UKG!BE254,"")</f>
        <v/>
      </c>
      <c r="P255" t="str">
        <f>IF(UKG!BL254="Y","USD","")</f>
        <v/>
      </c>
    </row>
    <row r="256" spans="1:16" x14ac:dyDescent="0.2">
      <c r="A256" t="str">
        <f>IF(UKG!BL255="Y","700","")</f>
        <v/>
      </c>
      <c r="B256" t="str">
        <f>IF(UKG!BL255="Y","REQ","")</f>
        <v/>
      </c>
      <c r="C256" t="str">
        <f>IF(UKG!BL255="Y",UKG!D255,"")</f>
        <v/>
      </c>
      <c r="O256" t="str">
        <f>IF(UKG!BL255="Y",UKG!BE255,"")</f>
        <v/>
      </c>
      <c r="P256" t="str">
        <f>IF(UKG!BL255="Y","USD","")</f>
        <v/>
      </c>
    </row>
    <row r="257" spans="1:16" x14ac:dyDescent="0.2">
      <c r="A257" t="str">
        <f>IF(UKG!BL256="Y","700","")</f>
        <v/>
      </c>
      <c r="B257" t="str">
        <f>IF(UKG!BL256="Y","REQ","")</f>
        <v/>
      </c>
      <c r="C257" t="str">
        <f>IF(UKG!BL256="Y",UKG!D256,"")</f>
        <v/>
      </c>
      <c r="O257" t="str">
        <f>IF(UKG!BL256="Y",UKG!BE256,"")</f>
        <v/>
      </c>
      <c r="P257" t="str">
        <f>IF(UKG!BL256="Y","USD","")</f>
        <v/>
      </c>
    </row>
    <row r="258" spans="1:16" x14ac:dyDescent="0.2">
      <c r="A258" t="str">
        <f>IF(UKG!BL257="Y","700","")</f>
        <v/>
      </c>
      <c r="B258" t="str">
        <f>IF(UKG!BL257="Y","REQ","")</f>
        <v/>
      </c>
      <c r="C258" t="str">
        <f>IF(UKG!BL257="Y",UKG!D257,"")</f>
        <v/>
      </c>
      <c r="O258" t="str">
        <f>IF(UKG!BL257="Y",UKG!BE257,"")</f>
        <v/>
      </c>
      <c r="P258" t="str">
        <f>IF(UKG!BL257="Y","USD","")</f>
        <v/>
      </c>
    </row>
    <row r="259" spans="1:16" x14ac:dyDescent="0.2">
      <c r="A259" t="str">
        <f>IF(UKG!BL258="Y","700","")</f>
        <v/>
      </c>
      <c r="B259" t="str">
        <f>IF(UKG!BL258="Y","REQ","")</f>
        <v/>
      </c>
      <c r="C259" t="str">
        <f>IF(UKG!BL258="Y",UKG!D258,"")</f>
        <v/>
      </c>
      <c r="O259" t="str">
        <f>IF(UKG!BL258="Y",UKG!BE258,"")</f>
        <v/>
      </c>
      <c r="P259" t="str">
        <f>IF(UKG!BL258="Y","USD","")</f>
        <v/>
      </c>
    </row>
    <row r="260" spans="1:16" x14ac:dyDescent="0.2">
      <c r="A260" t="str">
        <f>IF(UKG!BL259="Y","700","")</f>
        <v/>
      </c>
      <c r="B260" t="str">
        <f>IF(UKG!BL259="Y","REQ","")</f>
        <v/>
      </c>
      <c r="C260" t="str">
        <f>IF(UKG!BL259="Y",UKG!D259,"")</f>
        <v/>
      </c>
      <c r="O260" t="str">
        <f>IF(UKG!BL259="Y",UKG!BE259,"")</f>
        <v/>
      </c>
      <c r="P260" t="str">
        <f>IF(UKG!BL259="Y","USD","")</f>
        <v/>
      </c>
    </row>
    <row r="261" spans="1:16" x14ac:dyDescent="0.2">
      <c r="A261" t="str">
        <f>IF(UKG!BL260="Y","700","")</f>
        <v/>
      </c>
      <c r="B261" t="str">
        <f>IF(UKG!BL260="Y","REQ","")</f>
        <v/>
      </c>
      <c r="C261" t="str">
        <f>IF(UKG!BL260="Y",UKG!D260,"")</f>
        <v/>
      </c>
      <c r="O261" t="str">
        <f>IF(UKG!BL260="Y",UKG!BE260,"")</f>
        <v/>
      </c>
      <c r="P261" t="str">
        <f>IF(UKG!BL260="Y","USD","")</f>
        <v/>
      </c>
    </row>
    <row r="262" spans="1:16" x14ac:dyDescent="0.2">
      <c r="A262" t="str">
        <f>IF(UKG!BL261="Y","700","")</f>
        <v/>
      </c>
      <c r="B262" t="str">
        <f>IF(UKG!BL261="Y","REQ","")</f>
        <v/>
      </c>
      <c r="C262" t="str">
        <f>IF(UKG!BL261="Y",UKG!D261,"")</f>
        <v/>
      </c>
      <c r="O262" t="str">
        <f>IF(UKG!BL261="Y",UKG!BE261,"")</f>
        <v/>
      </c>
      <c r="P262" t="str">
        <f>IF(UKG!BL261="Y","USD","")</f>
        <v/>
      </c>
    </row>
    <row r="263" spans="1:16" x14ac:dyDescent="0.2">
      <c r="A263" t="str">
        <f>IF(UKG!BL262="Y","700","")</f>
        <v/>
      </c>
      <c r="B263" t="str">
        <f>IF(UKG!BL262="Y","REQ","")</f>
        <v/>
      </c>
      <c r="C263" t="str">
        <f>IF(UKG!BL262="Y",UKG!D262,"")</f>
        <v/>
      </c>
      <c r="O263" t="str">
        <f>IF(UKG!BL262="Y",UKG!BE262,"")</f>
        <v/>
      </c>
      <c r="P263" t="str">
        <f>IF(UKG!BL262="Y","USD","")</f>
        <v/>
      </c>
    </row>
    <row r="264" spans="1:16" x14ac:dyDescent="0.2">
      <c r="A264" t="str">
        <f>IF(UKG!BL263="Y","700","")</f>
        <v/>
      </c>
      <c r="B264" t="str">
        <f>IF(UKG!BL263="Y","REQ","")</f>
        <v/>
      </c>
      <c r="C264" t="str">
        <f>IF(UKG!BL263="Y",UKG!D263,"")</f>
        <v/>
      </c>
      <c r="O264" t="str">
        <f>IF(UKG!BL263="Y",UKG!BE263,"")</f>
        <v/>
      </c>
      <c r="P264" t="str">
        <f>IF(UKG!BL263="Y","USD","")</f>
        <v/>
      </c>
    </row>
    <row r="265" spans="1:16" x14ac:dyDescent="0.2">
      <c r="A265" t="str">
        <f>IF(UKG!BL264="Y","700","")</f>
        <v/>
      </c>
      <c r="B265" t="str">
        <f>IF(UKG!BL264="Y","REQ","")</f>
        <v/>
      </c>
      <c r="C265" t="str">
        <f>IF(UKG!BL264="Y",UKG!D264,"")</f>
        <v/>
      </c>
      <c r="O265" t="str">
        <f>IF(UKG!BL264="Y",UKG!BE264,"")</f>
        <v/>
      </c>
      <c r="P265" t="str">
        <f>IF(UKG!BL264="Y","USD","")</f>
        <v/>
      </c>
    </row>
    <row r="266" spans="1:16" x14ac:dyDescent="0.2">
      <c r="A266" t="str">
        <f>IF(UKG!BL265="Y","700","")</f>
        <v/>
      </c>
      <c r="B266" t="str">
        <f>IF(UKG!BL265="Y","REQ","")</f>
        <v/>
      </c>
      <c r="C266" t="str">
        <f>IF(UKG!BL265="Y",UKG!D265,"")</f>
        <v/>
      </c>
      <c r="O266" t="str">
        <f>IF(UKG!BL265="Y",UKG!BE265,"")</f>
        <v/>
      </c>
      <c r="P266" t="str">
        <f>IF(UKG!BL265="Y","USD","")</f>
        <v/>
      </c>
    </row>
    <row r="267" spans="1:16" x14ac:dyDescent="0.2">
      <c r="A267" t="str">
        <f>IF(UKG!BL266="Y","700","")</f>
        <v/>
      </c>
      <c r="B267" t="str">
        <f>IF(UKG!BL266="Y","REQ","")</f>
        <v/>
      </c>
      <c r="C267" t="str">
        <f>IF(UKG!BL266="Y",UKG!D266,"")</f>
        <v/>
      </c>
      <c r="O267" t="str">
        <f>IF(UKG!BL266="Y",UKG!BE266,"")</f>
        <v/>
      </c>
      <c r="P267" t="str">
        <f>IF(UKG!BL266="Y","USD","")</f>
        <v/>
      </c>
    </row>
    <row r="268" spans="1:16" x14ac:dyDescent="0.2">
      <c r="A268" t="str">
        <f>IF(UKG!BL267="Y","700","")</f>
        <v/>
      </c>
      <c r="B268" t="str">
        <f>IF(UKG!BL267="Y","REQ","")</f>
        <v/>
      </c>
      <c r="C268" t="str">
        <f>IF(UKG!BL267="Y",UKG!D267,"")</f>
        <v/>
      </c>
      <c r="O268" t="str">
        <f>IF(UKG!BL267="Y",UKG!BE267,"")</f>
        <v/>
      </c>
      <c r="P268" t="str">
        <f>IF(UKG!BL267="Y","USD","")</f>
        <v/>
      </c>
    </row>
    <row r="269" spans="1:16" x14ac:dyDescent="0.2">
      <c r="A269" t="str">
        <f>IF(UKG!BL268="Y","700","")</f>
        <v/>
      </c>
      <c r="B269" t="str">
        <f>IF(UKG!BL268="Y","REQ","")</f>
        <v/>
      </c>
      <c r="C269" t="str">
        <f>IF(UKG!BL268="Y",UKG!D268,"")</f>
        <v/>
      </c>
      <c r="O269" t="str">
        <f>IF(UKG!BL268="Y",UKG!BE268,"")</f>
        <v/>
      </c>
      <c r="P269" t="str">
        <f>IF(UKG!BL268="Y","USD","")</f>
        <v/>
      </c>
    </row>
    <row r="270" spans="1:16" x14ac:dyDescent="0.2">
      <c r="A270" t="str">
        <f>IF(UKG!BL269="Y","700","")</f>
        <v/>
      </c>
      <c r="B270" t="str">
        <f>IF(UKG!BL269="Y","REQ","")</f>
        <v/>
      </c>
      <c r="C270" t="str">
        <f>IF(UKG!BL269="Y",UKG!D269,"")</f>
        <v/>
      </c>
      <c r="O270" t="str">
        <f>IF(UKG!BL269="Y",UKG!BE269,"")</f>
        <v/>
      </c>
      <c r="P270" t="str">
        <f>IF(UKG!BL269="Y","USD","")</f>
        <v/>
      </c>
    </row>
    <row r="271" spans="1:16" x14ac:dyDescent="0.2">
      <c r="A271" t="str">
        <f>IF(UKG!BL270="Y","700","")</f>
        <v/>
      </c>
      <c r="B271" t="str">
        <f>IF(UKG!BL270="Y","REQ","")</f>
        <v/>
      </c>
      <c r="C271" t="str">
        <f>IF(UKG!BL270="Y",UKG!D270,"")</f>
        <v/>
      </c>
      <c r="O271" t="str">
        <f>IF(UKG!BL270="Y",UKG!BE270,"")</f>
        <v/>
      </c>
      <c r="P271" t="str">
        <f>IF(UKG!BL270="Y","USD","")</f>
        <v/>
      </c>
    </row>
    <row r="272" spans="1:16" x14ac:dyDescent="0.2">
      <c r="A272" t="str">
        <f>IF(UKG!BL271="Y","700","")</f>
        <v/>
      </c>
      <c r="B272" t="str">
        <f>IF(UKG!BL271="Y","REQ","")</f>
        <v/>
      </c>
      <c r="C272" t="str">
        <f>IF(UKG!BL271="Y",UKG!D271,"")</f>
        <v/>
      </c>
      <c r="O272" t="str">
        <f>IF(UKG!BL271="Y",UKG!BE271,"")</f>
        <v/>
      </c>
      <c r="P272" t="str">
        <f>IF(UKG!BL271="Y","USD","")</f>
        <v/>
      </c>
    </row>
    <row r="273" spans="1:16" x14ac:dyDescent="0.2">
      <c r="A273" t="str">
        <f>IF(UKG!BL272="Y","700","")</f>
        <v/>
      </c>
      <c r="B273" t="str">
        <f>IF(UKG!BL272="Y","REQ","")</f>
        <v/>
      </c>
      <c r="C273" t="str">
        <f>IF(UKG!BL272="Y",UKG!D272,"")</f>
        <v/>
      </c>
      <c r="O273" t="str">
        <f>IF(UKG!BL272="Y",UKG!BE272,"")</f>
        <v/>
      </c>
      <c r="P273" t="str">
        <f>IF(UKG!BL272="Y","USD","")</f>
        <v/>
      </c>
    </row>
    <row r="274" spans="1:16" x14ac:dyDescent="0.2">
      <c r="A274" t="str">
        <f>IF(UKG!BL273="Y","700","")</f>
        <v/>
      </c>
      <c r="B274" t="str">
        <f>IF(UKG!BL273="Y","REQ","")</f>
        <v/>
      </c>
      <c r="C274" t="str">
        <f>IF(UKG!BL273="Y",UKG!D273,"")</f>
        <v/>
      </c>
      <c r="O274" t="str">
        <f>IF(UKG!BL273="Y",UKG!BE273,"")</f>
        <v/>
      </c>
      <c r="P274" t="str">
        <f>IF(UKG!BL273="Y","USD","")</f>
        <v/>
      </c>
    </row>
    <row r="275" spans="1:16" x14ac:dyDescent="0.2">
      <c r="A275" t="str">
        <f>IF(UKG!BL274="Y","700","")</f>
        <v/>
      </c>
      <c r="B275" t="str">
        <f>IF(UKG!BL274="Y","REQ","")</f>
        <v/>
      </c>
      <c r="C275" t="str">
        <f>IF(UKG!BL274="Y",UKG!D274,"")</f>
        <v/>
      </c>
      <c r="O275" t="str">
        <f>IF(UKG!BL274="Y",UKG!BE274,"")</f>
        <v/>
      </c>
      <c r="P275" t="str">
        <f>IF(UKG!BL274="Y","USD","")</f>
        <v/>
      </c>
    </row>
    <row r="276" spans="1:16" x14ac:dyDescent="0.2">
      <c r="A276" t="str">
        <f>IF(UKG!BL275="Y","700","")</f>
        <v/>
      </c>
      <c r="B276" t="str">
        <f>IF(UKG!BL275="Y","REQ","")</f>
        <v/>
      </c>
      <c r="C276" t="str">
        <f>IF(UKG!BL275="Y",UKG!D275,"")</f>
        <v/>
      </c>
      <c r="O276" t="str">
        <f>IF(UKG!BL275="Y",UKG!BE275,"")</f>
        <v/>
      </c>
      <c r="P276" t="str">
        <f>IF(UKG!BL275="Y","USD","")</f>
        <v/>
      </c>
    </row>
    <row r="277" spans="1:16" x14ac:dyDescent="0.2">
      <c r="A277" t="str">
        <f>IF(UKG!BL276="Y","700","")</f>
        <v/>
      </c>
      <c r="B277" t="str">
        <f>IF(UKG!BL276="Y","REQ","")</f>
        <v/>
      </c>
      <c r="C277" t="str">
        <f>IF(UKG!BL276="Y",UKG!D276,"")</f>
        <v/>
      </c>
      <c r="O277" t="str">
        <f>IF(UKG!BL276="Y",UKG!BE276,"")</f>
        <v/>
      </c>
      <c r="P277" t="str">
        <f>IF(UKG!BL276="Y","USD","")</f>
        <v/>
      </c>
    </row>
    <row r="278" spans="1:16" x14ac:dyDescent="0.2">
      <c r="A278" t="str">
        <f>IF(UKG!BL277="Y","700","")</f>
        <v/>
      </c>
      <c r="B278" t="str">
        <f>IF(UKG!BL277="Y","REQ","")</f>
        <v/>
      </c>
      <c r="C278" t="str">
        <f>IF(UKG!BL277="Y",UKG!D277,"")</f>
        <v/>
      </c>
      <c r="O278" t="str">
        <f>IF(UKG!BL277="Y",UKG!BE277,"")</f>
        <v/>
      </c>
      <c r="P278" t="str">
        <f>IF(UKG!BL277="Y","USD","")</f>
        <v/>
      </c>
    </row>
    <row r="279" spans="1:16" x14ac:dyDescent="0.2">
      <c r="A279" t="str">
        <f>IF(UKG!BL278="Y","700","")</f>
        <v/>
      </c>
      <c r="B279" t="str">
        <f>IF(UKG!BL278="Y","REQ","")</f>
        <v/>
      </c>
      <c r="C279" t="str">
        <f>IF(UKG!BL278="Y",UKG!D278,"")</f>
        <v/>
      </c>
      <c r="O279" t="str">
        <f>IF(UKG!BL278="Y",UKG!BE278,"")</f>
        <v/>
      </c>
      <c r="P279" t="str">
        <f>IF(UKG!BL278="Y","USD","")</f>
        <v/>
      </c>
    </row>
    <row r="280" spans="1:16" x14ac:dyDescent="0.2">
      <c r="A280" t="str">
        <f>IF(UKG!BL279="Y","700","")</f>
        <v/>
      </c>
      <c r="B280" t="str">
        <f>IF(UKG!BL279="Y","REQ","")</f>
        <v/>
      </c>
      <c r="C280" t="str">
        <f>IF(UKG!BL279="Y",UKG!D279,"")</f>
        <v/>
      </c>
      <c r="O280" t="str">
        <f>IF(UKG!BL279="Y",UKG!BE279,"")</f>
        <v/>
      </c>
      <c r="P280" t="str">
        <f>IF(UKG!BL279="Y","USD","")</f>
        <v/>
      </c>
    </row>
    <row r="281" spans="1:16" x14ac:dyDescent="0.2">
      <c r="A281" t="str">
        <f>IF(UKG!BL280="Y","700","")</f>
        <v/>
      </c>
      <c r="B281" t="str">
        <f>IF(UKG!BL280="Y","REQ","")</f>
        <v/>
      </c>
      <c r="C281" t="str">
        <f>IF(UKG!BL280="Y",UKG!D280,"")</f>
        <v/>
      </c>
      <c r="O281" t="str">
        <f>IF(UKG!BL280="Y",UKG!BE280,"")</f>
        <v/>
      </c>
      <c r="P281" t="str">
        <f>IF(UKG!BL280="Y","USD","")</f>
        <v/>
      </c>
    </row>
    <row r="282" spans="1:16" x14ac:dyDescent="0.2">
      <c r="A282" t="str">
        <f>IF(UKG!BL281="Y","700","")</f>
        <v/>
      </c>
      <c r="B282" t="str">
        <f>IF(UKG!BL281="Y","REQ","")</f>
        <v/>
      </c>
      <c r="C282" t="str">
        <f>IF(UKG!BL281="Y",UKG!D281,"")</f>
        <v/>
      </c>
      <c r="O282" t="str">
        <f>IF(UKG!BL281="Y",UKG!BE281,"")</f>
        <v/>
      </c>
      <c r="P282" t="str">
        <f>IF(UKG!BL281="Y","USD","")</f>
        <v/>
      </c>
    </row>
    <row r="283" spans="1:16" x14ac:dyDescent="0.2">
      <c r="A283" t="str">
        <f>IF(UKG!BL282="Y","700","")</f>
        <v/>
      </c>
      <c r="B283" t="str">
        <f>IF(UKG!BL282="Y","REQ","")</f>
        <v/>
      </c>
      <c r="C283" t="str">
        <f>IF(UKG!BL282="Y",UKG!D282,"")</f>
        <v/>
      </c>
      <c r="O283" t="str">
        <f>IF(UKG!BL282="Y",UKG!BE282,"")</f>
        <v/>
      </c>
      <c r="P283" t="str">
        <f>IF(UKG!BL282="Y","USD","")</f>
        <v/>
      </c>
    </row>
    <row r="284" spans="1:16" x14ac:dyDescent="0.2">
      <c r="A284" t="str">
        <f>IF(UKG!BL283="Y","700","")</f>
        <v/>
      </c>
      <c r="B284" t="str">
        <f>IF(UKG!BL283="Y","REQ","")</f>
        <v/>
      </c>
      <c r="C284" t="str">
        <f>IF(UKG!BL283="Y",UKG!D283,"")</f>
        <v/>
      </c>
      <c r="O284" t="str">
        <f>IF(UKG!BL283="Y",UKG!BE283,"")</f>
        <v/>
      </c>
      <c r="P284" t="str">
        <f>IF(UKG!BL283="Y","USD","")</f>
        <v/>
      </c>
    </row>
    <row r="285" spans="1:16" x14ac:dyDescent="0.2">
      <c r="A285" t="str">
        <f>IF(UKG!BL284="Y","700","")</f>
        <v/>
      </c>
      <c r="B285" t="str">
        <f>IF(UKG!BL284="Y","REQ","")</f>
        <v/>
      </c>
      <c r="C285" t="str">
        <f>IF(UKG!BL284="Y",UKG!D284,"")</f>
        <v/>
      </c>
      <c r="O285" t="str">
        <f>IF(UKG!BL284="Y",UKG!BE284,"")</f>
        <v/>
      </c>
      <c r="P285" t="str">
        <f>IF(UKG!BL284="Y","USD","")</f>
        <v/>
      </c>
    </row>
    <row r="286" spans="1:16" x14ac:dyDescent="0.2">
      <c r="A286" t="str">
        <f>IF(UKG!BL285="Y","700","")</f>
        <v/>
      </c>
      <c r="B286" t="str">
        <f>IF(UKG!BL285="Y","REQ","")</f>
        <v/>
      </c>
      <c r="C286" t="str">
        <f>IF(UKG!BL285="Y",UKG!D285,"")</f>
        <v/>
      </c>
      <c r="O286" t="str">
        <f>IF(UKG!BL285="Y",UKG!BE285,"")</f>
        <v/>
      </c>
      <c r="P286" t="str">
        <f>IF(UKG!BL285="Y","USD","")</f>
        <v/>
      </c>
    </row>
    <row r="287" spans="1:16" x14ac:dyDescent="0.2">
      <c r="A287" t="str">
        <f>IF(UKG!BL286="Y","700","")</f>
        <v/>
      </c>
      <c r="B287" t="str">
        <f>IF(UKG!BL286="Y","REQ","")</f>
        <v/>
      </c>
      <c r="C287" t="str">
        <f>IF(UKG!BL286="Y",UKG!D286,"")</f>
        <v/>
      </c>
      <c r="O287" t="str">
        <f>IF(UKG!BL286="Y",UKG!BE286,"")</f>
        <v/>
      </c>
      <c r="P287" t="str">
        <f>IF(UKG!BL286="Y","USD","")</f>
        <v/>
      </c>
    </row>
    <row r="288" spans="1:16" x14ac:dyDescent="0.2">
      <c r="A288" t="str">
        <f>IF(UKG!BL287="Y","700","")</f>
        <v/>
      </c>
      <c r="B288" t="str">
        <f>IF(UKG!BL287="Y","REQ","")</f>
        <v/>
      </c>
      <c r="C288" t="str">
        <f>IF(UKG!BL287="Y",UKG!D287,"")</f>
        <v/>
      </c>
      <c r="O288" t="str">
        <f>IF(UKG!BL287="Y",UKG!BE287,"")</f>
        <v/>
      </c>
      <c r="P288" t="str">
        <f>IF(UKG!BL287="Y","USD","")</f>
        <v/>
      </c>
    </row>
    <row r="289" spans="1:16" x14ac:dyDescent="0.2">
      <c r="A289" t="str">
        <f>IF(UKG!BL288="Y","700","")</f>
        <v/>
      </c>
      <c r="B289" t="str">
        <f>IF(UKG!BL288="Y","REQ","")</f>
        <v/>
      </c>
      <c r="C289" t="str">
        <f>IF(UKG!BL288="Y",UKG!D288,"")</f>
        <v/>
      </c>
      <c r="O289" t="str">
        <f>IF(UKG!BL288="Y",UKG!BE288,"")</f>
        <v/>
      </c>
      <c r="P289" t="str">
        <f>IF(UKG!BL288="Y","USD","")</f>
        <v/>
      </c>
    </row>
    <row r="290" spans="1:16" x14ac:dyDescent="0.2">
      <c r="A290" t="str">
        <f>IF(UKG!BL289="Y","700","")</f>
        <v/>
      </c>
      <c r="B290" t="str">
        <f>IF(UKG!BL289="Y","REQ","")</f>
        <v/>
      </c>
      <c r="C290" t="str">
        <f>IF(UKG!BL289="Y",UKG!D289,"")</f>
        <v/>
      </c>
      <c r="O290" t="str">
        <f>IF(UKG!BL289="Y",UKG!BE289,"")</f>
        <v/>
      </c>
      <c r="P290" t="str">
        <f>IF(UKG!BL289="Y","USD","")</f>
        <v/>
      </c>
    </row>
    <row r="291" spans="1:16" x14ac:dyDescent="0.2">
      <c r="A291" t="str">
        <f>IF(UKG!BL290="Y","700","")</f>
        <v/>
      </c>
      <c r="B291" t="str">
        <f>IF(UKG!BL290="Y","REQ","")</f>
        <v/>
      </c>
      <c r="C291" t="str">
        <f>IF(UKG!BL290="Y",UKG!D290,"")</f>
        <v/>
      </c>
      <c r="O291" t="str">
        <f>IF(UKG!BL290="Y",UKG!BE290,"")</f>
        <v/>
      </c>
      <c r="P291" t="str">
        <f>IF(UKG!BL290="Y","USD","")</f>
        <v/>
      </c>
    </row>
    <row r="292" spans="1:16" x14ac:dyDescent="0.2">
      <c r="A292" t="str">
        <f>IF(UKG!BL291="Y","700","")</f>
        <v/>
      </c>
      <c r="B292" t="str">
        <f>IF(UKG!BL291="Y","REQ","")</f>
        <v/>
      </c>
      <c r="C292" t="str">
        <f>IF(UKG!BL291="Y",UKG!D291,"")</f>
        <v/>
      </c>
      <c r="O292" t="str">
        <f>IF(UKG!BL291="Y",UKG!BE291,"")</f>
        <v/>
      </c>
      <c r="P292" t="str">
        <f>IF(UKG!BL291="Y","USD","")</f>
        <v/>
      </c>
    </row>
    <row r="293" spans="1:16" x14ac:dyDescent="0.2">
      <c r="A293" t="str">
        <f>IF(UKG!BL292="Y","700","")</f>
        <v/>
      </c>
      <c r="B293" t="str">
        <f>IF(UKG!BL292="Y","REQ","")</f>
        <v/>
      </c>
      <c r="C293" t="str">
        <f>IF(UKG!BL292="Y",UKG!D292,"")</f>
        <v/>
      </c>
      <c r="O293" t="str">
        <f>IF(UKG!BL292="Y",UKG!BE292,"")</f>
        <v/>
      </c>
      <c r="P293" t="str">
        <f>IF(UKG!BL292="Y","USD","")</f>
        <v/>
      </c>
    </row>
    <row r="294" spans="1:16" x14ac:dyDescent="0.2">
      <c r="A294" t="str">
        <f>IF(UKG!BL293="Y","700","")</f>
        <v/>
      </c>
      <c r="B294" t="str">
        <f>IF(UKG!BL293="Y","REQ","")</f>
        <v/>
      </c>
      <c r="C294" t="str">
        <f>IF(UKG!BL293="Y",UKG!D293,"")</f>
        <v/>
      </c>
      <c r="O294" t="str">
        <f>IF(UKG!BL293="Y",UKG!BE293,"")</f>
        <v/>
      </c>
      <c r="P294" t="str">
        <f>IF(UKG!BL293="Y","USD","")</f>
        <v/>
      </c>
    </row>
    <row r="295" spans="1:16" x14ac:dyDescent="0.2">
      <c r="A295" t="str">
        <f>IF(UKG!BL294="Y","700","")</f>
        <v/>
      </c>
      <c r="B295" t="str">
        <f>IF(UKG!BL294="Y","REQ","")</f>
        <v/>
      </c>
      <c r="C295" t="str">
        <f>IF(UKG!BL294="Y",UKG!D294,"")</f>
        <v/>
      </c>
      <c r="O295" t="str">
        <f>IF(UKG!BL294="Y",UKG!BE294,"")</f>
        <v/>
      </c>
      <c r="P295" t="str">
        <f>IF(UKG!BL294="Y","USD","")</f>
        <v/>
      </c>
    </row>
    <row r="296" spans="1:16" x14ac:dyDescent="0.2">
      <c r="A296" t="str">
        <f>IF(UKG!BL295="Y","700","")</f>
        <v/>
      </c>
      <c r="B296" t="str">
        <f>IF(UKG!BL295="Y","REQ","")</f>
        <v/>
      </c>
      <c r="C296" t="str">
        <f>IF(UKG!BL295="Y",UKG!D295,"")</f>
        <v/>
      </c>
      <c r="O296" t="str">
        <f>IF(UKG!BL295="Y",UKG!BE295,"")</f>
        <v/>
      </c>
      <c r="P296" t="str">
        <f>IF(UKG!BL295="Y","USD","")</f>
        <v/>
      </c>
    </row>
    <row r="297" spans="1:16" x14ac:dyDescent="0.2">
      <c r="A297" t="str">
        <f>IF(UKG!BL296="Y","700","")</f>
        <v/>
      </c>
      <c r="B297" t="str">
        <f>IF(UKG!BL296="Y","REQ","")</f>
        <v/>
      </c>
      <c r="C297" t="str">
        <f>IF(UKG!BL296="Y",UKG!D296,"")</f>
        <v/>
      </c>
      <c r="O297" t="str">
        <f>IF(UKG!BL296="Y",UKG!BE296,"")</f>
        <v/>
      </c>
      <c r="P297" t="str">
        <f>IF(UKG!BL296="Y","USD","")</f>
        <v/>
      </c>
    </row>
    <row r="298" spans="1:16" x14ac:dyDescent="0.2">
      <c r="A298" t="str">
        <f>IF(UKG!BL297="Y","700","")</f>
        <v/>
      </c>
      <c r="B298" t="str">
        <f>IF(UKG!BL297="Y","REQ","")</f>
        <v/>
      </c>
      <c r="C298" t="str">
        <f>IF(UKG!BL297="Y",UKG!D297,"")</f>
        <v/>
      </c>
      <c r="O298" t="str">
        <f>IF(UKG!BL297="Y",UKG!BE297,"")</f>
        <v/>
      </c>
      <c r="P298" t="str">
        <f>IF(UKG!BL297="Y","USD","")</f>
        <v/>
      </c>
    </row>
    <row r="299" spans="1:16" x14ac:dyDescent="0.2">
      <c r="A299" t="str">
        <f>IF(UKG!BL298="Y","700","")</f>
        <v/>
      </c>
      <c r="B299" t="str">
        <f>IF(UKG!BL298="Y","REQ","")</f>
        <v/>
      </c>
      <c r="C299" t="str">
        <f>IF(UKG!BL298="Y",UKG!D298,"")</f>
        <v/>
      </c>
      <c r="O299" t="str">
        <f>IF(UKG!BL298="Y",UKG!BE298,"")</f>
        <v/>
      </c>
      <c r="P299" t="str">
        <f>IF(UKG!BL298="Y","USD","")</f>
        <v/>
      </c>
    </row>
    <row r="300" spans="1:16" x14ac:dyDescent="0.2">
      <c r="A300" t="str">
        <f>IF(UKG!BL299="Y","700","")</f>
        <v/>
      </c>
      <c r="B300" t="str">
        <f>IF(UKG!BL299="Y","REQ","")</f>
        <v/>
      </c>
      <c r="C300" t="str">
        <f>IF(UKG!BL299="Y",UKG!D299,"")</f>
        <v/>
      </c>
      <c r="O300" t="str">
        <f>IF(UKG!BL299="Y",UKG!BE299,"")</f>
        <v/>
      </c>
      <c r="P300" t="str">
        <f>IF(UKG!BL299="Y","USD","")</f>
        <v/>
      </c>
    </row>
    <row r="301" spans="1:16" x14ac:dyDescent="0.2">
      <c r="A301" t="str">
        <f>IF(UKG!BL300="Y","700","")</f>
        <v/>
      </c>
      <c r="B301" t="str">
        <f>IF(UKG!BL300="Y","REQ","")</f>
        <v/>
      </c>
      <c r="C301" t="str">
        <f>IF(UKG!BL300="Y",UKG!D300,"")</f>
        <v/>
      </c>
      <c r="O301" t="str">
        <f>IF(UKG!BL300="Y",UKG!BE300,"")</f>
        <v/>
      </c>
      <c r="P301" t="str">
        <f>IF(UKG!BL300="Y","USD","")</f>
        <v/>
      </c>
    </row>
    <row r="302" spans="1:16" x14ac:dyDescent="0.2">
      <c r="A302" t="str">
        <f>IF(UKG!BL301="Y","700","")</f>
        <v/>
      </c>
      <c r="B302" t="str">
        <f>IF(UKG!BL301="Y","REQ","")</f>
        <v/>
      </c>
      <c r="C302" t="str">
        <f>IF(UKG!BL301="Y",UKG!D301,"")</f>
        <v/>
      </c>
      <c r="O302" t="str">
        <f>IF(UKG!BL301="Y",UKG!BE301,"")</f>
        <v/>
      </c>
      <c r="P302" t="str">
        <f>IF(UKG!BL301="Y","USD","")</f>
        <v/>
      </c>
    </row>
    <row r="303" spans="1:16" x14ac:dyDescent="0.2">
      <c r="A303" t="str">
        <f>IF(UKG!BL302="Y","700","")</f>
        <v/>
      </c>
      <c r="B303" t="str">
        <f>IF(UKG!BL302="Y","REQ","")</f>
        <v/>
      </c>
      <c r="C303" t="str">
        <f>IF(UKG!BL302="Y",UKG!D302,"")</f>
        <v/>
      </c>
      <c r="O303" t="str">
        <f>IF(UKG!BL302="Y",UKG!BE302,"")</f>
        <v/>
      </c>
      <c r="P303" t="str">
        <f>IF(UKG!BL302="Y","USD","")</f>
        <v/>
      </c>
    </row>
    <row r="304" spans="1:16" x14ac:dyDescent="0.2">
      <c r="A304" t="str">
        <f>IF(UKG!BL303="Y","700","")</f>
        <v/>
      </c>
      <c r="B304" t="str">
        <f>IF(UKG!BL303="Y","REQ","")</f>
        <v/>
      </c>
      <c r="C304" t="str">
        <f>IF(UKG!BL303="Y",UKG!D303,"")</f>
        <v/>
      </c>
      <c r="O304" t="str">
        <f>IF(UKG!BL303="Y",UKG!BE303,"")</f>
        <v/>
      </c>
      <c r="P304" t="str">
        <f>IF(UKG!BL303="Y","USD","")</f>
        <v/>
      </c>
    </row>
    <row r="305" spans="1:16" x14ac:dyDescent="0.2">
      <c r="A305" t="str">
        <f>IF(UKG!BL304="Y","700","")</f>
        <v/>
      </c>
      <c r="B305" t="str">
        <f>IF(UKG!BL304="Y","REQ","")</f>
        <v/>
      </c>
      <c r="C305" t="str">
        <f>IF(UKG!BL304="Y",UKG!D304,"")</f>
        <v/>
      </c>
      <c r="O305" t="str">
        <f>IF(UKG!BL304="Y",UKG!BE304,"")</f>
        <v/>
      </c>
      <c r="P305" t="str">
        <f>IF(UKG!BL304="Y","USD","")</f>
        <v/>
      </c>
    </row>
    <row r="306" spans="1:16" x14ac:dyDescent="0.2">
      <c r="A306" t="str">
        <f>IF(UKG!BL305="Y","700","")</f>
        <v/>
      </c>
      <c r="B306" t="str">
        <f>IF(UKG!BL305="Y","REQ","")</f>
        <v/>
      </c>
      <c r="C306" t="str">
        <f>IF(UKG!BL305="Y",UKG!D305,"")</f>
        <v/>
      </c>
      <c r="O306" t="str">
        <f>IF(UKG!BL305="Y",UKG!BE305,"")</f>
        <v/>
      </c>
      <c r="P306" t="str">
        <f>IF(UKG!BL305="Y","USD","")</f>
        <v/>
      </c>
    </row>
    <row r="307" spans="1:16" x14ac:dyDescent="0.2">
      <c r="A307" t="str">
        <f>IF(UKG!BL306="Y","700","")</f>
        <v/>
      </c>
      <c r="B307" t="str">
        <f>IF(UKG!BL306="Y","REQ","")</f>
        <v/>
      </c>
      <c r="C307" t="str">
        <f>IF(UKG!BL306="Y",UKG!D306,"")</f>
        <v/>
      </c>
      <c r="O307" t="str">
        <f>IF(UKG!BL306="Y",UKG!BE306,"")</f>
        <v/>
      </c>
      <c r="P307" t="str">
        <f>IF(UKG!BL306="Y","USD","")</f>
        <v/>
      </c>
    </row>
    <row r="308" spans="1:16" x14ac:dyDescent="0.2">
      <c r="A308" t="str">
        <f>IF(UKG!BL307="Y","700","")</f>
        <v/>
      </c>
      <c r="B308" t="str">
        <f>IF(UKG!BL307="Y","REQ","")</f>
        <v/>
      </c>
      <c r="C308" t="str">
        <f>IF(UKG!BL307="Y",UKG!D307,"")</f>
        <v/>
      </c>
      <c r="O308" t="str">
        <f>IF(UKG!BL307="Y",UKG!BE307,"")</f>
        <v/>
      </c>
      <c r="P308" t="str">
        <f>IF(UKG!BL307="Y","USD","")</f>
        <v/>
      </c>
    </row>
    <row r="309" spans="1:16" x14ac:dyDescent="0.2">
      <c r="A309" t="str">
        <f>IF(UKG!BL308="Y","700","")</f>
        <v/>
      </c>
      <c r="B309" t="str">
        <f>IF(UKG!BL308="Y","REQ","")</f>
        <v/>
      </c>
      <c r="C309" t="str">
        <f>IF(UKG!BL308="Y",UKG!D308,"")</f>
        <v/>
      </c>
      <c r="O309" t="str">
        <f>IF(UKG!BL308="Y",UKG!BE308,"")</f>
        <v/>
      </c>
      <c r="P309" t="str">
        <f>IF(UKG!BL308="Y","USD","")</f>
        <v/>
      </c>
    </row>
    <row r="310" spans="1:16" x14ac:dyDescent="0.2">
      <c r="A310" t="str">
        <f>IF(UKG!BL309="Y","700","")</f>
        <v/>
      </c>
      <c r="B310" t="str">
        <f>IF(UKG!BL309="Y","REQ","")</f>
        <v/>
      </c>
      <c r="C310" t="str">
        <f>IF(UKG!BL309="Y",UKG!D309,"")</f>
        <v/>
      </c>
      <c r="O310" t="str">
        <f>IF(UKG!BL309="Y",UKG!BE309,"")</f>
        <v/>
      </c>
      <c r="P310" t="str">
        <f>IF(UKG!BL309="Y","USD","")</f>
        <v/>
      </c>
    </row>
    <row r="311" spans="1:16" x14ac:dyDescent="0.2">
      <c r="A311" t="str">
        <f>IF(UKG!BL310="Y","700","")</f>
        <v/>
      </c>
      <c r="B311" t="str">
        <f>IF(UKG!BL310="Y","REQ","")</f>
        <v/>
      </c>
      <c r="C311" t="str">
        <f>IF(UKG!BL310="Y",UKG!D310,"")</f>
        <v/>
      </c>
      <c r="O311" t="str">
        <f>IF(UKG!BL310="Y",UKG!BE310,"")</f>
        <v/>
      </c>
      <c r="P311" t="str">
        <f>IF(UKG!BL310="Y","USD","")</f>
        <v/>
      </c>
    </row>
    <row r="312" spans="1:16" x14ac:dyDescent="0.2">
      <c r="A312" t="str">
        <f>IF(UKG!BL311="Y","700","")</f>
        <v/>
      </c>
      <c r="B312" t="str">
        <f>IF(UKG!BL311="Y","REQ","")</f>
        <v/>
      </c>
      <c r="C312" t="str">
        <f>IF(UKG!BL311="Y",UKG!D311,"")</f>
        <v/>
      </c>
      <c r="O312" t="str">
        <f>IF(UKG!BL311="Y",UKG!BE311,"")</f>
        <v/>
      </c>
      <c r="P312" t="str">
        <f>IF(UKG!BL311="Y","USD","")</f>
        <v/>
      </c>
    </row>
    <row r="313" spans="1:16" x14ac:dyDescent="0.2">
      <c r="A313" t="str">
        <f>IF(UKG!BL312="Y","700","")</f>
        <v/>
      </c>
      <c r="B313" t="str">
        <f>IF(UKG!BL312="Y","REQ","")</f>
        <v/>
      </c>
      <c r="C313" t="str">
        <f>IF(UKG!BL312="Y",UKG!D312,"")</f>
        <v/>
      </c>
      <c r="O313" t="str">
        <f>IF(UKG!BL312="Y",UKG!BE312,"")</f>
        <v/>
      </c>
      <c r="P313" t="str">
        <f>IF(UKG!BL312="Y","USD","")</f>
        <v/>
      </c>
    </row>
    <row r="314" spans="1:16" x14ac:dyDescent="0.2">
      <c r="A314" t="str">
        <f>IF(UKG!BL313="Y","700","")</f>
        <v/>
      </c>
      <c r="B314" t="str">
        <f>IF(UKG!BL313="Y","REQ","")</f>
        <v/>
      </c>
      <c r="C314" t="str">
        <f>IF(UKG!BL313="Y",UKG!D313,"")</f>
        <v/>
      </c>
      <c r="O314" t="str">
        <f>IF(UKG!BL313="Y",UKG!BE313,"")</f>
        <v/>
      </c>
      <c r="P314" t="str">
        <f>IF(UKG!BL313="Y","USD","")</f>
        <v/>
      </c>
    </row>
    <row r="315" spans="1:16" x14ac:dyDescent="0.2">
      <c r="A315" t="str">
        <f>IF(UKG!BL314="Y","700","")</f>
        <v/>
      </c>
      <c r="B315" t="str">
        <f>IF(UKG!BL314="Y","REQ","")</f>
        <v/>
      </c>
      <c r="C315" t="str">
        <f>IF(UKG!BL314="Y",UKG!D314,"")</f>
        <v/>
      </c>
      <c r="O315" t="str">
        <f>IF(UKG!BL314="Y",UKG!BE314,"")</f>
        <v/>
      </c>
      <c r="P315" t="str">
        <f>IF(UKG!BL314="Y","USD","")</f>
        <v/>
      </c>
    </row>
    <row r="316" spans="1:16" x14ac:dyDescent="0.2">
      <c r="A316" t="str">
        <f>IF(UKG!BL315="Y","700","")</f>
        <v/>
      </c>
      <c r="B316" t="str">
        <f>IF(UKG!BL315="Y","REQ","")</f>
        <v/>
      </c>
      <c r="C316" t="str">
        <f>IF(UKG!BL315="Y",UKG!D315,"")</f>
        <v/>
      </c>
      <c r="O316" t="str">
        <f>IF(UKG!BL315="Y",UKG!BE315,"")</f>
        <v/>
      </c>
      <c r="P316" t="str">
        <f>IF(UKG!BL315="Y","USD","")</f>
        <v/>
      </c>
    </row>
    <row r="317" spans="1:16" x14ac:dyDescent="0.2">
      <c r="A317" t="str">
        <f>IF(UKG!BL316="Y","700","")</f>
        <v/>
      </c>
      <c r="B317" t="str">
        <f>IF(UKG!BL316="Y","REQ","")</f>
        <v/>
      </c>
      <c r="C317" t="str">
        <f>IF(UKG!BL316="Y",UKG!D316,"")</f>
        <v/>
      </c>
      <c r="O317" t="str">
        <f>IF(UKG!BL316="Y",UKG!BE316,"")</f>
        <v/>
      </c>
      <c r="P317" t="str">
        <f>IF(UKG!BL316="Y","USD","")</f>
        <v/>
      </c>
    </row>
    <row r="318" spans="1:16" x14ac:dyDescent="0.2">
      <c r="A318" t="str">
        <f>IF(UKG!BL317="Y","700","")</f>
        <v/>
      </c>
      <c r="B318" t="str">
        <f>IF(UKG!BL317="Y","REQ","")</f>
        <v/>
      </c>
      <c r="C318" t="str">
        <f>IF(UKG!BL317="Y",UKG!D317,"")</f>
        <v/>
      </c>
      <c r="O318" t="str">
        <f>IF(UKG!BL317="Y",UKG!BE317,"")</f>
        <v/>
      </c>
      <c r="P318" t="str">
        <f>IF(UKG!BL317="Y","USD","")</f>
        <v/>
      </c>
    </row>
    <row r="319" spans="1:16" x14ac:dyDescent="0.2">
      <c r="A319" t="str">
        <f>IF(UKG!BL318="Y","700","")</f>
        <v/>
      </c>
      <c r="B319" t="str">
        <f>IF(UKG!BL318="Y","REQ","")</f>
        <v/>
      </c>
      <c r="C319" t="str">
        <f>IF(UKG!BL318="Y",UKG!D318,"")</f>
        <v/>
      </c>
      <c r="O319" t="str">
        <f>IF(UKG!BL318="Y",UKG!BE318,"")</f>
        <v/>
      </c>
      <c r="P319" t="str">
        <f>IF(UKG!BL318="Y","USD","")</f>
        <v/>
      </c>
    </row>
    <row r="320" spans="1:16" x14ac:dyDescent="0.2">
      <c r="A320" t="str">
        <f>IF(UKG!BL319="Y","700","")</f>
        <v/>
      </c>
      <c r="B320" t="str">
        <f>IF(UKG!BL319="Y","REQ","")</f>
        <v/>
      </c>
      <c r="C320" t="str">
        <f>IF(UKG!BL319="Y",UKG!D319,"")</f>
        <v/>
      </c>
      <c r="O320" t="str">
        <f>IF(UKG!BL319="Y",UKG!BE319,"")</f>
        <v/>
      </c>
      <c r="P320" t="str">
        <f>IF(UKG!BL319="Y","USD","")</f>
        <v/>
      </c>
    </row>
    <row r="321" spans="1:16" x14ac:dyDescent="0.2">
      <c r="A321" t="str">
        <f>IF(UKG!BL320="Y","700","")</f>
        <v/>
      </c>
      <c r="B321" t="str">
        <f>IF(UKG!BL320="Y","REQ","")</f>
        <v/>
      </c>
      <c r="C321" t="str">
        <f>IF(UKG!BL320="Y",UKG!D320,"")</f>
        <v/>
      </c>
      <c r="O321" t="str">
        <f>IF(UKG!BL320="Y",UKG!BE320,"")</f>
        <v/>
      </c>
      <c r="P321" t="str">
        <f>IF(UKG!BL320="Y","USD","")</f>
        <v/>
      </c>
    </row>
    <row r="322" spans="1:16" x14ac:dyDescent="0.2">
      <c r="A322" t="str">
        <f>IF(UKG!BL321="Y","700","")</f>
        <v/>
      </c>
      <c r="B322" t="str">
        <f>IF(UKG!BL321="Y","REQ","")</f>
        <v/>
      </c>
      <c r="C322" t="str">
        <f>IF(UKG!BL321="Y",UKG!D321,"")</f>
        <v/>
      </c>
      <c r="O322" t="str">
        <f>IF(UKG!BL321="Y",UKG!BE321,"")</f>
        <v/>
      </c>
      <c r="P322" t="str">
        <f>IF(UKG!BL321="Y","USD","")</f>
        <v/>
      </c>
    </row>
    <row r="323" spans="1:16" x14ac:dyDescent="0.2">
      <c r="A323" t="str">
        <f>IF(UKG!BL322="Y","700","")</f>
        <v/>
      </c>
      <c r="B323" t="str">
        <f>IF(UKG!BL322="Y","REQ","")</f>
        <v/>
      </c>
      <c r="C323" t="str">
        <f>IF(UKG!BL322="Y",UKG!D322,"")</f>
        <v/>
      </c>
      <c r="O323" t="str">
        <f>IF(UKG!BL322="Y",UKG!BE322,"")</f>
        <v/>
      </c>
      <c r="P323" t="str">
        <f>IF(UKG!BL322="Y","USD","")</f>
        <v/>
      </c>
    </row>
    <row r="324" spans="1:16" x14ac:dyDescent="0.2">
      <c r="A324" t="str">
        <f>IF(UKG!BL323="Y","700","")</f>
        <v/>
      </c>
      <c r="B324" t="str">
        <f>IF(UKG!BL323="Y","REQ","")</f>
        <v/>
      </c>
      <c r="C324" t="str">
        <f>IF(UKG!BL323="Y",UKG!D323,"")</f>
        <v/>
      </c>
      <c r="O324" t="str">
        <f>IF(UKG!BL323="Y",UKG!BE323,"")</f>
        <v/>
      </c>
      <c r="P324" t="str">
        <f>IF(UKG!BL323="Y","USD","")</f>
        <v/>
      </c>
    </row>
    <row r="325" spans="1:16" x14ac:dyDescent="0.2">
      <c r="A325" t="str">
        <f>IF(UKG!BL324="Y","700","")</f>
        <v/>
      </c>
      <c r="B325" t="str">
        <f>IF(UKG!BL324="Y","REQ","")</f>
        <v/>
      </c>
      <c r="C325" t="str">
        <f>IF(UKG!BL324="Y",UKG!D324,"")</f>
        <v/>
      </c>
      <c r="O325" t="str">
        <f>IF(UKG!BL324="Y",UKG!BE324,"")</f>
        <v/>
      </c>
      <c r="P325" t="str">
        <f>IF(UKG!BL324="Y","USD","")</f>
        <v/>
      </c>
    </row>
    <row r="326" spans="1:16" x14ac:dyDescent="0.2">
      <c r="A326" t="str">
        <f>IF(UKG!BL325="Y","700","")</f>
        <v/>
      </c>
      <c r="B326" t="str">
        <f>IF(UKG!BL325="Y","REQ","")</f>
        <v/>
      </c>
      <c r="C326" t="str">
        <f>IF(UKG!BL325="Y",UKG!D325,"")</f>
        <v/>
      </c>
      <c r="O326" t="str">
        <f>IF(UKG!BL325="Y",UKG!BE325,"")</f>
        <v/>
      </c>
      <c r="P326" t="str">
        <f>IF(UKG!BL325="Y","USD","")</f>
        <v/>
      </c>
    </row>
    <row r="327" spans="1:16" x14ac:dyDescent="0.2">
      <c r="A327" t="str">
        <f>IF(UKG!BL326="Y","700","")</f>
        <v/>
      </c>
      <c r="B327" t="str">
        <f>IF(UKG!BL326="Y","REQ","")</f>
        <v/>
      </c>
      <c r="C327" t="str">
        <f>IF(UKG!BL326="Y",UKG!D326,"")</f>
        <v/>
      </c>
      <c r="O327" t="str">
        <f>IF(UKG!BL326="Y",UKG!BE326,"")</f>
        <v/>
      </c>
      <c r="P327" t="str">
        <f>IF(UKG!BL326="Y","USD","")</f>
        <v/>
      </c>
    </row>
    <row r="328" spans="1:16" x14ac:dyDescent="0.2">
      <c r="A328" t="str">
        <f>IF(UKG!BL327="Y","700","")</f>
        <v/>
      </c>
      <c r="B328" t="str">
        <f>IF(UKG!BL327="Y","REQ","")</f>
        <v/>
      </c>
      <c r="C328" t="str">
        <f>IF(UKG!BL327="Y",UKG!D327,"")</f>
        <v/>
      </c>
      <c r="O328" t="str">
        <f>IF(UKG!BL327="Y",UKG!BE327,"")</f>
        <v/>
      </c>
      <c r="P328" t="str">
        <f>IF(UKG!BL327="Y","USD","")</f>
        <v/>
      </c>
    </row>
    <row r="329" spans="1:16" x14ac:dyDescent="0.2">
      <c r="A329" t="str">
        <f>IF(UKG!BL328="Y","700","")</f>
        <v/>
      </c>
      <c r="B329" t="str">
        <f>IF(UKG!BL328="Y","REQ","")</f>
        <v/>
      </c>
      <c r="C329" t="str">
        <f>IF(UKG!BL328="Y",UKG!D328,"")</f>
        <v/>
      </c>
      <c r="O329" t="str">
        <f>IF(UKG!BL328="Y",UKG!BE328,"")</f>
        <v/>
      </c>
      <c r="P329" t="str">
        <f>IF(UKG!BL328="Y","USD","")</f>
        <v/>
      </c>
    </row>
    <row r="330" spans="1:16" x14ac:dyDescent="0.2">
      <c r="A330" t="str">
        <f>IF(UKG!BL329="Y","700","")</f>
        <v/>
      </c>
      <c r="B330" t="str">
        <f>IF(UKG!BL329="Y","REQ","")</f>
        <v/>
      </c>
      <c r="C330" t="str">
        <f>IF(UKG!BL329="Y",UKG!D329,"")</f>
        <v/>
      </c>
      <c r="O330" t="str">
        <f>IF(UKG!BL329="Y",UKG!BE329,"")</f>
        <v/>
      </c>
      <c r="P330" t="str">
        <f>IF(UKG!BL329="Y","USD","")</f>
        <v/>
      </c>
    </row>
    <row r="331" spans="1:16" x14ac:dyDescent="0.2">
      <c r="A331" t="str">
        <f>IF(UKG!BL330="Y","700","")</f>
        <v/>
      </c>
      <c r="B331" t="str">
        <f>IF(UKG!BL330="Y","REQ","")</f>
        <v/>
      </c>
      <c r="C331" t="str">
        <f>IF(UKG!BL330="Y",UKG!D330,"")</f>
        <v/>
      </c>
      <c r="O331" t="str">
        <f>IF(UKG!BL330="Y",UKG!BE330,"")</f>
        <v/>
      </c>
      <c r="P331" t="str">
        <f>IF(UKG!BL330="Y","USD","")</f>
        <v/>
      </c>
    </row>
    <row r="332" spans="1:16" x14ac:dyDescent="0.2">
      <c r="A332" t="str">
        <f>IF(UKG!BL331="Y","700","")</f>
        <v/>
      </c>
      <c r="B332" t="str">
        <f>IF(UKG!BL331="Y","REQ","")</f>
        <v/>
      </c>
      <c r="C332" t="str">
        <f>IF(UKG!BL331="Y",UKG!D331,"")</f>
        <v/>
      </c>
      <c r="O332" t="str">
        <f>IF(UKG!BL331="Y",UKG!BE331,"")</f>
        <v/>
      </c>
      <c r="P332" t="str">
        <f>IF(UKG!BL331="Y","USD","")</f>
        <v/>
      </c>
    </row>
    <row r="333" spans="1:16" x14ac:dyDescent="0.2">
      <c r="A333" t="str">
        <f>IF(UKG!BL332="Y","700","")</f>
        <v/>
      </c>
      <c r="B333" t="str">
        <f>IF(UKG!BL332="Y","REQ","")</f>
        <v/>
      </c>
      <c r="C333" t="str">
        <f>IF(UKG!BL332="Y",UKG!D332,"")</f>
        <v/>
      </c>
      <c r="O333" t="str">
        <f>IF(UKG!BL332="Y",UKG!BE332,"")</f>
        <v/>
      </c>
      <c r="P333" t="str">
        <f>IF(UKG!BL332="Y","USD","")</f>
        <v/>
      </c>
    </row>
    <row r="334" spans="1:16" x14ac:dyDescent="0.2">
      <c r="A334" t="str">
        <f>IF(UKG!BL333="Y","700","")</f>
        <v/>
      </c>
      <c r="B334" t="str">
        <f>IF(UKG!BL333="Y","REQ","")</f>
        <v/>
      </c>
      <c r="C334" t="str">
        <f>IF(UKG!BL333="Y",UKG!D333,"")</f>
        <v/>
      </c>
      <c r="O334" t="str">
        <f>IF(UKG!BL333="Y",UKG!BE333,"")</f>
        <v/>
      </c>
      <c r="P334" t="str">
        <f>IF(UKG!BL333="Y","USD","")</f>
        <v/>
      </c>
    </row>
    <row r="335" spans="1:16" x14ac:dyDescent="0.2">
      <c r="A335" t="str">
        <f>IF(UKG!BL334="Y","700","")</f>
        <v/>
      </c>
      <c r="B335" t="str">
        <f>IF(UKG!BL334="Y","REQ","")</f>
        <v/>
      </c>
      <c r="C335" t="str">
        <f>IF(UKG!BL334="Y",UKG!D334,"")</f>
        <v/>
      </c>
      <c r="O335" t="str">
        <f>IF(UKG!BL334="Y",UKG!BE334,"")</f>
        <v/>
      </c>
      <c r="P335" t="str">
        <f>IF(UKG!BL334="Y","USD","")</f>
        <v/>
      </c>
    </row>
    <row r="336" spans="1:16" x14ac:dyDescent="0.2">
      <c r="A336" t="str">
        <f>IF(UKG!BL335="Y","700","")</f>
        <v/>
      </c>
      <c r="B336" t="str">
        <f>IF(UKG!BL335="Y","REQ","")</f>
        <v/>
      </c>
      <c r="C336" t="str">
        <f>IF(UKG!BL335="Y",UKG!D335,"")</f>
        <v/>
      </c>
      <c r="O336" t="str">
        <f>IF(UKG!BL335="Y",UKG!BE335,"")</f>
        <v/>
      </c>
      <c r="P336" t="str">
        <f>IF(UKG!BL335="Y","USD","")</f>
        <v/>
      </c>
    </row>
    <row r="337" spans="1:16" x14ac:dyDescent="0.2">
      <c r="A337" t="str">
        <f>IF(UKG!BL336="Y","700","")</f>
        <v/>
      </c>
      <c r="B337" t="str">
        <f>IF(UKG!BL336="Y","REQ","")</f>
        <v/>
      </c>
      <c r="C337" t="str">
        <f>IF(UKG!BL336="Y",UKG!D336,"")</f>
        <v/>
      </c>
      <c r="O337" t="str">
        <f>IF(UKG!BL336="Y",UKG!BE336,"")</f>
        <v/>
      </c>
      <c r="P337" t="str">
        <f>IF(UKG!BL336="Y","USD","")</f>
        <v/>
      </c>
    </row>
    <row r="338" spans="1:16" x14ac:dyDescent="0.2">
      <c r="A338" t="str">
        <f>IF(UKG!BL337="Y","700","")</f>
        <v/>
      </c>
      <c r="B338" t="str">
        <f>IF(UKG!BL337="Y","REQ","")</f>
        <v/>
      </c>
      <c r="C338" t="str">
        <f>IF(UKG!BL337="Y",UKG!D337,"")</f>
        <v/>
      </c>
      <c r="O338" t="str">
        <f>IF(UKG!BL337="Y",UKG!BE337,"")</f>
        <v/>
      </c>
      <c r="P338" t="str">
        <f>IF(UKG!BL337="Y","USD","")</f>
        <v/>
      </c>
    </row>
    <row r="339" spans="1:16" x14ac:dyDescent="0.2">
      <c r="A339" t="str">
        <f>IF(UKG!BL339="Y","700","")</f>
        <v/>
      </c>
      <c r="B339" t="str">
        <f>IF(UKG!BL339="Y","REQ","")</f>
        <v/>
      </c>
      <c r="C339" t="str">
        <f>IF(UKG!BL339="Y",UKG!D339,"")</f>
        <v/>
      </c>
      <c r="O339" t="str">
        <f>IF(UKG!BL339="Y",UKG!BE339,"")</f>
        <v/>
      </c>
      <c r="P339" t="str">
        <f>IF(UKG!BL339="Y","USD","")</f>
        <v/>
      </c>
    </row>
    <row r="340" spans="1:16" x14ac:dyDescent="0.2">
      <c r="A340" t="str">
        <f>IF(UKG!BL340="Y","700","")</f>
        <v/>
      </c>
      <c r="B340" t="str">
        <f>IF(UKG!BL340="Y","REQ","")</f>
        <v/>
      </c>
      <c r="C340" t="str">
        <f>IF(UKG!BL340="Y",UKG!D340,"")</f>
        <v/>
      </c>
      <c r="O340" t="str">
        <f>IF(UKG!BL340="Y",UKG!BE340,"")</f>
        <v/>
      </c>
      <c r="P340" t="str">
        <f>IF(UKG!BL340="Y","USD","")</f>
        <v/>
      </c>
    </row>
    <row r="341" spans="1:16" x14ac:dyDescent="0.2">
      <c r="A341" t="str">
        <f>IF(UKG!BL341="Y","700","")</f>
        <v/>
      </c>
      <c r="B341" t="str">
        <f>IF(UKG!BL341="Y","REQ","")</f>
        <v/>
      </c>
      <c r="C341" t="str">
        <f>IF(UKG!BL341="Y",UKG!D341,"")</f>
        <v/>
      </c>
      <c r="O341" t="str">
        <f>IF(UKG!BL341="Y",UKG!BE341,"")</f>
        <v/>
      </c>
      <c r="P341" t="str">
        <f>IF(UKG!BL341="Y","USD","")</f>
        <v/>
      </c>
    </row>
    <row r="342" spans="1:16" x14ac:dyDescent="0.2">
      <c r="A342" t="str">
        <f>IF(UKG!BL342="Y","700","")</f>
        <v/>
      </c>
      <c r="B342" t="str">
        <f>IF(UKG!BL342="Y","REQ","")</f>
        <v/>
      </c>
      <c r="C342" t="str">
        <f>IF(UKG!BL342="Y",UKG!D342,"")</f>
        <v/>
      </c>
      <c r="O342" t="str">
        <f>IF(UKG!BL342="Y",UKG!BE342,"")</f>
        <v/>
      </c>
      <c r="P342" t="str">
        <f>IF(UKG!BL342="Y","USD","")</f>
        <v/>
      </c>
    </row>
    <row r="343" spans="1:16" x14ac:dyDescent="0.2">
      <c r="A343" t="str">
        <f>IF(UKG!BL343="Y","700","")</f>
        <v/>
      </c>
      <c r="B343" t="str">
        <f>IF(UKG!BL343="Y","REQ","")</f>
        <v/>
      </c>
      <c r="C343" t="str">
        <f>IF(UKG!BL343="Y",UKG!D343,"")</f>
        <v/>
      </c>
      <c r="O343" t="str">
        <f>IF(UKG!BL343="Y",UKG!BE343,"")</f>
        <v/>
      </c>
      <c r="P343" t="str">
        <f>IF(UKG!BL343="Y","USD","")</f>
        <v/>
      </c>
    </row>
    <row r="344" spans="1:16" x14ac:dyDescent="0.2">
      <c r="A344" t="str">
        <f>IF(UKG!BL344="Y","700","")</f>
        <v/>
      </c>
      <c r="B344" t="str">
        <f>IF(UKG!BL344="Y","REQ","")</f>
        <v/>
      </c>
      <c r="C344" t="str">
        <f>IF(UKG!BL344="Y",UKG!D344,"")</f>
        <v/>
      </c>
      <c r="O344" t="str">
        <f>IF(UKG!BL344="Y",UKG!BE344,"")</f>
        <v/>
      </c>
      <c r="P344" t="str">
        <f>IF(UKG!BL344="Y","USD","")</f>
        <v/>
      </c>
    </row>
    <row r="345" spans="1:16" x14ac:dyDescent="0.2">
      <c r="A345" t="str">
        <f>IF(UKG!BL345="Y","700","")</f>
        <v/>
      </c>
      <c r="B345" t="str">
        <f>IF(UKG!BL345="Y","REQ","")</f>
        <v/>
      </c>
      <c r="C345" t="str">
        <f>IF(UKG!BL345="Y",UKG!D345,"")</f>
        <v/>
      </c>
      <c r="O345" t="str">
        <f>IF(UKG!BL345="Y",UKG!BE345,"")</f>
        <v/>
      </c>
      <c r="P345" t="str">
        <f>IF(UKG!BL345="Y","USD","")</f>
        <v/>
      </c>
    </row>
    <row r="346" spans="1:16" x14ac:dyDescent="0.2">
      <c r="A346" t="str">
        <f>IF(UKG!BL346="Y","700","")</f>
        <v/>
      </c>
      <c r="B346" t="str">
        <f>IF(UKG!BL346="Y","REQ","")</f>
        <v/>
      </c>
      <c r="C346" t="str">
        <f>IF(UKG!BL346="Y",UKG!D346,"")</f>
        <v/>
      </c>
      <c r="O346" t="str">
        <f>IF(UKG!BL346="Y",UKG!BE346,"")</f>
        <v/>
      </c>
      <c r="P346" t="str">
        <f>IF(UKG!BL346="Y","USD","")</f>
        <v/>
      </c>
    </row>
    <row r="347" spans="1:16" x14ac:dyDescent="0.2">
      <c r="A347" t="str">
        <f>IF(UKG!BL347="Y","700","")</f>
        <v/>
      </c>
      <c r="B347" t="str">
        <f>IF(UKG!BL347="Y","REQ","")</f>
        <v/>
      </c>
      <c r="C347" t="str">
        <f>IF(UKG!BL347="Y",UKG!D347,"")</f>
        <v/>
      </c>
      <c r="O347" t="str">
        <f>IF(UKG!BL347="Y",UKG!BE347,"")</f>
        <v/>
      </c>
      <c r="P347" t="str">
        <f>IF(UKG!BL347="Y","USD","")</f>
        <v/>
      </c>
    </row>
    <row r="348" spans="1:16" x14ac:dyDescent="0.2">
      <c r="A348" t="str">
        <f>IF(UKG!BL348="Y","700","")</f>
        <v/>
      </c>
      <c r="B348" t="str">
        <f>IF(UKG!BL348="Y","REQ","")</f>
        <v/>
      </c>
      <c r="C348" t="str">
        <f>IF(UKG!BL348="Y",UKG!D348,"")</f>
        <v/>
      </c>
      <c r="O348" t="str">
        <f>IF(UKG!BL348="Y",UKG!BE348,"")</f>
        <v/>
      </c>
      <c r="P348" t="str">
        <f>IF(UKG!BL348="Y","USD","")</f>
        <v/>
      </c>
    </row>
    <row r="349" spans="1:16" x14ac:dyDescent="0.2">
      <c r="A349" t="str">
        <f>IF(UKG!BL349="Y","700","")</f>
        <v/>
      </c>
      <c r="B349" t="str">
        <f>IF(UKG!BL349="Y","REQ","")</f>
        <v/>
      </c>
      <c r="C349" t="str">
        <f>IF(UKG!BL349="Y",UKG!D349,"")</f>
        <v/>
      </c>
      <c r="O349" t="str">
        <f>IF(UKG!BL349="Y",UKG!BE349,"")</f>
        <v/>
      </c>
      <c r="P349" t="str">
        <f>IF(UKG!BL349="Y","USD","")</f>
        <v/>
      </c>
    </row>
    <row r="350" spans="1:16" x14ac:dyDescent="0.2">
      <c r="A350" t="str">
        <f>IF(UKG!BL350="Y","700","")</f>
        <v/>
      </c>
      <c r="B350" t="str">
        <f>IF(UKG!BL350="Y","REQ","")</f>
        <v/>
      </c>
      <c r="C350" t="str">
        <f>IF(UKG!BL350="Y",UKG!D350,"")</f>
        <v/>
      </c>
      <c r="O350" t="str">
        <f>IF(UKG!BL350="Y",UKG!BE350,"")</f>
        <v/>
      </c>
      <c r="P350" t="str">
        <f>IF(UKG!BL350="Y","USD","")</f>
        <v/>
      </c>
    </row>
    <row r="351" spans="1:16" x14ac:dyDescent="0.2">
      <c r="A351" t="str">
        <f>IF(UKG!BL351="Y","700","")</f>
        <v/>
      </c>
      <c r="B351" t="str">
        <f>IF(UKG!BL351="Y","REQ","")</f>
        <v/>
      </c>
      <c r="C351" t="str">
        <f>IF(UKG!BL351="Y",UKG!D351,"")</f>
        <v/>
      </c>
      <c r="O351" t="str">
        <f>IF(UKG!BL351="Y",UKG!BE351,"")</f>
        <v/>
      </c>
      <c r="P351" t="str">
        <f>IF(UKG!BL351="Y","USD","")</f>
        <v/>
      </c>
    </row>
    <row r="352" spans="1:16" x14ac:dyDescent="0.2">
      <c r="A352" t="str">
        <f>IF(UKG!BL352="Y","700","")</f>
        <v/>
      </c>
      <c r="B352" t="str">
        <f>IF(UKG!BL352="Y","REQ","")</f>
        <v/>
      </c>
      <c r="C352" t="str">
        <f>IF(UKG!BL352="Y",UKG!D352,"")</f>
        <v/>
      </c>
      <c r="O352" t="str">
        <f>IF(UKG!BL352="Y",UKG!BE352,"")</f>
        <v/>
      </c>
      <c r="P352" t="str">
        <f>IF(UKG!BL352="Y","USD","")</f>
        <v/>
      </c>
    </row>
    <row r="353" spans="1:16" x14ac:dyDescent="0.2">
      <c r="A353" t="str">
        <f>IF(UKG!BL353="Y","700","")</f>
        <v/>
      </c>
      <c r="B353" t="str">
        <f>IF(UKG!BL353="Y","REQ","")</f>
        <v/>
      </c>
      <c r="C353" t="str">
        <f>IF(UKG!BL353="Y",UKG!D353,"")</f>
        <v/>
      </c>
      <c r="O353" t="str">
        <f>IF(UKG!BL353="Y",UKG!BE353,"")</f>
        <v/>
      </c>
      <c r="P353" t="str">
        <f>IF(UKG!BL353="Y","USD","")</f>
        <v/>
      </c>
    </row>
    <row r="354" spans="1:16" x14ac:dyDescent="0.2">
      <c r="A354" t="str">
        <f>IF(UKG!BL354="Y","700","")</f>
        <v/>
      </c>
      <c r="B354" t="str">
        <f>IF(UKG!BL354="Y","REQ","")</f>
        <v/>
      </c>
      <c r="C354" t="str">
        <f>IF(UKG!BL354="Y",UKG!D354,"")</f>
        <v/>
      </c>
      <c r="O354" t="str">
        <f>IF(UKG!BL354="Y",UKG!BE354,"")</f>
        <v/>
      </c>
      <c r="P354" t="str">
        <f>IF(UKG!BL354="Y","USD","")</f>
        <v/>
      </c>
    </row>
    <row r="355" spans="1:16" x14ac:dyDescent="0.2">
      <c r="A355" t="str">
        <f>IF(UKG!BL355="Y","700","")</f>
        <v/>
      </c>
      <c r="B355" t="str">
        <f>IF(UKG!BL355="Y","REQ","")</f>
        <v/>
      </c>
      <c r="C355" t="str">
        <f>IF(UKG!BL355="Y",UKG!D355,"")</f>
        <v/>
      </c>
      <c r="O355" t="str">
        <f>IF(UKG!BL355="Y",UKG!BE355,"")</f>
        <v/>
      </c>
      <c r="P355" t="str">
        <f>IF(UKG!BL355="Y","USD","")</f>
        <v/>
      </c>
    </row>
    <row r="356" spans="1:16" x14ac:dyDescent="0.2">
      <c r="A356" t="str">
        <f>IF(UKG!BL356="Y","700","")</f>
        <v/>
      </c>
      <c r="B356" t="str">
        <f>IF(UKG!BL356="Y","REQ","")</f>
        <v/>
      </c>
      <c r="C356" t="str">
        <f>IF(UKG!BL356="Y",UKG!D356,"")</f>
        <v/>
      </c>
      <c r="O356" t="str">
        <f>IF(UKG!BL356="Y",UKG!BE356,"")</f>
        <v/>
      </c>
      <c r="P356" t="str">
        <f>IF(UKG!BL356="Y","USD","")</f>
        <v/>
      </c>
    </row>
    <row r="357" spans="1:16" x14ac:dyDescent="0.2">
      <c r="A357" t="str">
        <f>IF(UKG!BL357="Y","700","")</f>
        <v/>
      </c>
      <c r="B357" t="str">
        <f>IF(UKG!BL357="Y","REQ","")</f>
        <v/>
      </c>
      <c r="C357" t="str">
        <f>IF(UKG!BL357="Y",UKG!D357,"")</f>
        <v/>
      </c>
      <c r="O357" t="str">
        <f>IF(UKG!BL357="Y",UKG!BE357,"")</f>
        <v/>
      </c>
      <c r="P357" t="str">
        <f>IF(UKG!BL357="Y","USD","")</f>
        <v/>
      </c>
    </row>
    <row r="358" spans="1:16" x14ac:dyDescent="0.2">
      <c r="A358" t="str">
        <f>IF(UKG!BL358="Y","700","")</f>
        <v/>
      </c>
      <c r="B358" t="str">
        <f>IF(UKG!BL358="Y","REQ","")</f>
        <v/>
      </c>
      <c r="C358" t="str">
        <f>IF(UKG!BL358="Y",UKG!D358,"")</f>
        <v/>
      </c>
      <c r="O358" t="str">
        <f>IF(UKG!BL358="Y",UKG!BE358,"")</f>
        <v/>
      </c>
      <c r="P358" t="str">
        <f>IF(UKG!BL358="Y","USD","")</f>
        <v/>
      </c>
    </row>
    <row r="359" spans="1:16" x14ac:dyDescent="0.2">
      <c r="A359" t="str">
        <f>IF(UKG!BL359="Y","700","")</f>
        <v/>
      </c>
      <c r="B359" t="str">
        <f>IF(UKG!BL359="Y","REQ","")</f>
        <v/>
      </c>
      <c r="C359" t="str">
        <f>IF(UKG!BL359="Y",UKG!D359,"")</f>
        <v/>
      </c>
      <c r="O359" t="str">
        <f>IF(UKG!BL359="Y",UKG!BE359,"")</f>
        <v/>
      </c>
      <c r="P359" t="str">
        <f>IF(UKG!BL359="Y","USD","")</f>
        <v/>
      </c>
    </row>
  </sheetData>
  <autoFilter ref="A3:P359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UKG Company Map</vt:lpstr>
      <vt:lpstr>KN EP Brute Force</vt:lpstr>
      <vt:lpstr>ADP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</vt:lpstr>
      <vt:lpstr>305 UKG Employees All</vt:lpstr>
      <vt:lpstr>360 UKG Payables All</vt:lpstr>
      <vt:lpstr>700 UKG Payables (Limited)</vt:lpstr>
      <vt:lpstr>305 Mehmet</vt:lpstr>
      <vt:lpstr>360 Mehmet</vt:lpstr>
      <vt:lpstr>700 Mehmet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Pronovost1, Eric</cp:lastModifiedBy>
  <dcterms:created xsi:type="dcterms:W3CDTF">2026-08-31T18:23:11Z</dcterms:created>
  <dcterms:modified xsi:type="dcterms:W3CDTF">2026-09-18T18:49:00Z</dcterms:modified>
</cp:coreProperties>
</file>