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ricpronovost/Doppio/vba/"/>
    </mc:Choice>
  </mc:AlternateContent>
  <xr:revisionPtr revIDLastSave="0" documentId="13_ncr:1_{270BA5F0-0303-8A49-8C5C-200FAE193FBB}" xr6:coauthVersionLast="47" xr6:coauthVersionMax="47" xr10:uidLastSave="{00000000-0000-0000-0000-000000000000}"/>
  <bookViews>
    <workbookView xWindow="34560" yWindow="-100" windowWidth="40960" windowHeight="22440" tabRatio="835" xr2:uid="{7B86329E-7A89-9049-B347-786824D6D975}"/>
  </bookViews>
  <sheets>
    <sheet name="EXPORTMI Select" sheetId="1062" r:id="rId1"/>
  </sheets>
  <definedNames>
    <definedName name="_xlnm._FilterDatabase" localSheetId="0" hidden="1">'EXPORTMI Select'!$A$3:$F$3</definedName>
    <definedName name="API" localSheetId="0">'EXPORTMI Select'!#REF!</definedName>
    <definedName name="API">#REF!</definedName>
    <definedName name="APitype">#REF!</definedName>
    <definedName name="Company" localSheetId="0">'EXPORTMI Select'!#REF!</definedName>
    <definedName name="Company">#REF!</definedName>
    <definedName name="cono">#REF!</definedName>
    <definedName name="conoDivi">#REF!</definedName>
    <definedName name="developer">#REF!</definedName>
    <definedName name="divi">#REF!</definedName>
    <definedName name="Division" localSheetId="0">'EXPORTMI Select'!#REF!</definedName>
    <definedName name="Division">#REF!</definedName>
    <definedName name="env">#REF!</definedName>
    <definedName name="Environment" localSheetId="0">'EXPORTMI Select'!#REF!</definedName>
    <definedName name="Environment">#REF!</definedName>
    <definedName name="Environments">#REF!</definedName>
    <definedName name="formatting">#REF!</definedName>
    <definedName name="ipcorp">#REF!</definedName>
    <definedName name="maxbulk">#REF!</definedName>
    <definedName name="maxrecs">#REF!</definedName>
    <definedName name="maxtime">#REF!</definedName>
    <definedName name="MIType">#REF!</definedName>
    <definedName name="naming">#REF!</definedName>
    <definedName name="refreshSeconds">#REF!</definedName>
    <definedName name="righttrim">#REF!</definedName>
    <definedName name="root">#REF!</definedName>
    <definedName name="runtime" localSheetId="0">'EXPORTMI Select'!#REF!</definedName>
    <definedName name="runtime">#REF!</definedName>
    <definedName name="service">#REF!</definedName>
    <definedName name="services">#REF!</definedName>
    <definedName name="split">#REF!</definedName>
    <definedName name="splita">#REF!</definedName>
    <definedName name="splitChar">#REF!</definedName>
    <definedName name="Strategy">#REF!</definedName>
    <definedName name="TargetCono">#REF!</definedName>
    <definedName name="TargetDivi">#REF!</definedName>
    <definedName name="TargetEnv">#REF!</definedName>
    <definedName name="Transaction" localSheetId="0">'EXPORTMI Select'!#REF!</definedName>
    <definedName name="Transaction">#REF!</definedName>
    <definedName name="Type" localSheetId="0">'EXPORTMI Select'!#REF!</definedName>
    <definedName name="Type">#REF!</definedName>
    <definedName name="User" localSheetId="0">'EXPORTMI Select'!#REF!</definedName>
    <definedName name="Us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062" l="1"/>
  <c r="F6" i="1062"/>
  <c r="F7" i="1062"/>
  <c r="F8" i="1062"/>
  <c r="F9" i="1062"/>
  <c r="F10" i="1062"/>
  <c r="F11" i="1062"/>
  <c r="F12" i="1062"/>
  <c r="F13" i="1062"/>
  <c r="F14" i="1062"/>
  <c r="F15" i="1062"/>
  <c r="F16" i="1062"/>
  <c r="F17" i="1062"/>
  <c r="F18" i="1062"/>
  <c r="F19" i="1062"/>
  <c r="F20" i="1062"/>
  <c r="F21" i="1062"/>
  <c r="F22" i="1062"/>
  <c r="F23" i="1062"/>
  <c r="F24" i="1062"/>
  <c r="F25" i="1062"/>
  <c r="F26" i="1062"/>
  <c r="F27" i="1062"/>
  <c r="F28" i="1062"/>
  <c r="F29" i="1062"/>
  <c r="F30" i="1062"/>
  <c r="F31" i="1062"/>
  <c r="F32" i="1062"/>
  <c r="F33" i="1062"/>
  <c r="F34" i="1062"/>
  <c r="F35" i="1062"/>
  <c r="F36" i="1062"/>
  <c r="F37" i="1062"/>
  <c r="F38" i="1062"/>
  <c r="F39" i="1062"/>
  <c r="F40" i="1062"/>
  <c r="F41" i="1062"/>
  <c r="F42" i="1062"/>
  <c r="F43" i="1062"/>
  <c r="F44" i="1062"/>
  <c r="F45" i="1062"/>
  <c r="F46" i="1062"/>
  <c r="F47" i="1062"/>
  <c r="F48" i="1062"/>
  <c r="F49" i="1062"/>
  <c r="F50" i="1062"/>
  <c r="F51" i="1062"/>
  <c r="F52" i="1062"/>
  <c r="F53" i="1062"/>
  <c r="F54" i="1062"/>
  <c r="F55" i="1062"/>
  <c r="F56" i="1062"/>
  <c r="F57" i="1062"/>
  <c r="F58" i="1062"/>
  <c r="F59" i="1062"/>
  <c r="F60" i="1062"/>
  <c r="F61" i="1062"/>
  <c r="F62" i="1062"/>
  <c r="F63" i="1062"/>
  <c r="F64" i="1062"/>
  <c r="F65" i="1062"/>
  <c r="F66" i="1062"/>
  <c r="F67" i="1062"/>
  <c r="F68" i="1062"/>
  <c r="F69" i="1062"/>
  <c r="F70" i="1062"/>
  <c r="F71" i="1062"/>
  <c r="F72" i="1062"/>
  <c r="F73" i="1062"/>
  <c r="F74" i="1062"/>
  <c r="F75" i="1062"/>
  <c r="F76" i="1062"/>
  <c r="F77" i="1062"/>
  <c r="F78" i="1062"/>
  <c r="F79" i="1062"/>
  <c r="F80" i="1062"/>
  <c r="F81" i="1062"/>
  <c r="F82" i="1062"/>
  <c r="F83" i="1062"/>
  <c r="F84" i="1062"/>
  <c r="F85" i="1062"/>
  <c r="F86" i="1062"/>
  <c r="F87" i="1062"/>
  <c r="F88" i="1062"/>
  <c r="F89" i="1062"/>
  <c r="F90" i="1062"/>
  <c r="F91" i="1062"/>
  <c r="F92" i="1062"/>
  <c r="F93" i="1062"/>
  <c r="F94" i="1062"/>
  <c r="F95" i="1062"/>
  <c r="F96" i="1062"/>
  <c r="F97" i="1062"/>
  <c r="F98" i="1062"/>
  <c r="F99" i="1062"/>
  <c r="F100" i="1062"/>
  <c r="F101" i="1062"/>
  <c r="F102" i="1062"/>
  <c r="F103" i="1062"/>
  <c r="F104" i="1062"/>
  <c r="F105" i="1062"/>
  <c r="F106" i="1062"/>
  <c r="F107" i="1062"/>
  <c r="F108" i="1062"/>
  <c r="F109" i="1062"/>
  <c r="F110" i="1062"/>
  <c r="F111" i="1062"/>
  <c r="F112" i="1062"/>
  <c r="F113" i="1062"/>
  <c r="F114" i="1062"/>
  <c r="F115" i="1062"/>
  <c r="F4" i="1062"/>
  <c r="B108" i="1062"/>
  <c r="B66" i="1062"/>
  <c r="B35" i="1062"/>
  <c r="B68" i="1062"/>
  <c r="B67" i="1062"/>
  <c r="B38" i="1062"/>
  <c r="B57" i="1062"/>
  <c r="B64" i="1062"/>
  <c r="B58" i="1062"/>
  <c r="B62" i="1062"/>
  <c r="B61" i="1062"/>
  <c r="B25" i="1062"/>
  <c r="B65" i="1062"/>
  <c r="B95" i="1062"/>
  <c r="B74" i="1062"/>
  <c r="B73" i="1062"/>
  <c r="B94" i="1062"/>
  <c r="B52" i="1062"/>
  <c r="B51" i="1062"/>
  <c r="B107" i="1062"/>
  <c r="B30" i="1062"/>
  <c r="B112" i="1062"/>
  <c r="B70" i="1062"/>
  <c r="B63" i="1062"/>
  <c r="B105" i="1062"/>
  <c r="B34" i="1062"/>
  <c r="B40" i="1062"/>
  <c r="B104" i="1062"/>
  <c r="B45" i="1062"/>
  <c r="B96" i="1062"/>
  <c r="B114" i="1062"/>
  <c r="B115" i="1062"/>
  <c r="B33" i="1062"/>
  <c r="B80" i="1062"/>
  <c r="B53" i="1062"/>
  <c r="B75" i="1062"/>
  <c r="B79" i="1062"/>
  <c r="B78" i="1062"/>
  <c r="B81" i="1062"/>
  <c r="B32" i="1062"/>
  <c r="B43" i="1062"/>
  <c r="B87" i="1062"/>
  <c r="B28" i="1062"/>
  <c r="B77" i="1062"/>
  <c r="B23" i="1062"/>
  <c r="B102" i="1062"/>
  <c r="B44" i="1062"/>
  <c r="B88" i="1062"/>
  <c r="B103" i="1062"/>
  <c r="B106" i="1062"/>
  <c r="B37" i="1062"/>
  <c r="B46" i="1062"/>
  <c r="B86" i="1062"/>
  <c r="B31" i="1062"/>
  <c r="B13" i="1062"/>
  <c r="B14" i="1062"/>
  <c r="B111" i="1062"/>
  <c r="B113" i="1062"/>
  <c r="B16" i="1062"/>
  <c r="B15" i="1062"/>
  <c r="B89" i="1062"/>
  <c r="B97" i="1062"/>
  <c r="B29" i="1062"/>
  <c r="B19" i="1062"/>
  <c r="B54" i="1062"/>
  <c r="B6" i="1062"/>
  <c r="B9" i="1062"/>
  <c r="B109" i="1062"/>
  <c r="B22" i="1062"/>
  <c r="B98" i="1062"/>
  <c r="B41" i="1062"/>
  <c r="B48" i="1062"/>
  <c r="B24" i="1062"/>
  <c r="B101" i="1062"/>
  <c r="B26" i="1062"/>
  <c r="B90" i="1062"/>
  <c r="B7" i="1062"/>
  <c r="B21" i="1062"/>
  <c r="B72" i="1062"/>
  <c r="B76" i="1062"/>
  <c r="B5" i="1062"/>
  <c r="B20" i="1062"/>
  <c r="B55" i="1062"/>
  <c r="B47" i="1062"/>
  <c r="B50" i="1062"/>
  <c r="B59" i="1062"/>
  <c r="B49" i="1062"/>
  <c r="B36" i="1062"/>
  <c r="B56" i="1062"/>
  <c r="B100" i="1062"/>
  <c r="B93" i="1062"/>
  <c r="B92" i="1062"/>
  <c r="B99" i="1062"/>
  <c r="B84" i="1062"/>
  <c r="B8" i="1062"/>
  <c r="B18" i="1062"/>
  <c r="B42" i="1062"/>
  <c r="B12" i="1062"/>
  <c r="B82" i="1062"/>
  <c r="B10" i="1062"/>
  <c r="B17" i="1062"/>
  <c r="B69" i="1062"/>
  <c r="B11" i="1062"/>
  <c r="B71" i="1062"/>
  <c r="B83" i="1062"/>
  <c r="B85" i="1062"/>
  <c r="B60" i="1062"/>
  <c r="B4" i="1062"/>
  <c r="B27" i="1062"/>
  <c r="B39" i="1062"/>
  <c r="B91" i="1062"/>
  <c r="B110" i="1062"/>
</calcChain>
</file>

<file path=xl/sharedStrings.xml><?xml version="1.0" encoding="utf-8"?>
<sst xmlns="http://schemas.openxmlformats.org/spreadsheetml/2006/main" count="351" uniqueCount="222">
  <si>
    <t>…...................</t>
  </si>
  <si>
    <t>.
_x000D_.
_x000D_.
_x000D_.</t>
  </si>
  <si>
    <t>____________________</t>
  </si>
  <si>
    <t>OK</t>
  </si>
  <si>
    <t>1</t>
  </si>
  <si>
    <t>0</t>
  </si>
  <si>
    <t>3</t>
  </si>
  <si>
    <t>6</t>
  </si>
  <si>
    <t>4</t>
  </si>
  <si>
    <t>10</t>
  </si>
  <si>
    <t>7</t>
  </si>
  <si>
    <t>12</t>
  </si>
  <si>
    <t>14</t>
  </si>
  <si>
    <t>36</t>
  </si>
  <si>
    <t>11</t>
  </si>
  <si>
    <t>18</t>
  </si>
  <si>
    <t>131</t>
  </si>
  <si>
    <t>MPHEAD</t>
  </si>
  <si>
    <t>32</t>
  </si>
  <si>
    <t>22</t>
  </si>
  <si>
    <t>38</t>
  </si>
  <si>
    <t>267</t>
  </si>
  <si>
    <t>396</t>
  </si>
  <si>
    <t>65</t>
  </si>
  <si>
    <t>60</t>
  </si>
  <si>
    <t>223</t>
  </si>
  <si>
    <t>88</t>
  </si>
  <si>
    <t>OCUSMA</t>
  </si>
  <si>
    <t>54157</t>
  </si>
  <si>
    <t>1152</t>
  </si>
  <si>
    <t>1252</t>
  </si>
  <si>
    <t>11594</t>
  </si>
  <si>
    <t>67220</t>
  </si>
  <si>
    <t>11480</t>
  </si>
  <si>
    <t>11611</t>
  </si>
  <si>
    <t>12024</t>
  </si>
  <si>
    <t>2834</t>
  </si>
  <si>
    <t>2967</t>
  </si>
  <si>
    <t>12670</t>
  </si>
  <si>
    <t>8984</t>
  </si>
  <si>
    <t>4007</t>
  </si>
  <si>
    <t>4378</t>
  </si>
  <si>
    <t>15538</t>
  </si>
  <si>
    <t>60046</t>
  </si>
  <si>
    <t>15853</t>
  </si>
  <si>
    <t>5722</t>
  </si>
  <si>
    <t>119359</t>
  </si>
  <si>
    <t>5919</t>
  </si>
  <si>
    <t>6124</t>
  </si>
  <si>
    <t>237</t>
  </si>
  <si>
    <t>QERY</t>
  </si>
  <si>
    <t>table</t>
  </si>
  <si>
    <t>ACUORL</t>
  </si>
  <si>
    <t>BPROJS</t>
  </si>
  <si>
    <t>CBANAC</t>
  </si>
  <si>
    <t>CCURRA</t>
  </si>
  <si>
    <t>CEAEMP</t>
  </si>
  <si>
    <t>CEMAIL</t>
  </si>
  <si>
    <t>CFACIL</t>
  </si>
  <si>
    <t>CGEOJU</t>
  </si>
  <si>
    <t>CGEORT</t>
  </si>
  <si>
    <t>CIADDR</t>
  </si>
  <si>
    <t>CIDADR</t>
  </si>
  <si>
    <t>CIDMAS</t>
  </si>
  <si>
    <t>CIDVEN</t>
  </si>
  <si>
    <t>CMNCMP</t>
  </si>
  <si>
    <t>CMNDIV</t>
  </si>
  <si>
    <t>CMNPSU</t>
  </si>
  <si>
    <t>CMNROL</t>
  </si>
  <si>
    <t>CMNRUS</t>
  </si>
  <si>
    <t>CMNUSR</t>
  </si>
  <si>
    <t>CPOCOA</t>
  </si>
  <si>
    <t>CPOCOM</t>
  </si>
  <si>
    <t>CSYCAL</t>
  </si>
  <si>
    <t>CSYCSN</t>
  </si>
  <si>
    <t>CSYECT</t>
  </si>
  <si>
    <t>CSYFTL</t>
  </si>
  <si>
    <t>CSYNBR</t>
  </si>
  <si>
    <t>CSYTAB</t>
  </si>
  <si>
    <t>CSYUSR</t>
  </si>
  <si>
    <t>CUGEX1</t>
  </si>
  <si>
    <t>DRODPR</t>
  </si>
  <si>
    <t>FBAKEY</t>
  </si>
  <si>
    <t>FBAVAL</t>
  </si>
  <si>
    <t>FBUDET</t>
  </si>
  <si>
    <t>FCHACC</t>
  </si>
  <si>
    <t>FGLEDG</t>
  </si>
  <si>
    <t>FGLEDX</t>
  </si>
  <si>
    <t>FGLHED</t>
  </si>
  <si>
    <t>FGRECL</t>
  </si>
  <si>
    <t>FMINHD</t>
  </si>
  <si>
    <t>FPLEDG</t>
  </si>
  <si>
    <t>FPLLOG</t>
  </si>
  <si>
    <t>FSLEDG</t>
  </si>
  <si>
    <t>FSLEDX</t>
  </si>
  <si>
    <t>FSTDEF</t>
  </si>
  <si>
    <t>FSTLIN</t>
  </si>
  <si>
    <t>MGHEAD</t>
  </si>
  <si>
    <t>MGLINE</t>
  </si>
  <si>
    <t>MHDISH</t>
  </si>
  <si>
    <t>MHDISL</t>
  </si>
  <si>
    <t>MHPICH</t>
  </si>
  <si>
    <t>MILOMA</t>
  </si>
  <si>
    <t>MITARE</t>
  </si>
  <si>
    <t>MITAUN</t>
  </si>
  <si>
    <t>MITBAL</t>
  </si>
  <si>
    <t>MITFAC</t>
  </si>
  <si>
    <t>MITHRY</t>
  </si>
  <si>
    <t>MITLAD</t>
  </si>
  <si>
    <t>MITLOC</t>
  </si>
  <si>
    <t>MITMAS</t>
  </si>
  <si>
    <t>MITPCE</t>
  </si>
  <si>
    <t>MITPLO</t>
  </si>
  <si>
    <t>MITPOP</t>
  </si>
  <si>
    <t>MITSTA</t>
  </si>
  <si>
    <t>MITTRA</t>
  </si>
  <si>
    <t>MITVEN</t>
  </si>
  <si>
    <t>MITWHL</t>
  </si>
  <si>
    <t>MMSVAD</t>
  </si>
  <si>
    <t>MMSVAH</t>
  </si>
  <si>
    <t>MPCELE</t>
  </si>
  <si>
    <t>MPDHED</t>
  </si>
  <si>
    <t>MPDMAT</t>
  </si>
  <si>
    <t>MPDOPE</t>
  </si>
  <si>
    <t>MPDWCT</t>
  </si>
  <si>
    <t>MPLIND</t>
  </si>
  <si>
    <t>MPLINE</t>
  </si>
  <si>
    <t>MPOEXP</t>
  </si>
  <si>
    <t>MPPOAD</t>
  </si>
  <si>
    <t>MPQFUH</t>
  </si>
  <si>
    <t>MPREAL</t>
  </si>
  <si>
    <t>MPURST</t>
  </si>
  <si>
    <t>MVENST</t>
  </si>
  <si>
    <t>MWOHED</t>
  </si>
  <si>
    <t>MWOMAT</t>
  </si>
  <si>
    <t>MWOOPE</t>
  </si>
  <si>
    <t>MWOPTR</t>
  </si>
  <si>
    <t>MWOPTS</t>
  </si>
  <si>
    <t>OAHEAD</t>
  </si>
  <si>
    <t>OCHEAD</t>
  </si>
  <si>
    <t>OCLINE</t>
  </si>
  <si>
    <t>OCUSAD</t>
  </si>
  <si>
    <t>OCUSIT</t>
  </si>
  <si>
    <t>ODHEAD</t>
  </si>
  <si>
    <t>ODLINE</t>
  </si>
  <si>
    <t>OGDIPO</t>
  </si>
  <si>
    <t>OGDMTX</t>
  </si>
  <si>
    <t>OINVOH</t>
  </si>
  <si>
    <t>OINVOL</t>
  </si>
  <si>
    <t>OOADRE</t>
  </si>
  <si>
    <t>OOCHRG</t>
  </si>
  <si>
    <t>OOHEAD</t>
  </si>
  <si>
    <t>OOLICH</t>
  </si>
  <si>
    <t>OOLINE</t>
  </si>
  <si>
    <t>OPRBAS</t>
  </si>
  <si>
    <t>OPRICH</t>
  </si>
  <si>
    <t>OPRICL</t>
  </si>
  <si>
    <t>OPRMTX</t>
  </si>
  <si>
    <t>OSASTD</t>
  </si>
  <si>
    <t>OSBSTD</t>
  </si>
  <si>
    <t>OXCNTR</t>
  </si>
  <si>
    <t>OXHEAD</t>
  </si>
  <si>
    <t>NOK No table with that name exists. [QERY] (S_00005)</t>
  </si>
  <si>
    <t>records</t>
  </si>
  <si>
    <t>difference</t>
  </si>
  <si>
    <t>243</t>
  </si>
  <si>
    <t>222</t>
  </si>
  <si>
    <t>399</t>
  </si>
  <si>
    <t>157</t>
  </si>
  <si>
    <t>264</t>
  </si>
  <si>
    <t>29523</t>
  </si>
  <si>
    <t>48579</t>
  </si>
  <si>
    <t>330</t>
  </si>
  <si>
    <t>7798</t>
  </si>
  <si>
    <t>231546</t>
  </si>
  <si>
    <t>505377</t>
  </si>
  <si>
    <t>620</t>
  </si>
  <si>
    <t>435431</t>
  </si>
  <si>
    <t>755258</t>
  </si>
  <si>
    <t>107330</t>
  </si>
  <si>
    <t>102200</t>
  </si>
  <si>
    <t>135093</t>
  </si>
  <si>
    <t>109</t>
  </si>
  <si>
    <t>8600</t>
  </si>
  <si>
    <t>99834</t>
  </si>
  <si>
    <t>55835</t>
  </si>
  <si>
    <t>55976</t>
  </si>
  <si>
    <t>67035</t>
  </si>
  <si>
    <t>20204</t>
  </si>
  <si>
    <t>544374</t>
  </si>
  <si>
    <t>513725</t>
  </si>
  <si>
    <t>93699</t>
  </si>
  <si>
    <t>72568</t>
  </si>
  <si>
    <t>36831</t>
  </si>
  <si>
    <t>44264</t>
  </si>
  <si>
    <t>13044</t>
  </si>
  <si>
    <t>31563</t>
  </si>
  <si>
    <t>17992</t>
  </si>
  <si>
    <t>32295</t>
  </si>
  <si>
    <t>18282</t>
  </si>
  <si>
    <t>9955</t>
  </si>
  <si>
    <t>556</t>
  </si>
  <si>
    <t>595</t>
  </si>
  <si>
    <t>28656</t>
  </si>
  <si>
    <t>118499</t>
  </si>
  <si>
    <t>42519</t>
  </si>
  <si>
    <t>71669</t>
  </si>
  <si>
    <t>42445</t>
  </si>
  <si>
    <t>153695</t>
  </si>
  <si>
    <t>9852</t>
  </si>
  <si>
    <t>84481</t>
  </si>
  <si>
    <t>35892</t>
  </si>
  <si>
    <t>712</t>
  </si>
  <si>
    <t>95430</t>
  </si>
  <si>
    <t>1013445</t>
  </si>
  <si>
    <t>7504021</t>
  </si>
  <si>
    <t>255321</t>
  </si>
  <si>
    <t>63180</t>
  </si>
  <si>
    <t>49342</t>
  </si>
  <si>
    <t>18874</t>
  </si>
  <si>
    <t>DW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</si>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</sst>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rgb="FF409C00"/>
      <name val="Avenir Book"/>
      <family val="2"/>
    </font>
    <font>
      <sz val="12"/>
      <name val="Avenir Book"/>
      <family val="2"/>
    </font>
    <font>
      <sz val="12"/>
      <color theme="0"/>
      <name val="Avenir Book"/>
      <family val="2"/>
    </font>
    <font>
      <sz val="11"/>
      <color indexed="8"/>
      <name val="Calibri"/>
      <family val="2"/>
      <scheme val="minor"/>
    </font>
    <font>
      <sz val="12"/>
      <color rgb="FFFFFFFF"/>
      <name val="Avenir Book"/>
      <family val="2"/>
    </font>
    <font>
      <sz val="9"/>
      <name val="Avenir Book"/>
      <family val="2"/>
    </font>
    <font>
      <sz val="8"/>
      <name val="Avenir Book"/>
      <family val="2"/>
    </font>
    <font>
      <sz val="12"/>
      <color rgb="FFFF0000"/>
      <name val="Avenir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808080"/>
        <bgColor indexed="64"/>
      </patternFill>
    </fill>
    <fill>
      <patternFill patternType="solid">
        <fgColor rgb="FF231F20"/>
        <bgColor indexed="64"/>
      </patternFill>
    </fill>
    <fill>
      <patternFill patternType="solid">
        <fgColor rgb="FF1F3F7A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200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49" fontId="8" fillId="4" borderId="0" xfId="0" applyNumberFormat="1" applyFont="1" applyFill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49" fontId="9" fillId="4" borderId="0" xfId="0" applyNumberFormat="1" applyFont="1" applyFill="1" applyAlignment="1">
      <alignment horizontal="left" vertical="top" wrapText="1"/>
    </xf>
    <xf numFmtId="49" fontId="5" fillId="3" borderId="2" xfId="0" applyNumberFormat="1" applyFont="1" applyFill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7" fillId="3" borderId="2" xfId="0" applyFont="1" applyFill="1" applyBorder="1" applyAlignment="1">
      <alignment horizontal="left"/>
    </xf>
    <xf numFmtId="49" fontId="7" fillId="3" borderId="2" xfId="0" applyNumberFormat="1" applyFont="1" applyFill="1" applyBorder="1" applyAlignment="1">
      <alignment horizontal="left"/>
    </xf>
    <xf numFmtId="49" fontId="10" fillId="0" borderId="0" xfId="0" applyNumberFormat="1" applyFont="1" applyAlignment="1">
      <alignment horizontal="left"/>
    </xf>
    <xf numFmtId="49" fontId="7" fillId="6" borderId="2" xfId="0" applyNumberFormat="1" applyFont="1" applyFill="1" applyBorder="1" applyAlignment="1">
      <alignment horizontal="left"/>
    </xf>
    <xf numFmtId="49" fontId="7" fillId="5" borderId="0" xfId="0" applyNumberFormat="1" applyFont="1" applyFill="1" applyAlignment="1">
      <alignment horizontal="left" wrapText="1"/>
    </xf>
    <xf numFmtId="0" fontId="7" fillId="5" borderId="0" xfId="0" applyFont="1" applyFill="1" applyAlignment="1">
      <alignment horizontal="left" wrapText="1"/>
    </xf>
    <xf numFmtId="49" fontId="7" fillId="5" borderId="2" xfId="0" applyNumberFormat="1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</cellXfs>
  <cellStyles count="5">
    <cellStyle name="Comma 2" xfId="4" xr:uid="{8D4D3C10-37A2-484F-8C93-D743E62ADD74}"/>
    <cellStyle name="Normal" xfId="0" builtinId="0"/>
    <cellStyle name="Normal 2" xfId="1" xr:uid="{A1C2B52B-59F3-4443-8FEC-6BB5C56FFB1A}"/>
    <cellStyle name="Normal 3" xfId="3" xr:uid="{D9991036-E20B-6640-9B8D-F0DB19918B70}"/>
    <cellStyle name="Note 2" xfId="2" xr:uid="{82215D08-1EE2-1346-A4EE-9500DEF889C2}"/>
  </cellStyles>
  <dxfs count="0"/>
  <tableStyles count="0" defaultTableStyle="TableStyleMedium2" defaultPivotStyle="PivotStyleLight16"/>
  <colors>
    <mruColors>
      <color rgb="FFA0DEDB"/>
      <color rgb="FF86C125"/>
      <color rgb="FF244B96"/>
      <color rgb="FF2185A1"/>
      <color rgb="FF1F4289"/>
      <color rgb="FFFFC30A"/>
      <color rgb="FF221E20"/>
      <color rgb="FFFFD966"/>
      <color rgb="FFEA8C1B"/>
      <color rgb="FF132E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doppiogroup.com/contac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32070</xdr:colOff>
      <xdr:row>1</xdr:row>
      <xdr:rowOff>0</xdr:rowOff>
    </xdr:from>
    <xdr:to>
      <xdr:col>0</xdr:col>
      <xdr:colOff>211365</xdr:colOff>
      <xdr:row>1</xdr:row>
      <xdr:rowOff>196920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8418F-E2BD-C64B-9106-D5394ACB0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70" y="782998"/>
          <a:ext cx="179295" cy="196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387350</xdr:colOff>
      <xdr:row>0</xdr:row>
      <xdr:rowOff>109646</xdr:rowOff>
    </xdr:from>
    <xdr:to>
      <xdr:col>0</xdr:col>
      <xdr:colOff>2571750</xdr:colOff>
      <xdr:row>0</xdr:row>
      <xdr:rowOff>652354</xdr:rowOff>
    </xdr:to>
    <xdr:pic>
      <xdr:nvPicPr>
        <xdr:cNvPr id="3" name="MyCompanyLogo" descr="ASRaymond Logo">
          <a:extLst>
            <a:ext uri="{FF2B5EF4-FFF2-40B4-BE49-F238E27FC236}">
              <a16:creationId xmlns:a16="http://schemas.microsoft.com/office/drawing/2014/main" id="{837E9004-66FC-144F-9D9C-013B93046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87350" y="109646"/>
          <a:ext cx="2184400" cy="54270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C6833D-FCD6-0647-BA65-75FA19427A8D}">
  <we:reference id="wa200004983" version="1.0.0.0" store="en-US" storeType="OMEX"/>
  <we:alternateReferences>
    <we:reference id="wa200004983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4FC9-0254-D140-8F64-5203FBF2CB82}">
  <sheetPr codeName="Sheet35">
    <tabColor rgb="FF1F3F7A"/>
  </sheetPr>
  <dimension ref="A1:JJ115"/>
  <sheetViews>
    <sheetView tabSelected="1" zoomScaleNormal="100" workbookViewId="0">
      <pane xSplit="2" ySplit="3" topLeftCell="C21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7.33203125" defaultRowHeight="17" x14ac:dyDescent="0.25"/>
  <cols>
    <col min="1" max="1" width="38.83203125" style="2" customWidth="1"/>
    <col min="2" max="2" width="23.33203125" style="1" bestFit="1" customWidth="1"/>
    <col min="3" max="3" width="12.83203125" style="2" customWidth="1"/>
    <col min="4" max="4" width="12.83203125" style="1" customWidth="1"/>
    <col min="5" max="5" width="12.83203125" style="2" customWidth="1"/>
    <col min="6" max="6" width="12.83203125" style="1" customWidth="1"/>
    <col min="7" max="7" width="10.6640625" style="2" bestFit="1" customWidth="1"/>
    <col min="8" max="8" width="11.1640625" style="2" bestFit="1" customWidth="1"/>
    <col min="9" max="9" width="18" style="2" customWidth="1"/>
    <col min="10" max="10" width="7.6640625" style="2" bestFit="1" customWidth="1"/>
    <col min="11" max="15" width="12.83203125" style="2" customWidth="1"/>
    <col min="16" max="17" width="15.5" style="2" bestFit="1" customWidth="1"/>
    <col min="18" max="22" width="12.83203125" style="2" customWidth="1"/>
    <col min="23" max="23" width="14" style="2" bestFit="1" customWidth="1"/>
    <col min="24" max="24" width="12.83203125" style="2" bestFit="1" customWidth="1"/>
    <col min="25" max="26" width="14.5" style="2" bestFit="1" customWidth="1"/>
    <col min="27" max="27" width="13.33203125" style="2" bestFit="1" customWidth="1"/>
    <col min="28" max="29" width="14.1640625" style="2" bestFit="1" customWidth="1"/>
    <col min="30" max="30" width="16.33203125" style="2" bestFit="1" customWidth="1"/>
    <col min="31" max="34" width="12.83203125" style="2" customWidth="1"/>
    <col min="35" max="35" width="15.33203125" style="2" bestFit="1" customWidth="1"/>
    <col min="36" max="36" width="15" style="2" bestFit="1" customWidth="1"/>
    <col min="37" max="37" width="12.83203125" style="2" customWidth="1"/>
    <col min="38" max="38" width="14" style="2" bestFit="1" customWidth="1"/>
    <col min="39" max="39" width="12.83203125" style="2" customWidth="1"/>
    <col min="40" max="40" width="14" style="2" bestFit="1" customWidth="1"/>
    <col min="41" max="41" width="12.83203125" style="2" customWidth="1"/>
    <col min="42" max="42" width="14.1640625" style="2" bestFit="1" customWidth="1"/>
    <col min="43" max="47" width="12.83203125" style="2" customWidth="1"/>
    <col min="48" max="48" width="13.33203125" style="2" bestFit="1" customWidth="1"/>
    <col min="49" max="50" width="12.83203125" style="2" customWidth="1"/>
    <col min="51" max="57" width="14" style="2" bestFit="1" customWidth="1"/>
    <col min="58" max="58" width="15.5" style="2" bestFit="1" customWidth="1"/>
    <col min="59" max="59" width="12.83203125" style="2" customWidth="1"/>
    <col min="60" max="60" width="13.5" style="2" bestFit="1" customWidth="1"/>
    <col min="61" max="61" width="15.83203125" style="2" bestFit="1" customWidth="1"/>
    <col min="62" max="65" width="12.83203125" style="2" customWidth="1"/>
    <col min="66" max="66" width="14.1640625" style="2" bestFit="1" customWidth="1"/>
    <col min="67" max="71" width="12.83203125" style="2" customWidth="1"/>
    <col min="72" max="72" width="15" style="2" bestFit="1" customWidth="1"/>
    <col min="73" max="73" width="14.6640625" style="2" bestFit="1" customWidth="1"/>
    <col min="74" max="74" width="16.6640625" style="2" bestFit="1" customWidth="1"/>
    <col min="75" max="75" width="15.5" style="2" bestFit="1" customWidth="1"/>
    <col min="76" max="77" width="13.1640625" style="2" bestFit="1" customWidth="1"/>
    <col min="78" max="82" width="12.83203125" style="2" customWidth="1"/>
    <col min="83" max="83" width="16" style="2" bestFit="1" customWidth="1"/>
    <col min="84" max="84" width="15.5" style="2" bestFit="1" customWidth="1"/>
    <col min="85" max="86" width="12.83203125" style="2" customWidth="1"/>
    <col min="87" max="87" width="13.33203125" style="2" bestFit="1" customWidth="1"/>
    <col min="88" max="89" width="12.83203125" style="2" customWidth="1"/>
    <col min="90" max="90" width="14.5" style="2" bestFit="1" customWidth="1"/>
    <col min="91" max="91" width="15.6640625" style="2" bestFit="1" customWidth="1"/>
    <col min="92" max="96" width="12.83203125" style="2" customWidth="1"/>
    <col min="97" max="97" width="14.33203125" style="2" bestFit="1" customWidth="1"/>
    <col min="98" max="98" width="16" style="2" bestFit="1" customWidth="1"/>
    <col min="99" max="107" width="13.33203125" style="2" bestFit="1" customWidth="1"/>
    <col min="108" max="108" width="14.5" style="2" bestFit="1" customWidth="1"/>
    <col min="109" max="112" width="12.83203125" style="2" customWidth="1"/>
    <col min="113" max="113" width="14.83203125" style="2" bestFit="1" customWidth="1"/>
    <col min="114" max="114" width="12.83203125" style="2" customWidth="1"/>
    <col min="115" max="115" width="14.1640625" style="2" bestFit="1" customWidth="1"/>
    <col min="116" max="118" width="12.83203125" style="2" customWidth="1"/>
    <col min="119" max="121" width="15.33203125" style="2" bestFit="1" customWidth="1"/>
    <col min="122" max="122" width="14.33203125" style="2" bestFit="1" customWidth="1"/>
    <col min="123" max="124" width="12.83203125" style="2" customWidth="1"/>
    <col min="125" max="125" width="12.83203125" style="2" bestFit="1" customWidth="1"/>
    <col min="126" max="127" width="12.83203125" style="2" customWidth="1"/>
    <col min="128" max="128" width="15.1640625" style="2" bestFit="1" customWidth="1"/>
    <col min="129" max="129" width="12.83203125" style="2" customWidth="1"/>
    <col min="130" max="130" width="14.1640625" style="2" bestFit="1" customWidth="1"/>
    <col min="131" max="131" width="13.33203125" style="2" bestFit="1" customWidth="1"/>
    <col min="132" max="132" width="12.83203125" style="2" customWidth="1"/>
    <col min="133" max="133" width="15.33203125" style="2" bestFit="1" customWidth="1"/>
    <col min="134" max="135" width="12.83203125" style="2" customWidth="1"/>
    <col min="136" max="136" width="15.83203125" style="2" bestFit="1" customWidth="1"/>
    <col min="137" max="138" width="15.1640625" style="2" bestFit="1" customWidth="1"/>
    <col min="139" max="143" width="14.6640625" style="2" bestFit="1" customWidth="1"/>
    <col min="144" max="144" width="16" style="2" bestFit="1" customWidth="1"/>
    <col min="145" max="145" width="13.83203125" style="2" bestFit="1" customWidth="1"/>
    <col min="146" max="146" width="12.83203125" style="2" customWidth="1"/>
    <col min="147" max="147" width="12.83203125" style="2" bestFit="1" customWidth="1"/>
    <col min="148" max="149" width="12.83203125" style="2" customWidth="1"/>
    <col min="150" max="150" width="14" style="2" bestFit="1" customWidth="1"/>
    <col min="151" max="151" width="12.83203125" style="2" customWidth="1"/>
    <col min="152" max="152" width="14.1640625" style="2" bestFit="1" customWidth="1"/>
    <col min="153" max="154" width="12.83203125" style="2" customWidth="1"/>
    <col min="155" max="155" width="14.33203125" style="2" bestFit="1" customWidth="1"/>
    <col min="156" max="156" width="12.83203125" style="2" customWidth="1"/>
    <col min="157" max="157" width="14" style="2" bestFit="1" customWidth="1"/>
    <col min="158" max="158" width="15.33203125" style="2" bestFit="1" customWidth="1"/>
    <col min="159" max="159" width="15" style="2" bestFit="1" customWidth="1"/>
    <col min="160" max="160" width="13.1640625" style="2" bestFit="1" customWidth="1"/>
    <col min="161" max="162" width="12.83203125" style="2" customWidth="1"/>
    <col min="163" max="163" width="12.83203125" style="2" bestFit="1" customWidth="1"/>
    <col min="164" max="164" width="13.6640625" style="2" bestFit="1" customWidth="1"/>
    <col min="165" max="165" width="12.83203125" style="2" bestFit="1" customWidth="1"/>
    <col min="166" max="167" width="12.83203125" style="2" customWidth="1"/>
    <col min="168" max="171" width="13.6640625" style="2" bestFit="1" customWidth="1"/>
    <col min="172" max="172" width="14.5" style="2" bestFit="1" customWidth="1"/>
    <col min="173" max="173" width="13.5" style="2" bestFit="1" customWidth="1"/>
    <col min="174" max="177" width="12.83203125" style="2" customWidth="1"/>
    <col min="178" max="178" width="15.1640625" style="2" bestFit="1" customWidth="1"/>
    <col min="179" max="180" width="16.33203125" style="2" bestFit="1" customWidth="1"/>
    <col min="181" max="182" width="12.83203125" style="2" customWidth="1"/>
    <col min="183" max="183" width="16.6640625" style="2" bestFit="1" customWidth="1"/>
    <col min="184" max="185" width="12.83203125" style="2" customWidth="1"/>
    <col min="186" max="186" width="16.83203125" style="2" bestFit="1" customWidth="1"/>
    <col min="187" max="188" width="12.83203125" style="2" customWidth="1"/>
    <col min="189" max="189" width="13.33203125" style="2" bestFit="1" customWidth="1"/>
    <col min="190" max="193" width="12.83203125" style="2" customWidth="1"/>
    <col min="194" max="194" width="12.83203125" style="2" bestFit="1" customWidth="1"/>
    <col min="195" max="195" width="16.33203125" style="2" bestFit="1" customWidth="1"/>
    <col min="196" max="196" width="13.1640625" style="2" bestFit="1" customWidth="1"/>
    <col min="197" max="197" width="13.83203125" style="2" bestFit="1" customWidth="1"/>
    <col min="198" max="198" width="13.1640625" style="2" bestFit="1" customWidth="1"/>
    <col min="199" max="199" width="12.83203125" style="2" customWidth="1"/>
    <col min="200" max="200" width="15.83203125" style="2" bestFit="1" customWidth="1"/>
    <col min="201" max="204" width="14.6640625" style="2" bestFit="1" customWidth="1"/>
    <col min="205" max="205" width="16.33203125" style="2" bestFit="1" customWidth="1"/>
    <col min="206" max="207" width="15.1640625" style="2" bestFit="1" customWidth="1"/>
    <col min="208" max="208" width="13.5" style="2" bestFit="1" customWidth="1"/>
    <col min="209" max="210" width="12.83203125" style="2" customWidth="1"/>
    <col min="211" max="211" width="14.33203125" style="2" bestFit="1" customWidth="1"/>
    <col min="212" max="212" width="12.83203125" style="2" customWidth="1"/>
    <col min="213" max="213" width="15.33203125" style="2" bestFit="1" customWidth="1"/>
    <col min="214" max="214" width="13.5" style="2" bestFit="1" customWidth="1"/>
    <col min="215" max="215" width="14.33203125" style="2" bestFit="1" customWidth="1"/>
    <col min="216" max="216" width="13.5" style="2" bestFit="1" customWidth="1"/>
    <col min="217" max="217" width="14.33203125" style="2" bestFit="1" customWidth="1"/>
    <col min="218" max="218" width="15.5" style="2" bestFit="1" customWidth="1"/>
    <col min="219" max="219" width="14.5" style="2" bestFit="1" customWidth="1"/>
    <col min="220" max="222" width="12.83203125" style="2" customWidth="1"/>
    <col min="223" max="223" width="12.83203125" style="2" bestFit="1" customWidth="1"/>
    <col min="224" max="230" width="12.83203125" style="2" customWidth="1"/>
    <col min="231" max="231" width="15.83203125" style="2" bestFit="1" customWidth="1"/>
    <col min="232" max="232" width="14.33203125" style="2" bestFit="1" customWidth="1"/>
    <col min="233" max="233" width="12.83203125" style="2" customWidth="1"/>
    <col min="234" max="234" width="13" style="2" bestFit="1" customWidth="1"/>
    <col min="235" max="235" width="15.33203125" style="2" bestFit="1" customWidth="1"/>
    <col min="236" max="236" width="12.83203125" style="2" customWidth="1"/>
    <col min="237" max="237" width="15.1640625" style="2" bestFit="1" customWidth="1"/>
    <col min="238" max="238" width="14.83203125" style="2" bestFit="1" customWidth="1"/>
    <col min="239" max="239" width="14" style="2" bestFit="1" customWidth="1"/>
    <col min="240" max="240" width="14.1640625" style="2" bestFit="1" customWidth="1"/>
    <col min="241" max="245" width="12.83203125" style="2" customWidth="1"/>
    <col min="246" max="246" width="14.33203125" style="2" bestFit="1" customWidth="1"/>
    <col min="247" max="247" width="14.6640625" style="2" bestFit="1" customWidth="1"/>
    <col min="248" max="248" width="12.83203125" style="2" customWidth="1"/>
    <col min="249" max="249" width="14.83203125" style="2" bestFit="1" customWidth="1"/>
    <col min="250" max="250" width="15.33203125" style="2" bestFit="1" customWidth="1"/>
    <col min="251" max="251" width="13.83203125" style="2" bestFit="1" customWidth="1"/>
    <col min="252" max="252" width="12.83203125" style="2" customWidth="1"/>
    <col min="253" max="253" width="14.33203125" style="2" bestFit="1" customWidth="1"/>
    <col min="254" max="254" width="12.83203125" style="2" customWidth="1"/>
    <col min="255" max="255" width="14" style="2" bestFit="1" customWidth="1"/>
    <col min="256" max="256" width="13.33203125" style="2" bestFit="1" customWidth="1"/>
    <col min="257" max="258" width="12.83203125" style="2" customWidth="1"/>
    <col min="259" max="259" width="15" style="2" bestFit="1" customWidth="1"/>
    <col min="260" max="260" width="14.5" style="2" bestFit="1" customWidth="1"/>
    <col min="261" max="261" width="12.83203125" style="2" customWidth="1"/>
    <col min="262" max="262" width="12.83203125" style="2" bestFit="1" customWidth="1"/>
    <col min="263" max="264" width="12.83203125" style="2" customWidth="1"/>
    <col min="265" max="265" width="13.6640625" style="2" bestFit="1" customWidth="1"/>
    <col min="266" max="266" width="12.83203125" style="2" customWidth="1"/>
    <col min="267" max="267" width="14.6640625" style="2" bestFit="1" customWidth="1"/>
    <col min="268" max="268" width="14.5" style="2" bestFit="1" customWidth="1"/>
    <col min="269" max="269" width="14.1640625" style="2" bestFit="1" customWidth="1"/>
    <col min="270" max="16384" width="7.33203125" style="2"/>
  </cols>
  <sheetData>
    <row r="1" spans="1:270" s="4" customFormat="1" ht="60" customHeight="1" x14ac:dyDescent="0.2">
      <c r="A1" s="6" t="s">
        <v>1</v>
      </c>
      <c r="B1" s="5"/>
      <c r="D1" s="5"/>
      <c r="F1" s="5" t="s">
        <v>0</v>
      </c>
      <c r="G1" s="4" t="s">
        <v>0</v>
      </c>
      <c r="H1" s="4" t="s">
        <v>0</v>
      </c>
      <c r="I1" s="4" t="s">
        <v>2</v>
      </c>
    </row>
    <row r="2" spans="1:270" s="3" customFormat="1" ht="36" customHeight="1" x14ac:dyDescent="0.25">
      <c r="A2" s="15"/>
      <c r="B2" s="15" t="s">
        <v>221</v>
      </c>
      <c r="C2" s="14" t="s">
        <v>220</v>
      </c>
      <c r="D2" s="14" t="s">
        <v>220</v>
      </c>
      <c r="E2" s="14" t="s">
        <v>221</v>
      </c>
      <c r="F2" s="15" t="s">
        <v>220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</row>
    <row r="3" spans="1:270" s="8" customFormat="1" ht="18" thickBot="1" x14ac:dyDescent="0.3">
      <c r="A3" s="16"/>
      <c r="B3" s="17" t="s">
        <v>50</v>
      </c>
      <c r="C3" s="13" t="s">
        <v>51</v>
      </c>
      <c r="D3" s="11" t="s">
        <v>163</v>
      </c>
      <c r="E3" s="11" t="s">
        <v>163</v>
      </c>
      <c r="F3" s="10" t="s">
        <v>164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</row>
    <row r="4" spans="1:270" ht="18" thickTop="1" x14ac:dyDescent="0.25">
      <c r="A4" s="9" t="s">
        <v>3</v>
      </c>
      <c r="B4" s="1" t="str">
        <f t="shared" ref="B4:B35" si="0">CONCATENATE("count(*) from ",C4)</f>
        <v>count(*) from ACUORL</v>
      </c>
      <c r="C4" s="2" t="s">
        <v>52</v>
      </c>
      <c r="D4" s="1">
        <v>0</v>
      </c>
      <c r="E4" s="2" t="s">
        <v>5</v>
      </c>
      <c r="F4" s="2">
        <f>D4-E4</f>
        <v>0</v>
      </c>
    </row>
    <row r="5" spans="1:270" x14ac:dyDescent="0.25">
      <c r="A5" s="9" t="s">
        <v>3</v>
      </c>
      <c r="B5" s="1" t="str">
        <f t="shared" si="0"/>
        <v>count(*) from BPROJS</v>
      </c>
      <c r="C5" s="2" t="s">
        <v>53</v>
      </c>
      <c r="D5" s="1">
        <v>72</v>
      </c>
      <c r="E5" s="2" t="s">
        <v>13</v>
      </c>
      <c r="F5" s="2">
        <f t="shared" ref="F5:F68" si="1">D5-E5</f>
        <v>36</v>
      </c>
    </row>
    <row r="6" spans="1:270" x14ac:dyDescent="0.25">
      <c r="A6" s="9" t="s">
        <v>3</v>
      </c>
      <c r="B6" s="1" t="str">
        <f t="shared" si="0"/>
        <v>count(*) from CBANAC</v>
      </c>
      <c r="C6" s="2" t="s">
        <v>54</v>
      </c>
      <c r="D6" s="1">
        <v>338</v>
      </c>
      <c r="E6" s="2" t="s">
        <v>21</v>
      </c>
      <c r="F6" s="2">
        <f t="shared" si="1"/>
        <v>71</v>
      </c>
    </row>
    <row r="7" spans="1:270" x14ac:dyDescent="0.25">
      <c r="A7" s="9" t="s">
        <v>3</v>
      </c>
      <c r="B7" s="1" t="str">
        <f t="shared" si="0"/>
        <v>count(*) from CCURRA</v>
      </c>
      <c r="C7" s="2" t="s">
        <v>55</v>
      </c>
      <c r="D7" s="1">
        <v>162</v>
      </c>
      <c r="E7" s="2" t="s">
        <v>165</v>
      </c>
      <c r="F7" s="2">
        <f t="shared" si="1"/>
        <v>-81</v>
      </c>
    </row>
    <row r="8" spans="1:270" x14ac:dyDescent="0.25">
      <c r="A8" s="9" t="s">
        <v>3</v>
      </c>
      <c r="B8" s="1" t="str">
        <f t="shared" si="0"/>
        <v>count(*) from CEAEMP</v>
      </c>
      <c r="C8" s="2" t="s">
        <v>56</v>
      </c>
      <c r="D8" s="1">
        <v>12</v>
      </c>
      <c r="E8" s="2" t="s">
        <v>7</v>
      </c>
      <c r="F8" s="2">
        <f t="shared" si="1"/>
        <v>6</v>
      </c>
    </row>
    <row r="9" spans="1:270" x14ac:dyDescent="0.25">
      <c r="A9" s="9" t="s">
        <v>3</v>
      </c>
      <c r="B9" s="1" t="str">
        <f t="shared" si="0"/>
        <v>count(*) from CEMAIL</v>
      </c>
      <c r="C9" s="2" t="s">
        <v>57</v>
      </c>
      <c r="D9" s="1">
        <v>304</v>
      </c>
      <c r="E9" s="2" t="s">
        <v>166</v>
      </c>
      <c r="F9" s="2">
        <f t="shared" si="1"/>
        <v>82</v>
      </c>
    </row>
    <row r="10" spans="1:270" x14ac:dyDescent="0.25">
      <c r="A10" s="9" t="s">
        <v>3</v>
      </c>
      <c r="B10" s="1" t="str">
        <f t="shared" si="0"/>
        <v>count(*) from CFACIL</v>
      </c>
      <c r="C10" s="2" t="s">
        <v>58</v>
      </c>
      <c r="D10" s="1">
        <v>3</v>
      </c>
      <c r="E10" s="2" t="s">
        <v>4</v>
      </c>
      <c r="F10" s="2">
        <f t="shared" si="1"/>
        <v>2</v>
      </c>
    </row>
    <row r="11" spans="1:270" x14ac:dyDescent="0.25">
      <c r="A11" s="9" t="s">
        <v>3</v>
      </c>
      <c r="B11" s="1" t="str">
        <f t="shared" si="0"/>
        <v>count(*) from CGEOJU</v>
      </c>
      <c r="C11" s="2" t="s">
        <v>59</v>
      </c>
      <c r="D11" s="1">
        <v>2</v>
      </c>
      <c r="E11" s="2" t="s">
        <v>4</v>
      </c>
      <c r="F11" s="2">
        <f t="shared" si="1"/>
        <v>1</v>
      </c>
    </row>
    <row r="12" spans="1:270" x14ac:dyDescent="0.25">
      <c r="A12" s="9" t="s">
        <v>3</v>
      </c>
      <c r="B12" s="1" t="str">
        <f t="shared" si="0"/>
        <v>count(*) from CGEORT</v>
      </c>
      <c r="C12" s="2" t="s">
        <v>60</v>
      </c>
      <c r="D12" s="1">
        <v>8</v>
      </c>
      <c r="E12" s="2" t="s">
        <v>8</v>
      </c>
      <c r="F12" s="2">
        <f t="shared" si="1"/>
        <v>4</v>
      </c>
    </row>
    <row r="13" spans="1:270" x14ac:dyDescent="0.25">
      <c r="A13" s="9" t="s">
        <v>3</v>
      </c>
      <c r="B13" s="1" t="str">
        <f t="shared" si="0"/>
        <v>count(*) from CIADDR</v>
      </c>
      <c r="C13" s="2" t="s">
        <v>61</v>
      </c>
      <c r="D13" s="1">
        <v>698</v>
      </c>
      <c r="E13" s="2" t="s">
        <v>6</v>
      </c>
      <c r="F13" s="2">
        <f t="shared" si="1"/>
        <v>695</v>
      </c>
    </row>
    <row r="14" spans="1:270" x14ac:dyDescent="0.25">
      <c r="A14" s="9" t="s">
        <v>3</v>
      </c>
      <c r="B14" s="1" t="str">
        <f t="shared" si="0"/>
        <v>count(*) from CIDADR</v>
      </c>
      <c r="C14" s="2" t="s">
        <v>62</v>
      </c>
      <c r="D14" s="1">
        <v>698</v>
      </c>
      <c r="E14" s="2" t="s">
        <v>167</v>
      </c>
      <c r="F14" s="2">
        <f t="shared" si="1"/>
        <v>299</v>
      </c>
    </row>
    <row r="15" spans="1:270" x14ac:dyDescent="0.25">
      <c r="A15" s="9" t="s">
        <v>3</v>
      </c>
      <c r="B15" s="1" t="str">
        <f t="shared" si="0"/>
        <v>count(*) from CIDMAS</v>
      </c>
      <c r="C15" s="2" t="s">
        <v>63</v>
      </c>
      <c r="D15" s="1">
        <v>583</v>
      </c>
      <c r="E15" s="2" t="s">
        <v>22</v>
      </c>
      <c r="F15" s="2">
        <f t="shared" si="1"/>
        <v>187</v>
      </c>
    </row>
    <row r="16" spans="1:270" x14ac:dyDescent="0.25">
      <c r="A16" s="9" t="s">
        <v>3</v>
      </c>
      <c r="B16" s="1" t="str">
        <f t="shared" si="0"/>
        <v>count(*) from CIDVEN</v>
      </c>
      <c r="C16" s="2" t="s">
        <v>64</v>
      </c>
      <c r="D16" s="1">
        <v>584</v>
      </c>
      <c r="E16" s="2" t="s">
        <v>22</v>
      </c>
      <c r="F16" s="2">
        <f t="shared" si="1"/>
        <v>188</v>
      </c>
    </row>
    <row r="17" spans="1:6" x14ac:dyDescent="0.25">
      <c r="A17" s="9" t="s">
        <v>3</v>
      </c>
      <c r="B17" s="1" t="str">
        <f t="shared" si="0"/>
        <v>count(*) from CMNCMP</v>
      </c>
      <c r="C17" s="2" t="s">
        <v>65</v>
      </c>
      <c r="D17" s="1">
        <v>2</v>
      </c>
      <c r="E17" s="2" t="s">
        <v>4</v>
      </c>
      <c r="F17" s="2">
        <f t="shared" si="1"/>
        <v>1</v>
      </c>
    </row>
    <row r="18" spans="1:6" x14ac:dyDescent="0.25">
      <c r="A18" s="9" t="s">
        <v>3</v>
      </c>
      <c r="B18" s="1" t="str">
        <f t="shared" si="0"/>
        <v>count(*) from CMNDIV</v>
      </c>
      <c r="C18" s="2" t="s">
        <v>66</v>
      </c>
      <c r="D18" s="1">
        <v>11</v>
      </c>
      <c r="E18" s="2" t="s">
        <v>6</v>
      </c>
      <c r="F18" s="2">
        <f t="shared" si="1"/>
        <v>8</v>
      </c>
    </row>
    <row r="19" spans="1:6" x14ac:dyDescent="0.25">
      <c r="A19" s="9" t="s">
        <v>3</v>
      </c>
      <c r="B19" s="1" t="str">
        <f t="shared" si="0"/>
        <v>count(*) from CMNPSU</v>
      </c>
      <c r="C19" s="2" t="s">
        <v>67</v>
      </c>
      <c r="D19" s="1">
        <v>457</v>
      </c>
      <c r="E19" s="2" t="s">
        <v>18</v>
      </c>
      <c r="F19" s="2">
        <f t="shared" si="1"/>
        <v>425</v>
      </c>
    </row>
    <row r="20" spans="1:6" x14ac:dyDescent="0.25">
      <c r="A20" s="9" t="s">
        <v>3</v>
      </c>
      <c r="B20" s="1" t="str">
        <f t="shared" si="0"/>
        <v>count(*) from CMNROL</v>
      </c>
      <c r="C20" s="2" t="s">
        <v>68</v>
      </c>
      <c r="D20" s="1">
        <v>65</v>
      </c>
      <c r="E20" s="2" t="s">
        <v>23</v>
      </c>
      <c r="F20" s="2">
        <f t="shared" si="1"/>
        <v>0</v>
      </c>
    </row>
    <row r="21" spans="1:6" x14ac:dyDescent="0.25">
      <c r="A21" s="9" t="s">
        <v>3</v>
      </c>
      <c r="B21" s="1" t="str">
        <f t="shared" si="0"/>
        <v>count(*) from CMNRUS</v>
      </c>
      <c r="C21" s="2" t="s">
        <v>69</v>
      </c>
      <c r="D21" s="1">
        <v>157</v>
      </c>
      <c r="E21" s="2" t="s">
        <v>168</v>
      </c>
      <c r="F21" s="2">
        <f t="shared" si="1"/>
        <v>0</v>
      </c>
    </row>
    <row r="22" spans="1:6" x14ac:dyDescent="0.25">
      <c r="A22" s="9" t="s">
        <v>3</v>
      </c>
      <c r="B22" s="1" t="str">
        <f t="shared" si="0"/>
        <v>count(*) from CMNUSR</v>
      </c>
      <c r="C22" s="2" t="s">
        <v>70</v>
      </c>
      <c r="D22" s="1">
        <v>264</v>
      </c>
      <c r="E22" s="2" t="s">
        <v>169</v>
      </c>
      <c r="F22" s="2">
        <f t="shared" si="1"/>
        <v>0</v>
      </c>
    </row>
    <row r="23" spans="1:6" x14ac:dyDescent="0.25">
      <c r="A23" s="9" t="s">
        <v>3</v>
      </c>
      <c r="B23" s="1" t="str">
        <f t="shared" si="0"/>
        <v>count(*) from CPOCOA</v>
      </c>
      <c r="C23" s="2" t="s">
        <v>71</v>
      </c>
      <c r="D23" s="1">
        <v>1956</v>
      </c>
      <c r="E23" s="2" t="s">
        <v>170</v>
      </c>
      <c r="F23" s="2">
        <f t="shared" si="1"/>
        <v>-27567</v>
      </c>
    </row>
    <row r="24" spans="1:6" x14ac:dyDescent="0.25">
      <c r="A24" s="9" t="s">
        <v>3</v>
      </c>
      <c r="B24" s="1" t="str">
        <f t="shared" si="0"/>
        <v>count(*) from CPOCOM</v>
      </c>
      <c r="C24" s="2" t="s">
        <v>72</v>
      </c>
      <c r="D24" s="1">
        <v>216</v>
      </c>
      <c r="E24" s="2" t="s">
        <v>45</v>
      </c>
      <c r="F24" s="2">
        <f t="shared" si="1"/>
        <v>-5506</v>
      </c>
    </row>
    <row r="25" spans="1:6" x14ac:dyDescent="0.25">
      <c r="A25" s="9" t="s">
        <v>3</v>
      </c>
      <c r="B25" s="1" t="str">
        <f t="shared" si="0"/>
        <v>count(*) from CSYCAL</v>
      </c>
      <c r="C25" s="2" t="s">
        <v>73</v>
      </c>
      <c r="D25" s="1">
        <v>105209</v>
      </c>
      <c r="E25" s="2" t="s">
        <v>171</v>
      </c>
      <c r="F25" s="2">
        <f t="shared" si="1"/>
        <v>56630</v>
      </c>
    </row>
    <row r="26" spans="1:6" x14ac:dyDescent="0.25">
      <c r="A26" s="9" t="s">
        <v>3</v>
      </c>
      <c r="B26" s="1" t="str">
        <f t="shared" si="0"/>
        <v>count(*) from CSYCSN</v>
      </c>
      <c r="C26" s="2" t="s">
        <v>74</v>
      </c>
      <c r="D26" s="1">
        <v>179</v>
      </c>
      <c r="E26" s="2" t="s">
        <v>26</v>
      </c>
      <c r="F26" s="2">
        <f t="shared" si="1"/>
        <v>91</v>
      </c>
    </row>
    <row r="27" spans="1:6" x14ac:dyDescent="0.25">
      <c r="A27" s="9" t="s">
        <v>3</v>
      </c>
      <c r="B27" s="1" t="str">
        <f t="shared" si="0"/>
        <v>count(*) from CSYECT</v>
      </c>
      <c r="C27" s="2" t="s">
        <v>75</v>
      </c>
      <c r="D27" s="1">
        <v>0</v>
      </c>
      <c r="E27" s="2" t="s">
        <v>5</v>
      </c>
      <c r="F27" s="2">
        <f t="shared" si="1"/>
        <v>0</v>
      </c>
    </row>
    <row r="28" spans="1:6" x14ac:dyDescent="0.25">
      <c r="A28" s="9" t="s">
        <v>3</v>
      </c>
      <c r="B28" s="1" t="str">
        <f t="shared" si="0"/>
        <v>count(*) from CSYFTL</v>
      </c>
      <c r="C28" s="2" t="s">
        <v>76</v>
      </c>
      <c r="D28" s="1">
        <v>2875</v>
      </c>
      <c r="E28" s="2" t="s">
        <v>5</v>
      </c>
      <c r="F28" s="2">
        <f t="shared" si="1"/>
        <v>2875</v>
      </c>
    </row>
    <row r="29" spans="1:6" x14ac:dyDescent="0.25">
      <c r="A29" s="9" t="s">
        <v>3</v>
      </c>
      <c r="B29" s="1" t="str">
        <f t="shared" si="0"/>
        <v>count(*) from CSYNBR</v>
      </c>
      <c r="C29" s="2" t="s">
        <v>77</v>
      </c>
      <c r="D29" s="1">
        <v>466</v>
      </c>
      <c r="E29" s="2" t="s">
        <v>25</v>
      </c>
      <c r="F29" s="2">
        <f t="shared" si="1"/>
        <v>243</v>
      </c>
    </row>
    <row r="30" spans="1:6" x14ac:dyDescent="0.25">
      <c r="A30" s="9" t="s">
        <v>3</v>
      </c>
      <c r="B30" s="1" t="str">
        <f t="shared" si="0"/>
        <v>count(*) from CSYTAB</v>
      </c>
      <c r="C30" s="2" t="s">
        <v>78</v>
      </c>
      <c r="D30" s="1">
        <v>31325</v>
      </c>
      <c r="E30" s="2" t="s">
        <v>38</v>
      </c>
      <c r="F30" s="2">
        <f t="shared" si="1"/>
        <v>18655</v>
      </c>
    </row>
    <row r="31" spans="1:6" x14ac:dyDescent="0.25">
      <c r="A31" s="9" t="s">
        <v>3</v>
      </c>
      <c r="B31" s="1" t="str">
        <f t="shared" si="0"/>
        <v>count(*) from CSYUSR</v>
      </c>
      <c r="C31" s="2" t="s">
        <v>79</v>
      </c>
      <c r="D31" s="1">
        <v>831</v>
      </c>
      <c r="E31" s="2" t="s">
        <v>172</v>
      </c>
      <c r="F31" s="2">
        <f t="shared" si="1"/>
        <v>501</v>
      </c>
    </row>
    <row r="32" spans="1:6" x14ac:dyDescent="0.25">
      <c r="A32" s="9" t="s">
        <v>3</v>
      </c>
      <c r="B32" s="1" t="str">
        <f t="shared" si="0"/>
        <v>count(*) from CUGEX1</v>
      </c>
      <c r="C32" s="2" t="s">
        <v>80</v>
      </c>
      <c r="D32" s="1">
        <v>5097</v>
      </c>
      <c r="E32" s="2" t="s">
        <v>173</v>
      </c>
      <c r="F32" s="2">
        <f t="shared" si="1"/>
        <v>-2701</v>
      </c>
    </row>
    <row r="33" spans="1:6" x14ac:dyDescent="0.25">
      <c r="A33" s="9" t="s">
        <v>3</v>
      </c>
      <c r="B33" s="1" t="str">
        <f t="shared" si="0"/>
        <v>count(*) from DRODPR</v>
      </c>
      <c r="C33" s="2" t="s">
        <v>81</v>
      </c>
      <c r="D33" s="1">
        <v>14079</v>
      </c>
      <c r="E33" s="2" t="s">
        <v>29</v>
      </c>
      <c r="F33" s="2">
        <f t="shared" si="1"/>
        <v>12927</v>
      </c>
    </row>
    <row r="34" spans="1:6" x14ac:dyDescent="0.25">
      <c r="A34" s="9" t="s">
        <v>3</v>
      </c>
      <c r="B34" s="1" t="str">
        <f t="shared" si="0"/>
        <v>count(*) from FBAKEY</v>
      </c>
      <c r="C34" s="2" t="s">
        <v>82</v>
      </c>
      <c r="D34" s="1">
        <v>18184</v>
      </c>
      <c r="E34" s="2" t="s">
        <v>174</v>
      </c>
      <c r="F34" s="2">
        <f t="shared" si="1"/>
        <v>-213362</v>
      </c>
    </row>
    <row r="35" spans="1:6" x14ac:dyDescent="0.25">
      <c r="A35" s="9" t="s">
        <v>3</v>
      </c>
      <c r="B35" s="1" t="str">
        <f t="shared" si="0"/>
        <v>count(*) from FBAVAL</v>
      </c>
      <c r="C35" s="2" t="s">
        <v>83</v>
      </c>
      <c r="D35" s="1">
        <v>438027</v>
      </c>
      <c r="E35" s="2" t="s">
        <v>175</v>
      </c>
      <c r="F35" s="2">
        <f t="shared" si="1"/>
        <v>-67350</v>
      </c>
    </row>
    <row r="36" spans="1:6" x14ac:dyDescent="0.25">
      <c r="A36" s="9" t="s">
        <v>3</v>
      </c>
      <c r="B36" s="1" t="str">
        <f t="shared" ref="B36:B67" si="2">CONCATENATE("count(*) from ",C36)</f>
        <v>count(*) from FBUDET</v>
      </c>
      <c r="C36" s="2" t="s">
        <v>84</v>
      </c>
      <c r="D36" s="1">
        <v>24</v>
      </c>
      <c r="E36" s="2" t="s">
        <v>11</v>
      </c>
      <c r="F36" s="2">
        <f t="shared" si="1"/>
        <v>12</v>
      </c>
    </row>
    <row r="37" spans="1:6" x14ac:dyDescent="0.25">
      <c r="A37" s="9" t="s">
        <v>3</v>
      </c>
      <c r="B37" s="1" t="str">
        <f t="shared" si="2"/>
        <v>count(*) from FCHACC</v>
      </c>
      <c r="C37" s="2" t="s">
        <v>85</v>
      </c>
      <c r="D37" s="1">
        <v>1214</v>
      </c>
      <c r="E37" s="2" t="s">
        <v>176</v>
      </c>
      <c r="F37" s="2">
        <f t="shared" si="1"/>
        <v>594</v>
      </c>
    </row>
    <row r="38" spans="1:6" x14ac:dyDescent="0.25">
      <c r="A38" s="9" t="s">
        <v>3</v>
      </c>
      <c r="B38" s="1" t="str">
        <f t="shared" si="2"/>
        <v>count(*) from FGLEDG</v>
      </c>
      <c r="C38" s="2" t="s">
        <v>86</v>
      </c>
      <c r="D38" s="1">
        <v>204667</v>
      </c>
      <c r="E38" s="2" t="s">
        <v>177</v>
      </c>
      <c r="F38" s="2">
        <f t="shared" si="1"/>
        <v>-230764</v>
      </c>
    </row>
    <row r="39" spans="1:6" x14ac:dyDescent="0.25">
      <c r="A39" s="9" t="s">
        <v>3</v>
      </c>
      <c r="B39" s="1" t="str">
        <f t="shared" si="2"/>
        <v>count(*) from FGLEDX</v>
      </c>
      <c r="C39" s="2" t="s">
        <v>87</v>
      </c>
      <c r="D39" s="1">
        <v>0</v>
      </c>
      <c r="E39" s="2" t="s">
        <v>178</v>
      </c>
      <c r="F39" s="2">
        <f t="shared" si="1"/>
        <v>-755258</v>
      </c>
    </row>
    <row r="40" spans="1:6" x14ac:dyDescent="0.25">
      <c r="A40" s="9" t="s">
        <v>3</v>
      </c>
      <c r="B40" s="1" t="str">
        <f t="shared" si="2"/>
        <v>count(*) from FGLHED</v>
      </c>
      <c r="C40" s="2" t="s">
        <v>88</v>
      </c>
      <c r="D40" s="1">
        <v>18086</v>
      </c>
      <c r="E40" s="2" t="s">
        <v>179</v>
      </c>
      <c r="F40" s="2">
        <f t="shared" si="1"/>
        <v>-89244</v>
      </c>
    </row>
    <row r="41" spans="1:6" x14ac:dyDescent="0.25">
      <c r="A41" s="9" t="s">
        <v>3</v>
      </c>
      <c r="B41" s="1" t="str">
        <f t="shared" si="2"/>
        <v>count(*) from FGRECL</v>
      </c>
      <c r="C41" s="2" t="s">
        <v>89</v>
      </c>
      <c r="D41" s="1">
        <v>226</v>
      </c>
      <c r="E41" s="2" t="s">
        <v>34</v>
      </c>
      <c r="F41" s="2">
        <f t="shared" si="1"/>
        <v>-11385</v>
      </c>
    </row>
    <row r="42" spans="1:6" x14ac:dyDescent="0.25">
      <c r="A42" s="9" t="s">
        <v>3</v>
      </c>
      <c r="B42" s="1" t="str">
        <f t="shared" si="2"/>
        <v>count(*) from FMINHD</v>
      </c>
      <c r="C42" s="2" t="s">
        <v>90</v>
      </c>
      <c r="D42" s="1">
        <v>10</v>
      </c>
      <c r="E42" s="2" t="s">
        <v>49</v>
      </c>
      <c r="F42" s="2">
        <f t="shared" si="1"/>
        <v>-227</v>
      </c>
    </row>
    <row r="43" spans="1:6" x14ac:dyDescent="0.25">
      <c r="A43" s="9" t="s">
        <v>3</v>
      </c>
      <c r="B43" s="1" t="str">
        <f t="shared" si="2"/>
        <v>count(*) from FPLEDG</v>
      </c>
      <c r="C43" s="2" t="s">
        <v>91</v>
      </c>
      <c r="D43" s="1">
        <v>4133</v>
      </c>
      <c r="E43" s="2" t="s">
        <v>44</v>
      </c>
      <c r="F43" s="2">
        <f t="shared" si="1"/>
        <v>-11720</v>
      </c>
    </row>
    <row r="44" spans="1:6" x14ac:dyDescent="0.25">
      <c r="A44" s="9" t="s">
        <v>3</v>
      </c>
      <c r="B44" s="1" t="str">
        <f t="shared" si="2"/>
        <v>count(*) from FPLLOG</v>
      </c>
      <c r="C44" s="2" t="s">
        <v>92</v>
      </c>
      <c r="D44" s="1">
        <v>1529</v>
      </c>
      <c r="E44" s="2" t="s">
        <v>42</v>
      </c>
      <c r="F44" s="2">
        <f t="shared" si="1"/>
        <v>-14009</v>
      </c>
    </row>
    <row r="45" spans="1:6" x14ac:dyDescent="0.25">
      <c r="A45" s="9" t="s">
        <v>3</v>
      </c>
      <c r="B45" s="1" t="str">
        <f t="shared" si="2"/>
        <v>count(*) from FSLEDG</v>
      </c>
      <c r="C45" s="2" t="s">
        <v>93</v>
      </c>
      <c r="D45" s="1">
        <v>15771</v>
      </c>
      <c r="E45" s="2" t="s">
        <v>180</v>
      </c>
      <c r="F45" s="2">
        <f t="shared" si="1"/>
        <v>-86429</v>
      </c>
    </row>
    <row r="46" spans="1:6" x14ac:dyDescent="0.25">
      <c r="A46" s="9" t="s">
        <v>3</v>
      </c>
      <c r="B46" s="1" t="str">
        <f t="shared" si="2"/>
        <v>count(*) from FSLEDX</v>
      </c>
      <c r="C46" s="2" t="s">
        <v>94</v>
      </c>
      <c r="D46" s="1">
        <v>995</v>
      </c>
      <c r="E46" s="2" t="s">
        <v>181</v>
      </c>
      <c r="F46" s="2">
        <f t="shared" si="1"/>
        <v>-134098</v>
      </c>
    </row>
    <row r="47" spans="1:6" x14ac:dyDescent="0.25">
      <c r="A47" s="9" t="s">
        <v>3</v>
      </c>
      <c r="B47" s="1" t="str">
        <f t="shared" si="2"/>
        <v>count(*) from FSTDEF</v>
      </c>
      <c r="C47" s="2" t="s">
        <v>95</v>
      </c>
      <c r="D47" s="1">
        <v>36</v>
      </c>
      <c r="E47" s="2" t="s">
        <v>15</v>
      </c>
      <c r="F47" s="2">
        <f t="shared" si="1"/>
        <v>18</v>
      </c>
    </row>
    <row r="48" spans="1:6" x14ac:dyDescent="0.25">
      <c r="A48" s="9" t="s">
        <v>3</v>
      </c>
      <c r="B48" s="1" t="str">
        <f t="shared" si="2"/>
        <v>count(*) from FSTLIN</v>
      </c>
      <c r="C48" s="2" t="s">
        <v>96</v>
      </c>
      <c r="D48" s="1">
        <v>218</v>
      </c>
      <c r="E48" s="2" t="s">
        <v>182</v>
      </c>
      <c r="F48" s="2">
        <f t="shared" si="1"/>
        <v>109</v>
      </c>
    </row>
    <row r="49" spans="1:6" x14ac:dyDescent="0.25">
      <c r="A49" s="9" t="s">
        <v>3</v>
      </c>
      <c r="B49" s="1" t="str">
        <f t="shared" si="2"/>
        <v>count(*) from MGHEAD</v>
      </c>
      <c r="C49" s="2" t="s">
        <v>97</v>
      </c>
      <c r="D49" s="1">
        <v>27</v>
      </c>
      <c r="E49" s="2" t="s">
        <v>183</v>
      </c>
      <c r="F49" s="2">
        <f t="shared" si="1"/>
        <v>-8573</v>
      </c>
    </row>
    <row r="50" spans="1:6" x14ac:dyDescent="0.25">
      <c r="A50" s="9" t="s">
        <v>3</v>
      </c>
      <c r="B50" s="1" t="str">
        <f t="shared" si="2"/>
        <v>count(*) from MGLINE</v>
      </c>
      <c r="C50" s="2" t="s">
        <v>98</v>
      </c>
      <c r="D50" s="1">
        <v>29</v>
      </c>
      <c r="E50" s="2" t="s">
        <v>33</v>
      </c>
      <c r="F50" s="2">
        <f t="shared" si="1"/>
        <v>-11451</v>
      </c>
    </row>
    <row r="51" spans="1:6" x14ac:dyDescent="0.25">
      <c r="A51" s="9" t="s">
        <v>3</v>
      </c>
      <c r="B51" s="1" t="str">
        <f t="shared" si="2"/>
        <v>count(*) from MHDISH</v>
      </c>
      <c r="C51" s="2" t="s">
        <v>99</v>
      </c>
      <c r="D51" s="1">
        <v>40954</v>
      </c>
      <c r="E51" s="2" t="s">
        <v>43</v>
      </c>
      <c r="F51" s="2">
        <f t="shared" si="1"/>
        <v>-19092</v>
      </c>
    </row>
    <row r="52" spans="1:6" x14ac:dyDescent="0.25">
      <c r="A52" s="9" t="s">
        <v>3</v>
      </c>
      <c r="B52" s="1" t="str">
        <f t="shared" si="2"/>
        <v>count(*) from MHDISL</v>
      </c>
      <c r="C52" s="2" t="s">
        <v>100</v>
      </c>
      <c r="D52" s="1">
        <v>42679</v>
      </c>
      <c r="E52" s="2" t="s">
        <v>184</v>
      </c>
      <c r="F52" s="2">
        <f t="shared" si="1"/>
        <v>-57155</v>
      </c>
    </row>
    <row r="53" spans="1:6" x14ac:dyDescent="0.25">
      <c r="A53" s="9" t="s">
        <v>3</v>
      </c>
      <c r="B53" s="1" t="str">
        <f t="shared" si="2"/>
        <v>count(*) from MHPICH</v>
      </c>
      <c r="C53" s="2" t="s">
        <v>101</v>
      </c>
      <c r="D53" s="1">
        <v>10096</v>
      </c>
      <c r="E53" s="2" t="s">
        <v>185</v>
      </c>
      <c r="F53" s="2">
        <f t="shared" si="1"/>
        <v>-45739</v>
      </c>
    </row>
    <row r="54" spans="1:6" x14ac:dyDescent="0.25">
      <c r="A54" s="9" t="s">
        <v>3</v>
      </c>
      <c r="B54" s="1" t="str">
        <f t="shared" si="2"/>
        <v>count(*) from MILOMA</v>
      </c>
      <c r="C54" s="2" t="s">
        <v>102</v>
      </c>
      <c r="D54" s="1">
        <v>342</v>
      </c>
      <c r="E54" s="2" t="s">
        <v>186</v>
      </c>
      <c r="F54" s="2">
        <f t="shared" si="1"/>
        <v>-55634</v>
      </c>
    </row>
    <row r="55" spans="1:6" x14ac:dyDescent="0.25">
      <c r="A55" s="9" t="s">
        <v>3</v>
      </c>
      <c r="B55" s="1" t="str">
        <f t="shared" si="2"/>
        <v>count(*) from MITARE</v>
      </c>
      <c r="C55" s="2" t="s">
        <v>103</v>
      </c>
      <c r="D55" s="1">
        <v>45</v>
      </c>
      <c r="E55" s="2" t="s">
        <v>19</v>
      </c>
      <c r="F55" s="2">
        <f t="shared" si="1"/>
        <v>23</v>
      </c>
    </row>
    <row r="56" spans="1:6" x14ac:dyDescent="0.25">
      <c r="A56" s="9" t="s">
        <v>3</v>
      </c>
      <c r="B56" s="1" t="str">
        <f t="shared" si="2"/>
        <v>count(*) from MITAUN</v>
      </c>
      <c r="C56" s="2" t="s">
        <v>104</v>
      </c>
      <c r="D56" s="1">
        <v>22</v>
      </c>
      <c r="E56" s="2" t="s">
        <v>14</v>
      </c>
      <c r="F56" s="2">
        <f t="shared" si="1"/>
        <v>11</v>
      </c>
    </row>
    <row r="57" spans="1:6" x14ac:dyDescent="0.25">
      <c r="A57" s="9" t="s">
        <v>3</v>
      </c>
      <c r="B57" s="1" t="str">
        <f t="shared" si="2"/>
        <v>count(*) from MITBAL</v>
      </c>
      <c r="C57" s="2" t="s">
        <v>105</v>
      </c>
      <c r="D57" s="1">
        <v>193204</v>
      </c>
      <c r="E57" s="2" t="s">
        <v>187</v>
      </c>
      <c r="F57" s="2">
        <f t="shared" si="1"/>
        <v>126169</v>
      </c>
    </row>
    <row r="58" spans="1:6" x14ac:dyDescent="0.25">
      <c r="A58" s="9" t="s">
        <v>3</v>
      </c>
      <c r="B58" s="1" t="str">
        <f t="shared" si="2"/>
        <v>count(*) from MITFAC</v>
      </c>
      <c r="C58" s="2" t="s">
        <v>106</v>
      </c>
      <c r="D58" s="1">
        <v>129906</v>
      </c>
      <c r="E58" s="2" t="s">
        <v>187</v>
      </c>
      <c r="F58" s="2">
        <f t="shared" si="1"/>
        <v>62871</v>
      </c>
    </row>
    <row r="59" spans="1:6" x14ac:dyDescent="0.25">
      <c r="A59" s="9" t="s">
        <v>3</v>
      </c>
      <c r="B59" s="1" t="str">
        <f t="shared" si="2"/>
        <v>count(*) from MITHRY</v>
      </c>
      <c r="C59" s="2" t="s">
        <v>107</v>
      </c>
      <c r="D59" s="1">
        <v>28</v>
      </c>
      <c r="E59" s="2" t="s">
        <v>12</v>
      </c>
      <c r="F59" s="2">
        <f t="shared" si="1"/>
        <v>14</v>
      </c>
    </row>
    <row r="60" spans="1:6" x14ac:dyDescent="0.25">
      <c r="A60" s="9" t="s">
        <v>3</v>
      </c>
      <c r="B60" s="1" t="str">
        <f t="shared" si="2"/>
        <v>count(*) from MITLAD</v>
      </c>
      <c r="C60" s="2" t="s">
        <v>108</v>
      </c>
      <c r="D60" s="1">
        <v>0</v>
      </c>
      <c r="E60" s="2" t="s">
        <v>4</v>
      </c>
      <c r="F60" s="2">
        <f t="shared" si="1"/>
        <v>-1</v>
      </c>
    </row>
    <row r="61" spans="1:6" x14ac:dyDescent="0.25">
      <c r="A61" s="9" t="s">
        <v>3</v>
      </c>
      <c r="B61" s="1" t="str">
        <f t="shared" si="2"/>
        <v>count(*) from MITLOC</v>
      </c>
      <c r="C61" s="2" t="s">
        <v>109</v>
      </c>
      <c r="D61" s="1">
        <v>109791</v>
      </c>
      <c r="E61" s="2" t="s">
        <v>28</v>
      </c>
      <c r="F61" s="2">
        <f t="shared" si="1"/>
        <v>55634</v>
      </c>
    </row>
    <row r="62" spans="1:6" x14ac:dyDescent="0.25">
      <c r="A62" s="9" t="s">
        <v>3</v>
      </c>
      <c r="B62" s="1" t="str">
        <f t="shared" si="2"/>
        <v>count(*) from MITMAS</v>
      </c>
      <c r="C62" s="2" t="s">
        <v>110</v>
      </c>
      <c r="D62" s="1">
        <v>129847</v>
      </c>
      <c r="E62" s="2" t="s">
        <v>32</v>
      </c>
      <c r="F62" s="2">
        <f t="shared" si="1"/>
        <v>62627</v>
      </c>
    </row>
    <row r="63" spans="1:6" x14ac:dyDescent="0.25">
      <c r="A63" s="9" t="s">
        <v>3</v>
      </c>
      <c r="B63" s="1" t="str">
        <f t="shared" si="2"/>
        <v>count(*) from MITPCE</v>
      </c>
      <c r="C63" s="2" t="s">
        <v>111</v>
      </c>
      <c r="D63" s="1">
        <v>22972</v>
      </c>
      <c r="E63" s="2" t="s">
        <v>31</v>
      </c>
      <c r="F63" s="2">
        <f t="shared" si="1"/>
        <v>11378</v>
      </c>
    </row>
    <row r="64" spans="1:6" x14ac:dyDescent="0.25">
      <c r="A64" s="9" t="s">
        <v>3</v>
      </c>
      <c r="B64" s="1" t="str">
        <f t="shared" si="2"/>
        <v>count(*) from MITPLO</v>
      </c>
      <c r="C64" s="2" t="s">
        <v>112</v>
      </c>
      <c r="D64" s="1">
        <v>192702</v>
      </c>
      <c r="E64" s="2" t="s">
        <v>188</v>
      </c>
      <c r="F64" s="2">
        <f t="shared" si="1"/>
        <v>172498</v>
      </c>
    </row>
    <row r="65" spans="1:6" x14ac:dyDescent="0.25">
      <c r="A65" s="9" t="s">
        <v>3</v>
      </c>
      <c r="B65" s="1" t="str">
        <f t="shared" si="2"/>
        <v>count(*) from MITPOP</v>
      </c>
      <c r="C65" s="2" t="s">
        <v>113</v>
      </c>
      <c r="D65" s="1">
        <v>102522</v>
      </c>
      <c r="E65" s="2" t="s">
        <v>46</v>
      </c>
      <c r="F65" s="2">
        <f t="shared" si="1"/>
        <v>-16837</v>
      </c>
    </row>
    <row r="66" spans="1:6" x14ac:dyDescent="0.25">
      <c r="A66" s="9" t="s">
        <v>3</v>
      </c>
      <c r="B66" s="1" t="str">
        <f t="shared" si="2"/>
        <v>count(*) from MITSTA</v>
      </c>
      <c r="C66" s="2" t="s">
        <v>114</v>
      </c>
      <c r="D66" s="1">
        <v>1050401</v>
      </c>
      <c r="E66" s="2" t="s">
        <v>189</v>
      </c>
      <c r="F66" s="2">
        <f t="shared" si="1"/>
        <v>506027</v>
      </c>
    </row>
    <row r="67" spans="1:6" x14ac:dyDescent="0.25">
      <c r="A67" s="9" t="s">
        <v>3</v>
      </c>
      <c r="B67" s="1" t="str">
        <f t="shared" si="2"/>
        <v>count(*) from MITTRA</v>
      </c>
      <c r="C67" s="2" t="s">
        <v>115</v>
      </c>
      <c r="D67" s="1">
        <v>215588</v>
      </c>
      <c r="E67" s="2" t="s">
        <v>190</v>
      </c>
      <c r="F67" s="2">
        <f t="shared" si="1"/>
        <v>-298137</v>
      </c>
    </row>
    <row r="68" spans="1:6" x14ac:dyDescent="0.25">
      <c r="A68" s="9" t="s">
        <v>3</v>
      </c>
      <c r="B68" s="1" t="str">
        <f t="shared" ref="B68:B99" si="3">CONCATENATE("count(*) from ",C68)</f>
        <v>count(*) from MITVEN</v>
      </c>
      <c r="C68" s="2" t="s">
        <v>116</v>
      </c>
      <c r="D68" s="1">
        <v>216779</v>
      </c>
      <c r="E68" s="2" t="s">
        <v>191</v>
      </c>
      <c r="F68" s="2">
        <f t="shared" si="1"/>
        <v>123080</v>
      </c>
    </row>
    <row r="69" spans="1:6" x14ac:dyDescent="0.25">
      <c r="A69" s="9" t="s">
        <v>3</v>
      </c>
      <c r="B69" s="1" t="str">
        <f t="shared" si="3"/>
        <v>count(*) from MITWHL</v>
      </c>
      <c r="C69" s="2" t="s">
        <v>117</v>
      </c>
      <c r="D69" s="1">
        <v>2</v>
      </c>
      <c r="E69" s="2" t="s">
        <v>4</v>
      </c>
      <c r="F69" s="2">
        <f t="shared" ref="F69:F115" si="4">D69-E69</f>
        <v>1</v>
      </c>
    </row>
    <row r="70" spans="1:6" x14ac:dyDescent="0.25">
      <c r="A70" s="9" t="s">
        <v>3</v>
      </c>
      <c r="B70" s="1" t="str">
        <f t="shared" si="3"/>
        <v>count(*) from MMSVAD</v>
      </c>
      <c r="C70" s="2" t="s">
        <v>118</v>
      </c>
      <c r="D70" s="1">
        <v>24417</v>
      </c>
      <c r="E70" s="2" t="s">
        <v>192</v>
      </c>
      <c r="F70" s="2">
        <f t="shared" si="4"/>
        <v>-48151</v>
      </c>
    </row>
    <row r="71" spans="1:6" x14ac:dyDescent="0.25">
      <c r="A71" s="9" t="s">
        <v>3</v>
      </c>
      <c r="B71" s="1" t="str">
        <f t="shared" si="3"/>
        <v>count(*) from MMSVAH</v>
      </c>
      <c r="C71" s="2" t="s">
        <v>119</v>
      </c>
      <c r="D71" s="1">
        <v>1</v>
      </c>
      <c r="E71" s="2" t="s">
        <v>6</v>
      </c>
      <c r="F71" s="2">
        <f t="shared" si="4"/>
        <v>-2</v>
      </c>
    </row>
    <row r="72" spans="1:6" x14ac:dyDescent="0.25">
      <c r="A72" s="9" t="s">
        <v>3</v>
      </c>
      <c r="B72" s="1" t="str">
        <f t="shared" si="3"/>
        <v>count(*) from MPCELE</v>
      </c>
      <c r="C72" s="2" t="s">
        <v>120</v>
      </c>
      <c r="D72" s="1">
        <v>118</v>
      </c>
      <c r="E72" s="2" t="s">
        <v>24</v>
      </c>
      <c r="F72" s="2">
        <f t="shared" si="4"/>
        <v>58</v>
      </c>
    </row>
    <row r="73" spans="1:6" x14ac:dyDescent="0.25">
      <c r="A73" s="9" t="s">
        <v>3</v>
      </c>
      <c r="B73" s="1" t="str">
        <f t="shared" si="3"/>
        <v>count(*) from MPDHED</v>
      </c>
      <c r="C73" s="2" t="s">
        <v>121</v>
      </c>
      <c r="D73" s="1">
        <v>66196</v>
      </c>
      <c r="E73" s="2" t="s">
        <v>193</v>
      </c>
      <c r="F73" s="2">
        <f t="shared" si="4"/>
        <v>29365</v>
      </c>
    </row>
    <row r="74" spans="1:6" x14ac:dyDescent="0.25">
      <c r="A74" s="9" t="s">
        <v>3</v>
      </c>
      <c r="B74" s="1" t="str">
        <f t="shared" si="3"/>
        <v>count(*) from MPDMAT</v>
      </c>
      <c r="C74" s="2" t="s">
        <v>122</v>
      </c>
      <c r="D74" s="1">
        <v>78335</v>
      </c>
      <c r="E74" s="2" t="s">
        <v>194</v>
      </c>
      <c r="F74" s="2">
        <f t="shared" si="4"/>
        <v>34071</v>
      </c>
    </row>
    <row r="75" spans="1:6" x14ac:dyDescent="0.25">
      <c r="A75" s="9" t="s">
        <v>3</v>
      </c>
      <c r="B75" s="1" t="str">
        <f t="shared" si="3"/>
        <v>count(*) from MPDOPE</v>
      </c>
      <c r="C75" s="2" t="s">
        <v>123</v>
      </c>
      <c r="D75" s="1">
        <v>9891</v>
      </c>
      <c r="E75" s="2" t="s">
        <v>195</v>
      </c>
      <c r="F75" s="2">
        <f t="shared" si="4"/>
        <v>-3153</v>
      </c>
    </row>
    <row r="76" spans="1:6" x14ac:dyDescent="0.25">
      <c r="A76" s="9" t="s">
        <v>3</v>
      </c>
      <c r="B76" s="1" t="str">
        <f t="shared" si="3"/>
        <v>count(*) from MPDWCT</v>
      </c>
      <c r="C76" s="2" t="s">
        <v>124</v>
      </c>
      <c r="D76" s="1">
        <v>100</v>
      </c>
      <c r="E76" s="2" t="s">
        <v>20</v>
      </c>
      <c r="F76" s="2">
        <f t="shared" si="4"/>
        <v>62</v>
      </c>
    </row>
    <row r="77" spans="1:6" x14ac:dyDescent="0.25">
      <c r="A77" s="9" t="s">
        <v>3</v>
      </c>
      <c r="B77" s="1" t="str">
        <f t="shared" si="3"/>
        <v>count(*) from MPHEAD</v>
      </c>
      <c r="C77" s="2" t="s">
        <v>17</v>
      </c>
      <c r="D77" s="1">
        <v>2271</v>
      </c>
      <c r="E77" s="2" t="s">
        <v>40</v>
      </c>
      <c r="F77" s="2">
        <f t="shared" si="4"/>
        <v>-1736</v>
      </c>
    </row>
    <row r="78" spans="1:6" x14ac:dyDescent="0.25">
      <c r="A78" s="9" t="s">
        <v>3</v>
      </c>
      <c r="B78" s="1" t="str">
        <f t="shared" si="3"/>
        <v>count(*) from MPLIND</v>
      </c>
      <c r="C78" s="2" t="s">
        <v>125</v>
      </c>
      <c r="D78" s="1">
        <v>7008</v>
      </c>
      <c r="E78" s="2" t="s">
        <v>196</v>
      </c>
      <c r="F78" s="2">
        <f t="shared" si="4"/>
        <v>-24555</v>
      </c>
    </row>
    <row r="79" spans="1:6" x14ac:dyDescent="0.25">
      <c r="A79" s="9" t="s">
        <v>3</v>
      </c>
      <c r="B79" s="1" t="str">
        <f t="shared" si="3"/>
        <v>count(*) from MPLINE</v>
      </c>
      <c r="C79" s="2" t="s">
        <v>126</v>
      </c>
      <c r="D79" s="1">
        <v>7347</v>
      </c>
      <c r="E79" s="2" t="s">
        <v>197</v>
      </c>
      <c r="F79" s="2">
        <f t="shared" si="4"/>
        <v>-10645</v>
      </c>
    </row>
    <row r="80" spans="1:6" x14ac:dyDescent="0.25">
      <c r="A80" s="9" t="s">
        <v>3</v>
      </c>
      <c r="B80" s="1" t="str">
        <f t="shared" si="3"/>
        <v>count(*) from MPOEXP</v>
      </c>
      <c r="C80" s="2" t="s">
        <v>127</v>
      </c>
      <c r="D80" s="1">
        <v>11661</v>
      </c>
      <c r="E80" s="2" t="s">
        <v>198</v>
      </c>
      <c r="F80" s="2">
        <f t="shared" si="4"/>
        <v>-20634</v>
      </c>
    </row>
    <row r="81" spans="1:6" x14ac:dyDescent="0.25">
      <c r="A81" s="9" t="s">
        <v>3</v>
      </c>
      <c r="B81" s="1" t="str">
        <f t="shared" si="3"/>
        <v>count(*) from MPPOAD</v>
      </c>
      <c r="C81" s="2" t="s">
        <v>128</v>
      </c>
      <c r="D81" s="1">
        <v>6810</v>
      </c>
      <c r="E81" s="2" t="s">
        <v>35</v>
      </c>
      <c r="F81" s="2">
        <f t="shared" si="4"/>
        <v>-5214</v>
      </c>
    </row>
    <row r="82" spans="1:6" x14ac:dyDescent="0.25">
      <c r="A82" s="9" t="s">
        <v>3</v>
      </c>
      <c r="B82" s="1" t="str">
        <f t="shared" si="3"/>
        <v>count(*) from MPQFUH</v>
      </c>
      <c r="C82" s="2" t="s">
        <v>129</v>
      </c>
      <c r="D82" s="1">
        <v>6</v>
      </c>
      <c r="E82" s="2" t="s">
        <v>16</v>
      </c>
      <c r="F82" s="2">
        <f t="shared" si="4"/>
        <v>-125</v>
      </c>
    </row>
    <row r="83" spans="1:6" x14ac:dyDescent="0.25">
      <c r="A83" s="9" t="s">
        <v>3</v>
      </c>
      <c r="B83" s="1" t="str">
        <f t="shared" si="3"/>
        <v>count(*) from MPREAL</v>
      </c>
      <c r="C83" s="2" t="s">
        <v>130</v>
      </c>
      <c r="D83" s="1">
        <v>0</v>
      </c>
      <c r="E83" s="2" t="s">
        <v>5</v>
      </c>
      <c r="F83" s="2">
        <f t="shared" si="4"/>
        <v>0</v>
      </c>
    </row>
    <row r="84" spans="1:6" x14ac:dyDescent="0.25">
      <c r="A84" s="9" t="s">
        <v>3</v>
      </c>
      <c r="B84" s="1" t="str">
        <f t="shared" si="3"/>
        <v>count(*) from MPURST</v>
      </c>
      <c r="C84" s="2" t="s">
        <v>131</v>
      </c>
      <c r="D84" s="1">
        <v>12</v>
      </c>
      <c r="E84" s="2" t="s">
        <v>39</v>
      </c>
      <c r="F84" s="2">
        <f t="shared" si="4"/>
        <v>-8972</v>
      </c>
    </row>
    <row r="85" spans="1:6" x14ac:dyDescent="0.25">
      <c r="A85" s="9" t="s">
        <v>3</v>
      </c>
      <c r="B85" s="1" t="str">
        <f t="shared" si="3"/>
        <v>count(*) from MVENST</v>
      </c>
      <c r="C85" s="2" t="s">
        <v>132</v>
      </c>
      <c r="D85" s="1">
        <v>0</v>
      </c>
      <c r="E85" s="2" t="s">
        <v>24</v>
      </c>
      <c r="F85" s="2">
        <f t="shared" si="4"/>
        <v>-60</v>
      </c>
    </row>
    <row r="86" spans="1:6" x14ac:dyDescent="0.25">
      <c r="A86" s="9" t="s">
        <v>3</v>
      </c>
      <c r="B86" s="1" t="str">
        <f t="shared" si="3"/>
        <v>count(*) from MWOHED</v>
      </c>
      <c r="C86" s="2" t="s">
        <v>133</v>
      </c>
      <c r="D86" s="1">
        <v>921</v>
      </c>
      <c r="E86" s="2" t="s">
        <v>41</v>
      </c>
      <c r="F86" s="2">
        <f t="shared" si="4"/>
        <v>-3457</v>
      </c>
    </row>
    <row r="87" spans="1:6" x14ac:dyDescent="0.25">
      <c r="A87" s="9" t="s">
        <v>3</v>
      </c>
      <c r="B87" s="1" t="str">
        <f t="shared" si="3"/>
        <v>count(*) from MWOMAT</v>
      </c>
      <c r="C87" s="2" t="s">
        <v>134</v>
      </c>
      <c r="D87" s="1">
        <v>3947</v>
      </c>
      <c r="E87" s="2" t="s">
        <v>199</v>
      </c>
      <c r="F87" s="2">
        <f t="shared" si="4"/>
        <v>-14335</v>
      </c>
    </row>
    <row r="88" spans="1:6" x14ac:dyDescent="0.25">
      <c r="A88" s="9" t="s">
        <v>3</v>
      </c>
      <c r="B88" s="1" t="str">
        <f t="shared" si="3"/>
        <v>count(*) from MWOOPE</v>
      </c>
      <c r="C88" s="2" t="s">
        <v>135</v>
      </c>
      <c r="D88" s="1">
        <v>1478</v>
      </c>
      <c r="E88" s="2" t="s">
        <v>200</v>
      </c>
      <c r="F88" s="2">
        <f t="shared" si="4"/>
        <v>-8477</v>
      </c>
    </row>
    <row r="89" spans="1:6" x14ac:dyDescent="0.25">
      <c r="A89" s="9" t="s">
        <v>3</v>
      </c>
      <c r="B89" s="1" t="str">
        <f t="shared" si="3"/>
        <v>count(*) from MWOPTR</v>
      </c>
      <c r="C89" s="2" t="s">
        <v>136</v>
      </c>
      <c r="D89" s="1">
        <v>535</v>
      </c>
      <c r="E89" s="2" t="s">
        <v>47</v>
      </c>
      <c r="F89" s="2">
        <f t="shared" si="4"/>
        <v>-5384</v>
      </c>
    </row>
    <row r="90" spans="1:6" x14ac:dyDescent="0.25">
      <c r="A90" s="9" t="s">
        <v>3</v>
      </c>
      <c r="B90" s="1" t="str">
        <f t="shared" si="3"/>
        <v>count(*) from MWOPTS</v>
      </c>
      <c r="C90" s="2" t="s">
        <v>137</v>
      </c>
      <c r="D90" s="1">
        <v>170</v>
      </c>
      <c r="E90" s="2" t="s">
        <v>36</v>
      </c>
      <c r="F90" s="2">
        <f t="shared" si="4"/>
        <v>-2664</v>
      </c>
    </row>
    <row r="91" spans="1:6" x14ac:dyDescent="0.25">
      <c r="A91" s="12" t="s">
        <v>162</v>
      </c>
      <c r="B91" s="1" t="str">
        <f t="shared" si="3"/>
        <v>count(*) from OAHEAD</v>
      </c>
      <c r="C91" s="2" t="s">
        <v>138</v>
      </c>
      <c r="D91" s="1">
        <v>0</v>
      </c>
      <c r="E91" s="2" t="s">
        <v>5</v>
      </c>
      <c r="F91" s="2">
        <f t="shared" si="4"/>
        <v>0</v>
      </c>
    </row>
    <row r="92" spans="1:6" x14ac:dyDescent="0.25">
      <c r="A92" s="9" t="s">
        <v>3</v>
      </c>
      <c r="B92" s="1" t="str">
        <f t="shared" si="3"/>
        <v>count(*) from OCHEAD</v>
      </c>
      <c r="C92" s="2" t="s">
        <v>139</v>
      </c>
      <c r="D92" s="1">
        <v>16</v>
      </c>
      <c r="E92" s="2" t="s">
        <v>201</v>
      </c>
      <c r="F92" s="2">
        <f t="shared" si="4"/>
        <v>-540</v>
      </c>
    </row>
    <row r="93" spans="1:6" x14ac:dyDescent="0.25">
      <c r="A93" s="9" t="s">
        <v>3</v>
      </c>
      <c r="B93" s="1" t="str">
        <f t="shared" si="3"/>
        <v>count(*) from OCLINE</v>
      </c>
      <c r="C93" s="2" t="s">
        <v>140</v>
      </c>
      <c r="D93" s="1">
        <v>20</v>
      </c>
      <c r="E93" s="2" t="s">
        <v>202</v>
      </c>
      <c r="F93" s="2">
        <f t="shared" si="4"/>
        <v>-575</v>
      </c>
    </row>
    <row r="94" spans="1:6" x14ac:dyDescent="0.25">
      <c r="A94" s="9" t="s">
        <v>3</v>
      </c>
      <c r="B94" s="1" t="str">
        <f t="shared" si="3"/>
        <v>count(*) from OCUSAD</v>
      </c>
      <c r="C94" s="2" t="s">
        <v>141</v>
      </c>
      <c r="D94" s="1">
        <v>48364</v>
      </c>
      <c r="E94" s="2" t="s">
        <v>203</v>
      </c>
      <c r="F94" s="2">
        <f t="shared" si="4"/>
        <v>19708</v>
      </c>
    </row>
    <row r="95" spans="1:6" x14ac:dyDescent="0.25">
      <c r="A95" s="9" t="s">
        <v>3</v>
      </c>
      <c r="B95" s="1" t="str">
        <f t="shared" si="3"/>
        <v>count(*) from OCUSIT</v>
      </c>
      <c r="C95" s="2" t="s">
        <v>142</v>
      </c>
      <c r="D95" s="1">
        <v>102058</v>
      </c>
      <c r="E95" s="2" t="s">
        <v>204</v>
      </c>
      <c r="F95" s="2">
        <f t="shared" si="4"/>
        <v>-16441</v>
      </c>
    </row>
    <row r="96" spans="1:6" x14ac:dyDescent="0.25">
      <c r="A96" s="9" t="s">
        <v>3</v>
      </c>
      <c r="B96" s="1" t="str">
        <f t="shared" si="3"/>
        <v>count(*) from OCUSMA</v>
      </c>
      <c r="C96" s="2" t="s">
        <v>27</v>
      </c>
      <c r="D96" s="1">
        <v>15482</v>
      </c>
      <c r="E96" s="2" t="s">
        <v>48</v>
      </c>
      <c r="F96" s="2">
        <f t="shared" si="4"/>
        <v>9358</v>
      </c>
    </row>
    <row r="97" spans="1:6" x14ac:dyDescent="0.25">
      <c r="A97" s="9" t="s">
        <v>3</v>
      </c>
      <c r="B97" s="1" t="str">
        <f t="shared" si="3"/>
        <v>count(*) from ODHEAD</v>
      </c>
      <c r="C97" s="2" t="s">
        <v>143</v>
      </c>
      <c r="D97" s="1">
        <v>523</v>
      </c>
      <c r="E97" s="2" t="s">
        <v>205</v>
      </c>
      <c r="F97" s="2">
        <f t="shared" si="4"/>
        <v>-41996</v>
      </c>
    </row>
    <row r="98" spans="1:6" x14ac:dyDescent="0.25">
      <c r="A98" s="9" t="s">
        <v>3</v>
      </c>
      <c r="B98" s="1" t="str">
        <f t="shared" si="3"/>
        <v>count(*) from ODLINE</v>
      </c>
      <c r="C98" s="2" t="s">
        <v>144</v>
      </c>
      <c r="D98" s="1">
        <v>247</v>
      </c>
      <c r="E98" s="2" t="s">
        <v>206</v>
      </c>
      <c r="F98" s="2">
        <f t="shared" si="4"/>
        <v>-71422</v>
      </c>
    </row>
    <row r="99" spans="1:6" x14ac:dyDescent="0.25">
      <c r="A99" s="9" t="s">
        <v>3</v>
      </c>
      <c r="B99" s="1" t="str">
        <f t="shared" si="3"/>
        <v>count(*) from OGDIPO</v>
      </c>
      <c r="C99" s="2" t="s">
        <v>145</v>
      </c>
      <c r="D99" s="1">
        <v>14</v>
      </c>
      <c r="E99" s="2" t="s">
        <v>10</v>
      </c>
      <c r="F99" s="2">
        <f t="shared" si="4"/>
        <v>7</v>
      </c>
    </row>
    <row r="100" spans="1:6" x14ac:dyDescent="0.25">
      <c r="A100" s="9" t="s">
        <v>3</v>
      </c>
      <c r="B100" s="1" t="str">
        <f t="shared" ref="B100:B115" si="5">CONCATENATE("count(*) from ",C100)</f>
        <v>count(*) from OGDMTX</v>
      </c>
      <c r="C100" s="2" t="s">
        <v>146</v>
      </c>
      <c r="D100" s="1">
        <v>20</v>
      </c>
      <c r="E100" s="2" t="s">
        <v>9</v>
      </c>
      <c r="F100" s="2">
        <f t="shared" si="4"/>
        <v>10</v>
      </c>
    </row>
    <row r="101" spans="1:6" x14ac:dyDescent="0.25">
      <c r="A101" s="9" t="s">
        <v>3</v>
      </c>
      <c r="B101" s="1" t="str">
        <f t="shared" si="5"/>
        <v>count(*) from OINVOH</v>
      </c>
      <c r="C101" s="2" t="s">
        <v>147</v>
      </c>
      <c r="D101" s="1">
        <v>190</v>
      </c>
      <c r="E101" s="2" t="s">
        <v>207</v>
      </c>
      <c r="F101" s="2">
        <f t="shared" si="4"/>
        <v>-42255</v>
      </c>
    </row>
    <row r="102" spans="1:6" x14ac:dyDescent="0.25">
      <c r="A102" s="9" t="s">
        <v>3</v>
      </c>
      <c r="B102" s="1" t="str">
        <f t="shared" si="5"/>
        <v>count(*) from OINVOL</v>
      </c>
      <c r="C102" s="2" t="s">
        <v>148</v>
      </c>
      <c r="D102" s="1">
        <v>1539</v>
      </c>
      <c r="E102" s="2" t="s">
        <v>208</v>
      </c>
      <c r="F102" s="2">
        <f t="shared" si="4"/>
        <v>-152156</v>
      </c>
    </row>
    <row r="103" spans="1:6" x14ac:dyDescent="0.25">
      <c r="A103" s="9" t="s">
        <v>3</v>
      </c>
      <c r="B103" s="1" t="str">
        <f t="shared" si="5"/>
        <v>count(*) from OOADRE</v>
      </c>
      <c r="C103" s="2" t="s">
        <v>149</v>
      </c>
      <c r="D103" s="1">
        <v>1404</v>
      </c>
      <c r="E103" s="2" t="s">
        <v>209</v>
      </c>
      <c r="F103" s="2">
        <f t="shared" si="4"/>
        <v>-8448</v>
      </c>
    </row>
    <row r="104" spans="1:6" x14ac:dyDescent="0.25">
      <c r="A104" s="9" t="s">
        <v>3</v>
      </c>
      <c r="B104" s="1" t="str">
        <f t="shared" si="5"/>
        <v>count(*) from OOCHRG</v>
      </c>
      <c r="C104" s="2" t="s">
        <v>150</v>
      </c>
      <c r="D104" s="1">
        <v>16209</v>
      </c>
      <c r="E104" s="2" t="s">
        <v>210</v>
      </c>
      <c r="F104" s="2">
        <f t="shared" si="4"/>
        <v>-68272</v>
      </c>
    </row>
    <row r="105" spans="1:6" x14ac:dyDescent="0.25">
      <c r="A105" s="9" t="s">
        <v>3</v>
      </c>
      <c r="B105" s="1" t="str">
        <f t="shared" si="5"/>
        <v>count(*) from OOHEAD</v>
      </c>
      <c r="C105" s="2" t="s">
        <v>151</v>
      </c>
      <c r="D105" s="1">
        <v>21910</v>
      </c>
      <c r="E105" s="2" t="s">
        <v>211</v>
      </c>
      <c r="F105" s="2">
        <f t="shared" si="4"/>
        <v>-13982</v>
      </c>
    </row>
    <row r="106" spans="1:6" x14ac:dyDescent="0.25">
      <c r="A106" s="9" t="s">
        <v>3</v>
      </c>
      <c r="B106" s="1" t="str">
        <f t="shared" si="5"/>
        <v>count(*) from OOLICH</v>
      </c>
      <c r="C106" s="2" t="s">
        <v>152</v>
      </c>
      <c r="D106" s="1">
        <v>1349</v>
      </c>
      <c r="E106" s="2" t="s">
        <v>212</v>
      </c>
      <c r="F106" s="2">
        <f t="shared" si="4"/>
        <v>637</v>
      </c>
    </row>
    <row r="107" spans="1:6" x14ac:dyDescent="0.25">
      <c r="A107" s="9" t="s">
        <v>3</v>
      </c>
      <c r="B107" s="1" t="str">
        <f t="shared" si="5"/>
        <v>count(*) from OOLINE</v>
      </c>
      <c r="C107" s="2" t="s">
        <v>153</v>
      </c>
      <c r="D107" s="1">
        <v>40698</v>
      </c>
      <c r="E107" s="2" t="s">
        <v>213</v>
      </c>
      <c r="F107" s="2">
        <f t="shared" si="4"/>
        <v>-54732</v>
      </c>
    </row>
    <row r="108" spans="1:6" x14ac:dyDescent="0.25">
      <c r="A108" s="9" t="s">
        <v>3</v>
      </c>
      <c r="B108" s="1" t="str">
        <f t="shared" si="5"/>
        <v>count(*) from OPRBAS</v>
      </c>
      <c r="C108" s="2" t="s">
        <v>154</v>
      </c>
      <c r="D108" s="1">
        <v>1100247</v>
      </c>
      <c r="E108" s="2" t="s">
        <v>214</v>
      </c>
      <c r="F108" s="2">
        <f t="shared" si="4"/>
        <v>86802</v>
      </c>
    </row>
    <row r="109" spans="1:6" x14ac:dyDescent="0.25">
      <c r="A109" s="9" t="s">
        <v>3</v>
      </c>
      <c r="B109" s="1" t="str">
        <f t="shared" si="5"/>
        <v>count(*) from OPRICH</v>
      </c>
      <c r="C109" s="2" t="s">
        <v>155</v>
      </c>
      <c r="D109" s="1">
        <v>272</v>
      </c>
      <c r="E109" s="2" t="s">
        <v>30</v>
      </c>
      <c r="F109" s="2">
        <f t="shared" si="4"/>
        <v>-980</v>
      </c>
    </row>
    <row r="110" spans="1:6" x14ac:dyDescent="0.25">
      <c r="A110" s="9" t="s">
        <v>3</v>
      </c>
      <c r="B110" s="1" t="str">
        <f t="shared" si="5"/>
        <v>count(*) from OPRICL</v>
      </c>
      <c r="C110" s="2" t="s">
        <v>156</v>
      </c>
      <c r="D110" s="1">
        <v>9863490</v>
      </c>
      <c r="E110" s="2" t="s">
        <v>215</v>
      </c>
      <c r="F110" s="2">
        <f t="shared" si="4"/>
        <v>2359469</v>
      </c>
    </row>
    <row r="111" spans="1:6" x14ac:dyDescent="0.25">
      <c r="A111" s="9" t="s">
        <v>3</v>
      </c>
      <c r="B111" s="1" t="str">
        <f t="shared" si="5"/>
        <v>count(*) from OPRMTX</v>
      </c>
      <c r="C111" s="2" t="s">
        <v>157</v>
      </c>
      <c r="D111" s="1">
        <v>620</v>
      </c>
      <c r="E111" s="2" t="s">
        <v>37</v>
      </c>
      <c r="F111" s="2">
        <f t="shared" si="4"/>
        <v>-2347</v>
      </c>
    </row>
    <row r="112" spans="1:6" x14ac:dyDescent="0.25">
      <c r="A112" s="9" t="s">
        <v>3</v>
      </c>
      <c r="B112" s="1" t="str">
        <f t="shared" si="5"/>
        <v>count(*) from OSASTD</v>
      </c>
      <c r="C112" s="2" t="s">
        <v>158</v>
      </c>
      <c r="D112" s="1">
        <v>30490</v>
      </c>
      <c r="E112" s="2" t="s">
        <v>216</v>
      </c>
      <c r="F112" s="2">
        <f t="shared" si="4"/>
        <v>-224831</v>
      </c>
    </row>
    <row r="113" spans="1:6" x14ac:dyDescent="0.25">
      <c r="A113" s="9" t="s">
        <v>3</v>
      </c>
      <c r="B113" s="1" t="str">
        <f t="shared" si="5"/>
        <v>count(*) from OSBSTD</v>
      </c>
      <c r="C113" s="2" t="s">
        <v>159</v>
      </c>
      <c r="D113" s="1">
        <v>617</v>
      </c>
      <c r="E113" s="2" t="s">
        <v>217</v>
      </c>
      <c r="F113" s="2">
        <f t="shared" si="4"/>
        <v>-62563</v>
      </c>
    </row>
    <row r="114" spans="1:6" x14ac:dyDescent="0.25">
      <c r="A114" s="9" t="s">
        <v>3</v>
      </c>
      <c r="B114" s="1" t="str">
        <f t="shared" si="5"/>
        <v>count(*) from OXCNTR</v>
      </c>
      <c r="C114" s="2" t="s">
        <v>160</v>
      </c>
      <c r="D114" s="1">
        <v>15157</v>
      </c>
      <c r="E114" s="2" t="s">
        <v>218</v>
      </c>
      <c r="F114" s="2">
        <f t="shared" si="4"/>
        <v>-34185</v>
      </c>
    </row>
    <row r="115" spans="1:6" x14ac:dyDescent="0.25">
      <c r="A115" s="9" t="s">
        <v>3</v>
      </c>
      <c r="B115" s="1" t="str">
        <f t="shared" si="5"/>
        <v>count(*) from OXHEAD</v>
      </c>
      <c r="C115" s="2" t="s">
        <v>161</v>
      </c>
      <c r="D115" s="1">
        <v>14908</v>
      </c>
      <c r="E115" s="2" t="s">
        <v>219</v>
      </c>
      <c r="F115" s="2">
        <f t="shared" si="4"/>
        <v>-3966</v>
      </c>
    </row>
  </sheetData>
  <autoFilter ref="A3:F115" xr:uid="{E2694FC9-0254-D140-8F64-5203FBF2CB82}">
    <sortState xmlns:xlrd2="http://schemas.microsoft.com/office/spreadsheetml/2017/richdata2" ref="A4:F115">
      <sortCondition ref="C3:C115"/>
    </sortState>
  </autoFilter>
  <dataConsolidate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53364-2C13-3843-AE71-711312865EC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EXPORTMI 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Pronovost</dc:creator>
  <cp:lastModifiedBy>Eric Pronovost</cp:lastModifiedBy>
  <dcterms:created xsi:type="dcterms:W3CDTF">2023-06-06T23:28:33Z</dcterms:created>
  <dcterms:modified xsi:type="dcterms:W3CDTF">2026-08-28T20:00:25Z</dcterms:modified>
</cp:coreProperties>
</file>